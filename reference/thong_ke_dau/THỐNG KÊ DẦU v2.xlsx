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thong_ke_dau/"/>
    </mc:Choice>
  </mc:AlternateContent>
  <xr:revisionPtr revIDLastSave="0" documentId="13_ncr:1_{B0110411-E9F3-A64C-8013-E54FD33F2777}" xr6:coauthVersionLast="47" xr6:coauthVersionMax="47" xr10:uidLastSave="{00000000-0000-0000-0000-000000000000}"/>
  <bookViews>
    <workbookView xWindow="2580" yWindow="2080" windowWidth="22260" windowHeight="14840" activeTab="1" xr2:uid="{00000000-000D-0000-FFFF-FFFF00000000}"/>
  </bookViews>
  <sheets>
    <sheet name="52026" sheetId="1" r:id="rId1"/>
    <sheet name="62026" sheetId="2" r:id="rId2"/>
    <sheet name="42026" sheetId="3" state="hidden" r:id="rId3"/>
    <sheet name="32026" sheetId="4" state="hidden" r:id="rId4"/>
    <sheet name="022026" sheetId="5" state="hidden" r:id="rId5"/>
    <sheet name="01-2026" sheetId="6" state="hidden" r:id="rId6"/>
    <sheet name="12-2025" sheetId="7" state="hidden" r:id="rId7"/>
    <sheet name="11-2025" sheetId="8" state="hidden" r:id="rId8"/>
    <sheet name="10-2025" sheetId="9" state="hidden" r:id="rId9"/>
    <sheet name="09-2025" sheetId="10" r:id="rId10"/>
    <sheet name="08-2025" sheetId="11" r:id="rId11"/>
    <sheet name="07-2025" sheetId="12" r:id="rId12"/>
    <sheet name="06-2025" sheetId="13" r:id="rId13"/>
    <sheet name="05-2025" sheetId="14" r:id="rId14"/>
    <sheet name="04-2025" sheetId="15" r:id="rId15"/>
    <sheet name="03-2025" sheetId="16" r:id="rId16"/>
    <sheet name="02-2025" sheetId="17" r:id="rId17"/>
    <sheet name="01-2025" sheetId="18" r:id="rId18"/>
    <sheet name="thang 12" sheetId="19" r:id="rId19"/>
    <sheet name="112024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7" i="2" l="1"/>
  <c r="D347" i="2"/>
  <c r="D346" i="2"/>
  <c r="C303" i="2"/>
  <c r="I251" i="2"/>
  <c r="D251" i="2"/>
  <c r="E263" i="2"/>
  <c r="D263" i="2"/>
  <c r="D258" i="2"/>
  <c r="D257" i="2"/>
  <c r="C258" i="2"/>
  <c r="J258" i="2"/>
  <c r="F84" i="20"/>
  <c r="N83" i="20"/>
  <c r="K83" i="20"/>
  <c r="L83" i="20" s="1"/>
  <c r="J83" i="20"/>
  <c r="E83" i="20"/>
  <c r="G83" i="20" s="1"/>
  <c r="N82" i="20"/>
  <c r="K82" i="20"/>
  <c r="L82" i="20" s="1"/>
  <c r="J82" i="20"/>
  <c r="E82" i="20"/>
  <c r="G82" i="20" s="1"/>
  <c r="N81" i="20"/>
  <c r="K81" i="20"/>
  <c r="L81" i="20" s="1"/>
  <c r="J81" i="20"/>
  <c r="E81" i="20"/>
  <c r="G81" i="20" s="1"/>
  <c r="N80" i="20"/>
  <c r="K80" i="20"/>
  <c r="L80" i="20" s="1"/>
  <c r="J80" i="20"/>
  <c r="E80" i="20"/>
  <c r="G80" i="20" s="1"/>
  <c r="N79" i="20"/>
  <c r="K79" i="20"/>
  <c r="L79" i="20" s="1"/>
  <c r="J79" i="20"/>
  <c r="E79" i="20"/>
  <c r="G79" i="20" s="1"/>
  <c r="N78" i="20"/>
  <c r="K78" i="20"/>
  <c r="L78" i="20" s="1"/>
  <c r="J78" i="20"/>
  <c r="E78" i="20"/>
  <c r="G78" i="20" s="1"/>
  <c r="N77" i="20"/>
  <c r="N84" i="20" s="1"/>
  <c r="K77" i="20"/>
  <c r="J77" i="20"/>
  <c r="J84" i="20" s="1"/>
  <c r="E77" i="20"/>
  <c r="F76" i="20"/>
  <c r="K75" i="20"/>
  <c r="L75" i="20" s="1"/>
  <c r="J75" i="20"/>
  <c r="E75" i="20"/>
  <c r="G75" i="20" s="1"/>
  <c r="K74" i="20"/>
  <c r="L74" i="20" s="1"/>
  <c r="J74" i="20"/>
  <c r="E74" i="20"/>
  <c r="G74" i="20" s="1"/>
  <c r="K73" i="20"/>
  <c r="L73" i="20" s="1"/>
  <c r="J73" i="20"/>
  <c r="E73" i="20"/>
  <c r="G73" i="20" s="1"/>
  <c r="N72" i="20"/>
  <c r="K72" i="20"/>
  <c r="L72" i="20" s="1"/>
  <c r="J72" i="20"/>
  <c r="E72" i="20"/>
  <c r="G72" i="20" s="1"/>
  <c r="N71" i="20"/>
  <c r="K71" i="20"/>
  <c r="L71" i="20" s="1"/>
  <c r="J71" i="20"/>
  <c r="E71" i="20"/>
  <c r="G71" i="20" s="1"/>
  <c r="N70" i="20"/>
  <c r="K70" i="20"/>
  <c r="L70" i="20" s="1"/>
  <c r="J70" i="20"/>
  <c r="E70" i="20"/>
  <c r="G70" i="20" s="1"/>
  <c r="N69" i="20"/>
  <c r="N76" i="20" s="1"/>
  <c r="K69" i="20"/>
  <c r="J69" i="20"/>
  <c r="J76" i="20" s="1"/>
  <c r="E69" i="20"/>
  <c r="F68" i="20"/>
  <c r="N67" i="20"/>
  <c r="K67" i="20"/>
  <c r="L67" i="20" s="1"/>
  <c r="J67" i="20"/>
  <c r="E67" i="20"/>
  <c r="G67" i="20" s="1"/>
  <c r="N66" i="20"/>
  <c r="K66" i="20"/>
  <c r="L66" i="20" s="1"/>
  <c r="J66" i="20"/>
  <c r="E66" i="20"/>
  <c r="G66" i="20" s="1"/>
  <c r="N65" i="20"/>
  <c r="K65" i="20"/>
  <c r="L65" i="20" s="1"/>
  <c r="J65" i="20"/>
  <c r="E65" i="20"/>
  <c r="G65" i="20" s="1"/>
  <c r="N64" i="20"/>
  <c r="K64" i="20"/>
  <c r="L64" i="20" s="1"/>
  <c r="J64" i="20"/>
  <c r="E64" i="20"/>
  <c r="G64" i="20" s="1"/>
  <c r="N63" i="20"/>
  <c r="K63" i="20"/>
  <c r="L63" i="20" s="1"/>
  <c r="J63" i="20"/>
  <c r="E63" i="20"/>
  <c r="G63" i="20" s="1"/>
  <c r="N62" i="20"/>
  <c r="K62" i="20"/>
  <c r="L62" i="20" s="1"/>
  <c r="J62" i="20"/>
  <c r="E62" i="20"/>
  <c r="G62" i="20" s="1"/>
  <c r="N61" i="20"/>
  <c r="N68" i="20" s="1"/>
  <c r="K61" i="20"/>
  <c r="J61" i="20"/>
  <c r="J68" i="20" s="1"/>
  <c r="E61" i="20"/>
  <c r="F60" i="20"/>
  <c r="N59" i="20"/>
  <c r="K59" i="20"/>
  <c r="L59" i="20" s="1"/>
  <c r="J59" i="20"/>
  <c r="E59" i="20"/>
  <c r="G59" i="20" s="1"/>
  <c r="N58" i="20"/>
  <c r="K58" i="20"/>
  <c r="L58" i="20" s="1"/>
  <c r="J58" i="20"/>
  <c r="E58" i="20"/>
  <c r="G58" i="20" s="1"/>
  <c r="N57" i="20"/>
  <c r="K57" i="20"/>
  <c r="L57" i="20" s="1"/>
  <c r="J57" i="20"/>
  <c r="E57" i="20"/>
  <c r="G57" i="20" s="1"/>
  <c r="N56" i="20"/>
  <c r="K56" i="20"/>
  <c r="L56" i="20" s="1"/>
  <c r="J56" i="20"/>
  <c r="E56" i="20"/>
  <c r="G56" i="20" s="1"/>
  <c r="N55" i="20"/>
  <c r="N60" i="20" s="1"/>
  <c r="K55" i="20"/>
  <c r="J55" i="20"/>
  <c r="J60" i="20" s="1"/>
  <c r="E55" i="20"/>
  <c r="F54" i="20"/>
  <c r="N53" i="20"/>
  <c r="K53" i="20"/>
  <c r="L53" i="20" s="1"/>
  <c r="J53" i="20"/>
  <c r="E53" i="20"/>
  <c r="G53" i="20" s="1"/>
  <c r="N52" i="20"/>
  <c r="K52" i="20"/>
  <c r="L52" i="20" s="1"/>
  <c r="J52" i="20"/>
  <c r="E52" i="20"/>
  <c r="G52" i="20" s="1"/>
  <c r="N51" i="20"/>
  <c r="N54" i="20" s="1"/>
  <c r="K51" i="20"/>
  <c r="J51" i="20"/>
  <c r="J54" i="20" s="1"/>
  <c r="E51" i="20"/>
  <c r="F50" i="20"/>
  <c r="N49" i="20"/>
  <c r="K49" i="20"/>
  <c r="L49" i="20" s="1"/>
  <c r="J49" i="20"/>
  <c r="E49" i="20"/>
  <c r="G49" i="20" s="1"/>
  <c r="N48" i="20"/>
  <c r="K48" i="20"/>
  <c r="L48" i="20" s="1"/>
  <c r="J48" i="20"/>
  <c r="E48" i="20"/>
  <c r="G48" i="20" s="1"/>
  <c r="N47" i="20"/>
  <c r="K47" i="20"/>
  <c r="L47" i="20" s="1"/>
  <c r="J47" i="20"/>
  <c r="E47" i="20"/>
  <c r="G47" i="20" s="1"/>
  <c r="N46" i="20"/>
  <c r="N50" i="20" s="1"/>
  <c r="K46" i="20"/>
  <c r="J46" i="20"/>
  <c r="J50" i="20" s="1"/>
  <c r="E46" i="20"/>
  <c r="F45" i="20"/>
  <c r="N44" i="20"/>
  <c r="K44" i="20"/>
  <c r="L44" i="20" s="1"/>
  <c r="J44" i="20"/>
  <c r="E44" i="20"/>
  <c r="G44" i="20" s="1"/>
  <c r="N43" i="20"/>
  <c r="K43" i="20"/>
  <c r="L43" i="20" s="1"/>
  <c r="J43" i="20"/>
  <c r="E43" i="20"/>
  <c r="G43" i="20" s="1"/>
  <c r="K42" i="20"/>
  <c r="L42" i="20" s="1"/>
  <c r="J42" i="20"/>
  <c r="E42" i="20"/>
  <c r="G42" i="20" s="1"/>
  <c r="N41" i="20"/>
  <c r="K41" i="20"/>
  <c r="L41" i="20" s="1"/>
  <c r="J41" i="20"/>
  <c r="E41" i="20"/>
  <c r="G41" i="20" s="1"/>
  <c r="N40" i="20"/>
  <c r="K40" i="20"/>
  <c r="L40" i="20" s="1"/>
  <c r="J40" i="20"/>
  <c r="E40" i="20"/>
  <c r="G40" i="20" s="1"/>
  <c r="N39" i="20"/>
  <c r="K39" i="20"/>
  <c r="L39" i="20" s="1"/>
  <c r="J39" i="20"/>
  <c r="E39" i="20"/>
  <c r="G39" i="20" s="1"/>
  <c r="N38" i="20"/>
  <c r="N45" i="20" s="1"/>
  <c r="K38" i="20"/>
  <c r="J38" i="20"/>
  <c r="J45" i="20" s="1"/>
  <c r="E38" i="20"/>
  <c r="F37" i="20"/>
  <c r="Q36" i="20"/>
  <c r="N36" i="20"/>
  <c r="K36" i="20"/>
  <c r="L36" i="20" s="1"/>
  <c r="J36" i="20"/>
  <c r="E36" i="20"/>
  <c r="G36" i="20" s="1"/>
  <c r="Q35" i="20"/>
  <c r="N35" i="20"/>
  <c r="K35" i="20"/>
  <c r="L35" i="20" s="1"/>
  <c r="J35" i="20"/>
  <c r="E35" i="20"/>
  <c r="G35" i="20" s="1"/>
  <c r="Q34" i="20"/>
  <c r="N34" i="20"/>
  <c r="K34" i="20"/>
  <c r="L34" i="20" s="1"/>
  <c r="J34" i="20"/>
  <c r="E34" i="20"/>
  <c r="G34" i="20" s="1"/>
  <c r="Q33" i="20"/>
  <c r="N33" i="20"/>
  <c r="K33" i="20"/>
  <c r="L33" i="20" s="1"/>
  <c r="J33" i="20"/>
  <c r="E33" i="20"/>
  <c r="G33" i="20" s="1"/>
  <c r="N32" i="20"/>
  <c r="K32" i="20"/>
  <c r="L32" i="20" s="1"/>
  <c r="J32" i="20"/>
  <c r="E32" i="20"/>
  <c r="G32" i="20" s="1"/>
  <c r="N31" i="20"/>
  <c r="N37" i="20" s="1"/>
  <c r="K31" i="20"/>
  <c r="J31" i="20"/>
  <c r="J37" i="20" s="1"/>
  <c r="E31" i="20"/>
  <c r="F30" i="20"/>
  <c r="N29" i="20"/>
  <c r="N28" i="20"/>
  <c r="K28" i="20"/>
  <c r="L28" i="20" s="1"/>
  <c r="J28" i="20"/>
  <c r="E28" i="20"/>
  <c r="G28" i="20" s="1"/>
  <c r="N27" i="20"/>
  <c r="K27" i="20"/>
  <c r="L27" i="20" s="1"/>
  <c r="J27" i="20"/>
  <c r="E27" i="20"/>
  <c r="G27" i="20" s="1"/>
  <c r="N26" i="20"/>
  <c r="K26" i="20"/>
  <c r="L26" i="20" s="1"/>
  <c r="J26" i="20"/>
  <c r="E26" i="20"/>
  <c r="G26" i="20" s="1"/>
  <c r="N25" i="20"/>
  <c r="K25" i="20"/>
  <c r="L25" i="20" s="1"/>
  <c r="J25" i="20"/>
  <c r="E25" i="20"/>
  <c r="G25" i="20" s="1"/>
  <c r="N24" i="20"/>
  <c r="K24" i="20"/>
  <c r="L24" i="20" s="1"/>
  <c r="J24" i="20"/>
  <c r="E24" i="20"/>
  <c r="G24" i="20" s="1"/>
  <c r="N23" i="20"/>
  <c r="N30" i="20" s="1"/>
  <c r="K23" i="20"/>
  <c r="J23" i="20"/>
  <c r="J30" i="20" s="1"/>
  <c r="E23" i="20"/>
  <c r="F22" i="20"/>
  <c r="N21" i="20"/>
  <c r="K21" i="20"/>
  <c r="L21" i="20" s="1"/>
  <c r="J21" i="20"/>
  <c r="E21" i="20"/>
  <c r="G21" i="20" s="1"/>
  <c r="N20" i="20"/>
  <c r="K20" i="20"/>
  <c r="L20" i="20" s="1"/>
  <c r="J20" i="20"/>
  <c r="E20" i="20"/>
  <c r="G20" i="20" s="1"/>
  <c r="N19" i="20"/>
  <c r="K19" i="20"/>
  <c r="L19" i="20" s="1"/>
  <c r="J19" i="20"/>
  <c r="E19" i="20"/>
  <c r="G19" i="20" s="1"/>
  <c r="N18" i="20"/>
  <c r="K18" i="20"/>
  <c r="L18" i="20" s="1"/>
  <c r="J18" i="20"/>
  <c r="E18" i="20"/>
  <c r="G18" i="20" s="1"/>
  <c r="N17" i="20"/>
  <c r="K17" i="20"/>
  <c r="L17" i="20" s="1"/>
  <c r="J17" i="20"/>
  <c r="E17" i="20"/>
  <c r="G17" i="20" s="1"/>
  <c r="N16" i="20"/>
  <c r="N22" i="20" s="1"/>
  <c r="K16" i="20"/>
  <c r="J16" i="20"/>
  <c r="J22" i="20" s="1"/>
  <c r="E16" i="20"/>
  <c r="F15" i="20"/>
  <c r="N14" i="20"/>
  <c r="K14" i="20"/>
  <c r="L14" i="20" s="1"/>
  <c r="J14" i="20"/>
  <c r="E14" i="20"/>
  <c r="G14" i="20" s="1"/>
  <c r="N13" i="20"/>
  <c r="K13" i="20"/>
  <c r="L13" i="20" s="1"/>
  <c r="J13" i="20"/>
  <c r="E13" i="20"/>
  <c r="G13" i="20" s="1"/>
  <c r="N12" i="20"/>
  <c r="K12" i="20"/>
  <c r="L12" i="20" s="1"/>
  <c r="J12" i="20"/>
  <c r="E12" i="20"/>
  <c r="G12" i="20" s="1"/>
  <c r="N11" i="20"/>
  <c r="N15" i="20" s="1"/>
  <c r="K11" i="20"/>
  <c r="J11" i="20"/>
  <c r="J15" i="20" s="1"/>
  <c r="E11" i="20"/>
  <c r="F10" i="20"/>
  <c r="N9" i="20"/>
  <c r="K9" i="20"/>
  <c r="L9" i="20" s="1"/>
  <c r="J9" i="20"/>
  <c r="E9" i="20"/>
  <c r="G9" i="20" s="1"/>
  <c r="N8" i="20"/>
  <c r="K8" i="20"/>
  <c r="L8" i="20" s="1"/>
  <c r="J8" i="20"/>
  <c r="E8" i="20"/>
  <c r="G8" i="20" s="1"/>
  <c r="N7" i="20"/>
  <c r="K7" i="20"/>
  <c r="L7" i="20" s="1"/>
  <c r="J7" i="20"/>
  <c r="E7" i="20"/>
  <c r="G7" i="20" s="1"/>
  <c r="N6" i="20"/>
  <c r="K6" i="20"/>
  <c r="L6" i="20" s="1"/>
  <c r="J6" i="20"/>
  <c r="E6" i="20"/>
  <c r="G6" i="20" s="1"/>
  <c r="N5" i="20"/>
  <c r="K5" i="20"/>
  <c r="L5" i="20" s="1"/>
  <c r="J5" i="20"/>
  <c r="E5" i="20"/>
  <c r="G5" i="20" s="1"/>
  <c r="N4" i="20"/>
  <c r="K4" i="20"/>
  <c r="L4" i="20" s="1"/>
  <c r="J4" i="20"/>
  <c r="E4" i="20"/>
  <c r="G4" i="20" s="1"/>
  <c r="N3" i="20"/>
  <c r="N10" i="20" s="1"/>
  <c r="K3" i="20"/>
  <c r="J3" i="20"/>
  <c r="J10" i="20" s="1"/>
  <c r="E3" i="20"/>
  <c r="F95" i="19"/>
  <c r="N94" i="19"/>
  <c r="K94" i="19"/>
  <c r="L94" i="19" s="1"/>
  <c r="J94" i="19"/>
  <c r="E94" i="19"/>
  <c r="G94" i="19" s="1"/>
  <c r="N93" i="19"/>
  <c r="K93" i="19"/>
  <c r="L93" i="19" s="1"/>
  <c r="J93" i="19"/>
  <c r="E93" i="19"/>
  <c r="G93" i="19" s="1"/>
  <c r="N92" i="19"/>
  <c r="K92" i="19"/>
  <c r="L92" i="19" s="1"/>
  <c r="J92" i="19"/>
  <c r="E92" i="19"/>
  <c r="G92" i="19" s="1"/>
  <c r="N91" i="19"/>
  <c r="K91" i="19"/>
  <c r="L91" i="19" s="1"/>
  <c r="J91" i="19"/>
  <c r="E91" i="19"/>
  <c r="G91" i="19" s="1"/>
  <c r="N90" i="19"/>
  <c r="K90" i="19"/>
  <c r="L90" i="19" s="1"/>
  <c r="J90" i="19"/>
  <c r="E90" i="19"/>
  <c r="G90" i="19" s="1"/>
  <c r="N89" i="19"/>
  <c r="K89" i="19"/>
  <c r="L89" i="19" s="1"/>
  <c r="J89" i="19"/>
  <c r="E89" i="19"/>
  <c r="G89" i="19" s="1"/>
  <c r="N88" i="19"/>
  <c r="N95" i="19" s="1"/>
  <c r="K88" i="19"/>
  <c r="J88" i="19"/>
  <c r="J95" i="19" s="1"/>
  <c r="E88" i="19"/>
  <c r="F87" i="19"/>
  <c r="N86" i="19"/>
  <c r="K86" i="19"/>
  <c r="L86" i="19" s="1"/>
  <c r="J86" i="19"/>
  <c r="E86" i="19"/>
  <c r="G86" i="19" s="1"/>
  <c r="N85" i="19"/>
  <c r="K85" i="19"/>
  <c r="L85" i="19" s="1"/>
  <c r="J85" i="19"/>
  <c r="E85" i="19"/>
  <c r="G85" i="19" s="1"/>
  <c r="N84" i="19"/>
  <c r="K84" i="19"/>
  <c r="L84" i="19" s="1"/>
  <c r="J84" i="19"/>
  <c r="E84" i="19"/>
  <c r="G84" i="19" s="1"/>
  <c r="N83" i="19"/>
  <c r="K83" i="19"/>
  <c r="L83" i="19" s="1"/>
  <c r="J83" i="19"/>
  <c r="E83" i="19"/>
  <c r="G83" i="19" s="1"/>
  <c r="N82" i="19"/>
  <c r="K82" i="19"/>
  <c r="L82" i="19" s="1"/>
  <c r="J82" i="19"/>
  <c r="E82" i="19"/>
  <c r="G82" i="19" s="1"/>
  <c r="N81" i="19"/>
  <c r="K81" i="19"/>
  <c r="L81" i="19" s="1"/>
  <c r="J81" i="19"/>
  <c r="E81" i="19"/>
  <c r="G81" i="19" s="1"/>
  <c r="N80" i="19"/>
  <c r="N87" i="19" s="1"/>
  <c r="K80" i="19"/>
  <c r="J80" i="19"/>
  <c r="J87" i="19" s="1"/>
  <c r="E80" i="19"/>
  <c r="F79" i="19"/>
  <c r="N78" i="19"/>
  <c r="K78" i="19"/>
  <c r="L78" i="19" s="1"/>
  <c r="J78" i="19"/>
  <c r="E78" i="19"/>
  <c r="G78" i="19" s="1"/>
  <c r="N77" i="19"/>
  <c r="K77" i="19"/>
  <c r="L77" i="19" s="1"/>
  <c r="J77" i="19"/>
  <c r="E77" i="19"/>
  <c r="G77" i="19" s="1"/>
  <c r="N76" i="19"/>
  <c r="K76" i="19"/>
  <c r="L76" i="19" s="1"/>
  <c r="J76" i="19"/>
  <c r="E76" i="19"/>
  <c r="G76" i="19" s="1"/>
  <c r="N75" i="19"/>
  <c r="K75" i="19"/>
  <c r="L75" i="19" s="1"/>
  <c r="J75" i="19"/>
  <c r="E75" i="19"/>
  <c r="G75" i="19" s="1"/>
  <c r="N74" i="19"/>
  <c r="K74" i="19"/>
  <c r="L74" i="19" s="1"/>
  <c r="J74" i="19"/>
  <c r="E74" i="19"/>
  <c r="G74" i="19" s="1"/>
  <c r="N73" i="19"/>
  <c r="K73" i="19"/>
  <c r="L73" i="19" s="1"/>
  <c r="J73" i="19"/>
  <c r="E73" i="19"/>
  <c r="G73" i="19" s="1"/>
  <c r="N72" i="19"/>
  <c r="N79" i="19" s="1"/>
  <c r="K72" i="19"/>
  <c r="J72" i="19"/>
  <c r="J79" i="19" s="1"/>
  <c r="E72" i="19"/>
  <c r="F71" i="19"/>
  <c r="N70" i="19"/>
  <c r="K70" i="19"/>
  <c r="L70" i="19" s="1"/>
  <c r="J70" i="19"/>
  <c r="E70" i="19"/>
  <c r="G70" i="19" s="1"/>
  <c r="N69" i="19"/>
  <c r="K69" i="19"/>
  <c r="L69" i="19" s="1"/>
  <c r="J69" i="19"/>
  <c r="E69" i="19"/>
  <c r="G69" i="19" s="1"/>
  <c r="N68" i="19"/>
  <c r="K68" i="19"/>
  <c r="L68" i="19" s="1"/>
  <c r="J68" i="19"/>
  <c r="E68" i="19"/>
  <c r="G68" i="19" s="1"/>
  <c r="N67" i="19"/>
  <c r="K67" i="19"/>
  <c r="L67" i="19" s="1"/>
  <c r="J67" i="19"/>
  <c r="E67" i="19"/>
  <c r="G67" i="19" s="1"/>
  <c r="N66" i="19"/>
  <c r="K66" i="19"/>
  <c r="L66" i="19" s="1"/>
  <c r="J66" i="19"/>
  <c r="E66" i="19"/>
  <c r="G66" i="19" s="1"/>
  <c r="N65" i="19"/>
  <c r="K65" i="19"/>
  <c r="L65" i="19" s="1"/>
  <c r="J65" i="19"/>
  <c r="E65" i="19"/>
  <c r="G65" i="19" s="1"/>
  <c r="N64" i="19"/>
  <c r="N71" i="19" s="1"/>
  <c r="K64" i="19"/>
  <c r="J64" i="19"/>
  <c r="J71" i="19" s="1"/>
  <c r="E64" i="19"/>
  <c r="F63" i="19"/>
  <c r="N62" i="19"/>
  <c r="K62" i="19"/>
  <c r="L62" i="19" s="1"/>
  <c r="J62" i="19"/>
  <c r="E62" i="19"/>
  <c r="G62" i="19" s="1"/>
  <c r="N61" i="19"/>
  <c r="K61" i="19"/>
  <c r="L61" i="19" s="1"/>
  <c r="J61" i="19"/>
  <c r="E61" i="19"/>
  <c r="G61" i="19" s="1"/>
  <c r="N60" i="19"/>
  <c r="K60" i="19"/>
  <c r="L60" i="19" s="1"/>
  <c r="J60" i="19"/>
  <c r="E60" i="19"/>
  <c r="G60" i="19" s="1"/>
  <c r="N59" i="19"/>
  <c r="K59" i="19"/>
  <c r="L59" i="19" s="1"/>
  <c r="J59" i="19"/>
  <c r="E59" i="19"/>
  <c r="G59" i="19" s="1"/>
  <c r="N58" i="19"/>
  <c r="K58" i="19"/>
  <c r="L58" i="19" s="1"/>
  <c r="J58" i="19"/>
  <c r="E58" i="19"/>
  <c r="G58" i="19" s="1"/>
  <c r="N57" i="19"/>
  <c r="K57" i="19"/>
  <c r="L57" i="19" s="1"/>
  <c r="J57" i="19"/>
  <c r="E57" i="19"/>
  <c r="G57" i="19" s="1"/>
  <c r="N56" i="19"/>
  <c r="N63" i="19" s="1"/>
  <c r="K56" i="19"/>
  <c r="J56" i="19"/>
  <c r="J63" i="19" s="1"/>
  <c r="E56" i="19"/>
  <c r="F55" i="19"/>
  <c r="N54" i="19"/>
  <c r="K54" i="19"/>
  <c r="L54" i="19" s="1"/>
  <c r="J54" i="19"/>
  <c r="E54" i="19"/>
  <c r="G54" i="19" s="1"/>
  <c r="N53" i="19"/>
  <c r="K53" i="19"/>
  <c r="L53" i="19" s="1"/>
  <c r="J53" i="19"/>
  <c r="E53" i="19"/>
  <c r="G53" i="19" s="1"/>
  <c r="N52" i="19"/>
  <c r="K52" i="19"/>
  <c r="L52" i="19" s="1"/>
  <c r="J52" i="19"/>
  <c r="E52" i="19"/>
  <c r="G52" i="19" s="1"/>
  <c r="N51" i="19"/>
  <c r="K51" i="19"/>
  <c r="L51" i="19" s="1"/>
  <c r="J51" i="19"/>
  <c r="E51" i="19"/>
  <c r="G51" i="19" s="1"/>
  <c r="N50" i="19"/>
  <c r="K50" i="19"/>
  <c r="L50" i="19" s="1"/>
  <c r="J50" i="19"/>
  <c r="E50" i="19"/>
  <c r="G50" i="19" s="1"/>
  <c r="N49" i="19"/>
  <c r="K49" i="19"/>
  <c r="L49" i="19" s="1"/>
  <c r="J49" i="19"/>
  <c r="E49" i="19"/>
  <c r="G49" i="19" s="1"/>
  <c r="N48" i="19"/>
  <c r="N55" i="19" s="1"/>
  <c r="K48" i="19"/>
  <c r="J48" i="19"/>
  <c r="J55" i="19" s="1"/>
  <c r="E48" i="19"/>
  <c r="F47" i="19"/>
  <c r="N46" i="19"/>
  <c r="K46" i="19"/>
  <c r="L46" i="19" s="1"/>
  <c r="J46" i="19"/>
  <c r="E46" i="19"/>
  <c r="G46" i="19" s="1"/>
  <c r="N45" i="19"/>
  <c r="K45" i="19"/>
  <c r="L45" i="19" s="1"/>
  <c r="J45" i="19"/>
  <c r="E45" i="19"/>
  <c r="G45" i="19" s="1"/>
  <c r="N44" i="19"/>
  <c r="K44" i="19"/>
  <c r="L44" i="19" s="1"/>
  <c r="J44" i="19"/>
  <c r="E44" i="19"/>
  <c r="G44" i="19" s="1"/>
  <c r="N43" i="19"/>
  <c r="K43" i="19"/>
  <c r="L43" i="19" s="1"/>
  <c r="J43" i="19"/>
  <c r="E43" i="19"/>
  <c r="G43" i="19" s="1"/>
  <c r="N42" i="19"/>
  <c r="K42" i="19"/>
  <c r="L42" i="19" s="1"/>
  <c r="J42" i="19"/>
  <c r="E42" i="19"/>
  <c r="G42" i="19" s="1"/>
  <c r="N41" i="19"/>
  <c r="K41" i="19"/>
  <c r="L41" i="19" s="1"/>
  <c r="J41" i="19"/>
  <c r="E41" i="19"/>
  <c r="G41" i="19" s="1"/>
  <c r="N40" i="19"/>
  <c r="N47" i="19" s="1"/>
  <c r="K40" i="19"/>
  <c r="J40" i="19"/>
  <c r="J47" i="19" s="1"/>
  <c r="E40" i="19"/>
  <c r="F39" i="19"/>
  <c r="N38" i="19"/>
  <c r="K38" i="19"/>
  <c r="L38" i="19" s="1"/>
  <c r="J38" i="19"/>
  <c r="E38" i="19"/>
  <c r="G38" i="19" s="1"/>
  <c r="N37" i="19"/>
  <c r="K37" i="19"/>
  <c r="L37" i="19" s="1"/>
  <c r="J37" i="19"/>
  <c r="E37" i="19"/>
  <c r="G37" i="19" s="1"/>
  <c r="N36" i="19"/>
  <c r="K36" i="19"/>
  <c r="L36" i="19" s="1"/>
  <c r="J36" i="19"/>
  <c r="E36" i="19"/>
  <c r="G36" i="19" s="1"/>
  <c r="N35" i="19"/>
  <c r="K35" i="19"/>
  <c r="L35" i="19" s="1"/>
  <c r="J35" i="19"/>
  <c r="E35" i="19"/>
  <c r="G35" i="19" s="1"/>
  <c r="N34" i="19"/>
  <c r="K34" i="19"/>
  <c r="L34" i="19" s="1"/>
  <c r="J34" i="19"/>
  <c r="E34" i="19"/>
  <c r="G34" i="19" s="1"/>
  <c r="N33" i="19"/>
  <c r="K33" i="19"/>
  <c r="L33" i="19" s="1"/>
  <c r="J33" i="19"/>
  <c r="E33" i="19"/>
  <c r="G33" i="19" s="1"/>
  <c r="N32" i="19"/>
  <c r="N39" i="19" s="1"/>
  <c r="K32" i="19"/>
  <c r="J32" i="19"/>
  <c r="J39" i="19" s="1"/>
  <c r="E32" i="19"/>
  <c r="F31" i="19"/>
  <c r="N30" i="19"/>
  <c r="K30" i="19"/>
  <c r="L30" i="19" s="1"/>
  <c r="J30" i="19"/>
  <c r="E30" i="19"/>
  <c r="G30" i="19" s="1"/>
  <c r="N29" i="19"/>
  <c r="K29" i="19"/>
  <c r="L29" i="19" s="1"/>
  <c r="J29" i="19"/>
  <c r="E29" i="19"/>
  <c r="G29" i="19" s="1"/>
  <c r="N28" i="19"/>
  <c r="K28" i="19"/>
  <c r="L28" i="19" s="1"/>
  <c r="J28" i="19"/>
  <c r="E28" i="19"/>
  <c r="G28" i="19" s="1"/>
  <c r="N27" i="19"/>
  <c r="K27" i="19"/>
  <c r="L27" i="19" s="1"/>
  <c r="J27" i="19"/>
  <c r="E27" i="19"/>
  <c r="G27" i="19" s="1"/>
  <c r="N26" i="19"/>
  <c r="K26" i="19"/>
  <c r="L26" i="19" s="1"/>
  <c r="J26" i="19"/>
  <c r="E26" i="19"/>
  <c r="G26" i="19" s="1"/>
  <c r="N25" i="19"/>
  <c r="K25" i="19"/>
  <c r="L25" i="19" s="1"/>
  <c r="J25" i="19"/>
  <c r="E25" i="19"/>
  <c r="G25" i="19" s="1"/>
  <c r="N24" i="19"/>
  <c r="N31" i="19" s="1"/>
  <c r="K24" i="19"/>
  <c r="J24" i="19"/>
  <c r="J31" i="19" s="1"/>
  <c r="E24" i="19"/>
  <c r="F23" i="19"/>
  <c r="N22" i="19"/>
  <c r="K22" i="19"/>
  <c r="L22" i="19" s="1"/>
  <c r="J22" i="19"/>
  <c r="E22" i="19"/>
  <c r="G22" i="19" s="1"/>
  <c r="N21" i="19"/>
  <c r="K21" i="19"/>
  <c r="L21" i="19" s="1"/>
  <c r="J21" i="19"/>
  <c r="E21" i="19"/>
  <c r="G21" i="19" s="1"/>
  <c r="N20" i="19"/>
  <c r="K20" i="19"/>
  <c r="L20" i="19" s="1"/>
  <c r="J20" i="19"/>
  <c r="E20" i="19"/>
  <c r="G20" i="19" s="1"/>
  <c r="N19" i="19"/>
  <c r="K19" i="19"/>
  <c r="L19" i="19" s="1"/>
  <c r="J19" i="19"/>
  <c r="E19" i="19"/>
  <c r="G19" i="19" s="1"/>
  <c r="N18" i="19"/>
  <c r="K18" i="19"/>
  <c r="L18" i="19" s="1"/>
  <c r="J18" i="19"/>
  <c r="E18" i="19"/>
  <c r="G18" i="19" s="1"/>
  <c r="N17" i="19"/>
  <c r="K17" i="19"/>
  <c r="L17" i="19" s="1"/>
  <c r="J17" i="19"/>
  <c r="E17" i="19"/>
  <c r="G17" i="19" s="1"/>
  <c r="N16" i="19"/>
  <c r="N23" i="19" s="1"/>
  <c r="K16" i="19"/>
  <c r="J16" i="19"/>
  <c r="J23" i="19" s="1"/>
  <c r="E16" i="19"/>
  <c r="F15" i="19"/>
  <c r="N14" i="19"/>
  <c r="K14" i="19"/>
  <c r="L14" i="19" s="1"/>
  <c r="J14" i="19"/>
  <c r="E14" i="19"/>
  <c r="G14" i="19" s="1"/>
  <c r="N13" i="19"/>
  <c r="K13" i="19"/>
  <c r="L13" i="19" s="1"/>
  <c r="J13" i="19"/>
  <c r="E13" i="19"/>
  <c r="G13" i="19" s="1"/>
  <c r="N12" i="19"/>
  <c r="K12" i="19"/>
  <c r="L12" i="19" s="1"/>
  <c r="J12" i="19"/>
  <c r="E12" i="19"/>
  <c r="G12" i="19" s="1"/>
  <c r="N11" i="19"/>
  <c r="K11" i="19"/>
  <c r="L11" i="19" s="1"/>
  <c r="J11" i="19"/>
  <c r="E11" i="19"/>
  <c r="G11" i="19" s="1"/>
  <c r="N10" i="19"/>
  <c r="N15" i="19" s="1"/>
  <c r="K10" i="19"/>
  <c r="J10" i="19"/>
  <c r="J15" i="19" s="1"/>
  <c r="E10" i="19"/>
  <c r="F9" i="19"/>
  <c r="N8" i="19"/>
  <c r="K8" i="19"/>
  <c r="L8" i="19" s="1"/>
  <c r="J8" i="19"/>
  <c r="E8" i="19"/>
  <c r="G8" i="19" s="1"/>
  <c r="N7" i="19"/>
  <c r="K7" i="19"/>
  <c r="L7" i="19" s="1"/>
  <c r="J7" i="19"/>
  <c r="E7" i="19"/>
  <c r="G7" i="19" s="1"/>
  <c r="N6" i="19"/>
  <c r="K6" i="19"/>
  <c r="L6" i="19" s="1"/>
  <c r="J6" i="19"/>
  <c r="E6" i="19"/>
  <c r="G6" i="19" s="1"/>
  <c r="N5" i="19"/>
  <c r="K5" i="19"/>
  <c r="L5" i="19" s="1"/>
  <c r="J5" i="19"/>
  <c r="E5" i="19"/>
  <c r="G5" i="19" s="1"/>
  <c r="N4" i="19"/>
  <c r="K4" i="19"/>
  <c r="L4" i="19" s="1"/>
  <c r="J4" i="19"/>
  <c r="E4" i="19"/>
  <c r="G4" i="19" s="1"/>
  <c r="N3" i="19"/>
  <c r="N9" i="19" s="1"/>
  <c r="N96" i="19" s="1"/>
  <c r="K3" i="19"/>
  <c r="J3" i="19"/>
  <c r="J9" i="19" s="1"/>
  <c r="E3" i="19"/>
  <c r="M110" i="18"/>
  <c r="F105" i="18"/>
  <c r="N104" i="18"/>
  <c r="K104" i="18"/>
  <c r="L104" i="18" s="1"/>
  <c r="J104" i="18"/>
  <c r="E104" i="18"/>
  <c r="G104" i="18" s="1"/>
  <c r="N103" i="18"/>
  <c r="K103" i="18"/>
  <c r="L103" i="18" s="1"/>
  <c r="J103" i="18"/>
  <c r="E103" i="18"/>
  <c r="G103" i="18" s="1"/>
  <c r="N102" i="18"/>
  <c r="K102" i="18"/>
  <c r="L102" i="18" s="1"/>
  <c r="J102" i="18"/>
  <c r="E102" i="18"/>
  <c r="G102" i="18" s="1"/>
  <c r="N101" i="18"/>
  <c r="K101" i="18"/>
  <c r="L101" i="18" s="1"/>
  <c r="J101" i="18"/>
  <c r="E101" i="18"/>
  <c r="G101" i="18" s="1"/>
  <c r="N100" i="18"/>
  <c r="K100" i="18"/>
  <c r="L100" i="18" s="1"/>
  <c r="J100" i="18"/>
  <c r="E100" i="18"/>
  <c r="G100" i="18" s="1"/>
  <c r="N99" i="18"/>
  <c r="K99" i="18"/>
  <c r="L99" i="18" s="1"/>
  <c r="J99" i="18"/>
  <c r="E99" i="18"/>
  <c r="G99" i="18" s="1"/>
  <c r="N98" i="18"/>
  <c r="N105" i="18" s="1"/>
  <c r="K98" i="18"/>
  <c r="J98" i="18"/>
  <c r="J105" i="18" s="1"/>
  <c r="E98" i="18"/>
  <c r="N96" i="18"/>
  <c r="K96" i="18"/>
  <c r="L96" i="18" s="1"/>
  <c r="J96" i="18"/>
  <c r="E96" i="18"/>
  <c r="G96" i="18" s="1"/>
  <c r="N95" i="18"/>
  <c r="K95" i="18"/>
  <c r="L95" i="18" s="1"/>
  <c r="J95" i="18"/>
  <c r="E95" i="18"/>
  <c r="G95" i="18" s="1"/>
  <c r="N94" i="18"/>
  <c r="K94" i="18"/>
  <c r="L94" i="18" s="1"/>
  <c r="J94" i="18"/>
  <c r="E94" i="18"/>
  <c r="G94" i="18" s="1"/>
  <c r="N93" i="18"/>
  <c r="K93" i="18"/>
  <c r="L93" i="18" s="1"/>
  <c r="J93" i="18"/>
  <c r="E93" i="18"/>
  <c r="G93" i="18" s="1"/>
  <c r="N92" i="18"/>
  <c r="K92" i="18"/>
  <c r="L92" i="18" s="1"/>
  <c r="J92" i="18"/>
  <c r="E92" i="18"/>
  <c r="G92" i="18" s="1"/>
  <c r="N91" i="18"/>
  <c r="K91" i="18"/>
  <c r="L91" i="18" s="1"/>
  <c r="J91" i="18"/>
  <c r="E91" i="18"/>
  <c r="G91" i="18" s="1"/>
  <c r="N90" i="18"/>
  <c r="N97" i="18" s="1"/>
  <c r="K90" i="18"/>
  <c r="L90" i="18" s="1"/>
  <c r="J90" i="18"/>
  <c r="E90" i="18"/>
  <c r="G90" i="18" s="1"/>
  <c r="F89" i="18"/>
  <c r="F97" i="18" s="1"/>
  <c r="N88" i="18"/>
  <c r="K88" i="18"/>
  <c r="L88" i="18" s="1"/>
  <c r="E88" i="18"/>
  <c r="G88" i="18" s="1"/>
  <c r="N87" i="18"/>
  <c r="K87" i="18"/>
  <c r="L87" i="18" s="1"/>
  <c r="E87" i="18"/>
  <c r="G87" i="18" s="1"/>
  <c r="N86" i="18"/>
  <c r="K86" i="18"/>
  <c r="L86" i="18" s="1"/>
  <c r="E86" i="18"/>
  <c r="G86" i="18" s="1"/>
  <c r="N85" i="18"/>
  <c r="K85" i="18"/>
  <c r="L85" i="18" s="1"/>
  <c r="J85" i="18"/>
  <c r="E85" i="18"/>
  <c r="G85" i="18" s="1"/>
  <c r="N84" i="18"/>
  <c r="K84" i="18"/>
  <c r="L84" i="18" s="1"/>
  <c r="J84" i="18"/>
  <c r="E84" i="18"/>
  <c r="G84" i="18" s="1"/>
  <c r="N83" i="18"/>
  <c r="N89" i="18" s="1"/>
  <c r="K83" i="18"/>
  <c r="J83" i="18"/>
  <c r="E83" i="18"/>
  <c r="F82" i="18"/>
  <c r="N81" i="18"/>
  <c r="K81" i="18"/>
  <c r="L81" i="18" s="1"/>
  <c r="J81" i="18"/>
  <c r="E81" i="18"/>
  <c r="G81" i="18" s="1"/>
  <c r="N80" i="18"/>
  <c r="K80" i="18"/>
  <c r="L80" i="18" s="1"/>
  <c r="J80" i="18"/>
  <c r="E80" i="18"/>
  <c r="G80" i="18" s="1"/>
  <c r="N79" i="18"/>
  <c r="K79" i="18"/>
  <c r="L79" i="18" s="1"/>
  <c r="J79" i="18"/>
  <c r="E79" i="18"/>
  <c r="G79" i="18" s="1"/>
  <c r="N78" i="18"/>
  <c r="K78" i="18"/>
  <c r="L78" i="18" s="1"/>
  <c r="J78" i="18"/>
  <c r="E78" i="18"/>
  <c r="G78" i="18" s="1"/>
  <c r="N77" i="18"/>
  <c r="K77" i="18"/>
  <c r="L77" i="18" s="1"/>
  <c r="J77" i="18"/>
  <c r="E77" i="18"/>
  <c r="G77" i="18" s="1"/>
  <c r="N76" i="18"/>
  <c r="K76" i="18"/>
  <c r="L76" i="18" s="1"/>
  <c r="J76" i="18"/>
  <c r="E76" i="18"/>
  <c r="G76" i="18" s="1"/>
  <c r="N75" i="18"/>
  <c r="N82" i="18" s="1"/>
  <c r="K75" i="18"/>
  <c r="J75" i="18"/>
  <c r="J82" i="18" s="1"/>
  <c r="E75" i="18"/>
  <c r="F74" i="18"/>
  <c r="N73" i="18"/>
  <c r="K73" i="18"/>
  <c r="L73" i="18" s="1"/>
  <c r="J73" i="18"/>
  <c r="E73" i="18"/>
  <c r="G73" i="18" s="1"/>
  <c r="N72" i="18"/>
  <c r="K72" i="18"/>
  <c r="L72" i="18" s="1"/>
  <c r="J72" i="18"/>
  <c r="E72" i="18"/>
  <c r="G72" i="18" s="1"/>
  <c r="N71" i="18"/>
  <c r="K71" i="18"/>
  <c r="L71" i="18" s="1"/>
  <c r="J71" i="18"/>
  <c r="E71" i="18"/>
  <c r="G71" i="18" s="1"/>
  <c r="N70" i="18"/>
  <c r="K70" i="18"/>
  <c r="L70" i="18" s="1"/>
  <c r="J70" i="18"/>
  <c r="E70" i="18"/>
  <c r="G70" i="18" s="1"/>
  <c r="N69" i="18"/>
  <c r="K69" i="18"/>
  <c r="L69" i="18" s="1"/>
  <c r="J69" i="18"/>
  <c r="E69" i="18"/>
  <c r="G69" i="18" s="1"/>
  <c r="N68" i="18"/>
  <c r="K68" i="18"/>
  <c r="L68" i="18" s="1"/>
  <c r="J68" i="18"/>
  <c r="E68" i="18"/>
  <c r="G68" i="18" s="1"/>
  <c r="N67" i="18"/>
  <c r="N74" i="18" s="1"/>
  <c r="K67" i="18"/>
  <c r="J67" i="18"/>
  <c r="J74" i="18" s="1"/>
  <c r="E67" i="18"/>
  <c r="F66" i="18"/>
  <c r="N65" i="18"/>
  <c r="K65" i="18"/>
  <c r="L65" i="18" s="1"/>
  <c r="J65" i="18"/>
  <c r="E65" i="18"/>
  <c r="G65" i="18" s="1"/>
  <c r="N64" i="18"/>
  <c r="K64" i="18"/>
  <c r="L64" i="18" s="1"/>
  <c r="J64" i="18"/>
  <c r="E64" i="18"/>
  <c r="G64" i="18" s="1"/>
  <c r="N63" i="18"/>
  <c r="K63" i="18"/>
  <c r="L63" i="18" s="1"/>
  <c r="J63" i="18"/>
  <c r="E63" i="18"/>
  <c r="G63" i="18" s="1"/>
  <c r="N62" i="18"/>
  <c r="K62" i="18"/>
  <c r="L62" i="18" s="1"/>
  <c r="J62" i="18"/>
  <c r="E62" i="18"/>
  <c r="G62" i="18" s="1"/>
  <c r="N61" i="18"/>
  <c r="K61" i="18"/>
  <c r="L61" i="18" s="1"/>
  <c r="J61" i="18"/>
  <c r="E61" i="18"/>
  <c r="G61" i="18" s="1"/>
  <c r="N60" i="18"/>
  <c r="J60" i="18"/>
  <c r="L60" i="18" s="1"/>
  <c r="E60" i="18"/>
  <c r="G60" i="18" s="1"/>
  <c r="N59" i="18"/>
  <c r="N66" i="18" s="1"/>
  <c r="K59" i="18"/>
  <c r="J59" i="18"/>
  <c r="J66" i="18" s="1"/>
  <c r="E59" i="18"/>
  <c r="F58" i="18"/>
  <c r="N57" i="18"/>
  <c r="K57" i="18"/>
  <c r="L57" i="18" s="1"/>
  <c r="J57" i="18"/>
  <c r="E57" i="18"/>
  <c r="G57" i="18" s="1"/>
  <c r="N56" i="18"/>
  <c r="K56" i="18"/>
  <c r="L56" i="18" s="1"/>
  <c r="J56" i="18"/>
  <c r="E56" i="18"/>
  <c r="G56" i="18" s="1"/>
  <c r="N55" i="18"/>
  <c r="K55" i="18"/>
  <c r="L55" i="18" s="1"/>
  <c r="J55" i="18"/>
  <c r="E55" i="18"/>
  <c r="G55" i="18" s="1"/>
  <c r="N54" i="18"/>
  <c r="K54" i="18"/>
  <c r="L54" i="18" s="1"/>
  <c r="J54" i="18"/>
  <c r="E54" i="18"/>
  <c r="G54" i="18" s="1"/>
  <c r="N53" i="18"/>
  <c r="K53" i="18"/>
  <c r="L53" i="18" s="1"/>
  <c r="J53" i="18"/>
  <c r="E53" i="18"/>
  <c r="G53" i="18" s="1"/>
  <c r="N52" i="18"/>
  <c r="K52" i="18"/>
  <c r="L52" i="18" s="1"/>
  <c r="J52" i="18"/>
  <c r="E52" i="18"/>
  <c r="G52" i="18" s="1"/>
  <c r="N51" i="18"/>
  <c r="N58" i="18" s="1"/>
  <c r="K51" i="18"/>
  <c r="J51" i="18"/>
  <c r="J58" i="18" s="1"/>
  <c r="E51" i="18"/>
  <c r="F50" i="18"/>
  <c r="N49" i="18"/>
  <c r="K49" i="18"/>
  <c r="L49" i="18" s="1"/>
  <c r="J49" i="18"/>
  <c r="E49" i="18"/>
  <c r="G49" i="18" s="1"/>
  <c r="N48" i="18"/>
  <c r="K48" i="18"/>
  <c r="L48" i="18" s="1"/>
  <c r="J48" i="18"/>
  <c r="E48" i="18"/>
  <c r="G48" i="18" s="1"/>
  <c r="N47" i="18"/>
  <c r="K47" i="18"/>
  <c r="L47" i="18" s="1"/>
  <c r="J47" i="18"/>
  <c r="E47" i="18"/>
  <c r="G47" i="18" s="1"/>
  <c r="N46" i="18"/>
  <c r="K46" i="18"/>
  <c r="L46" i="18" s="1"/>
  <c r="J46" i="18"/>
  <c r="E46" i="18"/>
  <c r="G46" i="18" s="1"/>
  <c r="N45" i="18"/>
  <c r="K45" i="18"/>
  <c r="L45" i="18" s="1"/>
  <c r="J45" i="18"/>
  <c r="E45" i="18"/>
  <c r="G45" i="18" s="1"/>
  <c r="N44" i="18"/>
  <c r="K44" i="18"/>
  <c r="L44" i="18" s="1"/>
  <c r="J44" i="18"/>
  <c r="E44" i="18"/>
  <c r="G44" i="18" s="1"/>
  <c r="N43" i="18"/>
  <c r="N50" i="18" s="1"/>
  <c r="K43" i="18"/>
  <c r="J43" i="18"/>
  <c r="J50" i="18" s="1"/>
  <c r="E43" i="18"/>
  <c r="F42" i="18"/>
  <c r="N41" i="18"/>
  <c r="K41" i="18"/>
  <c r="L41" i="18" s="1"/>
  <c r="J41" i="18"/>
  <c r="E41" i="18"/>
  <c r="G41" i="18" s="1"/>
  <c r="N40" i="18"/>
  <c r="K40" i="18"/>
  <c r="L40" i="18" s="1"/>
  <c r="J40" i="18"/>
  <c r="E40" i="18"/>
  <c r="G40" i="18" s="1"/>
  <c r="N39" i="18"/>
  <c r="K39" i="18"/>
  <c r="L39" i="18" s="1"/>
  <c r="J39" i="18"/>
  <c r="E39" i="18"/>
  <c r="G39" i="18" s="1"/>
  <c r="N38" i="18"/>
  <c r="K38" i="18"/>
  <c r="L38" i="18" s="1"/>
  <c r="J38" i="18"/>
  <c r="E38" i="18"/>
  <c r="G38" i="18" s="1"/>
  <c r="N37" i="18"/>
  <c r="K37" i="18"/>
  <c r="L37" i="18" s="1"/>
  <c r="J37" i="18"/>
  <c r="E37" i="18"/>
  <c r="G37" i="18" s="1"/>
  <c r="N36" i="18"/>
  <c r="K36" i="18"/>
  <c r="L36" i="18" s="1"/>
  <c r="J36" i="18"/>
  <c r="E36" i="18"/>
  <c r="G36" i="18" s="1"/>
  <c r="N35" i="18"/>
  <c r="N42" i="18" s="1"/>
  <c r="K35" i="18"/>
  <c r="J35" i="18"/>
  <c r="J42" i="18" s="1"/>
  <c r="E35" i="18"/>
  <c r="F34" i="18"/>
  <c r="N33" i="18"/>
  <c r="K33" i="18"/>
  <c r="L33" i="18" s="1"/>
  <c r="J33" i="18"/>
  <c r="E33" i="18"/>
  <c r="G33" i="18" s="1"/>
  <c r="N32" i="18"/>
  <c r="K32" i="18"/>
  <c r="L32" i="18" s="1"/>
  <c r="J32" i="18"/>
  <c r="E32" i="18"/>
  <c r="G32" i="18" s="1"/>
  <c r="N31" i="18"/>
  <c r="K31" i="18"/>
  <c r="L31" i="18" s="1"/>
  <c r="J31" i="18"/>
  <c r="E31" i="18"/>
  <c r="G31" i="18" s="1"/>
  <c r="N30" i="18"/>
  <c r="K30" i="18"/>
  <c r="L30" i="18" s="1"/>
  <c r="J30" i="18"/>
  <c r="E30" i="18"/>
  <c r="G30" i="18" s="1"/>
  <c r="N29" i="18"/>
  <c r="K29" i="18"/>
  <c r="L29" i="18" s="1"/>
  <c r="J29" i="18"/>
  <c r="E29" i="18"/>
  <c r="G29" i="18" s="1"/>
  <c r="N28" i="18"/>
  <c r="K28" i="18"/>
  <c r="L28" i="18" s="1"/>
  <c r="J28" i="18"/>
  <c r="E28" i="18"/>
  <c r="G28" i="18" s="1"/>
  <c r="N27" i="18"/>
  <c r="N34" i="18" s="1"/>
  <c r="K27" i="18"/>
  <c r="J27" i="18"/>
  <c r="J34" i="18" s="1"/>
  <c r="E27" i="18"/>
  <c r="F26" i="18"/>
  <c r="N25" i="18"/>
  <c r="K25" i="18"/>
  <c r="L25" i="18" s="1"/>
  <c r="J25" i="18"/>
  <c r="E25" i="18"/>
  <c r="G25" i="18" s="1"/>
  <c r="N24" i="18"/>
  <c r="K24" i="18"/>
  <c r="L24" i="18" s="1"/>
  <c r="J24" i="18"/>
  <c r="E24" i="18"/>
  <c r="G24" i="18" s="1"/>
  <c r="N23" i="18"/>
  <c r="K23" i="18"/>
  <c r="L23" i="18" s="1"/>
  <c r="J23" i="18"/>
  <c r="E23" i="18"/>
  <c r="G23" i="18" s="1"/>
  <c r="N22" i="18"/>
  <c r="K22" i="18"/>
  <c r="L22" i="18" s="1"/>
  <c r="J22" i="18"/>
  <c r="E22" i="18"/>
  <c r="G22" i="18" s="1"/>
  <c r="N21" i="18"/>
  <c r="K21" i="18"/>
  <c r="L21" i="18" s="1"/>
  <c r="J21" i="18"/>
  <c r="E21" i="18"/>
  <c r="G21" i="18" s="1"/>
  <c r="N20" i="18"/>
  <c r="K20" i="18"/>
  <c r="L20" i="18" s="1"/>
  <c r="J20" i="18"/>
  <c r="E20" i="18"/>
  <c r="G20" i="18" s="1"/>
  <c r="N19" i="18"/>
  <c r="N26" i="18" s="1"/>
  <c r="K19" i="18"/>
  <c r="J19" i="18"/>
  <c r="J26" i="18" s="1"/>
  <c r="E19" i="18"/>
  <c r="F18" i="18"/>
  <c r="N17" i="18"/>
  <c r="K17" i="18"/>
  <c r="L17" i="18" s="1"/>
  <c r="J17" i="18"/>
  <c r="E17" i="18"/>
  <c r="G17" i="18" s="1"/>
  <c r="N16" i="18"/>
  <c r="K16" i="18"/>
  <c r="L16" i="18" s="1"/>
  <c r="J16" i="18"/>
  <c r="E16" i="18"/>
  <c r="G16" i="18" s="1"/>
  <c r="N15" i="18"/>
  <c r="K15" i="18"/>
  <c r="L15" i="18" s="1"/>
  <c r="J15" i="18"/>
  <c r="E15" i="18"/>
  <c r="G15" i="18" s="1"/>
  <c r="N14" i="18"/>
  <c r="K14" i="18"/>
  <c r="L14" i="18" s="1"/>
  <c r="J14" i="18"/>
  <c r="E14" i="18"/>
  <c r="G14" i="18" s="1"/>
  <c r="N13" i="18"/>
  <c r="K13" i="18"/>
  <c r="L13" i="18" s="1"/>
  <c r="J13" i="18"/>
  <c r="E13" i="18"/>
  <c r="G13" i="18" s="1"/>
  <c r="N12" i="18"/>
  <c r="K12" i="18"/>
  <c r="L12" i="18" s="1"/>
  <c r="J12" i="18"/>
  <c r="E12" i="18"/>
  <c r="G12" i="18" s="1"/>
  <c r="N11" i="18"/>
  <c r="N18" i="18" s="1"/>
  <c r="K11" i="18"/>
  <c r="J11" i="18"/>
  <c r="J18" i="18" s="1"/>
  <c r="E11" i="18"/>
  <c r="F10" i="18"/>
  <c r="N9" i="18"/>
  <c r="K9" i="18"/>
  <c r="L9" i="18" s="1"/>
  <c r="J9" i="18"/>
  <c r="E9" i="18"/>
  <c r="G9" i="18" s="1"/>
  <c r="N8" i="18"/>
  <c r="K8" i="18"/>
  <c r="L8" i="18" s="1"/>
  <c r="J8" i="18"/>
  <c r="E8" i="18"/>
  <c r="G8" i="18" s="1"/>
  <c r="N7" i="18"/>
  <c r="K7" i="18"/>
  <c r="L7" i="18" s="1"/>
  <c r="J7" i="18"/>
  <c r="E7" i="18"/>
  <c r="G7" i="18" s="1"/>
  <c r="N6" i="18"/>
  <c r="K6" i="18"/>
  <c r="L6" i="18" s="1"/>
  <c r="J6" i="18"/>
  <c r="E6" i="18"/>
  <c r="G6" i="18" s="1"/>
  <c r="N5" i="18"/>
  <c r="K5" i="18"/>
  <c r="L5" i="18" s="1"/>
  <c r="J5" i="18"/>
  <c r="E5" i="18"/>
  <c r="G5" i="18" s="1"/>
  <c r="N4" i="18"/>
  <c r="K4" i="18"/>
  <c r="L4" i="18" s="1"/>
  <c r="J4" i="18"/>
  <c r="E4" i="18"/>
  <c r="G4" i="18" s="1"/>
  <c r="N3" i="18"/>
  <c r="N10" i="18" s="1"/>
  <c r="K3" i="18"/>
  <c r="J3" i="18"/>
  <c r="J10" i="18" s="1"/>
  <c r="E3" i="18"/>
  <c r="F135" i="17"/>
  <c r="N134" i="17"/>
  <c r="K134" i="17"/>
  <c r="L134" i="17" s="1"/>
  <c r="J134" i="17"/>
  <c r="E134" i="17"/>
  <c r="G134" i="17" s="1"/>
  <c r="N133" i="17"/>
  <c r="K133" i="17"/>
  <c r="L133" i="17" s="1"/>
  <c r="J133" i="17"/>
  <c r="E133" i="17"/>
  <c r="G133" i="17" s="1"/>
  <c r="N132" i="17"/>
  <c r="K132" i="17"/>
  <c r="L132" i="17" s="1"/>
  <c r="J132" i="17"/>
  <c r="E132" i="17"/>
  <c r="G132" i="17" s="1"/>
  <c r="N131" i="17"/>
  <c r="K131" i="17"/>
  <c r="L131" i="17" s="1"/>
  <c r="J131" i="17"/>
  <c r="E131" i="17"/>
  <c r="G131" i="17" s="1"/>
  <c r="N130" i="17"/>
  <c r="N135" i="17" s="1"/>
  <c r="K130" i="17"/>
  <c r="J130" i="17"/>
  <c r="J135" i="17" s="1"/>
  <c r="E130" i="17"/>
  <c r="F129" i="17"/>
  <c r="N128" i="17"/>
  <c r="K128" i="17"/>
  <c r="L128" i="17" s="1"/>
  <c r="J128" i="17"/>
  <c r="E128" i="17"/>
  <c r="G128" i="17" s="1"/>
  <c r="N127" i="17"/>
  <c r="K127" i="17"/>
  <c r="L127" i="17" s="1"/>
  <c r="J127" i="17"/>
  <c r="E127" i="17"/>
  <c r="G127" i="17" s="1"/>
  <c r="N126" i="17"/>
  <c r="K126" i="17"/>
  <c r="L126" i="17" s="1"/>
  <c r="J126" i="17"/>
  <c r="E126" i="17"/>
  <c r="G126" i="17" s="1"/>
  <c r="N125" i="17"/>
  <c r="K125" i="17"/>
  <c r="L125" i="17" s="1"/>
  <c r="J125" i="17"/>
  <c r="E125" i="17"/>
  <c r="G125" i="17" s="1"/>
  <c r="N124" i="17"/>
  <c r="N129" i="17" s="1"/>
  <c r="K124" i="17"/>
  <c r="J124" i="17"/>
  <c r="J129" i="17" s="1"/>
  <c r="E124" i="17"/>
  <c r="F123" i="17"/>
  <c r="N122" i="17"/>
  <c r="K122" i="17"/>
  <c r="L122" i="17" s="1"/>
  <c r="J122" i="17"/>
  <c r="E122" i="17"/>
  <c r="G122" i="17" s="1"/>
  <c r="N121" i="17"/>
  <c r="K121" i="17"/>
  <c r="L121" i="17" s="1"/>
  <c r="J121" i="17"/>
  <c r="E121" i="17"/>
  <c r="G121" i="17" s="1"/>
  <c r="N120" i="17"/>
  <c r="K120" i="17"/>
  <c r="L120" i="17" s="1"/>
  <c r="J120" i="17"/>
  <c r="E120" i="17"/>
  <c r="G120" i="17" s="1"/>
  <c r="N119" i="17"/>
  <c r="K119" i="17"/>
  <c r="L119" i="17" s="1"/>
  <c r="J119" i="17"/>
  <c r="E119" i="17"/>
  <c r="G119" i="17" s="1"/>
  <c r="N118" i="17"/>
  <c r="N123" i="17" s="1"/>
  <c r="K118" i="17"/>
  <c r="J118" i="17"/>
  <c r="J123" i="17" s="1"/>
  <c r="E118" i="17"/>
  <c r="F117" i="17"/>
  <c r="N116" i="17"/>
  <c r="K116" i="17"/>
  <c r="L116" i="17" s="1"/>
  <c r="J116" i="17"/>
  <c r="E116" i="17"/>
  <c r="G116" i="17" s="1"/>
  <c r="N115" i="17"/>
  <c r="K115" i="17"/>
  <c r="L115" i="17" s="1"/>
  <c r="J115" i="17"/>
  <c r="E115" i="17"/>
  <c r="G115" i="17" s="1"/>
  <c r="N114" i="17"/>
  <c r="K114" i="17"/>
  <c r="L114" i="17" s="1"/>
  <c r="J114" i="17"/>
  <c r="E114" i="17"/>
  <c r="G114" i="17" s="1"/>
  <c r="N113" i="17"/>
  <c r="K113" i="17"/>
  <c r="L113" i="17" s="1"/>
  <c r="J113" i="17"/>
  <c r="E113" i="17"/>
  <c r="G113" i="17" s="1"/>
  <c r="N112" i="17"/>
  <c r="N117" i="17" s="1"/>
  <c r="K112" i="17"/>
  <c r="J112" i="17"/>
  <c r="J117" i="17" s="1"/>
  <c r="E112" i="17"/>
  <c r="F111" i="17"/>
  <c r="N110" i="17"/>
  <c r="K110" i="17"/>
  <c r="L110" i="17" s="1"/>
  <c r="J110" i="17"/>
  <c r="E110" i="17"/>
  <c r="G110" i="17" s="1"/>
  <c r="N109" i="17"/>
  <c r="K109" i="17"/>
  <c r="L109" i="17" s="1"/>
  <c r="J109" i="17"/>
  <c r="E109" i="17"/>
  <c r="G109" i="17" s="1"/>
  <c r="N108" i="17"/>
  <c r="K108" i="17"/>
  <c r="L108" i="17" s="1"/>
  <c r="J108" i="17"/>
  <c r="E108" i="17"/>
  <c r="G108" i="17" s="1"/>
  <c r="N107" i="17"/>
  <c r="K107" i="17"/>
  <c r="L107" i="17" s="1"/>
  <c r="J107" i="17"/>
  <c r="E107" i="17"/>
  <c r="G107" i="17" s="1"/>
  <c r="N106" i="17"/>
  <c r="N111" i="17" s="1"/>
  <c r="K106" i="17"/>
  <c r="J106" i="17"/>
  <c r="J111" i="17" s="1"/>
  <c r="E106" i="17"/>
  <c r="F105" i="17"/>
  <c r="N104" i="17"/>
  <c r="K104" i="17"/>
  <c r="L104" i="17" s="1"/>
  <c r="J104" i="17"/>
  <c r="E104" i="17"/>
  <c r="G104" i="17" s="1"/>
  <c r="N103" i="17"/>
  <c r="K103" i="17"/>
  <c r="L103" i="17" s="1"/>
  <c r="J103" i="17"/>
  <c r="E103" i="17"/>
  <c r="G103" i="17" s="1"/>
  <c r="N102" i="17"/>
  <c r="K102" i="17"/>
  <c r="L102" i="17" s="1"/>
  <c r="J102" i="17"/>
  <c r="E102" i="17"/>
  <c r="G102" i="17" s="1"/>
  <c r="N101" i="17"/>
  <c r="K101" i="17"/>
  <c r="L101" i="17" s="1"/>
  <c r="J101" i="17"/>
  <c r="E101" i="17"/>
  <c r="G101" i="17" s="1"/>
  <c r="N100" i="17"/>
  <c r="N105" i="17" s="1"/>
  <c r="K100" i="17"/>
  <c r="J100" i="17"/>
  <c r="J105" i="17" s="1"/>
  <c r="E100" i="17"/>
  <c r="F99" i="17"/>
  <c r="N98" i="17"/>
  <c r="K98" i="17"/>
  <c r="L98" i="17" s="1"/>
  <c r="J98" i="17"/>
  <c r="E98" i="17"/>
  <c r="G98" i="17" s="1"/>
  <c r="N97" i="17"/>
  <c r="K97" i="17"/>
  <c r="L97" i="17" s="1"/>
  <c r="J97" i="17"/>
  <c r="E97" i="17"/>
  <c r="G97" i="17" s="1"/>
  <c r="Q96" i="17"/>
  <c r="N96" i="17"/>
  <c r="K96" i="17"/>
  <c r="L96" i="17" s="1"/>
  <c r="J96" i="17"/>
  <c r="E96" i="17"/>
  <c r="G96" i="17" s="1"/>
  <c r="N95" i="17"/>
  <c r="K95" i="17"/>
  <c r="L95" i="17" s="1"/>
  <c r="J95" i="17"/>
  <c r="E95" i="17"/>
  <c r="G95" i="17" s="1"/>
  <c r="N94" i="17"/>
  <c r="N99" i="17" s="1"/>
  <c r="K94" i="17"/>
  <c r="J94" i="17"/>
  <c r="J99" i="17" s="1"/>
  <c r="E94" i="17"/>
  <c r="Q92" i="17"/>
  <c r="P90" i="17"/>
  <c r="F89" i="17"/>
  <c r="N88" i="17"/>
  <c r="K88" i="17"/>
  <c r="L88" i="17" s="1"/>
  <c r="J88" i="17"/>
  <c r="E88" i="17"/>
  <c r="G88" i="17" s="1"/>
  <c r="N87" i="17"/>
  <c r="K87" i="17"/>
  <c r="L87" i="17" s="1"/>
  <c r="J87" i="17"/>
  <c r="E87" i="17"/>
  <c r="G87" i="17" s="1"/>
  <c r="N86" i="17"/>
  <c r="N89" i="17" s="1"/>
  <c r="K86" i="17"/>
  <c r="J86" i="17"/>
  <c r="J89" i="17" s="1"/>
  <c r="E86" i="17"/>
  <c r="N84" i="17"/>
  <c r="K84" i="17"/>
  <c r="L84" i="17" s="1"/>
  <c r="J84" i="17"/>
  <c r="E84" i="17"/>
  <c r="G84" i="17" s="1"/>
  <c r="N83" i="17"/>
  <c r="K83" i="17"/>
  <c r="L83" i="17" s="1"/>
  <c r="J83" i="17"/>
  <c r="E83" i="17"/>
  <c r="G83" i="17" s="1"/>
  <c r="N82" i="17"/>
  <c r="K82" i="17"/>
  <c r="L82" i="17" s="1"/>
  <c r="J82" i="17"/>
  <c r="E82" i="17"/>
  <c r="G82" i="17" s="1"/>
  <c r="N81" i="17"/>
  <c r="N85" i="17" s="1"/>
  <c r="K81" i="17"/>
  <c r="L81" i="17" s="1"/>
  <c r="J81" i="17"/>
  <c r="E81" i="17"/>
  <c r="G81" i="17" s="1"/>
  <c r="F80" i="17"/>
  <c r="F85" i="17" s="1"/>
  <c r="N79" i="17"/>
  <c r="K79" i="17"/>
  <c r="L79" i="17" s="1"/>
  <c r="J79" i="17"/>
  <c r="E79" i="17"/>
  <c r="G79" i="17" s="1"/>
  <c r="N78" i="17"/>
  <c r="K78" i="17"/>
  <c r="L78" i="17" s="1"/>
  <c r="J78" i="17"/>
  <c r="E78" i="17"/>
  <c r="G78" i="17" s="1"/>
  <c r="N77" i="17"/>
  <c r="K77" i="17"/>
  <c r="L77" i="17" s="1"/>
  <c r="J77" i="17"/>
  <c r="E77" i="17"/>
  <c r="G77" i="17" s="1"/>
  <c r="N76" i="17"/>
  <c r="N80" i="17" s="1"/>
  <c r="K76" i="17"/>
  <c r="J76" i="17"/>
  <c r="E76" i="17"/>
  <c r="F75" i="17"/>
  <c r="N74" i="17"/>
  <c r="K74" i="17"/>
  <c r="L74" i="17" s="1"/>
  <c r="J74" i="17"/>
  <c r="E74" i="17"/>
  <c r="G74" i="17" s="1"/>
  <c r="N73" i="17"/>
  <c r="K73" i="17"/>
  <c r="L73" i="17" s="1"/>
  <c r="J73" i="17"/>
  <c r="E73" i="17"/>
  <c r="G73" i="17" s="1"/>
  <c r="N72" i="17"/>
  <c r="K72" i="17"/>
  <c r="L72" i="17" s="1"/>
  <c r="J72" i="17"/>
  <c r="E72" i="17"/>
  <c r="G72" i="17" s="1"/>
  <c r="N71" i="17"/>
  <c r="N75" i="17" s="1"/>
  <c r="K71" i="17"/>
  <c r="J71" i="17"/>
  <c r="J75" i="17" s="1"/>
  <c r="E71" i="17"/>
  <c r="F70" i="17"/>
  <c r="N69" i="17"/>
  <c r="K69" i="17"/>
  <c r="L69" i="17" s="1"/>
  <c r="J69" i="17"/>
  <c r="E69" i="17"/>
  <c r="G69" i="17" s="1"/>
  <c r="N68" i="17"/>
  <c r="K68" i="17"/>
  <c r="L68" i="17" s="1"/>
  <c r="J68" i="17"/>
  <c r="E68" i="17"/>
  <c r="G68" i="17" s="1"/>
  <c r="N67" i="17"/>
  <c r="N70" i="17" s="1"/>
  <c r="K67" i="17"/>
  <c r="J67" i="17"/>
  <c r="J70" i="17" s="1"/>
  <c r="E67" i="17"/>
  <c r="F66" i="17"/>
  <c r="N65" i="17"/>
  <c r="K65" i="17"/>
  <c r="L65" i="17" s="1"/>
  <c r="J65" i="17"/>
  <c r="E65" i="17"/>
  <c r="G65" i="17" s="1"/>
  <c r="N64" i="17"/>
  <c r="K64" i="17"/>
  <c r="L64" i="17" s="1"/>
  <c r="J64" i="17"/>
  <c r="E64" i="17"/>
  <c r="G64" i="17" s="1"/>
  <c r="N63" i="17"/>
  <c r="K63" i="17"/>
  <c r="L63" i="17" s="1"/>
  <c r="J63" i="17"/>
  <c r="E63" i="17"/>
  <c r="G63" i="17" s="1"/>
  <c r="N62" i="17"/>
  <c r="K62" i="17"/>
  <c r="J62" i="17"/>
  <c r="E62" i="17"/>
  <c r="G62" i="17" s="1"/>
  <c r="N61" i="17"/>
  <c r="J61" i="17"/>
  <c r="L61" i="17" s="1"/>
  <c r="E61" i="17"/>
  <c r="G61" i="17" s="1"/>
  <c r="N60" i="17"/>
  <c r="J60" i="17"/>
  <c r="L60" i="17" s="1"/>
  <c r="E60" i="17"/>
  <c r="G60" i="17" s="1"/>
  <c r="N59" i="17"/>
  <c r="N66" i="17" s="1"/>
  <c r="J59" i="17"/>
  <c r="E59" i="17"/>
  <c r="F58" i="17"/>
  <c r="N57" i="17"/>
  <c r="K57" i="17"/>
  <c r="L57" i="17" s="1"/>
  <c r="J57" i="17"/>
  <c r="E57" i="17"/>
  <c r="G57" i="17" s="1"/>
  <c r="P56" i="17"/>
  <c r="N56" i="17"/>
  <c r="K56" i="17"/>
  <c r="L56" i="17" s="1"/>
  <c r="J56" i="17"/>
  <c r="E56" i="17"/>
  <c r="G56" i="17" s="1"/>
  <c r="N55" i="17"/>
  <c r="K55" i="17"/>
  <c r="L55" i="17" s="1"/>
  <c r="J55" i="17"/>
  <c r="E55" i="17"/>
  <c r="G55" i="17" s="1"/>
  <c r="N54" i="17"/>
  <c r="K54" i="17"/>
  <c r="L54" i="17" s="1"/>
  <c r="J54" i="17"/>
  <c r="E54" i="17"/>
  <c r="G54" i="17" s="1"/>
  <c r="N53" i="17"/>
  <c r="K53" i="17"/>
  <c r="L53" i="17" s="1"/>
  <c r="J53" i="17"/>
  <c r="E53" i="17"/>
  <c r="G53" i="17" s="1"/>
  <c r="N52" i="17"/>
  <c r="K52" i="17"/>
  <c r="L52" i="17" s="1"/>
  <c r="J52" i="17"/>
  <c r="E52" i="17"/>
  <c r="G52" i="17" s="1"/>
  <c r="N51" i="17"/>
  <c r="N58" i="17" s="1"/>
  <c r="K51" i="17"/>
  <c r="J51" i="17"/>
  <c r="J58" i="17" s="1"/>
  <c r="E51" i="17"/>
  <c r="F50" i="17"/>
  <c r="N49" i="17"/>
  <c r="K49" i="17"/>
  <c r="L49" i="17" s="1"/>
  <c r="J49" i="17"/>
  <c r="E49" i="17"/>
  <c r="G49" i="17" s="1"/>
  <c r="N48" i="17"/>
  <c r="K48" i="17"/>
  <c r="L48" i="17" s="1"/>
  <c r="J48" i="17"/>
  <c r="E48" i="17"/>
  <c r="G48" i="17" s="1"/>
  <c r="N47" i="17"/>
  <c r="K47" i="17"/>
  <c r="L47" i="17" s="1"/>
  <c r="J47" i="17"/>
  <c r="E47" i="17"/>
  <c r="G47" i="17" s="1"/>
  <c r="N46" i="17"/>
  <c r="K46" i="17"/>
  <c r="L46" i="17" s="1"/>
  <c r="J46" i="17"/>
  <c r="E46" i="17"/>
  <c r="G46" i="17" s="1"/>
  <c r="N45" i="17"/>
  <c r="K45" i="17"/>
  <c r="L45" i="17" s="1"/>
  <c r="J45" i="17"/>
  <c r="E45" i="17"/>
  <c r="G45" i="17" s="1"/>
  <c r="N44" i="17"/>
  <c r="K44" i="17"/>
  <c r="L44" i="17" s="1"/>
  <c r="J44" i="17"/>
  <c r="E44" i="17"/>
  <c r="G44" i="17" s="1"/>
  <c r="N43" i="17"/>
  <c r="N50" i="17" s="1"/>
  <c r="K43" i="17"/>
  <c r="J43" i="17"/>
  <c r="J50" i="17" s="1"/>
  <c r="E43" i="17"/>
  <c r="F42" i="17"/>
  <c r="N41" i="17"/>
  <c r="K41" i="17"/>
  <c r="L41" i="17" s="1"/>
  <c r="J41" i="17"/>
  <c r="E41" i="17"/>
  <c r="G41" i="17" s="1"/>
  <c r="N40" i="17"/>
  <c r="K40" i="17"/>
  <c r="L40" i="17" s="1"/>
  <c r="J40" i="17"/>
  <c r="E40" i="17"/>
  <c r="G40" i="17" s="1"/>
  <c r="N39" i="17"/>
  <c r="K39" i="17"/>
  <c r="L39" i="17" s="1"/>
  <c r="J39" i="17"/>
  <c r="E39" i="17"/>
  <c r="G39" i="17" s="1"/>
  <c r="N38" i="17"/>
  <c r="K38" i="17"/>
  <c r="L38" i="17" s="1"/>
  <c r="J38" i="17"/>
  <c r="E38" i="17"/>
  <c r="G38" i="17" s="1"/>
  <c r="N37" i="17"/>
  <c r="K37" i="17"/>
  <c r="L37" i="17" s="1"/>
  <c r="J37" i="17"/>
  <c r="E37" i="17"/>
  <c r="G37" i="17" s="1"/>
  <c r="N36" i="17"/>
  <c r="K36" i="17"/>
  <c r="L36" i="17" s="1"/>
  <c r="J36" i="17"/>
  <c r="E36" i="17"/>
  <c r="G36" i="17" s="1"/>
  <c r="N35" i="17"/>
  <c r="N42" i="17" s="1"/>
  <c r="K35" i="17"/>
  <c r="J35" i="17"/>
  <c r="J42" i="17" s="1"/>
  <c r="E35" i="17"/>
  <c r="F34" i="17"/>
  <c r="N33" i="17"/>
  <c r="K33" i="17"/>
  <c r="L33" i="17" s="1"/>
  <c r="J33" i="17"/>
  <c r="E33" i="17"/>
  <c r="G33" i="17" s="1"/>
  <c r="N32" i="17"/>
  <c r="K32" i="17"/>
  <c r="L32" i="17" s="1"/>
  <c r="J32" i="17"/>
  <c r="E32" i="17"/>
  <c r="G32" i="17" s="1"/>
  <c r="N31" i="17"/>
  <c r="K31" i="17"/>
  <c r="L31" i="17" s="1"/>
  <c r="J31" i="17"/>
  <c r="E31" i="17"/>
  <c r="G31" i="17" s="1"/>
  <c r="N30" i="17"/>
  <c r="K30" i="17"/>
  <c r="L30" i="17" s="1"/>
  <c r="J30" i="17"/>
  <c r="E30" i="17"/>
  <c r="G30" i="17" s="1"/>
  <c r="N29" i="17"/>
  <c r="K29" i="17"/>
  <c r="L29" i="17" s="1"/>
  <c r="J29" i="17"/>
  <c r="E29" i="17"/>
  <c r="G29" i="17" s="1"/>
  <c r="N28" i="17"/>
  <c r="K28" i="17"/>
  <c r="L28" i="17" s="1"/>
  <c r="J28" i="17"/>
  <c r="E28" i="17"/>
  <c r="G28" i="17" s="1"/>
  <c r="N27" i="17"/>
  <c r="N34" i="17" s="1"/>
  <c r="K27" i="17"/>
  <c r="J27" i="17"/>
  <c r="J34" i="17" s="1"/>
  <c r="E27" i="17"/>
  <c r="F26" i="17"/>
  <c r="Q25" i="17"/>
  <c r="N25" i="17"/>
  <c r="K25" i="17"/>
  <c r="L25" i="17" s="1"/>
  <c r="J25" i="17"/>
  <c r="E25" i="17"/>
  <c r="G25" i="17" s="1"/>
  <c r="N24" i="17"/>
  <c r="K24" i="17"/>
  <c r="L24" i="17" s="1"/>
  <c r="J24" i="17"/>
  <c r="E24" i="17"/>
  <c r="G24" i="17" s="1"/>
  <c r="N23" i="17"/>
  <c r="K23" i="17"/>
  <c r="L23" i="17" s="1"/>
  <c r="J23" i="17"/>
  <c r="E23" i="17"/>
  <c r="G23" i="17" s="1"/>
  <c r="N22" i="17"/>
  <c r="K22" i="17"/>
  <c r="L22" i="17" s="1"/>
  <c r="J22" i="17"/>
  <c r="E22" i="17"/>
  <c r="G22" i="17" s="1"/>
  <c r="N21" i="17"/>
  <c r="K21" i="17"/>
  <c r="L21" i="17" s="1"/>
  <c r="J21" i="17"/>
  <c r="E21" i="17"/>
  <c r="G21" i="17" s="1"/>
  <c r="N20" i="17"/>
  <c r="K20" i="17"/>
  <c r="L20" i="17" s="1"/>
  <c r="J20" i="17"/>
  <c r="E20" i="17"/>
  <c r="G20" i="17" s="1"/>
  <c r="N19" i="17"/>
  <c r="N26" i="17" s="1"/>
  <c r="K19" i="17"/>
  <c r="J19" i="17"/>
  <c r="J26" i="17" s="1"/>
  <c r="E19" i="17"/>
  <c r="F18" i="17"/>
  <c r="N17" i="17"/>
  <c r="K17" i="17"/>
  <c r="L17" i="17" s="1"/>
  <c r="J17" i="17"/>
  <c r="E17" i="17"/>
  <c r="G17" i="17" s="1"/>
  <c r="N16" i="17"/>
  <c r="K16" i="17"/>
  <c r="L16" i="17" s="1"/>
  <c r="J16" i="17"/>
  <c r="E16" i="17"/>
  <c r="G16" i="17" s="1"/>
  <c r="N15" i="17"/>
  <c r="K15" i="17"/>
  <c r="L15" i="17" s="1"/>
  <c r="J15" i="17"/>
  <c r="E15" i="17"/>
  <c r="G15" i="17" s="1"/>
  <c r="N14" i="17"/>
  <c r="K14" i="17"/>
  <c r="L14" i="17" s="1"/>
  <c r="J14" i="17"/>
  <c r="E14" i="17"/>
  <c r="G14" i="17" s="1"/>
  <c r="N13" i="17"/>
  <c r="K13" i="17"/>
  <c r="L13" i="17" s="1"/>
  <c r="J13" i="17"/>
  <c r="E13" i="17"/>
  <c r="G13" i="17" s="1"/>
  <c r="N12" i="17"/>
  <c r="K12" i="17"/>
  <c r="L12" i="17" s="1"/>
  <c r="J12" i="17"/>
  <c r="E12" i="17"/>
  <c r="G12" i="17" s="1"/>
  <c r="N11" i="17"/>
  <c r="N18" i="17" s="1"/>
  <c r="K11" i="17"/>
  <c r="J11" i="17"/>
  <c r="J18" i="17" s="1"/>
  <c r="E11" i="17"/>
  <c r="F10" i="17"/>
  <c r="N9" i="17"/>
  <c r="K9" i="17"/>
  <c r="L9" i="17" s="1"/>
  <c r="J9" i="17"/>
  <c r="E9" i="17"/>
  <c r="G9" i="17" s="1"/>
  <c r="N8" i="17"/>
  <c r="K8" i="17"/>
  <c r="L8" i="17" s="1"/>
  <c r="J8" i="17"/>
  <c r="E8" i="17"/>
  <c r="G8" i="17" s="1"/>
  <c r="N7" i="17"/>
  <c r="K7" i="17"/>
  <c r="L7" i="17" s="1"/>
  <c r="J7" i="17"/>
  <c r="E7" i="17"/>
  <c r="G7" i="17" s="1"/>
  <c r="N6" i="17"/>
  <c r="K6" i="17"/>
  <c r="L6" i="17" s="1"/>
  <c r="J6" i="17"/>
  <c r="E6" i="17"/>
  <c r="G6" i="17" s="1"/>
  <c r="N5" i="17"/>
  <c r="K5" i="17"/>
  <c r="L5" i="17" s="1"/>
  <c r="J5" i="17"/>
  <c r="E5" i="17"/>
  <c r="G5" i="17" s="1"/>
  <c r="N4" i="17"/>
  <c r="K4" i="17"/>
  <c r="L4" i="17" s="1"/>
  <c r="J4" i="17"/>
  <c r="E4" i="17"/>
  <c r="G4" i="17" s="1"/>
  <c r="N3" i="17"/>
  <c r="N10" i="17" s="1"/>
  <c r="N90" i="17" s="1"/>
  <c r="K3" i="17"/>
  <c r="J3" i="17"/>
  <c r="J10" i="17" s="1"/>
  <c r="E3" i="17"/>
  <c r="F148" i="16"/>
  <c r="N147" i="16"/>
  <c r="K147" i="16"/>
  <c r="L147" i="16" s="1"/>
  <c r="J147" i="16"/>
  <c r="E147" i="16"/>
  <c r="G147" i="16" s="1"/>
  <c r="N146" i="16"/>
  <c r="N148" i="16" s="1"/>
  <c r="K146" i="16"/>
  <c r="L146" i="16" s="1"/>
  <c r="J146" i="16"/>
  <c r="E146" i="16"/>
  <c r="G146" i="16" s="1"/>
  <c r="K145" i="16"/>
  <c r="L145" i="16" s="1"/>
  <c r="J145" i="16"/>
  <c r="E145" i="16"/>
  <c r="G145" i="16" s="1"/>
  <c r="K144" i="16"/>
  <c r="L144" i="16" s="1"/>
  <c r="J144" i="16"/>
  <c r="E144" i="16"/>
  <c r="G144" i="16" s="1"/>
  <c r="K143" i="16"/>
  <c r="J143" i="16"/>
  <c r="J148" i="16" s="1"/>
  <c r="E143" i="16"/>
  <c r="F142" i="16"/>
  <c r="N141" i="16"/>
  <c r="N142" i="16" s="1"/>
  <c r="K141" i="16"/>
  <c r="L141" i="16" s="1"/>
  <c r="J141" i="16"/>
  <c r="E141" i="16"/>
  <c r="G141" i="16" s="1"/>
  <c r="K140" i="16"/>
  <c r="L140" i="16" s="1"/>
  <c r="J140" i="16"/>
  <c r="E140" i="16"/>
  <c r="G140" i="16" s="1"/>
  <c r="K139" i="16"/>
  <c r="L139" i="16" s="1"/>
  <c r="J139" i="16"/>
  <c r="E139" i="16"/>
  <c r="G139" i="16" s="1"/>
  <c r="K138" i="16"/>
  <c r="L138" i="16" s="1"/>
  <c r="J138" i="16"/>
  <c r="E138" i="16"/>
  <c r="G138" i="16" s="1"/>
  <c r="K137" i="16"/>
  <c r="L137" i="16" s="1"/>
  <c r="J137" i="16"/>
  <c r="E137" i="16"/>
  <c r="G137" i="16" s="1"/>
  <c r="K136" i="16"/>
  <c r="L136" i="16" s="1"/>
  <c r="J136" i="16"/>
  <c r="E136" i="16"/>
  <c r="G136" i="16" s="1"/>
  <c r="K135" i="16"/>
  <c r="L135" i="16" s="1"/>
  <c r="J135" i="16"/>
  <c r="E135" i="16"/>
  <c r="G135" i="16" s="1"/>
  <c r="K134" i="16"/>
  <c r="J134" i="16"/>
  <c r="J142" i="16" s="1"/>
  <c r="E134" i="16"/>
  <c r="F133" i="16"/>
  <c r="N132" i="16"/>
  <c r="K132" i="16"/>
  <c r="L132" i="16" s="1"/>
  <c r="J132" i="16"/>
  <c r="E132" i="16"/>
  <c r="G132" i="16" s="1"/>
  <c r="N131" i="16"/>
  <c r="N133" i="16" s="1"/>
  <c r="K131" i="16"/>
  <c r="L131" i="16" s="1"/>
  <c r="J131" i="16"/>
  <c r="E131" i="16"/>
  <c r="G131" i="16" s="1"/>
  <c r="K130" i="16"/>
  <c r="L130" i="16" s="1"/>
  <c r="J130" i="16"/>
  <c r="E130" i="16"/>
  <c r="G130" i="16" s="1"/>
  <c r="K129" i="16"/>
  <c r="L129" i="16" s="1"/>
  <c r="J129" i="16"/>
  <c r="E129" i="16"/>
  <c r="G129" i="16" s="1"/>
  <c r="K128" i="16"/>
  <c r="J128" i="16"/>
  <c r="J133" i="16" s="1"/>
  <c r="E128" i="16"/>
  <c r="F127" i="16"/>
  <c r="N126" i="16"/>
  <c r="K126" i="16"/>
  <c r="L126" i="16" s="1"/>
  <c r="J126" i="16"/>
  <c r="E126" i="16"/>
  <c r="G126" i="16" s="1"/>
  <c r="N125" i="16"/>
  <c r="K125" i="16"/>
  <c r="L125" i="16" s="1"/>
  <c r="J125" i="16"/>
  <c r="E125" i="16"/>
  <c r="G125" i="16" s="1"/>
  <c r="N124" i="16"/>
  <c r="N127" i="16" s="1"/>
  <c r="K124" i="16"/>
  <c r="L124" i="16" s="1"/>
  <c r="J124" i="16"/>
  <c r="E124" i="16"/>
  <c r="G124" i="16" s="1"/>
  <c r="K123" i="16"/>
  <c r="L123" i="16" s="1"/>
  <c r="J123" i="16"/>
  <c r="E123" i="16"/>
  <c r="G123" i="16" s="1"/>
  <c r="K122" i="16"/>
  <c r="J122" i="16"/>
  <c r="J127" i="16" s="1"/>
  <c r="E122" i="16"/>
  <c r="F121" i="16"/>
  <c r="N120" i="16"/>
  <c r="K120" i="16"/>
  <c r="L120" i="16" s="1"/>
  <c r="J120" i="16"/>
  <c r="E120" i="16"/>
  <c r="G120" i="16" s="1"/>
  <c r="N119" i="16"/>
  <c r="K119" i="16"/>
  <c r="L119" i="16" s="1"/>
  <c r="J119" i="16"/>
  <c r="E119" i="16"/>
  <c r="G119" i="16" s="1"/>
  <c r="N118" i="16"/>
  <c r="N121" i="16" s="1"/>
  <c r="K118" i="16"/>
  <c r="L118" i="16" s="1"/>
  <c r="J118" i="16"/>
  <c r="E118" i="16"/>
  <c r="G118" i="16" s="1"/>
  <c r="K117" i="16"/>
  <c r="L117" i="16" s="1"/>
  <c r="J117" i="16"/>
  <c r="E117" i="16"/>
  <c r="G117" i="16" s="1"/>
  <c r="K116" i="16"/>
  <c r="J116" i="16"/>
  <c r="J121" i="16" s="1"/>
  <c r="E116" i="16"/>
  <c r="F115" i="16"/>
  <c r="N114" i="16"/>
  <c r="K114" i="16"/>
  <c r="L114" i="16" s="1"/>
  <c r="J114" i="16"/>
  <c r="E114" i="16"/>
  <c r="G114" i="16" s="1"/>
  <c r="N113" i="16"/>
  <c r="K113" i="16"/>
  <c r="L113" i="16" s="1"/>
  <c r="J113" i="16"/>
  <c r="E113" i="16"/>
  <c r="G113" i="16" s="1"/>
  <c r="N112" i="16"/>
  <c r="K112" i="16"/>
  <c r="L112" i="16" s="1"/>
  <c r="J112" i="16"/>
  <c r="E112" i="16"/>
  <c r="G112" i="16" s="1"/>
  <c r="N111" i="16"/>
  <c r="N115" i="16" s="1"/>
  <c r="K111" i="16"/>
  <c r="L111" i="16" s="1"/>
  <c r="J111" i="16"/>
  <c r="E111" i="16"/>
  <c r="G111" i="16" s="1"/>
  <c r="K110" i="16"/>
  <c r="J110" i="16"/>
  <c r="J115" i="16" s="1"/>
  <c r="E110" i="16"/>
  <c r="F109" i="16"/>
  <c r="N108" i="16"/>
  <c r="K108" i="16"/>
  <c r="L108" i="16" s="1"/>
  <c r="J108" i="16"/>
  <c r="E108" i="16"/>
  <c r="G108" i="16" s="1"/>
  <c r="N107" i="16"/>
  <c r="K107" i="16"/>
  <c r="L107" i="16" s="1"/>
  <c r="J107" i="16"/>
  <c r="E107" i="16"/>
  <c r="G107" i="16" s="1"/>
  <c r="N106" i="16"/>
  <c r="K106" i="16"/>
  <c r="L106" i="16" s="1"/>
  <c r="J106" i="16"/>
  <c r="E106" i="16"/>
  <c r="G106" i="16" s="1"/>
  <c r="N105" i="16"/>
  <c r="N109" i="16" s="1"/>
  <c r="K105" i="16"/>
  <c r="L105" i="16" s="1"/>
  <c r="J105" i="16"/>
  <c r="E105" i="16"/>
  <c r="G105" i="16" s="1"/>
  <c r="K104" i="16"/>
  <c r="J104" i="16"/>
  <c r="J109" i="16" s="1"/>
  <c r="E104" i="16"/>
  <c r="F103" i="16"/>
  <c r="N102" i="16"/>
  <c r="K102" i="16"/>
  <c r="L102" i="16" s="1"/>
  <c r="J102" i="16"/>
  <c r="E102" i="16"/>
  <c r="G102" i="16" s="1"/>
  <c r="N101" i="16"/>
  <c r="K101" i="16"/>
  <c r="L101" i="16" s="1"/>
  <c r="J101" i="16"/>
  <c r="E101" i="16"/>
  <c r="G101" i="16" s="1"/>
  <c r="N100" i="16"/>
  <c r="K100" i="16"/>
  <c r="L100" i="16" s="1"/>
  <c r="J100" i="16"/>
  <c r="E100" i="16"/>
  <c r="G100" i="16" s="1"/>
  <c r="N99" i="16"/>
  <c r="K99" i="16"/>
  <c r="L99" i="16" s="1"/>
  <c r="J99" i="16"/>
  <c r="E99" i="16"/>
  <c r="G99" i="16" s="1"/>
  <c r="K98" i="16"/>
  <c r="J98" i="16"/>
  <c r="J103" i="16" s="1"/>
  <c r="E98" i="16"/>
  <c r="F93" i="16"/>
  <c r="N92" i="16"/>
  <c r="K92" i="16"/>
  <c r="L92" i="16" s="1"/>
  <c r="J92" i="16"/>
  <c r="E92" i="16"/>
  <c r="G92" i="16" s="1"/>
  <c r="N91" i="16"/>
  <c r="K91" i="16"/>
  <c r="L91" i="16" s="1"/>
  <c r="J91" i="16"/>
  <c r="E91" i="16"/>
  <c r="G91" i="16" s="1"/>
  <c r="N90" i="16"/>
  <c r="K90" i="16"/>
  <c r="L90" i="16" s="1"/>
  <c r="J90" i="16"/>
  <c r="E90" i="16"/>
  <c r="G90" i="16" s="1"/>
  <c r="N89" i="16"/>
  <c r="K89" i="16"/>
  <c r="L89" i="16" s="1"/>
  <c r="J89" i="16"/>
  <c r="E89" i="16"/>
  <c r="G89" i="16" s="1"/>
  <c r="N88" i="16"/>
  <c r="K88" i="16"/>
  <c r="L88" i="16" s="1"/>
  <c r="J88" i="16"/>
  <c r="E88" i="16"/>
  <c r="G88" i="16" s="1"/>
  <c r="N87" i="16"/>
  <c r="K87" i="16"/>
  <c r="L87" i="16" s="1"/>
  <c r="J87" i="16"/>
  <c r="E87" i="16"/>
  <c r="G87" i="16" s="1"/>
  <c r="N86" i="16"/>
  <c r="K86" i="16"/>
  <c r="L86" i="16" s="1"/>
  <c r="J86" i="16"/>
  <c r="E86" i="16"/>
  <c r="G86" i="16" s="1"/>
  <c r="N85" i="16"/>
  <c r="N93" i="16" s="1"/>
  <c r="K85" i="16"/>
  <c r="J85" i="16"/>
  <c r="J93" i="16" s="1"/>
  <c r="E85" i="16"/>
  <c r="F84" i="16"/>
  <c r="N83" i="16"/>
  <c r="K83" i="16"/>
  <c r="L83" i="16" s="1"/>
  <c r="J83" i="16"/>
  <c r="E83" i="16"/>
  <c r="G83" i="16" s="1"/>
  <c r="N82" i="16"/>
  <c r="K82" i="16"/>
  <c r="L82" i="16" s="1"/>
  <c r="J82" i="16"/>
  <c r="E82" i="16"/>
  <c r="G82" i="16" s="1"/>
  <c r="N81" i="16"/>
  <c r="K81" i="16"/>
  <c r="L81" i="16" s="1"/>
  <c r="J81" i="16"/>
  <c r="E81" i="16"/>
  <c r="G81" i="16" s="1"/>
  <c r="N80" i="16"/>
  <c r="K80" i="16"/>
  <c r="L80" i="16" s="1"/>
  <c r="J80" i="16"/>
  <c r="E80" i="16"/>
  <c r="G80" i="16" s="1"/>
  <c r="R79" i="16"/>
  <c r="N79" i="16"/>
  <c r="N84" i="16" s="1"/>
  <c r="K79" i="16"/>
  <c r="J79" i="16"/>
  <c r="J84" i="16" s="1"/>
  <c r="E79" i="16"/>
  <c r="N77" i="16"/>
  <c r="K77" i="16"/>
  <c r="L77" i="16" s="1"/>
  <c r="J77" i="16"/>
  <c r="E77" i="16"/>
  <c r="G77" i="16" s="1"/>
  <c r="N76" i="16"/>
  <c r="K76" i="16"/>
  <c r="L76" i="16" s="1"/>
  <c r="J76" i="16"/>
  <c r="E76" i="16"/>
  <c r="G76" i="16" s="1"/>
  <c r="N75" i="16"/>
  <c r="K75" i="16"/>
  <c r="L75" i="16" s="1"/>
  <c r="J75" i="16"/>
  <c r="E75" i="16"/>
  <c r="G75" i="16" s="1"/>
  <c r="N74" i="16"/>
  <c r="N78" i="16" s="1"/>
  <c r="K74" i="16"/>
  <c r="L74" i="16" s="1"/>
  <c r="J74" i="16"/>
  <c r="E74" i="16"/>
  <c r="G74" i="16" s="1"/>
  <c r="F73" i="16"/>
  <c r="F78" i="16" s="1"/>
  <c r="N72" i="16"/>
  <c r="K72" i="16"/>
  <c r="L72" i="16" s="1"/>
  <c r="J72" i="16"/>
  <c r="E72" i="16"/>
  <c r="G72" i="16" s="1"/>
  <c r="N71" i="16"/>
  <c r="K71" i="16"/>
  <c r="L71" i="16" s="1"/>
  <c r="J71" i="16"/>
  <c r="E71" i="16"/>
  <c r="G71" i="16" s="1"/>
  <c r="N70" i="16"/>
  <c r="K70" i="16"/>
  <c r="L70" i="16" s="1"/>
  <c r="J70" i="16"/>
  <c r="E70" i="16"/>
  <c r="G70" i="16" s="1"/>
  <c r="N69" i="16"/>
  <c r="N73" i="16" s="1"/>
  <c r="K69" i="16"/>
  <c r="J69" i="16"/>
  <c r="E69" i="16"/>
  <c r="F68" i="16"/>
  <c r="N67" i="16"/>
  <c r="K67" i="16"/>
  <c r="L67" i="16" s="1"/>
  <c r="J67" i="16"/>
  <c r="E67" i="16"/>
  <c r="G67" i="16" s="1"/>
  <c r="N66" i="16"/>
  <c r="K66" i="16"/>
  <c r="L66" i="16" s="1"/>
  <c r="J66" i="16"/>
  <c r="E66" i="16"/>
  <c r="G66" i="16" s="1"/>
  <c r="N65" i="16"/>
  <c r="K65" i="16"/>
  <c r="L65" i="16" s="1"/>
  <c r="J65" i="16"/>
  <c r="E65" i="16"/>
  <c r="G65" i="16" s="1"/>
  <c r="N64" i="16"/>
  <c r="K64" i="16"/>
  <c r="L64" i="16" s="1"/>
  <c r="J64" i="16"/>
  <c r="E64" i="16"/>
  <c r="G64" i="16" s="1"/>
  <c r="N63" i="16"/>
  <c r="N68" i="16" s="1"/>
  <c r="K63" i="16"/>
  <c r="J63" i="16"/>
  <c r="J68" i="16" s="1"/>
  <c r="E63" i="16"/>
  <c r="F62" i="16"/>
  <c r="N61" i="16"/>
  <c r="K61" i="16"/>
  <c r="L61" i="16" s="1"/>
  <c r="J61" i="16"/>
  <c r="E61" i="16"/>
  <c r="G61" i="16" s="1"/>
  <c r="N60" i="16"/>
  <c r="K60" i="16"/>
  <c r="L60" i="16" s="1"/>
  <c r="J60" i="16"/>
  <c r="E60" i="16"/>
  <c r="G60" i="16" s="1"/>
  <c r="N59" i="16"/>
  <c r="K59" i="16"/>
  <c r="L59" i="16" s="1"/>
  <c r="J59" i="16"/>
  <c r="E59" i="16"/>
  <c r="G59" i="16" s="1"/>
  <c r="N58" i="16"/>
  <c r="N62" i="16" s="1"/>
  <c r="K58" i="16"/>
  <c r="J58" i="16"/>
  <c r="J62" i="16" s="1"/>
  <c r="E58" i="16"/>
  <c r="F57" i="16"/>
  <c r="N56" i="16"/>
  <c r="K56" i="16"/>
  <c r="L56" i="16" s="1"/>
  <c r="J56" i="16"/>
  <c r="E56" i="16"/>
  <c r="G56" i="16" s="1"/>
  <c r="N55" i="16"/>
  <c r="J55" i="16"/>
  <c r="L55" i="16" s="1"/>
  <c r="E55" i="16"/>
  <c r="G55" i="16" s="1"/>
  <c r="N54" i="16"/>
  <c r="N57" i="16" s="1"/>
  <c r="K54" i="16"/>
  <c r="J54" i="16"/>
  <c r="J57" i="16" s="1"/>
  <c r="E54" i="16"/>
  <c r="F53" i="16"/>
  <c r="N52" i="16"/>
  <c r="K52" i="16"/>
  <c r="L52" i="16" s="1"/>
  <c r="J52" i="16"/>
  <c r="E52" i="16"/>
  <c r="G52" i="16" s="1"/>
  <c r="N51" i="16"/>
  <c r="K51" i="16"/>
  <c r="L51" i="16" s="1"/>
  <c r="J51" i="16"/>
  <c r="E51" i="16"/>
  <c r="G51" i="16" s="1"/>
  <c r="N50" i="16"/>
  <c r="K50" i="16"/>
  <c r="L50" i="16" s="1"/>
  <c r="J50" i="16"/>
  <c r="E50" i="16"/>
  <c r="G50" i="16" s="1"/>
  <c r="N49" i="16"/>
  <c r="K49" i="16"/>
  <c r="L49" i="16" s="1"/>
  <c r="J49" i="16"/>
  <c r="E49" i="16"/>
  <c r="G49" i="16" s="1"/>
  <c r="N48" i="16"/>
  <c r="K48" i="16"/>
  <c r="L48" i="16" s="1"/>
  <c r="J48" i="16"/>
  <c r="E48" i="16"/>
  <c r="G48" i="16" s="1"/>
  <c r="N47" i="16"/>
  <c r="N53" i="16" s="1"/>
  <c r="K47" i="16"/>
  <c r="J47" i="16"/>
  <c r="J53" i="16" s="1"/>
  <c r="E47" i="16"/>
  <c r="F46" i="16"/>
  <c r="N45" i="16"/>
  <c r="K45" i="16"/>
  <c r="L45" i="16" s="1"/>
  <c r="J45" i="16"/>
  <c r="E45" i="16"/>
  <c r="G45" i="16" s="1"/>
  <c r="N44" i="16"/>
  <c r="K44" i="16"/>
  <c r="L44" i="16" s="1"/>
  <c r="J44" i="16"/>
  <c r="E44" i="16"/>
  <c r="G44" i="16" s="1"/>
  <c r="N43" i="16"/>
  <c r="K43" i="16"/>
  <c r="L43" i="16" s="1"/>
  <c r="J43" i="16"/>
  <c r="E43" i="16"/>
  <c r="G43" i="16" s="1"/>
  <c r="N42" i="16"/>
  <c r="K42" i="16"/>
  <c r="L42" i="16" s="1"/>
  <c r="J42" i="16"/>
  <c r="E42" i="16"/>
  <c r="G42" i="16" s="1"/>
  <c r="N41" i="16"/>
  <c r="K41" i="16"/>
  <c r="L41" i="16" s="1"/>
  <c r="J41" i="16"/>
  <c r="E41" i="16"/>
  <c r="G41" i="16" s="1"/>
  <c r="N40" i="16"/>
  <c r="N46" i="16" s="1"/>
  <c r="K40" i="16"/>
  <c r="J40" i="16"/>
  <c r="J46" i="16" s="1"/>
  <c r="E40" i="16"/>
  <c r="F39" i="16"/>
  <c r="N38" i="16"/>
  <c r="K38" i="16"/>
  <c r="L38" i="16" s="1"/>
  <c r="J38" i="16"/>
  <c r="E38" i="16"/>
  <c r="G38" i="16" s="1"/>
  <c r="N37" i="16"/>
  <c r="K37" i="16"/>
  <c r="L37" i="16" s="1"/>
  <c r="J37" i="16"/>
  <c r="E37" i="16"/>
  <c r="G37" i="16" s="1"/>
  <c r="N36" i="16"/>
  <c r="K36" i="16"/>
  <c r="L36" i="16" s="1"/>
  <c r="J36" i="16"/>
  <c r="E36" i="16"/>
  <c r="G36" i="16" s="1"/>
  <c r="N35" i="16"/>
  <c r="K35" i="16"/>
  <c r="L35" i="16" s="1"/>
  <c r="J35" i="16"/>
  <c r="E35" i="16"/>
  <c r="G35" i="16" s="1"/>
  <c r="N34" i="16"/>
  <c r="K34" i="16"/>
  <c r="L34" i="16" s="1"/>
  <c r="J34" i="16"/>
  <c r="E34" i="16"/>
  <c r="G34" i="16" s="1"/>
  <c r="N33" i="16"/>
  <c r="K33" i="16"/>
  <c r="L33" i="16" s="1"/>
  <c r="J33" i="16"/>
  <c r="E33" i="16"/>
  <c r="G33" i="16" s="1"/>
  <c r="N32" i="16"/>
  <c r="N39" i="16" s="1"/>
  <c r="K32" i="16"/>
  <c r="J32" i="16"/>
  <c r="J39" i="16" s="1"/>
  <c r="E32" i="16"/>
  <c r="F31" i="16"/>
  <c r="N30" i="16"/>
  <c r="K30" i="16"/>
  <c r="L30" i="16" s="1"/>
  <c r="J30" i="16"/>
  <c r="E30" i="16"/>
  <c r="G30" i="16" s="1"/>
  <c r="N29" i="16"/>
  <c r="K29" i="16"/>
  <c r="L29" i="16" s="1"/>
  <c r="J29" i="16"/>
  <c r="E29" i="16"/>
  <c r="G29" i="16" s="1"/>
  <c r="N28" i="16"/>
  <c r="K28" i="16"/>
  <c r="L28" i="16" s="1"/>
  <c r="J28" i="16"/>
  <c r="E28" i="16"/>
  <c r="G28" i="16" s="1"/>
  <c r="N27" i="16"/>
  <c r="K27" i="16"/>
  <c r="L27" i="16" s="1"/>
  <c r="J27" i="16"/>
  <c r="E27" i="16"/>
  <c r="G27" i="16" s="1"/>
  <c r="N26" i="16"/>
  <c r="K26" i="16"/>
  <c r="L26" i="16" s="1"/>
  <c r="J26" i="16"/>
  <c r="E26" i="16"/>
  <c r="G26" i="16" s="1"/>
  <c r="N25" i="16"/>
  <c r="N31" i="16" s="1"/>
  <c r="K25" i="16"/>
  <c r="J25" i="16"/>
  <c r="J31" i="16" s="1"/>
  <c r="E25" i="16"/>
  <c r="F24" i="16"/>
  <c r="N23" i="16"/>
  <c r="K23" i="16"/>
  <c r="L23" i="16" s="1"/>
  <c r="J23" i="16"/>
  <c r="E23" i="16"/>
  <c r="G23" i="16" s="1"/>
  <c r="N22" i="16"/>
  <c r="K22" i="16"/>
  <c r="L22" i="16" s="1"/>
  <c r="J22" i="16"/>
  <c r="E22" i="16"/>
  <c r="G22" i="16" s="1"/>
  <c r="N21" i="16"/>
  <c r="K21" i="16"/>
  <c r="L21" i="16" s="1"/>
  <c r="J21" i="16"/>
  <c r="E21" i="16"/>
  <c r="G21" i="16" s="1"/>
  <c r="N20" i="16"/>
  <c r="K20" i="16"/>
  <c r="L20" i="16" s="1"/>
  <c r="J20" i="16"/>
  <c r="E20" i="16"/>
  <c r="G20" i="16" s="1"/>
  <c r="N19" i="16"/>
  <c r="K19" i="16"/>
  <c r="L19" i="16" s="1"/>
  <c r="J19" i="16"/>
  <c r="E19" i="16"/>
  <c r="G19" i="16" s="1"/>
  <c r="N18" i="16"/>
  <c r="K18" i="16"/>
  <c r="L18" i="16" s="1"/>
  <c r="J18" i="16"/>
  <c r="E18" i="16"/>
  <c r="G18" i="16" s="1"/>
  <c r="N17" i="16"/>
  <c r="K17" i="16"/>
  <c r="L17" i="16" s="1"/>
  <c r="J17" i="16"/>
  <c r="E17" i="16"/>
  <c r="G17" i="16" s="1"/>
  <c r="N16" i="16"/>
  <c r="N24" i="16" s="1"/>
  <c r="K16" i="16"/>
  <c r="J16" i="16"/>
  <c r="J24" i="16" s="1"/>
  <c r="E16" i="16"/>
  <c r="F15" i="16"/>
  <c r="N14" i="16"/>
  <c r="K14" i="16"/>
  <c r="L14" i="16" s="1"/>
  <c r="J14" i="16"/>
  <c r="E14" i="16"/>
  <c r="G14" i="16" s="1"/>
  <c r="N13" i="16"/>
  <c r="K13" i="16"/>
  <c r="L13" i="16" s="1"/>
  <c r="J13" i="16"/>
  <c r="E13" i="16"/>
  <c r="G13" i="16" s="1"/>
  <c r="N12" i="16"/>
  <c r="K12" i="16"/>
  <c r="L12" i="16" s="1"/>
  <c r="J12" i="16"/>
  <c r="E12" i="16"/>
  <c r="G12" i="16" s="1"/>
  <c r="N11" i="16"/>
  <c r="K11" i="16"/>
  <c r="L11" i="16" s="1"/>
  <c r="J11" i="16"/>
  <c r="E11" i="16"/>
  <c r="G11" i="16" s="1"/>
  <c r="N10" i="16"/>
  <c r="N15" i="16" s="1"/>
  <c r="K10" i="16"/>
  <c r="J10" i="16"/>
  <c r="J15" i="16" s="1"/>
  <c r="E10" i="16"/>
  <c r="F9" i="16"/>
  <c r="N8" i="16"/>
  <c r="K8" i="16"/>
  <c r="L8" i="16" s="1"/>
  <c r="J8" i="16"/>
  <c r="E8" i="16"/>
  <c r="G8" i="16" s="1"/>
  <c r="N7" i="16"/>
  <c r="K7" i="16"/>
  <c r="L7" i="16" s="1"/>
  <c r="J7" i="16"/>
  <c r="E7" i="16"/>
  <c r="G7" i="16" s="1"/>
  <c r="N6" i="16"/>
  <c r="K6" i="16"/>
  <c r="L6" i="16" s="1"/>
  <c r="J6" i="16"/>
  <c r="E6" i="16"/>
  <c r="G6" i="16" s="1"/>
  <c r="N5" i="16"/>
  <c r="K5" i="16"/>
  <c r="L5" i="16" s="1"/>
  <c r="J5" i="16"/>
  <c r="E5" i="16"/>
  <c r="G5" i="16" s="1"/>
  <c r="N4" i="16"/>
  <c r="K4" i="16"/>
  <c r="L4" i="16" s="1"/>
  <c r="J4" i="16"/>
  <c r="E4" i="16"/>
  <c r="G4" i="16" s="1"/>
  <c r="N3" i="16"/>
  <c r="N9" i="16" s="1"/>
  <c r="N94" i="16" s="1"/>
  <c r="K3" i="16"/>
  <c r="J3" i="16"/>
  <c r="J9" i="16" s="1"/>
  <c r="E3" i="16"/>
  <c r="F170" i="15"/>
  <c r="N169" i="15"/>
  <c r="K169" i="15"/>
  <c r="L169" i="15" s="1"/>
  <c r="J169" i="15"/>
  <c r="E169" i="15"/>
  <c r="G169" i="15" s="1"/>
  <c r="N168" i="15"/>
  <c r="N170" i="15" s="1"/>
  <c r="K168" i="15"/>
  <c r="L168" i="15" s="1"/>
  <c r="J168" i="15"/>
  <c r="E168" i="15"/>
  <c r="G168" i="15" s="1"/>
  <c r="K167" i="15"/>
  <c r="L167" i="15" s="1"/>
  <c r="J167" i="15"/>
  <c r="E167" i="15"/>
  <c r="G167" i="15" s="1"/>
  <c r="K166" i="15"/>
  <c r="L166" i="15" s="1"/>
  <c r="J166" i="15"/>
  <c r="E166" i="15"/>
  <c r="G166" i="15" s="1"/>
  <c r="K165" i="15"/>
  <c r="J165" i="15"/>
  <c r="J170" i="15" s="1"/>
  <c r="E165" i="15"/>
  <c r="N164" i="15"/>
  <c r="F164" i="15"/>
  <c r="K163" i="15"/>
  <c r="L163" i="15" s="1"/>
  <c r="J163" i="15"/>
  <c r="E163" i="15"/>
  <c r="G163" i="15" s="1"/>
  <c r="K161" i="15"/>
  <c r="L161" i="15" s="1"/>
  <c r="J161" i="15"/>
  <c r="E161" i="15"/>
  <c r="G161" i="15" s="1"/>
  <c r="K160" i="15"/>
  <c r="L160" i="15" s="1"/>
  <c r="J160" i="15"/>
  <c r="E160" i="15"/>
  <c r="G160" i="15" s="1"/>
  <c r="K159" i="15"/>
  <c r="L159" i="15" s="1"/>
  <c r="J159" i="15"/>
  <c r="E159" i="15"/>
  <c r="G159" i="15" s="1"/>
  <c r="K158" i="15"/>
  <c r="L158" i="15" s="1"/>
  <c r="J158" i="15"/>
  <c r="E158" i="15"/>
  <c r="G158" i="15" s="1"/>
  <c r="K157" i="15"/>
  <c r="L157" i="15" s="1"/>
  <c r="J157" i="15"/>
  <c r="E157" i="15"/>
  <c r="G157" i="15" s="1"/>
  <c r="K156" i="15"/>
  <c r="J156" i="15"/>
  <c r="J164" i="15" s="1"/>
  <c r="E156" i="15"/>
  <c r="F155" i="15"/>
  <c r="N154" i="15"/>
  <c r="K154" i="15"/>
  <c r="L154" i="15" s="1"/>
  <c r="J154" i="15"/>
  <c r="E154" i="15"/>
  <c r="G154" i="15" s="1"/>
  <c r="N153" i="15"/>
  <c r="N155" i="15" s="1"/>
  <c r="K153" i="15"/>
  <c r="L153" i="15" s="1"/>
  <c r="J153" i="15"/>
  <c r="E153" i="15"/>
  <c r="G153" i="15" s="1"/>
  <c r="K152" i="15"/>
  <c r="L152" i="15" s="1"/>
  <c r="J152" i="15"/>
  <c r="E152" i="15"/>
  <c r="G152" i="15" s="1"/>
  <c r="K151" i="15"/>
  <c r="L151" i="15" s="1"/>
  <c r="J151" i="15"/>
  <c r="E151" i="15"/>
  <c r="G151" i="15" s="1"/>
  <c r="K150" i="15"/>
  <c r="J150" i="15"/>
  <c r="J155" i="15" s="1"/>
  <c r="E150" i="15"/>
  <c r="F149" i="15"/>
  <c r="N148" i="15"/>
  <c r="K148" i="15"/>
  <c r="L148" i="15" s="1"/>
  <c r="J148" i="15"/>
  <c r="E148" i="15"/>
  <c r="G148" i="15" s="1"/>
  <c r="N147" i="15"/>
  <c r="K147" i="15"/>
  <c r="L147" i="15" s="1"/>
  <c r="J147" i="15"/>
  <c r="E147" i="15"/>
  <c r="G147" i="15" s="1"/>
  <c r="N146" i="15"/>
  <c r="K146" i="15"/>
  <c r="L146" i="15" s="1"/>
  <c r="J146" i="15"/>
  <c r="E146" i="15"/>
  <c r="G146" i="15" s="1"/>
  <c r="N145" i="15"/>
  <c r="K145" i="15"/>
  <c r="L145" i="15" s="1"/>
  <c r="J145" i="15"/>
  <c r="E145" i="15"/>
  <c r="G145" i="15" s="1"/>
  <c r="N144" i="15"/>
  <c r="N149" i="15" s="1"/>
  <c r="K144" i="15"/>
  <c r="J144" i="15"/>
  <c r="J149" i="15" s="1"/>
  <c r="E144" i="15"/>
  <c r="F143" i="15"/>
  <c r="F171" i="15" s="1"/>
  <c r="N142" i="15"/>
  <c r="K142" i="15"/>
  <c r="L142" i="15" s="1"/>
  <c r="J142" i="15"/>
  <c r="E142" i="15"/>
  <c r="G142" i="15" s="1"/>
  <c r="N141" i="15"/>
  <c r="K141" i="15"/>
  <c r="L141" i="15" s="1"/>
  <c r="J141" i="15"/>
  <c r="E141" i="15"/>
  <c r="N140" i="15"/>
  <c r="N143" i="15" s="1"/>
  <c r="K140" i="15"/>
  <c r="J140" i="15"/>
  <c r="J143" i="15" s="1"/>
  <c r="E140" i="15"/>
  <c r="G140" i="15" s="1"/>
  <c r="P139" i="15"/>
  <c r="N139" i="15"/>
  <c r="J139" i="15"/>
  <c r="L139" i="15" s="1"/>
  <c r="E139" i="15"/>
  <c r="G139" i="15" s="1"/>
  <c r="N138" i="15"/>
  <c r="J138" i="15"/>
  <c r="L138" i="15" s="1"/>
  <c r="L143" i="15" s="1"/>
  <c r="E138" i="15"/>
  <c r="G138" i="15" s="1"/>
  <c r="G143" i="15" s="1"/>
  <c r="F137" i="15"/>
  <c r="N136" i="15"/>
  <c r="K136" i="15"/>
  <c r="L136" i="15" s="1"/>
  <c r="J136" i="15"/>
  <c r="E136" i="15"/>
  <c r="G136" i="15" s="1"/>
  <c r="N135" i="15"/>
  <c r="K135" i="15"/>
  <c r="L135" i="15" s="1"/>
  <c r="J135" i="15"/>
  <c r="E135" i="15"/>
  <c r="G135" i="15" s="1"/>
  <c r="N134" i="15"/>
  <c r="K134" i="15"/>
  <c r="L134" i="15" s="1"/>
  <c r="J134" i="15"/>
  <c r="E134" i="15"/>
  <c r="G134" i="15" s="1"/>
  <c r="N133" i="15"/>
  <c r="K133" i="15"/>
  <c r="L133" i="15" s="1"/>
  <c r="J133" i="15"/>
  <c r="E133" i="15"/>
  <c r="G133" i="15" s="1"/>
  <c r="N132" i="15"/>
  <c r="N137" i="15" s="1"/>
  <c r="K132" i="15"/>
  <c r="J132" i="15"/>
  <c r="J137" i="15" s="1"/>
  <c r="E132" i="15"/>
  <c r="F131" i="15"/>
  <c r="N130" i="15"/>
  <c r="K130" i="15"/>
  <c r="L130" i="15" s="1"/>
  <c r="J130" i="15"/>
  <c r="E130" i="15"/>
  <c r="G130" i="15" s="1"/>
  <c r="N129" i="15"/>
  <c r="K129" i="15"/>
  <c r="L129" i="15" s="1"/>
  <c r="J129" i="15"/>
  <c r="E129" i="15"/>
  <c r="G129" i="15" s="1"/>
  <c r="N128" i="15"/>
  <c r="K128" i="15"/>
  <c r="L128" i="15" s="1"/>
  <c r="J128" i="15"/>
  <c r="E128" i="15"/>
  <c r="G128" i="15" s="1"/>
  <c r="K127" i="15"/>
  <c r="J127" i="15"/>
  <c r="E127" i="15"/>
  <c r="G127" i="15" s="1"/>
  <c r="N126" i="15"/>
  <c r="N131" i="15" s="1"/>
  <c r="J126" i="15"/>
  <c r="E126" i="15"/>
  <c r="F125" i="15"/>
  <c r="N124" i="15"/>
  <c r="K124" i="15"/>
  <c r="L124" i="15" s="1"/>
  <c r="J124" i="15"/>
  <c r="E124" i="15"/>
  <c r="G124" i="15" s="1"/>
  <c r="N123" i="15"/>
  <c r="K123" i="15"/>
  <c r="L123" i="15" s="1"/>
  <c r="J123" i="15"/>
  <c r="E123" i="15"/>
  <c r="G123" i="15" s="1"/>
  <c r="N122" i="15"/>
  <c r="K122" i="15"/>
  <c r="L122" i="15" s="1"/>
  <c r="J122" i="15"/>
  <c r="E122" i="15"/>
  <c r="G122" i="15" s="1"/>
  <c r="K121" i="15"/>
  <c r="J121" i="15"/>
  <c r="J125" i="15" s="1"/>
  <c r="E121" i="15"/>
  <c r="L120" i="15"/>
  <c r="L125" i="15" s="1"/>
  <c r="F115" i="15"/>
  <c r="N114" i="15"/>
  <c r="J114" i="15"/>
  <c r="L114" i="15" s="1"/>
  <c r="E114" i="15"/>
  <c r="G114" i="15" s="1"/>
  <c r="N113" i="15"/>
  <c r="K113" i="15"/>
  <c r="L113" i="15" s="1"/>
  <c r="J113" i="15"/>
  <c r="E113" i="15"/>
  <c r="G113" i="15" s="1"/>
  <c r="N112" i="15"/>
  <c r="K112" i="15"/>
  <c r="L112" i="15" s="1"/>
  <c r="J112" i="15"/>
  <c r="E112" i="15"/>
  <c r="G112" i="15" s="1"/>
  <c r="N111" i="15"/>
  <c r="J111" i="15"/>
  <c r="L111" i="15" s="1"/>
  <c r="E111" i="15"/>
  <c r="G111" i="15" s="1"/>
  <c r="N110" i="15"/>
  <c r="K110" i="15"/>
  <c r="L110" i="15" s="1"/>
  <c r="J110" i="15"/>
  <c r="E110" i="15"/>
  <c r="G110" i="15" s="1"/>
  <c r="N109" i="15"/>
  <c r="K109" i="15"/>
  <c r="J109" i="15"/>
  <c r="E109" i="15"/>
  <c r="G109" i="15" s="1"/>
  <c r="N108" i="15"/>
  <c r="J108" i="15"/>
  <c r="L108" i="15" s="1"/>
  <c r="E108" i="15"/>
  <c r="G108" i="15" s="1"/>
  <c r="N107" i="15"/>
  <c r="N115" i="15" s="1"/>
  <c r="J107" i="15"/>
  <c r="E107" i="15"/>
  <c r="F106" i="15"/>
  <c r="N105" i="15"/>
  <c r="K105" i="15"/>
  <c r="L105" i="15" s="1"/>
  <c r="J105" i="15"/>
  <c r="E105" i="15"/>
  <c r="G105" i="15" s="1"/>
  <c r="N104" i="15"/>
  <c r="K104" i="15"/>
  <c r="L104" i="15" s="1"/>
  <c r="J104" i="15"/>
  <c r="E104" i="15"/>
  <c r="G104" i="15" s="1"/>
  <c r="N103" i="15"/>
  <c r="K103" i="15"/>
  <c r="L103" i="15" s="1"/>
  <c r="J103" i="15"/>
  <c r="E103" i="15"/>
  <c r="G103" i="15" s="1"/>
  <c r="N102" i="15"/>
  <c r="K102" i="15"/>
  <c r="L102" i="15" s="1"/>
  <c r="J102" i="15"/>
  <c r="E102" i="15"/>
  <c r="G102" i="15" s="1"/>
  <c r="N101" i="15"/>
  <c r="K101" i="15"/>
  <c r="L101" i="15" s="1"/>
  <c r="J101" i="15"/>
  <c r="E101" i="15"/>
  <c r="G101" i="15" s="1"/>
  <c r="N100" i="15"/>
  <c r="K100" i="15"/>
  <c r="L100" i="15" s="1"/>
  <c r="J100" i="15"/>
  <c r="E100" i="15"/>
  <c r="G100" i="15" s="1"/>
  <c r="N99" i="15"/>
  <c r="N106" i="15" s="1"/>
  <c r="K99" i="15"/>
  <c r="J99" i="15"/>
  <c r="J106" i="15" s="1"/>
  <c r="E99" i="15"/>
  <c r="N97" i="15"/>
  <c r="K97" i="15"/>
  <c r="L97" i="15" s="1"/>
  <c r="J97" i="15"/>
  <c r="E97" i="15"/>
  <c r="G97" i="15" s="1"/>
  <c r="N96" i="15"/>
  <c r="K96" i="15"/>
  <c r="L96" i="15" s="1"/>
  <c r="J96" i="15"/>
  <c r="E96" i="15"/>
  <c r="G96" i="15" s="1"/>
  <c r="N95" i="15"/>
  <c r="K95" i="15"/>
  <c r="L95" i="15" s="1"/>
  <c r="J95" i="15"/>
  <c r="E95" i="15"/>
  <c r="G95" i="15" s="1"/>
  <c r="N94" i="15"/>
  <c r="K94" i="15"/>
  <c r="L94" i="15" s="1"/>
  <c r="J94" i="15"/>
  <c r="E94" i="15"/>
  <c r="G94" i="15" s="1"/>
  <c r="N93" i="15"/>
  <c r="K93" i="15"/>
  <c r="L93" i="15" s="1"/>
  <c r="J93" i="15"/>
  <c r="E93" i="15"/>
  <c r="G93" i="15" s="1"/>
  <c r="N92" i="15"/>
  <c r="K92" i="15"/>
  <c r="L92" i="15" s="1"/>
  <c r="J92" i="15"/>
  <c r="E92" i="15"/>
  <c r="G92" i="15" s="1"/>
  <c r="K91" i="15"/>
  <c r="J91" i="15"/>
  <c r="E91" i="15"/>
  <c r="G91" i="15" s="1"/>
  <c r="F90" i="15"/>
  <c r="F98" i="15" s="1"/>
  <c r="N89" i="15"/>
  <c r="K89" i="15"/>
  <c r="L89" i="15" s="1"/>
  <c r="E89" i="15"/>
  <c r="G89" i="15" s="1"/>
  <c r="N88" i="15"/>
  <c r="K88" i="15"/>
  <c r="L88" i="15" s="1"/>
  <c r="E88" i="15"/>
  <c r="G88" i="15" s="1"/>
  <c r="N87" i="15"/>
  <c r="K87" i="15"/>
  <c r="L87" i="15" s="1"/>
  <c r="J87" i="15"/>
  <c r="E87" i="15"/>
  <c r="G87" i="15" s="1"/>
  <c r="N86" i="15"/>
  <c r="K86" i="15"/>
  <c r="L86" i="15" s="1"/>
  <c r="J86" i="15"/>
  <c r="E86" i="15"/>
  <c r="G86" i="15" s="1"/>
  <c r="N85" i="15"/>
  <c r="K85" i="15"/>
  <c r="L85" i="15" s="1"/>
  <c r="J85" i="15"/>
  <c r="E85" i="15"/>
  <c r="G85" i="15" s="1"/>
  <c r="N84" i="15"/>
  <c r="N90" i="15" s="1"/>
  <c r="K84" i="15"/>
  <c r="J84" i="15"/>
  <c r="E84" i="15"/>
  <c r="F83" i="15"/>
  <c r="N82" i="15"/>
  <c r="K82" i="15"/>
  <c r="L82" i="15" s="1"/>
  <c r="J82" i="15"/>
  <c r="E82" i="15"/>
  <c r="G82" i="15" s="1"/>
  <c r="N81" i="15"/>
  <c r="K81" i="15"/>
  <c r="L81" i="15" s="1"/>
  <c r="J81" i="15"/>
  <c r="E81" i="15"/>
  <c r="G81" i="15" s="1"/>
  <c r="N80" i="15"/>
  <c r="K80" i="15"/>
  <c r="L80" i="15" s="1"/>
  <c r="J80" i="15"/>
  <c r="E80" i="15"/>
  <c r="G80" i="15" s="1"/>
  <c r="N79" i="15"/>
  <c r="K79" i="15"/>
  <c r="L79" i="15" s="1"/>
  <c r="J79" i="15"/>
  <c r="E79" i="15"/>
  <c r="G79" i="15" s="1"/>
  <c r="N78" i="15"/>
  <c r="K78" i="15"/>
  <c r="L78" i="15" s="1"/>
  <c r="J78" i="15"/>
  <c r="E78" i="15"/>
  <c r="G78" i="15" s="1"/>
  <c r="N77" i="15"/>
  <c r="K77" i="15"/>
  <c r="L77" i="15" s="1"/>
  <c r="J77" i="15"/>
  <c r="E77" i="15"/>
  <c r="G77" i="15" s="1"/>
  <c r="N76" i="15"/>
  <c r="N83" i="15" s="1"/>
  <c r="K76" i="15"/>
  <c r="J76" i="15"/>
  <c r="J83" i="15" s="1"/>
  <c r="E76" i="15"/>
  <c r="F75" i="15"/>
  <c r="N74" i="15"/>
  <c r="K74" i="15"/>
  <c r="L74" i="15" s="1"/>
  <c r="J74" i="15"/>
  <c r="E74" i="15"/>
  <c r="G74" i="15" s="1"/>
  <c r="N73" i="15"/>
  <c r="K73" i="15"/>
  <c r="L73" i="15" s="1"/>
  <c r="J73" i="15"/>
  <c r="E73" i="15"/>
  <c r="G73" i="15" s="1"/>
  <c r="N72" i="15"/>
  <c r="K72" i="15"/>
  <c r="L72" i="15" s="1"/>
  <c r="J72" i="15"/>
  <c r="E72" i="15"/>
  <c r="G72" i="15" s="1"/>
  <c r="N71" i="15"/>
  <c r="K71" i="15"/>
  <c r="L71" i="15" s="1"/>
  <c r="J71" i="15"/>
  <c r="E71" i="15"/>
  <c r="G71" i="15" s="1"/>
  <c r="N70" i="15"/>
  <c r="K70" i="15"/>
  <c r="L70" i="15" s="1"/>
  <c r="J70" i="15"/>
  <c r="E70" i="15"/>
  <c r="G70" i="15" s="1"/>
  <c r="N69" i="15"/>
  <c r="K69" i="15"/>
  <c r="L69" i="15" s="1"/>
  <c r="J69" i="15"/>
  <c r="E69" i="15"/>
  <c r="G69" i="15" s="1"/>
  <c r="N68" i="15"/>
  <c r="N75" i="15" s="1"/>
  <c r="K68" i="15"/>
  <c r="J68" i="15"/>
  <c r="J75" i="15" s="1"/>
  <c r="E68" i="15"/>
  <c r="F67" i="15"/>
  <c r="N66" i="15"/>
  <c r="K66" i="15"/>
  <c r="L66" i="15" s="1"/>
  <c r="J66" i="15"/>
  <c r="E66" i="15"/>
  <c r="G66" i="15" s="1"/>
  <c r="N65" i="15"/>
  <c r="K65" i="15"/>
  <c r="L65" i="15" s="1"/>
  <c r="J65" i="15"/>
  <c r="E65" i="15"/>
  <c r="G65" i="15" s="1"/>
  <c r="N64" i="15"/>
  <c r="K64" i="15"/>
  <c r="L64" i="15" s="1"/>
  <c r="J64" i="15"/>
  <c r="E64" i="15"/>
  <c r="G64" i="15" s="1"/>
  <c r="N63" i="15"/>
  <c r="K63" i="15"/>
  <c r="L63" i="15" s="1"/>
  <c r="J63" i="15"/>
  <c r="E63" i="15"/>
  <c r="G63" i="15" s="1"/>
  <c r="N62" i="15"/>
  <c r="K62" i="15"/>
  <c r="L62" i="15" s="1"/>
  <c r="J62" i="15"/>
  <c r="E62" i="15"/>
  <c r="G62" i="15" s="1"/>
  <c r="N61" i="15"/>
  <c r="K61" i="15"/>
  <c r="L61" i="15" s="1"/>
  <c r="J61" i="15"/>
  <c r="E61" i="15"/>
  <c r="G61" i="15" s="1"/>
  <c r="N60" i="15"/>
  <c r="N67" i="15" s="1"/>
  <c r="K60" i="15"/>
  <c r="J60" i="15"/>
  <c r="J67" i="15" s="1"/>
  <c r="E60" i="15"/>
  <c r="F59" i="15"/>
  <c r="N58" i="15"/>
  <c r="K58" i="15"/>
  <c r="L58" i="15" s="1"/>
  <c r="J58" i="15"/>
  <c r="E58" i="15"/>
  <c r="G58" i="15" s="1"/>
  <c r="N57" i="15"/>
  <c r="K57" i="15"/>
  <c r="L57" i="15" s="1"/>
  <c r="J57" i="15"/>
  <c r="E57" i="15"/>
  <c r="G57" i="15" s="1"/>
  <c r="N56" i="15"/>
  <c r="K56" i="15"/>
  <c r="L56" i="15" s="1"/>
  <c r="J56" i="15"/>
  <c r="E56" i="15"/>
  <c r="G56" i="15" s="1"/>
  <c r="N55" i="15"/>
  <c r="K55" i="15"/>
  <c r="L55" i="15" s="1"/>
  <c r="J55" i="15"/>
  <c r="E55" i="15"/>
  <c r="G55" i="15" s="1"/>
  <c r="N54" i="15"/>
  <c r="K54" i="15"/>
  <c r="L54" i="15" s="1"/>
  <c r="J54" i="15"/>
  <c r="E54" i="15"/>
  <c r="G54" i="15" s="1"/>
  <c r="N53" i="15"/>
  <c r="K53" i="15"/>
  <c r="L53" i="15" s="1"/>
  <c r="J53" i="15"/>
  <c r="E53" i="15"/>
  <c r="G53" i="15" s="1"/>
  <c r="N52" i="15"/>
  <c r="N59" i="15" s="1"/>
  <c r="K52" i="15"/>
  <c r="J52" i="15"/>
  <c r="J59" i="15" s="1"/>
  <c r="E52" i="15"/>
  <c r="F51" i="15"/>
  <c r="N50" i="15"/>
  <c r="K50" i="15"/>
  <c r="L50" i="15" s="1"/>
  <c r="J50" i="15"/>
  <c r="E50" i="15"/>
  <c r="G50" i="15" s="1"/>
  <c r="N49" i="15"/>
  <c r="K49" i="15"/>
  <c r="L49" i="15" s="1"/>
  <c r="J49" i="15"/>
  <c r="E49" i="15"/>
  <c r="G49" i="15" s="1"/>
  <c r="P48" i="15"/>
  <c r="N48" i="15"/>
  <c r="K48" i="15"/>
  <c r="L48" i="15" s="1"/>
  <c r="J48" i="15"/>
  <c r="E48" i="15"/>
  <c r="G48" i="15" s="1"/>
  <c r="N47" i="15"/>
  <c r="K47" i="15"/>
  <c r="L47" i="15" s="1"/>
  <c r="J47" i="15"/>
  <c r="E47" i="15"/>
  <c r="G47" i="15" s="1"/>
  <c r="N46" i="15"/>
  <c r="K46" i="15"/>
  <c r="L46" i="15" s="1"/>
  <c r="J46" i="15"/>
  <c r="E46" i="15"/>
  <c r="G46" i="15" s="1"/>
  <c r="N45" i="15"/>
  <c r="K45" i="15"/>
  <c r="L45" i="15" s="1"/>
  <c r="J45" i="15"/>
  <c r="E45" i="15"/>
  <c r="G45" i="15" s="1"/>
  <c r="N44" i="15"/>
  <c r="N51" i="15" s="1"/>
  <c r="K44" i="15"/>
  <c r="J44" i="15"/>
  <c r="J51" i="15" s="1"/>
  <c r="E44" i="15"/>
  <c r="F43" i="15"/>
  <c r="N42" i="15"/>
  <c r="K42" i="15"/>
  <c r="L42" i="15" s="1"/>
  <c r="J42" i="15"/>
  <c r="E42" i="15"/>
  <c r="G42" i="15" s="1"/>
  <c r="N41" i="15"/>
  <c r="K41" i="15"/>
  <c r="L41" i="15" s="1"/>
  <c r="J41" i="15"/>
  <c r="E41" i="15"/>
  <c r="G41" i="15" s="1"/>
  <c r="N40" i="15"/>
  <c r="K40" i="15"/>
  <c r="L40" i="15" s="1"/>
  <c r="J40" i="15"/>
  <c r="E40" i="15"/>
  <c r="G40" i="15" s="1"/>
  <c r="N39" i="15"/>
  <c r="K39" i="15"/>
  <c r="L39" i="15" s="1"/>
  <c r="J39" i="15"/>
  <c r="E39" i="15"/>
  <c r="G39" i="15" s="1"/>
  <c r="N38" i="15"/>
  <c r="K38" i="15"/>
  <c r="L38" i="15" s="1"/>
  <c r="J38" i="15"/>
  <c r="E38" i="15"/>
  <c r="G38" i="15" s="1"/>
  <c r="N37" i="15"/>
  <c r="K37" i="15"/>
  <c r="L37" i="15" s="1"/>
  <c r="J37" i="15"/>
  <c r="E37" i="15"/>
  <c r="G37" i="15" s="1"/>
  <c r="N36" i="15"/>
  <c r="N43" i="15" s="1"/>
  <c r="K36" i="15"/>
  <c r="J36" i="15"/>
  <c r="J43" i="15" s="1"/>
  <c r="E36" i="15"/>
  <c r="F35" i="15"/>
  <c r="N34" i="15"/>
  <c r="K34" i="15"/>
  <c r="L34" i="15" s="1"/>
  <c r="J34" i="15"/>
  <c r="E34" i="15"/>
  <c r="G34" i="15" s="1"/>
  <c r="N33" i="15"/>
  <c r="K33" i="15"/>
  <c r="L33" i="15" s="1"/>
  <c r="J33" i="15"/>
  <c r="E33" i="15"/>
  <c r="G33" i="15" s="1"/>
  <c r="N32" i="15"/>
  <c r="K32" i="15"/>
  <c r="L32" i="15" s="1"/>
  <c r="J32" i="15"/>
  <c r="E32" i="15"/>
  <c r="G32" i="15" s="1"/>
  <c r="N31" i="15"/>
  <c r="K31" i="15"/>
  <c r="L31" i="15" s="1"/>
  <c r="J31" i="15"/>
  <c r="E31" i="15"/>
  <c r="G31" i="15" s="1"/>
  <c r="N30" i="15"/>
  <c r="K30" i="15"/>
  <c r="L30" i="15" s="1"/>
  <c r="J30" i="15"/>
  <c r="E30" i="15"/>
  <c r="G30" i="15" s="1"/>
  <c r="N29" i="15"/>
  <c r="K29" i="15"/>
  <c r="L29" i="15" s="1"/>
  <c r="J29" i="15"/>
  <c r="E29" i="15"/>
  <c r="G29" i="15" s="1"/>
  <c r="N28" i="15"/>
  <c r="N35" i="15" s="1"/>
  <c r="K28" i="15"/>
  <c r="J28" i="15"/>
  <c r="J35" i="15" s="1"/>
  <c r="E28" i="15"/>
  <c r="F27" i="15"/>
  <c r="N26" i="15"/>
  <c r="K26" i="15"/>
  <c r="L26" i="15" s="1"/>
  <c r="J26" i="15"/>
  <c r="E26" i="15"/>
  <c r="G26" i="15" s="1"/>
  <c r="N25" i="15"/>
  <c r="K25" i="15"/>
  <c r="L25" i="15" s="1"/>
  <c r="J25" i="15"/>
  <c r="E25" i="15"/>
  <c r="G25" i="15" s="1"/>
  <c r="N24" i="15"/>
  <c r="K24" i="15"/>
  <c r="L24" i="15" s="1"/>
  <c r="J24" i="15"/>
  <c r="E24" i="15"/>
  <c r="G24" i="15" s="1"/>
  <c r="N23" i="15"/>
  <c r="K23" i="15"/>
  <c r="L23" i="15" s="1"/>
  <c r="J23" i="15"/>
  <c r="E23" i="15"/>
  <c r="G23" i="15" s="1"/>
  <c r="N22" i="15"/>
  <c r="K22" i="15"/>
  <c r="L22" i="15" s="1"/>
  <c r="J22" i="15"/>
  <c r="E22" i="15"/>
  <c r="G22" i="15" s="1"/>
  <c r="N21" i="15"/>
  <c r="K21" i="15"/>
  <c r="L21" i="15" s="1"/>
  <c r="J21" i="15"/>
  <c r="E21" i="15"/>
  <c r="G21" i="15" s="1"/>
  <c r="N20" i="15"/>
  <c r="K20" i="15"/>
  <c r="L20" i="15" s="1"/>
  <c r="J20" i="15"/>
  <c r="E20" i="15"/>
  <c r="G20" i="15" s="1"/>
  <c r="N19" i="15"/>
  <c r="N27" i="15" s="1"/>
  <c r="K19" i="15"/>
  <c r="J19" i="15"/>
  <c r="J27" i="15" s="1"/>
  <c r="E19" i="15"/>
  <c r="F18" i="15"/>
  <c r="N17" i="15"/>
  <c r="K17" i="15"/>
  <c r="L17" i="15" s="1"/>
  <c r="J17" i="15"/>
  <c r="E17" i="15"/>
  <c r="G17" i="15" s="1"/>
  <c r="N16" i="15"/>
  <c r="K16" i="15"/>
  <c r="L16" i="15" s="1"/>
  <c r="J16" i="15"/>
  <c r="E16" i="15"/>
  <c r="G16" i="15" s="1"/>
  <c r="N15" i="15"/>
  <c r="K15" i="15"/>
  <c r="L15" i="15" s="1"/>
  <c r="J15" i="15"/>
  <c r="E15" i="15"/>
  <c r="G15" i="15" s="1"/>
  <c r="N14" i="15"/>
  <c r="K14" i="15"/>
  <c r="L14" i="15" s="1"/>
  <c r="J14" i="15"/>
  <c r="E14" i="15"/>
  <c r="G14" i="15" s="1"/>
  <c r="N13" i="15"/>
  <c r="K13" i="15"/>
  <c r="L13" i="15" s="1"/>
  <c r="J13" i="15"/>
  <c r="E13" i="15"/>
  <c r="G13" i="15" s="1"/>
  <c r="N12" i="15"/>
  <c r="K12" i="15"/>
  <c r="L12" i="15" s="1"/>
  <c r="J12" i="15"/>
  <c r="E12" i="15"/>
  <c r="G12" i="15" s="1"/>
  <c r="N11" i="15"/>
  <c r="N18" i="15" s="1"/>
  <c r="K11" i="15"/>
  <c r="J11" i="15"/>
  <c r="J18" i="15" s="1"/>
  <c r="E11" i="15"/>
  <c r="F10" i="15"/>
  <c r="F116" i="15" s="1"/>
  <c r="N9" i="15"/>
  <c r="K9" i="15"/>
  <c r="L9" i="15" s="1"/>
  <c r="J9" i="15"/>
  <c r="E9" i="15"/>
  <c r="G9" i="15" s="1"/>
  <c r="N8" i="15"/>
  <c r="K8" i="15"/>
  <c r="L8" i="15" s="1"/>
  <c r="J8" i="15"/>
  <c r="E8" i="15"/>
  <c r="G8" i="15" s="1"/>
  <c r="N7" i="15"/>
  <c r="K7" i="15"/>
  <c r="L7" i="15" s="1"/>
  <c r="J7" i="15"/>
  <c r="E7" i="15"/>
  <c r="G7" i="15" s="1"/>
  <c r="N6" i="15"/>
  <c r="K6" i="15"/>
  <c r="L6" i="15" s="1"/>
  <c r="J6" i="15"/>
  <c r="E6" i="15"/>
  <c r="G6" i="15" s="1"/>
  <c r="N5" i="15"/>
  <c r="K5" i="15"/>
  <c r="L5" i="15" s="1"/>
  <c r="J5" i="15"/>
  <c r="E5" i="15"/>
  <c r="G5" i="15" s="1"/>
  <c r="N4" i="15"/>
  <c r="K4" i="15"/>
  <c r="L4" i="15" s="1"/>
  <c r="J4" i="15"/>
  <c r="E4" i="15"/>
  <c r="G4" i="15" s="1"/>
  <c r="N3" i="15"/>
  <c r="N10" i="15" s="1"/>
  <c r="K3" i="15"/>
  <c r="J3" i="15"/>
  <c r="J10" i="15" s="1"/>
  <c r="E3" i="15"/>
  <c r="N177" i="14"/>
  <c r="F177" i="14"/>
  <c r="K176" i="14"/>
  <c r="L176" i="14" s="1"/>
  <c r="J176" i="14"/>
  <c r="E176" i="14"/>
  <c r="G176" i="14" s="1"/>
  <c r="K174" i="14"/>
  <c r="L174" i="14" s="1"/>
  <c r="J174" i="14"/>
  <c r="E174" i="14"/>
  <c r="G174" i="14" s="1"/>
  <c r="K173" i="14"/>
  <c r="L173" i="14" s="1"/>
  <c r="J173" i="14"/>
  <c r="E173" i="14"/>
  <c r="G173" i="14" s="1"/>
  <c r="K172" i="14"/>
  <c r="L172" i="14" s="1"/>
  <c r="J172" i="14"/>
  <c r="E172" i="14"/>
  <c r="G172" i="14" s="1"/>
  <c r="K171" i="14"/>
  <c r="J171" i="14"/>
  <c r="J177" i="14" s="1"/>
  <c r="E171" i="14"/>
  <c r="N170" i="14"/>
  <c r="F170" i="14"/>
  <c r="K169" i="14"/>
  <c r="L169" i="14" s="1"/>
  <c r="J169" i="14"/>
  <c r="E169" i="14"/>
  <c r="G169" i="14" s="1"/>
  <c r="K167" i="14"/>
  <c r="L167" i="14" s="1"/>
  <c r="J167" i="14"/>
  <c r="E167" i="14"/>
  <c r="G167" i="14" s="1"/>
  <c r="K166" i="14"/>
  <c r="L166" i="14" s="1"/>
  <c r="J166" i="14"/>
  <c r="E166" i="14"/>
  <c r="G166" i="14" s="1"/>
  <c r="K165" i="14"/>
  <c r="L165" i="14" s="1"/>
  <c r="J165" i="14"/>
  <c r="E165" i="14"/>
  <c r="G165" i="14" s="1"/>
  <c r="K164" i="14"/>
  <c r="L164" i="14" s="1"/>
  <c r="J164" i="14"/>
  <c r="E164" i="14"/>
  <c r="G164" i="14" s="1"/>
  <c r="K163" i="14"/>
  <c r="L163" i="14" s="1"/>
  <c r="J163" i="14"/>
  <c r="E163" i="14"/>
  <c r="G163" i="14" s="1"/>
  <c r="K162" i="14"/>
  <c r="J162" i="14"/>
  <c r="J170" i="14" s="1"/>
  <c r="E162" i="14"/>
  <c r="F161" i="14"/>
  <c r="N160" i="14"/>
  <c r="K160" i="14"/>
  <c r="L160" i="14" s="1"/>
  <c r="J160" i="14"/>
  <c r="E160" i="14"/>
  <c r="G160" i="14" s="1"/>
  <c r="N159" i="14"/>
  <c r="N161" i="14" s="1"/>
  <c r="K159" i="14"/>
  <c r="L159" i="14" s="1"/>
  <c r="J159" i="14"/>
  <c r="E159" i="14"/>
  <c r="G159" i="14" s="1"/>
  <c r="K158" i="14"/>
  <c r="L158" i="14" s="1"/>
  <c r="J158" i="14"/>
  <c r="E158" i="14"/>
  <c r="G158" i="14" s="1"/>
  <c r="K157" i="14"/>
  <c r="L157" i="14" s="1"/>
  <c r="J157" i="14"/>
  <c r="E157" i="14"/>
  <c r="G157" i="14" s="1"/>
  <c r="K156" i="14"/>
  <c r="J156" i="14"/>
  <c r="J161" i="14" s="1"/>
  <c r="E156" i="14"/>
  <c r="F155" i="14"/>
  <c r="N154" i="14"/>
  <c r="K154" i="14"/>
  <c r="L154" i="14" s="1"/>
  <c r="J154" i="14"/>
  <c r="E154" i="14"/>
  <c r="G154" i="14" s="1"/>
  <c r="N153" i="14"/>
  <c r="N155" i="14" s="1"/>
  <c r="K153" i="14"/>
  <c r="L153" i="14" s="1"/>
  <c r="J153" i="14"/>
  <c r="E153" i="14"/>
  <c r="G153" i="14" s="1"/>
  <c r="K152" i="14"/>
  <c r="L152" i="14" s="1"/>
  <c r="J152" i="14"/>
  <c r="E152" i="14"/>
  <c r="G152" i="14" s="1"/>
  <c r="K151" i="14"/>
  <c r="L151" i="14" s="1"/>
  <c r="J151" i="14"/>
  <c r="E151" i="14"/>
  <c r="G151" i="14" s="1"/>
  <c r="K150" i="14"/>
  <c r="J150" i="14"/>
  <c r="J155" i="14" s="1"/>
  <c r="E150" i="14"/>
  <c r="F149" i="14"/>
  <c r="N148" i="14"/>
  <c r="K148" i="14"/>
  <c r="L148" i="14" s="1"/>
  <c r="J148" i="14"/>
  <c r="E148" i="14"/>
  <c r="G148" i="14" s="1"/>
  <c r="N147" i="14"/>
  <c r="K147" i="14"/>
  <c r="L147" i="14" s="1"/>
  <c r="J147" i="14"/>
  <c r="E147" i="14"/>
  <c r="G147" i="14" s="1"/>
  <c r="N146" i="14"/>
  <c r="N149" i="14" s="1"/>
  <c r="K146" i="14"/>
  <c r="J146" i="14"/>
  <c r="E146" i="14"/>
  <c r="G146" i="14" s="1"/>
  <c r="J145" i="14"/>
  <c r="L145" i="14" s="1"/>
  <c r="E145" i="14"/>
  <c r="G145" i="14" s="1"/>
  <c r="J144" i="14"/>
  <c r="E144" i="14"/>
  <c r="F143" i="14"/>
  <c r="N142" i="14"/>
  <c r="K142" i="14"/>
  <c r="L142" i="14" s="1"/>
  <c r="J142" i="14"/>
  <c r="E142" i="14"/>
  <c r="G142" i="14" s="1"/>
  <c r="N141" i="14"/>
  <c r="K141" i="14"/>
  <c r="L141" i="14" s="1"/>
  <c r="J141" i="14"/>
  <c r="E141" i="14"/>
  <c r="G141" i="14" s="1"/>
  <c r="N140" i="14"/>
  <c r="N143" i="14" s="1"/>
  <c r="K140" i="14"/>
  <c r="L140" i="14" s="1"/>
  <c r="J140" i="14"/>
  <c r="E140" i="14"/>
  <c r="G140" i="14" s="1"/>
  <c r="K139" i="14"/>
  <c r="L139" i="14" s="1"/>
  <c r="J139" i="14"/>
  <c r="E139" i="14"/>
  <c r="G139" i="14" s="1"/>
  <c r="K138" i="14"/>
  <c r="J138" i="14"/>
  <c r="J143" i="14" s="1"/>
  <c r="E138" i="14"/>
  <c r="F137" i="14"/>
  <c r="N136" i="14"/>
  <c r="K136" i="14"/>
  <c r="L136" i="14" s="1"/>
  <c r="J136" i="14"/>
  <c r="E136" i="14"/>
  <c r="G136" i="14" s="1"/>
  <c r="N135" i="14"/>
  <c r="K135" i="14"/>
  <c r="L135" i="14" s="1"/>
  <c r="J135" i="14"/>
  <c r="E135" i="14"/>
  <c r="G135" i="14" s="1"/>
  <c r="N134" i="14"/>
  <c r="N137" i="14" s="1"/>
  <c r="K134" i="14"/>
  <c r="L134" i="14" s="1"/>
  <c r="J134" i="14"/>
  <c r="E134" i="14"/>
  <c r="G134" i="14" s="1"/>
  <c r="K133" i="14"/>
  <c r="J133" i="14"/>
  <c r="E133" i="14"/>
  <c r="G133" i="14" s="1"/>
  <c r="J132" i="14"/>
  <c r="E132" i="14"/>
  <c r="F131" i="14"/>
  <c r="N130" i="14"/>
  <c r="N131" i="14" s="1"/>
  <c r="K130" i="14"/>
  <c r="L130" i="14" s="1"/>
  <c r="J130" i="14"/>
  <c r="E130" i="14"/>
  <c r="G130" i="14" s="1"/>
  <c r="K129" i="14"/>
  <c r="L129" i="14" s="1"/>
  <c r="J129" i="14"/>
  <c r="E129" i="14"/>
  <c r="G129" i="14" s="1"/>
  <c r="K128" i="14"/>
  <c r="L128" i="14" s="1"/>
  <c r="J128" i="14"/>
  <c r="E128" i="14"/>
  <c r="G128" i="14" s="1"/>
  <c r="K127" i="14"/>
  <c r="J127" i="14"/>
  <c r="E127" i="14"/>
  <c r="G127" i="14" s="1"/>
  <c r="J126" i="14"/>
  <c r="E126" i="14"/>
  <c r="F125" i="14"/>
  <c r="N124" i="14"/>
  <c r="K124" i="14"/>
  <c r="L124" i="14" s="1"/>
  <c r="J124" i="14"/>
  <c r="E124" i="14"/>
  <c r="G124" i="14" s="1"/>
  <c r="N123" i="14"/>
  <c r="K123" i="14"/>
  <c r="L123" i="14" s="1"/>
  <c r="J123" i="14"/>
  <c r="E123" i="14"/>
  <c r="G123" i="14" s="1"/>
  <c r="K122" i="14"/>
  <c r="L122" i="14" s="1"/>
  <c r="J122" i="14"/>
  <c r="E122" i="14"/>
  <c r="G122" i="14" s="1"/>
  <c r="K121" i="14"/>
  <c r="J121" i="14"/>
  <c r="J125" i="14" s="1"/>
  <c r="E121" i="14"/>
  <c r="L120" i="14"/>
  <c r="L125" i="14" s="1"/>
  <c r="K115" i="14"/>
  <c r="F115" i="14"/>
  <c r="N114" i="14"/>
  <c r="J114" i="14"/>
  <c r="L114" i="14" s="1"/>
  <c r="E114" i="14"/>
  <c r="G114" i="14" s="1"/>
  <c r="N113" i="14"/>
  <c r="J113" i="14"/>
  <c r="L113" i="14" s="1"/>
  <c r="E113" i="14"/>
  <c r="G113" i="14" s="1"/>
  <c r="N112" i="14"/>
  <c r="J112" i="14"/>
  <c r="L112" i="14" s="1"/>
  <c r="E112" i="14"/>
  <c r="G112" i="14" s="1"/>
  <c r="N111" i="14"/>
  <c r="J111" i="14"/>
  <c r="L111" i="14" s="1"/>
  <c r="E111" i="14"/>
  <c r="G111" i="14" s="1"/>
  <c r="N110" i="14"/>
  <c r="J110" i="14"/>
  <c r="L110" i="14" s="1"/>
  <c r="E110" i="14"/>
  <c r="G110" i="14" s="1"/>
  <c r="N109" i="14"/>
  <c r="J109" i="14"/>
  <c r="L109" i="14" s="1"/>
  <c r="E109" i="14"/>
  <c r="G109" i="14" s="1"/>
  <c r="N108" i="14"/>
  <c r="J108" i="14"/>
  <c r="L108" i="14" s="1"/>
  <c r="E108" i="14"/>
  <c r="G108" i="14" s="1"/>
  <c r="N107" i="14"/>
  <c r="N115" i="14" s="1"/>
  <c r="J107" i="14"/>
  <c r="E107" i="14"/>
  <c r="F106" i="14"/>
  <c r="N105" i="14"/>
  <c r="K105" i="14"/>
  <c r="L105" i="14" s="1"/>
  <c r="J105" i="14"/>
  <c r="E105" i="14"/>
  <c r="G105" i="14" s="1"/>
  <c r="N104" i="14"/>
  <c r="K104" i="14"/>
  <c r="J104" i="14"/>
  <c r="E104" i="14"/>
  <c r="G104" i="14" s="1"/>
  <c r="N103" i="14"/>
  <c r="J103" i="14"/>
  <c r="L103" i="14" s="1"/>
  <c r="E103" i="14"/>
  <c r="G103" i="14" s="1"/>
  <c r="N102" i="14"/>
  <c r="J102" i="14"/>
  <c r="L102" i="14" s="1"/>
  <c r="E102" i="14"/>
  <c r="G102" i="14" s="1"/>
  <c r="N101" i="14"/>
  <c r="J101" i="14"/>
  <c r="L101" i="14" s="1"/>
  <c r="E101" i="14"/>
  <c r="G101" i="14" s="1"/>
  <c r="N100" i="14"/>
  <c r="J100" i="14"/>
  <c r="L100" i="14" s="1"/>
  <c r="E100" i="14"/>
  <c r="G100" i="14" s="1"/>
  <c r="N99" i="14"/>
  <c r="N106" i="14" s="1"/>
  <c r="J99" i="14"/>
  <c r="E99" i="14"/>
  <c r="N97" i="14"/>
  <c r="K97" i="14"/>
  <c r="L97" i="14" s="1"/>
  <c r="J97" i="14"/>
  <c r="E97" i="14"/>
  <c r="G97" i="14" s="1"/>
  <c r="N96" i="14"/>
  <c r="K96" i="14"/>
  <c r="L96" i="14" s="1"/>
  <c r="J96" i="14"/>
  <c r="E96" i="14"/>
  <c r="G96" i="14" s="1"/>
  <c r="N95" i="14"/>
  <c r="K95" i="14"/>
  <c r="L95" i="14" s="1"/>
  <c r="J95" i="14"/>
  <c r="E95" i="14"/>
  <c r="G95" i="14" s="1"/>
  <c r="N94" i="14"/>
  <c r="K94" i="14"/>
  <c r="L94" i="14" s="1"/>
  <c r="J94" i="14"/>
  <c r="E94" i="14"/>
  <c r="G94" i="14" s="1"/>
  <c r="N93" i="14"/>
  <c r="K93" i="14"/>
  <c r="L93" i="14" s="1"/>
  <c r="J93" i="14"/>
  <c r="E93" i="14"/>
  <c r="G93" i="14" s="1"/>
  <c r="N92" i="14"/>
  <c r="K92" i="14"/>
  <c r="L92" i="14" s="1"/>
  <c r="J92" i="14"/>
  <c r="E92" i="14"/>
  <c r="G92" i="14" s="1"/>
  <c r="K91" i="14"/>
  <c r="J91" i="14"/>
  <c r="E91" i="14"/>
  <c r="G91" i="14" s="1"/>
  <c r="F90" i="14"/>
  <c r="F98" i="14" s="1"/>
  <c r="N89" i="14"/>
  <c r="K89" i="14"/>
  <c r="L89" i="14" s="1"/>
  <c r="E89" i="14"/>
  <c r="G89" i="14" s="1"/>
  <c r="N88" i="14"/>
  <c r="K88" i="14"/>
  <c r="L88" i="14" s="1"/>
  <c r="E88" i="14"/>
  <c r="G88" i="14" s="1"/>
  <c r="N87" i="14"/>
  <c r="K87" i="14"/>
  <c r="L87" i="14" s="1"/>
  <c r="J87" i="14"/>
  <c r="E87" i="14"/>
  <c r="G87" i="14" s="1"/>
  <c r="N86" i="14"/>
  <c r="K86" i="14"/>
  <c r="L86" i="14" s="1"/>
  <c r="J86" i="14"/>
  <c r="E86" i="14"/>
  <c r="G86" i="14" s="1"/>
  <c r="N85" i="14"/>
  <c r="K85" i="14"/>
  <c r="L85" i="14" s="1"/>
  <c r="J85" i="14"/>
  <c r="E85" i="14"/>
  <c r="G85" i="14" s="1"/>
  <c r="N84" i="14"/>
  <c r="N90" i="14" s="1"/>
  <c r="K84" i="14"/>
  <c r="J84" i="14"/>
  <c r="E84" i="14"/>
  <c r="F83" i="14"/>
  <c r="N82" i="14"/>
  <c r="K82" i="14"/>
  <c r="L82" i="14" s="1"/>
  <c r="J82" i="14"/>
  <c r="E82" i="14"/>
  <c r="G82" i="14" s="1"/>
  <c r="N81" i="14"/>
  <c r="K81" i="14"/>
  <c r="L81" i="14" s="1"/>
  <c r="J81" i="14"/>
  <c r="E81" i="14"/>
  <c r="G81" i="14" s="1"/>
  <c r="N80" i="14"/>
  <c r="K80" i="14"/>
  <c r="L80" i="14" s="1"/>
  <c r="J80" i="14"/>
  <c r="E80" i="14"/>
  <c r="G80" i="14" s="1"/>
  <c r="N79" i="14"/>
  <c r="K79" i="14"/>
  <c r="L79" i="14" s="1"/>
  <c r="J79" i="14"/>
  <c r="E79" i="14"/>
  <c r="G79" i="14" s="1"/>
  <c r="N78" i="14"/>
  <c r="K78" i="14"/>
  <c r="L78" i="14" s="1"/>
  <c r="J78" i="14"/>
  <c r="E78" i="14"/>
  <c r="G78" i="14" s="1"/>
  <c r="N77" i="14"/>
  <c r="K77" i="14"/>
  <c r="L77" i="14" s="1"/>
  <c r="J77" i="14"/>
  <c r="E77" i="14"/>
  <c r="G77" i="14" s="1"/>
  <c r="N76" i="14"/>
  <c r="N83" i="14" s="1"/>
  <c r="K76" i="14"/>
  <c r="J76" i="14"/>
  <c r="J83" i="14" s="1"/>
  <c r="E76" i="14"/>
  <c r="F75" i="14"/>
  <c r="N74" i="14"/>
  <c r="K74" i="14"/>
  <c r="L74" i="14" s="1"/>
  <c r="J74" i="14"/>
  <c r="E74" i="14"/>
  <c r="G74" i="14" s="1"/>
  <c r="N73" i="14"/>
  <c r="K73" i="14"/>
  <c r="L73" i="14" s="1"/>
  <c r="J73" i="14"/>
  <c r="E73" i="14"/>
  <c r="G73" i="14" s="1"/>
  <c r="N72" i="14"/>
  <c r="K72" i="14"/>
  <c r="L72" i="14" s="1"/>
  <c r="J72" i="14"/>
  <c r="E72" i="14"/>
  <c r="G72" i="14" s="1"/>
  <c r="N71" i="14"/>
  <c r="K71" i="14"/>
  <c r="L71" i="14" s="1"/>
  <c r="J71" i="14"/>
  <c r="E71" i="14"/>
  <c r="G71" i="14" s="1"/>
  <c r="N70" i="14"/>
  <c r="K70" i="14"/>
  <c r="L70" i="14" s="1"/>
  <c r="J70" i="14"/>
  <c r="E70" i="14"/>
  <c r="G70" i="14" s="1"/>
  <c r="N69" i="14"/>
  <c r="K69" i="14"/>
  <c r="L69" i="14" s="1"/>
  <c r="J69" i="14"/>
  <c r="E69" i="14"/>
  <c r="G69" i="14" s="1"/>
  <c r="N68" i="14"/>
  <c r="N75" i="14" s="1"/>
  <c r="K68" i="14"/>
  <c r="J68" i="14"/>
  <c r="J75" i="14" s="1"/>
  <c r="E68" i="14"/>
  <c r="F67" i="14"/>
  <c r="N66" i="14"/>
  <c r="K66" i="14"/>
  <c r="L66" i="14" s="1"/>
  <c r="J66" i="14"/>
  <c r="E66" i="14"/>
  <c r="G66" i="14" s="1"/>
  <c r="N65" i="14"/>
  <c r="K65" i="14"/>
  <c r="L65" i="14" s="1"/>
  <c r="J65" i="14"/>
  <c r="E65" i="14"/>
  <c r="G65" i="14" s="1"/>
  <c r="N64" i="14"/>
  <c r="K64" i="14"/>
  <c r="L64" i="14" s="1"/>
  <c r="J64" i="14"/>
  <c r="E64" i="14"/>
  <c r="G64" i="14" s="1"/>
  <c r="N63" i="14"/>
  <c r="K63" i="14"/>
  <c r="L63" i="14" s="1"/>
  <c r="J63" i="14"/>
  <c r="E63" i="14"/>
  <c r="G63" i="14" s="1"/>
  <c r="N62" i="14"/>
  <c r="K62" i="14"/>
  <c r="L62" i="14" s="1"/>
  <c r="J62" i="14"/>
  <c r="E62" i="14"/>
  <c r="G62" i="14" s="1"/>
  <c r="N61" i="14"/>
  <c r="K61" i="14"/>
  <c r="L61" i="14" s="1"/>
  <c r="J61" i="14"/>
  <c r="E61" i="14"/>
  <c r="G61" i="14" s="1"/>
  <c r="N60" i="14"/>
  <c r="N67" i="14" s="1"/>
  <c r="K60" i="14"/>
  <c r="J60" i="14"/>
  <c r="J67" i="14" s="1"/>
  <c r="E60" i="14"/>
  <c r="F59" i="14"/>
  <c r="N58" i="14"/>
  <c r="K58" i="14"/>
  <c r="L58" i="14" s="1"/>
  <c r="J58" i="14"/>
  <c r="E58" i="14"/>
  <c r="G58" i="14" s="1"/>
  <c r="N57" i="14"/>
  <c r="K57" i="14"/>
  <c r="L57" i="14" s="1"/>
  <c r="J57" i="14"/>
  <c r="E57" i="14"/>
  <c r="G57" i="14" s="1"/>
  <c r="N56" i="14"/>
  <c r="K56" i="14"/>
  <c r="L56" i="14" s="1"/>
  <c r="J56" i="14"/>
  <c r="E56" i="14"/>
  <c r="G56" i="14" s="1"/>
  <c r="N55" i="14"/>
  <c r="K55" i="14"/>
  <c r="L55" i="14" s="1"/>
  <c r="J55" i="14"/>
  <c r="E55" i="14"/>
  <c r="G55" i="14" s="1"/>
  <c r="N54" i="14"/>
  <c r="K54" i="14"/>
  <c r="L54" i="14" s="1"/>
  <c r="J54" i="14"/>
  <c r="E54" i="14"/>
  <c r="G54" i="14" s="1"/>
  <c r="N53" i="14"/>
  <c r="K53" i="14"/>
  <c r="L53" i="14" s="1"/>
  <c r="J53" i="14"/>
  <c r="E53" i="14"/>
  <c r="G53" i="14" s="1"/>
  <c r="N52" i="14"/>
  <c r="N59" i="14" s="1"/>
  <c r="K52" i="14"/>
  <c r="J52" i="14"/>
  <c r="J59" i="14" s="1"/>
  <c r="E52" i="14"/>
  <c r="F51" i="14"/>
  <c r="N50" i="14"/>
  <c r="K50" i="14"/>
  <c r="L50" i="14" s="1"/>
  <c r="J50" i="14"/>
  <c r="E50" i="14"/>
  <c r="G50" i="14" s="1"/>
  <c r="N49" i="14"/>
  <c r="K49" i="14"/>
  <c r="L49" i="14" s="1"/>
  <c r="J49" i="14"/>
  <c r="E49" i="14"/>
  <c r="G49" i="14" s="1"/>
  <c r="N48" i="14"/>
  <c r="K48" i="14"/>
  <c r="L48" i="14" s="1"/>
  <c r="J48" i="14"/>
  <c r="E48" i="14"/>
  <c r="G48" i="14" s="1"/>
  <c r="N47" i="14"/>
  <c r="K47" i="14"/>
  <c r="L47" i="14" s="1"/>
  <c r="J47" i="14"/>
  <c r="E47" i="14"/>
  <c r="G47" i="14" s="1"/>
  <c r="N46" i="14"/>
  <c r="K46" i="14"/>
  <c r="L46" i="14" s="1"/>
  <c r="J46" i="14"/>
  <c r="E46" i="14"/>
  <c r="G46" i="14" s="1"/>
  <c r="N45" i="14"/>
  <c r="K45" i="14"/>
  <c r="L45" i="14" s="1"/>
  <c r="J45" i="14"/>
  <c r="E45" i="14"/>
  <c r="G45" i="14" s="1"/>
  <c r="N44" i="14"/>
  <c r="N51" i="14" s="1"/>
  <c r="K44" i="14"/>
  <c r="J44" i="14"/>
  <c r="J51" i="14" s="1"/>
  <c r="E44" i="14"/>
  <c r="F43" i="14"/>
  <c r="N42" i="14"/>
  <c r="K42" i="14"/>
  <c r="L42" i="14" s="1"/>
  <c r="J42" i="14"/>
  <c r="E42" i="14"/>
  <c r="G42" i="14" s="1"/>
  <c r="N41" i="14"/>
  <c r="K41" i="14"/>
  <c r="L41" i="14" s="1"/>
  <c r="J41" i="14"/>
  <c r="E41" i="14"/>
  <c r="G41" i="14" s="1"/>
  <c r="N40" i="14"/>
  <c r="K40" i="14"/>
  <c r="L40" i="14" s="1"/>
  <c r="J40" i="14"/>
  <c r="E40" i="14"/>
  <c r="G40" i="14" s="1"/>
  <c r="N39" i="14"/>
  <c r="K39" i="14"/>
  <c r="L39" i="14" s="1"/>
  <c r="J39" i="14"/>
  <c r="E39" i="14"/>
  <c r="G39" i="14" s="1"/>
  <c r="N38" i="14"/>
  <c r="K38" i="14"/>
  <c r="L38" i="14" s="1"/>
  <c r="J38" i="14"/>
  <c r="E38" i="14"/>
  <c r="G38" i="14" s="1"/>
  <c r="N37" i="14"/>
  <c r="K37" i="14"/>
  <c r="L37" i="14" s="1"/>
  <c r="J37" i="14"/>
  <c r="E37" i="14"/>
  <c r="G37" i="14" s="1"/>
  <c r="N36" i="14"/>
  <c r="N43" i="14" s="1"/>
  <c r="K36" i="14"/>
  <c r="J36" i="14"/>
  <c r="J43" i="14" s="1"/>
  <c r="E36" i="14"/>
  <c r="F35" i="14"/>
  <c r="N34" i="14"/>
  <c r="K34" i="14"/>
  <c r="L34" i="14" s="1"/>
  <c r="J34" i="14"/>
  <c r="E34" i="14"/>
  <c r="G34" i="14" s="1"/>
  <c r="N33" i="14"/>
  <c r="K33" i="14"/>
  <c r="L33" i="14" s="1"/>
  <c r="J33" i="14"/>
  <c r="E33" i="14"/>
  <c r="G33" i="14" s="1"/>
  <c r="N32" i="14"/>
  <c r="K32" i="14"/>
  <c r="L32" i="14" s="1"/>
  <c r="J32" i="14"/>
  <c r="E32" i="14"/>
  <c r="G32" i="14" s="1"/>
  <c r="N31" i="14"/>
  <c r="K31" i="14"/>
  <c r="L31" i="14" s="1"/>
  <c r="J31" i="14"/>
  <c r="E31" i="14"/>
  <c r="G31" i="14" s="1"/>
  <c r="N30" i="14"/>
  <c r="K30" i="14"/>
  <c r="L30" i="14" s="1"/>
  <c r="J30" i="14"/>
  <c r="E30" i="14"/>
  <c r="G30" i="14" s="1"/>
  <c r="N29" i="14"/>
  <c r="K29" i="14"/>
  <c r="L29" i="14" s="1"/>
  <c r="J29" i="14"/>
  <c r="E29" i="14"/>
  <c r="G29" i="14" s="1"/>
  <c r="N28" i="14"/>
  <c r="N35" i="14" s="1"/>
  <c r="K28" i="14"/>
  <c r="J28" i="14"/>
  <c r="J35" i="14" s="1"/>
  <c r="E28" i="14"/>
  <c r="F27" i="14"/>
  <c r="N26" i="14"/>
  <c r="K26" i="14"/>
  <c r="L26" i="14" s="1"/>
  <c r="J26" i="14"/>
  <c r="E26" i="14"/>
  <c r="G26" i="14" s="1"/>
  <c r="N25" i="14"/>
  <c r="K25" i="14"/>
  <c r="L25" i="14" s="1"/>
  <c r="J25" i="14"/>
  <c r="E25" i="14"/>
  <c r="G25" i="14" s="1"/>
  <c r="N24" i="14"/>
  <c r="K24" i="14"/>
  <c r="L24" i="14" s="1"/>
  <c r="J24" i="14"/>
  <c r="E24" i="14"/>
  <c r="G24" i="14" s="1"/>
  <c r="N23" i="14"/>
  <c r="K23" i="14"/>
  <c r="L23" i="14" s="1"/>
  <c r="J23" i="14"/>
  <c r="E23" i="14"/>
  <c r="G23" i="14" s="1"/>
  <c r="N22" i="14"/>
  <c r="K22" i="14"/>
  <c r="L22" i="14" s="1"/>
  <c r="J22" i="14"/>
  <c r="E22" i="14"/>
  <c r="G22" i="14" s="1"/>
  <c r="N21" i="14"/>
  <c r="K21" i="14"/>
  <c r="L21" i="14" s="1"/>
  <c r="J21" i="14"/>
  <c r="E21" i="14"/>
  <c r="G21" i="14" s="1"/>
  <c r="N20" i="14"/>
  <c r="K20" i="14"/>
  <c r="L20" i="14" s="1"/>
  <c r="J20" i="14"/>
  <c r="E20" i="14"/>
  <c r="G20" i="14" s="1"/>
  <c r="N19" i="14"/>
  <c r="N27" i="14" s="1"/>
  <c r="K19" i="14"/>
  <c r="J19" i="14"/>
  <c r="J27" i="14" s="1"/>
  <c r="E19" i="14"/>
  <c r="F18" i="14"/>
  <c r="N17" i="14"/>
  <c r="K17" i="14"/>
  <c r="L17" i="14" s="1"/>
  <c r="J17" i="14"/>
  <c r="E17" i="14"/>
  <c r="G17" i="14" s="1"/>
  <c r="N16" i="14"/>
  <c r="K16" i="14"/>
  <c r="L16" i="14" s="1"/>
  <c r="J16" i="14"/>
  <c r="E16" i="14"/>
  <c r="G16" i="14" s="1"/>
  <c r="N15" i="14"/>
  <c r="K15" i="14"/>
  <c r="L15" i="14" s="1"/>
  <c r="J15" i="14"/>
  <c r="E15" i="14"/>
  <c r="G15" i="14" s="1"/>
  <c r="N14" i="14"/>
  <c r="K14" i="14"/>
  <c r="L14" i="14" s="1"/>
  <c r="J14" i="14"/>
  <c r="E14" i="14"/>
  <c r="G14" i="14" s="1"/>
  <c r="N13" i="14"/>
  <c r="K13" i="14"/>
  <c r="L13" i="14" s="1"/>
  <c r="J13" i="14"/>
  <c r="E13" i="14"/>
  <c r="G13" i="14" s="1"/>
  <c r="N12" i="14"/>
  <c r="K12" i="14"/>
  <c r="L12" i="14" s="1"/>
  <c r="J12" i="14"/>
  <c r="E12" i="14"/>
  <c r="G12" i="14" s="1"/>
  <c r="N11" i="14"/>
  <c r="N18" i="14" s="1"/>
  <c r="K11" i="14"/>
  <c r="J11" i="14"/>
  <c r="J18" i="14" s="1"/>
  <c r="E11" i="14"/>
  <c r="F10" i="14"/>
  <c r="N9" i="14"/>
  <c r="K9" i="14"/>
  <c r="L9" i="14" s="1"/>
  <c r="J9" i="14"/>
  <c r="E9" i="14"/>
  <c r="G9" i="14" s="1"/>
  <c r="N8" i="14"/>
  <c r="K8" i="14"/>
  <c r="L8" i="14" s="1"/>
  <c r="J8" i="14"/>
  <c r="E8" i="14"/>
  <c r="G8" i="14" s="1"/>
  <c r="N7" i="14"/>
  <c r="K7" i="14"/>
  <c r="L7" i="14" s="1"/>
  <c r="J7" i="14"/>
  <c r="E7" i="14"/>
  <c r="G7" i="14" s="1"/>
  <c r="N6" i="14"/>
  <c r="K6" i="14"/>
  <c r="L6" i="14" s="1"/>
  <c r="J6" i="14"/>
  <c r="E6" i="14"/>
  <c r="G6" i="14" s="1"/>
  <c r="N5" i="14"/>
  <c r="K5" i="14"/>
  <c r="L5" i="14" s="1"/>
  <c r="J5" i="14"/>
  <c r="E5" i="14"/>
  <c r="G5" i="14" s="1"/>
  <c r="N4" i="14"/>
  <c r="K4" i="14"/>
  <c r="L4" i="14" s="1"/>
  <c r="J4" i="14"/>
  <c r="E4" i="14"/>
  <c r="G4" i="14" s="1"/>
  <c r="N3" i="14"/>
  <c r="N10" i="14" s="1"/>
  <c r="K3" i="14"/>
  <c r="J3" i="14"/>
  <c r="J10" i="14" s="1"/>
  <c r="E3" i="14"/>
  <c r="F212" i="13"/>
  <c r="K211" i="13"/>
  <c r="L211" i="13" s="1"/>
  <c r="J211" i="13"/>
  <c r="E211" i="13"/>
  <c r="G211" i="13" s="1"/>
  <c r="K209" i="13"/>
  <c r="L209" i="13" s="1"/>
  <c r="J209" i="13"/>
  <c r="E209" i="13"/>
  <c r="G209" i="13" s="1"/>
  <c r="K208" i="13"/>
  <c r="L208" i="13" s="1"/>
  <c r="J208" i="13"/>
  <c r="E208" i="13"/>
  <c r="G208" i="13" s="1"/>
  <c r="K207" i="13"/>
  <c r="J207" i="13"/>
  <c r="E207" i="13"/>
  <c r="G207" i="13" s="1"/>
  <c r="N206" i="13"/>
  <c r="N212" i="13" s="1"/>
  <c r="J206" i="13"/>
  <c r="E206" i="13"/>
  <c r="F205" i="13"/>
  <c r="K204" i="13"/>
  <c r="L204" i="13" s="1"/>
  <c r="J204" i="13"/>
  <c r="E204" i="13"/>
  <c r="G204" i="13" s="1"/>
  <c r="K202" i="13"/>
  <c r="L202" i="13" s="1"/>
  <c r="J202" i="13"/>
  <c r="E202" i="13"/>
  <c r="G202" i="13" s="1"/>
  <c r="K201" i="13"/>
  <c r="L201" i="13" s="1"/>
  <c r="J201" i="13"/>
  <c r="E201" i="13"/>
  <c r="G201" i="13" s="1"/>
  <c r="K200" i="13"/>
  <c r="L200" i="13" s="1"/>
  <c r="J200" i="13"/>
  <c r="E200" i="13"/>
  <c r="G200" i="13" s="1"/>
  <c r="K199" i="13"/>
  <c r="L199" i="13" s="1"/>
  <c r="J199" i="13"/>
  <c r="E199" i="13"/>
  <c r="G199" i="13" s="1"/>
  <c r="K198" i="13"/>
  <c r="J198" i="13"/>
  <c r="E198" i="13"/>
  <c r="G198" i="13" s="1"/>
  <c r="N197" i="13"/>
  <c r="N205" i="13" s="1"/>
  <c r="J197" i="13"/>
  <c r="E197" i="13"/>
  <c r="F196" i="13"/>
  <c r="N195" i="13"/>
  <c r="K195" i="13"/>
  <c r="L195" i="13" s="1"/>
  <c r="J195" i="13"/>
  <c r="E195" i="13"/>
  <c r="G195" i="13" s="1"/>
  <c r="N194" i="13"/>
  <c r="N196" i="13" s="1"/>
  <c r="K194" i="13"/>
  <c r="L194" i="13" s="1"/>
  <c r="J194" i="13"/>
  <c r="E194" i="13"/>
  <c r="G194" i="13" s="1"/>
  <c r="K193" i="13"/>
  <c r="L193" i="13" s="1"/>
  <c r="J193" i="13"/>
  <c r="E193" i="13"/>
  <c r="G193" i="13" s="1"/>
  <c r="K192" i="13"/>
  <c r="L192" i="13" s="1"/>
  <c r="J192" i="13"/>
  <c r="E192" i="13"/>
  <c r="G192" i="13" s="1"/>
  <c r="K191" i="13"/>
  <c r="J191" i="13"/>
  <c r="J196" i="13" s="1"/>
  <c r="E191" i="13"/>
  <c r="F190" i="13"/>
  <c r="N189" i="13"/>
  <c r="K189" i="13"/>
  <c r="L189" i="13" s="1"/>
  <c r="J189" i="13"/>
  <c r="E189" i="13"/>
  <c r="G189" i="13" s="1"/>
  <c r="N188" i="13"/>
  <c r="K188" i="13"/>
  <c r="L188" i="13" s="1"/>
  <c r="J188" i="13"/>
  <c r="E188" i="13"/>
  <c r="G188" i="13" s="1"/>
  <c r="K187" i="13"/>
  <c r="L187" i="13" s="1"/>
  <c r="J187" i="13"/>
  <c r="E187" i="13"/>
  <c r="G187" i="13" s="1"/>
  <c r="K186" i="13"/>
  <c r="J186" i="13"/>
  <c r="E186" i="13"/>
  <c r="N185" i="13"/>
  <c r="N190" i="13" s="1"/>
  <c r="J185" i="13"/>
  <c r="G185" i="13"/>
  <c r="G190" i="13" s="1"/>
  <c r="F184" i="13"/>
  <c r="N183" i="13"/>
  <c r="K183" i="13"/>
  <c r="L183" i="13" s="1"/>
  <c r="J183" i="13"/>
  <c r="E183" i="13"/>
  <c r="G183" i="13" s="1"/>
  <c r="N182" i="13"/>
  <c r="K182" i="13"/>
  <c r="L182" i="13" s="1"/>
  <c r="J182" i="13"/>
  <c r="E182" i="13"/>
  <c r="G182" i="13" s="1"/>
  <c r="N181" i="13"/>
  <c r="K181" i="13"/>
  <c r="J181" i="13"/>
  <c r="E181" i="13"/>
  <c r="G181" i="13" s="1"/>
  <c r="J180" i="13"/>
  <c r="L180" i="13" s="1"/>
  <c r="E180" i="13"/>
  <c r="N179" i="13"/>
  <c r="N184" i="13" s="1"/>
  <c r="J179" i="13"/>
  <c r="G179" i="13"/>
  <c r="G184" i="13" s="1"/>
  <c r="F178" i="13"/>
  <c r="N177" i="13"/>
  <c r="K177" i="13"/>
  <c r="L177" i="13" s="1"/>
  <c r="J177" i="13"/>
  <c r="E177" i="13"/>
  <c r="G177" i="13" s="1"/>
  <c r="N176" i="13"/>
  <c r="K176" i="13"/>
  <c r="L176" i="13" s="1"/>
  <c r="J176" i="13"/>
  <c r="E176" i="13"/>
  <c r="G176" i="13" s="1"/>
  <c r="N175" i="13"/>
  <c r="N178" i="13" s="1"/>
  <c r="K175" i="13"/>
  <c r="L175" i="13" s="1"/>
  <c r="J175" i="13"/>
  <c r="E175" i="13"/>
  <c r="G175" i="13" s="1"/>
  <c r="K174" i="13"/>
  <c r="L174" i="13" s="1"/>
  <c r="J174" i="13"/>
  <c r="E174" i="13"/>
  <c r="G174" i="13" s="1"/>
  <c r="K173" i="13"/>
  <c r="J173" i="13"/>
  <c r="J178" i="13" s="1"/>
  <c r="E173" i="13"/>
  <c r="F172" i="13"/>
  <c r="N171" i="13"/>
  <c r="K171" i="13"/>
  <c r="L171" i="13" s="1"/>
  <c r="J171" i="13"/>
  <c r="E171" i="13"/>
  <c r="G171" i="13" s="1"/>
  <c r="N170" i="13"/>
  <c r="K170" i="13"/>
  <c r="L170" i="13" s="1"/>
  <c r="J170" i="13"/>
  <c r="E170" i="13"/>
  <c r="G170" i="13" s="1"/>
  <c r="N169" i="13"/>
  <c r="K169" i="13"/>
  <c r="L169" i="13" s="1"/>
  <c r="J169" i="13"/>
  <c r="E169" i="13"/>
  <c r="G169" i="13" s="1"/>
  <c r="K168" i="13"/>
  <c r="J168" i="13"/>
  <c r="E168" i="13"/>
  <c r="G168" i="13" s="1"/>
  <c r="N167" i="13"/>
  <c r="N172" i="13" s="1"/>
  <c r="J167" i="13"/>
  <c r="E167" i="13"/>
  <c r="F166" i="13"/>
  <c r="N165" i="13"/>
  <c r="K165" i="13"/>
  <c r="L165" i="13" s="1"/>
  <c r="J165" i="13"/>
  <c r="E165" i="13"/>
  <c r="G165" i="13" s="1"/>
  <c r="N164" i="13"/>
  <c r="K164" i="13"/>
  <c r="L164" i="13" s="1"/>
  <c r="J164" i="13"/>
  <c r="E164" i="13"/>
  <c r="G164" i="13" s="1"/>
  <c r="N163" i="13"/>
  <c r="K163" i="13"/>
  <c r="L163" i="13" s="1"/>
  <c r="J163" i="13"/>
  <c r="E163" i="13"/>
  <c r="G163" i="13" s="1"/>
  <c r="N162" i="13"/>
  <c r="N166" i="13" s="1"/>
  <c r="K162" i="13"/>
  <c r="J162" i="13"/>
  <c r="J166" i="13" s="1"/>
  <c r="E162" i="13"/>
  <c r="F161" i="13"/>
  <c r="N160" i="13"/>
  <c r="K160" i="13"/>
  <c r="L160" i="13" s="1"/>
  <c r="J160" i="13"/>
  <c r="E160" i="13"/>
  <c r="G160" i="13" s="1"/>
  <c r="N159" i="13"/>
  <c r="K159" i="13"/>
  <c r="L159" i="13" s="1"/>
  <c r="J159" i="13"/>
  <c r="E159" i="13"/>
  <c r="G159" i="13" s="1"/>
  <c r="K158" i="13"/>
  <c r="L158" i="13" s="1"/>
  <c r="J158" i="13"/>
  <c r="E158" i="13"/>
  <c r="G158" i="13" s="1"/>
  <c r="K157" i="13"/>
  <c r="J157" i="13"/>
  <c r="J161" i="13" s="1"/>
  <c r="E157" i="13"/>
  <c r="N156" i="13"/>
  <c r="L156" i="13"/>
  <c r="L161" i="13" s="1"/>
  <c r="R152" i="13"/>
  <c r="K151" i="13"/>
  <c r="F151" i="13"/>
  <c r="Q150" i="13"/>
  <c r="N150" i="13"/>
  <c r="J150" i="13"/>
  <c r="L150" i="13" s="1"/>
  <c r="E150" i="13"/>
  <c r="G150" i="13" s="1"/>
  <c r="N149" i="13"/>
  <c r="J149" i="13"/>
  <c r="L149" i="13" s="1"/>
  <c r="E149" i="13"/>
  <c r="G149" i="13" s="1"/>
  <c r="N148" i="13"/>
  <c r="J148" i="13"/>
  <c r="L148" i="13" s="1"/>
  <c r="E148" i="13"/>
  <c r="G148" i="13" s="1"/>
  <c r="N147" i="13"/>
  <c r="J147" i="13"/>
  <c r="L147" i="13" s="1"/>
  <c r="E147" i="13"/>
  <c r="G147" i="13" s="1"/>
  <c r="N146" i="13"/>
  <c r="J146" i="13"/>
  <c r="L146" i="13" s="1"/>
  <c r="E146" i="13"/>
  <c r="G146" i="13" s="1"/>
  <c r="N145" i="13"/>
  <c r="J145" i="13"/>
  <c r="L145" i="13" s="1"/>
  <c r="E145" i="13"/>
  <c r="G145" i="13" s="1"/>
  <c r="N144" i="13"/>
  <c r="J144" i="13"/>
  <c r="L144" i="13" s="1"/>
  <c r="E144" i="13"/>
  <c r="G144" i="13" s="1"/>
  <c r="N143" i="13"/>
  <c r="N151" i="13" s="1"/>
  <c r="Q20" i="13" s="1"/>
  <c r="J143" i="13"/>
  <c r="E143" i="13"/>
  <c r="K142" i="13"/>
  <c r="F142" i="13"/>
  <c r="N141" i="13"/>
  <c r="J141" i="13"/>
  <c r="L141" i="13" s="1"/>
  <c r="E141" i="13"/>
  <c r="G141" i="13" s="1"/>
  <c r="N140" i="13"/>
  <c r="J140" i="13"/>
  <c r="L140" i="13" s="1"/>
  <c r="E140" i="13"/>
  <c r="G140" i="13" s="1"/>
  <c r="N139" i="13"/>
  <c r="J139" i="13"/>
  <c r="L139" i="13" s="1"/>
  <c r="E139" i="13"/>
  <c r="G139" i="13" s="1"/>
  <c r="N138" i="13"/>
  <c r="J138" i="13"/>
  <c r="L138" i="13" s="1"/>
  <c r="E138" i="13"/>
  <c r="G138" i="13" s="1"/>
  <c r="N137" i="13"/>
  <c r="J137" i="13"/>
  <c r="L137" i="13" s="1"/>
  <c r="E137" i="13"/>
  <c r="G137" i="13" s="1"/>
  <c r="N136" i="13"/>
  <c r="J136" i="13"/>
  <c r="L136" i="13" s="1"/>
  <c r="E136" i="13"/>
  <c r="G136" i="13" s="1"/>
  <c r="N135" i="13"/>
  <c r="J135" i="13"/>
  <c r="L135" i="13" s="1"/>
  <c r="E135" i="13"/>
  <c r="G135" i="13" s="1"/>
  <c r="N134" i="13"/>
  <c r="N142" i="13" s="1"/>
  <c r="Q19" i="13" s="1"/>
  <c r="J134" i="13"/>
  <c r="E134" i="13"/>
  <c r="K133" i="13"/>
  <c r="F133" i="13"/>
  <c r="N132" i="13"/>
  <c r="J132" i="13"/>
  <c r="L132" i="13" s="1"/>
  <c r="E132" i="13"/>
  <c r="G132" i="13" s="1"/>
  <c r="N131" i="13"/>
  <c r="J131" i="13"/>
  <c r="L131" i="13" s="1"/>
  <c r="E131" i="13"/>
  <c r="G131" i="13" s="1"/>
  <c r="N130" i="13"/>
  <c r="J130" i="13"/>
  <c r="L130" i="13" s="1"/>
  <c r="E130" i="13"/>
  <c r="G130" i="13" s="1"/>
  <c r="N129" i="13"/>
  <c r="J129" i="13"/>
  <c r="L129" i="13" s="1"/>
  <c r="E129" i="13"/>
  <c r="G129" i="13" s="1"/>
  <c r="N128" i="13"/>
  <c r="J128" i="13"/>
  <c r="L128" i="13" s="1"/>
  <c r="E128" i="13"/>
  <c r="G128" i="13" s="1"/>
  <c r="N127" i="13"/>
  <c r="L127" i="13"/>
  <c r="J127" i="13"/>
  <c r="E127" i="13"/>
  <c r="G127" i="13" s="1"/>
  <c r="N126" i="13"/>
  <c r="J126" i="13"/>
  <c r="L126" i="13" s="1"/>
  <c r="E126" i="13"/>
  <c r="G126" i="13" s="1"/>
  <c r="N125" i="13"/>
  <c r="N133" i="13" s="1"/>
  <c r="Q18" i="13" s="1"/>
  <c r="J125" i="13"/>
  <c r="G125" i="13"/>
  <c r="G133" i="13" s="1"/>
  <c r="E125" i="13"/>
  <c r="E133" i="13" s="1"/>
  <c r="K124" i="13"/>
  <c r="F124" i="13"/>
  <c r="N123" i="13"/>
  <c r="J123" i="13"/>
  <c r="L123" i="13" s="1"/>
  <c r="E123" i="13"/>
  <c r="G123" i="13" s="1"/>
  <c r="N122" i="13"/>
  <c r="J122" i="13"/>
  <c r="L122" i="13" s="1"/>
  <c r="E122" i="13"/>
  <c r="G122" i="13" s="1"/>
  <c r="N121" i="13"/>
  <c r="J121" i="13"/>
  <c r="L121" i="13" s="1"/>
  <c r="E121" i="13"/>
  <c r="G121" i="13" s="1"/>
  <c r="O120" i="13"/>
  <c r="N120" i="13"/>
  <c r="J120" i="13"/>
  <c r="L120" i="13" s="1"/>
  <c r="E120" i="13"/>
  <c r="G120" i="13" s="1"/>
  <c r="N119" i="13"/>
  <c r="L119" i="13"/>
  <c r="J119" i="13"/>
  <c r="E119" i="13"/>
  <c r="G119" i="13" s="1"/>
  <c r="N118" i="13"/>
  <c r="J118" i="13"/>
  <c r="L118" i="13" s="1"/>
  <c r="E118" i="13"/>
  <c r="G118" i="13" s="1"/>
  <c r="N117" i="13"/>
  <c r="J117" i="13"/>
  <c r="L117" i="13" s="1"/>
  <c r="E117" i="13"/>
  <c r="G117" i="13" s="1"/>
  <c r="N116" i="13"/>
  <c r="N124" i="13" s="1"/>
  <c r="Q17" i="13" s="1"/>
  <c r="J116" i="13"/>
  <c r="E116" i="13"/>
  <c r="F115" i="13"/>
  <c r="N114" i="13"/>
  <c r="K114" i="13"/>
  <c r="L114" i="13" s="1"/>
  <c r="J114" i="13"/>
  <c r="E114" i="13"/>
  <c r="G114" i="13" s="1"/>
  <c r="N113" i="13"/>
  <c r="K113" i="13"/>
  <c r="L113" i="13" s="1"/>
  <c r="J113" i="13"/>
  <c r="E113" i="13"/>
  <c r="G113" i="13" s="1"/>
  <c r="N112" i="13"/>
  <c r="K112" i="13"/>
  <c r="L112" i="13" s="1"/>
  <c r="J112" i="13"/>
  <c r="E112" i="13"/>
  <c r="G112" i="13" s="1"/>
  <c r="N111" i="13"/>
  <c r="L111" i="13"/>
  <c r="K111" i="13"/>
  <c r="J111" i="13"/>
  <c r="E111" i="13"/>
  <c r="G111" i="13" s="1"/>
  <c r="N110" i="13"/>
  <c r="K110" i="13"/>
  <c r="J110" i="13"/>
  <c r="G110" i="13"/>
  <c r="E110" i="13"/>
  <c r="N109" i="13"/>
  <c r="J109" i="13"/>
  <c r="L109" i="13" s="1"/>
  <c r="E109" i="13"/>
  <c r="G109" i="13" s="1"/>
  <c r="N108" i="13"/>
  <c r="N115" i="13" s="1"/>
  <c r="Q16" i="13" s="1"/>
  <c r="J108" i="13"/>
  <c r="E108" i="13"/>
  <c r="F107" i="13"/>
  <c r="N106" i="13"/>
  <c r="K106" i="13"/>
  <c r="L106" i="13" s="1"/>
  <c r="J106" i="13"/>
  <c r="E106" i="13"/>
  <c r="G106" i="13" s="1"/>
  <c r="N105" i="13"/>
  <c r="K105" i="13"/>
  <c r="L105" i="13" s="1"/>
  <c r="J105" i="13"/>
  <c r="E105" i="13"/>
  <c r="G105" i="13" s="1"/>
  <c r="N104" i="13"/>
  <c r="K104" i="13"/>
  <c r="L104" i="13" s="1"/>
  <c r="J104" i="13"/>
  <c r="E104" i="13"/>
  <c r="G104" i="13" s="1"/>
  <c r="N103" i="13"/>
  <c r="K103" i="13"/>
  <c r="L103" i="13" s="1"/>
  <c r="J103" i="13"/>
  <c r="G103" i="13"/>
  <c r="E103" i="13"/>
  <c r="N102" i="13"/>
  <c r="K102" i="13"/>
  <c r="L102" i="13" s="1"/>
  <c r="J102" i="13"/>
  <c r="E102" i="13"/>
  <c r="G102" i="13" s="1"/>
  <c r="N101" i="13"/>
  <c r="K101" i="13"/>
  <c r="L101" i="13" s="1"/>
  <c r="J101" i="13"/>
  <c r="E101" i="13"/>
  <c r="G101" i="13" s="1"/>
  <c r="N100" i="13"/>
  <c r="N107" i="13" s="1"/>
  <c r="K100" i="13"/>
  <c r="K107" i="13" s="1"/>
  <c r="J100" i="13"/>
  <c r="E100" i="13"/>
  <c r="N98" i="13"/>
  <c r="K98" i="13"/>
  <c r="L98" i="13" s="1"/>
  <c r="J98" i="13"/>
  <c r="E98" i="13"/>
  <c r="G98" i="13" s="1"/>
  <c r="N97" i="13"/>
  <c r="K97" i="13"/>
  <c r="L97" i="13" s="1"/>
  <c r="J97" i="13"/>
  <c r="E97" i="13"/>
  <c r="G97" i="13" s="1"/>
  <c r="N96" i="13"/>
  <c r="K96" i="13"/>
  <c r="J96" i="13"/>
  <c r="L96" i="13" s="1"/>
  <c r="E96" i="13"/>
  <c r="G96" i="13" s="1"/>
  <c r="N95" i="13"/>
  <c r="K95" i="13"/>
  <c r="L95" i="13" s="1"/>
  <c r="J95" i="13"/>
  <c r="E95" i="13"/>
  <c r="G95" i="13" s="1"/>
  <c r="N94" i="13"/>
  <c r="K94" i="13"/>
  <c r="L94" i="13" s="1"/>
  <c r="J94" i="13"/>
  <c r="E94" i="13"/>
  <c r="G94" i="13" s="1"/>
  <c r="N93" i="13"/>
  <c r="K93" i="13"/>
  <c r="L93" i="13" s="1"/>
  <c r="J93" i="13"/>
  <c r="G93" i="13"/>
  <c r="E93" i="13"/>
  <c r="K92" i="13"/>
  <c r="J92" i="13"/>
  <c r="E92" i="13"/>
  <c r="G92" i="13" s="1"/>
  <c r="F91" i="13"/>
  <c r="F99" i="13" s="1"/>
  <c r="N90" i="13"/>
  <c r="K90" i="13"/>
  <c r="L90" i="13" s="1"/>
  <c r="E90" i="13"/>
  <c r="G90" i="13" s="1"/>
  <c r="N89" i="13"/>
  <c r="K89" i="13"/>
  <c r="L89" i="13" s="1"/>
  <c r="E89" i="13"/>
  <c r="G89" i="13" s="1"/>
  <c r="N88" i="13"/>
  <c r="K88" i="13"/>
  <c r="L88" i="13" s="1"/>
  <c r="J88" i="13"/>
  <c r="E88" i="13"/>
  <c r="G88" i="13" s="1"/>
  <c r="N87" i="13"/>
  <c r="L87" i="13"/>
  <c r="K87" i="13"/>
  <c r="J87" i="13"/>
  <c r="E87" i="13"/>
  <c r="G87" i="13" s="1"/>
  <c r="N86" i="13"/>
  <c r="K86" i="13"/>
  <c r="L86" i="13" s="1"/>
  <c r="J86" i="13"/>
  <c r="E86" i="13"/>
  <c r="G86" i="13" s="1"/>
  <c r="N85" i="13"/>
  <c r="N91" i="13" s="1"/>
  <c r="Q13" i="13" s="1"/>
  <c r="K85" i="13"/>
  <c r="J85" i="13"/>
  <c r="E85" i="13"/>
  <c r="F84" i="13"/>
  <c r="N83" i="13"/>
  <c r="K83" i="13"/>
  <c r="L83" i="13" s="1"/>
  <c r="J83" i="13"/>
  <c r="E83" i="13"/>
  <c r="G83" i="13" s="1"/>
  <c r="N82" i="13"/>
  <c r="K82" i="13"/>
  <c r="L82" i="13" s="1"/>
  <c r="J82" i="13"/>
  <c r="E82" i="13"/>
  <c r="G82" i="13" s="1"/>
  <c r="N81" i="13"/>
  <c r="K81" i="13"/>
  <c r="L81" i="13" s="1"/>
  <c r="J81" i="13"/>
  <c r="E81" i="13"/>
  <c r="G81" i="13" s="1"/>
  <c r="N80" i="13"/>
  <c r="K80" i="13"/>
  <c r="L80" i="13" s="1"/>
  <c r="J80" i="13"/>
  <c r="E80" i="13"/>
  <c r="G80" i="13" s="1"/>
  <c r="N79" i="13"/>
  <c r="K79" i="13"/>
  <c r="L79" i="13" s="1"/>
  <c r="J79" i="13"/>
  <c r="E79" i="13"/>
  <c r="G79" i="13" s="1"/>
  <c r="N78" i="13"/>
  <c r="K78" i="13"/>
  <c r="L78" i="13" s="1"/>
  <c r="J78" i="13"/>
  <c r="E78" i="13"/>
  <c r="G78" i="13" s="1"/>
  <c r="N77" i="13"/>
  <c r="N84" i="13" s="1"/>
  <c r="Q12" i="13" s="1"/>
  <c r="K77" i="13"/>
  <c r="J77" i="13"/>
  <c r="J84" i="13" s="1"/>
  <c r="E77" i="13"/>
  <c r="F76" i="13"/>
  <c r="N75" i="13"/>
  <c r="K75" i="13"/>
  <c r="L75" i="13" s="1"/>
  <c r="J75" i="13"/>
  <c r="E75" i="13"/>
  <c r="G75" i="13" s="1"/>
  <c r="N74" i="13"/>
  <c r="K74" i="13"/>
  <c r="L74" i="13" s="1"/>
  <c r="J74" i="13"/>
  <c r="E74" i="13"/>
  <c r="G74" i="13" s="1"/>
  <c r="N73" i="13"/>
  <c r="K73" i="13"/>
  <c r="L73" i="13" s="1"/>
  <c r="J73" i="13"/>
  <c r="E73" i="13"/>
  <c r="G73" i="13" s="1"/>
  <c r="N72" i="13"/>
  <c r="J72" i="13"/>
  <c r="L72" i="13" s="1"/>
  <c r="E72" i="13"/>
  <c r="G72" i="13" s="1"/>
  <c r="N71" i="13"/>
  <c r="J71" i="13"/>
  <c r="L71" i="13" s="1"/>
  <c r="E71" i="13"/>
  <c r="G71" i="13" s="1"/>
  <c r="N70" i="13"/>
  <c r="J70" i="13"/>
  <c r="L70" i="13" s="1"/>
  <c r="E70" i="13"/>
  <c r="G70" i="13" s="1"/>
  <c r="N69" i="13"/>
  <c r="N76" i="13" s="1"/>
  <c r="Q11" i="13" s="1"/>
  <c r="K69" i="13"/>
  <c r="J69" i="13"/>
  <c r="J76" i="13" s="1"/>
  <c r="E69" i="13"/>
  <c r="F68" i="13"/>
  <c r="N67" i="13"/>
  <c r="K67" i="13"/>
  <c r="L67" i="13" s="1"/>
  <c r="J67" i="13"/>
  <c r="E67" i="13"/>
  <c r="G67" i="13" s="1"/>
  <c r="N66" i="13"/>
  <c r="K66" i="13"/>
  <c r="L66" i="13" s="1"/>
  <c r="J66" i="13"/>
  <c r="E66" i="13"/>
  <c r="G66" i="13" s="1"/>
  <c r="N65" i="13"/>
  <c r="K65" i="13"/>
  <c r="J65" i="13"/>
  <c r="L65" i="13" s="1"/>
  <c r="E65" i="13"/>
  <c r="G65" i="13" s="1"/>
  <c r="N64" i="13"/>
  <c r="K64" i="13"/>
  <c r="L64" i="13" s="1"/>
  <c r="J64" i="13"/>
  <c r="E64" i="13"/>
  <c r="G64" i="13" s="1"/>
  <c r="N63" i="13"/>
  <c r="K63" i="13"/>
  <c r="L63" i="13" s="1"/>
  <c r="J63" i="13"/>
  <c r="E63" i="13"/>
  <c r="G63" i="13" s="1"/>
  <c r="N62" i="13"/>
  <c r="K62" i="13"/>
  <c r="L62" i="13" s="1"/>
  <c r="J62" i="13"/>
  <c r="G62" i="13"/>
  <c r="E62" i="13"/>
  <c r="N61" i="13"/>
  <c r="N68" i="13" s="1"/>
  <c r="Q10" i="13" s="1"/>
  <c r="K61" i="13"/>
  <c r="J61" i="13"/>
  <c r="J68" i="13" s="1"/>
  <c r="E61" i="13"/>
  <c r="F60" i="13"/>
  <c r="N59" i="13"/>
  <c r="K59" i="13"/>
  <c r="L59" i="13" s="1"/>
  <c r="J59" i="13"/>
  <c r="E59" i="13"/>
  <c r="G59" i="13" s="1"/>
  <c r="N58" i="13"/>
  <c r="K58" i="13"/>
  <c r="L58" i="13" s="1"/>
  <c r="J58" i="13"/>
  <c r="E58" i="13"/>
  <c r="G58" i="13" s="1"/>
  <c r="N57" i="13"/>
  <c r="K57" i="13"/>
  <c r="L57" i="13" s="1"/>
  <c r="J57" i="13"/>
  <c r="E57" i="13"/>
  <c r="G57" i="13" s="1"/>
  <c r="N56" i="13"/>
  <c r="K56" i="13"/>
  <c r="L56" i="13" s="1"/>
  <c r="J56" i="13"/>
  <c r="E56" i="13"/>
  <c r="G56" i="13" s="1"/>
  <c r="N55" i="13"/>
  <c r="L55" i="13"/>
  <c r="K55" i="13"/>
  <c r="J55" i="13"/>
  <c r="E55" i="13"/>
  <c r="G55" i="13" s="1"/>
  <c r="N54" i="13"/>
  <c r="K54" i="13"/>
  <c r="L54" i="13" s="1"/>
  <c r="J54" i="13"/>
  <c r="E54" i="13"/>
  <c r="G54" i="13" s="1"/>
  <c r="N53" i="13"/>
  <c r="N60" i="13" s="1"/>
  <c r="Q9" i="13" s="1"/>
  <c r="K53" i="13"/>
  <c r="J53" i="13"/>
  <c r="J60" i="13" s="1"/>
  <c r="G53" i="13"/>
  <c r="G60" i="13" s="1"/>
  <c r="E53" i="13"/>
  <c r="E60" i="13" s="1"/>
  <c r="F52" i="13"/>
  <c r="N51" i="13"/>
  <c r="K51" i="13"/>
  <c r="L51" i="13" s="1"/>
  <c r="J51" i="13"/>
  <c r="E51" i="13"/>
  <c r="G51" i="13" s="1"/>
  <c r="N50" i="13"/>
  <c r="K50" i="13"/>
  <c r="L50" i="13" s="1"/>
  <c r="E50" i="13"/>
  <c r="N49" i="13"/>
  <c r="K49" i="13"/>
  <c r="J49" i="13"/>
  <c r="L49" i="13" s="1"/>
  <c r="E49" i="13"/>
  <c r="G49" i="13" s="1"/>
  <c r="N48" i="13"/>
  <c r="K48" i="13"/>
  <c r="L48" i="13" s="1"/>
  <c r="J48" i="13"/>
  <c r="E48" i="13"/>
  <c r="G48" i="13" s="1"/>
  <c r="N47" i="13"/>
  <c r="K47" i="13"/>
  <c r="L47" i="13" s="1"/>
  <c r="J47" i="13"/>
  <c r="G47" i="13"/>
  <c r="E47" i="13"/>
  <c r="N46" i="13"/>
  <c r="K46" i="13"/>
  <c r="L46" i="13" s="1"/>
  <c r="J46" i="13"/>
  <c r="E46" i="13"/>
  <c r="G46" i="13" s="1"/>
  <c r="N45" i="13"/>
  <c r="K45" i="13"/>
  <c r="L45" i="13" s="1"/>
  <c r="J45" i="13"/>
  <c r="E45" i="13"/>
  <c r="G45" i="13" s="1"/>
  <c r="N44" i="13"/>
  <c r="N52" i="13" s="1"/>
  <c r="Q8" i="13" s="1"/>
  <c r="K44" i="13"/>
  <c r="J44" i="13"/>
  <c r="J52" i="13" s="1"/>
  <c r="G44" i="13"/>
  <c r="G52" i="13" s="1"/>
  <c r="E44" i="13"/>
  <c r="E52" i="13" s="1"/>
  <c r="F43" i="13"/>
  <c r="N42" i="13"/>
  <c r="K42" i="13"/>
  <c r="L42" i="13" s="1"/>
  <c r="J42" i="13"/>
  <c r="E42" i="13"/>
  <c r="G42" i="13" s="1"/>
  <c r="N41" i="13"/>
  <c r="K41" i="13"/>
  <c r="L41" i="13" s="1"/>
  <c r="J41" i="13"/>
  <c r="E41" i="13"/>
  <c r="G41" i="13" s="1"/>
  <c r="N40" i="13"/>
  <c r="K40" i="13"/>
  <c r="L40" i="13" s="1"/>
  <c r="J40" i="13"/>
  <c r="E40" i="13"/>
  <c r="G40" i="13" s="1"/>
  <c r="N39" i="13"/>
  <c r="K39" i="13"/>
  <c r="L39" i="13" s="1"/>
  <c r="J39" i="13"/>
  <c r="E39" i="13"/>
  <c r="G39" i="13" s="1"/>
  <c r="N38" i="13"/>
  <c r="K38" i="13"/>
  <c r="L38" i="13" s="1"/>
  <c r="J38" i="13"/>
  <c r="E38" i="13"/>
  <c r="G38" i="13" s="1"/>
  <c r="N37" i="13"/>
  <c r="K37" i="13"/>
  <c r="L37" i="13" s="1"/>
  <c r="J37" i="13"/>
  <c r="G37" i="13"/>
  <c r="E37" i="13"/>
  <c r="N36" i="13"/>
  <c r="N43" i="13" s="1"/>
  <c r="Q7" i="13" s="1"/>
  <c r="K36" i="13"/>
  <c r="J36" i="13"/>
  <c r="J43" i="13" s="1"/>
  <c r="E36" i="13"/>
  <c r="F35" i="13"/>
  <c r="N34" i="13"/>
  <c r="K34" i="13"/>
  <c r="L34" i="13" s="1"/>
  <c r="J34" i="13"/>
  <c r="E34" i="13"/>
  <c r="G34" i="13" s="1"/>
  <c r="N33" i="13"/>
  <c r="K33" i="13"/>
  <c r="L33" i="13" s="1"/>
  <c r="J33" i="13"/>
  <c r="E33" i="13"/>
  <c r="G33" i="13" s="1"/>
  <c r="N32" i="13"/>
  <c r="K32" i="13"/>
  <c r="L32" i="13" s="1"/>
  <c r="J32" i="13"/>
  <c r="E32" i="13"/>
  <c r="G32" i="13" s="1"/>
  <c r="N31" i="13"/>
  <c r="L31" i="13"/>
  <c r="K31" i="13"/>
  <c r="J31" i="13"/>
  <c r="E31" i="13"/>
  <c r="G31" i="13" s="1"/>
  <c r="N30" i="13"/>
  <c r="K30" i="13"/>
  <c r="L30" i="13" s="1"/>
  <c r="J30" i="13"/>
  <c r="E30" i="13"/>
  <c r="G30" i="13" s="1"/>
  <c r="N29" i="13"/>
  <c r="K29" i="13"/>
  <c r="L29" i="13" s="1"/>
  <c r="J29" i="13"/>
  <c r="E29" i="13"/>
  <c r="G29" i="13" s="1"/>
  <c r="N28" i="13"/>
  <c r="N35" i="13" s="1"/>
  <c r="Q6" i="13" s="1"/>
  <c r="K28" i="13"/>
  <c r="K35" i="13" s="1"/>
  <c r="J28" i="13"/>
  <c r="E28" i="13"/>
  <c r="F27" i="13"/>
  <c r="N26" i="13"/>
  <c r="K26" i="13"/>
  <c r="L26" i="13" s="1"/>
  <c r="J26" i="13"/>
  <c r="E26" i="13"/>
  <c r="G26" i="13" s="1"/>
  <c r="N25" i="13"/>
  <c r="K25" i="13"/>
  <c r="L25" i="13" s="1"/>
  <c r="J25" i="13"/>
  <c r="E25" i="13"/>
  <c r="G25" i="13" s="1"/>
  <c r="N24" i="13"/>
  <c r="L24" i="13"/>
  <c r="K24" i="13"/>
  <c r="J24" i="13"/>
  <c r="E24" i="13"/>
  <c r="G24" i="13" s="1"/>
  <c r="N23" i="13"/>
  <c r="K23" i="13"/>
  <c r="L23" i="13" s="1"/>
  <c r="J23" i="13"/>
  <c r="G23" i="13"/>
  <c r="E23" i="13"/>
  <c r="N22" i="13"/>
  <c r="K22" i="13"/>
  <c r="L22" i="13" s="1"/>
  <c r="J22" i="13"/>
  <c r="E22" i="13"/>
  <c r="G22" i="13" s="1"/>
  <c r="N21" i="13"/>
  <c r="K21" i="13"/>
  <c r="L21" i="13" s="1"/>
  <c r="J21" i="13"/>
  <c r="E21" i="13"/>
  <c r="G21" i="13" s="1"/>
  <c r="N20" i="13"/>
  <c r="K20" i="13"/>
  <c r="L20" i="13" s="1"/>
  <c r="J20" i="13"/>
  <c r="E20" i="13"/>
  <c r="G20" i="13" s="1"/>
  <c r="N19" i="13"/>
  <c r="N27" i="13" s="1"/>
  <c r="Q5" i="13" s="1"/>
  <c r="K19" i="13"/>
  <c r="J19" i="13"/>
  <c r="J27" i="13" s="1"/>
  <c r="E19" i="13"/>
  <c r="F18" i="13"/>
  <c r="N17" i="13"/>
  <c r="K17" i="13"/>
  <c r="L17" i="13" s="1"/>
  <c r="J17" i="13"/>
  <c r="E17" i="13"/>
  <c r="G17" i="13" s="1"/>
  <c r="N16" i="13"/>
  <c r="K16" i="13"/>
  <c r="L16" i="13" s="1"/>
  <c r="J16" i="13"/>
  <c r="E16" i="13"/>
  <c r="G16" i="13" s="1"/>
  <c r="N15" i="13"/>
  <c r="L15" i="13"/>
  <c r="K15" i="13"/>
  <c r="J15" i="13"/>
  <c r="E15" i="13"/>
  <c r="G15" i="13" s="1"/>
  <c r="N14" i="13"/>
  <c r="K14" i="13"/>
  <c r="L14" i="13" s="1"/>
  <c r="J14" i="13"/>
  <c r="E14" i="13"/>
  <c r="G14" i="13" s="1"/>
  <c r="N13" i="13"/>
  <c r="K13" i="13"/>
  <c r="L13" i="13" s="1"/>
  <c r="J13" i="13"/>
  <c r="E13" i="13"/>
  <c r="G13" i="13" s="1"/>
  <c r="N12" i="13"/>
  <c r="K12" i="13"/>
  <c r="L12" i="13" s="1"/>
  <c r="J12" i="13"/>
  <c r="E12" i="13"/>
  <c r="G12" i="13" s="1"/>
  <c r="N11" i="13"/>
  <c r="N18" i="13" s="1"/>
  <c r="Q4" i="13" s="1"/>
  <c r="K11" i="13"/>
  <c r="J11" i="13"/>
  <c r="J18" i="13" s="1"/>
  <c r="E11" i="13"/>
  <c r="F10" i="13"/>
  <c r="N9" i="13"/>
  <c r="K9" i="13"/>
  <c r="L9" i="13" s="1"/>
  <c r="J9" i="13"/>
  <c r="E9" i="13"/>
  <c r="G9" i="13" s="1"/>
  <c r="N8" i="13"/>
  <c r="K8" i="13"/>
  <c r="L8" i="13" s="1"/>
  <c r="J8" i="13"/>
  <c r="E8" i="13"/>
  <c r="G8" i="13" s="1"/>
  <c r="N7" i="13"/>
  <c r="K7" i="13"/>
  <c r="L7" i="13" s="1"/>
  <c r="J7" i="13"/>
  <c r="E7" i="13"/>
  <c r="G7" i="13" s="1"/>
  <c r="N6" i="13"/>
  <c r="K6" i="13"/>
  <c r="L6" i="13" s="1"/>
  <c r="J6" i="13"/>
  <c r="E6" i="13"/>
  <c r="G6" i="13" s="1"/>
  <c r="N5" i="13"/>
  <c r="K5" i="13"/>
  <c r="L5" i="13" s="1"/>
  <c r="J5" i="13"/>
  <c r="E5" i="13"/>
  <c r="G5" i="13" s="1"/>
  <c r="O4" i="13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N4" i="13"/>
  <c r="K4" i="13"/>
  <c r="L4" i="13" s="1"/>
  <c r="J4" i="13"/>
  <c r="E4" i="13"/>
  <c r="G4" i="13" s="1"/>
  <c r="N3" i="13"/>
  <c r="N10" i="13" s="1"/>
  <c r="K3" i="13"/>
  <c r="J3" i="13"/>
  <c r="J10" i="13" s="1"/>
  <c r="E3" i="13"/>
  <c r="F215" i="12"/>
  <c r="N214" i="12"/>
  <c r="K214" i="12"/>
  <c r="L214" i="12" s="1"/>
  <c r="J214" i="12"/>
  <c r="E214" i="12"/>
  <c r="G214" i="12" s="1"/>
  <c r="N213" i="12"/>
  <c r="K213" i="12"/>
  <c r="K212" i="12"/>
  <c r="L212" i="12" s="1"/>
  <c r="J212" i="12"/>
  <c r="G212" i="12"/>
  <c r="E212" i="12"/>
  <c r="K211" i="12"/>
  <c r="L211" i="12" s="1"/>
  <c r="J211" i="12"/>
  <c r="E211" i="12"/>
  <c r="G211" i="12" s="1"/>
  <c r="N210" i="12"/>
  <c r="K210" i="12"/>
  <c r="L210" i="12" s="1"/>
  <c r="J210" i="12"/>
  <c r="G210" i="12"/>
  <c r="E210" i="12"/>
  <c r="N209" i="12"/>
  <c r="N215" i="12" s="1"/>
  <c r="K209" i="12"/>
  <c r="J209" i="12"/>
  <c r="J215" i="12" s="1"/>
  <c r="E209" i="12"/>
  <c r="N208" i="12"/>
  <c r="F208" i="12"/>
  <c r="K207" i="12"/>
  <c r="L207" i="12" s="1"/>
  <c r="J207" i="12"/>
  <c r="E207" i="12"/>
  <c r="G207" i="12" s="1"/>
  <c r="K205" i="12"/>
  <c r="L205" i="12" s="1"/>
  <c r="J205" i="12"/>
  <c r="E205" i="12"/>
  <c r="G205" i="12" s="1"/>
  <c r="K204" i="12"/>
  <c r="L204" i="12" s="1"/>
  <c r="J204" i="12"/>
  <c r="G204" i="12"/>
  <c r="E204" i="12"/>
  <c r="K203" i="12"/>
  <c r="L203" i="12" s="1"/>
  <c r="J203" i="12"/>
  <c r="G203" i="12"/>
  <c r="E203" i="12"/>
  <c r="K202" i="12"/>
  <c r="L202" i="12" s="1"/>
  <c r="J202" i="12"/>
  <c r="E202" i="12"/>
  <c r="G202" i="12" s="1"/>
  <c r="K201" i="12"/>
  <c r="J201" i="12"/>
  <c r="G201" i="12"/>
  <c r="E201" i="12"/>
  <c r="L200" i="12"/>
  <c r="L208" i="12" s="1"/>
  <c r="J200" i="12"/>
  <c r="J208" i="12" s="1"/>
  <c r="E200" i="12"/>
  <c r="F199" i="12"/>
  <c r="N198" i="12"/>
  <c r="K198" i="12"/>
  <c r="L198" i="12" s="1"/>
  <c r="J198" i="12"/>
  <c r="E198" i="12"/>
  <c r="G198" i="12" s="1"/>
  <c r="N197" i="12"/>
  <c r="N199" i="12" s="1"/>
  <c r="K197" i="12"/>
  <c r="L197" i="12" s="1"/>
  <c r="J197" i="12"/>
  <c r="G197" i="12"/>
  <c r="E197" i="12"/>
  <c r="K196" i="12"/>
  <c r="L196" i="12" s="1"/>
  <c r="J196" i="12"/>
  <c r="E196" i="12"/>
  <c r="G196" i="12" s="1"/>
  <c r="K195" i="12"/>
  <c r="L195" i="12" s="1"/>
  <c r="J195" i="12"/>
  <c r="E195" i="12"/>
  <c r="G195" i="12" s="1"/>
  <c r="K194" i="12"/>
  <c r="J194" i="12"/>
  <c r="J199" i="12" s="1"/>
  <c r="E194" i="12"/>
  <c r="F193" i="12"/>
  <c r="N192" i="12"/>
  <c r="K192" i="12"/>
  <c r="L192" i="12" s="1"/>
  <c r="J192" i="12"/>
  <c r="E192" i="12"/>
  <c r="G192" i="12" s="1"/>
  <c r="K191" i="12"/>
  <c r="J191" i="12"/>
  <c r="E191" i="12"/>
  <c r="G191" i="12" s="1"/>
  <c r="K190" i="12"/>
  <c r="L190" i="12" s="1"/>
  <c r="J190" i="12"/>
  <c r="E190" i="12"/>
  <c r="G190" i="12" s="1"/>
  <c r="K189" i="12"/>
  <c r="J189" i="12"/>
  <c r="E189" i="12"/>
  <c r="K188" i="12"/>
  <c r="J188" i="12"/>
  <c r="J193" i="12" s="1"/>
  <c r="G188" i="12"/>
  <c r="G193" i="12" s="1"/>
  <c r="F187" i="12"/>
  <c r="N186" i="12"/>
  <c r="K186" i="12"/>
  <c r="L186" i="12" s="1"/>
  <c r="J186" i="12"/>
  <c r="G186" i="12"/>
  <c r="E186" i="12"/>
  <c r="N185" i="12"/>
  <c r="K185" i="12"/>
  <c r="L185" i="12" s="1"/>
  <c r="J185" i="12"/>
  <c r="E185" i="12"/>
  <c r="G185" i="12" s="1"/>
  <c r="N184" i="12"/>
  <c r="K184" i="12"/>
  <c r="L184" i="12" s="1"/>
  <c r="J184" i="12"/>
  <c r="E184" i="12"/>
  <c r="G184" i="12" s="1"/>
  <c r="K183" i="12"/>
  <c r="L183" i="12" s="1"/>
  <c r="J183" i="12"/>
  <c r="E183" i="12"/>
  <c r="K182" i="12"/>
  <c r="J182" i="12"/>
  <c r="J187" i="12" s="1"/>
  <c r="G182" i="12"/>
  <c r="G187" i="12" s="1"/>
  <c r="F181" i="12"/>
  <c r="N180" i="12"/>
  <c r="K180" i="12"/>
  <c r="L180" i="12" s="1"/>
  <c r="J180" i="12"/>
  <c r="E180" i="12"/>
  <c r="G180" i="12" s="1"/>
  <c r="N179" i="12"/>
  <c r="K179" i="12"/>
  <c r="L179" i="12" s="1"/>
  <c r="J179" i="12"/>
  <c r="E179" i="12"/>
  <c r="G179" i="12" s="1"/>
  <c r="N178" i="12"/>
  <c r="N181" i="12" s="1"/>
  <c r="K178" i="12"/>
  <c r="L178" i="12" s="1"/>
  <c r="J178" i="12"/>
  <c r="E178" i="12"/>
  <c r="G178" i="12" s="1"/>
  <c r="K177" i="12"/>
  <c r="L177" i="12" s="1"/>
  <c r="J177" i="12"/>
  <c r="E177" i="12"/>
  <c r="G177" i="12" s="1"/>
  <c r="K176" i="12"/>
  <c r="J176" i="12"/>
  <c r="J181" i="12" s="1"/>
  <c r="E176" i="12"/>
  <c r="F175" i="12"/>
  <c r="N174" i="12"/>
  <c r="K174" i="12"/>
  <c r="L174" i="12" s="1"/>
  <c r="J174" i="12"/>
  <c r="E174" i="12"/>
  <c r="G174" i="12" s="1"/>
  <c r="N173" i="12"/>
  <c r="K173" i="12"/>
  <c r="L173" i="12" s="1"/>
  <c r="J173" i="12"/>
  <c r="E173" i="12"/>
  <c r="G173" i="12" s="1"/>
  <c r="N172" i="12"/>
  <c r="K172" i="12"/>
  <c r="L172" i="12" s="1"/>
  <c r="J172" i="12"/>
  <c r="E172" i="12"/>
  <c r="G172" i="12" s="1"/>
  <c r="K171" i="12"/>
  <c r="L171" i="12" s="1"/>
  <c r="J171" i="12"/>
  <c r="E171" i="12"/>
  <c r="G171" i="12" s="1"/>
  <c r="K170" i="12"/>
  <c r="J170" i="12"/>
  <c r="J175" i="12" s="1"/>
  <c r="E170" i="12"/>
  <c r="N169" i="12"/>
  <c r="F169" i="12"/>
  <c r="K168" i="12"/>
  <c r="L168" i="12" s="1"/>
  <c r="J168" i="12"/>
  <c r="E168" i="12"/>
  <c r="G168" i="12" s="1"/>
  <c r="K166" i="12"/>
  <c r="L166" i="12" s="1"/>
  <c r="J166" i="12"/>
  <c r="E166" i="12"/>
  <c r="G166" i="12" s="1"/>
  <c r="K165" i="12"/>
  <c r="L165" i="12" s="1"/>
  <c r="J165" i="12"/>
  <c r="E165" i="12"/>
  <c r="G165" i="12" s="1"/>
  <c r="K164" i="12"/>
  <c r="J164" i="12"/>
  <c r="J169" i="12" s="1"/>
  <c r="E164" i="12"/>
  <c r="F163" i="12"/>
  <c r="N162" i="12"/>
  <c r="K162" i="12"/>
  <c r="L162" i="12" s="1"/>
  <c r="J162" i="12"/>
  <c r="E162" i="12"/>
  <c r="G162" i="12" s="1"/>
  <c r="N161" i="12"/>
  <c r="K161" i="12"/>
  <c r="L161" i="12" s="1"/>
  <c r="J161" i="12"/>
  <c r="E161" i="12"/>
  <c r="G161" i="12" s="1"/>
  <c r="K160" i="12"/>
  <c r="L160" i="12" s="1"/>
  <c r="J160" i="12"/>
  <c r="E160" i="12"/>
  <c r="G160" i="12" s="1"/>
  <c r="K159" i="12"/>
  <c r="J159" i="12"/>
  <c r="J163" i="12" s="1"/>
  <c r="E159" i="12"/>
  <c r="K158" i="12"/>
  <c r="F153" i="12"/>
  <c r="N152" i="12"/>
  <c r="J152" i="12"/>
  <c r="L152" i="12" s="1"/>
  <c r="E152" i="12"/>
  <c r="G152" i="12" s="1"/>
  <c r="N151" i="12"/>
  <c r="K151" i="12"/>
  <c r="L151" i="12" s="1"/>
  <c r="J151" i="12"/>
  <c r="E151" i="12"/>
  <c r="G151" i="12" s="1"/>
  <c r="N150" i="12"/>
  <c r="K150" i="12"/>
  <c r="L150" i="12" s="1"/>
  <c r="J150" i="12"/>
  <c r="G150" i="12"/>
  <c r="E150" i="12"/>
  <c r="N149" i="12"/>
  <c r="K149" i="12"/>
  <c r="L149" i="12" s="1"/>
  <c r="J149" i="12"/>
  <c r="E149" i="12"/>
  <c r="G149" i="12" s="1"/>
  <c r="N148" i="12"/>
  <c r="L148" i="12"/>
  <c r="K148" i="12"/>
  <c r="J148" i="12"/>
  <c r="E148" i="12"/>
  <c r="G148" i="12" s="1"/>
  <c r="N147" i="12"/>
  <c r="K147" i="12"/>
  <c r="L147" i="12" s="1"/>
  <c r="J147" i="12"/>
  <c r="E147" i="12"/>
  <c r="G147" i="12" s="1"/>
  <c r="N146" i="12"/>
  <c r="K146" i="12"/>
  <c r="L146" i="12" s="1"/>
  <c r="J146" i="12"/>
  <c r="E146" i="12"/>
  <c r="G146" i="12" s="1"/>
  <c r="N145" i="12"/>
  <c r="N153" i="12" s="1"/>
  <c r="Q20" i="12" s="1"/>
  <c r="K145" i="12"/>
  <c r="J145" i="12"/>
  <c r="J153" i="12" s="1"/>
  <c r="E145" i="12"/>
  <c r="F144" i="12"/>
  <c r="N143" i="12"/>
  <c r="J143" i="12"/>
  <c r="L143" i="12" s="1"/>
  <c r="E143" i="12"/>
  <c r="G143" i="12" s="1"/>
  <c r="N142" i="12"/>
  <c r="K142" i="12"/>
  <c r="L142" i="12" s="1"/>
  <c r="J142" i="12"/>
  <c r="E142" i="12"/>
  <c r="G142" i="12" s="1"/>
  <c r="N141" i="12"/>
  <c r="K141" i="12"/>
  <c r="L141" i="12" s="1"/>
  <c r="J141" i="12"/>
  <c r="E141" i="12"/>
  <c r="G141" i="12" s="1"/>
  <c r="N140" i="12"/>
  <c r="K140" i="12"/>
  <c r="L140" i="12" s="1"/>
  <c r="J140" i="12"/>
  <c r="E140" i="12"/>
  <c r="G140" i="12" s="1"/>
  <c r="N139" i="12"/>
  <c r="K139" i="12"/>
  <c r="L139" i="12" s="1"/>
  <c r="J139" i="12"/>
  <c r="E139" i="12"/>
  <c r="G139" i="12" s="1"/>
  <c r="N138" i="12"/>
  <c r="K138" i="12"/>
  <c r="L138" i="12" s="1"/>
  <c r="J138" i="12"/>
  <c r="E138" i="12"/>
  <c r="G138" i="12" s="1"/>
  <c r="N137" i="12"/>
  <c r="K137" i="12"/>
  <c r="J137" i="12"/>
  <c r="L137" i="12" s="1"/>
  <c r="E137" i="12"/>
  <c r="G137" i="12" s="1"/>
  <c r="N136" i="12"/>
  <c r="N144" i="12" s="1"/>
  <c r="Q19" i="12" s="1"/>
  <c r="K136" i="12"/>
  <c r="J136" i="12"/>
  <c r="J144" i="12" s="1"/>
  <c r="E136" i="12"/>
  <c r="F135" i="12"/>
  <c r="N134" i="12"/>
  <c r="J134" i="12"/>
  <c r="L134" i="12" s="1"/>
  <c r="E134" i="12"/>
  <c r="G134" i="12" s="1"/>
  <c r="N133" i="12"/>
  <c r="K133" i="12"/>
  <c r="L133" i="12" s="1"/>
  <c r="J133" i="12"/>
  <c r="G133" i="12"/>
  <c r="E133" i="12"/>
  <c r="N132" i="12"/>
  <c r="K132" i="12"/>
  <c r="L132" i="12" s="1"/>
  <c r="J132" i="12"/>
  <c r="E132" i="12"/>
  <c r="G132" i="12" s="1"/>
  <c r="N131" i="12"/>
  <c r="K131" i="12"/>
  <c r="L131" i="12" s="1"/>
  <c r="J131" i="12"/>
  <c r="E131" i="12"/>
  <c r="G131" i="12" s="1"/>
  <c r="N130" i="12"/>
  <c r="K130" i="12"/>
  <c r="L130" i="12" s="1"/>
  <c r="J130" i="12"/>
  <c r="E130" i="12"/>
  <c r="G130" i="12" s="1"/>
  <c r="N129" i="12"/>
  <c r="K129" i="12"/>
  <c r="L129" i="12" s="1"/>
  <c r="J129" i="12"/>
  <c r="E129" i="12"/>
  <c r="G129" i="12" s="1"/>
  <c r="N128" i="12"/>
  <c r="K128" i="12"/>
  <c r="L128" i="12" s="1"/>
  <c r="J128" i="12"/>
  <c r="E128" i="12"/>
  <c r="G128" i="12" s="1"/>
  <c r="N127" i="12"/>
  <c r="N135" i="12" s="1"/>
  <c r="Q18" i="12" s="1"/>
  <c r="K127" i="12"/>
  <c r="J127" i="12"/>
  <c r="J135" i="12" s="1"/>
  <c r="E127" i="12"/>
  <c r="F126" i="12"/>
  <c r="N125" i="12"/>
  <c r="J125" i="12"/>
  <c r="L125" i="12" s="1"/>
  <c r="E125" i="12"/>
  <c r="G125" i="12" s="1"/>
  <c r="N124" i="12"/>
  <c r="K124" i="12"/>
  <c r="L124" i="12" s="1"/>
  <c r="J124" i="12"/>
  <c r="G124" i="12"/>
  <c r="E124" i="12"/>
  <c r="N123" i="12"/>
  <c r="L123" i="12"/>
  <c r="K123" i="12"/>
  <c r="J123" i="12"/>
  <c r="E123" i="12"/>
  <c r="G123" i="12" s="1"/>
  <c r="N122" i="12"/>
  <c r="K122" i="12"/>
  <c r="L122" i="12" s="1"/>
  <c r="J122" i="12"/>
  <c r="E122" i="12"/>
  <c r="G122" i="12" s="1"/>
  <c r="N121" i="12"/>
  <c r="K121" i="12"/>
  <c r="J121" i="12"/>
  <c r="J126" i="12" s="1"/>
  <c r="E121" i="12"/>
  <c r="N120" i="12"/>
  <c r="N126" i="12" s="1"/>
  <c r="Q17" i="12" s="1"/>
  <c r="K120" i="12"/>
  <c r="L120" i="12" s="1"/>
  <c r="J120" i="12"/>
  <c r="E120" i="12"/>
  <c r="G120" i="12" s="1"/>
  <c r="N119" i="12"/>
  <c r="K119" i="12"/>
  <c r="L119" i="12" s="1"/>
  <c r="J119" i="12"/>
  <c r="E119" i="12"/>
  <c r="G119" i="12" s="1"/>
  <c r="N118" i="12"/>
  <c r="K118" i="12"/>
  <c r="L118" i="12" s="1"/>
  <c r="L126" i="12" s="1"/>
  <c r="J118" i="12"/>
  <c r="E118" i="12"/>
  <c r="G118" i="12" s="1"/>
  <c r="G126" i="12" s="1"/>
  <c r="F117" i="12"/>
  <c r="N116" i="12"/>
  <c r="K116" i="12"/>
  <c r="L116" i="12" s="1"/>
  <c r="J116" i="12"/>
  <c r="E116" i="12"/>
  <c r="G116" i="12" s="1"/>
  <c r="N115" i="12"/>
  <c r="K115" i="12"/>
  <c r="L115" i="12" s="1"/>
  <c r="J115" i="12"/>
  <c r="E115" i="12"/>
  <c r="G115" i="12" s="1"/>
  <c r="N114" i="12"/>
  <c r="K114" i="12"/>
  <c r="L114" i="12" s="1"/>
  <c r="J114" i="12"/>
  <c r="E114" i="12"/>
  <c r="G114" i="12" s="1"/>
  <c r="N113" i="12"/>
  <c r="K113" i="12"/>
  <c r="L113" i="12" s="1"/>
  <c r="J113" i="12"/>
  <c r="E113" i="12"/>
  <c r="G113" i="12" s="1"/>
  <c r="N112" i="12"/>
  <c r="K112" i="12"/>
  <c r="L112" i="12" s="1"/>
  <c r="J112" i="12"/>
  <c r="E112" i="12"/>
  <c r="G112" i="12" s="1"/>
  <c r="N111" i="12"/>
  <c r="K111" i="12"/>
  <c r="L111" i="12" s="1"/>
  <c r="J111" i="12"/>
  <c r="E111" i="12"/>
  <c r="G111" i="12" s="1"/>
  <c r="N110" i="12"/>
  <c r="N117" i="12" s="1"/>
  <c r="Q16" i="12" s="1"/>
  <c r="K110" i="12"/>
  <c r="J110" i="12"/>
  <c r="J117" i="12" s="1"/>
  <c r="E110" i="12"/>
  <c r="F109" i="12"/>
  <c r="N108" i="12"/>
  <c r="K108" i="12"/>
  <c r="L108" i="12" s="1"/>
  <c r="J108" i="12"/>
  <c r="E108" i="12"/>
  <c r="G108" i="12" s="1"/>
  <c r="N107" i="12"/>
  <c r="K107" i="12"/>
  <c r="L107" i="12" s="1"/>
  <c r="J107" i="12"/>
  <c r="E107" i="12"/>
  <c r="G107" i="12" s="1"/>
  <c r="N106" i="12"/>
  <c r="K106" i="12"/>
  <c r="L106" i="12" s="1"/>
  <c r="J106" i="12"/>
  <c r="E106" i="12"/>
  <c r="G106" i="12" s="1"/>
  <c r="N105" i="12"/>
  <c r="K105" i="12"/>
  <c r="L105" i="12" s="1"/>
  <c r="J105" i="12"/>
  <c r="E105" i="12"/>
  <c r="G105" i="12" s="1"/>
  <c r="N104" i="12"/>
  <c r="K104" i="12"/>
  <c r="L104" i="12" s="1"/>
  <c r="J104" i="12"/>
  <c r="E104" i="12"/>
  <c r="G104" i="12" s="1"/>
  <c r="N103" i="12"/>
  <c r="K103" i="12"/>
  <c r="L103" i="12" s="1"/>
  <c r="J103" i="12"/>
  <c r="E103" i="12"/>
  <c r="G103" i="12" s="1"/>
  <c r="N102" i="12"/>
  <c r="N109" i="12" s="1"/>
  <c r="Q15" i="12" s="1"/>
  <c r="K102" i="12"/>
  <c r="J102" i="12"/>
  <c r="J109" i="12" s="1"/>
  <c r="E102" i="12"/>
  <c r="N100" i="12"/>
  <c r="K100" i="12"/>
  <c r="L100" i="12" s="1"/>
  <c r="J100" i="12"/>
  <c r="E100" i="12"/>
  <c r="G100" i="12" s="1"/>
  <c r="N99" i="12"/>
  <c r="K99" i="12"/>
  <c r="L99" i="12" s="1"/>
  <c r="J99" i="12"/>
  <c r="E99" i="12"/>
  <c r="G99" i="12" s="1"/>
  <c r="N98" i="12"/>
  <c r="K98" i="12"/>
  <c r="L98" i="12" s="1"/>
  <c r="J98" i="12"/>
  <c r="E98" i="12"/>
  <c r="G98" i="12" s="1"/>
  <c r="N97" i="12"/>
  <c r="K97" i="12"/>
  <c r="L97" i="12" s="1"/>
  <c r="J97" i="12"/>
  <c r="E97" i="12"/>
  <c r="G97" i="12" s="1"/>
  <c r="N96" i="12"/>
  <c r="K96" i="12"/>
  <c r="L96" i="12" s="1"/>
  <c r="J96" i="12"/>
  <c r="E96" i="12"/>
  <c r="G96" i="12" s="1"/>
  <c r="N95" i="12"/>
  <c r="K95" i="12"/>
  <c r="L95" i="12" s="1"/>
  <c r="J95" i="12"/>
  <c r="E95" i="12"/>
  <c r="G95" i="12" s="1"/>
  <c r="K94" i="12"/>
  <c r="J94" i="12"/>
  <c r="E94" i="12"/>
  <c r="G94" i="12" s="1"/>
  <c r="F93" i="12"/>
  <c r="F101" i="12" s="1"/>
  <c r="N92" i="12"/>
  <c r="K92" i="12"/>
  <c r="L92" i="12" s="1"/>
  <c r="E92" i="12"/>
  <c r="G92" i="12" s="1"/>
  <c r="N91" i="12"/>
  <c r="K91" i="12"/>
  <c r="L91" i="12" s="1"/>
  <c r="E91" i="12"/>
  <c r="G91" i="12" s="1"/>
  <c r="N90" i="12"/>
  <c r="K90" i="12"/>
  <c r="L90" i="12" s="1"/>
  <c r="J90" i="12"/>
  <c r="E90" i="12"/>
  <c r="G90" i="12" s="1"/>
  <c r="N89" i="12"/>
  <c r="K89" i="12"/>
  <c r="L89" i="12" s="1"/>
  <c r="J89" i="12"/>
  <c r="E89" i="12"/>
  <c r="G89" i="12" s="1"/>
  <c r="N88" i="12"/>
  <c r="K88" i="12"/>
  <c r="L88" i="12" s="1"/>
  <c r="J88" i="12"/>
  <c r="E88" i="12"/>
  <c r="G88" i="12" s="1"/>
  <c r="N87" i="12"/>
  <c r="N93" i="12" s="1"/>
  <c r="Q13" i="12" s="1"/>
  <c r="K87" i="12"/>
  <c r="J87" i="12"/>
  <c r="E87" i="12"/>
  <c r="F86" i="12"/>
  <c r="N85" i="12"/>
  <c r="K85" i="12"/>
  <c r="L85" i="12" s="1"/>
  <c r="J85" i="12"/>
  <c r="E85" i="12"/>
  <c r="G85" i="12" s="1"/>
  <c r="N84" i="12"/>
  <c r="K84" i="12"/>
  <c r="L84" i="12" s="1"/>
  <c r="J84" i="12"/>
  <c r="E84" i="12"/>
  <c r="G84" i="12" s="1"/>
  <c r="N83" i="12"/>
  <c r="K83" i="12"/>
  <c r="L83" i="12" s="1"/>
  <c r="J83" i="12"/>
  <c r="E83" i="12"/>
  <c r="G83" i="12" s="1"/>
  <c r="N82" i="12"/>
  <c r="K82" i="12"/>
  <c r="L82" i="12" s="1"/>
  <c r="J82" i="12"/>
  <c r="E82" i="12"/>
  <c r="G82" i="12" s="1"/>
  <c r="N81" i="12"/>
  <c r="K81" i="12"/>
  <c r="L81" i="12" s="1"/>
  <c r="J81" i="12"/>
  <c r="E81" i="12"/>
  <c r="G81" i="12" s="1"/>
  <c r="N80" i="12"/>
  <c r="K80" i="12"/>
  <c r="L80" i="12" s="1"/>
  <c r="J80" i="12"/>
  <c r="E80" i="12"/>
  <c r="G80" i="12" s="1"/>
  <c r="N79" i="12"/>
  <c r="N86" i="12" s="1"/>
  <c r="Q12" i="12" s="1"/>
  <c r="K79" i="12"/>
  <c r="J79" i="12"/>
  <c r="J86" i="12" s="1"/>
  <c r="E79" i="12"/>
  <c r="F78" i="12"/>
  <c r="N77" i="12"/>
  <c r="K77" i="12"/>
  <c r="L77" i="12" s="1"/>
  <c r="J77" i="12"/>
  <c r="E77" i="12"/>
  <c r="G77" i="12" s="1"/>
  <c r="N76" i="12"/>
  <c r="K76" i="12"/>
  <c r="L76" i="12" s="1"/>
  <c r="J76" i="12"/>
  <c r="E76" i="12"/>
  <c r="G76" i="12" s="1"/>
  <c r="N75" i="12"/>
  <c r="K75" i="12"/>
  <c r="L75" i="12" s="1"/>
  <c r="J75" i="12"/>
  <c r="E75" i="12"/>
  <c r="G75" i="12" s="1"/>
  <c r="N74" i="12"/>
  <c r="K74" i="12"/>
  <c r="L74" i="12" s="1"/>
  <c r="J74" i="12"/>
  <c r="E74" i="12"/>
  <c r="G74" i="12" s="1"/>
  <c r="N73" i="12"/>
  <c r="K73" i="12"/>
  <c r="L73" i="12" s="1"/>
  <c r="J73" i="12"/>
  <c r="E73" i="12"/>
  <c r="G73" i="12" s="1"/>
  <c r="N72" i="12"/>
  <c r="K72" i="12"/>
  <c r="L72" i="12" s="1"/>
  <c r="J72" i="12"/>
  <c r="E72" i="12"/>
  <c r="G72" i="12" s="1"/>
  <c r="N71" i="12"/>
  <c r="N78" i="12" s="1"/>
  <c r="Q11" i="12" s="1"/>
  <c r="K71" i="12"/>
  <c r="J71" i="12"/>
  <c r="J78" i="12" s="1"/>
  <c r="E71" i="12"/>
  <c r="F70" i="12"/>
  <c r="N69" i="12"/>
  <c r="K69" i="12"/>
  <c r="L69" i="12" s="1"/>
  <c r="J69" i="12"/>
  <c r="E69" i="12"/>
  <c r="G69" i="12" s="1"/>
  <c r="N68" i="12"/>
  <c r="K68" i="12"/>
  <c r="L68" i="12" s="1"/>
  <c r="J68" i="12"/>
  <c r="E68" i="12"/>
  <c r="G68" i="12" s="1"/>
  <c r="N67" i="12"/>
  <c r="K67" i="12"/>
  <c r="L67" i="12" s="1"/>
  <c r="J67" i="12"/>
  <c r="E67" i="12"/>
  <c r="G67" i="12" s="1"/>
  <c r="N66" i="12"/>
  <c r="K66" i="12"/>
  <c r="L66" i="12" s="1"/>
  <c r="J66" i="12"/>
  <c r="E66" i="12"/>
  <c r="G66" i="12" s="1"/>
  <c r="N65" i="12"/>
  <c r="K65" i="12"/>
  <c r="L65" i="12" s="1"/>
  <c r="J65" i="12"/>
  <c r="E65" i="12"/>
  <c r="G65" i="12" s="1"/>
  <c r="N64" i="12"/>
  <c r="K64" i="12"/>
  <c r="L64" i="12" s="1"/>
  <c r="J64" i="12"/>
  <c r="E64" i="12"/>
  <c r="G64" i="12" s="1"/>
  <c r="N63" i="12"/>
  <c r="N70" i="12" s="1"/>
  <c r="Q10" i="12" s="1"/>
  <c r="K63" i="12"/>
  <c r="J63" i="12"/>
  <c r="J70" i="12" s="1"/>
  <c r="E63" i="12"/>
  <c r="F62" i="12"/>
  <c r="N61" i="12"/>
  <c r="K61" i="12"/>
  <c r="L61" i="12" s="1"/>
  <c r="J61" i="12"/>
  <c r="E61" i="12"/>
  <c r="G61" i="12" s="1"/>
  <c r="N60" i="12"/>
  <c r="K60" i="12"/>
  <c r="E60" i="12"/>
  <c r="G60" i="12" s="1"/>
  <c r="N59" i="12"/>
  <c r="K59" i="12"/>
  <c r="L59" i="12" s="1"/>
  <c r="J59" i="12"/>
  <c r="E59" i="12"/>
  <c r="G59" i="12" s="1"/>
  <c r="N58" i="12"/>
  <c r="K58" i="12"/>
  <c r="L58" i="12" s="1"/>
  <c r="J58" i="12"/>
  <c r="E58" i="12"/>
  <c r="G58" i="12" s="1"/>
  <c r="N57" i="12"/>
  <c r="K57" i="12"/>
  <c r="L57" i="12" s="1"/>
  <c r="J57" i="12"/>
  <c r="E57" i="12"/>
  <c r="G57" i="12" s="1"/>
  <c r="N56" i="12"/>
  <c r="K56" i="12"/>
  <c r="L56" i="12" s="1"/>
  <c r="J56" i="12"/>
  <c r="E56" i="12"/>
  <c r="G56" i="12" s="1"/>
  <c r="N55" i="12"/>
  <c r="K55" i="12"/>
  <c r="L55" i="12" s="1"/>
  <c r="J55" i="12"/>
  <c r="E55" i="12"/>
  <c r="G55" i="12" s="1"/>
  <c r="N54" i="12"/>
  <c r="N62" i="12" s="1"/>
  <c r="Q9" i="12" s="1"/>
  <c r="K54" i="12"/>
  <c r="J54" i="12"/>
  <c r="J62" i="12" s="1"/>
  <c r="E54" i="12"/>
  <c r="F53" i="12"/>
  <c r="N52" i="12"/>
  <c r="K52" i="12"/>
  <c r="L52" i="12" s="1"/>
  <c r="J52" i="12"/>
  <c r="E52" i="12"/>
  <c r="G52" i="12" s="1"/>
  <c r="N51" i="12"/>
  <c r="K51" i="12"/>
  <c r="L51" i="12" s="1"/>
  <c r="E51" i="12"/>
  <c r="G51" i="12" s="1"/>
  <c r="N50" i="12"/>
  <c r="K50" i="12"/>
  <c r="L50" i="12" s="1"/>
  <c r="E50" i="12"/>
  <c r="G50" i="12" s="1"/>
  <c r="N49" i="12"/>
  <c r="K49" i="12"/>
  <c r="L49" i="12" s="1"/>
  <c r="J49" i="12"/>
  <c r="E49" i="12"/>
  <c r="G49" i="12" s="1"/>
  <c r="N48" i="12"/>
  <c r="K48" i="12"/>
  <c r="L48" i="12" s="1"/>
  <c r="J48" i="12"/>
  <c r="E48" i="12"/>
  <c r="G48" i="12" s="1"/>
  <c r="N47" i="12"/>
  <c r="K47" i="12"/>
  <c r="L47" i="12" s="1"/>
  <c r="J47" i="12"/>
  <c r="E47" i="12"/>
  <c r="G47" i="12" s="1"/>
  <c r="N46" i="12"/>
  <c r="K46" i="12"/>
  <c r="L46" i="12" s="1"/>
  <c r="J46" i="12"/>
  <c r="E46" i="12"/>
  <c r="G46" i="12" s="1"/>
  <c r="N45" i="12"/>
  <c r="K45" i="12"/>
  <c r="L45" i="12" s="1"/>
  <c r="J45" i="12"/>
  <c r="E45" i="12"/>
  <c r="G45" i="12" s="1"/>
  <c r="N44" i="12"/>
  <c r="N53" i="12" s="1"/>
  <c r="Q8" i="12" s="1"/>
  <c r="K44" i="12"/>
  <c r="J44" i="12"/>
  <c r="J53" i="12" s="1"/>
  <c r="E44" i="12"/>
  <c r="F43" i="12"/>
  <c r="N42" i="12"/>
  <c r="K42" i="12"/>
  <c r="L42" i="12" s="1"/>
  <c r="J42" i="12"/>
  <c r="E42" i="12"/>
  <c r="G42" i="12" s="1"/>
  <c r="N41" i="12"/>
  <c r="K41" i="12"/>
  <c r="L41" i="12" s="1"/>
  <c r="J41" i="12"/>
  <c r="E41" i="12"/>
  <c r="G41" i="12" s="1"/>
  <c r="N40" i="12"/>
  <c r="K40" i="12"/>
  <c r="L40" i="12" s="1"/>
  <c r="J40" i="12"/>
  <c r="E40" i="12"/>
  <c r="G40" i="12" s="1"/>
  <c r="N39" i="12"/>
  <c r="K39" i="12"/>
  <c r="L39" i="12" s="1"/>
  <c r="J39" i="12"/>
  <c r="E39" i="12"/>
  <c r="G39" i="12" s="1"/>
  <c r="N38" i="12"/>
  <c r="K38" i="12"/>
  <c r="L38" i="12" s="1"/>
  <c r="J38" i="12"/>
  <c r="E38" i="12"/>
  <c r="G38" i="12" s="1"/>
  <c r="N37" i="12"/>
  <c r="K37" i="12"/>
  <c r="L37" i="12" s="1"/>
  <c r="J37" i="12"/>
  <c r="E37" i="12"/>
  <c r="G37" i="12" s="1"/>
  <c r="N36" i="12"/>
  <c r="N43" i="12" s="1"/>
  <c r="Q7" i="12" s="1"/>
  <c r="K36" i="12"/>
  <c r="J36" i="12"/>
  <c r="J43" i="12" s="1"/>
  <c r="E36" i="12"/>
  <c r="F35" i="12"/>
  <c r="N34" i="12"/>
  <c r="K34" i="12"/>
  <c r="L34" i="12" s="1"/>
  <c r="J34" i="12"/>
  <c r="E34" i="12"/>
  <c r="G34" i="12" s="1"/>
  <c r="N33" i="12"/>
  <c r="K33" i="12"/>
  <c r="L33" i="12" s="1"/>
  <c r="J33" i="12"/>
  <c r="E33" i="12"/>
  <c r="G33" i="12" s="1"/>
  <c r="N32" i="12"/>
  <c r="K32" i="12"/>
  <c r="L32" i="12" s="1"/>
  <c r="J32" i="12"/>
  <c r="E32" i="12"/>
  <c r="G32" i="12" s="1"/>
  <c r="N31" i="12"/>
  <c r="K31" i="12"/>
  <c r="L31" i="12" s="1"/>
  <c r="J31" i="12"/>
  <c r="E31" i="12"/>
  <c r="G31" i="12" s="1"/>
  <c r="N30" i="12"/>
  <c r="K30" i="12"/>
  <c r="L30" i="12" s="1"/>
  <c r="J30" i="12"/>
  <c r="E30" i="12"/>
  <c r="G30" i="12" s="1"/>
  <c r="N29" i="12"/>
  <c r="K29" i="12"/>
  <c r="L29" i="12" s="1"/>
  <c r="J29" i="12"/>
  <c r="E29" i="12"/>
  <c r="G29" i="12" s="1"/>
  <c r="N28" i="12"/>
  <c r="N35" i="12" s="1"/>
  <c r="Q6" i="12" s="1"/>
  <c r="K28" i="12"/>
  <c r="J28" i="12"/>
  <c r="J35" i="12" s="1"/>
  <c r="E28" i="12"/>
  <c r="F27" i="12"/>
  <c r="N26" i="12"/>
  <c r="K26" i="12"/>
  <c r="L26" i="12" s="1"/>
  <c r="J26" i="12"/>
  <c r="E26" i="12"/>
  <c r="G26" i="12" s="1"/>
  <c r="N25" i="12"/>
  <c r="K25" i="12"/>
  <c r="L25" i="12" s="1"/>
  <c r="J25" i="12"/>
  <c r="E25" i="12"/>
  <c r="G25" i="12" s="1"/>
  <c r="N24" i="12"/>
  <c r="K24" i="12"/>
  <c r="L24" i="12" s="1"/>
  <c r="J24" i="12"/>
  <c r="E24" i="12"/>
  <c r="G24" i="12" s="1"/>
  <c r="N23" i="12"/>
  <c r="K23" i="12"/>
  <c r="L23" i="12" s="1"/>
  <c r="J23" i="12"/>
  <c r="E23" i="12"/>
  <c r="G23" i="12" s="1"/>
  <c r="N22" i="12"/>
  <c r="K22" i="12"/>
  <c r="L22" i="12" s="1"/>
  <c r="J22" i="12"/>
  <c r="E22" i="12"/>
  <c r="G22" i="12" s="1"/>
  <c r="N21" i="12"/>
  <c r="K21" i="12"/>
  <c r="L21" i="12" s="1"/>
  <c r="J21" i="12"/>
  <c r="E21" i="12"/>
  <c r="G21" i="12" s="1"/>
  <c r="N20" i="12"/>
  <c r="K20" i="12"/>
  <c r="L20" i="12" s="1"/>
  <c r="J20" i="12"/>
  <c r="E20" i="12"/>
  <c r="G20" i="12" s="1"/>
  <c r="N19" i="12"/>
  <c r="N27" i="12" s="1"/>
  <c r="Q5" i="12" s="1"/>
  <c r="K19" i="12"/>
  <c r="J19" i="12"/>
  <c r="J27" i="12" s="1"/>
  <c r="E19" i="12"/>
  <c r="F18" i="12"/>
  <c r="N17" i="12"/>
  <c r="K17" i="12"/>
  <c r="L17" i="12" s="1"/>
  <c r="J17" i="12"/>
  <c r="E17" i="12"/>
  <c r="G17" i="12" s="1"/>
  <c r="N16" i="12"/>
  <c r="K16" i="12"/>
  <c r="L16" i="12" s="1"/>
  <c r="J16" i="12"/>
  <c r="E16" i="12"/>
  <c r="G16" i="12" s="1"/>
  <c r="N15" i="12"/>
  <c r="K15" i="12"/>
  <c r="L15" i="12" s="1"/>
  <c r="J15" i="12"/>
  <c r="E15" i="12"/>
  <c r="G15" i="12" s="1"/>
  <c r="N14" i="12"/>
  <c r="K14" i="12"/>
  <c r="L14" i="12" s="1"/>
  <c r="J14" i="12"/>
  <c r="E14" i="12"/>
  <c r="G14" i="12" s="1"/>
  <c r="N13" i="12"/>
  <c r="K13" i="12"/>
  <c r="L13" i="12" s="1"/>
  <c r="J13" i="12"/>
  <c r="E13" i="12"/>
  <c r="G13" i="12" s="1"/>
  <c r="N12" i="12"/>
  <c r="K12" i="12"/>
  <c r="L12" i="12" s="1"/>
  <c r="J12" i="12"/>
  <c r="E12" i="12"/>
  <c r="G12" i="12" s="1"/>
  <c r="N11" i="12"/>
  <c r="N18" i="12" s="1"/>
  <c r="Q4" i="12" s="1"/>
  <c r="K11" i="12"/>
  <c r="J11" i="12"/>
  <c r="J18" i="12" s="1"/>
  <c r="E11" i="12"/>
  <c r="F10" i="12"/>
  <c r="N9" i="12"/>
  <c r="K9" i="12"/>
  <c r="L9" i="12" s="1"/>
  <c r="J9" i="12"/>
  <c r="E9" i="12"/>
  <c r="G9" i="12" s="1"/>
  <c r="N8" i="12"/>
  <c r="K8" i="12"/>
  <c r="L8" i="12" s="1"/>
  <c r="J8" i="12"/>
  <c r="E8" i="12"/>
  <c r="G8" i="12" s="1"/>
  <c r="N7" i="12"/>
  <c r="K7" i="12"/>
  <c r="L7" i="12" s="1"/>
  <c r="J7" i="12"/>
  <c r="E7" i="12"/>
  <c r="G7" i="12" s="1"/>
  <c r="N6" i="12"/>
  <c r="K6" i="12"/>
  <c r="L6" i="12" s="1"/>
  <c r="J6" i="12"/>
  <c r="E6" i="12"/>
  <c r="G6" i="12" s="1"/>
  <c r="N5" i="12"/>
  <c r="K5" i="12"/>
  <c r="L5" i="12" s="1"/>
  <c r="J5" i="12"/>
  <c r="E5" i="12"/>
  <c r="G5" i="12" s="1"/>
  <c r="O4" i="12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N4" i="12"/>
  <c r="K4" i="12"/>
  <c r="L4" i="12" s="1"/>
  <c r="J4" i="12"/>
  <c r="E4" i="12"/>
  <c r="G4" i="12" s="1"/>
  <c r="N3" i="12"/>
  <c r="N10" i="12" s="1"/>
  <c r="K3" i="12"/>
  <c r="J3" i="12"/>
  <c r="J10" i="12" s="1"/>
  <c r="E3" i="12"/>
  <c r="P2" i="12"/>
  <c r="F242" i="11"/>
  <c r="N241" i="11"/>
  <c r="K241" i="11"/>
  <c r="L241" i="11" s="1"/>
  <c r="J241" i="11"/>
  <c r="E241" i="11"/>
  <c r="G241" i="11" s="1"/>
  <c r="N240" i="11"/>
  <c r="K240" i="11"/>
  <c r="L240" i="11" s="1"/>
  <c r="J240" i="11"/>
  <c r="E240" i="11"/>
  <c r="G240" i="11" s="1"/>
  <c r="N239" i="11"/>
  <c r="K239" i="11"/>
  <c r="L239" i="11" s="1"/>
  <c r="J239" i="11"/>
  <c r="E239" i="11"/>
  <c r="G239" i="11" s="1"/>
  <c r="N238" i="11"/>
  <c r="K238" i="11"/>
  <c r="L238" i="11" s="1"/>
  <c r="J238" i="11"/>
  <c r="E238" i="11"/>
  <c r="G238" i="11" s="1"/>
  <c r="N237" i="11"/>
  <c r="K237" i="11"/>
  <c r="L237" i="11" s="1"/>
  <c r="J237" i="11"/>
  <c r="E237" i="11"/>
  <c r="G237" i="11" s="1"/>
  <c r="N236" i="11"/>
  <c r="N242" i="11" s="1"/>
  <c r="Q32" i="11" s="1"/>
  <c r="R32" i="11" s="1"/>
  <c r="K236" i="11"/>
  <c r="J236" i="11"/>
  <c r="J242" i="11" s="1"/>
  <c r="E236" i="11"/>
  <c r="N235" i="11"/>
  <c r="F235" i="11"/>
  <c r="K234" i="11"/>
  <c r="L234" i="11" s="1"/>
  <c r="J234" i="11"/>
  <c r="E234" i="11"/>
  <c r="G234" i="11" s="1"/>
  <c r="K233" i="11"/>
  <c r="L233" i="11" s="1"/>
  <c r="J233" i="11"/>
  <c r="E233" i="11"/>
  <c r="G233" i="11" s="1"/>
  <c r="K232" i="11"/>
  <c r="L232" i="11" s="1"/>
  <c r="J232" i="11"/>
  <c r="E232" i="11"/>
  <c r="G232" i="11" s="1"/>
  <c r="K231" i="11"/>
  <c r="L231" i="11" s="1"/>
  <c r="J231" i="11"/>
  <c r="E231" i="11"/>
  <c r="G231" i="11" s="1"/>
  <c r="K230" i="11"/>
  <c r="L230" i="11" s="1"/>
  <c r="J230" i="11"/>
  <c r="E230" i="11"/>
  <c r="G230" i="11" s="1"/>
  <c r="K229" i="11"/>
  <c r="J229" i="11"/>
  <c r="J235" i="11" s="1"/>
  <c r="E229" i="11"/>
  <c r="F228" i="11"/>
  <c r="N227" i="11"/>
  <c r="N228" i="11" s="1"/>
  <c r="K227" i="11"/>
  <c r="L227" i="11" s="1"/>
  <c r="J227" i="11"/>
  <c r="E227" i="11"/>
  <c r="G227" i="11" s="1"/>
  <c r="K226" i="11"/>
  <c r="L226" i="11" s="1"/>
  <c r="J226" i="11"/>
  <c r="K225" i="11"/>
  <c r="L225" i="11" s="1"/>
  <c r="J225" i="11"/>
  <c r="E225" i="11"/>
  <c r="G225" i="11" s="1"/>
  <c r="K224" i="11"/>
  <c r="L224" i="11" s="1"/>
  <c r="J224" i="11"/>
  <c r="E224" i="11"/>
  <c r="G224" i="11" s="1"/>
  <c r="K223" i="11"/>
  <c r="L223" i="11" s="1"/>
  <c r="J223" i="11"/>
  <c r="E223" i="11"/>
  <c r="G223" i="11" s="1"/>
  <c r="K222" i="11"/>
  <c r="L222" i="11" s="1"/>
  <c r="J222" i="11"/>
  <c r="E222" i="11"/>
  <c r="G222" i="11" s="1"/>
  <c r="K221" i="11"/>
  <c r="J221" i="11"/>
  <c r="E221" i="11"/>
  <c r="G221" i="11" s="1"/>
  <c r="J220" i="11"/>
  <c r="E220" i="11"/>
  <c r="F219" i="11"/>
  <c r="N218" i="11"/>
  <c r="K218" i="11"/>
  <c r="L218" i="11" s="1"/>
  <c r="J218" i="11"/>
  <c r="E218" i="11"/>
  <c r="G218" i="11" s="1"/>
  <c r="N217" i="11"/>
  <c r="K217" i="11"/>
  <c r="L217" i="11" s="1"/>
  <c r="J217" i="11"/>
  <c r="E217" i="11"/>
  <c r="G217" i="11" s="1"/>
  <c r="N216" i="11"/>
  <c r="N219" i="11" s="1"/>
  <c r="K216" i="11"/>
  <c r="L216" i="11" s="1"/>
  <c r="J216" i="11"/>
  <c r="E216" i="11"/>
  <c r="G216" i="11" s="1"/>
  <c r="K215" i="11"/>
  <c r="L215" i="11" s="1"/>
  <c r="J215" i="11"/>
  <c r="E215" i="11"/>
  <c r="G215" i="11" s="1"/>
  <c r="K214" i="11"/>
  <c r="J214" i="11"/>
  <c r="J219" i="11" s="1"/>
  <c r="E214" i="11"/>
  <c r="F213" i="11"/>
  <c r="K212" i="11"/>
  <c r="J212" i="11"/>
  <c r="E212" i="11"/>
  <c r="G212" i="11" s="1"/>
  <c r="K211" i="11"/>
  <c r="L211" i="11" s="1"/>
  <c r="J211" i="11"/>
  <c r="E211" i="11"/>
  <c r="G211" i="11" s="1"/>
  <c r="K210" i="11"/>
  <c r="L210" i="11" s="1"/>
  <c r="J210" i="11"/>
  <c r="E210" i="11"/>
  <c r="G210" i="11" s="1"/>
  <c r="K209" i="11"/>
  <c r="L209" i="11" s="1"/>
  <c r="J209" i="11"/>
  <c r="E209" i="11"/>
  <c r="G209" i="11" s="1"/>
  <c r="K208" i="11"/>
  <c r="J208" i="11"/>
  <c r="J213" i="11" s="1"/>
  <c r="E208" i="11"/>
  <c r="F207" i="11"/>
  <c r="N206" i="11"/>
  <c r="K206" i="11"/>
  <c r="L206" i="11" s="1"/>
  <c r="J206" i="11"/>
  <c r="E206" i="11"/>
  <c r="G206" i="11" s="1"/>
  <c r="N205" i="11"/>
  <c r="N207" i="11" s="1"/>
  <c r="K205" i="11"/>
  <c r="L205" i="11" s="1"/>
  <c r="J205" i="11"/>
  <c r="E205" i="11"/>
  <c r="G205" i="11" s="1"/>
  <c r="K204" i="11"/>
  <c r="L204" i="11" s="1"/>
  <c r="J204" i="11"/>
  <c r="E204" i="11"/>
  <c r="G204" i="11" s="1"/>
  <c r="K203" i="11"/>
  <c r="L203" i="11" s="1"/>
  <c r="J203" i="11"/>
  <c r="E203" i="11"/>
  <c r="K202" i="11"/>
  <c r="J202" i="11"/>
  <c r="J207" i="11" s="1"/>
  <c r="G202" i="11"/>
  <c r="G207" i="11" s="1"/>
  <c r="F201" i="11"/>
  <c r="N200" i="11"/>
  <c r="K200" i="11"/>
  <c r="L200" i="11" s="1"/>
  <c r="J200" i="11"/>
  <c r="E200" i="11"/>
  <c r="G200" i="11" s="1"/>
  <c r="N199" i="11"/>
  <c r="K199" i="11"/>
  <c r="L199" i="11" s="1"/>
  <c r="J199" i="11"/>
  <c r="E199" i="11"/>
  <c r="G199" i="11" s="1"/>
  <c r="N198" i="11"/>
  <c r="N201" i="11" s="1"/>
  <c r="K198" i="11"/>
  <c r="L198" i="11" s="1"/>
  <c r="J198" i="11"/>
  <c r="G198" i="11"/>
  <c r="E198" i="11"/>
  <c r="K197" i="11"/>
  <c r="L197" i="11" s="1"/>
  <c r="J197" i="11"/>
  <c r="E197" i="11"/>
  <c r="G197" i="11" s="1"/>
  <c r="L196" i="11"/>
  <c r="L201" i="11" s="1"/>
  <c r="K196" i="11"/>
  <c r="K201" i="11" s="1"/>
  <c r="J196" i="11"/>
  <c r="J201" i="11" s="1"/>
  <c r="E196" i="11"/>
  <c r="F195" i="11"/>
  <c r="N194" i="11"/>
  <c r="K194" i="11"/>
  <c r="L194" i="11" s="1"/>
  <c r="J194" i="11"/>
  <c r="E194" i="11"/>
  <c r="G194" i="11" s="1"/>
  <c r="N193" i="11"/>
  <c r="K193" i="11"/>
  <c r="L193" i="11" s="1"/>
  <c r="J193" i="11"/>
  <c r="E193" i="11"/>
  <c r="G193" i="11" s="1"/>
  <c r="N192" i="11"/>
  <c r="N195" i="11" s="1"/>
  <c r="K192" i="11"/>
  <c r="L192" i="11" s="1"/>
  <c r="J192" i="11"/>
  <c r="E192" i="11"/>
  <c r="G192" i="11" s="1"/>
  <c r="K191" i="11"/>
  <c r="L191" i="11" s="1"/>
  <c r="J191" i="11"/>
  <c r="E191" i="11"/>
  <c r="G191" i="11" s="1"/>
  <c r="K190" i="11"/>
  <c r="J190" i="11"/>
  <c r="J195" i="11" s="1"/>
  <c r="E190" i="11"/>
  <c r="F189" i="11"/>
  <c r="N188" i="11"/>
  <c r="K188" i="11"/>
  <c r="L188" i="11" s="1"/>
  <c r="J188" i="11"/>
  <c r="E188" i="11"/>
  <c r="G188" i="11" s="1"/>
  <c r="N187" i="11"/>
  <c r="K187" i="11"/>
  <c r="L187" i="11" s="1"/>
  <c r="J187" i="11"/>
  <c r="E187" i="11"/>
  <c r="G187" i="11" s="1"/>
  <c r="N186" i="11"/>
  <c r="K186" i="11"/>
  <c r="L186" i="11" s="1"/>
  <c r="J186" i="11"/>
  <c r="E186" i="11"/>
  <c r="G186" i="11" s="1"/>
  <c r="Q185" i="11"/>
  <c r="N185" i="11"/>
  <c r="K185" i="11"/>
  <c r="L185" i="11" s="1"/>
  <c r="J185" i="11"/>
  <c r="E185" i="11"/>
  <c r="G185" i="11" s="1"/>
  <c r="N184" i="11"/>
  <c r="N189" i="11" s="1"/>
  <c r="K184" i="11"/>
  <c r="J184" i="11"/>
  <c r="J189" i="11" s="1"/>
  <c r="G184" i="11"/>
  <c r="G189" i="11" s="1"/>
  <c r="E184" i="11"/>
  <c r="E189" i="11" s="1"/>
  <c r="F183" i="11"/>
  <c r="N182" i="11"/>
  <c r="K182" i="11"/>
  <c r="L182" i="11" s="1"/>
  <c r="J182" i="11"/>
  <c r="E182" i="11"/>
  <c r="G182" i="11" s="1"/>
  <c r="N181" i="11"/>
  <c r="K181" i="11"/>
  <c r="L181" i="11" s="1"/>
  <c r="J181" i="11"/>
  <c r="E181" i="11"/>
  <c r="G181" i="11" s="1"/>
  <c r="N180" i="11"/>
  <c r="K180" i="11"/>
  <c r="L180" i="11" s="1"/>
  <c r="J180" i="11"/>
  <c r="E180" i="11"/>
  <c r="G180" i="11" s="1"/>
  <c r="K179" i="11"/>
  <c r="L179" i="11" s="1"/>
  <c r="J179" i="11"/>
  <c r="E179" i="11"/>
  <c r="G179" i="11" s="1"/>
  <c r="K178" i="11"/>
  <c r="J178" i="11"/>
  <c r="J183" i="11" s="1"/>
  <c r="E178" i="11"/>
  <c r="R174" i="11"/>
  <c r="P174" i="11"/>
  <c r="R173" i="11"/>
  <c r="F173" i="11"/>
  <c r="R172" i="11"/>
  <c r="N172" i="11"/>
  <c r="J172" i="11"/>
  <c r="L172" i="11" s="1"/>
  <c r="E172" i="11"/>
  <c r="G172" i="11" s="1"/>
  <c r="R171" i="11"/>
  <c r="N171" i="11"/>
  <c r="K171" i="11"/>
  <c r="L171" i="11" s="1"/>
  <c r="J171" i="11"/>
  <c r="E171" i="11"/>
  <c r="G171" i="11" s="1"/>
  <c r="R170" i="11"/>
  <c r="N170" i="11"/>
  <c r="K170" i="11"/>
  <c r="J170" i="11"/>
  <c r="L170" i="11" s="1"/>
  <c r="E170" i="11"/>
  <c r="G170" i="11" s="1"/>
  <c r="R169" i="11"/>
  <c r="N169" i="11"/>
  <c r="K169" i="11"/>
  <c r="L169" i="11" s="1"/>
  <c r="J169" i="11"/>
  <c r="E169" i="11"/>
  <c r="G169" i="11" s="1"/>
  <c r="R168" i="11"/>
  <c r="N168" i="11"/>
  <c r="K168" i="11"/>
  <c r="L168" i="11" s="1"/>
  <c r="J168" i="11"/>
  <c r="E168" i="11"/>
  <c r="G168" i="11" s="1"/>
  <c r="R167" i="11"/>
  <c r="N167" i="11"/>
  <c r="K167" i="11"/>
  <c r="L167" i="11" s="1"/>
  <c r="J167" i="11"/>
  <c r="E167" i="11"/>
  <c r="G167" i="11" s="1"/>
  <c r="R166" i="11"/>
  <c r="N166" i="11"/>
  <c r="K166" i="11"/>
  <c r="L166" i="11" s="1"/>
  <c r="J166" i="11"/>
  <c r="E166" i="11"/>
  <c r="G166" i="11" s="1"/>
  <c r="R165" i="11"/>
  <c r="N165" i="11"/>
  <c r="N173" i="11" s="1"/>
  <c r="Q22" i="11" s="1"/>
  <c r="R22" i="11" s="1"/>
  <c r="K165" i="11"/>
  <c r="J165" i="11"/>
  <c r="J173" i="11" s="1"/>
  <c r="E165" i="11"/>
  <c r="F164" i="11"/>
  <c r="N163" i="11"/>
  <c r="J163" i="11"/>
  <c r="L163" i="11" s="1"/>
  <c r="E163" i="11"/>
  <c r="G163" i="11" s="1"/>
  <c r="N162" i="11"/>
  <c r="K162" i="11"/>
  <c r="L162" i="11" s="1"/>
  <c r="J162" i="11"/>
  <c r="E162" i="11"/>
  <c r="G162" i="11" s="1"/>
  <c r="N161" i="11"/>
  <c r="K161" i="11"/>
  <c r="L161" i="11" s="1"/>
  <c r="J161" i="11"/>
  <c r="E161" i="11"/>
  <c r="G161" i="11" s="1"/>
  <c r="N160" i="11"/>
  <c r="K160" i="11"/>
  <c r="L160" i="11" s="1"/>
  <c r="J160" i="11"/>
  <c r="E160" i="11"/>
  <c r="G160" i="11" s="1"/>
  <c r="N159" i="11"/>
  <c r="K159" i="11"/>
  <c r="L159" i="11" s="1"/>
  <c r="J159" i="11"/>
  <c r="E159" i="11"/>
  <c r="G159" i="11" s="1"/>
  <c r="N158" i="11"/>
  <c r="K158" i="11"/>
  <c r="J158" i="11"/>
  <c r="L158" i="11" s="1"/>
  <c r="E158" i="11"/>
  <c r="G158" i="11" s="1"/>
  <c r="N157" i="11"/>
  <c r="K157" i="11"/>
  <c r="L157" i="11" s="1"/>
  <c r="J157" i="11"/>
  <c r="E157" i="11"/>
  <c r="G157" i="11" s="1"/>
  <c r="N156" i="11"/>
  <c r="N164" i="11" s="1"/>
  <c r="Q21" i="11" s="1"/>
  <c r="R21" i="11" s="1"/>
  <c r="K156" i="11"/>
  <c r="J156" i="11"/>
  <c r="J164" i="11" s="1"/>
  <c r="E156" i="11"/>
  <c r="R155" i="11"/>
  <c r="F155" i="11"/>
  <c r="R154" i="11"/>
  <c r="N154" i="11"/>
  <c r="J154" i="11"/>
  <c r="L154" i="11" s="1"/>
  <c r="E154" i="11"/>
  <c r="G154" i="11" s="1"/>
  <c r="R153" i="11"/>
  <c r="N153" i="11"/>
  <c r="K153" i="11"/>
  <c r="L153" i="11" s="1"/>
  <c r="J153" i="11"/>
  <c r="E153" i="11"/>
  <c r="G153" i="11" s="1"/>
  <c r="R152" i="11"/>
  <c r="N152" i="11"/>
  <c r="K152" i="11"/>
  <c r="L152" i="11" s="1"/>
  <c r="J152" i="11"/>
  <c r="E152" i="11"/>
  <c r="G152" i="11" s="1"/>
  <c r="R151" i="11"/>
  <c r="N151" i="11"/>
  <c r="K151" i="11"/>
  <c r="L151" i="11" s="1"/>
  <c r="J151" i="11"/>
  <c r="E151" i="11"/>
  <c r="G151" i="11" s="1"/>
  <c r="R150" i="11"/>
  <c r="N150" i="11"/>
  <c r="K150" i="11"/>
  <c r="L150" i="11" s="1"/>
  <c r="J150" i="11"/>
  <c r="E150" i="11"/>
  <c r="G150" i="11" s="1"/>
  <c r="R149" i="11"/>
  <c r="N149" i="11"/>
  <c r="K149" i="11"/>
  <c r="L149" i="11" s="1"/>
  <c r="J149" i="11"/>
  <c r="E149" i="11"/>
  <c r="G149" i="11" s="1"/>
  <c r="R148" i="11"/>
  <c r="N148" i="11"/>
  <c r="K148" i="11"/>
  <c r="L148" i="11" s="1"/>
  <c r="J148" i="11"/>
  <c r="E148" i="11"/>
  <c r="G148" i="11" s="1"/>
  <c r="R147" i="11"/>
  <c r="N147" i="11"/>
  <c r="N155" i="11" s="1"/>
  <c r="Q20" i="11" s="1"/>
  <c r="R20" i="11" s="1"/>
  <c r="K147" i="11"/>
  <c r="J147" i="11"/>
  <c r="J155" i="11" s="1"/>
  <c r="E147" i="11"/>
  <c r="R146" i="11"/>
  <c r="F146" i="11"/>
  <c r="R145" i="11"/>
  <c r="N145" i="11"/>
  <c r="J145" i="11"/>
  <c r="L145" i="11" s="1"/>
  <c r="E145" i="11"/>
  <c r="G145" i="11" s="1"/>
  <c r="R144" i="11"/>
  <c r="N144" i="11"/>
  <c r="K144" i="11"/>
  <c r="L144" i="11" s="1"/>
  <c r="J144" i="11"/>
  <c r="E144" i="11"/>
  <c r="G144" i="11" s="1"/>
  <c r="R143" i="11"/>
  <c r="N143" i="11"/>
  <c r="K143" i="11"/>
  <c r="L143" i="11" s="1"/>
  <c r="J143" i="11"/>
  <c r="E143" i="11"/>
  <c r="G143" i="11" s="1"/>
  <c r="R142" i="11"/>
  <c r="N142" i="11"/>
  <c r="K142" i="11"/>
  <c r="L142" i="11" s="1"/>
  <c r="J142" i="11"/>
  <c r="E142" i="11"/>
  <c r="G142" i="11" s="1"/>
  <c r="R141" i="11"/>
  <c r="N141" i="11"/>
  <c r="K141" i="11"/>
  <c r="L141" i="11" s="1"/>
  <c r="J141" i="11"/>
  <c r="E141" i="11"/>
  <c r="G141" i="11" s="1"/>
  <c r="R140" i="11"/>
  <c r="N140" i="11"/>
  <c r="L140" i="11"/>
  <c r="K140" i="11"/>
  <c r="J140" i="11"/>
  <c r="E140" i="11"/>
  <c r="G140" i="11" s="1"/>
  <c r="R139" i="11"/>
  <c r="N139" i="11"/>
  <c r="K139" i="11"/>
  <c r="L139" i="11" s="1"/>
  <c r="J139" i="11"/>
  <c r="E139" i="11"/>
  <c r="G139" i="11" s="1"/>
  <c r="R138" i="11"/>
  <c r="N138" i="11"/>
  <c r="N146" i="11" s="1"/>
  <c r="Q19" i="11" s="1"/>
  <c r="R19" i="11" s="1"/>
  <c r="K138" i="11"/>
  <c r="J138" i="11"/>
  <c r="J146" i="11" s="1"/>
  <c r="E138" i="11"/>
  <c r="R137" i="11"/>
  <c r="F137" i="11"/>
  <c r="R136" i="11"/>
  <c r="N136" i="11"/>
  <c r="J136" i="11"/>
  <c r="L136" i="11" s="1"/>
  <c r="E136" i="11"/>
  <c r="G136" i="11" s="1"/>
  <c r="R135" i="11"/>
  <c r="N135" i="11"/>
  <c r="L135" i="11"/>
  <c r="K135" i="11"/>
  <c r="J135" i="11"/>
  <c r="E135" i="11"/>
  <c r="G135" i="11" s="1"/>
  <c r="R134" i="11"/>
  <c r="N134" i="11"/>
  <c r="K134" i="11"/>
  <c r="L134" i="11" s="1"/>
  <c r="J134" i="11"/>
  <c r="E134" i="11"/>
  <c r="G134" i="11" s="1"/>
  <c r="R133" i="11"/>
  <c r="N133" i="11"/>
  <c r="K133" i="11"/>
  <c r="L133" i="11" s="1"/>
  <c r="J133" i="11"/>
  <c r="E133" i="11"/>
  <c r="G133" i="11" s="1"/>
  <c r="R132" i="11"/>
  <c r="N132" i="11"/>
  <c r="K132" i="11"/>
  <c r="L132" i="11" s="1"/>
  <c r="J132" i="11"/>
  <c r="E132" i="11"/>
  <c r="G132" i="11" s="1"/>
  <c r="R131" i="11"/>
  <c r="N131" i="11"/>
  <c r="K131" i="11"/>
  <c r="L131" i="11" s="1"/>
  <c r="J131" i="11"/>
  <c r="E131" i="11"/>
  <c r="G131" i="11" s="1"/>
  <c r="R130" i="11"/>
  <c r="N130" i="11"/>
  <c r="K130" i="11"/>
  <c r="L130" i="11" s="1"/>
  <c r="J130" i="11"/>
  <c r="E130" i="11"/>
  <c r="G130" i="11" s="1"/>
  <c r="R129" i="11"/>
  <c r="N129" i="11"/>
  <c r="N137" i="11" s="1"/>
  <c r="Q18" i="11" s="1"/>
  <c r="R18" i="11" s="1"/>
  <c r="K129" i="11"/>
  <c r="J129" i="11"/>
  <c r="J137" i="11" s="1"/>
  <c r="E129" i="11"/>
  <c r="R128" i="11"/>
  <c r="F128" i="11"/>
  <c r="R127" i="11"/>
  <c r="N127" i="11"/>
  <c r="J127" i="11"/>
  <c r="L127" i="11" s="1"/>
  <c r="E127" i="11"/>
  <c r="G127" i="11" s="1"/>
  <c r="R126" i="11"/>
  <c r="N126" i="11"/>
  <c r="K126" i="11"/>
  <c r="L126" i="11" s="1"/>
  <c r="J126" i="11"/>
  <c r="E126" i="11"/>
  <c r="G126" i="11" s="1"/>
  <c r="R125" i="11"/>
  <c r="N125" i="11"/>
  <c r="K125" i="11"/>
  <c r="L125" i="11" s="1"/>
  <c r="J125" i="11"/>
  <c r="E125" i="11"/>
  <c r="G125" i="11" s="1"/>
  <c r="R124" i="11"/>
  <c r="N124" i="11"/>
  <c r="L124" i="11"/>
  <c r="K124" i="11"/>
  <c r="J124" i="11"/>
  <c r="E124" i="11"/>
  <c r="G124" i="11" s="1"/>
  <c r="R123" i="11"/>
  <c r="N123" i="11"/>
  <c r="K123" i="11"/>
  <c r="J123" i="11"/>
  <c r="L123" i="11" s="1"/>
  <c r="E123" i="11"/>
  <c r="G123" i="11" s="1"/>
  <c r="R122" i="11"/>
  <c r="N122" i="11"/>
  <c r="K122" i="11"/>
  <c r="L122" i="11" s="1"/>
  <c r="J122" i="11"/>
  <c r="E122" i="11"/>
  <c r="G122" i="11" s="1"/>
  <c r="R121" i="11"/>
  <c r="N121" i="11"/>
  <c r="K121" i="11"/>
  <c r="J121" i="11"/>
  <c r="L121" i="11" s="1"/>
  <c r="E121" i="11"/>
  <c r="G121" i="11" s="1"/>
  <c r="R120" i="11"/>
  <c r="N120" i="11"/>
  <c r="N128" i="11" s="1"/>
  <c r="Q17" i="11" s="1"/>
  <c r="R17" i="11" s="1"/>
  <c r="K120" i="11"/>
  <c r="J120" i="11"/>
  <c r="J128" i="11" s="1"/>
  <c r="E120" i="11"/>
  <c r="R119" i="11"/>
  <c r="F119" i="11"/>
  <c r="R118" i="11"/>
  <c r="N118" i="11"/>
  <c r="K118" i="11"/>
  <c r="L118" i="11" s="1"/>
  <c r="J118" i="11"/>
  <c r="E118" i="11"/>
  <c r="G118" i="11" s="1"/>
  <c r="R117" i="11"/>
  <c r="N117" i="11"/>
  <c r="K117" i="11"/>
  <c r="L117" i="11" s="1"/>
  <c r="J117" i="11"/>
  <c r="G117" i="11"/>
  <c r="E117" i="11"/>
  <c r="R116" i="11"/>
  <c r="N116" i="11"/>
  <c r="K116" i="11"/>
  <c r="L116" i="11" s="1"/>
  <c r="J116" i="11"/>
  <c r="E116" i="11"/>
  <c r="G116" i="11" s="1"/>
  <c r="R115" i="11"/>
  <c r="N115" i="11"/>
  <c r="K115" i="11"/>
  <c r="L115" i="11" s="1"/>
  <c r="J115" i="11"/>
  <c r="E115" i="11"/>
  <c r="G115" i="11" s="1"/>
  <c r="R114" i="11"/>
  <c r="N114" i="11"/>
  <c r="K114" i="11"/>
  <c r="L114" i="11" s="1"/>
  <c r="J114" i="11"/>
  <c r="E114" i="11"/>
  <c r="G114" i="11" s="1"/>
  <c r="R113" i="11"/>
  <c r="N113" i="11"/>
  <c r="L113" i="11"/>
  <c r="K113" i="11"/>
  <c r="J113" i="11"/>
  <c r="E113" i="11"/>
  <c r="G113" i="11" s="1"/>
  <c r="R112" i="11"/>
  <c r="N112" i="11"/>
  <c r="N119" i="11" s="1"/>
  <c r="Q16" i="11" s="1"/>
  <c r="R16" i="11" s="1"/>
  <c r="K112" i="11"/>
  <c r="J112" i="11"/>
  <c r="J119" i="11" s="1"/>
  <c r="E112" i="11"/>
  <c r="R111" i="11"/>
  <c r="F111" i="11"/>
  <c r="R110" i="11"/>
  <c r="N110" i="11"/>
  <c r="K110" i="11"/>
  <c r="L110" i="11" s="1"/>
  <c r="J110" i="11"/>
  <c r="E110" i="11"/>
  <c r="G110" i="11" s="1"/>
  <c r="R109" i="11"/>
  <c r="N109" i="11"/>
  <c r="K109" i="11"/>
  <c r="L109" i="11" s="1"/>
  <c r="J109" i="11"/>
  <c r="E109" i="11"/>
  <c r="G109" i="11" s="1"/>
  <c r="R108" i="11"/>
  <c r="N108" i="11"/>
  <c r="K108" i="11"/>
  <c r="L108" i="11" s="1"/>
  <c r="J108" i="11"/>
  <c r="E108" i="11"/>
  <c r="G108" i="11" s="1"/>
  <c r="R107" i="11"/>
  <c r="N107" i="11"/>
  <c r="L107" i="11"/>
  <c r="K107" i="11"/>
  <c r="J107" i="11"/>
  <c r="E107" i="11"/>
  <c r="G107" i="11" s="1"/>
  <c r="R106" i="11"/>
  <c r="N106" i="11"/>
  <c r="K106" i="11"/>
  <c r="L106" i="11" s="1"/>
  <c r="J106" i="11"/>
  <c r="E106" i="11"/>
  <c r="G106" i="11" s="1"/>
  <c r="R105" i="11"/>
  <c r="N105" i="11"/>
  <c r="K105" i="11"/>
  <c r="L105" i="11" s="1"/>
  <c r="J105" i="11"/>
  <c r="E105" i="11"/>
  <c r="G105" i="11" s="1"/>
  <c r="R104" i="11"/>
  <c r="N104" i="11"/>
  <c r="N111" i="11" s="1"/>
  <c r="R15" i="11" s="1"/>
  <c r="L104" i="11"/>
  <c r="L111" i="11" s="1"/>
  <c r="K104" i="11"/>
  <c r="K111" i="11" s="1"/>
  <c r="J104" i="11"/>
  <c r="J111" i="11" s="1"/>
  <c r="E104" i="11"/>
  <c r="R103" i="11"/>
  <c r="R102" i="11"/>
  <c r="N102" i="11"/>
  <c r="K102" i="11"/>
  <c r="L102" i="11" s="1"/>
  <c r="J102" i="11"/>
  <c r="G102" i="11"/>
  <c r="E102" i="11"/>
  <c r="R101" i="11"/>
  <c r="N101" i="11"/>
  <c r="K101" i="11"/>
  <c r="L101" i="11" s="1"/>
  <c r="J101" i="11"/>
  <c r="E101" i="11"/>
  <c r="G101" i="11" s="1"/>
  <c r="R100" i="11"/>
  <c r="N100" i="11"/>
  <c r="K100" i="11"/>
  <c r="L100" i="11" s="1"/>
  <c r="J100" i="11"/>
  <c r="E100" i="11"/>
  <c r="G100" i="11" s="1"/>
  <c r="R99" i="11"/>
  <c r="N99" i="11"/>
  <c r="K99" i="11"/>
  <c r="L99" i="11" s="1"/>
  <c r="J99" i="11"/>
  <c r="E99" i="11"/>
  <c r="G99" i="11" s="1"/>
  <c r="R98" i="11"/>
  <c r="N98" i="11"/>
  <c r="K98" i="11"/>
  <c r="L98" i="11" s="1"/>
  <c r="J98" i="11"/>
  <c r="E98" i="11"/>
  <c r="G98" i="11" s="1"/>
  <c r="R97" i="11"/>
  <c r="N97" i="11"/>
  <c r="K97" i="11"/>
  <c r="L97" i="11" s="1"/>
  <c r="J97" i="11"/>
  <c r="E97" i="11"/>
  <c r="G97" i="11" s="1"/>
  <c r="R96" i="11"/>
  <c r="K96" i="11"/>
  <c r="J96" i="11"/>
  <c r="G96" i="11"/>
  <c r="E96" i="11"/>
  <c r="R95" i="11"/>
  <c r="F95" i="11"/>
  <c r="F103" i="11" s="1"/>
  <c r="R94" i="11"/>
  <c r="N94" i="11"/>
  <c r="K94" i="11"/>
  <c r="L94" i="11" s="1"/>
  <c r="J94" i="11"/>
  <c r="E94" i="11"/>
  <c r="G94" i="11" s="1"/>
  <c r="R93" i="11"/>
  <c r="N93" i="11"/>
  <c r="K93" i="11"/>
  <c r="L93" i="11" s="1"/>
  <c r="J93" i="11"/>
  <c r="E93" i="11"/>
  <c r="G93" i="11" s="1"/>
  <c r="R92" i="11"/>
  <c r="N92" i="11"/>
  <c r="K92" i="11"/>
  <c r="L92" i="11" s="1"/>
  <c r="J92" i="11"/>
  <c r="E92" i="11"/>
  <c r="G92" i="11" s="1"/>
  <c r="R91" i="11"/>
  <c r="N91" i="11"/>
  <c r="K91" i="11"/>
  <c r="L91" i="11" s="1"/>
  <c r="J91" i="11"/>
  <c r="E91" i="11"/>
  <c r="G91" i="11" s="1"/>
  <c r="R90" i="11"/>
  <c r="N90" i="11"/>
  <c r="K90" i="11"/>
  <c r="L90" i="11" s="1"/>
  <c r="J90" i="11"/>
  <c r="E90" i="11"/>
  <c r="G90" i="11" s="1"/>
  <c r="R89" i="11"/>
  <c r="N89" i="11"/>
  <c r="N95" i="11" s="1"/>
  <c r="Q13" i="11" s="1"/>
  <c r="R13" i="11" s="1"/>
  <c r="K89" i="11"/>
  <c r="J89" i="11"/>
  <c r="G89" i="11"/>
  <c r="E89" i="11"/>
  <c r="R88" i="11"/>
  <c r="F88" i="11"/>
  <c r="R87" i="11"/>
  <c r="N87" i="11"/>
  <c r="K87" i="11"/>
  <c r="L87" i="11" s="1"/>
  <c r="J87" i="11"/>
  <c r="E87" i="11"/>
  <c r="G87" i="11" s="1"/>
  <c r="R86" i="11"/>
  <c r="N86" i="11"/>
  <c r="K86" i="11"/>
  <c r="L86" i="11" s="1"/>
  <c r="J86" i="11"/>
  <c r="E86" i="11"/>
  <c r="G86" i="11" s="1"/>
  <c r="R85" i="11"/>
  <c r="N85" i="11"/>
  <c r="K85" i="11"/>
  <c r="L85" i="11" s="1"/>
  <c r="J85" i="11"/>
  <c r="E85" i="11"/>
  <c r="G85" i="11" s="1"/>
  <c r="R84" i="11"/>
  <c r="N84" i="11"/>
  <c r="L84" i="11"/>
  <c r="K84" i="11"/>
  <c r="J84" i="11"/>
  <c r="E84" i="11"/>
  <c r="G84" i="11" s="1"/>
  <c r="R83" i="11"/>
  <c r="N83" i="11"/>
  <c r="K83" i="11"/>
  <c r="L83" i="11" s="1"/>
  <c r="J83" i="11"/>
  <c r="G83" i="11"/>
  <c r="E83" i="11"/>
  <c r="R82" i="11"/>
  <c r="N82" i="11"/>
  <c r="K82" i="11"/>
  <c r="L82" i="11" s="1"/>
  <c r="J82" i="11"/>
  <c r="G82" i="11"/>
  <c r="E82" i="11"/>
  <c r="R81" i="11"/>
  <c r="N81" i="11"/>
  <c r="N88" i="11" s="1"/>
  <c r="Q12" i="11" s="1"/>
  <c r="R12" i="11" s="1"/>
  <c r="K81" i="11"/>
  <c r="J81" i="11"/>
  <c r="J88" i="11" s="1"/>
  <c r="E81" i="11"/>
  <c r="R80" i="11"/>
  <c r="F80" i="11"/>
  <c r="R79" i="11"/>
  <c r="N79" i="11"/>
  <c r="K79" i="11"/>
  <c r="L79" i="11" s="1"/>
  <c r="J79" i="11"/>
  <c r="E79" i="11"/>
  <c r="G79" i="11" s="1"/>
  <c r="R78" i="11"/>
  <c r="N78" i="11"/>
  <c r="K78" i="11"/>
  <c r="L78" i="11" s="1"/>
  <c r="J78" i="11"/>
  <c r="E78" i="11"/>
  <c r="G78" i="11" s="1"/>
  <c r="R77" i="11"/>
  <c r="N77" i="11"/>
  <c r="L77" i="11"/>
  <c r="K77" i="11"/>
  <c r="J77" i="11"/>
  <c r="E77" i="11"/>
  <c r="G77" i="11" s="1"/>
  <c r="R76" i="11"/>
  <c r="N76" i="11"/>
  <c r="K76" i="11"/>
  <c r="L76" i="11" s="1"/>
  <c r="J76" i="11"/>
  <c r="E76" i="11"/>
  <c r="G76" i="11" s="1"/>
  <c r="R75" i="11"/>
  <c r="N75" i="11"/>
  <c r="K75" i="11"/>
  <c r="L75" i="11" s="1"/>
  <c r="J75" i="11"/>
  <c r="G75" i="11"/>
  <c r="E75" i="11"/>
  <c r="R74" i="11"/>
  <c r="N74" i="11"/>
  <c r="K74" i="11"/>
  <c r="L74" i="11" s="1"/>
  <c r="J74" i="11"/>
  <c r="G74" i="11"/>
  <c r="E74" i="11"/>
  <c r="R73" i="11"/>
  <c r="N73" i="11"/>
  <c r="N80" i="11" s="1"/>
  <c r="Q11" i="11" s="1"/>
  <c r="R11" i="11" s="1"/>
  <c r="K73" i="11"/>
  <c r="J73" i="11"/>
  <c r="J80" i="11" s="1"/>
  <c r="G73" i="11"/>
  <c r="G80" i="11" s="1"/>
  <c r="E73" i="11"/>
  <c r="E80" i="11" s="1"/>
  <c r="R72" i="11"/>
  <c r="F72" i="11"/>
  <c r="R71" i="11"/>
  <c r="N71" i="11"/>
  <c r="K71" i="11"/>
  <c r="L71" i="11" s="1"/>
  <c r="J71" i="11"/>
  <c r="E71" i="11"/>
  <c r="G71" i="11" s="1"/>
  <c r="R70" i="11"/>
  <c r="N70" i="11"/>
  <c r="K70" i="11"/>
  <c r="L70" i="11" s="1"/>
  <c r="J70" i="11"/>
  <c r="E70" i="11"/>
  <c r="G70" i="11" s="1"/>
  <c r="R69" i="11"/>
  <c r="N69" i="11"/>
  <c r="K69" i="11"/>
  <c r="L69" i="11" s="1"/>
  <c r="J69" i="11"/>
  <c r="E69" i="11"/>
  <c r="G69" i="11" s="1"/>
  <c r="R68" i="11"/>
  <c r="N68" i="11"/>
  <c r="K68" i="11"/>
  <c r="L68" i="11" s="1"/>
  <c r="J68" i="11"/>
  <c r="E68" i="11"/>
  <c r="G68" i="11" s="1"/>
  <c r="R67" i="11"/>
  <c r="N67" i="11"/>
  <c r="K67" i="11"/>
  <c r="L67" i="11" s="1"/>
  <c r="J67" i="11"/>
  <c r="E67" i="11"/>
  <c r="G67" i="11" s="1"/>
  <c r="R66" i="11"/>
  <c r="N66" i="11"/>
  <c r="K66" i="11"/>
  <c r="L66" i="11" s="1"/>
  <c r="J66" i="11"/>
  <c r="E66" i="11"/>
  <c r="G66" i="11" s="1"/>
  <c r="R65" i="11"/>
  <c r="N65" i="11"/>
  <c r="N72" i="11" s="1"/>
  <c r="Q10" i="11" s="1"/>
  <c r="R10" i="11" s="1"/>
  <c r="K65" i="11"/>
  <c r="J65" i="11"/>
  <c r="J72" i="11" s="1"/>
  <c r="G65" i="11"/>
  <c r="G72" i="11" s="1"/>
  <c r="E65" i="11"/>
  <c r="E72" i="11" s="1"/>
  <c r="R64" i="11"/>
  <c r="F64" i="11"/>
  <c r="R63" i="11"/>
  <c r="N63" i="11"/>
  <c r="L63" i="11"/>
  <c r="K63" i="11"/>
  <c r="J63" i="11"/>
  <c r="E63" i="11"/>
  <c r="G63" i="11" s="1"/>
  <c r="R62" i="11"/>
  <c r="N62" i="11"/>
  <c r="L62" i="11"/>
  <c r="K62" i="11"/>
  <c r="J62" i="11"/>
  <c r="E62" i="11"/>
  <c r="G62" i="11" s="1"/>
  <c r="R61" i="11"/>
  <c r="N61" i="11"/>
  <c r="K61" i="11"/>
  <c r="L61" i="11" s="1"/>
  <c r="J61" i="11"/>
  <c r="E61" i="11"/>
  <c r="G61" i="11" s="1"/>
  <c r="R60" i="11"/>
  <c r="N60" i="11"/>
  <c r="K60" i="11"/>
  <c r="L60" i="11" s="1"/>
  <c r="J60" i="11"/>
  <c r="E60" i="11"/>
  <c r="G60" i="11" s="1"/>
  <c r="R59" i="11"/>
  <c r="N59" i="11"/>
  <c r="K59" i="11"/>
  <c r="L59" i="11" s="1"/>
  <c r="J59" i="11"/>
  <c r="E59" i="11"/>
  <c r="G59" i="11" s="1"/>
  <c r="R58" i="11"/>
  <c r="N58" i="11"/>
  <c r="K58" i="11"/>
  <c r="L58" i="11" s="1"/>
  <c r="J58" i="11"/>
  <c r="E58" i="11"/>
  <c r="G58" i="11" s="1"/>
  <c r="R57" i="11"/>
  <c r="N57" i="11"/>
  <c r="L57" i="11"/>
  <c r="K57" i="11"/>
  <c r="J57" i="11"/>
  <c r="E57" i="11"/>
  <c r="G57" i="11" s="1"/>
  <c r="R56" i="11"/>
  <c r="N56" i="11"/>
  <c r="N64" i="11" s="1"/>
  <c r="Q9" i="11" s="1"/>
  <c r="R9" i="11" s="1"/>
  <c r="K56" i="11"/>
  <c r="J56" i="11"/>
  <c r="J64" i="11" s="1"/>
  <c r="E56" i="11"/>
  <c r="R55" i="11"/>
  <c r="F55" i="11"/>
  <c r="R54" i="11"/>
  <c r="N54" i="11"/>
  <c r="K54" i="11"/>
  <c r="J54" i="11"/>
  <c r="L54" i="11" s="1"/>
  <c r="E54" i="11"/>
  <c r="G54" i="11" s="1"/>
  <c r="R53" i="11"/>
  <c r="N53" i="11"/>
  <c r="K53" i="11"/>
  <c r="L53" i="11" s="1"/>
  <c r="E53" i="11"/>
  <c r="G53" i="11" s="1"/>
  <c r="N52" i="11"/>
  <c r="K52" i="11"/>
  <c r="L52" i="11" s="1"/>
  <c r="E52" i="11"/>
  <c r="G52" i="11" s="1"/>
  <c r="R51" i="11"/>
  <c r="N51" i="11"/>
  <c r="K51" i="11"/>
  <c r="L51" i="11" s="1"/>
  <c r="E51" i="11"/>
  <c r="G51" i="11" s="1"/>
  <c r="R50" i="11"/>
  <c r="N50" i="11"/>
  <c r="K50" i="11"/>
  <c r="L50" i="11" s="1"/>
  <c r="J50" i="11"/>
  <c r="E50" i="11"/>
  <c r="G50" i="11" s="1"/>
  <c r="R49" i="11"/>
  <c r="N49" i="11"/>
  <c r="K49" i="11"/>
  <c r="L49" i="11" s="1"/>
  <c r="J49" i="11"/>
  <c r="G49" i="11"/>
  <c r="E49" i="11"/>
  <c r="R48" i="11"/>
  <c r="N48" i="11"/>
  <c r="K48" i="11"/>
  <c r="L48" i="11" s="1"/>
  <c r="J48" i="11"/>
  <c r="E48" i="11"/>
  <c r="G48" i="11" s="1"/>
  <c r="R47" i="11"/>
  <c r="N47" i="11"/>
  <c r="K47" i="11"/>
  <c r="L47" i="11" s="1"/>
  <c r="J47" i="11"/>
  <c r="E47" i="11"/>
  <c r="G47" i="11" s="1"/>
  <c r="R46" i="11"/>
  <c r="N46" i="11"/>
  <c r="K46" i="11"/>
  <c r="L46" i="11" s="1"/>
  <c r="J46" i="11"/>
  <c r="E46" i="11"/>
  <c r="G46" i="11" s="1"/>
  <c r="R45" i="11"/>
  <c r="N45" i="11"/>
  <c r="N55" i="11" s="1"/>
  <c r="Q8" i="11" s="1"/>
  <c r="R8" i="11" s="1"/>
  <c r="K45" i="11"/>
  <c r="J45" i="11"/>
  <c r="J55" i="11" s="1"/>
  <c r="E45" i="11"/>
  <c r="R44" i="11"/>
  <c r="F44" i="11"/>
  <c r="R43" i="11"/>
  <c r="N43" i="11"/>
  <c r="L43" i="11"/>
  <c r="K43" i="11"/>
  <c r="J43" i="11"/>
  <c r="G43" i="11"/>
  <c r="E43" i="11"/>
  <c r="N42" i="11"/>
  <c r="K42" i="11"/>
  <c r="L42" i="11" s="1"/>
  <c r="E42" i="11"/>
  <c r="G42" i="11" s="1"/>
  <c r="R41" i="11"/>
  <c r="N41" i="11"/>
  <c r="K41" i="11"/>
  <c r="L41" i="11" s="1"/>
  <c r="J41" i="11"/>
  <c r="E41" i="11"/>
  <c r="G41" i="11" s="1"/>
  <c r="R40" i="11"/>
  <c r="N40" i="11"/>
  <c r="K40" i="11"/>
  <c r="L40" i="11" s="1"/>
  <c r="J40" i="11"/>
  <c r="E40" i="11"/>
  <c r="G40" i="11" s="1"/>
  <c r="R39" i="11"/>
  <c r="N39" i="11"/>
  <c r="K39" i="11"/>
  <c r="L39" i="11" s="1"/>
  <c r="J39" i="11"/>
  <c r="E39" i="11"/>
  <c r="G39" i="11" s="1"/>
  <c r="R38" i="11"/>
  <c r="N38" i="11"/>
  <c r="L38" i="11"/>
  <c r="K38" i="11"/>
  <c r="J38" i="11"/>
  <c r="E38" i="11"/>
  <c r="G38" i="11" s="1"/>
  <c r="R37" i="11"/>
  <c r="N37" i="11"/>
  <c r="K37" i="11"/>
  <c r="L37" i="11" s="1"/>
  <c r="J37" i="11"/>
  <c r="E37" i="11"/>
  <c r="G37" i="11" s="1"/>
  <c r="R36" i="11"/>
  <c r="N36" i="11"/>
  <c r="N44" i="11" s="1"/>
  <c r="Q7" i="11" s="1"/>
  <c r="R7" i="11" s="1"/>
  <c r="K36" i="11"/>
  <c r="J36" i="11"/>
  <c r="J44" i="11" s="1"/>
  <c r="E36" i="11"/>
  <c r="R35" i="11"/>
  <c r="F35" i="11"/>
  <c r="R34" i="11"/>
  <c r="N34" i="11"/>
  <c r="L34" i="11"/>
  <c r="K34" i="11"/>
  <c r="J34" i="11"/>
  <c r="G34" i="11"/>
  <c r="R33" i="11"/>
  <c r="N33" i="11"/>
  <c r="K33" i="11"/>
  <c r="L33" i="11" s="1"/>
  <c r="J33" i="11"/>
  <c r="E33" i="11"/>
  <c r="G33" i="11" s="1"/>
  <c r="N32" i="11"/>
  <c r="K32" i="11"/>
  <c r="L32" i="11" s="1"/>
  <c r="J32" i="11"/>
  <c r="E32" i="11"/>
  <c r="G32" i="11" s="1"/>
  <c r="Q31" i="11"/>
  <c r="R31" i="11" s="1"/>
  <c r="N31" i="11"/>
  <c r="K31" i="11"/>
  <c r="L31" i="11" s="1"/>
  <c r="J31" i="11"/>
  <c r="E31" i="11"/>
  <c r="G31" i="11" s="1"/>
  <c r="N30" i="11"/>
  <c r="K30" i="11"/>
  <c r="L30" i="11" s="1"/>
  <c r="J30" i="11"/>
  <c r="E30" i="11"/>
  <c r="G30" i="11" s="1"/>
  <c r="N29" i="11"/>
  <c r="K29" i="11"/>
  <c r="L29" i="11" s="1"/>
  <c r="J29" i="11"/>
  <c r="E29" i="11"/>
  <c r="G29" i="11" s="1"/>
  <c r="N28" i="11"/>
  <c r="N35" i="11" s="1"/>
  <c r="Q6" i="11" s="1"/>
  <c r="R6" i="11" s="1"/>
  <c r="K28" i="11"/>
  <c r="K35" i="11" s="1"/>
  <c r="J28" i="11"/>
  <c r="E28" i="11"/>
  <c r="F27" i="11"/>
  <c r="N26" i="11"/>
  <c r="K26" i="11"/>
  <c r="L26" i="11" s="1"/>
  <c r="J26" i="11"/>
  <c r="G26" i="11"/>
  <c r="E26" i="11"/>
  <c r="N25" i="11"/>
  <c r="K25" i="11"/>
  <c r="L25" i="11" s="1"/>
  <c r="J25" i="11"/>
  <c r="G25" i="11"/>
  <c r="E25" i="11"/>
  <c r="N24" i="11"/>
  <c r="K24" i="11"/>
  <c r="L24" i="11" s="1"/>
  <c r="J24" i="11"/>
  <c r="E24" i="11"/>
  <c r="G24" i="11" s="1"/>
  <c r="N23" i="11"/>
  <c r="K23" i="11"/>
  <c r="L23" i="11" s="1"/>
  <c r="J23" i="11"/>
  <c r="E23" i="11"/>
  <c r="G23" i="11" s="1"/>
  <c r="N22" i="11"/>
  <c r="K22" i="11"/>
  <c r="L22" i="11" s="1"/>
  <c r="J22" i="11"/>
  <c r="G22" i="11"/>
  <c r="E22" i="11"/>
  <c r="N21" i="11"/>
  <c r="K21" i="11"/>
  <c r="L21" i="11" s="1"/>
  <c r="J21" i="11"/>
  <c r="G21" i="11"/>
  <c r="E21" i="11"/>
  <c r="N20" i="11"/>
  <c r="K20" i="11"/>
  <c r="L20" i="11" s="1"/>
  <c r="J20" i="11"/>
  <c r="E20" i="11"/>
  <c r="G20" i="11" s="1"/>
  <c r="N19" i="11"/>
  <c r="N27" i="11" s="1"/>
  <c r="Q5" i="11" s="1"/>
  <c r="R5" i="11" s="1"/>
  <c r="K19" i="11"/>
  <c r="J19" i="11"/>
  <c r="J27" i="11" s="1"/>
  <c r="E19" i="11"/>
  <c r="F18" i="11"/>
  <c r="N17" i="11"/>
  <c r="K17" i="11"/>
  <c r="L17" i="11" s="1"/>
  <c r="J17" i="11"/>
  <c r="G17" i="11"/>
  <c r="E17" i="11"/>
  <c r="N16" i="11"/>
  <c r="K16" i="11"/>
  <c r="L16" i="11" s="1"/>
  <c r="J16" i="11"/>
  <c r="G16" i="11"/>
  <c r="E16" i="11"/>
  <c r="N15" i="11"/>
  <c r="K15" i="11"/>
  <c r="L15" i="11" s="1"/>
  <c r="J15" i="11"/>
  <c r="E15" i="11"/>
  <c r="G15" i="11" s="1"/>
  <c r="N14" i="11"/>
  <c r="K14" i="11"/>
  <c r="L14" i="11" s="1"/>
  <c r="J14" i="11"/>
  <c r="E14" i="11"/>
  <c r="G14" i="11" s="1"/>
  <c r="N13" i="11"/>
  <c r="K13" i="11"/>
  <c r="L13" i="11" s="1"/>
  <c r="J13" i="11"/>
  <c r="E13" i="11"/>
  <c r="G13" i="11" s="1"/>
  <c r="N12" i="11"/>
  <c r="K12" i="11"/>
  <c r="L12" i="11" s="1"/>
  <c r="J12" i="11"/>
  <c r="E12" i="11"/>
  <c r="G12" i="11" s="1"/>
  <c r="N11" i="11"/>
  <c r="N18" i="11" s="1"/>
  <c r="Q4" i="11" s="1"/>
  <c r="R4" i="11" s="1"/>
  <c r="K11" i="11"/>
  <c r="J11" i="11"/>
  <c r="J18" i="11" s="1"/>
  <c r="E11" i="11"/>
  <c r="F10" i="11"/>
  <c r="N9" i="11"/>
  <c r="K9" i="11"/>
  <c r="L9" i="11" s="1"/>
  <c r="J9" i="11"/>
  <c r="E9" i="11"/>
  <c r="G9" i="11" s="1"/>
  <c r="N8" i="11"/>
  <c r="K8" i="11"/>
  <c r="L8" i="11" s="1"/>
  <c r="J8" i="11"/>
  <c r="E8" i="11"/>
  <c r="G8" i="11" s="1"/>
  <c r="N7" i="11"/>
  <c r="K7" i="11"/>
  <c r="L7" i="11" s="1"/>
  <c r="J7" i="11"/>
  <c r="G7" i="11"/>
  <c r="E7" i="11"/>
  <c r="N6" i="11"/>
  <c r="K6" i="11"/>
  <c r="L6" i="11" s="1"/>
  <c r="J6" i="11"/>
  <c r="E6" i="11"/>
  <c r="G6" i="11" s="1"/>
  <c r="N5" i="11"/>
  <c r="K5" i="11"/>
  <c r="J5" i="11"/>
  <c r="L5" i="11" s="1"/>
  <c r="G5" i="11"/>
  <c r="E5" i="11"/>
  <c r="O4" i="1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N4" i="11"/>
  <c r="K4" i="11"/>
  <c r="L4" i="11" s="1"/>
  <c r="J4" i="11"/>
  <c r="E4" i="11"/>
  <c r="G4" i="11" s="1"/>
  <c r="N3" i="11"/>
  <c r="N10" i="11" s="1"/>
  <c r="L3" i="11"/>
  <c r="L10" i="11" s="1"/>
  <c r="K3" i="11"/>
  <c r="K10" i="11" s="1"/>
  <c r="J3" i="11"/>
  <c r="J10" i="11" s="1"/>
  <c r="E3" i="11"/>
  <c r="F235" i="10"/>
  <c r="N234" i="10"/>
  <c r="K234" i="10"/>
  <c r="L234" i="10" s="1"/>
  <c r="J234" i="10"/>
  <c r="E234" i="10"/>
  <c r="G234" i="10" s="1"/>
  <c r="N233" i="10"/>
  <c r="N235" i="10" s="1"/>
  <c r="Q184" i="10" s="1"/>
  <c r="K233" i="10"/>
  <c r="L233" i="10" s="1"/>
  <c r="J233" i="10"/>
  <c r="E233" i="10"/>
  <c r="G233" i="10" s="1"/>
  <c r="K232" i="10"/>
  <c r="J232" i="10"/>
  <c r="J235" i="10" s="1"/>
  <c r="E232" i="10"/>
  <c r="F231" i="10"/>
  <c r="N230" i="10"/>
  <c r="K230" i="10"/>
  <c r="J230" i="10"/>
  <c r="L230" i="10" s="1"/>
  <c r="E230" i="10"/>
  <c r="G230" i="10" s="1"/>
  <c r="N229" i="10"/>
  <c r="K229" i="10"/>
  <c r="L229" i="10" s="1"/>
  <c r="J229" i="10"/>
  <c r="E229" i="10"/>
  <c r="G229" i="10" s="1"/>
  <c r="N228" i="10"/>
  <c r="K228" i="10"/>
  <c r="L228" i="10" s="1"/>
  <c r="J228" i="10"/>
  <c r="E228" i="10"/>
  <c r="G228" i="10" s="1"/>
  <c r="N227" i="10"/>
  <c r="N231" i="10" s="1"/>
  <c r="Q183" i="10" s="1"/>
  <c r="K227" i="10"/>
  <c r="L227" i="10" s="1"/>
  <c r="J227" i="10"/>
  <c r="E227" i="10"/>
  <c r="G227" i="10" s="1"/>
  <c r="K226" i="10"/>
  <c r="L226" i="10" s="1"/>
  <c r="J226" i="10"/>
  <c r="E226" i="10"/>
  <c r="G226" i="10" s="1"/>
  <c r="K225" i="10"/>
  <c r="J225" i="10"/>
  <c r="J231" i="10" s="1"/>
  <c r="E225" i="10"/>
  <c r="F224" i="10"/>
  <c r="N223" i="10"/>
  <c r="K223" i="10"/>
  <c r="L223" i="10" s="1"/>
  <c r="J223" i="10"/>
  <c r="E223" i="10"/>
  <c r="G223" i="10" s="1"/>
  <c r="N222" i="10"/>
  <c r="N224" i="10" s="1"/>
  <c r="Q182" i="10" s="1"/>
  <c r="K222" i="10"/>
  <c r="L222" i="10" s="1"/>
  <c r="J222" i="10"/>
  <c r="K221" i="10"/>
  <c r="L221" i="10" s="1"/>
  <c r="J221" i="10"/>
  <c r="E221" i="10"/>
  <c r="G221" i="10" s="1"/>
  <c r="K220" i="10"/>
  <c r="L220" i="10" s="1"/>
  <c r="J220" i="10"/>
  <c r="E220" i="10"/>
  <c r="G220" i="10" s="1"/>
  <c r="K219" i="10"/>
  <c r="L219" i="10" s="1"/>
  <c r="J219" i="10"/>
  <c r="E219" i="10"/>
  <c r="G219" i="10" s="1"/>
  <c r="K218" i="10"/>
  <c r="L218" i="10" s="1"/>
  <c r="J218" i="10"/>
  <c r="E218" i="10"/>
  <c r="G218" i="10" s="1"/>
  <c r="K217" i="10"/>
  <c r="J217" i="10"/>
  <c r="G217" i="10"/>
  <c r="E217" i="10"/>
  <c r="J216" i="10"/>
  <c r="E216" i="10"/>
  <c r="F215" i="10"/>
  <c r="N214" i="10"/>
  <c r="K214" i="10"/>
  <c r="L214" i="10" s="1"/>
  <c r="J214" i="10"/>
  <c r="E214" i="10"/>
  <c r="G214" i="10" s="1"/>
  <c r="N213" i="10"/>
  <c r="N215" i="10" s="1"/>
  <c r="Q181" i="10" s="1"/>
  <c r="K213" i="10"/>
  <c r="J213" i="10"/>
  <c r="L213" i="10" s="1"/>
  <c r="E213" i="10"/>
  <c r="G213" i="10" s="1"/>
  <c r="K212" i="10"/>
  <c r="L212" i="10" s="1"/>
  <c r="J212" i="10"/>
  <c r="E212" i="10"/>
  <c r="G212" i="10" s="1"/>
  <c r="K211" i="10"/>
  <c r="L211" i="10" s="1"/>
  <c r="J211" i="10"/>
  <c r="E211" i="10"/>
  <c r="G211" i="10" s="1"/>
  <c r="K210" i="10"/>
  <c r="J210" i="10"/>
  <c r="J215" i="10" s="1"/>
  <c r="E210" i="10"/>
  <c r="F209" i="10"/>
  <c r="L208" i="10"/>
  <c r="K208" i="10"/>
  <c r="N208" i="10" s="1"/>
  <c r="J208" i="10"/>
  <c r="G208" i="10"/>
  <c r="E208" i="10"/>
  <c r="N207" i="10"/>
  <c r="K207" i="10"/>
  <c r="L207" i="10" s="1"/>
  <c r="J207" i="10"/>
  <c r="E207" i="10"/>
  <c r="G207" i="10" s="1"/>
  <c r="N206" i="10"/>
  <c r="K206" i="10"/>
  <c r="L206" i="10" s="1"/>
  <c r="J206" i="10"/>
  <c r="E206" i="10"/>
  <c r="G206" i="10" s="1"/>
  <c r="N205" i="10"/>
  <c r="K205" i="10"/>
  <c r="L205" i="10" s="1"/>
  <c r="J205" i="10"/>
  <c r="E205" i="10"/>
  <c r="G205" i="10" s="1"/>
  <c r="N204" i="10"/>
  <c r="N209" i="10" s="1"/>
  <c r="Q180" i="10" s="1"/>
  <c r="K204" i="10"/>
  <c r="J204" i="10"/>
  <c r="J209" i="10" s="1"/>
  <c r="E204" i="10"/>
  <c r="F203" i="10"/>
  <c r="N202" i="10"/>
  <c r="K202" i="10"/>
  <c r="L202" i="10" s="1"/>
  <c r="J202" i="10"/>
  <c r="G202" i="10"/>
  <c r="E202" i="10"/>
  <c r="N201" i="10"/>
  <c r="K201" i="10"/>
  <c r="L201" i="10" s="1"/>
  <c r="J201" i="10"/>
  <c r="E201" i="10"/>
  <c r="G201" i="10" s="1"/>
  <c r="N200" i="10"/>
  <c r="K200" i="10"/>
  <c r="L200" i="10" s="1"/>
  <c r="J200" i="10"/>
  <c r="E200" i="10"/>
  <c r="G200" i="10" s="1"/>
  <c r="N199" i="10"/>
  <c r="L199" i="10"/>
  <c r="K199" i="10"/>
  <c r="J199" i="10"/>
  <c r="E199" i="10"/>
  <c r="N198" i="10"/>
  <c r="N203" i="10" s="1"/>
  <c r="Q179" i="10" s="1"/>
  <c r="K198" i="10"/>
  <c r="J198" i="10"/>
  <c r="J203" i="10" s="1"/>
  <c r="G198" i="10"/>
  <c r="G203" i="10" s="1"/>
  <c r="F197" i="10"/>
  <c r="N196" i="10"/>
  <c r="K196" i="10"/>
  <c r="L196" i="10" s="1"/>
  <c r="J196" i="10"/>
  <c r="E196" i="10"/>
  <c r="G196" i="10" s="1"/>
  <c r="K195" i="10"/>
  <c r="J195" i="10"/>
  <c r="G195" i="10"/>
  <c r="E195" i="10"/>
  <c r="K194" i="10"/>
  <c r="J194" i="10"/>
  <c r="E194" i="10"/>
  <c r="G194" i="10" s="1"/>
  <c r="K193" i="10"/>
  <c r="L193" i="10" s="1"/>
  <c r="J193" i="10"/>
  <c r="E193" i="10"/>
  <c r="G193" i="10" s="1"/>
  <c r="K192" i="10"/>
  <c r="J192" i="10"/>
  <c r="J197" i="10" s="1"/>
  <c r="E192" i="10"/>
  <c r="F191" i="10"/>
  <c r="N190" i="10"/>
  <c r="K190" i="10"/>
  <c r="L190" i="10" s="1"/>
  <c r="J190" i="10"/>
  <c r="E190" i="10"/>
  <c r="G190" i="10" s="1"/>
  <c r="N189" i="10"/>
  <c r="K189" i="10"/>
  <c r="L189" i="10" s="1"/>
  <c r="J189" i="10"/>
  <c r="E189" i="10"/>
  <c r="G189" i="10" s="1"/>
  <c r="K188" i="10"/>
  <c r="L188" i="10" s="1"/>
  <c r="J188" i="10"/>
  <c r="E188" i="10"/>
  <c r="G188" i="10" s="1"/>
  <c r="N187" i="10"/>
  <c r="K187" i="10"/>
  <c r="L187" i="10" s="1"/>
  <c r="J187" i="10"/>
  <c r="E187" i="10"/>
  <c r="G187" i="10" s="1"/>
  <c r="N186" i="10"/>
  <c r="N191" i="10" s="1"/>
  <c r="Q177" i="10" s="1"/>
  <c r="K186" i="10"/>
  <c r="J186" i="10"/>
  <c r="J191" i="10" s="1"/>
  <c r="E186" i="10"/>
  <c r="N185" i="10"/>
  <c r="F185" i="10"/>
  <c r="K184" i="10"/>
  <c r="L184" i="10" s="1"/>
  <c r="J184" i="10"/>
  <c r="G184" i="10"/>
  <c r="E184" i="10"/>
  <c r="K183" i="10"/>
  <c r="L183" i="10" s="1"/>
  <c r="J183" i="10"/>
  <c r="E183" i="10"/>
  <c r="G183" i="10" s="1"/>
  <c r="K182" i="10"/>
  <c r="J182" i="10"/>
  <c r="J185" i="10" s="1"/>
  <c r="E182" i="10"/>
  <c r="F181" i="10"/>
  <c r="K180" i="10"/>
  <c r="J180" i="10"/>
  <c r="E180" i="10"/>
  <c r="G180" i="10" s="1"/>
  <c r="K179" i="10"/>
  <c r="J179" i="10"/>
  <c r="E179" i="10"/>
  <c r="G179" i="10" s="1"/>
  <c r="K178" i="10"/>
  <c r="L178" i="10" s="1"/>
  <c r="J178" i="10"/>
  <c r="E178" i="10"/>
  <c r="G178" i="10" s="1"/>
  <c r="K177" i="10"/>
  <c r="L177" i="10" s="1"/>
  <c r="J177" i="10"/>
  <c r="E177" i="10"/>
  <c r="G177" i="10" s="1"/>
  <c r="Q176" i="10"/>
  <c r="K176" i="10"/>
  <c r="J176" i="10"/>
  <c r="J181" i="10" s="1"/>
  <c r="E176" i="10"/>
  <c r="R172" i="10"/>
  <c r="P172" i="10"/>
  <c r="R171" i="10"/>
  <c r="F171" i="10"/>
  <c r="R170" i="10"/>
  <c r="K170" i="10"/>
  <c r="N170" i="10" s="1"/>
  <c r="J170" i="10"/>
  <c r="L170" i="10" s="1"/>
  <c r="E170" i="10"/>
  <c r="G170" i="10" s="1"/>
  <c r="R169" i="10"/>
  <c r="N169" i="10"/>
  <c r="K169" i="10"/>
  <c r="L169" i="10" s="1"/>
  <c r="J169" i="10"/>
  <c r="E169" i="10"/>
  <c r="G169" i="10" s="1"/>
  <c r="R168" i="10"/>
  <c r="N168" i="10"/>
  <c r="K168" i="10"/>
  <c r="L168" i="10" s="1"/>
  <c r="J168" i="10"/>
  <c r="E168" i="10"/>
  <c r="G168" i="10" s="1"/>
  <c r="R167" i="10"/>
  <c r="N167" i="10"/>
  <c r="K167" i="10"/>
  <c r="L167" i="10" s="1"/>
  <c r="J167" i="10"/>
  <c r="E167" i="10"/>
  <c r="G167" i="10" s="1"/>
  <c r="R166" i="10"/>
  <c r="N166" i="10"/>
  <c r="K166" i="10"/>
  <c r="L166" i="10" s="1"/>
  <c r="J166" i="10"/>
  <c r="E166" i="10"/>
  <c r="G166" i="10" s="1"/>
  <c r="R165" i="10"/>
  <c r="N165" i="10"/>
  <c r="K165" i="10"/>
  <c r="J165" i="10"/>
  <c r="L165" i="10" s="1"/>
  <c r="E165" i="10"/>
  <c r="G165" i="10" s="1"/>
  <c r="R164" i="10"/>
  <c r="N164" i="10"/>
  <c r="L164" i="10"/>
  <c r="K164" i="10"/>
  <c r="J164" i="10"/>
  <c r="E164" i="10"/>
  <c r="G164" i="10" s="1"/>
  <c r="R163" i="10"/>
  <c r="K163" i="10"/>
  <c r="J163" i="10"/>
  <c r="J171" i="10" s="1"/>
  <c r="E163" i="10"/>
  <c r="F162" i="10"/>
  <c r="K161" i="10"/>
  <c r="J161" i="10"/>
  <c r="E161" i="10"/>
  <c r="G161" i="10" s="1"/>
  <c r="K160" i="10"/>
  <c r="J160" i="10"/>
  <c r="E160" i="10"/>
  <c r="G160" i="10" s="1"/>
  <c r="J159" i="10"/>
  <c r="E159" i="10"/>
  <c r="J158" i="10"/>
  <c r="E158" i="10"/>
  <c r="J157" i="10"/>
  <c r="G157" i="10"/>
  <c r="E157" i="10"/>
  <c r="K157" i="10" s="1"/>
  <c r="K156" i="10"/>
  <c r="J156" i="10"/>
  <c r="E156" i="10"/>
  <c r="G156" i="10" s="1"/>
  <c r="K155" i="10"/>
  <c r="J155" i="10"/>
  <c r="E155" i="10"/>
  <c r="K154" i="10"/>
  <c r="J154" i="10"/>
  <c r="J162" i="10" s="1"/>
  <c r="G154" i="10"/>
  <c r="R153" i="10"/>
  <c r="F153" i="10"/>
  <c r="R152" i="10"/>
  <c r="N152" i="10"/>
  <c r="L152" i="10"/>
  <c r="J152" i="10"/>
  <c r="G152" i="10"/>
  <c r="E152" i="10"/>
  <c r="R151" i="10"/>
  <c r="N151" i="10"/>
  <c r="K151" i="10"/>
  <c r="L151" i="10" s="1"/>
  <c r="J151" i="10"/>
  <c r="E151" i="10"/>
  <c r="G151" i="10" s="1"/>
  <c r="R150" i="10"/>
  <c r="N150" i="10"/>
  <c r="J150" i="10"/>
  <c r="L150" i="10" s="1"/>
  <c r="E150" i="10"/>
  <c r="G150" i="10" s="1"/>
  <c r="R149" i="10"/>
  <c r="N149" i="10"/>
  <c r="J149" i="10"/>
  <c r="L149" i="10" s="1"/>
  <c r="E149" i="10"/>
  <c r="G149" i="10" s="1"/>
  <c r="R148" i="10"/>
  <c r="N148" i="10"/>
  <c r="K148" i="10"/>
  <c r="L148" i="10" s="1"/>
  <c r="J148" i="10"/>
  <c r="E148" i="10"/>
  <c r="G148" i="10" s="1"/>
  <c r="R147" i="10"/>
  <c r="K147" i="10"/>
  <c r="J147" i="10"/>
  <c r="E147" i="10"/>
  <c r="G147" i="10" s="1"/>
  <c r="R146" i="10"/>
  <c r="K146" i="10"/>
  <c r="J146" i="10"/>
  <c r="E146" i="10"/>
  <c r="G146" i="10" s="1"/>
  <c r="R145" i="10"/>
  <c r="K145" i="10"/>
  <c r="J145" i="10"/>
  <c r="J153" i="10" s="1"/>
  <c r="E145" i="10"/>
  <c r="R144" i="10"/>
  <c r="R143" i="10"/>
  <c r="K143" i="10"/>
  <c r="J143" i="10"/>
  <c r="E143" i="10"/>
  <c r="G143" i="10" s="1"/>
  <c r="R142" i="10"/>
  <c r="N142" i="10"/>
  <c r="K142" i="10"/>
  <c r="L142" i="10" s="1"/>
  <c r="J142" i="10"/>
  <c r="E142" i="10"/>
  <c r="G142" i="10" s="1"/>
  <c r="R141" i="10"/>
  <c r="N141" i="10"/>
  <c r="K141" i="10"/>
  <c r="L141" i="10" s="1"/>
  <c r="J141" i="10"/>
  <c r="E141" i="10"/>
  <c r="G141" i="10" s="1"/>
  <c r="R140" i="10"/>
  <c r="N140" i="10"/>
  <c r="K140" i="10"/>
  <c r="L140" i="10" s="1"/>
  <c r="J140" i="10"/>
  <c r="E140" i="10"/>
  <c r="G140" i="10" s="1"/>
  <c r="R139" i="10"/>
  <c r="N139" i="10"/>
  <c r="K139" i="10"/>
  <c r="L139" i="10" s="1"/>
  <c r="J139" i="10"/>
  <c r="E139" i="10"/>
  <c r="G139" i="10" s="1"/>
  <c r="R138" i="10"/>
  <c r="N138" i="10"/>
  <c r="K138" i="10"/>
  <c r="L138" i="10" s="1"/>
  <c r="J138" i="10"/>
  <c r="E138" i="10"/>
  <c r="G138" i="10" s="1"/>
  <c r="R137" i="10"/>
  <c r="N137" i="10"/>
  <c r="K137" i="10"/>
  <c r="L137" i="10" s="1"/>
  <c r="J137" i="10"/>
  <c r="E137" i="10"/>
  <c r="G137" i="10" s="1"/>
  <c r="R136" i="10"/>
  <c r="N136" i="10"/>
  <c r="K136" i="10"/>
  <c r="J136" i="10"/>
  <c r="J144" i="10" s="1"/>
  <c r="E136" i="10"/>
  <c r="R135" i="10"/>
  <c r="F135" i="10"/>
  <c r="R134" i="10"/>
  <c r="K134" i="10"/>
  <c r="J134" i="10"/>
  <c r="E134" i="10"/>
  <c r="G134" i="10" s="1"/>
  <c r="R133" i="10"/>
  <c r="N133" i="10"/>
  <c r="K133" i="10"/>
  <c r="L133" i="10" s="1"/>
  <c r="J133" i="10"/>
  <c r="E133" i="10"/>
  <c r="G133" i="10" s="1"/>
  <c r="R132" i="10"/>
  <c r="N132" i="10"/>
  <c r="K132" i="10"/>
  <c r="L132" i="10" s="1"/>
  <c r="J132" i="10"/>
  <c r="G132" i="10"/>
  <c r="E132" i="10"/>
  <c r="R131" i="10"/>
  <c r="N131" i="10"/>
  <c r="K131" i="10"/>
  <c r="L131" i="10" s="1"/>
  <c r="J131" i="10"/>
  <c r="E131" i="10"/>
  <c r="G131" i="10" s="1"/>
  <c r="R130" i="10"/>
  <c r="N130" i="10"/>
  <c r="K130" i="10"/>
  <c r="L130" i="10" s="1"/>
  <c r="J130" i="10"/>
  <c r="E130" i="10"/>
  <c r="G130" i="10" s="1"/>
  <c r="R129" i="10"/>
  <c r="N129" i="10"/>
  <c r="K129" i="10"/>
  <c r="L129" i="10" s="1"/>
  <c r="J129" i="10"/>
  <c r="E129" i="10"/>
  <c r="G129" i="10" s="1"/>
  <c r="R128" i="10"/>
  <c r="N128" i="10"/>
  <c r="K128" i="10"/>
  <c r="L128" i="10" s="1"/>
  <c r="J128" i="10"/>
  <c r="G128" i="10"/>
  <c r="E128" i="10"/>
  <c r="R127" i="10"/>
  <c r="N127" i="10"/>
  <c r="K127" i="10"/>
  <c r="J127" i="10"/>
  <c r="J135" i="10" s="1"/>
  <c r="E127" i="10"/>
  <c r="R126" i="10"/>
  <c r="F126" i="10"/>
  <c r="R125" i="10"/>
  <c r="K125" i="10"/>
  <c r="J125" i="10"/>
  <c r="G125" i="10"/>
  <c r="E125" i="10"/>
  <c r="R124" i="10"/>
  <c r="N124" i="10"/>
  <c r="K124" i="10"/>
  <c r="L124" i="10" s="1"/>
  <c r="J124" i="10"/>
  <c r="G124" i="10"/>
  <c r="E124" i="10"/>
  <c r="R123" i="10"/>
  <c r="N123" i="10"/>
  <c r="K123" i="10"/>
  <c r="L123" i="10" s="1"/>
  <c r="J123" i="10"/>
  <c r="E123" i="10"/>
  <c r="G123" i="10" s="1"/>
  <c r="R122" i="10"/>
  <c r="N122" i="10"/>
  <c r="K122" i="10"/>
  <c r="L122" i="10" s="1"/>
  <c r="J122" i="10"/>
  <c r="E122" i="10"/>
  <c r="G122" i="10" s="1"/>
  <c r="R121" i="10"/>
  <c r="N121" i="10"/>
  <c r="K121" i="10"/>
  <c r="L121" i="10" s="1"/>
  <c r="J121" i="10"/>
  <c r="E121" i="10"/>
  <c r="G121" i="10" s="1"/>
  <c r="R120" i="10"/>
  <c r="N120" i="10"/>
  <c r="K120" i="10"/>
  <c r="L120" i="10" s="1"/>
  <c r="J120" i="10"/>
  <c r="E120" i="10"/>
  <c r="G120" i="10" s="1"/>
  <c r="R119" i="10"/>
  <c r="N119" i="10"/>
  <c r="K119" i="10"/>
  <c r="L119" i="10" s="1"/>
  <c r="J119" i="10"/>
  <c r="E119" i="10"/>
  <c r="G119" i="10" s="1"/>
  <c r="R118" i="10"/>
  <c r="N118" i="10"/>
  <c r="K118" i="10"/>
  <c r="J118" i="10"/>
  <c r="J126" i="10" s="1"/>
  <c r="E118" i="10"/>
  <c r="R117" i="10"/>
  <c r="F117" i="10"/>
  <c r="R116" i="10"/>
  <c r="N116" i="10"/>
  <c r="K116" i="10"/>
  <c r="L116" i="10" s="1"/>
  <c r="J116" i="10"/>
  <c r="E116" i="10"/>
  <c r="G116" i="10" s="1"/>
  <c r="R115" i="10"/>
  <c r="N115" i="10"/>
  <c r="K115" i="10"/>
  <c r="L115" i="10" s="1"/>
  <c r="J115" i="10"/>
  <c r="E115" i="10"/>
  <c r="G115" i="10" s="1"/>
  <c r="R114" i="10"/>
  <c r="N114" i="10"/>
  <c r="K114" i="10"/>
  <c r="L114" i="10" s="1"/>
  <c r="J114" i="10"/>
  <c r="E114" i="10"/>
  <c r="G114" i="10" s="1"/>
  <c r="R113" i="10"/>
  <c r="N113" i="10"/>
  <c r="K113" i="10"/>
  <c r="L113" i="10" s="1"/>
  <c r="J113" i="10"/>
  <c r="E113" i="10"/>
  <c r="G113" i="10" s="1"/>
  <c r="R112" i="10"/>
  <c r="N112" i="10"/>
  <c r="N117" i="10" s="1"/>
  <c r="Q16" i="10" s="1"/>
  <c r="R16" i="10" s="1"/>
  <c r="K112" i="10"/>
  <c r="J112" i="10"/>
  <c r="J117" i="10" s="1"/>
  <c r="E112" i="10"/>
  <c r="R111" i="10"/>
  <c r="R110" i="10"/>
  <c r="N110" i="10"/>
  <c r="K110" i="10"/>
  <c r="L110" i="10" s="1"/>
  <c r="J110" i="10"/>
  <c r="E110" i="10"/>
  <c r="G110" i="10" s="1"/>
  <c r="R109" i="10"/>
  <c r="N109" i="10"/>
  <c r="K109" i="10"/>
  <c r="L109" i="10" s="1"/>
  <c r="J109" i="10"/>
  <c r="E109" i="10"/>
  <c r="G109" i="10" s="1"/>
  <c r="R108" i="10"/>
  <c r="N108" i="10"/>
  <c r="K108" i="10"/>
  <c r="L108" i="10" s="1"/>
  <c r="J108" i="10"/>
  <c r="E108" i="10"/>
  <c r="G108" i="10" s="1"/>
  <c r="R107" i="10"/>
  <c r="N107" i="10"/>
  <c r="K107" i="10"/>
  <c r="L107" i="10" s="1"/>
  <c r="J107" i="10"/>
  <c r="G107" i="10"/>
  <c r="E107" i="10"/>
  <c r="R106" i="10"/>
  <c r="N106" i="10"/>
  <c r="K106" i="10"/>
  <c r="J106" i="10"/>
  <c r="L106" i="10" s="1"/>
  <c r="E106" i="10"/>
  <c r="G106" i="10" s="1"/>
  <c r="R105" i="10"/>
  <c r="N105" i="10"/>
  <c r="K105" i="10"/>
  <c r="L105" i="10" s="1"/>
  <c r="J105" i="10"/>
  <c r="E105" i="10"/>
  <c r="G105" i="10" s="1"/>
  <c r="R104" i="10"/>
  <c r="N104" i="10"/>
  <c r="N111" i="10" s="1"/>
  <c r="R15" i="10" s="1"/>
  <c r="K104" i="10"/>
  <c r="J104" i="10"/>
  <c r="J111" i="10" s="1"/>
  <c r="E104" i="10"/>
  <c r="R103" i="10"/>
  <c r="R102" i="10"/>
  <c r="N102" i="10"/>
  <c r="K102" i="10"/>
  <c r="L102" i="10" s="1"/>
  <c r="J102" i="10"/>
  <c r="E102" i="10"/>
  <c r="G102" i="10" s="1"/>
  <c r="R101" i="10"/>
  <c r="N101" i="10"/>
  <c r="K101" i="10"/>
  <c r="L101" i="10" s="1"/>
  <c r="J101" i="10"/>
  <c r="E101" i="10"/>
  <c r="G101" i="10" s="1"/>
  <c r="R100" i="10"/>
  <c r="N100" i="10"/>
  <c r="K100" i="10"/>
  <c r="L100" i="10" s="1"/>
  <c r="J100" i="10"/>
  <c r="E100" i="10"/>
  <c r="G100" i="10" s="1"/>
  <c r="R99" i="10"/>
  <c r="N99" i="10"/>
  <c r="K99" i="10"/>
  <c r="L99" i="10" s="1"/>
  <c r="J99" i="10"/>
  <c r="E99" i="10"/>
  <c r="G99" i="10" s="1"/>
  <c r="R98" i="10"/>
  <c r="N98" i="10"/>
  <c r="K98" i="10"/>
  <c r="L98" i="10" s="1"/>
  <c r="J98" i="10"/>
  <c r="E98" i="10"/>
  <c r="G98" i="10" s="1"/>
  <c r="R97" i="10"/>
  <c r="N97" i="10"/>
  <c r="K97" i="10"/>
  <c r="L97" i="10" s="1"/>
  <c r="J97" i="10"/>
  <c r="E97" i="10"/>
  <c r="G97" i="10" s="1"/>
  <c r="R96" i="10"/>
  <c r="K96" i="10"/>
  <c r="J96" i="10"/>
  <c r="E96" i="10"/>
  <c r="G96" i="10" s="1"/>
  <c r="R95" i="10"/>
  <c r="R94" i="10"/>
  <c r="N94" i="10"/>
  <c r="K94" i="10"/>
  <c r="L94" i="10" s="1"/>
  <c r="J94" i="10"/>
  <c r="E94" i="10"/>
  <c r="G94" i="10" s="1"/>
  <c r="R93" i="10"/>
  <c r="N93" i="10"/>
  <c r="K93" i="10"/>
  <c r="L93" i="10" s="1"/>
  <c r="J93" i="10"/>
  <c r="E93" i="10"/>
  <c r="G93" i="10" s="1"/>
  <c r="R92" i="10"/>
  <c r="N92" i="10"/>
  <c r="K92" i="10"/>
  <c r="L92" i="10" s="1"/>
  <c r="J92" i="10"/>
  <c r="G92" i="10"/>
  <c r="E92" i="10"/>
  <c r="R91" i="10"/>
  <c r="N91" i="10"/>
  <c r="K91" i="10"/>
  <c r="L91" i="10" s="1"/>
  <c r="J91" i="10"/>
  <c r="E91" i="10"/>
  <c r="G91" i="10" s="1"/>
  <c r="R90" i="10"/>
  <c r="N90" i="10"/>
  <c r="K90" i="10"/>
  <c r="L90" i="10" s="1"/>
  <c r="J90" i="10"/>
  <c r="G90" i="10"/>
  <c r="E90" i="10"/>
  <c r="R89" i="10"/>
  <c r="N89" i="10"/>
  <c r="N95" i="10" s="1"/>
  <c r="Q13" i="10" s="1"/>
  <c r="R13" i="10" s="1"/>
  <c r="K89" i="10"/>
  <c r="J89" i="10"/>
  <c r="E89" i="10"/>
  <c r="R88" i="10"/>
  <c r="F88" i="10"/>
  <c r="F95" i="10" s="1"/>
  <c r="F103" i="10" s="1"/>
  <c r="R87" i="10"/>
  <c r="N87" i="10"/>
  <c r="K87" i="10"/>
  <c r="L87" i="10" s="1"/>
  <c r="J87" i="10"/>
  <c r="E87" i="10"/>
  <c r="G87" i="10" s="1"/>
  <c r="R86" i="10"/>
  <c r="N86" i="10"/>
  <c r="K86" i="10"/>
  <c r="L86" i="10" s="1"/>
  <c r="J86" i="10"/>
  <c r="E86" i="10"/>
  <c r="G86" i="10" s="1"/>
  <c r="R85" i="10"/>
  <c r="N85" i="10"/>
  <c r="K85" i="10"/>
  <c r="L85" i="10" s="1"/>
  <c r="J85" i="10"/>
  <c r="E85" i="10"/>
  <c r="G85" i="10" s="1"/>
  <c r="R84" i="10"/>
  <c r="N84" i="10"/>
  <c r="K84" i="10"/>
  <c r="L84" i="10" s="1"/>
  <c r="J84" i="10"/>
  <c r="E84" i="10"/>
  <c r="G84" i="10" s="1"/>
  <c r="R83" i="10"/>
  <c r="N83" i="10"/>
  <c r="K83" i="10"/>
  <c r="L83" i="10" s="1"/>
  <c r="J83" i="10"/>
  <c r="E83" i="10"/>
  <c r="G83" i="10" s="1"/>
  <c r="R82" i="10"/>
  <c r="N82" i="10"/>
  <c r="K82" i="10"/>
  <c r="J82" i="10"/>
  <c r="L82" i="10" s="1"/>
  <c r="E82" i="10"/>
  <c r="G82" i="10" s="1"/>
  <c r="R81" i="10"/>
  <c r="N81" i="10"/>
  <c r="N88" i="10" s="1"/>
  <c r="Q12" i="10" s="1"/>
  <c r="R12" i="10" s="1"/>
  <c r="K81" i="10"/>
  <c r="K88" i="10" s="1"/>
  <c r="J81" i="10"/>
  <c r="E81" i="10"/>
  <c r="R80" i="10"/>
  <c r="R79" i="10"/>
  <c r="N79" i="10"/>
  <c r="K79" i="10"/>
  <c r="L79" i="10" s="1"/>
  <c r="J79" i="10"/>
  <c r="E79" i="10"/>
  <c r="G79" i="10" s="1"/>
  <c r="R78" i="10"/>
  <c r="N78" i="10"/>
  <c r="K78" i="10"/>
  <c r="L78" i="10" s="1"/>
  <c r="J78" i="10"/>
  <c r="E78" i="10"/>
  <c r="G78" i="10" s="1"/>
  <c r="R77" i="10"/>
  <c r="N77" i="10"/>
  <c r="K77" i="10"/>
  <c r="L77" i="10" s="1"/>
  <c r="J77" i="10"/>
  <c r="E77" i="10"/>
  <c r="G77" i="10" s="1"/>
  <c r="R76" i="10"/>
  <c r="N76" i="10"/>
  <c r="K76" i="10"/>
  <c r="L76" i="10" s="1"/>
  <c r="J76" i="10"/>
  <c r="E76" i="10"/>
  <c r="G76" i="10" s="1"/>
  <c r="R75" i="10"/>
  <c r="N75" i="10"/>
  <c r="K75" i="10"/>
  <c r="L75" i="10" s="1"/>
  <c r="J75" i="10"/>
  <c r="E75" i="10"/>
  <c r="G75" i="10" s="1"/>
  <c r="R74" i="10"/>
  <c r="N74" i="10"/>
  <c r="K74" i="10"/>
  <c r="J74" i="10"/>
  <c r="L74" i="10" s="1"/>
  <c r="E74" i="10"/>
  <c r="G74" i="10" s="1"/>
  <c r="R73" i="10"/>
  <c r="N73" i="10"/>
  <c r="N80" i="10" s="1"/>
  <c r="Q11" i="10" s="1"/>
  <c r="R11" i="10" s="1"/>
  <c r="K73" i="10"/>
  <c r="J73" i="10"/>
  <c r="J80" i="10" s="1"/>
  <c r="E73" i="10"/>
  <c r="R72" i="10"/>
  <c r="R71" i="10"/>
  <c r="N71" i="10"/>
  <c r="K71" i="10"/>
  <c r="L71" i="10" s="1"/>
  <c r="J71" i="10"/>
  <c r="E71" i="10"/>
  <c r="G71" i="10" s="1"/>
  <c r="R70" i="10"/>
  <c r="N70" i="10"/>
  <c r="K70" i="10"/>
  <c r="L70" i="10" s="1"/>
  <c r="J70" i="10"/>
  <c r="E70" i="10"/>
  <c r="G70" i="10" s="1"/>
  <c r="R69" i="10"/>
  <c r="N69" i="10"/>
  <c r="K69" i="10"/>
  <c r="L69" i="10" s="1"/>
  <c r="J69" i="10"/>
  <c r="E69" i="10"/>
  <c r="G69" i="10" s="1"/>
  <c r="R68" i="10"/>
  <c r="N68" i="10"/>
  <c r="K68" i="10"/>
  <c r="L68" i="10" s="1"/>
  <c r="J68" i="10"/>
  <c r="E68" i="10"/>
  <c r="G68" i="10" s="1"/>
  <c r="R67" i="10"/>
  <c r="N67" i="10"/>
  <c r="K67" i="10"/>
  <c r="J67" i="10"/>
  <c r="L67" i="10" s="1"/>
  <c r="G67" i="10"/>
  <c r="E67" i="10"/>
  <c r="R66" i="10"/>
  <c r="N66" i="10"/>
  <c r="K66" i="10"/>
  <c r="K72" i="10" s="1"/>
  <c r="J66" i="10"/>
  <c r="L66" i="10" s="1"/>
  <c r="G66" i="10"/>
  <c r="E66" i="10"/>
  <c r="R65" i="10"/>
  <c r="N65" i="10"/>
  <c r="N72" i="10" s="1"/>
  <c r="Q10" i="10" s="1"/>
  <c r="R10" i="10" s="1"/>
  <c r="K65" i="10"/>
  <c r="L65" i="10" s="1"/>
  <c r="L72" i="10" s="1"/>
  <c r="J65" i="10"/>
  <c r="J72" i="10" s="1"/>
  <c r="E65" i="10"/>
  <c r="R64" i="10"/>
  <c r="F64" i="10"/>
  <c r="R63" i="10"/>
  <c r="N63" i="10"/>
  <c r="K63" i="10"/>
  <c r="L63" i="10" s="1"/>
  <c r="J63" i="10"/>
  <c r="E63" i="10"/>
  <c r="G63" i="10" s="1"/>
  <c r="R62" i="10"/>
  <c r="N62" i="10"/>
  <c r="K62" i="10"/>
  <c r="L62" i="10" s="1"/>
  <c r="J62" i="10"/>
  <c r="E62" i="10"/>
  <c r="G62" i="10" s="1"/>
  <c r="R61" i="10"/>
  <c r="N61" i="10"/>
  <c r="K61" i="10"/>
  <c r="J61" i="10"/>
  <c r="J64" i="10" s="1"/>
  <c r="E61" i="10"/>
  <c r="R60" i="10"/>
  <c r="N60" i="10"/>
  <c r="N64" i="10" s="1"/>
  <c r="Q9" i="10" s="1"/>
  <c r="R9" i="10" s="1"/>
  <c r="L60" i="10"/>
  <c r="K60" i="10"/>
  <c r="J60" i="10"/>
  <c r="E60" i="10"/>
  <c r="G60" i="10" s="1"/>
  <c r="R59" i="10"/>
  <c r="N59" i="10"/>
  <c r="K59" i="10"/>
  <c r="L59" i="10" s="1"/>
  <c r="J59" i="10"/>
  <c r="E59" i="10"/>
  <c r="G59" i="10" s="1"/>
  <c r="R58" i="10"/>
  <c r="N58" i="10"/>
  <c r="K58" i="10"/>
  <c r="L58" i="10" s="1"/>
  <c r="J58" i="10"/>
  <c r="E58" i="10"/>
  <c r="G58" i="10" s="1"/>
  <c r="R57" i="10"/>
  <c r="N57" i="10"/>
  <c r="K57" i="10"/>
  <c r="L57" i="10" s="1"/>
  <c r="J57" i="10"/>
  <c r="E57" i="10"/>
  <c r="G57" i="10" s="1"/>
  <c r="R56" i="10"/>
  <c r="N56" i="10"/>
  <c r="K56" i="10"/>
  <c r="L56" i="10" s="1"/>
  <c r="L64" i="10" s="1"/>
  <c r="J56" i="10"/>
  <c r="E56" i="10"/>
  <c r="G56" i="10" s="1"/>
  <c r="R55" i="10"/>
  <c r="R54" i="10"/>
  <c r="N54" i="10"/>
  <c r="K54" i="10"/>
  <c r="L54" i="10" s="1"/>
  <c r="J54" i="10"/>
  <c r="E54" i="10"/>
  <c r="G54" i="10" s="1"/>
  <c r="R53" i="10"/>
  <c r="N53" i="10"/>
  <c r="K53" i="10"/>
  <c r="L53" i="10" s="1"/>
  <c r="E53" i="10"/>
  <c r="G53" i="10" s="1"/>
  <c r="N52" i="10"/>
  <c r="K52" i="10"/>
  <c r="L52" i="10" s="1"/>
  <c r="E52" i="10"/>
  <c r="G52" i="10" s="1"/>
  <c r="R51" i="10"/>
  <c r="N51" i="10"/>
  <c r="K51" i="10"/>
  <c r="L51" i="10" s="1"/>
  <c r="E51" i="10"/>
  <c r="G51" i="10" s="1"/>
  <c r="R50" i="10"/>
  <c r="N50" i="10"/>
  <c r="K50" i="10"/>
  <c r="L50" i="10" s="1"/>
  <c r="J50" i="10"/>
  <c r="E50" i="10"/>
  <c r="G50" i="10" s="1"/>
  <c r="R49" i="10"/>
  <c r="N49" i="10"/>
  <c r="K49" i="10"/>
  <c r="L49" i="10" s="1"/>
  <c r="J49" i="10"/>
  <c r="E49" i="10"/>
  <c r="G49" i="10" s="1"/>
  <c r="R48" i="10"/>
  <c r="N48" i="10"/>
  <c r="K48" i="10"/>
  <c r="L48" i="10" s="1"/>
  <c r="J48" i="10"/>
  <c r="E48" i="10"/>
  <c r="G48" i="10" s="1"/>
  <c r="R47" i="10"/>
  <c r="N47" i="10"/>
  <c r="K47" i="10"/>
  <c r="L47" i="10" s="1"/>
  <c r="J47" i="10"/>
  <c r="E47" i="10"/>
  <c r="G47" i="10" s="1"/>
  <c r="R46" i="10"/>
  <c r="N46" i="10"/>
  <c r="K46" i="10"/>
  <c r="L46" i="10" s="1"/>
  <c r="J46" i="10"/>
  <c r="E46" i="10"/>
  <c r="G46" i="10" s="1"/>
  <c r="R45" i="10"/>
  <c r="N45" i="10"/>
  <c r="N55" i="10" s="1"/>
  <c r="Q8" i="10" s="1"/>
  <c r="R8" i="10" s="1"/>
  <c r="K45" i="10"/>
  <c r="J45" i="10"/>
  <c r="J55" i="10" s="1"/>
  <c r="E45" i="10"/>
  <c r="R44" i="10"/>
  <c r="F44" i="10"/>
  <c r="R43" i="10"/>
  <c r="N43" i="10"/>
  <c r="K43" i="10"/>
  <c r="L43" i="10" s="1"/>
  <c r="J43" i="10"/>
  <c r="E43" i="10"/>
  <c r="G43" i="10" s="1"/>
  <c r="N42" i="10"/>
  <c r="K42" i="10"/>
  <c r="L42" i="10" s="1"/>
  <c r="E42" i="10"/>
  <c r="G42" i="10" s="1"/>
  <c r="R41" i="10"/>
  <c r="N41" i="10"/>
  <c r="K41" i="10"/>
  <c r="L41" i="10" s="1"/>
  <c r="J41" i="10"/>
  <c r="E41" i="10"/>
  <c r="G41" i="10" s="1"/>
  <c r="R40" i="10"/>
  <c r="N40" i="10"/>
  <c r="K40" i="10"/>
  <c r="L40" i="10" s="1"/>
  <c r="J40" i="10"/>
  <c r="E40" i="10"/>
  <c r="G40" i="10" s="1"/>
  <c r="R39" i="10"/>
  <c r="N39" i="10"/>
  <c r="K39" i="10"/>
  <c r="L39" i="10" s="1"/>
  <c r="J39" i="10"/>
  <c r="E39" i="10"/>
  <c r="G39" i="10" s="1"/>
  <c r="R38" i="10"/>
  <c r="N38" i="10"/>
  <c r="K38" i="10"/>
  <c r="L38" i="10" s="1"/>
  <c r="J38" i="10"/>
  <c r="E38" i="10"/>
  <c r="G38" i="10" s="1"/>
  <c r="R37" i="10"/>
  <c r="N37" i="10"/>
  <c r="K37" i="10"/>
  <c r="L37" i="10" s="1"/>
  <c r="J37" i="10"/>
  <c r="E37" i="10"/>
  <c r="G37" i="10" s="1"/>
  <c r="R36" i="10"/>
  <c r="N36" i="10"/>
  <c r="N44" i="10" s="1"/>
  <c r="Q7" i="10" s="1"/>
  <c r="R7" i="10" s="1"/>
  <c r="K36" i="10"/>
  <c r="J36" i="10"/>
  <c r="J44" i="10" s="1"/>
  <c r="E36" i="10"/>
  <c r="R35" i="10"/>
  <c r="R34" i="10"/>
  <c r="N34" i="10"/>
  <c r="K34" i="10"/>
  <c r="L34" i="10" s="1"/>
  <c r="J34" i="10"/>
  <c r="G34" i="10"/>
  <c r="R33" i="10"/>
  <c r="N33" i="10"/>
  <c r="K33" i="10"/>
  <c r="L33" i="10" s="1"/>
  <c r="J33" i="10"/>
  <c r="E33" i="10"/>
  <c r="G33" i="10" s="1"/>
  <c r="R32" i="10"/>
  <c r="N32" i="10"/>
  <c r="K32" i="10"/>
  <c r="L32" i="10" s="1"/>
  <c r="J32" i="10"/>
  <c r="E32" i="10"/>
  <c r="G32" i="10" s="1"/>
  <c r="R31" i="10"/>
  <c r="N31" i="10"/>
  <c r="K31" i="10"/>
  <c r="L31" i="10" s="1"/>
  <c r="J31" i="10"/>
  <c r="E31" i="10"/>
  <c r="G31" i="10" s="1"/>
  <c r="R30" i="10"/>
  <c r="N30" i="10"/>
  <c r="K30" i="10"/>
  <c r="L30" i="10" s="1"/>
  <c r="J30" i="10"/>
  <c r="E30" i="10"/>
  <c r="G30" i="10" s="1"/>
  <c r="R29" i="10"/>
  <c r="N29" i="10"/>
  <c r="K29" i="10"/>
  <c r="L29" i="10" s="1"/>
  <c r="J29" i="10"/>
  <c r="E29" i="10"/>
  <c r="G29" i="10" s="1"/>
  <c r="R28" i="10"/>
  <c r="N28" i="10"/>
  <c r="N35" i="10" s="1"/>
  <c r="Q6" i="10" s="1"/>
  <c r="R6" i="10" s="1"/>
  <c r="K28" i="10"/>
  <c r="J28" i="10"/>
  <c r="J35" i="10" s="1"/>
  <c r="E28" i="10"/>
  <c r="F27" i="10"/>
  <c r="R26" i="10"/>
  <c r="N26" i="10"/>
  <c r="K26" i="10"/>
  <c r="L26" i="10" s="1"/>
  <c r="J26" i="10"/>
  <c r="E26" i="10"/>
  <c r="G26" i="10" s="1"/>
  <c r="R25" i="10"/>
  <c r="N25" i="10"/>
  <c r="K25" i="10"/>
  <c r="L25" i="10" s="1"/>
  <c r="J25" i="10"/>
  <c r="E25" i="10"/>
  <c r="G25" i="10" s="1"/>
  <c r="R24" i="10"/>
  <c r="N24" i="10"/>
  <c r="K24" i="10"/>
  <c r="L24" i="10" s="1"/>
  <c r="J24" i="10"/>
  <c r="E24" i="10"/>
  <c r="G24" i="10" s="1"/>
  <c r="N23" i="10"/>
  <c r="K23" i="10"/>
  <c r="L23" i="10" s="1"/>
  <c r="J23" i="10"/>
  <c r="E23" i="10"/>
  <c r="G23" i="10" s="1"/>
  <c r="N22" i="10"/>
  <c r="K22" i="10"/>
  <c r="L22" i="10" s="1"/>
  <c r="J22" i="10"/>
  <c r="E22" i="10"/>
  <c r="G22" i="10" s="1"/>
  <c r="N21" i="10"/>
  <c r="K21" i="10"/>
  <c r="L21" i="10" s="1"/>
  <c r="J21" i="10"/>
  <c r="E21" i="10"/>
  <c r="G21" i="10" s="1"/>
  <c r="N20" i="10"/>
  <c r="K20" i="10"/>
  <c r="L20" i="10" s="1"/>
  <c r="J20" i="10"/>
  <c r="E20" i="10"/>
  <c r="G20" i="10" s="1"/>
  <c r="N19" i="10"/>
  <c r="N27" i="10" s="1"/>
  <c r="Q5" i="10" s="1"/>
  <c r="R5" i="10" s="1"/>
  <c r="K19" i="10"/>
  <c r="J19" i="10"/>
  <c r="J27" i="10" s="1"/>
  <c r="E19" i="10"/>
  <c r="N17" i="10"/>
  <c r="K17" i="10"/>
  <c r="L17" i="10" s="1"/>
  <c r="J17" i="10"/>
  <c r="E17" i="10"/>
  <c r="G17" i="10" s="1"/>
  <c r="N16" i="10"/>
  <c r="K16" i="10"/>
  <c r="L16" i="10" s="1"/>
  <c r="J16" i="10"/>
  <c r="E16" i="10"/>
  <c r="G16" i="10" s="1"/>
  <c r="N15" i="10"/>
  <c r="K15" i="10"/>
  <c r="L15" i="10" s="1"/>
  <c r="J15" i="10"/>
  <c r="E15" i="10"/>
  <c r="G15" i="10" s="1"/>
  <c r="N14" i="10"/>
  <c r="K14" i="10"/>
  <c r="L14" i="10" s="1"/>
  <c r="J14" i="10"/>
  <c r="E14" i="10"/>
  <c r="G14" i="10" s="1"/>
  <c r="N13" i="10"/>
  <c r="K13" i="10"/>
  <c r="L13" i="10" s="1"/>
  <c r="J13" i="10"/>
  <c r="E13" i="10"/>
  <c r="G13" i="10" s="1"/>
  <c r="N12" i="10"/>
  <c r="K12" i="10"/>
  <c r="L12" i="10" s="1"/>
  <c r="J12" i="10"/>
  <c r="E12" i="10"/>
  <c r="G12" i="10" s="1"/>
  <c r="N11" i="10"/>
  <c r="N18" i="10" s="1"/>
  <c r="Q4" i="10" s="1"/>
  <c r="R4" i="10" s="1"/>
  <c r="K11" i="10"/>
  <c r="J11" i="10"/>
  <c r="J18" i="10" s="1"/>
  <c r="E11" i="10"/>
  <c r="F10" i="10"/>
  <c r="F18" i="10" s="1"/>
  <c r="N9" i="10"/>
  <c r="K9" i="10"/>
  <c r="L9" i="10" s="1"/>
  <c r="J9" i="10"/>
  <c r="E9" i="10"/>
  <c r="G9" i="10" s="1"/>
  <c r="N8" i="10"/>
  <c r="K8" i="10"/>
  <c r="L8" i="10" s="1"/>
  <c r="J8" i="10"/>
  <c r="E8" i="10"/>
  <c r="G8" i="10" s="1"/>
  <c r="N7" i="10"/>
  <c r="K7" i="10"/>
  <c r="L7" i="10" s="1"/>
  <c r="J7" i="10"/>
  <c r="E7" i="10"/>
  <c r="G7" i="10" s="1"/>
  <c r="N6" i="10"/>
  <c r="K6" i="10"/>
  <c r="L6" i="10" s="1"/>
  <c r="J6" i="10"/>
  <c r="E6" i="10"/>
  <c r="G6" i="10" s="1"/>
  <c r="N5" i="10"/>
  <c r="K5" i="10"/>
  <c r="L5" i="10" s="1"/>
  <c r="J5" i="10"/>
  <c r="E5" i="10"/>
  <c r="G5" i="10" s="1"/>
  <c r="O4" i="10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N4" i="10"/>
  <c r="K4" i="10"/>
  <c r="L4" i="10" s="1"/>
  <c r="J4" i="10"/>
  <c r="E4" i="10"/>
  <c r="G4" i="10" s="1"/>
  <c r="N3" i="10"/>
  <c r="N10" i="10" s="1"/>
  <c r="K3" i="10"/>
  <c r="J3" i="10"/>
  <c r="J10" i="10" s="1"/>
  <c r="E3" i="10"/>
  <c r="P2" i="10"/>
  <c r="F244" i="9"/>
  <c r="N243" i="9"/>
  <c r="K243" i="9"/>
  <c r="L243" i="9" s="1"/>
  <c r="J243" i="9"/>
  <c r="E243" i="9"/>
  <c r="G243" i="9" s="1"/>
  <c r="N242" i="9"/>
  <c r="K242" i="9"/>
  <c r="L242" i="9" s="1"/>
  <c r="J242" i="9"/>
  <c r="E242" i="9"/>
  <c r="G242" i="9" s="1"/>
  <c r="N241" i="9"/>
  <c r="K241" i="9"/>
  <c r="L241" i="9" s="1"/>
  <c r="J241" i="9"/>
  <c r="E241" i="9"/>
  <c r="G241" i="9" s="1"/>
  <c r="N240" i="9"/>
  <c r="J240" i="9"/>
  <c r="L240" i="9" s="1"/>
  <c r="E240" i="9"/>
  <c r="G240" i="9" s="1"/>
  <c r="N239" i="9"/>
  <c r="K239" i="9"/>
  <c r="L239" i="9" s="1"/>
  <c r="J239" i="9"/>
  <c r="E239" i="9"/>
  <c r="G239" i="9" s="1"/>
  <c r="N238" i="9"/>
  <c r="N244" i="9" s="1"/>
  <c r="K238" i="9"/>
  <c r="J238" i="9"/>
  <c r="J244" i="9" s="1"/>
  <c r="E238" i="9"/>
  <c r="F237" i="9"/>
  <c r="N236" i="9"/>
  <c r="K236" i="9"/>
  <c r="L236" i="9" s="1"/>
  <c r="J236" i="9"/>
  <c r="E236" i="9"/>
  <c r="G236" i="9" s="1"/>
  <c r="N235" i="9"/>
  <c r="K235" i="9"/>
  <c r="L235" i="9" s="1"/>
  <c r="J235" i="9"/>
  <c r="E235" i="9"/>
  <c r="G235" i="9" s="1"/>
  <c r="K234" i="9"/>
  <c r="L234" i="9" s="1"/>
  <c r="J234" i="9"/>
  <c r="E234" i="9"/>
  <c r="G234" i="9" s="1"/>
  <c r="K233" i="9"/>
  <c r="L233" i="9" s="1"/>
  <c r="J233" i="9"/>
  <c r="E233" i="9"/>
  <c r="G233" i="9" s="1"/>
  <c r="K232" i="9"/>
  <c r="L232" i="9" s="1"/>
  <c r="J232" i="9"/>
  <c r="E232" i="9"/>
  <c r="G232" i="9" s="1"/>
  <c r="N231" i="9"/>
  <c r="N237" i="9" s="1"/>
  <c r="Q187" i="9" s="1"/>
  <c r="K231" i="9"/>
  <c r="J231" i="9"/>
  <c r="J237" i="9" s="1"/>
  <c r="E231" i="9"/>
  <c r="N230" i="9"/>
  <c r="F230" i="9"/>
  <c r="K229" i="9"/>
  <c r="L229" i="9" s="1"/>
  <c r="J229" i="9"/>
  <c r="E229" i="9"/>
  <c r="G229" i="9" s="1"/>
  <c r="K228" i="9"/>
  <c r="L228" i="9" s="1"/>
  <c r="J228" i="9"/>
  <c r="K227" i="9"/>
  <c r="L227" i="9" s="1"/>
  <c r="J227" i="9"/>
  <c r="E227" i="9"/>
  <c r="G227" i="9" s="1"/>
  <c r="K226" i="9"/>
  <c r="L226" i="9" s="1"/>
  <c r="J226" i="9"/>
  <c r="E226" i="9"/>
  <c r="G226" i="9" s="1"/>
  <c r="K225" i="9"/>
  <c r="L225" i="9" s="1"/>
  <c r="J225" i="9"/>
  <c r="E225" i="9"/>
  <c r="G225" i="9" s="1"/>
  <c r="K224" i="9"/>
  <c r="L224" i="9" s="1"/>
  <c r="J224" i="9"/>
  <c r="E224" i="9"/>
  <c r="G224" i="9" s="1"/>
  <c r="K223" i="9"/>
  <c r="J223" i="9"/>
  <c r="E223" i="9"/>
  <c r="G223" i="9" s="1"/>
  <c r="J222" i="9"/>
  <c r="E222" i="9"/>
  <c r="F221" i="9"/>
  <c r="N220" i="9"/>
  <c r="N221" i="9" s="1"/>
  <c r="Q185" i="9" s="1"/>
  <c r="K220" i="9"/>
  <c r="L220" i="9" s="1"/>
  <c r="J220" i="9"/>
  <c r="E220" i="9"/>
  <c r="G220" i="9" s="1"/>
  <c r="K219" i="9"/>
  <c r="L219" i="9" s="1"/>
  <c r="J219" i="9"/>
  <c r="E219" i="9"/>
  <c r="G219" i="9" s="1"/>
  <c r="K218" i="9"/>
  <c r="L218" i="9" s="1"/>
  <c r="J218" i="9"/>
  <c r="E218" i="9"/>
  <c r="G218" i="9" s="1"/>
  <c r="K217" i="9"/>
  <c r="L217" i="9" s="1"/>
  <c r="J217" i="9"/>
  <c r="E217" i="9"/>
  <c r="G217" i="9" s="1"/>
  <c r="K216" i="9"/>
  <c r="J216" i="9"/>
  <c r="J221" i="9" s="1"/>
  <c r="E216" i="9"/>
  <c r="F215" i="9"/>
  <c r="K214" i="9"/>
  <c r="J214" i="9"/>
  <c r="E214" i="9"/>
  <c r="G214" i="9" s="1"/>
  <c r="N213" i="9"/>
  <c r="K213" i="9"/>
  <c r="L213" i="9" s="1"/>
  <c r="J213" i="9"/>
  <c r="E213" i="9"/>
  <c r="G213" i="9" s="1"/>
  <c r="N212" i="9"/>
  <c r="K212" i="9"/>
  <c r="L212" i="9" s="1"/>
  <c r="J212" i="9"/>
  <c r="E212" i="9"/>
  <c r="G212" i="9" s="1"/>
  <c r="N211" i="9"/>
  <c r="K211" i="9"/>
  <c r="L211" i="9" s="1"/>
  <c r="J211" i="9"/>
  <c r="E211" i="9"/>
  <c r="G211" i="9" s="1"/>
  <c r="N210" i="9"/>
  <c r="K210" i="9"/>
  <c r="J210" i="9"/>
  <c r="J215" i="9" s="1"/>
  <c r="E210" i="9"/>
  <c r="F209" i="9"/>
  <c r="N208" i="9"/>
  <c r="K208" i="9"/>
  <c r="L208" i="9" s="1"/>
  <c r="J208" i="9"/>
  <c r="E208" i="9"/>
  <c r="G208" i="9" s="1"/>
  <c r="N207" i="9"/>
  <c r="K207" i="9"/>
  <c r="L207" i="9" s="1"/>
  <c r="J207" i="9"/>
  <c r="E207" i="9"/>
  <c r="G207" i="9" s="1"/>
  <c r="N206" i="9"/>
  <c r="K206" i="9"/>
  <c r="L206" i="9" s="1"/>
  <c r="J206" i="9"/>
  <c r="E206" i="9"/>
  <c r="G206" i="9" s="1"/>
  <c r="N205" i="9"/>
  <c r="J205" i="9"/>
  <c r="L205" i="9" s="1"/>
  <c r="E205" i="9"/>
  <c r="N204" i="9"/>
  <c r="N209" i="9" s="1"/>
  <c r="Q183" i="9" s="1"/>
  <c r="K204" i="9"/>
  <c r="J204" i="9"/>
  <c r="J209" i="9" s="1"/>
  <c r="G204" i="9"/>
  <c r="G209" i="9" s="1"/>
  <c r="F203" i="9"/>
  <c r="N202" i="9"/>
  <c r="K202" i="9"/>
  <c r="L202" i="9" s="1"/>
  <c r="J202" i="9"/>
  <c r="E202" i="9"/>
  <c r="G202" i="9" s="1"/>
  <c r="K201" i="9"/>
  <c r="J201" i="9"/>
  <c r="E201" i="9"/>
  <c r="G201" i="9" s="1"/>
  <c r="K200" i="9"/>
  <c r="J200" i="9"/>
  <c r="E200" i="9"/>
  <c r="G200" i="9" s="1"/>
  <c r="K199" i="9"/>
  <c r="J199" i="9"/>
  <c r="E199" i="9"/>
  <c r="G199" i="9" s="1"/>
  <c r="K198" i="9"/>
  <c r="J198" i="9"/>
  <c r="J203" i="9" s="1"/>
  <c r="E198" i="9"/>
  <c r="F197" i="9"/>
  <c r="N196" i="9"/>
  <c r="K196" i="9"/>
  <c r="L196" i="9" s="1"/>
  <c r="J196" i="9"/>
  <c r="E196" i="9"/>
  <c r="G196" i="9" s="1"/>
  <c r="N195" i="9"/>
  <c r="K195" i="9"/>
  <c r="L195" i="9" s="1"/>
  <c r="J195" i="9"/>
  <c r="E195" i="9"/>
  <c r="G195" i="9" s="1"/>
  <c r="N194" i="9"/>
  <c r="K194" i="9"/>
  <c r="J194" i="9"/>
  <c r="E194" i="9"/>
  <c r="G194" i="9" s="1"/>
  <c r="N193" i="9"/>
  <c r="J193" i="9"/>
  <c r="L193" i="9" s="1"/>
  <c r="E193" i="9"/>
  <c r="G193" i="9" s="1"/>
  <c r="N192" i="9"/>
  <c r="N197" i="9" s="1"/>
  <c r="Q181" i="9" s="1"/>
  <c r="J192" i="9"/>
  <c r="E192" i="9"/>
  <c r="F191" i="9"/>
  <c r="N190" i="9"/>
  <c r="K190" i="9"/>
  <c r="L190" i="9" s="1"/>
  <c r="J190" i="9"/>
  <c r="E190" i="9"/>
  <c r="G190" i="9" s="1"/>
  <c r="N189" i="9"/>
  <c r="K189" i="9"/>
  <c r="L189" i="9" s="1"/>
  <c r="J189" i="9"/>
  <c r="E189" i="9"/>
  <c r="G189" i="9" s="1"/>
  <c r="N188" i="9"/>
  <c r="K188" i="9"/>
  <c r="L188" i="9" s="1"/>
  <c r="J188" i="9"/>
  <c r="E188" i="9"/>
  <c r="G188" i="9" s="1"/>
  <c r="N187" i="9"/>
  <c r="K187" i="9"/>
  <c r="L187" i="9" s="1"/>
  <c r="J187" i="9"/>
  <c r="E187" i="9"/>
  <c r="G187" i="9" s="1"/>
  <c r="Q186" i="9"/>
  <c r="N186" i="9"/>
  <c r="N191" i="9" s="1"/>
  <c r="Q180" i="9" s="1"/>
  <c r="K186" i="9"/>
  <c r="J186" i="9"/>
  <c r="J191" i="9" s="1"/>
  <c r="E186" i="9"/>
  <c r="F185" i="9"/>
  <c r="K184" i="9"/>
  <c r="J184" i="9"/>
  <c r="E184" i="9"/>
  <c r="G184" i="9" s="1"/>
  <c r="K183" i="9"/>
  <c r="J183" i="9"/>
  <c r="E183" i="9"/>
  <c r="G183" i="9" s="1"/>
  <c r="K182" i="9"/>
  <c r="J182" i="9"/>
  <c r="E182" i="9"/>
  <c r="G182" i="9" s="1"/>
  <c r="K181" i="9"/>
  <c r="L181" i="9" s="1"/>
  <c r="J181" i="9"/>
  <c r="E181" i="9"/>
  <c r="G181" i="9" s="1"/>
  <c r="K180" i="9"/>
  <c r="J180" i="9"/>
  <c r="J185" i="9" s="1"/>
  <c r="E180" i="9"/>
  <c r="R176" i="9"/>
  <c r="R175" i="9"/>
  <c r="K175" i="9"/>
  <c r="F175" i="9"/>
  <c r="R174" i="9"/>
  <c r="N174" i="9"/>
  <c r="J174" i="9"/>
  <c r="L174" i="9" s="1"/>
  <c r="E174" i="9"/>
  <c r="G174" i="9" s="1"/>
  <c r="R173" i="9"/>
  <c r="N173" i="9"/>
  <c r="J173" i="9"/>
  <c r="L173" i="9" s="1"/>
  <c r="E173" i="9"/>
  <c r="G173" i="9" s="1"/>
  <c r="R172" i="9"/>
  <c r="N172" i="9"/>
  <c r="J172" i="9"/>
  <c r="L172" i="9" s="1"/>
  <c r="E172" i="9"/>
  <c r="G172" i="9" s="1"/>
  <c r="R171" i="9"/>
  <c r="N171" i="9"/>
  <c r="J171" i="9"/>
  <c r="L171" i="9" s="1"/>
  <c r="E171" i="9"/>
  <c r="G171" i="9" s="1"/>
  <c r="R170" i="9"/>
  <c r="N170" i="9"/>
  <c r="J170" i="9"/>
  <c r="L170" i="9" s="1"/>
  <c r="E170" i="9"/>
  <c r="G170" i="9" s="1"/>
  <c r="R169" i="9"/>
  <c r="N169" i="9"/>
  <c r="J169" i="9"/>
  <c r="L169" i="9" s="1"/>
  <c r="E169" i="9"/>
  <c r="G169" i="9" s="1"/>
  <c r="R168" i="9"/>
  <c r="N168" i="9"/>
  <c r="J168" i="9"/>
  <c r="L168" i="9" s="1"/>
  <c r="E168" i="9"/>
  <c r="G168" i="9" s="1"/>
  <c r="R167" i="9"/>
  <c r="N167" i="9"/>
  <c r="N175" i="9" s="1"/>
  <c r="Q23" i="9" s="1"/>
  <c r="R23" i="9" s="1"/>
  <c r="J167" i="9"/>
  <c r="E167" i="9"/>
  <c r="F166" i="9"/>
  <c r="K165" i="9"/>
  <c r="J165" i="9"/>
  <c r="E165" i="9"/>
  <c r="G165" i="9" s="1"/>
  <c r="K164" i="9"/>
  <c r="J164" i="9"/>
  <c r="E164" i="9"/>
  <c r="G164" i="9" s="1"/>
  <c r="J163" i="9"/>
  <c r="E163" i="9"/>
  <c r="J162" i="9"/>
  <c r="E162" i="9"/>
  <c r="J161" i="9"/>
  <c r="E161" i="9"/>
  <c r="K160" i="9"/>
  <c r="J160" i="9"/>
  <c r="E160" i="9"/>
  <c r="G160" i="9" s="1"/>
  <c r="K159" i="9"/>
  <c r="J159" i="9"/>
  <c r="E159" i="9"/>
  <c r="G159" i="9" s="1"/>
  <c r="J158" i="9"/>
  <c r="J166" i="9" s="1"/>
  <c r="E158" i="9"/>
  <c r="R157" i="9"/>
  <c r="F157" i="9"/>
  <c r="R156" i="9"/>
  <c r="N156" i="9"/>
  <c r="J156" i="9"/>
  <c r="L156" i="9" s="1"/>
  <c r="E156" i="9"/>
  <c r="G156" i="9" s="1"/>
  <c r="R155" i="9"/>
  <c r="N155" i="9"/>
  <c r="K155" i="9"/>
  <c r="J155" i="9"/>
  <c r="E155" i="9"/>
  <c r="G155" i="9" s="1"/>
  <c r="R154" i="9"/>
  <c r="N154" i="9"/>
  <c r="J154" i="9"/>
  <c r="L154" i="9" s="1"/>
  <c r="E154" i="9"/>
  <c r="G154" i="9" s="1"/>
  <c r="R153" i="9"/>
  <c r="N153" i="9"/>
  <c r="J153" i="9"/>
  <c r="L153" i="9" s="1"/>
  <c r="E153" i="9"/>
  <c r="G153" i="9" s="1"/>
  <c r="R152" i="9"/>
  <c r="N152" i="9"/>
  <c r="J152" i="9"/>
  <c r="L152" i="9" s="1"/>
  <c r="E152" i="9"/>
  <c r="G152" i="9" s="1"/>
  <c r="R151" i="9"/>
  <c r="N151" i="9"/>
  <c r="J151" i="9"/>
  <c r="L151" i="9" s="1"/>
  <c r="E151" i="9"/>
  <c r="G151" i="9" s="1"/>
  <c r="R150" i="9"/>
  <c r="N150" i="9"/>
  <c r="J150" i="9"/>
  <c r="L150" i="9" s="1"/>
  <c r="E150" i="9"/>
  <c r="G150" i="9" s="1"/>
  <c r="R149" i="9"/>
  <c r="N149" i="9"/>
  <c r="N157" i="9" s="1"/>
  <c r="Q21" i="9" s="1"/>
  <c r="R21" i="9" s="1"/>
  <c r="J149" i="9"/>
  <c r="E149" i="9"/>
  <c r="R148" i="9"/>
  <c r="R147" i="9"/>
  <c r="K147" i="9"/>
  <c r="J147" i="9"/>
  <c r="E147" i="9"/>
  <c r="G147" i="9" s="1"/>
  <c r="R146" i="9"/>
  <c r="N146" i="9"/>
  <c r="K146" i="9"/>
  <c r="L146" i="9" s="1"/>
  <c r="J146" i="9"/>
  <c r="E146" i="9"/>
  <c r="G146" i="9" s="1"/>
  <c r="R145" i="9"/>
  <c r="N145" i="9"/>
  <c r="K145" i="9"/>
  <c r="L145" i="9" s="1"/>
  <c r="J145" i="9"/>
  <c r="E145" i="9"/>
  <c r="G145" i="9" s="1"/>
  <c r="R144" i="9"/>
  <c r="N144" i="9"/>
  <c r="K144" i="9"/>
  <c r="J144" i="9"/>
  <c r="E144" i="9"/>
  <c r="G144" i="9" s="1"/>
  <c r="R143" i="9"/>
  <c r="N143" i="9"/>
  <c r="J143" i="9"/>
  <c r="L143" i="9" s="1"/>
  <c r="E143" i="9"/>
  <c r="G143" i="9" s="1"/>
  <c r="R142" i="9"/>
  <c r="N142" i="9"/>
  <c r="J142" i="9"/>
  <c r="L142" i="9" s="1"/>
  <c r="E142" i="9"/>
  <c r="G142" i="9" s="1"/>
  <c r="R141" i="9"/>
  <c r="N141" i="9"/>
  <c r="J141" i="9"/>
  <c r="L141" i="9" s="1"/>
  <c r="E141" i="9"/>
  <c r="G141" i="9" s="1"/>
  <c r="R140" i="9"/>
  <c r="N140" i="9"/>
  <c r="J140" i="9"/>
  <c r="E140" i="9"/>
  <c r="R139" i="9"/>
  <c r="F139" i="9"/>
  <c r="R138" i="9"/>
  <c r="K138" i="9"/>
  <c r="J138" i="9"/>
  <c r="E138" i="9"/>
  <c r="G138" i="9" s="1"/>
  <c r="R137" i="9"/>
  <c r="N137" i="9"/>
  <c r="K137" i="9"/>
  <c r="J137" i="9"/>
  <c r="E137" i="9"/>
  <c r="G137" i="9" s="1"/>
  <c r="R136" i="9"/>
  <c r="N136" i="9"/>
  <c r="J136" i="9"/>
  <c r="L136" i="9" s="1"/>
  <c r="E136" i="9"/>
  <c r="G136" i="9" s="1"/>
  <c r="R135" i="9"/>
  <c r="N135" i="9"/>
  <c r="J135" i="9"/>
  <c r="E135" i="9"/>
  <c r="G135" i="9" s="1"/>
  <c r="R134" i="9"/>
  <c r="N134" i="9"/>
  <c r="J134" i="9"/>
  <c r="L134" i="9" s="1"/>
  <c r="E134" i="9"/>
  <c r="G134" i="9" s="1"/>
  <c r="R133" i="9"/>
  <c r="N133" i="9"/>
  <c r="J133" i="9"/>
  <c r="L133" i="9" s="1"/>
  <c r="E133" i="9"/>
  <c r="G133" i="9" s="1"/>
  <c r="R132" i="9"/>
  <c r="N132" i="9"/>
  <c r="J132" i="9"/>
  <c r="L132" i="9" s="1"/>
  <c r="E132" i="9"/>
  <c r="G132" i="9" s="1"/>
  <c r="R131" i="9"/>
  <c r="N131" i="9"/>
  <c r="J131" i="9"/>
  <c r="E131" i="9"/>
  <c r="R130" i="9"/>
  <c r="K130" i="9"/>
  <c r="F130" i="9"/>
  <c r="R129" i="9"/>
  <c r="N129" i="9"/>
  <c r="J129" i="9"/>
  <c r="L129" i="9" s="1"/>
  <c r="E129" i="9"/>
  <c r="G129" i="9" s="1"/>
  <c r="R128" i="9"/>
  <c r="N128" i="9"/>
  <c r="J128" i="9"/>
  <c r="L128" i="9" s="1"/>
  <c r="E128" i="9"/>
  <c r="G128" i="9" s="1"/>
  <c r="R127" i="9"/>
  <c r="N127" i="9"/>
  <c r="J127" i="9"/>
  <c r="L127" i="9" s="1"/>
  <c r="E127" i="9"/>
  <c r="G127" i="9" s="1"/>
  <c r="R126" i="9"/>
  <c r="N126" i="9"/>
  <c r="J126" i="9"/>
  <c r="L126" i="9" s="1"/>
  <c r="E126" i="9"/>
  <c r="G126" i="9" s="1"/>
  <c r="R125" i="9"/>
  <c r="N125" i="9"/>
  <c r="J125" i="9"/>
  <c r="L125" i="9" s="1"/>
  <c r="E125" i="9"/>
  <c r="G125" i="9" s="1"/>
  <c r="R124" i="9"/>
  <c r="N124" i="9"/>
  <c r="J124" i="9"/>
  <c r="L124" i="9" s="1"/>
  <c r="E124" i="9"/>
  <c r="G124" i="9" s="1"/>
  <c r="R123" i="9"/>
  <c r="N123" i="9"/>
  <c r="J123" i="9"/>
  <c r="L123" i="9" s="1"/>
  <c r="E123" i="9"/>
  <c r="G123" i="9" s="1"/>
  <c r="R122" i="9"/>
  <c r="N122" i="9"/>
  <c r="N130" i="9" s="1"/>
  <c r="Q18" i="9" s="1"/>
  <c r="R18" i="9" s="1"/>
  <c r="J122" i="9"/>
  <c r="E122" i="9"/>
  <c r="R121" i="9"/>
  <c r="F121" i="9"/>
  <c r="R120" i="9"/>
  <c r="N120" i="9"/>
  <c r="K120" i="9"/>
  <c r="L120" i="9" s="1"/>
  <c r="J120" i="9"/>
  <c r="E120" i="9"/>
  <c r="G120" i="9" s="1"/>
  <c r="R119" i="9"/>
  <c r="N119" i="9"/>
  <c r="K119" i="9"/>
  <c r="L119" i="9" s="1"/>
  <c r="J119" i="9"/>
  <c r="E119" i="9"/>
  <c r="G119" i="9" s="1"/>
  <c r="R118" i="9"/>
  <c r="N118" i="9"/>
  <c r="K118" i="9"/>
  <c r="L118" i="9" s="1"/>
  <c r="J118" i="9"/>
  <c r="E118" i="9"/>
  <c r="G118" i="9" s="1"/>
  <c r="R117" i="9"/>
  <c r="N117" i="9"/>
  <c r="K117" i="9"/>
  <c r="L117" i="9" s="1"/>
  <c r="J117" i="9"/>
  <c r="E117" i="9"/>
  <c r="G117" i="9" s="1"/>
  <c r="R116" i="9"/>
  <c r="N116" i="9"/>
  <c r="K116" i="9"/>
  <c r="L116" i="9" s="1"/>
  <c r="J116" i="9"/>
  <c r="E116" i="9"/>
  <c r="G116" i="9" s="1"/>
  <c r="R115" i="9"/>
  <c r="N115" i="9"/>
  <c r="K115" i="9"/>
  <c r="L115" i="9" s="1"/>
  <c r="J115" i="9"/>
  <c r="E115" i="9"/>
  <c r="G115" i="9" s="1"/>
  <c r="R114" i="9"/>
  <c r="N114" i="9"/>
  <c r="N121" i="9" s="1"/>
  <c r="Q17" i="9" s="1"/>
  <c r="R17" i="9" s="1"/>
  <c r="K114" i="9"/>
  <c r="J114" i="9"/>
  <c r="J121" i="9" s="1"/>
  <c r="E114" i="9"/>
  <c r="R113" i="9"/>
  <c r="R112" i="9"/>
  <c r="N112" i="9"/>
  <c r="K112" i="9"/>
  <c r="L112" i="9" s="1"/>
  <c r="J112" i="9"/>
  <c r="E112" i="9"/>
  <c r="G112" i="9" s="1"/>
  <c r="R111" i="9"/>
  <c r="N111" i="9"/>
  <c r="K111" i="9"/>
  <c r="L111" i="9" s="1"/>
  <c r="J111" i="9"/>
  <c r="E111" i="9"/>
  <c r="G111" i="9" s="1"/>
  <c r="R110" i="9"/>
  <c r="N110" i="9"/>
  <c r="K110" i="9"/>
  <c r="L110" i="9" s="1"/>
  <c r="J110" i="9"/>
  <c r="E110" i="9"/>
  <c r="G110" i="9" s="1"/>
  <c r="R109" i="9"/>
  <c r="N109" i="9"/>
  <c r="K109" i="9"/>
  <c r="L109" i="9" s="1"/>
  <c r="J109" i="9"/>
  <c r="E109" i="9"/>
  <c r="G109" i="9" s="1"/>
  <c r="R108" i="9"/>
  <c r="N108" i="9"/>
  <c r="K108" i="9"/>
  <c r="L108" i="9" s="1"/>
  <c r="J108" i="9"/>
  <c r="E108" i="9"/>
  <c r="G108" i="9" s="1"/>
  <c r="R107" i="9"/>
  <c r="N107" i="9"/>
  <c r="K107" i="9"/>
  <c r="L107" i="9" s="1"/>
  <c r="J107" i="9"/>
  <c r="E107" i="9"/>
  <c r="G107" i="9" s="1"/>
  <c r="R106" i="9"/>
  <c r="N106" i="9"/>
  <c r="N113" i="9" s="1"/>
  <c r="R16" i="9" s="1"/>
  <c r="K106" i="9"/>
  <c r="J106" i="9"/>
  <c r="J113" i="9" s="1"/>
  <c r="E106" i="9"/>
  <c r="R105" i="9"/>
  <c r="R104" i="9"/>
  <c r="N104" i="9"/>
  <c r="K104" i="9"/>
  <c r="L104" i="9" s="1"/>
  <c r="J104" i="9"/>
  <c r="E104" i="9"/>
  <c r="G104" i="9" s="1"/>
  <c r="R103" i="9"/>
  <c r="N103" i="9"/>
  <c r="K103" i="9"/>
  <c r="L103" i="9" s="1"/>
  <c r="J103" i="9"/>
  <c r="E103" i="9"/>
  <c r="G103" i="9" s="1"/>
  <c r="R102" i="9"/>
  <c r="N102" i="9"/>
  <c r="K102" i="9"/>
  <c r="L102" i="9" s="1"/>
  <c r="J102" i="9"/>
  <c r="E102" i="9"/>
  <c r="G102" i="9" s="1"/>
  <c r="R101" i="9"/>
  <c r="N101" i="9"/>
  <c r="K101" i="9"/>
  <c r="L101" i="9" s="1"/>
  <c r="J101" i="9"/>
  <c r="E101" i="9"/>
  <c r="G101" i="9" s="1"/>
  <c r="R100" i="9"/>
  <c r="N100" i="9"/>
  <c r="K100" i="9"/>
  <c r="L100" i="9" s="1"/>
  <c r="J100" i="9"/>
  <c r="G100" i="9"/>
  <c r="E100" i="9"/>
  <c r="R99" i="9"/>
  <c r="N99" i="9"/>
  <c r="K99" i="9"/>
  <c r="L99" i="9" s="1"/>
  <c r="J99" i="9"/>
  <c r="G99" i="9"/>
  <c r="E99" i="9"/>
  <c r="R98" i="9"/>
  <c r="K98" i="9"/>
  <c r="J98" i="9"/>
  <c r="G98" i="9"/>
  <c r="E98" i="9"/>
  <c r="R97" i="9"/>
  <c r="R96" i="9"/>
  <c r="N96" i="9"/>
  <c r="K96" i="9"/>
  <c r="L96" i="9" s="1"/>
  <c r="J96" i="9"/>
  <c r="E96" i="9"/>
  <c r="G96" i="9" s="1"/>
  <c r="R95" i="9"/>
  <c r="N95" i="9"/>
  <c r="K95" i="9"/>
  <c r="L95" i="9" s="1"/>
  <c r="J95" i="9"/>
  <c r="E95" i="9"/>
  <c r="G95" i="9" s="1"/>
  <c r="R94" i="9"/>
  <c r="N94" i="9"/>
  <c r="K94" i="9"/>
  <c r="L94" i="9" s="1"/>
  <c r="J94" i="9"/>
  <c r="E94" i="9"/>
  <c r="G94" i="9" s="1"/>
  <c r="R93" i="9"/>
  <c r="N93" i="9"/>
  <c r="K93" i="9"/>
  <c r="L93" i="9" s="1"/>
  <c r="J93" i="9"/>
  <c r="E93" i="9"/>
  <c r="G93" i="9" s="1"/>
  <c r="R92" i="9"/>
  <c r="N92" i="9"/>
  <c r="K92" i="9"/>
  <c r="L92" i="9" s="1"/>
  <c r="J92" i="9"/>
  <c r="E92" i="9"/>
  <c r="G92" i="9" s="1"/>
  <c r="R91" i="9"/>
  <c r="N91" i="9"/>
  <c r="N97" i="9" s="1"/>
  <c r="Q14" i="9" s="1"/>
  <c r="R14" i="9" s="1"/>
  <c r="K91" i="9"/>
  <c r="J91" i="9"/>
  <c r="E91" i="9"/>
  <c r="R90" i="9"/>
  <c r="F90" i="9"/>
  <c r="F97" i="9" s="1"/>
  <c r="F105" i="9" s="1"/>
  <c r="R89" i="9"/>
  <c r="N89" i="9"/>
  <c r="K89" i="9"/>
  <c r="L89" i="9" s="1"/>
  <c r="J89" i="9"/>
  <c r="E89" i="9"/>
  <c r="G89" i="9" s="1"/>
  <c r="R88" i="9"/>
  <c r="N88" i="9"/>
  <c r="K88" i="9"/>
  <c r="L88" i="9" s="1"/>
  <c r="J88" i="9"/>
  <c r="E88" i="9"/>
  <c r="G88" i="9" s="1"/>
  <c r="R87" i="9"/>
  <c r="N87" i="9"/>
  <c r="K87" i="9"/>
  <c r="L87" i="9" s="1"/>
  <c r="J87" i="9"/>
  <c r="E87" i="9"/>
  <c r="G87" i="9" s="1"/>
  <c r="R86" i="9"/>
  <c r="N86" i="9"/>
  <c r="K86" i="9"/>
  <c r="L86" i="9" s="1"/>
  <c r="J86" i="9"/>
  <c r="G86" i="9"/>
  <c r="E86" i="9"/>
  <c r="R85" i="9"/>
  <c r="N85" i="9"/>
  <c r="K85" i="9"/>
  <c r="L85" i="9" s="1"/>
  <c r="J85" i="9"/>
  <c r="E85" i="9"/>
  <c r="G85" i="9" s="1"/>
  <c r="R84" i="9"/>
  <c r="N84" i="9"/>
  <c r="K84" i="9"/>
  <c r="L84" i="9" s="1"/>
  <c r="J84" i="9"/>
  <c r="E84" i="9"/>
  <c r="G84" i="9" s="1"/>
  <c r="R83" i="9"/>
  <c r="N83" i="9"/>
  <c r="N90" i="9" s="1"/>
  <c r="Q13" i="9" s="1"/>
  <c r="R13" i="9" s="1"/>
  <c r="K83" i="9"/>
  <c r="J83" i="9"/>
  <c r="J90" i="9" s="1"/>
  <c r="E83" i="9"/>
  <c r="R82" i="9"/>
  <c r="R81" i="9"/>
  <c r="N81" i="9"/>
  <c r="K81" i="9"/>
  <c r="L81" i="9" s="1"/>
  <c r="J81" i="9"/>
  <c r="E81" i="9"/>
  <c r="G81" i="9" s="1"/>
  <c r="R80" i="9"/>
  <c r="N80" i="9"/>
  <c r="K80" i="9"/>
  <c r="L80" i="9" s="1"/>
  <c r="J80" i="9"/>
  <c r="E80" i="9"/>
  <c r="G80" i="9" s="1"/>
  <c r="R79" i="9"/>
  <c r="N79" i="9"/>
  <c r="K79" i="9"/>
  <c r="L79" i="9" s="1"/>
  <c r="J79" i="9"/>
  <c r="E79" i="9"/>
  <c r="G79" i="9" s="1"/>
  <c r="R78" i="9"/>
  <c r="N78" i="9"/>
  <c r="K78" i="9"/>
  <c r="L78" i="9" s="1"/>
  <c r="J78" i="9"/>
  <c r="G78" i="9"/>
  <c r="E78" i="9"/>
  <c r="R77" i="9"/>
  <c r="N77" i="9"/>
  <c r="K77" i="9"/>
  <c r="L77" i="9" s="1"/>
  <c r="J77" i="9"/>
  <c r="G77" i="9"/>
  <c r="E77" i="9"/>
  <c r="R76" i="9"/>
  <c r="N76" i="9"/>
  <c r="K76" i="9"/>
  <c r="L76" i="9" s="1"/>
  <c r="J76" i="9"/>
  <c r="E76" i="9"/>
  <c r="G76" i="9" s="1"/>
  <c r="R75" i="9"/>
  <c r="N75" i="9"/>
  <c r="N82" i="9" s="1"/>
  <c r="Q12" i="9" s="1"/>
  <c r="R12" i="9" s="1"/>
  <c r="K75" i="9"/>
  <c r="J75" i="9"/>
  <c r="J82" i="9" s="1"/>
  <c r="E75" i="9"/>
  <c r="R74" i="9"/>
  <c r="R73" i="9"/>
  <c r="N73" i="9"/>
  <c r="K73" i="9"/>
  <c r="L73" i="9" s="1"/>
  <c r="J73" i="9"/>
  <c r="E73" i="9"/>
  <c r="G73" i="9" s="1"/>
  <c r="R72" i="9"/>
  <c r="N72" i="9"/>
  <c r="K72" i="9"/>
  <c r="L72" i="9" s="1"/>
  <c r="J72" i="9"/>
  <c r="E72" i="9"/>
  <c r="G72" i="9" s="1"/>
  <c r="R71" i="9"/>
  <c r="N71" i="9"/>
  <c r="J71" i="9"/>
  <c r="L71" i="9" s="1"/>
  <c r="G71" i="9"/>
  <c r="R70" i="9"/>
  <c r="N70" i="9"/>
  <c r="K70" i="9"/>
  <c r="L70" i="9" s="1"/>
  <c r="J70" i="9"/>
  <c r="E70" i="9"/>
  <c r="G70" i="9" s="1"/>
  <c r="R69" i="9"/>
  <c r="N69" i="9"/>
  <c r="K69" i="9"/>
  <c r="J69" i="9"/>
  <c r="L69" i="9" s="1"/>
  <c r="E69" i="9"/>
  <c r="G69" i="9" s="1"/>
  <c r="R68" i="9"/>
  <c r="N68" i="9"/>
  <c r="K68" i="9"/>
  <c r="J68" i="9"/>
  <c r="E68" i="9"/>
  <c r="G68" i="9" s="1"/>
  <c r="R67" i="9"/>
  <c r="N67" i="9"/>
  <c r="N74" i="9" s="1"/>
  <c r="Q11" i="9" s="1"/>
  <c r="R11" i="9" s="1"/>
  <c r="K67" i="9"/>
  <c r="L67" i="9" s="1"/>
  <c r="L74" i="9" s="1"/>
  <c r="J67" i="9"/>
  <c r="J74" i="9" s="1"/>
  <c r="E67" i="9"/>
  <c r="R66" i="9"/>
  <c r="F66" i="9"/>
  <c r="R65" i="9"/>
  <c r="N65" i="9"/>
  <c r="K65" i="9"/>
  <c r="L65" i="9" s="1"/>
  <c r="J65" i="9"/>
  <c r="E65" i="9"/>
  <c r="G65" i="9" s="1"/>
  <c r="R64" i="9"/>
  <c r="N64" i="9"/>
  <c r="K64" i="9"/>
  <c r="L64" i="9" s="1"/>
  <c r="J64" i="9"/>
  <c r="E64" i="9"/>
  <c r="G64" i="9" s="1"/>
  <c r="R63" i="9"/>
  <c r="N63" i="9"/>
  <c r="K63" i="9"/>
  <c r="L63" i="9" s="1"/>
  <c r="J63" i="9"/>
  <c r="E63" i="9"/>
  <c r="G63" i="9" s="1"/>
  <c r="R62" i="9"/>
  <c r="N62" i="9"/>
  <c r="K62" i="9"/>
  <c r="L62" i="9" s="1"/>
  <c r="J62" i="9"/>
  <c r="E62" i="9"/>
  <c r="G62" i="9" s="1"/>
  <c r="R61" i="9"/>
  <c r="N61" i="9"/>
  <c r="K61" i="9"/>
  <c r="L61" i="9" s="1"/>
  <c r="J61" i="9"/>
  <c r="E61" i="9"/>
  <c r="G61" i="9" s="1"/>
  <c r="N60" i="9"/>
  <c r="K60" i="9"/>
  <c r="L60" i="9" s="1"/>
  <c r="E60" i="9"/>
  <c r="G60" i="9" s="1"/>
  <c r="R59" i="9"/>
  <c r="N59" i="9"/>
  <c r="K59" i="9"/>
  <c r="L59" i="9" s="1"/>
  <c r="J59" i="9"/>
  <c r="E59" i="9"/>
  <c r="G59" i="9" s="1"/>
  <c r="R58" i="9"/>
  <c r="N58" i="9"/>
  <c r="K58" i="9"/>
  <c r="L58" i="9" s="1"/>
  <c r="J58" i="9"/>
  <c r="E58" i="9"/>
  <c r="G58" i="9" s="1"/>
  <c r="R57" i="9"/>
  <c r="N57" i="9"/>
  <c r="N66" i="9" s="1"/>
  <c r="Q10" i="9" s="1"/>
  <c r="R10" i="9" s="1"/>
  <c r="K57" i="9"/>
  <c r="J57" i="9"/>
  <c r="J66" i="9" s="1"/>
  <c r="E57" i="9"/>
  <c r="R56" i="9"/>
  <c r="R55" i="9"/>
  <c r="N55" i="9"/>
  <c r="K55" i="9"/>
  <c r="J55" i="9"/>
  <c r="L55" i="9" s="1"/>
  <c r="E55" i="9"/>
  <c r="G55" i="9" s="1"/>
  <c r="R54" i="9"/>
  <c r="N54" i="9"/>
  <c r="K54" i="9"/>
  <c r="L54" i="9" s="1"/>
  <c r="G54" i="9"/>
  <c r="E54" i="9"/>
  <c r="N53" i="9"/>
  <c r="L53" i="9"/>
  <c r="K53" i="9"/>
  <c r="E53" i="9"/>
  <c r="G53" i="9" s="1"/>
  <c r="R52" i="9"/>
  <c r="N52" i="9"/>
  <c r="K52" i="9"/>
  <c r="L52" i="9" s="1"/>
  <c r="E52" i="9"/>
  <c r="G52" i="9" s="1"/>
  <c r="R51" i="9"/>
  <c r="N51" i="9"/>
  <c r="K51" i="9"/>
  <c r="L51" i="9" s="1"/>
  <c r="J51" i="9"/>
  <c r="E51" i="9"/>
  <c r="G51" i="9" s="1"/>
  <c r="R50" i="9"/>
  <c r="N50" i="9"/>
  <c r="K50" i="9"/>
  <c r="L50" i="9" s="1"/>
  <c r="J50" i="9"/>
  <c r="E50" i="9"/>
  <c r="G50" i="9" s="1"/>
  <c r="R49" i="9"/>
  <c r="N49" i="9"/>
  <c r="K49" i="9"/>
  <c r="J49" i="9"/>
  <c r="L49" i="9" s="1"/>
  <c r="E49" i="9"/>
  <c r="G49" i="9" s="1"/>
  <c r="R48" i="9"/>
  <c r="N48" i="9"/>
  <c r="K48" i="9"/>
  <c r="L48" i="9" s="1"/>
  <c r="J48" i="9"/>
  <c r="E48" i="9"/>
  <c r="G48" i="9" s="1"/>
  <c r="R47" i="9"/>
  <c r="N47" i="9"/>
  <c r="K47" i="9"/>
  <c r="J47" i="9"/>
  <c r="L47" i="9" s="1"/>
  <c r="E47" i="9"/>
  <c r="G47" i="9" s="1"/>
  <c r="R46" i="9"/>
  <c r="N46" i="9"/>
  <c r="N56" i="9" s="1"/>
  <c r="Q8" i="9" s="1"/>
  <c r="R8" i="9" s="1"/>
  <c r="L46" i="9"/>
  <c r="L56" i="9" s="1"/>
  <c r="K46" i="9"/>
  <c r="K56" i="9" s="1"/>
  <c r="J46" i="9"/>
  <c r="J56" i="9" s="1"/>
  <c r="E46" i="9"/>
  <c r="R45" i="9"/>
  <c r="F45" i="9"/>
  <c r="R44" i="9"/>
  <c r="N44" i="9"/>
  <c r="K44" i="9"/>
  <c r="L44" i="9" s="1"/>
  <c r="J44" i="9"/>
  <c r="E44" i="9"/>
  <c r="G44" i="9" s="1"/>
  <c r="N43" i="9"/>
  <c r="K43" i="9"/>
  <c r="L43" i="9" s="1"/>
  <c r="E43" i="9"/>
  <c r="G43" i="9" s="1"/>
  <c r="R42" i="9"/>
  <c r="N42" i="9"/>
  <c r="K42" i="9"/>
  <c r="L42" i="9" s="1"/>
  <c r="J42" i="9"/>
  <c r="E42" i="9"/>
  <c r="G42" i="9" s="1"/>
  <c r="R41" i="9"/>
  <c r="N41" i="9"/>
  <c r="K41" i="9"/>
  <c r="L41" i="9" s="1"/>
  <c r="J41" i="9"/>
  <c r="E41" i="9"/>
  <c r="G41" i="9" s="1"/>
  <c r="R40" i="9"/>
  <c r="N40" i="9"/>
  <c r="K40" i="9"/>
  <c r="L40" i="9" s="1"/>
  <c r="J40" i="9"/>
  <c r="E40" i="9"/>
  <c r="G40" i="9" s="1"/>
  <c r="R39" i="9"/>
  <c r="N39" i="9"/>
  <c r="K39" i="9"/>
  <c r="L39" i="9" s="1"/>
  <c r="J39" i="9"/>
  <c r="G39" i="9"/>
  <c r="E39" i="9"/>
  <c r="R38" i="9"/>
  <c r="N38" i="9"/>
  <c r="K38" i="9"/>
  <c r="L38" i="9" s="1"/>
  <c r="J38" i="9"/>
  <c r="E38" i="9"/>
  <c r="G38" i="9" s="1"/>
  <c r="R37" i="9"/>
  <c r="N37" i="9"/>
  <c r="N45" i="9" s="1"/>
  <c r="Q7" i="9" s="1"/>
  <c r="R7" i="9" s="1"/>
  <c r="K37" i="9"/>
  <c r="J37" i="9"/>
  <c r="J45" i="9" s="1"/>
  <c r="E37" i="9"/>
  <c r="R36" i="9"/>
  <c r="R35" i="9"/>
  <c r="N35" i="9"/>
  <c r="K35" i="9"/>
  <c r="L35" i="9" s="1"/>
  <c r="J35" i="9"/>
  <c r="G35" i="9"/>
  <c r="R34" i="9"/>
  <c r="N34" i="9"/>
  <c r="K34" i="9"/>
  <c r="L34" i="9" s="1"/>
  <c r="J34" i="9"/>
  <c r="E34" i="9"/>
  <c r="G34" i="9" s="1"/>
  <c r="R33" i="9"/>
  <c r="N33" i="9"/>
  <c r="K33" i="9"/>
  <c r="L33" i="9" s="1"/>
  <c r="J33" i="9"/>
  <c r="E33" i="9"/>
  <c r="G33" i="9" s="1"/>
  <c r="R32" i="9"/>
  <c r="N32" i="9"/>
  <c r="K32" i="9"/>
  <c r="L32" i="9" s="1"/>
  <c r="J32" i="9"/>
  <c r="E32" i="9"/>
  <c r="G32" i="9" s="1"/>
  <c r="R31" i="9"/>
  <c r="L31" i="9"/>
  <c r="J31" i="9"/>
  <c r="G31" i="9"/>
  <c r="R30" i="9"/>
  <c r="N30" i="9"/>
  <c r="K30" i="9"/>
  <c r="L30" i="9" s="1"/>
  <c r="J30" i="9"/>
  <c r="G30" i="9"/>
  <c r="E30" i="9"/>
  <c r="R29" i="9"/>
  <c r="N29" i="9"/>
  <c r="N36" i="9" s="1"/>
  <c r="Q6" i="9" s="1"/>
  <c r="R6" i="9" s="1"/>
  <c r="K29" i="9"/>
  <c r="J29" i="9"/>
  <c r="J36" i="9" s="1"/>
  <c r="E29" i="9"/>
  <c r="F28" i="9"/>
  <c r="R27" i="9"/>
  <c r="N27" i="9"/>
  <c r="K27" i="9"/>
  <c r="L27" i="9" s="1"/>
  <c r="J27" i="9"/>
  <c r="E27" i="9"/>
  <c r="G27" i="9" s="1"/>
  <c r="R26" i="9"/>
  <c r="N26" i="9"/>
  <c r="K26" i="9"/>
  <c r="L26" i="9" s="1"/>
  <c r="J26" i="9"/>
  <c r="E26" i="9"/>
  <c r="G26" i="9" s="1"/>
  <c r="R25" i="9"/>
  <c r="N25" i="9"/>
  <c r="K25" i="9"/>
  <c r="L25" i="9" s="1"/>
  <c r="J25" i="9"/>
  <c r="E25" i="9"/>
  <c r="G25" i="9" s="1"/>
  <c r="R24" i="9"/>
  <c r="N24" i="9"/>
  <c r="K24" i="9"/>
  <c r="L24" i="9" s="1"/>
  <c r="J24" i="9"/>
  <c r="E24" i="9"/>
  <c r="G24" i="9" s="1"/>
  <c r="N23" i="9"/>
  <c r="K23" i="9"/>
  <c r="L23" i="9" s="1"/>
  <c r="J23" i="9"/>
  <c r="E23" i="9"/>
  <c r="G23" i="9" s="1"/>
  <c r="N22" i="9"/>
  <c r="K22" i="9"/>
  <c r="L22" i="9" s="1"/>
  <c r="J22" i="9"/>
  <c r="E22" i="9"/>
  <c r="G22" i="9" s="1"/>
  <c r="N21" i="9"/>
  <c r="K21" i="9"/>
  <c r="L21" i="9" s="1"/>
  <c r="J21" i="9"/>
  <c r="G21" i="9"/>
  <c r="E21" i="9"/>
  <c r="N20" i="9"/>
  <c r="N28" i="9" s="1"/>
  <c r="Q5" i="9" s="1"/>
  <c r="R5" i="9" s="1"/>
  <c r="K20" i="9"/>
  <c r="J20" i="9"/>
  <c r="J28" i="9" s="1"/>
  <c r="E20" i="9"/>
  <c r="N18" i="9"/>
  <c r="K18" i="9"/>
  <c r="L18" i="9" s="1"/>
  <c r="J18" i="9"/>
  <c r="G18" i="9"/>
  <c r="E18" i="9"/>
  <c r="N17" i="9"/>
  <c r="K17" i="9"/>
  <c r="L17" i="9" s="1"/>
  <c r="J17" i="9"/>
  <c r="E17" i="9"/>
  <c r="G17" i="9" s="1"/>
  <c r="N16" i="9"/>
  <c r="K16" i="9"/>
  <c r="L16" i="9" s="1"/>
  <c r="J16" i="9"/>
  <c r="E16" i="9"/>
  <c r="G16" i="9" s="1"/>
  <c r="N15" i="9"/>
  <c r="K15" i="9"/>
  <c r="L15" i="9" s="1"/>
  <c r="J15" i="9"/>
  <c r="E15" i="9"/>
  <c r="G15" i="9" s="1"/>
  <c r="N14" i="9"/>
  <c r="K14" i="9"/>
  <c r="L14" i="9" s="1"/>
  <c r="J14" i="9"/>
  <c r="E14" i="9"/>
  <c r="G14" i="9" s="1"/>
  <c r="N13" i="9"/>
  <c r="K13" i="9"/>
  <c r="L13" i="9" s="1"/>
  <c r="J13" i="9"/>
  <c r="G13" i="9"/>
  <c r="E13" i="9"/>
  <c r="N12" i="9"/>
  <c r="N19" i="9" s="1"/>
  <c r="Q4" i="9" s="1"/>
  <c r="R4" i="9" s="1"/>
  <c r="K12" i="9"/>
  <c r="J12" i="9"/>
  <c r="J19" i="9" s="1"/>
  <c r="E12" i="9"/>
  <c r="F11" i="9"/>
  <c r="F19" i="9" s="1"/>
  <c r="N10" i="9"/>
  <c r="K10" i="9"/>
  <c r="L10" i="9" s="1"/>
  <c r="J10" i="9"/>
  <c r="E10" i="9"/>
  <c r="G10" i="9" s="1"/>
  <c r="N9" i="9"/>
  <c r="L9" i="9"/>
  <c r="E9" i="9"/>
  <c r="G9" i="9" s="1"/>
  <c r="N8" i="9"/>
  <c r="K8" i="9"/>
  <c r="L8" i="9" s="1"/>
  <c r="J8" i="9"/>
  <c r="E8" i="9"/>
  <c r="G8" i="9" s="1"/>
  <c r="N7" i="9"/>
  <c r="K7" i="9"/>
  <c r="L7" i="9" s="1"/>
  <c r="J7" i="9"/>
  <c r="E7" i="9"/>
  <c r="G7" i="9" s="1"/>
  <c r="N6" i="9"/>
  <c r="K6" i="9"/>
  <c r="L6" i="9" s="1"/>
  <c r="J6" i="9"/>
  <c r="G6" i="9"/>
  <c r="E6" i="9"/>
  <c r="N5" i="9"/>
  <c r="K5" i="9"/>
  <c r="L5" i="9" s="1"/>
  <c r="J5" i="9"/>
  <c r="E5" i="9"/>
  <c r="G5" i="9" s="1"/>
  <c r="O4" i="9"/>
  <c r="O5" i="9" s="1"/>
  <c r="O6" i="9" s="1"/>
  <c r="O7" i="9" s="1"/>
  <c r="O8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N4" i="9"/>
  <c r="K4" i="9"/>
  <c r="J4" i="9"/>
  <c r="L4" i="9" s="1"/>
  <c r="E4" i="9"/>
  <c r="G4" i="9" s="1"/>
  <c r="N3" i="9"/>
  <c r="N11" i="9" s="1"/>
  <c r="K3" i="9"/>
  <c r="J3" i="9"/>
  <c r="J11" i="9" s="1"/>
  <c r="E3" i="9"/>
  <c r="P2" i="9"/>
  <c r="F245" i="8"/>
  <c r="N244" i="8"/>
  <c r="K244" i="8"/>
  <c r="L244" i="8" s="1"/>
  <c r="J244" i="8"/>
  <c r="E244" i="8"/>
  <c r="G244" i="8" s="1"/>
  <c r="N243" i="8"/>
  <c r="K243" i="8"/>
  <c r="L243" i="8" s="1"/>
  <c r="J243" i="8"/>
  <c r="E243" i="8"/>
  <c r="G243" i="8" s="1"/>
  <c r="N242" i="8"/>
  <c r="K242" i="8"/>
  <c r="L242" i="8" s="1"/>
  <c r="J242" i="8"/>
  <c r="E242" i="8"/>
  <c r="G242" i="8" s="1"/>
  <c r="N241" i="8"/>
  <c r="K241" i="8"/>
  <c r="J241" i="8"/>
  <c r="L241" i="8" s="1"/>
  <c r="E241" i="8"/>
  <c r="G241" i="8" s="1"/>
  <c r="N240" i="8"/>
  <c r="K240" i="8"/>
  <c r="L240" i="8" s="1"/>
  <c r="J240" i="8"/>
  <c r="E240" i="8"/>
  <c r="G240" i="8" s="1"/>
  <c r="N239" i="8"/>
  <c r="N245" i="8" s="1"/>
  <c r="K239" i="8"/>
  <c r="J239" i="8"/>
  <c r="J245" i="8" s="1"/>
  <c r="E239" i="8"/>
  <c r="F238" i="8"/>
  <c r="N237" i="8"/>
  <c r="K237" i="8"/>
  <c r="L237" i="8" s="1"/>
  <c r="J237" i="8"/>
  <c r="E237" i="8"/>
  <c r="G237" i="8" s="1"/>
  <c r="N236" i="8"/>
  <c r="K236" i="8"/>
  <c r="L236" i="8" s="1"/>
  <c r="J236" i="8"/>
  <c r="E236" i="8"/>
  <c r="G236" i="8" s="1"/>
  <c r="N235" i="8"/>
  <c r="N238" i="8" s="1"/>
  <c r="Q187" i="8" s="1"/>
  <c r="K235" i="8"/>
  <c r="L235" i="8" s="1"/>
  <c r="J235" i="8"/>
  <c r="E235" i="8"/>
  <c r="G235" i="8" s="1"/>
  <c r="K234" i="8"/>
  <c r="L234" i="8" s="1"/>
  <c r="J234" i="8"/>
  <c r="E234" i="8"/>
  <c r="G234" i="8" s="1"/>
  <c r="K233" i="8"/>
  <c r="L233" i="8" s="1"/>
  <c r="J233" i="8"/>
  <c r="E233" i="8"/>
  <c r="G233" i="8" s="1"/>
  <c r="K232" i="8"/>
  <c r="J232" i="8"/>
  <c r="J238" i="8" s="1"/>
  <c r="E232" i="8"/>
  <c r="N231" i="8"/>
  <c r="F231" i="8"/>
  <c r="K230" i="8"/>
  <c r="L230" i="8" s="1"/>
  <c r="J230" i="8"/>
  <c r="E230" i="8"/>
  <c r="G230" i="8" s="1"/>
  <c r="K228" i="8"/>
  <c r="J228" i="8"/>
  <c r="L228" i="8" s="1"/>
  <c r="K227" i="8"/>
  <c r="L227" i="8" s="1"/>
  <c r="J227" i="8"/>
  <c r="G227" i="8"/>
  <c r="E227" i="8"/>
  <c r="K226" i="8"/>
  <c r="L226" i="8" s="1"/>
  <c r="J226" i="8"/>
  <c r="E226" i="8"/>
  <c r="G226" i="8" s="1"/>
  <c r="K225" i="8"/>
  <c r="L225" i="8" s="1"/>
  <c r="J225" i="8"/>
  <c r="E225" i="8"/>
  <c r="G225" i="8" s="1"/>
  <c r="K224" i="8"/>
  <c r="J224" i="8"/>
  <c r="L224" i="8" s="1"/>
  <c r="E224" i="8"/>
  <c r="G224" i="8" s="1"/>
  <c r="K223" i="8"/>
  <c r="J223" i="8"/>
  <c r="E223" i="8"/>
  <c r="G223" i="8" s="1"/>
  <c r="J222" i="8"/>
  <c r="E222" i="8"/>
  <c r="F221" i="8"/>
  <c r="N220" i="8"/>
  <c r="K220" i="8"/>
  <c r="L220" i="8" s="1"/>
  <c r="J220" i="8"/>
  <c r="E220" i="8"/>
  <c r="G220" i="8" s="1"/>
  <c r="N219" i="8"/>
  <c r="N221" i="8" s="1"/>
  <c r="Q185" i="8" s="1"/>
  <c r="K219" i="8"/>
  <c r="L219" i="8" s="1"/>
  <c r="J219" i="8"/>
  <c r="E219" i="8"/>
  <c r="G219" i="8" s="1"/>
  <c r="K218" i="8"/>
  <c r="L218" i="8" s="1"/>
  <c r="J218" i="8"/>
  <c r="E218" i="8"/>
  <c r="G218" i="8" s="1"/>
  <c r="K217" i="8"/>
  <c r="L217" i="8" s="1"/>
  <c r="J217" i="8"/>
  <c r="E217" i="8"/>
  <c r="G217" i="8" s="1"/>
  <c r="K216" i="8"/>
  <c r="J216" i="8"/>
  <c r="J221" i="8" s="1"/>
  <c r="E216" i="8"/>
  <c r="F215" i="8"/>
  <c r="K214" i="8"/>
  <c r="J214" i="8"/>
  <c r="E214" i="8"/>
  <c r="G214" i="8" s="1"/>
  <c r="N213" i="8"/>
  <c r="K213" i="8"/>
  <c r="L213" i="8" s="1"/>
  <c r="J213" i="8"/>
  <c r="E213" i="8"/>
  <c r="G213" i="8" s="1"/>
  <c r="N212" i="8"/>
  <c r="K212" i="8"/>
  <c r="L212" i="8" s="1"/>
  <c r="J212" i="8"/>
  <c r="E212" i="8"/>
  <c r="G212" i="8" s="1"/>
  <c r="J211" i="8"/>
  <c r="L211" i="8" s="1"/>
  <c r="E211" i="8"/>
  <c r="G211" i="8" s="1"/>
  <c r="N210" i="8"/>
  <c r="K210" i="8"/>
  <c r="J210" i="8"/>
  <c r="J215" i="8" s="1"/>
  <c r="E210" i="8"/>
  <c r="F209" i="8"/>
  <c r="N208" i="8"/>
  <c r="K208" i="8"/>
  <c r="L208" i="8" s="1"/>
  <c r="J208" i="8"/>
  <c r="E208" i="8"/>
  <c r="G208" i="8" s="1"/>
  <c r="N207" i="8"/>
  <c r="K207" i="8"/>
  <c r="L207" i="8" s="1"/>
  <c r="J207" i="8"/>
  <c r="E207" i="8"/>
  <c r="G207" i="8" s="1"/>
  <c r="N206" i="8"/>
  <c r="K206" i="8"/>
  <c r="L206" i="8" s="1"/>
  <c r="J206" i="8"/>
  <c r="J209" i="8" s="1"/>
  <c r="E206" i="8"/>
  <c r="G206" i="8" s="1"/>
  <c r="K205" i="8"/>
  <c r="G205" i="8"/>
  <c r="E205" i="8"/>
  <c r="E209" i="8" s="1"/>
  <c r="N204" i="8"/>
  <c r="L204" i="8"/>
  <c r="L209" i="8" s="1"/>
  <c r="K204" i="8"/>
  <c r="K209" i="8" s="1"/>
  <c r="G204" i="8"/>
  <c r="G209" i="8" s="1"/>
  <c r="F203" i="8"/>
  <c r="N202" i="8"/>
  <c r="K202" i="8"/>
  <c r="L202" i="8" s="1"/>
  <c r="J202" i="8"/>
  <c r="E202" i="8"/>
  <c r="G202" i="8" s="1"/>
  <c r="K201" i="8"/>
  <c r="J201" i="8"/>
  <c r="G201" i="8"/>
  <c r="E201" i="8"/>
  <c r="K200" i="8"/>
  <c r="J200" i="8"/>
  <c r="E200" i="8"/>
  <c r="G200" i="8" s="1"/>
  <c r="K199" i="8"/>
  <c r="J199" i="8"/>
  <c r="E199" i="8"/>
  <c r="G199" i="8" s="1"/>
  <c r="K198" i="8"/>
  <c r="J198" i="8"/>
  <c r="J203" i="8" s="1"/>
  <c r="E198" i="8"/>
  <c r="K197" i="8"/>
  <c r="F197" i="8"/>
  <c r="N196" i="8"/>
  <c r="K196" i="8"/>
  <c r="L196" i="8" s="1"/>
  <c r="J196" i="8"/>
  <c r="E196" i="8"/>
  <c r="G196" i="8" s="1"/>
  <c r="N195" i="8"/>
  <c r="K195" i="8"/>
  <c r="L195" i="8" s="1"/>
  <c r="J195" i="8"/>
  <c r="G195" i="8"/>
  <c r="E195" i="8"/>
  <c r="N194" i="8"/>
  <c r="K194" i="8"/>
  <c r="L194" i="8" s="1"/>
  <c r="J194" i="8"/>
  <c r="E194" i="8"/>
  <c r="G194" i="8" s="1"/>
  <c r="N193" i="8"/>
  <c r="J193" i="8"/>
  <c r="L193" i="8" s="1"/>
  <c r="E193" i="8"/>
  <c r="G193" i="8" s="1"/>
  <c r="N192" i="8"/>
  <c r="N197" i="8" s="1"/>
  <c r="Q181" i="8" s="1"/>
  <c r="J192" i="8"/>
  <c r="E192" i="8"/>
  <c r="F191" i="8"/>
  <c r="N190" i="8"/>
  <c r="K190" i="8"/>
  <c r="L190" i="8" s="1"/>
  <c r="J190" i="8"/>
  <c r="E190" i="8"/>
  <c r="G190" i="8" s="1"/>
  <c r="N189" i="8"/>
  <c r="K189" i="8"/>
  <c r="L189" i="8" s="1"/>
  <c r="J189" i="8"/>
  <c r="E189" i="8"/>
  <c r="G189" i="8" s="1"/>
  <c r="N188" i="8"/>
  <c r="K188" i="8"/>
  <c r="L188" i="8" s="1"/>
  <c r="J188" i="8"/>
  <c r="E188" i="8"/>
  <c r="G188" i="8" s="1"/>
  <c r="N187" i="8"/>
  <c r="K187" i="8"/>
  <c r="L187" i="8" s="1"/>
  <c r="J187" i="8"/>
  <c r="E187" i="8"/>
  <c r="G187" i="8" s="1"/>
  <c r="Q186" i="8"/>
  <c r="N186" i="8"/>
  <c r="N191" i="8" s="1"/>
  <c r="Q180" i="8" s="1"/>
  <c r="K186" i="8"/>
  <c r="J186" i="8"/>
  <c r="J191" i="8" s="1"/>
  <c r="E186" i="8"/>
  <c r="F185" i="8"/>
  <c r="K184" i="8"/>
  <c r="J184" i="8"/>
  <c r="E184" i="8"/>
  <c r="G184" i="8" s="1"/>
  <c r="K183" i="8"/>
  <c r="J183" i="8"/>
  <c r="G183" i="8"/>
  <c r="E183" i="8"/>
  <c r="K182" i="8"/>
  <c r="J182" i="8"/>
  <c r="E182" i="8"/>
  <c r="G182" i="8" s="1"/>
  <c r="K181" i="8"/>
  <c r="J181" i="8"/>
  <c r="E181" i="8"/>
  <c r="G181" i="8" s="1"/>
  <c r="K180" i="8"/>
  <c r="J180" i="8"/>
  <c r="J185" i="8" s="1"/>
  <c r="E180" i="8"/>
  <c r="R176" i="8"/>
  <c r="R175" i="8"/>
  <c r="K175" i="8"/>
  <c r="F175" i="8"/>
  <c r="R174" i="8"/>
  <c r="N174" i="8"/>
  <c r="J174" i="8"/>
  <c r="L174" i="8" s="1"/>
  <c r="E174" i="8"/>
  <c r="G174" i="8" s="1"/>
  <c r="R173" i="8"/>
  <c r="N173" i="8"/>
  <c r="J173" i="8"/>
  <c r="L173" i="8" s="1"/>
  <c r="E173" i="8"/>
  <c r="G173" i="8" s="1"/>
  <c r="R172" i="8"/>
  <c r="N172" i="8"/>
  <c r="J172" i="8"/>
  <c r="L172" i="8" s="1"/>
  <c r="E172" i="8"/>
  <c r="G172" i="8" s="1"/>
  <c r="R171" i="8"/>
  <c r="N171" i="8"/>
  <c r="J171" i="8"/>
  <c r="L171" i="8" s="1"/>
  <c r="E171" i="8"/>
  <c r="G171" i="8" s="1"/>
  <c r="R170" i="8"/>
  <c r="N170" i="8"/>
  <c r="J170" i="8"/>
  <c r="L170" i="8" s="1"/>
  <c r="E170" i="8"/>
  <c r="G170" i="8" s="1"/>
  <c r="R169" i="8"/>
  <c r="N169" i="8"/>
  <c r="J169" i="8"/>
  <c r="L169" i="8" s="1"/>
  <c r="E169" i="8"/>
  <c r="G169" i="8" s="1"/>
  <c r="R168" i="8"/>
  <c r="N168" i="8"/>
  <c r="J168" i="8"/>
  <c r="L168" i="8" s="1"/>
  <c r="E168" i="8"/>
  <c r="G168" i="8" s="1"/>
  <c r="R167" i="8"/>
  <c r="N167" i="8"/>
  <c r="N175" i="8" s="1"/>
  <c r="Q23" i="8" s="1"/>
  <c r="R23" i="8" s="1"/>
  <c r="J167" i="8"/>
  <c r="E167" i="8"/>
  <c r="F166" i="8"/>
  <c r="K165" i="8"/>
  <c r="J165" i="8"/>
  <c r="E165" i="8"/>
  <c r="G165" i="8" s="1"/>
  <c r="K164" i="8"/>
  <c r="J164" i="8"/>
  <c r="E164" i="8"/>
  <c r="G164" i="8" s="1"/>
  <c r="N163" i="8"/>
  <c r="J163" i="8"/>
  <c r="L163" i="8" s="1"/>
  <c r="E163" i="8"/>
  <c r="G163" i="8" s="1"/>
  <c r="N162" i="8"/>
  <c r="J162" i="8"/>
  <c r="L162" i="8" s="1"/>
  <c r="E162" i="8"/>
  <c r="G162" i="8" s="1"/>
  <c r="N161" i="8"/>
  <c r="L161" i="8"/>
  <c r="J161" i="8"/>
  <c r="E161" i="8"/>
  <c r="G161" i="8" s="1"/>
  <c r="N160" i="8"/>
  <c r="J160" i="8"/>
  <c r="L160" i="8" s="1"/>
  <c r="E160" i="8"/>
  <c r="G160" i="8" s="1"/>
  <c r="N159" i="8"/>
  <c r="J159" i="8"/>
  <c r="L159" i="8" s="1"/>
  <c r="E159" i="8"/>
  <c r="G159" i="8" s="1"/>
  <c r="N158" i="8"/>
  <c r="J158" i="8"/>
  <c r="E158" i="8"/>
  <c r="R157" i="8"/>
  <c r="F157" i="8"/>
  <c r="R156" i="8"/>
  <c r="N156" i="8"/>
  <c r="J156" i="8"/>
  <c r="L156" i="8" s="1"/>
  <c r="E156" i="8"/>
  <c r="G156" i="8" s="1"/>
  <c r="R155" i="8"/>
  <c r="N155" i="8"/>
  <c r="K155" i="8"/>
  <c r="J155" i="8"/>
  <c r="G155" i="8"/>
  <c r="E155" i="8"/>
  <c r="R154" i="8"/>
  <c r="N154" i="8"/>
  <c r="J154" i="8"/>
  <c r="L154" i="8" s="1"/>
  <c r="E154" i="8"/>
  <c r="G154" i="8" s="1"/>
  <c r="R153" i="8"/>
  <c r="N153" i="8"/>
  <c r="J153" i="8"/>
  <c r="L153" i="8" s="1"/>
  <c r="E153" i="8"/>
  <c r="G153" i="8" s="1"/>
  <c r="R152" i="8"/>
  <c r="N152" i="8"/>
  <c r="L152" i="8"/>
  <c r="J152" i="8"/>
  <c r="E152" i="8"/>
  <c r="G152" i="8" s="1"/>
  <c r="R151" i="8"/>
  <c r="N151" i="8"/>
  <c r="J151" i="8"/>
  <c r="L151" i="8" s="1"/>
  <c r="G151" i="8"/>
  <c r="E151" i="8"/>
  <c r="R150" i="8"/>
  <c r="N150" i="8"/>
  <c r="J150" i="8"/>
  <c r="L150" i="8" s="1"/>
  <c r="E150" i="8"/>
  <c r="G150" i="8" s="1"/>
  <c r="R149" i="8"/>
  <c r="N149" i="8"/>
  <c r="N157" i="8" s="1"/>
  <c r="Q21" i="8" s="1"/>
  <c r="R21" i="8" s="1"/>
  <c r="J149" i="8"/>
  <c r="E149" i="8"/>
  <c r="R148" i="8"/>
  <c r="R147" i="8"/>
  <c r="K147" i="8"/>
  <c r="J147" i="8"/>
  <c r="E147" i="8"/>
  <c r="G147" i="8" s="1"/>
  <c r="R146" i="8"/>
  <c r="N146" i="8"/>
  <c r="K146" i="8"/>
  <c r="J146" i="8"/>
  <c r="G146" i="8"/>
  <c r="E146" i="8"/>
  <c r="R145" i="8"/>
  <c r="N145" i="8"/>
  <c r="L145" i="8"/>
  <c r="J145" i="8"/>
  <c r="E145" i="8"/>
  <c r="G145" i="8" s="1"/>
  <c r="R144" i="8"/>
  <c r="N144" i="8"/>
  <c r="L144" i="8"/>
  <c r="J144" i="8"/>
  <c r="E144" i="8"/>
  <c r="G144" i="8" s="1"/>
  <c r="R143" i="8"/>
  <c r="N143" i="8"/>
  <c r="J143" i="8"/>
  <c r="L143" i="8" s="1"/>
  <c r="E143" i="8"/>
  <c r="G143" i="8" s="1"/>
  <c r="R142" i="8"/>
  <c r="N142" i="8"/>
  <c r="J142" i="8"/>
  <c r="L142" i="8" s="1"/>
  <c r="E142" i="8"/>
  <c r="G142" i="8" s="1"/>
  <c r="R141" i="8"/>
  <c r="N141" i="8"/>
  <c r="J141" i="8"/>
  <c r="L141" i="8" s="1"/>
  <c r="E141" i="8"/>
  <c r="G141" i="8" s="1"/>
  <c r="R140" i="8"/>
  <c r="N140" i="8"/>
  <c r="J140" i="8"/>
  <c r="E140" i="8"/>
  <c r="R139" i="8"/>
  <c r="F139" i="8"/>
  <c r="R138" i="8"/>
  <c r="K138" i="8"/>
  <c r="J138" i="8"/>
  <c r="E138" i="8"/>
  <c r="G138" i="8" s="1"/>
  <c r="R137" i="8"/>
  <c r="N137" i="8"/>
  <c r="K137" i="8"/>
  <c r="J137" i="8"/>
  <c r="E137" i="8"/>
  <c r="G137" i="8" s="1"/>
  <c r="R136" i="8"/>
  <c r="N136" i="8"/>
  <c r="J136" i="8"/>
  <c r="L136" i="8" s="1"/>
  <c r="E136" i="8"/>
  <c r="G136" i="8" s="1"/>
  <c r="R135" i="8"/>
  <c r="N135" i="8"/>
  <c r="J135" i="8"/>
  <c r="E135" i="8"/>
  <c r="G135" i="8" s="1"/>
  <c r="R134" i="8"/>
  <c r="N134" i="8"/>
  <c r="J134" i="8"/>
  <c r="L134" i="8" s="1"/>
  <c r="E134" i="8"/>
  <c r="G134" i="8" s="1"/>
  <c r="R133" i="8"/>
  <c r="N133" i="8"/>
  <c r="J133" i="8"/>
  <c r="L133" i="8" s="1"/>
  <c r="E133" i="8"/>
  <c r="G133" i="8" s="1"/>
  <c r="R132" i="8"/>
  <c r="N132" i="8"/>
  <c r="J132" i="8"/>
  <c r="L132" i="8" s="1"/>
  <c r="E132" i="8"/>
  <c r="G132" i="8" s="1"/>
  <c r="R131" i="8"/>
  <c r="N131" i="8"/>
  <c r="J131" i="8"/>
  <c r="G131" i="8"/>
  <c r="G139" i="8" s="1"/>
  <c r="E131" i="8"/>
  <c r="E139" i="8" s="1"/>
  <c r="R130" i="8"/>
  <c r="K130" i="8"/>
  <c r="F130" i="8"/>
  <c r="R129" i="8"/>
  <c r="N129" i="8"/>
  <c r="J129" i="8"/>
  <c r="L129" i="8" s="1"/>
  <c r="G129" i="8"/>
  <c r="E129" i="8"/>
  <c r="R128" i="8"/>
  <c r="N128" i="8"/>
  <c r="J128" i="8"/>
  <c r="L128" i="8" s="1"/>
  <c r="E128" i="8"/>
  <c r="G128" i="8" s="1"/>
  <c r="R127" i="8"/>
  <c r="N127" i="8"/>
  <c r="J127" i="8"/>
  <c r="E127" i="8"/>
  <c r="G127" i="8" s="1"/>
  <c r="R126" i="8"/>
  <c r="N126" i="8"/>
  <c r="J126" i="8"/>
  <c r="L126" i="8" s="1"/>
  <c r="E126" i="8"/>
  <c r="G126" i="8" s="1"/>
  <c r="R125" i="8"/>
  <c r="N125" i="8"/>
  <c r="J125" i="8"/>
  <c r="L125" i="8" s="1"/>
  <c r="E125" i="8"/>
  <c r="G125" i="8" s="1"/>
  <c r="R124" i="8"/>
  <c r="N124" i="8"/>
  <c r="J124" i="8"/>
  <c r="L124" i="8" s="1"/>
  <c r="G124" i="8"/>
  <c r="E124" i="8"/>
  <c r="R123" i="8"/>
  <c r="N123" i="8"/>
  <c r="J123" i="8"/>
  <c r="L123" i="8" s="1"/>
  <c r="E123" i="8"/>
  <c r="G123" i="8" s="1"/>
  <c r="R122" i="8"/>
  <c r="N122" i="8"/>
  <c r="N130" i="8" s="1"/>
  <c r="Q18" i="8" s="1"/>
  <c r="R18" i="8" s="1"/>
  <c r="J122" i="8"/>
  <c r="E122" i="8"/>
  <c r="R121" i="8"/>
  <c r="F121" i="8"/>
  <c r="R120" i="8"/>
  <c r="N120" i="8"/>
  <c r="K120" i="8"/>
  <c r="L120" i="8" s="1"/>
  <c r="J120" i="8"/>
  <c r="E120" i="8"/>
  <c r="G120" i="8" s="1"/>
  <c r="R119" i="8"/>
  <c r="N119" i="8"/>
  <c r="K119" i="8"/>
  <c r="L119" i="8" s="1"/>
  <c r="J119" i="8"/>
  <c r="E119" i="8"/>
  <c r="G119" i="8" s="1"/>
  <c r="R118" i="8"/>
  <c r="N118" i="8"/>
  <c r="K118" i="8"/>
  <c r="L118" i="8" s="1"/>
  <c r="J118" i="8"/>
  <c r="E118" i="8"/>
  <c r="G118" i="8" s="1"/>
  <c r="R117" i="8"/>
  <c r="N117" i="8"/>
  <c r="K117" i="8"/>
  <c r="L117" i="8" s="1"/>
  <c r="J117" i="8"/>
  <c r="E117" i="8"/>
  <c r="G117" i="8" s="1"/>
  <c r="R116" i="8"/>
  <c r="N116" i="8"/>
  <c r="K116" i="8"/>
  <c r="L116" i="8" s="1"/>
  <c r="J116" i="8"/>
  <c r="G116" i="8"/>
  <c r="E116" i="8"/>
  <c r="R115" i="8"/>
  <c r="N115" i="8"/>
  <c r="L115" i="8"/>
  <c r="K115" i="8"/>
  <c r="J115" i="8"/>
  <c r="E115" i="8"/>
  <c r="G115" i="8" s="1"/>
  <c r="R114" i="8"/>
  <c r="N114" i="8"/>
  <c r="N121" i="8" s="1"/>
  <c r="Q17" i="8" s="1"/>
  <c r="R17" i="8" s="1"/>
  <c r="K114" i="8"/>
  <c r="J114" i="8"/>
  <c r="J121" i="8" s="1"/>
  <c r="E114" i="8"/>
  <c r="R113" i="8"/>
  <c r="R112" i="8"/>
  <c r="N112" i="8"/>
  <c r="K112" i="8"/>
  <c r="L112" i="8" s="1"/>
  <c r="J112" i="8"/>
  <c r="G112" i="8"/>
  <c r="E112" i="8"/>
  <c r="R111" i="8"/>
  <c r="N111" i="8"/>
  <c r="K111" i="8"/>
  <c r="L111" i="8" s="1"/>
  <c r="J111" i="8"/>
  <c r="E111" i="8"/>
  <c r="G111" i="8" s="1"/>
  <c r="R110" i="8"/>
  <c r="N110" i="8"/>
  <c r="K110" i="8"/>
  <c r="L110" i="8" s="1"/>
  <c r="J110" i="8"/>
  <c r="G110" i="8"/>
  <c r="E110" i="8"/>
  <c r="R109" i="8"/>
  <c r="N109" i="8"/>
  <c r="K109" i="8"/>
  <c r="L109" i="8" s="1"/>
  <c r="J109" i="8"/>
  <c r="E109" i="8"/>
  <c r="G109" i="8" s="1"/>
  <c r="R108" i="8"/>
  <c r="N108" i="8"/>
  <c r="K108" i="8"/>
  <c r="L108" i="8" s="1"/>
  <c r="J108" i="8"/>
  <c r="E108" i="8"/>
  <c r="G108" i="8" s="1"/>
  <c r="R107" i="8"/>
  <c r="N107" i="8"/>
  <c r="K107" i="8"/>
  <c r="J107" i="8"/>
  <c r="L107" i="8" s="1"/>
  <c r="E107" i="8"/>
  <c r="G107" i="8" s="1"/>
  <c r="R106" i="8"/>
  <c r="N106" i="8"/>
  <c r="N113" i="8" s="1"/>
  <c r="R16" i="8" s="1"/>
  <c r="K106" i="8"/>
  <c r="J106" i="8"/>
  <c r="J113" i="8" s="1"/>
  <c r="E106" i="8"/>
  <c r="R105" i="8"/>
  <c r="R104" i="8"/>
  <c r="N104" i="8"/>
  <c r="J104" i="8"/>
  <c r="L104" i="8" s="1"/>
  <c r="E104" i="8"/>
  <c r="G104" i="8" s="1"/>
  <c r="R103" i="8"/>
  <c r="N103" i="8"/>
  <c r="J103" i="8"/>
  <c r="L103" i="8" s="1"/>
  <c r="E103" i="8"/>
  <c r="G103" i="8" s="1"/>
  <c r="R102" i="8"/>
  <c r="N102" i="8"/>
  <c r="J102" i="8"/>
  <c r="L102" i="8" s="1"/>
  <c r="G102" i="8"/>
  <c r="E102" i="8"/>
  <c r="R101" i="8"/>
  <c r="N101" i="8"/>
  <c r="J101" i="8"/>
  <c r="L101" i="8" s="1"/>
  <c r="E101" i="8"/>
  <c r="G101" i="8" s="1"/>
  <c r="R100" i="8"/>
  <c r="N100" i="8"/>
  <c r="K100" i="8"/>
  <c r="L100" i="8" s="1"/>
  <c r="J100" i="8"/>
  <c r="E100" i="8"/>
  <c r="G100" i="8" s="1"/>
  <c r="R99" i="8"/>
  <c r="N99" i="8"/>
  <c r="L99" i="8"/>
  <c r="J99" i="8"/>
  <c r="E99" i="8"/>
  <c r="G99" i="8" s="1"/>
  <c r="R98" i="8"/>
  <c r="N98" i="8"/>
  <c r="N105" i="8" s="1"/>
  <c r="J98" i="8"/>
  <c r="L98" i="8" s="1"/>
  <c r="E98" i="8"/>
  <c r="G98" i="8" s="1"/>
  <c r="R97" i="8"/>
  <c r="R96" i="8"/>
  <c r="N96" i="8"/>
  <c r="K96" i="8"/>
  <c r="L96" i="8" s="1"/>
  <c r="J96" i="8"/>
  <c r="E96" i="8"/>
  <c r="G96" i="8" s="1"/>
  <c r="R95" i="8"/>
  <c r="N95" i="8"/>
  <c r="K95" i="8"/>
  <c r="L95" i="8" s="1"/>
  <c r="J95" i="8"/>
  <c r="E95" i="8"/>
  <c r="G95" i="8" s="1"/>
  <c r="R94" i="8"/>
  <c r="N94" i="8"/>
  <c r="K94" i="8"/>
  <c r="L94" i="8" s="1"/>
  <c r="J94" i="8"/>
  <c r="E94" i="8"/>
  <c r="G94" i="8" s="1"/>
  <c r="R93" i="8"/>
  <c r="N93" i="8"/>
  <c r="K93" i="8"/>
  <c r="L93" i="8" s="1"/>
  <c r="J93" i="8"/>
  <c r="E93" i="8"/>
  <c r="G93" i="8" s="1"/>
  <c r="R92" i="8"/>
  <c r="N92" i="8"/>
  <c r="K92" i="8"/>
  <c r="L92" i="8" s="1"/>
  <c r="J92" i="8"/>
  <c r="E92" i="8"/>
  <c r="G92" i="8" s="1"/>
  <c r="R91" i="8"/>
  <c r="N91" i="8"/>
  <c r="N97" i="8" s="1"/>
  <c r="Q14" i="8" s="1"/>
  <c r="R14" i="8" s="1"/>
  <c r="K91" i="8"/>
  <c r="J91" i="8"/>
  <c r="E91" i="8"/>
  <c r="R90" i="8"/>
  <c r="F90" i="8"/>
  <c r="F97" i="8" s="1"/>
  <c r="F105" i="8" s="1"/>
  <c r="R89" i="8"/>
  <c r="N89" i="8"/>
  <c r="K89" i="8"/>
  <c r="L89" i="8" s="1"/>
  <c r="J89" i="8"/>
  <c r="E89" i="8"/>
  <c r="G89" i="8" s="1"/>
  <c r="R88" i="8"/>
  <c r="N88" i="8"/>
  <c r="L88" i="8"/>
  <c r="K88" i="8"/>
  <c r="J88" i="8"/>
  <c r="E88" i="8"/>
  <c r="G88" i="8" s="1"/>
  <c r="R87" i="8"/>
  <c r="N87" i="8"/>
  <c r="K87" i="8"/>
  <c r="L87" i="8" s="1"/>
  <c r="J87" i="8"/>
  <c r="E87" i="8"/>
  <c r="G87" i="8" s="1"/>
  <c r="R86" i="8"/>
  <c r="N86" i="8"/>
  <c r="K86" i="8"/>
  <c r="L86" i="8" s="1"/>
  <c r="J86" i="8"/>
  <c r="E86" i="8"/>
  <c r="G86" i="8" s="1"/>
  <c r="R85" i="8"/>
  <c r="N85" i="8"/>
  <c r="K85" i="8"/>
  <c r="L85" i="8" s="1"/>
  <c r="J85" i="8"/>
  <c r="E85" i="8"/>
  <c r="G85" i="8" s="1"/>
  <c r="R84" i="8"/>
  <c r="N84" i="8"/>
  <c r="L84" i="8"/>
  <c r="K84" i="8"/>
  <c r="J84" i="8"/>
  <c r="E84" i="8"/>
  <c r="G84" i="8" s="1"/>
  <c r="R83" i="8"/>
  <c r="N83" i="8"/>
  <c r="N90" i="8" s="1"/>
  <c r="Q13" i="8" s="1"/>
  <c r="R13" i="8" s="1"/>
  <c r="K83" i="8"/>
  <c r="J83" i="8"/>
  <c r="J90" i="8" s="1"/>
  <c r="E83" i="8"/>
  <c r="R82" i="8"/>
  <c r="R81" i="8"/>
  <c r="N81" i="8"/>
  <c r="K81" i="8"/>
  <c r="L81" i="8" s="1"/>
  <c r="J81" i="8"/>
  <c r="E81" i="8"/>
  <c r="G81" i="8" s="1"/>
  <c r="R80" i="8"/>
  <c r="N80" i="8"/>
  <c r="K80" i="8"/>
  <c r="L80" i="8" s="1"/>
  <c r="J80" i="8"/>
  <c r="E80" i="8"/>
  <c r="G80" i="8" s="1"/>
  <c r="R79" i="8"/>
  <c r="N79" i="8"/>
  <c r="K79" i="8"/>
  <c r="L79" i="8" s="1"/>
  <c r="J79" i="8"/>
  <c r="E79" i="8"/>
  <c r="G79" i="8" s="1"/>
  <c r="R78" i="8"/>
  <c r="N78" i="8"/>
  <c r="K78" i="8"/>
  <c r="L78" i="8" s="1"/>
  <c r="J78" i="8"/>
  <c r="E78" i="8"/>
  <c r="G78" i="8" s="1"/>
  <c r="R77" i="8"/>
  <c r="N77" i="8"/>
  <c r="K77" i="8"/>
  <c r="L77" i="8" s="1"/>
  <c r="J77" i="8"/>
  <c r="E77" i="8"/>
  <c r="G77" i="8" s="1"/>
  <c r="R76" i="8"/>
  <c r="N76" i="8"/>
  <c r="K76" i="8"/>
  <c r="L76" i="8" s="1"/>
  <c r="J76" i="8"/>
  <c r="E76" i="8"/>
  <c r="G76" i="8" s="1"/>
  <c r="R75" i="8"/>
  <c r="N75" i="8"/>
  <c r="N82" i="8" s="1"/>
  <c r="Q12" i="8" s="1"/>
  <c r="R12" i="8" s="1"/>
  <c r="K75" i="8"/>
  <c r="J75" i="8"/>
  <c r="J82" i="8" s="1"/>
  <c r="E75" i="8"/>
  <c r="R74" i="8"/>
  <c r="R73" i="8"/>
  <c r="N73" i="8"/>
  <c r="L73" i="8"/>
  <c r="K73" i="8"/>
  <c r="J73" i="8"/>
  <c r="G73" i="8"/>
  <c r="E73" i="8"/>
  <c r="R72" i="8"/>
  <c r="N72" i="8"/>
  <c r="K72" i="8"/>
  <c r="L72" i="8" s="1"/>
  <c r="J72" i="8"/>
  <c r="E72" i="8"/>
  <c r="G72" i="8" s="1"/>
  <c r="R71" i="8"/>
  <c r="N71" i="8"/>
  <c r="J71" i="8"/>
  <c r="L71" i="8" s="1"/>
  <c r="G71" i="8"/>
  <c r="R70" i="8"/>
  <c r="N70" i="8"/>
  <c r="K70" i="8"/>
  <c r="L70" i="8" s="1"/>
  <c r="J70" i="8"/>
  <c r="E70" i="8"/>
  <c r="G70" i="8" s="1"/>
  <c r="R69" i="8"/>
  <c r="N69" i="8"/>
  <c r="K69" i="8"/>
  <c r="L69" i="8" s="1"/>
  <c r="J69" i="8"/>
  <c r="E69" i="8"/>
  <c r="G69" i="8" s="1"/>
  <c r="R68" i="8"/>
  <c r="N68" i="8"/>
  <c r="K68" i="8"/>
  <c r="J68" i="8"/>
  <c r="E68" i="8"/>
  <c r="G68" i="8" s="1"/>
  <c r="R67" i="8"/>
  <c r="N67" i="8"/>
  <c r="N74" i="8" s="1"/>
  <c r="Q11" i="8" s="1"/>
  <c r="R11" i="8" s="1"/>
  <c r="K67" i="8"/>
  <c r="L67" i="8" s="1"/>
  <c r="J67" i="8"/>
  <c r="J74" i="8" s="1"/>
  <c r="E67" i="8"/>
  <c r="R66" i="8"/>
  <c r="F66" i="8"/>
  <c r="R65" i="8"/>
  <c r="N65" i="8"/>
  <c r="K65" i="8"/>
  <c r="L65" i="8" s="1"/>
  <c r="J65" i="8"/>
  <c r="E65" i="8"/>
  <c r="G65" i="8" s="1"/>
  <c r="R64" i="8"/>
  <c r="N64" i="8"/>
  <c r="K64" i="8"/>
  <c r="L64" i="8" s="1"/>
  <c r="J64" i="8"/>
  <c r="E64" i="8"/>
  <c r="G64" i="8" s="1"/>
  <c r="R63" i="8"/>
  <c r="N63" i="8"/>
  <c r="K63" i="8"/>
  <c r="L63" i="8" s="1"/>
  <c r="J63" i="8"/>
  <c r="G63" i="8"/>
  <c r="E63" i="8"/>
  <c r="R62" i="8"/>
  <c r="N62" i="8"/>
  <c r="K62" i="8"/>
  <c r="L62" i="8" s="1"/>
  <c r="J62" i="8"/>
  <c r="G62" i="8"/>
  <c r="E62" i="8"/>
  <c r="R61" i="8"/>
  <c r="N61" i="8"/>
  <c r="L61" i="8"/>
  <c r="K61" i="8"/>
  <c r="J61" i="8"/>
  <c r="E61" i="8"/>
  <c r="G61" i="8" s="1"/>
  <c r="N60" i="8"/>
  <c r="K60" i="8"/>
  <c r="L60" i="8" s="1"/>
  <c r="J60" i="8"/>
  <c r="E60" i="8"/>
  <c r="G60" i="8" s="1"/>
  <c r="R59" i="8"/>
  <c r="N59" i="8"/>
  <c r="K59" i="8"/>
  <c r="L59" i="8" s="1"/>
  <c r="J59" i="8"/>
  <c r="E59" i="8"/>
  <c r="G59" i="8" s="1"/>
  <c r="R58" i="8"/>
  <c r="N58" i="8"/>
  <c r="K58" i="8"/>
  <c r="L58" i="8" s="1"/>
  <c r="J58" i="8"/>
  <c r="E58" i="8"/>
  <c r="G58" i="8" s="1"/>
  <c r="R57" i="8"/>
  <c r="N57" i="8"/>
  <c r="N66" i="8" s="1"/>
  <c r="Q10" i="8" s="1"/>
  <c r="R10" i="8" s="1"/>
  <c r="K57" i="8"/>
  <c r="J57" i="8"/>
  <c r="J66" i="8" s="1"/>
  <c r="E57" i="8"/>
  <c r="R56" i="8"/>
  <c r="R55" i="8"/>
  <c r="N55" i="8"/>
  <c r="K55" i="8"/>
  <c r="L55" i="8" s="1"/>
  <c r="J55" i="8"/>
  <c r="E55" i="8"/>
  <c r="G55" i="8" s="1"/>
  <c r="R54" i="8"/>
  <c r="N54" i="8"/>
  <c r="K54" i="8"/>
  <c r="L54" i="8" s="1"/>
  <c r="J54" i="8"/>
  <c r="E54" i="8"/>
  <c r="G54" i="8" s="1"/>
  <c r="N53" i="8"/>
  <c r="K53" i="8"/>
  <c r="L53" i="8" s="1"/>
  <c r="J53" i="8"/>
  <c r="E53" i="8"/>
  <c r="G53" i="8" s="1"/>
  <c r="R52" i="8"/>
  <c r="N52" i="8"/>
  <c r="K52" i="8"/>
  <c r="L52" i="8" s="1"/>
  <c r="J52" i="8"/>
  <c r="E52" i="8"/>
  <c r="G52" i="8" s="1"/>
  <c r="R51" i="8"/>
  <c r="N51" i="8"/>
  <c r="K51" i="8"/>
  <c r="L51" i="8" s="1"/>
  <c r="J51" i="8"/>
  <c r="E51" i="8"/>
  <c r="G51" i="8" s="1"/>
  <c r="R50" i="8"/>
  <c r="N50" i="8"/>
  <c r="K50" i="8"/>
  <c r="L50" i="8" s="1"/>
  <c r="J50" i="8"/>
  <c r="E50" i="8"/>
  <c r="G50" i="8" s="1"/>
  <c r="R49" i="8"/>
  <c r="N49" i="8"/>
  <c r="K49" i="8"/>
  <c r="J49" i="8"/>
  <c r="L49" i="8" s="1"/>
  <c r="E49" i="8"/>
  <c r="G49" i="8" s="1"/>
  <c r="R48" i="8"/>
  <c r="N48" i="8"/>
  <c r="K48" i="8"/>
  <c r="L48" i="8" s="1"/>
  <c r="J48" i="8"/>
  <c r="E48" i="8"/>
  <c r="G48" i="8" s="1"/>
  <c r="R47" i="8"/>
  <c r="N47" i="8"/>
  <c r="K47" i="8"/>
  <c r="L47" i="8" s="1"/>
  <c r="J47" i="8"/>
  <c r="E47" i="8"/>
  <c r="G47" i="8" s="1"/>
  <c r="R46" i="8"/>
  <c r="N46" i="8"/>
  <c r="N56" i="8" s="1"/>
  <c r="Q8" i="8" s="1"/>
  <c r="R8" i="8" s="1"/>
  <c r="K46" i="8"/>
  <c r="J46" i="8"/>
  <c r="J56" i="8" s="1"/>
  <c r="E46" i="8"/>
  <c r="R45" i="8"/>
  <c r="F45" i="8"/>
  <c r="R44" i="8"/>
  <c r="N44" i="8"/>
  <c r="K44" i="8"/>
  <c r="L44" i="8" s="1"/>
  <c r="J44" i="8"/>
  <c r="E44" i="8"/>
  <c r="G44" i="8" s="1"/>
  <c r="N43" i="8"/>
  <c r="K43" i="8"/>
  <c r="J43" i="8"/>
  <c r="L43" i="8" s="1"/>
  <c r="E43" i="8"/>
  <c r="G43" i="8" s="1"/>
  <c r="R42" i="8"/>
  <c r="N42" i="8"/>
  <c r="K42" i="8"/>
  <c r="L42" i="8" s="1"/>
  <c r="J42" i="8"/>
  <c r="E42" i="8"/>
  <c r="G42" i="8" s="1"/>
  <c r="R41" i="8"/>
  <c r="N41" i="8"/>
  <c r="K41" i="8"/>
  <c r="L41" i="8" s="1"/>
  <c r="J41" i="8"/>
  <c r="E41" i="8"/>
  <c r="G41" i="8" s="1"/>
  <c r="R40" i="8"/>
  <c r="N40" i="8"/>
  <c r="K40" i="8"/>
  <c r="L40" i="8" s="1"/>
  <c r="J40" i="8"/>
  <c r="E40" i="8"/>
  <c r="G40" i="8" s="1"/>
  <c r="R39" i="8"/>
  <c r="N39" i="8"/>
  <c r="K39" i="8"/>
  <c r="L39" i="8" s="1"/>
  <c r="J39" i="8"/>
  <c r="E39" i="8"/>
  <c r="G39" i="8" s="1"/>
  <c r="R38" i="8"/>
  <c r="N38" i="8"/>
  <c r="K38" i="8"/>
  <c r="L38" i="8" s="1"/>
  <c r="J38" i="8"/>
  <c r="E38" i="8"/>
  <c r="G38" i="8" s="1"/>
  <c r="R37" i="8"/>
  <c r="N37" i="8"/>
  <c r="N45" i="8" s="1"/>
  <c r="Q7" i="8" s="1"/>
  <c r="R7" i="8" s="1"/>
  <c r="K37" i="8"/>
  <c r="J37" i="8"/>
  <c r="J45" i="8" s="1"/>
  <c r="E37" i="8"/>
  <c r="R36" i="8"/>
  <c r="R35" i="8"/>
  <c r="N35" i="8"/>
  <c r="K35" i="8"/>
  <c r="L35" i="8" s="1"/>
  <c r="J35" i="8"/>
  <c r="G35" i="8"/>
  <c r="R34" i="8"/>
  <c r="N34" i="8"/>
  <c r="K34" i="8"/>
  <c r="L34" i="8" s="1"/>
  <c r="J34" i="8"/>
  <c r="E34" i="8"/>
  <c r="G34" i="8" s="1"/>
  <c r="R33" i="8"/>
  <c r="N33" i="8"/>
  <c r="K33" i="8"/>
  <c r="L33" i="8" s="1"/>
  <c r="J33" i="8"/>
  <c r="E33" i="8"/>
  <c r="G33" i="8" s="1"/>
  <c r="R32" i="8"/>
  <c r="N32" i="8"/>
  <c r="K32" i="8"/>
  <c r="L32" i="8" s="1"/>
  <c r="J32" i="8"/>
  <c r="E32" i="8"/>
  <c r="G32" i="8" s="1"/>
  <c r="R31" i="8"/>
  <c r="N31" i="8"/>
  <c r="K31" i="8"/>
  <c r="L31" i="8" s="1"/>
  <c r="J31" i="8"/>
  <c r="E31" i="8"/>
  <c r="G31" i="8" s="1"/>
  <c r="R30" i="8"/>
  <c r="N30" i="8"/>
  <c r="K30" i="8"/>
  <c r="L30" i="8" s="1"/>
  <c r="J30" i="8"/>
  <c r="E30" i="8"/>
  <c r="G30" i="8" s="1"/>
  <c r="R29" i="8"/>
  <c r="N29" i="8"/>
  <c r="N36" i="8" s="1"/>
  <c r="Q6" i="8" s="1"/>
  <c r="R6" i="8" s="1"/>
  <c r="K29" i="8"/>
  <c r="J29" i="8"/>
  <c r="J36" i="8" s="1"/>
  <c r="E29" i="8"/>
  <c r="F28" i="8"/>
  <c r="R27" i="8"/>
  <c r="N27" i="8"/>
  <c r="K27" i="8"/>
  <c r="L27" i="8" s="1"/>
  <c r="J27" i="8"/>
  <c r="E27" i="8"/>
  <c r="G27" i="8" s="1"/>
  <c r="R26" i="8"/>
  <c r="N26" i="8"/>
  <c r="K26" i="8"/>
  <c r="L26" i="8" s="1"/>
  <c r="J26" i="8"/>
  <c r="E26" i="8"/>
  <c r="G26" i="8" s="1"/>
  <c r="R25" i="8"/>
  <c r="N25" i="8"/>
  <c r="K25" i="8"/>
  <c r="L25" i="8" s="1"/>
  <c r="J25" i="8"/>
  <c r="E25" i="8"/>
  <c r="G25" i="8" s="1"/>
  <c r="R24" i="8"/>
  <c r="N24" i="8"/>
  <c r="K24" i="8"/>
  <c r="L24" i="8" s="1"/>
  <c r="J24" i="8"/>
  <c r="E24" i="8"/>
  <c r="G24" i="8" s="1"/>
  <c r="N23" i="8"/>
  <c r="K23" i="8"/>
  <c r="L23" i="8" s="1"/>
  <c r="J23" i="8"/>
  <c r="G23" i="8"/>
  <c r="E23" i="8"/>
  <c r="N22" i="8"/>
  <c r="K22" i="8"/>
  <c r="L22" i="8" s="1"/>
  <c r="J22" i="8"/>
  <c r="E22" i="8"/>
  <c r="G22" i="8" s="1"/>
  <c r="N21" i="8"/>
  <c r="K21" i="8"/>
  <c r="L21" i="8" s="1"/>
  <c r="J21" i="8"/>
  <c r="E21" i="8"/>
  <c r="G21" i="8" s="1"/>
  <c r="N20" i="8"/>
  <c r="N28" i="8" s="1"/>
  <c r="Q5" i="8" s="1"/>
  <c r="R5" i="8" s="1"/>
  <c r="K20" i="8"/>
  <c r="J20" i="8"/>
  <c r="J28" i="8" s="1"/>
  <c r="E20" i="8"/>
  <c r="F19" i="8"/>
  <c r="N18" i="8"/>
  <c r="K18" i="8"/>
  <c r="J18" i="8"/>
  <c r="L18" i="8" s="1"/>
  <c r="E18" i="8"/>
  <c r="G18" i="8" s="1"/>
  <c r="N17" i="8"/>
  <c r="K17" i="8"/>
  <c r="L17" i="8" s="1"/>
  <c r="J17" i="8"/>
  <c r="E17" i="8"/>
  <c r="G17" i="8" s="1"/>
  <c r="N16" i="8"/>
  <c r="K16" i="8"/>
  <c r="L16" i="8" s="1"/>
  <c r="J16" i="8"/>
  <c r="E16" i="8"/>
  <c r="G16" i="8" s="1"/>
  <c r="N15" i="8"/>
  <c r="K15" i="8"/>
  <c r="L15" i="8" s="1"/>
  <c r="J15" i="8"/>
  <c r="J19" i="8" s="1"/>
  <c r="E15" i="8"/>
  <c r="N14" i="8"/>
  <c r="N19" i="8" s="1"/>
  <c r="Q4" i="8" s="1"/>
  <c r="R4" i="8" s="1"/>
  <c r="K14" i="8"/>
  <c r="J14" i="8"/>
  <c r="E14" i="8"/>
  <c r="G14" i="8" s="1"/>
  <c r="N13" i="8"/>
  <c r="K13" i="8"/>
  <c r="L13" i="8" s="1"/>
  <c r="J13" i="8"/>
  <c r="E13" i="8"/>
  <c r="G13" i="8" s="1"/>
  <c r="N12" i="8"/>
  <c r="K12" i="8"/>
  <c r="L12" i="8" s="1"/>
  <c r="J12" i="8"/>
  <c r="E12" i="8"/>
  <c r="G12" i="8" s="1"/>
  <c r="F11" i="8"/>
  <c r="N10" i="8"/>
  <c r="K10" i="8"/>
  <c r="L10" i="8" s="1"/>
  <c r="J10" i="8"/>
  <c r="E10" i="8"/>
  <c r="G10" i="8" s="1"/>
  <c r="N9" i="8"/>
  <c r="L9" i="8"/>
  <c r="E9" i="8"/>
  <c r="G9" i="8" s="1"/>
  <c r="N8" i="8"/>
  <c r="K8" i="8"/>
  <c r="L8" i="8" s="1"/>
  <c r="J8" i="8"/>
  <c r="E8" i="8"/>
  <c r="G8" i="8" s="1"/>
  <c r="N7" i="8"/>
  <c r="K7" i="8"/>
  <c r="L7" i="8" s="1"/>
  <c r="J7" i="8"/>
  <c r="E7" i="8"/>
  <c r="G7" i="8" s="1"/>
  <c r="N6" i="8"/>
  <c r="K6" i="8"/>
  <c r="L6" i="8" s="1"/>
  <c r="J6" i="8"/>
  <c r="E6" i="8"/>
  <c r="G6" i="8" s="1"/>
  <c r="N5" i="8"/>
  <c r="K5" i="8"/>
  <c r="L5" i="8" s="1"/>
  <c r="J5" i="8"/>
  <c r="E5" i="8"/>
  <c r="G5" i="8" s="1"/>
  <c r="O4" i="8"/>
  <c r="O5" i="8" s="1"/>
  <c r="O6" i="8" s="1"/>
  <c r="O7" i="8" s="1"/>
  <c r="O8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N4" i="8"/>
  <c r="K4" i="8"/>
  <c r="L4" i="8" s="1"/>
  <c r="J4" i="8"/>
  <c r="E4" i="8"/>
  <c r="G4" i="8" s="1"/>
  <c r="N3" i="8"/>
  <c r="N11" i="8" s="1"/>
  <c r="K3" i="8"/>
  <c r="J3" i="8"/>
  <c r="J11" i="8" s="1"/>
  <c r="E3" i="8"/>
  <c r="P2" i="8"/>
  <c r="F264" i="7"/>
  <c r="N263" i="7"/>
  <c r="K263" i="7"/>
  <c r="L263" i="7" s="1"/>
  <c r="J263" i="7"/>
  <c r="E263" i="7"/>
  <c r="G263" i="7" s="1"/>
  <c r="N262" i="7"/>
  <c r="K262" i="7"/>
  <c r="L262" i="7" s="1"/>
  <c r="J262" i="7"/>
  <c r="E262" i="7"/>
  <c r="G262" i="7" s="1"/>
  <c r="N261" i="7"/>
  <c r="K261" i="7"/>
  <c r="L261" i="7" s="1"/>
  <c r="J261" i="7"/>
  <c r="E261" i="7"/>
  <c r="G261" i="7" s="1"/>
  <c r="N260" i="7"/>
  <c r="K260" i="7"/>
  <c r="L260" i="7" s="1"/>
  <c r="J260" i="7"/>
  <c r="E260" i="7"/>
  <c r="G260" i="7" s="1"/>
  <c r="N259" i="7"/>
  <c r="K259" i="7"/>
  <c r="L259" i="7" s="1"/>
  <c r="J259" i="7"/>
  <c r="E259" i="7"/>
  <c r="G259" i="7" s="1"/>
  <c r="N258" i="7"/>
  <c r="N264" i="7" s="1"/>
  <c r="Q205" i="7" s="1"/>
  <c r="K258" i="7"/>
  <c r="J258" i="7"/>
  <c r="J264" i="7" s="1"/>
  <c r="E258" i="7"/>
  <c r="N257" i="7"/>
  <c r="F257" i="7"/>
  <c r="K256" i="7"/>
  <c r="L256" i="7" s="1"/>
  <c r="J256" i="7"/>
  <c r="E256" i="7"/>
  <c r="G256" i="7" s="1"/>
  <c r="K255" i="7"/>
  <c r="L255" i="7" s="1"/>
  <c r="J255" i="7"/>
  <c r="E255" i="7"/>
  <c r="G255" i="7" s="1"/>
  <c r="K254" i="7"/>
  <c r="L254" i="7" s="1"/>
  <c r="J254" i="7"/>
  <c r="E254" i="7"/>
  <c r="G254" i="7" s="1"/>
  <c r="K253" i="7"/>
  <c r="L253" i="7" s="1"/>
  <c r="J253" i="7"/>
  <c r="E253" i="7"/>
  <c r="G253" i="7" s="1"/>
  <c r="K252" i="7"/>
  <c r="L252" i="7" s="1"/>
  <c r="J252" i="7"/>
  <c r="E252" i="7"/>
  <c r="G252" i="7" s="1"/>
  <c r="K251" i="7"/>
  <c r="J251" i="7"/>
  <c r="J257" i="7" s="1"/>
  <c r="E251" i="7"/>
  <c r="F250" i="7"/>
  <c r="N249" i="7"/>
  <c r="K249" i="7"/>
  <c r="L249" i="7" s="1"/>
  <c r="J249" i="7"/>
  <c r="E249" i="7"/>
  <c r="G249" i="7" s="1"/>
  <c r="N248" i="7"/>
  <c r="N250" i="7" s="1"/>
  <c r="Q206" i="7" s="1"/>
  <c r="K248" i="7"/>
  <c r="L248" i="7" s="1"/>
  <c r="J248" i="7"/>
  <c r="K247" i="7"/>
  <c r="L247" i="7" s="1"/>
  <c r="J247" i="7"/>
  <c r="E247" i="7"/>
  <c r="G247" i="7" s="1"/>
  <c r="K246" i="7"/>
  <c r="L246" i="7" s="1"/>
  <c r="J246" i="7"/>
  <c r="E246" i="7"/>
  <c r="G246" i="7" s="1"/>
  <c r="K245" i="7"/>
  <c r="L245" i="7" s="1"/>
  <c r="J245" i="7"/>
  <c r="E245" i="7"/>
  <c r="G245" i="7" s="1"/>
  <c r="K244" i="7"/>
  <c r="L244" i="7" s="1"/>
  <c r="J244" i="7"/>
  <c r="E244" i="7"/>
  <c r="G244" i="7" s="1"/>
  <c r="K243" i="7"/>
  <c r="J243" i="7"/>
  <c r="E243" i="7"/>
  <c r="G243" i="7" s="1"/>
  <c r="J242" i="7"/>
  <c r="E242" i="7"/>
  <c r="F241" i="7"/>
  <c r="N240" i="7"/>
  <c r="K240" i="7"/>
  <c r="L240" i="7" s="1"/>
  <c r="J240" i="7"/>
  <c r="E240" i="7"/>
  <c r="G240" i="7" s="1"/>
  <c r="N239" i="7"/>
  <c r="N241" i="7" s="1"/>
  <c r="Q208" i="7" s="1"/>
  <c r="K239" i="7"/>
  <c r="L239" i="7" s="1"/>
  <c r="J239" i="7"/>
  <c r="E239" i="7"/>
  <c r="G239" i="7" s="1"/>
  <c r="K238" i="7"/>
  <c r="L238" i="7" s="1"/>
  <c r="J238" i="7"/>
  <c r="E238" i="7"/>
  <c r="G238" i="7" s="1"/>
  <c r="K237" i="7"/>
  <c r="L237" i="7" s="1"/>
  <c r="J237" i="7"/>
  <c r="E237" i="7"/>
  <c r="G237" i="7" s="1"/>
  <c r="K236" i="7"/>
  <c r="J236" i="7"/>
  <c r="J241" i="7" s="1"/>
  <c r="E236" i="7"/>
  <c r="F235" i="7"/>
  <c r="K234" i="7"/>
  <c r="J234" i="7"/>
  <c r="E234" i="7"/>
  <c r="G234" i="7" s="1"/>
  <c r="N233" i="7"/>
  <c r="K233" i="7"/>
  <c r="L233" i="7" s="1"/>
  <c r="J233" i="7"/>
  <c r="E233" i="7"/>
  <c r="G233" i="7" s="1"/>
  <c r="N232" i="7"/>
  <c r="K232" i="7"/>
  <c r="L232" i="7" s="1"/>
  <c r="J232" i="7"/>
  <c r="E232" i="7"/>
  <c r="G232" i="7" s="1"/>
  <c r="N231" i="7"/>
  <c r="K231" i="7"/>
  <c r="L231" i="7" s="1"/>
  <c r="J231" i="7"/>
  <c r="E231" i="7"/>
  <c r="G231" i="7" s="1"/>
  <c r="N230" i="7"/>
  <c r="K230" i="7"/>
  <c r="J230" i="7"/>
  <c r="J235" i="7" s="1"/>
  <c r="E230" i="7"/>
  <c r="F229" i="7"/>
  <c r="N228" i="7"/>
  <c r="K228" i="7"/>
  <c r="L228" i="7" s="1"/>
  <c r="J228" i="7"/>
  <c r="E228" i="7"/>
  <c r="G228" i="7" s="1"/>
  <c r="N227" i="7"/>
  <c r="K227" i="7"/>
  <c r="L227" i="7" s="1"/>
  <c r="J227" i="7"/>
  <c r="E227" i="7"/>
  <c r="G227" i="7" s="1"/>
  <c r="N226" i="7"/>
  <c r="K226" i="7"/>
  <c r="L226" i="7" s="1"/>
  <c r="J226" i="7"/>
  <c r="J229" i="7" s="1"/>
  <c r="E226" i="7"/>
  <c r="G226" i="7" s="1"/>
  <c r="K225" i="7"/>
  <c r="E225" i="7"/>
  <c r="N224" i="7"/>
  <c r="K224" i="7"/>
  <c r="G224" i="7"/>
  <c r="G229" i="7" s="1"/>
  <c r="F223" i="7"/>
  <c r="N222" i="7"/>
  <c r="K222" i="7"/>
  <c r="L222" i="7" s="1"/>
  <c r="J222" i="7"/>
  <c r="E222" i="7"/>
  <c r="G222" i="7" s="1"/>
  <c r="K221" i="7"/>
  <c r="J221" i="7"/>
  <c r="E221" i="7"/>
  <c r="G221" i="7" s="1"/>
  <c r="K220" i="7"/>
  <c r="J220" i="7"/>
  <c r="E220" i="7"/>
  <c r="G220" i="7" s="1"/>
  <c r="K219" i="7"/>
  <c r="J219" i="7"/>
  <c r="E219" i="7"/>
  <c r="G219" i="7" s="1"/>
  <c r="K218" i="7"/>
  <c r="J218" i="7"/>
  <c r="J223" i="7" s="1"/>
  <c r="E218" i="7"/>
  <c r="F217" i="7"/>
  <c r="N216" i="7"/>
  <c r="K216" i="7"/>
  <c r="L216" i="7" s="1"/>
  <c r="J216" i="7"/>
  <c r="E216" i="7"/>
  <c r="G216" i="7" s="1"/>
  <c r="N215" i="7"/>
  <c r="K215" i="7"/>
  <c r="L215" i="7" s="1"/>
  <c r="J215" i="7"/>
  <c r="E215" i="7"/>
  <c r="G215" i="7" s="1"/>
  <c r="N214" i="7"/>
  <c r="K214" i="7"/>
  <c r="J214" i="7"/>
  <c r="E214" i="7"/>
  <c r="G214" i="7" s="1"/>
  <c r="N213" i="7"/>
  <c r="J213" i="7"/>
  <c r="L213" i="7" s="1"/>
  <c r="E213" i="7"/>
  <c r="G213" i="7" s="1"/>
  <c r="N212" i="7"/>
  <c r="N217" i="7" s="1"/>
  <c r="Q201" i="7" s="1"/>
  <c r="J212" i="7"/>
  <c r="E212" i="7"/>
  <c r="F211" i="7"/>
  <c r="N210" i="7"/>
  <c r="K210" i="7"/>
  <c r="L210" i="7" s="1"/>
  <c r="J210" i="7"/>
  <c r="E210" i="7"/>
  <c r="G210" i="7" s="1"/>
  <c r="N209" i="7"/>
  <c r="K209" i="7"/>
  <c r="L209" i="7" s="1"/>
  <c r="J209" i="7"/>
  <c r="E209" i="7"/>
  <c r="G209" i="7" s="1"/>
  <c r="N208" i="7"/>
  <c r="K208" i="7"/>
  <c r="L208" i="7" s="1"/>
  <c r="J208" i="7"/>
  <c r="E208" i="7"/>
  <c r="G208" i="7" s="1"/>
  <c r="Q207" i="7"/>
  <c r="N207" i="7"/>
  <c r="K207" i="7"/>
  <c r="L207" i="7" s="1"/>
  <c r="J207" i="7"/>
  <c r="E207" i="7"/>
  <c r="G207" i="7" s="1"/>
  <c r="N206" i="7"/>
  <c r="N211" i="7" s="1"/>
  <c r="Q200" i="7" s="1"/>
  <c r="K206" i="7"/>
  <c r="J206" i="7"/>
  <c r="J211" i="7" s="1"/>
  <c r="E206" i="7"/>
  <c r="F205" i="7"/>
  <c r="K204" i="7"/>
  <c r="J204" i="7"/>
  <c r="E204" i="7"/>
  <c r="G204" i="7" s="1"/>
  <c r="K203" i="7"/>
  <c r="J203" i="7"/>
  <c r="E203" i="7"/>
  <c r="G203" i="7" s="1"/>
  <c r="K202" i="7"/>
  <c r="J202" i="7"/>
  <c r="E202" i="7"/>
  <c r="G202" i="7" s="1"/>
  <c r="K201" i="7"/>
  <c r="J201" i="7"/>
  <c r="E201" i="7"/>
  <c r="G201" i="7" s="1"/>
  <c r="N200" i="7"/>
  <c r="J200" i="7"/>
  <c r="E200" i="7"/>
  <c r="R196" i="7"/>
  <c r="Q195" i="7"/>
  <c r="R195" i="7" s="1"/>
  <c r="R194" i="7"/>
  <c r="N194" i="7"/>
  <c r="J194" i="7"/>
  <c r="L194" i="7" s="1"/>
  <c r="E194" i="7"/>
  <c r="G194" i="7" s="1"/>
  <c r="N193" i="7"/>
  <c r="J193" i="7"/>
  <c r="L193" i="7" s="1"/>
  <c r="E193" i="7"/>
  <c r="G193" i="7" s="1"/>
  <c r="N192" i="7"/>
  <c r="J192" i="7"/>
  <c r="L192" i="7" s="1"/>
  <c r="E192" i="7"/>
  <c r="G192" i="7" s="1"/>
  <c r="N191" i="7"/>
  <c r="J191" i="7"/>
  <c r="L191" i="7" s="1"/>
  <c r="E191" i="7"/>
  <c r="G191" i="7" s="1"/>
  <c r="N190" i="7"/>
  <c r="J190" i="7"/>
  <c r="L190" i="7" s="1"/>
  <c r="E190" i="7"/>
  <c r="G190" i="7" s="1"/>
  <c r="N189" i="7"/>
  <c r="J189" i="7"/>
  <c r="L189" i="7" s="1"/>
  <c r="E189" i="7"/>
  <c r="G189" i="7" s="1"/>
  <c r="K188" i="7"/>
  <c r="J188" i="7"/>
  <c r="E188" i="7"/>
  <c r="G188" i="7" s="1"/>
  <c r="R186" i="7"/>
  <c r="N186" i="7"/>
  <c r="J186" i="7"/>
  <c r="L186" i="7" s="1"/>
  <c r="E186" i="7"/>
  <c r="G186" i="7" s="1"/>
  <c r="R185" i="7"/>
  <c r="N185" i="7"/>
  <c r="J185" i="7"/>
  <c r="L185" i="7" s="1"/>
  <c r="E185" i="7"/>
  <c r="G185" i="7" s="1"/>
  <c r="R184" i="7"/>
  <c r="N184" i="7"/>
  <c r="J184" i="7"/>
  <c r="L184" i="7" s="1"/>
  <c r="E184" i="7"/>
  <c r="G184" i="7" s="1"/>
  <c r="R183" i="7"/>
  <c r="N183" i="7"/>
  <c r="J183" i="7"/>
  <c r="L183" i="7" s="1"/>
  <c r="E183" i="7"/>
  <c r="G183" i="7" s="1"/>
  <c r="R182" i="7"/>
  <c r="K182" i="7"/>
  <c r="J182" i="7"/>
  <c r="E182" i="7"/>
  <c r="G182" i="7" s="1"/>
  <c r="R181" i="7"/>
  <c r="K181" i="7"/>
  <c r="J181" i="7"/>
  <c r="E181" i="7"/>
  <c r="G181" i="7" s="1"/>
  <c r="R180" i="7"/>
  <c r="K180" i="7"/>
  <c r="J180" i="7"/>
  <c r="E180" i="7"/>
  <c r="F179" i="7"/>
  <c r="F187" i="7" s="1"/>
  <c r="F195" i="7" s="1"/>
  <c r="N178" i="7"/>
  <c r="J178" i="7"/>
  <c r="L178" i="7" s="1"/>
  <c r="E178" i="7"/>
  <c r="G178" i="7" s="1"/>
  <c r="N177" i="7"/>
  <c r="J177" i="7"/>
  <c r="L177" i="7" s="1"/>
  <c r="E177" i="7"/>
  <c r="G177" i="7" s="1"/>
  <c r="N176" i="7"/>
  <c r="J176" i="7"/>
  <c r="L176" i="7" s="1"/>
  <c r="E176" i="7"/>
  <c r="G176" i="7" s="1"/>
  <c r="N175" i="7"/>
  <c r="J175" i="7"/>
  <c r="L175" i="7" s="1"/>
  <c r="E175" i="7"/>
  <c r="G175" i="7" s="1"/>
  <c r="N174" i="7"/>
  <c r="J174" i="7"/>
  <c r="E174" i="7"/>
  <c r="N173" i="7"/>
  <c r="J173" i="7"/>
  <c r="L173" i="7" s="1"/>
  <c r="E173" i="7"/>
  <c r="G173" i="7" s="1"/>
  <c r="K172" i="7"/>
  <c r="J172" i="7"/>
  <c r="E172" i="7"/>
  <c r="G172" i="7" s="1"/>
  <c r="K171" i="7"/>
  <c r="J171" i="7"/>
  <c r="J179" i="7" s="1"/>
  <c r="E171" i="7"/>
  <c r="F170" i="7"/>
  <c r="K169" i="7"/>
  <c r="J169" i="7"/>
  <c r="E169" i="7"/>
  <c r="G169" i="7" s="1"/>
  <c r="K168" i="7"/>
  <c r="J168" i="7"/>
  <c r="E168" i="7"/>
  <c r="G168" i="7" s="1"/>
  <c r="N167" i="7"/>
  <c r="J167" i="7"/>
  <c r="L167" i="7" s="1"/>
  <c r="E167" i="7"/>
  <c r="G167" i="7" s="1"/>
  <c r="N166" i="7"/>
  <c r="J166" i="7"/>
  <c r="L166" i="7" s="1"/>
  <c r="E166" i="7"/>
  <c r="G166" i="7" s="1"/>
  <c r="K165" i="7"/>
  <c r="J165" i="7"/>
  <c r="E165" i="7"/>
  <c r="G165" i="7" s="1"/>
  <c r="K164" i="7"/>
  <c r="J164" i="7"/>
  <c r="E164" i="7"/>
  <c r="G164" i="7" s="1"/>
  <c r="K163" i="7"/>
  <c r="J163" i="7"/>
  <c r="E163" i="7"/>
  <c r="G163" i="7" s="1"/>
  <c r="K162" i="7"/>
  <c r="J162" i="7"/>
  <c r="J170" i="7" s="1"/>
  <c r="E162" i="7"/>
  <c r="R161" i="7"/>
  <c r="F161" i="7"/>
  <c r="R160" i="7"/>
  <c r="N160" i="7"/>
  <c r="J160" i="7"/>
  <c r="L160" i="7" s="1"/>
  <c r="E160" i="7"/>
  <c r="G160" i="7" s="1"/>
  <c r="R159" i="7"/>
  <c r="N159" i="7"/>
  <c r="K159" i="7"/>
  <c r="L159" i="7" s="1"/>
  <c r="J159" i="7"/>
  <c r="E159" i="7"/>
  <c r="G159" i="7" s="1"/>
  <c r="R158" i="7"/>
  <c r="N158" i="7"/>
  <c r="J158" i="7"/>
  <c r="L158" i="7" s="1"/>
  <c r="E158" i="7"/>
  <c r="G158" i="7" s="1"/>
  <c r="R157" i="7"/>
  <c r="N157" i="7"/>
  <c r="J157" i="7"/>
  <c r="L157" i="7" s="1"/>
  <c r="E157" i="7"/>
  <c r="G157" i="7" s="1"/>
  <c r="R156" i="7"/>
  <c r="N156" i="7"/>
  <c r="J156" i="7"/>
  <c r="L156" i="7" s="1"/>
  <c r="E156" i="7"/>
  <c r="G156" i="7" s="1"/>
  <c r="R155" i="7"/>
  <c r="N155" i="7"/>
  <c r="J155" i="7"/>
  <c r="L155" i="7" s="1"/>
  <c r="E155" i="7"/>
  <c r="G155" i="7" s="1"/>
  <c r="R154" i="7"/>
  <c r="K154" i="7"/>
  <c r="J154" i="7"/>
  <c r="E154" i="7"/>
  <c r="G154" i="7" s="1"/>
  <c r="R153" i="7"/>
  <c r="K153" i="7"/>
  <c r="J153" i="7"/>
  <c r="J161" i="7" s="1"/>
  <c r="E153" i="7"/>
  <c r="R152" i="7"/>
  <c r="R151" i="7"/>
  <c r="K151" i="7"/>
  <c r="J151" i="7"/>
  <c r="E151" i="7"/>
  <c r="G151" i="7" s="1"/>
  <c r="R150" i="7"/>
  <c r="N150" i="7"/>
  <c r="K150" i="7"/>
  <c r="L150" i="7" s="1"/>
  <c r="J150" i="7"/>
  <c r="E150" i="7"/>
  <c r="G150" i="7" s="1"/>
  <c r="R149" i="7"/>
  <c r="N149" i="7"/>
  <c r="K149" i="7"/>
  <c r="L149" i="7" s="1"/>
  <c r="J149" i="7"/>
  <c r="E149" i="7"/>
  <c r="G149" i="7" s="1"/>
  <c r="R148" i="7"/>
  <c r="N148" i="7"/>
  <c r="J148" i="7"/>
  <c r="L148" i="7" s="1"/>
  <c r="E148" i="7"/>
  <c r="G148" i="7" s="1"/>
  <c r="R147" i="7"/>
  <c r="N147" i="7"/>
  <c r="J147" i="7"/>
  <c r="L147" i="7" s="1"/>
  <c r="E147" i="7"/>
  <c r="G147" i="7" s="1"/>
  <c r="R146" i="7"/>
  <c r="K146" i="7"/>
  <c r="J146" i="7"/>
  <c r="E146" i="7"/>
  <c r="G146" i="7" s="1"/>
  <c r="R145" i="7"/>
  <c r="K145" i="7"/>
  <c r="J145" i="7"/>
  <c r="E145" i="7"/>
  <c r="G145" i="7" s="1"/>
  <c r="R144" i="7"/>
  <c r="K144" i="7"/>
  <c r="J144" i="7"/>
  <c r="J152" i="7" s="1"/>
  <c r="E144" i="7"/>
  <c r="R143" i="7"/>
  <c r="F143" i="7"/>
  <c r="R142" i="7"/>
  <c r="K142" i="7"/>
  <c r="J142" i="7"/>
  <c r="E142" i="7"/>
  <c r="G142" i="7" s="1"/>
  <c r="R141" i="7"/>
  <c r="N141" i="7"/>
  <c r="K141" i="7"/>
  <c r="J141" i="7"/>
  <c r="E141" i="7"/>
  <c r="G141" i="7" s="1"/>
  <c r="R140" i="7"/>
  <c r="N140" i="7"/>
  <c r="J140" i="7"/>
  <c r="L140" i="7" s="1"/>
  <c r="E140" i="7"/>
  <c r="G140" i="7" s="1"/>
  <c r="R139" i="7"/>
  <c r="N139" i="7"/>
  <c r="J139" i="7"/>
  <c r="E139" i="7"/>
  <c r="G139" i="7" s="1"/>
  <c r="R138" i="7"/>
  <c r="N138" i="7"/>
  <c r="J138" i="7"/>
  <c r="L138" i="7" s="1"/>
  <c r="E138" i="7"/>
  <c r="G138" i="7" s="1"/>
  <c r="R137" i="7"/>
  <c r="N137" i="7"/>
  <c r="J137" i="7"/>
  <c r="L137" i="7" s="1"/>
  <c r="E137" i="7"/>
  <c r="G137" i="7" s="1"/>
  <c r="R136" i="7"/>
  <c r="N136" i="7"/>
  <c r="J136" i="7"/>
  <c r="L136" i="7" s="1"/>
  <c r="E136" i="7"/>
  <c r="G136" i="7" s="1"/>
  <c r="R135" i="7"/>
  <c r="N135" i="7"/>
  <c r="J135" i="7"/>
  <c r="E135" i="7"/>
  <c r="R134" i="7"/>
  <c r="F134" i="7"/>
  <c r="R133" i="7"/>
  <c r="N133" i="7"/>
  <c r="J133" i="7"/>
  <c r="L133" i="7" s="1"/>
  <c r="E133" i="7"/>
  <c r="G133" i="7" s="1"/>
  <c r="R132" i="7"/>
  <c r="N132" i="7"/>
  <c r="J132" i="7"/>
  <c r="L132" i="7" s="1"/>
  <c r="E132" i="7"/>
  <c r="G132" i="7" s="1"/>
  <c r="R131" i="7"/>
  <c r="N131" i="7"/>
  <c r="J131" i="7"/>
  <c r="L131" i="7" s="1"/>
  <c r="E131" i="7"/>
  <c r="G131" i="7" s="1"/>
  <c r="R130" i="7"/>
  <c r="K130" i="7"/>
  <c r="J130" i="7"/>
  <c r="E130" i="7"/>
  <c r="G130" i="7" s="1"/>
  <c r="R129" i="7"/>
  <c r="K129" i="7"/>
  <c r="J129" i="7"/>
  <c r="E129" i="7"/>
  <c r="G129" i="7" s="1"/>
  <c r="R128" i="7"/>
  <c r="K128" i="7"/>
  <c r="J128" i="7"/>
  <c r="E128" i="7"/>
  <c r="G128" i="7" s="1"/>
  <c r="R127" i="7"/>
  <c r="K127" i="7"/>
  <c r="J127" i="7"/>
  <c r="E127" i="7"/>
  <c r="G127" i="7" s="1"/>
  <c r="R126" i="7"/>
  <c r="K126" i="7"/>
  <c r="J126" i="7"/>
  <c r="J134" i="7" s="1"/>
  <c r="E126" i="7"/>
  <c r="R125" i="7"/>
  <c r="F125" i="7"/>
  <c r="R124" i="7"/>
  <c r="N124" i="7"/>
  <c r="K124" i="7"/>
  <c r="L124" i="7" s="1"/>
  <c r="J124" i="7"/>
  <c r="E124" i="7"/>
  <c r="G124" i="7" s="1"/>
  <c r="R123" i="7"/>
  <c r="N123" i="7"/>
  <c r="K123" i="7"/>
  <c r="L123" i="7" s="1"/>
  <c r="J123" i="7"/>
  <c r="E123" i="7"/>
  <c r="G123" i="7" s="1"/>
  <c r="R122" i="7"/>
  <c r="N122" i="7"/>
  <c r="K122" i="7"/>
  <c r="L122" i="7" s="1"/>
  <c r="J122" i="7"/>
  <c r="E122" i="7"/>
  <c r="G122" i="7" s="1"/>
  <c r="R121" i="7"/>
  <c r="N121" i="7"/>
  <c r="K121" i="7"/>
  <c r="L121" i="7" s="1"/>
  <c r="J121" i="7"/>
  <c r="E121" i="7"/>
  <c r="G121" i="7" s="1"/>
  <c r="R120" i="7"/>
  <c r="N120" i="7"/>
  <c r="K120" i="7"/>
  <c r="L120" i="7" s="1"/>
  <c r="J120" i="7"/>
  <c r="E120" i="7"/>
  <c r="G120" i="7" s="1"/>
  <c r="R119" i="7"/>
  <c r="N119" i="7"/>
  <c r="K119" i="7"/>
  <c r="L119" i="7" s="1"/>
  <c r="J119" i="7"/>
  <c r="E119" i="7"/>
  <c r="G119" i="7" s="1"/>
  <c r="R118" i="7"/>
  <c r="N118" i="7"/>
  <c r="N125" i="7" s="1"/>
  <c r="Q17" i="7" s="1"/>
  <c r="R17" i="7" s="1"/>
  <c r="K118" i="7"/>
  <c r="J118" i="7"/>
  <c r="J125" i="7" s="1"/>
  <c r="E118" i="7"/>
  <c r="R117" i="7"/>
  <c r="R116" i="7"/>
  <c r="N116" i="7"/>
  <c r="K116" i="7"/>
  <c r="L116" i="7" s="1"/>
  <c r="J116" i="7"/>
  <c r="E116" i="7"/>
  <c r="G116" i="7" s="1"/>
  <c r="R115" i="7"/>
  <c r="N115" i="7"/>
  <c r="K115" i="7"/>
  <c r="L115" i="7" s="1"/>
  <c r="J115" i="7"/>
  <c r="E115" i="7"/>
  <c r="G115" i="7" s="1"/>
  <c r="R114" i="7"/>
  <c r="N114" i="7"/>
  <c r="K114" i="7"/>
  <c r="L114" i="7" s="1"/>
  <c r="J114" i="7"/>
  <c r="E114" i="7"/>
  <c r="G114" i="7" s="1"/>
  <c r="R113" i="7"/>
  <c r="N113" i="7"/>
  <c r="K113" i="7"/>
  <c r="L113" i="7" s="1"/>
  <c r="J113" i="7"/>
  <c r="E113" i="7"/>
  <c r="G113" i="7" s="1"/>
  <c r="R112" i="7"/>
  <c r="N112" i="7"/>
  <c r="K112" i="7"/>
  <c r="L112" i="7" s="1"/>
  <c r="J112" i="7"/>
  <c r="E112" i="7"/>
  <c r="G112" i="7" s="1"/>
  <c r="R111" i="7"/>
  <c r="N111" i="7"/>
  <c r="K111" i="7"/>
  <c r="L111" i="7" s="1"/>
  <c r="J111" i="7"/>
  <c r="E111" i="7"/>
  <c r="G111" i="7" s="1"/>
  <c r="R110" i="7"/>
  <c r="N110" i="7"/>
  <c r="N117" i="7" s="1"/>
  <c r="K110" i="7"/>
  <c r="J110" i="7"/>
  <c r="J117" i="7" s="1"/>
  <c r="E110" i="7"/>
  <c r="R109" i="7"/>
  <c r="R108" i="7"/>
  <c r="N108" i="7"/>
  <c r="K108" i="7"/>
  <c r="L108" i="7" s="1"/>
  <c r="J108" i="7"/>
  <c r="E108" i="7"/>
  <c r="G108" i="7" s="1"/>
  <c r="R107" i="7"/>
  <c r="N107" i="7"/>
  <c r="K107" i="7"/>
  <c r="L107" i="7" s="1"/>
  <c r="J107" i="7"/>
  <c r="E107" i="7"/>
  <c r="G107" i="7" s="1"/>
  <c r="R106" i="7"/>
  <c r="N106" i="7"/>
  <c r="K106" i="7"/>
  <c r="L106" i="7" s="1"/>
  <c r="J106" i="7"/>
  <c r="E106" i="7"/>
  <c r="G106" i="7" s="1"/>
  <c r="R105" i="7"/>
  <c r="N105" i="7"/>
  <c r="K105" i="7"/>
  <c r="L105" i="7" s="1"/>
  <c r="J105" i="7"/>
  <c r="E105" i="7"/>
  <c r="G105" i="7" s="1"/>
  <c r="R104" i="7"/>
  <c r="N104" i="7"/>
  <c r="K104" i="7"/>
  <c r="L104" i="7" s="1"/>
  <c r="G104" i="7"/>
  <c r="R103" i="7"/>
  <c r="N103" i="7"/>
  <c r="K103" i="7"/>
  <c r="L103" i="7" s="1"/>
  <c r="J103" i="7"/>
  <c r="E103" i="7"/>
  <c r="G103" i="7" s="1"/>
  <c r="R102" i="7"/>
  <c r="N102" i="7"/>
  <c r="N109" i="7" s="1"/>
  <c r="Q15" i="7" s="1"/>
  <c r="R15" i="7" s="1"/>
  <c r="K102" i="7"/>
  <c r="L102" i="7" s="1"/>
  <c r="J102" i="7"/>
  <c r="E102" i="7"/>
  <c r="G102" i="7" s="1"/>
  <c r="R101" i="7"/>
  <c r="R100" i="7"/>
  <c r="N100" i="7"/>
  <c r="K100" i="7"/>
  <c r="L100" i="7" s="1"/>
  <c r="J100" i="7"/>
  <c r="E100" i="7"/>
  <c r="G100" i="7" s="1"/>
  <c r="R99" i="7"/>
  <c r="N99" i="7"/>
  <c r="K99" i="7"/>
  <c r="L99" i="7" s="1"/>
  <c r="J99" i="7"/>
  <c r="E99" i="7"/>
  <c r="G99" i="7" s="1"/>
  <c r="R98" i="7"/>
  <c r="N98" i="7"/>
  <c r="K98" i="7"/>
  <c r="L98" i="7" s="1"/>
  <c r="J98" i="7"/>
  <c r="E98" i="7"/>
  <c r="G98" i="7" s="1"/>
  <c r="R97" i="7"/>
  <c r="N97" i="7"/>
  <c r="K97" i="7"/>
  <c r="L97" i="7" s="1"/>
  <c r="J97" i="7"/>
  <c r="E97" i="7"/>
  <c r="G97" i="7" s="1"/>
  <c r="R96" i="7"/>
  <c r="N96" i="7"/>
  <c r="K96" i="7"/>
  <c r="L96" i="7" s="1"/>
  <c r="J96" i="7"/>
  <c r="E96" i="7"/>
  <c r="G96" i="7" s="1"/>
  <c r="R95" i="7"/>
  <c r="N95" i="7"/>
  <c r="N101" i="7" s="1"/>
  <c r="Q14" i="7" s="1"/>
  <c r="R14" i="7" s="1"/>
  <c r="K95" i="7"/>
  <c r="J95" i="7"/>
  <c r="E95" i="7"/>
  <c r="R94" i="7"/>
  <c r="F94" i="7"/>
  <c r="F101" i="7" s="1"/>
  <c r="F109" i="7" s="1"/>
  <c r="R93" i="7"/>
  <c r="N93" i="7"/>
  <c r="K93" i="7"/>
  <c r="L93" i="7" s="1"/>
  <c r="J93" i="7"/>
  <c r="E93" i="7"/>
  <c r="G93" i="7" s="1"/>
  <c r="R92" i="7"/>
  <c r="N92" i="7"/>
  <c r="K92" i="7"/>
  <c r="L92" i="7" s="1"/>
  <c r="J92" i="7"/>
  <c r="E92" i="7"/>
  <c r="G92" i="7" s="1"/>
  <c r="R91" i="7"/>
  <c r="N91" i="7"/>
  <c r="K91" i="7"/>
  <c r="L91" i="7" s="1"/>
  <c r="J91" i="7"/>
  <c r="E91" i="7"/>
  <c r="G91" i="7" s="1"/>
  <c r="R90" i="7"/>
  <c r="N90" i="7"/>
  <c r="K90" i="7"/>
  <c r="L90" i="7" s="1"/>
  <c r="J90" i="7"/>
  <c r="E90" i="7"/>
  <c r="G90" i="7" s="1"/>
  <c r="R89" i="7"/>
  <c r="N89" i="7"/>
  <c r="K89" i="7"/>
  <c r="L89" i="7" s="1"/>
  <c r="J89" i="7"/>
  <c r="E89" i="7"/>
  <c r="G89" i="7" s="1"/>
  <c r="R88" i="7"/>
  <c r="N88" i="7"/>
  <c r="K88" i="7"/>
  <c r="L88" i="7" s="1"/>
  <c r="J88" i="7"/>
  <c r="E88" i="7"/>
  <c r="G88" i="7" s="1"/>
  <c r="R87" i="7"/>
  <c r="N87" i="7"/>
  <c r="N94" i="7" s="1"/>
  <c r="Q13" i="7" s="1"/>
  <c r="R13" i="7" s="1"/>
  <c r="K87" i="7"/>
  <c r="J87" i="7"/>
  <c r="J94" i="7" s="1"/>
  <c r="E87" i="7"/>
  <c r="R86" i="7"/>
  <c r="R85" i="7"/>
  <c r="N85" i="7"/>
  <c r="K85" i="7"/>
  <c r="L85" i="7" s="1"/>
  <c r="J85" i="7"/>
  <c r="E85" i="7"/>
  <c r="G85" i="7" s="1"/>
  <c r="R84" i="7"/>
  <c r="N84" i="7"/>
  <c r="K84" i="7"/>
  <c r="L84" i="7" s="1"/>
  <c r="J84" i="7"/>
  <c r="E84" i="7"/>
  <c r="G84" i="7" s="1"/>
  <c r="R83" i="7"/>
  <c r="N83" i="7"/>
  <c r="K83" i="7"/>
  <c r="L83" i="7" s="1"/>
  <c r="J83" i="7"/>
  <c r="E83" i="7"/>
  <c r="G83" i="7" s="1"/>
  <c r="R82" i="7"/>
  <c r="N82" i="7"/>
  <c r="K82" i="7"/>
  <c r="L82" i="7" s="1"/>
  <c r="J82" i="7"/>
  <c r="E82" i="7"/>
  <c r="G82" i="7" s="1"/>
  <c r="R81" i="7"/>
  <c r="N81" i="7"/>
  <c r="K81" i="7"/>
  <c r="L81" i="7" s="1"/>
  <c r="J81" i="7"/>
  <c r="E81" i="7"/>
  <c r="G81" i="7" s="1"/>
  <c r="R80" i="7"/>
  <c r="N80" i="7"/>
  <c r="K80" i="7"/>
  <c r="L80" i="7" s="1"/>
  <c r="J80" i="7"/>
  <c r="E80" i="7"/>
  <c r="G80" i="7" s="1"/>
  <c r="R79" i="7"/>
  <c r="N79" i="7"/>
  <c r="N86" i="7" s="1"/>
  <c r="Q12" i="7" s="1"/>
  <c r="R12" i="7" s="1"/>
  <c r="K79" i="7"/>
  <c r="J79" i="7"/>
  <c r="J86" i="7" s="1"/>
  <c r="E79" i="7"/>
  <c r="R78" i="7"/>
  <c r="R77" i="7"/>
  <c r="N77" i="7"/>
  <c r="K77" i="7"/>
  <c r="L77" i="7" s="1"/>
  <c r="J77" i="7"/>
  <c r="E77" i="7"/>
  <c r="G77" i="7" s="1"/>
  <c r="R76" i="7"/>
  <c r="N76" i="7"/>
  <c r="K76" i="7"/>
  <c r="L76" i="7" s="1"/>
  <c r="J76" i="7"/>
  <c r="E76" i="7"/>
  <c r="G76" i="7" s="1"/>
  <c r="R75" i="7"/>
  <c r="N75" i="7"/>
  <c r="J75" i="7"/>
  <c r="L75" i="7" s="1"/>
  <c r="G75" i="7"/>
  <c r="R74" i="7"/>
  <c r="N74" i="7"/>
  <c r="K74" i="7"/>
  <c r="L74" i="7" s="1"/>
  <c r="J74" i="7"/>
  <c r="E74" i="7"/>
  <c r="G74" i="7" s="1"/>
  <c r="R73" i="7"/>
  <c r="N73" i="7"/>
  <c r="K73" i="7"/>
  <c r="L73" i="7" s="1"/>
  <c r="J73" i="7"/>
  <c r="E73" i="7"/>
  <c r="G73" i="7" s="1"/>
  <c r="R72" i="7"/>
  <c r="N72" i="7"/>
  <c r="K72" i="7"/>
  <c r="J72" i="7"/>
  <c r="E72" i="7"/>
  <c r="G72" i="7" s="1"/>
  <c r="R71" i="7"/>
  <c r="N71" i="7"/>
  <c r="N78" i="7" s="1"/>
  <c r="Q11" i="7" s="1"/>
  <c r="R11" i="7" s="1"/>
  <c r="K71" i="7"/>
  <c r="L71" i="7" s="1"/>
  <c r="J71" i="7"/>
  <c r="J78" i="7" s="1"/>
  <c r="E71" i="7"/>
  <c r="R70" i="7"/>
  <c r="F70" i="7"/>
  <c r="R69" i="7"/>
  <c r="N69" i="7"/>
  <c r="K69" i="7"/>
  <c r="L69" i="7" s="1"/>
  <c r="J69" i="7"/>
  <c r="E69" i="7"/>
  <c r="G69" i="7" s="1"/>
  <c r="R68" i="7"/>
  <c r="N68" i="7"/>
  <c r="K68" i="7"/>
  <c r="L68" i="7" s="1"/>
  <c r="J68" i="7"/>
  <c r="E68" i="7"/>
  <c r="G68" i="7" s="1"/>
  <c r="R67" i="7"/>
  <c r="N67" i="7"/>
  <c r="K67" i="7"/>
  <c r="L67" i="7" s="1"/>
  <c r="J67" i="7"/>
  <c r="E67" i="7"/>
  <c r="G67" i="7" s="1"/>
  <c r="R66" i="7"/>
  <c r="N66" i="7"/>
  <c r="K66" i="7"/>
  <c r="L66" i="7" s="1"/>
  <c r="J66" i="7"/>
  <c r="E66" i="7"/>
  <c r="G66" i="7" s="1"/>
  <c r="R65" i="7"/>
  <c r="N65" i="7"/>
  <c r="K65" i="7"/>
  <c r="L65" i="7" s="1"/>
  <c r="J65" i="7"/>
  <c r="E65" i="7"/>
  <c r="G65" i="7" s="1"/>
  <c r="N64" i="7"/>
  <c r="K64" i="7"/>
  <c r="L64" i="7" s="1"/>
  <c r="J64" i="7"/>
  <c r="E64" i="7"/>
  <c r="G64" i="7" s="1"/>
  <c r="R63" i="7"/>
  <c r="N63" i="7"/>
  <c r="K63" i="7"/>
  <c r="L63" i="7" s="1"/>
  <c r="J63" i="7"/>
  <c r="E63" i="7"/>
  <c r="G63" i="7" s="1"/>
  <c r="R62" i="7"/>
  <c r="N62" i="7"/>
  <c r="K62" i="7"/>
  <c r="L62" i="7" s="1"/>
  <c r="J62" i="7"/>
  <c r="E62" i="7"/>
  <c r="G62" i="7" s="1"/>
  <c r="R61" i="7"/>
  <c r="N61" i="7"/>
  <c r="N70" i="7" s="1"/>
  <c r="Q10" i="7" s="1"/>
  <c r="R10" i="7" s="1"/>
  <c r="K61" i="7"/>
  <c r="J61" i="7"/>
  <c r="J70" i="7" s="1"/>
  <c r="E61" i="7"/>
  <c r="R60" i="7"/>
  <c r="R59" i="7"/>
  <c r="N59" i="7"/>
  <c r="K59" i="7"/>
  <c r="L59" i="7" s="1"/>
  <c r="J59" i="7"/>
  <c r="E59" i="7"/>
  <c r="G59" i="7" s="1"/>
  <c r="R58" i="7"/>
  <c r="N58" i="7"/>
  <c r="K58" i="7"/>
  <c r="L58" i="7" s="1"/>
  <c r="J58" i="7"/>
  <c r="E58" i="7"/>
  <c r="G58" i="7" s="1"/>
  <c r="N57" i="7"/>
  <c r="K57" i="7"/>
  <c r="L57" i="7" s="1"/>
  <c r="J57" i="7"/>
  <c r="E57" i="7"/>
  <c r="G57" i="7" s="1"/>
  <c r="R56" i="7"/>
  <c r="N56" i="7"/>
  <c r="K56" i="7"/>
  <c r="L56" i="7" s="1"/>
  <c r="J56" i="7"/>
  <c r="E56" i="7"/>
  <c r="G56" i="7" s="1"/>
  <c r="R55" i="7"/>
  <c r="N55" i="7"/>
  <c r="K55" i="7"/>
  <c r="L55" i="7" s="1"/>
  <c r="J55" i="7"/>
  <c r="E55" i="7"/>
  <c r="G55" i="7" s="1"/>
  <c r="R54" i="7"/>
  <c r="N54" i="7"/>
  <c r="K54" i="7"/>
  <c r="L54" i="7" s="1"/>
  <c r="J54" i="7"/>
  <c r="E54" i="7"/>
  <c r="G54" i="7" s="1"/>
  <c r="R53" i="7"/>
  <c r="N53" i="7"/>
  <c r="K53" i="7"/>
  <c r="L53" i="7" s="1"/>
  <c r="J53" i="7"/>
  <c r="E53" i="7"/>
  <c r="G53" i="7" s="1"/>
  <c r="R52" i="7"/>
  <c r="N52" i="7"/>
  <c r="K52" i="7"/>
  <c r="L52" i="7" s="1"/>
  <c r="J52" i="7"/>
  <c r="E52" i="7"/>
  <c r="G52" i="7" s="1"/>
  <c r="R51" i="7"/>
  <c r="N51" i="7"/>
  <c r="K51" i="7"/>
  <c r="L51" i="7" s="1"/>
  <c r="J51" i="7"/>
  <c r="E51" i="7"/>
  <c r="G51" i="7" s="1"/>
  <c r="R50" i="7"/>
  <c r="N50" i="7"/>
  <c r="K50" i="7"/>
  <c r="L50" i="7" s="1"/>
  <c r="J50" i="7"/>
  <c r="E50" i="7"/>
  <c r="G50" i="7" s="1"/>
  <c r="R49" i="7"/>
  <c r="N49" i="7"/>
  <c r="N60" i="7" s="1"/>
  <c r="Q8" i="7" s="1"/>
  <c r="R8" i="7" s="1"/>
  <c r="K49" i="7"/>
  <c r="J49" i="7"/>
  <c r="J60" i="7" s="1"/>
  <c r="E49" i="7"/>
  <c r="R48" i="7"/>
  <c r="F48" i="7"/>
  <c r="R47" i="7"/>
  <c r="N47" i="7"/>
  <c r="K47" i="7"/>
  <c r="L47" i="7" s="1"/>
  <c r="J47" i="7"/>
  <c r="E47" i="7"/>
  <c r="G47" i="7" s="1"/>
  <c r="N46" i="7"/>
  <c r="K46" i="7"/>
  <c r="L46" i="7" s="1"/>
  <c r="J46" i="7"/>
  <c r="E46" i="7"/>
  <c r="G46" i="7" s="1"/>
  <c r="N45" i="7"/>
  <c r="K45" i="7"/>
  <c r="L45" i="7" s="1"/>
  <c r="J45" i="7"/>
  <c r="E45" i="7"/>
  <c r="G45" i="7" s="1"/>
  <c r="R44" i="7"/>
  <c r="N44" i="7"/>
  <c r="K44" i="7"/>
  <c r="L44" i="7" s="1"/>
  <c r="J44" i="7"/>
  <c r="E44" i="7"/>
  <c r="G44" i="7" s="1"/>
  <c r="R43" i="7"/>
  <c r="N43" i="7"/>
  <c r="K43" i="7"/>
  <c r="L43" i="7" s="1"/>
  <c r="J43" i="7"/>
  <c r="E43" i="7"/>
  <c r="G43" i="7" s="1"/>
  <c r="R42" i="7"/>
  <c r="N42" i="7"/>
  <c r="K42" i="7"/>
  <c r="L42" i="7" s="1"/>
  <c r="J42" i="7"/>
  <c r="E42" i="7"/>
  <c r="G42" i="7" s="1"/>
  <c r="R41" i="7"/>
  <c r="N41" i="7"/>
  <c r="K41" i="7"/>
  <c r="L41" i="7" s="1"/>
  <c r="J41" i="7"/>
  <c r="E41" i="7"/>
  <c r="G41" i="7" s="1"/>
  <c r="R40" i="7"/>
  <c r="N40" i="7"/>
  <c r="K40" i="7"/>
  <c r="L40" i="7" s="1"/>
  <c r="J40" i="7"/>
  <c r="E40" i="7"/>
  <c r="G40" i="7" s="1"/>
  <c r="R39" i="7"/>
  <c r="N39" i="7"/>
  <c r="N48" i="7" s="1"/>
  <c r="Q7" i="7" s="1"/>
  <c r="R7" i="7" s="1"/>
  <c r="K39" i="7"/>
  <c r="J39" i="7"/>
  <c r="J48" i="7" s="1"/>
  <c r="E39" i="7"/>
  <c r="R38" i="7"/>
  <c r="R37" i="7"/>
  <c r="N37" i="7"/>
  <c r="K37" i="7"/>
  <c r="L37" i="7" s="1"/>
  <c r="J37" i="7"/>
  <c r="G37" i="7"/>
  <c r="R36" i="7"/>
  <c r="N36" i="7"/>
  <c r="K36" i="7"/>
  <c r="L36" i="7" s="1"/>
  <c r="J36" i="7"/>
  <c r="E36" i="7"/>
  <c r="G36" i="7" s="1"/>
  <c r="R35" i="7"/>
  <c r="N35" i="7"/>
  <c r="K35" i="7"/>
  <c r="L35" i="7" s="1"/>
  <c r="J35" i="7"/>
  <c r="E35" i="7"/>
  <c r="G35" i="7" s="1"/>
  <c r="R34" i="7"/>
  <c r="N34" i="7"/>
  <c r="K34" i="7"/>
  <c r="L34" i="7" s="1"/>
  <c r="J34" i="7"/>
  <c r="E34" i="7"/>
  <c r="G34" i="7" s="1"/>
  <c r="R33" i="7"/>
  <c r="N33" i="7"/>
  <c r="K33" i="7"/>
  <c r="L33" i="7" s="1"/>
  <c r="J33" i="7"/>
  <c r="E33" i="7"/>
  <c r="G33" i="7" s="1"/>
  <c r="R32" i="7"/>
  <c r="N32" i="7"/>
  <c r="K32" i="7"/>
  <c r="L32" i="7" s="1"/>
  <c r="J32" i="7"/>
  <c r="E32" i="7"/>
  <c r="G32" i="7" s="1"/>
  <c r="R31" i="7"/>
  <c r="N31" i="7"/>
  <c r="K31" i="7"/>
  <c r="L31" i="7" s="1"/>
  <c r="J31" i="7"/>
  <c r="E31" i="7"/>
  <c r="G31" i="7" s="1"/>
  <c r="R30" i="7"/>
  <c r="N30" i="7"/>
  <c r="N38" i="7" s="1"/>
  <c r="Q6" i="7" s="1"/>
  <c r="R6" i="7" s="1"/>
  <c r="K30" i="7"/>
  <c r="J30" i="7"/>
  <c r="J38" i="7" s="1"/>
  <c r="E30" i="7"/>
  <c r="F29" i="7"/>
  <c r="R28" i="7"/>
  <c r="N28" i="7"/>
  <c r="K28" i="7"/>
  <c r="L28" i="7" s="1"/>
  <c r="J28" i="7"/>
  <c r="E28" i="7"/>
  <c r="G28" i="7" s="1"/>
  <c r="R27" i="7"/>
  <c r="N27" i="7"/>
  <c r="K27" i="7"/>
  <c r="L27" i="7" s="1"/>
  <c r="J27" i="7"/>
  <c r="E27" i="7"/>
  <c r="G27" i="7" s="1"/>
  <c r="R26" i="7"/>
  <c r="N26" i="7"/>
  <c r="K26" i="7"/>
  <c r="L26" i="7" s="1"/>
  <c r="J26" i="7"/>
  <c r="E26" i="7"/>
  <c r="G26" i="7" s="1"/>
  <c r="N25" i="7"/>
  <c r="K25" i="7"/>
  <c r="L25" i="7" s="1"/>
  <c r="J25" i="7"/>
  <c r="E25" i="7"/>
  <c r="G25" i="7" s="1"/>
  <c r="N24" i="7"/>
  <c r="K24" i="7"/>
  <c r="L24" i="7" s="1"/>
  <c r="J24" i="7"/>
  <c r="E24" i="7"/>
  <c r="G24" i="7" s="1"/>
  <c r="N23" i="7"/>
  <c r="K23" i="7"/>
  <c r="L23" i="7" s="1"/>
  <c r="J23" i="7"/>
  <c r="E23" i="7"/>
  <c r="G23" i="7" s="1"/>
  <c r="N22" i="7"/>
  <c r="K22" i="7"/>
  <c r="L22" i="7" s="1"/>
  <c r="J22" i="7"/>
  <c r="E22" i="7"/>
  <c r="G22" i="7" s="1"/>
  <c r="N21" i="7"/>
  <c r="K21" i="7"/>
  <c r="L21" i="7" s="1"/>
  <c r="J21" i="7"/>
  <c r="E21" i="7"/>
  <c r="G21" i="7" s="1"/>
  <c r="N20" i="7"/>
  <c r="N29" i="7" s="1"/>
  <c r="Q5" i="7" s="1"/>
  <c r="R5" i="7" s="1"/>
  <c r="K20" i="7"/>
  <c r="J20" i="7"/>
  <c r="J29" i="7" s="1"/>
  <c r="E20" i="7"/>
  <c r="O18" i="7"/>
  <c r="O19" i="7" s="1"/>
  <c r="O20" i="7" s="1"/>
  <c r="O21" i="7" s="1"/>
  <c r="O22" i="7" s="1"/>
  <c r="O23" i="7" s="1"/>
  <c r="O24" i="7" s="1"/>
  <c r="O25" i="7" s="1"/>
  <c r="O26" i="7" s="1"/>
  <c r="N18" i="7"/>
  <c r="K18" i="7"/>
  <c r="L18" i="7" s="1"/>
  <c r="J18" i="7"/>
  <c r="E18" i="7"/>
  <c r="G18" i="7" s="1"/>
  <c r="N17" i="7"/>
  <c r="K17" i="7"/>
  <c r="L17" i="7" s="1"/>
  <c r="J17" i="7"/>
  <c r="E17" i="7"/>
  <c r="G17" i="7" s="1"/>
  <c r="N16" i="7"/>
  <c r="K16" i="7"/>
  <c r="L16" i="7" s="1"/>
  <c r="J16" i="7"/>
  <c r="E16" i="7"/>
  <c r="G16" i="7" s="1"/>
  <c r="N15" i="7"/>
  <c r="K15" i="7"/>
  <c r="L15" i="7" s="1"/>
  <c r="J15" i="7"/>
  <c r="E15" i="7"/>
  <c r="G15" i="7" s="1"/>
  <c r="N14" i="7"/>
  <c r="K14" i="7"/>
  <c r="L14" i="7" s="1"/>
  <c r="J14" i="7"/>
  <c r="E14" i="7"/>
  <c r="G14" i="7" s="1"/>
  <c r="N13" i="7"/>
  <c r="K13" i="7"/>
  <c r="L13" i="7" s="1"/>
  <c r="J13" i="7"/>
  <c r="E13" i="7"/>
  <c r="G13" i="7" s="1"/>
  <c r="N12" i="7"/>
  <c r="N19" i="7" s="1"/>
  <c r="Q4" i="7" s="1"/>
  <c r="K12" i="7"/>
  <c r="J12" i="7"/>
  <c r="J19" i="7" s="1"/>
  <c r="E12" i="7"/>
  <c r="F11" i="7"/>
  <c r="F19" i="7" s="1"/>
  <c r="N10" i="7"/>
  <c r="K10" i="7"/>
  <c r="L10" i="7" s="1"/>
  <c r="J10" i="7"/>
  <c r="E10" i="7"/>
  <c r="G10" i="7" s="1"/>
  <c r="N9" i="7"/>
  <c r="K9" i="7"/>
  <c r="L9" i="7" s="1"/>
  <c r="J9" i="7"/>
  <c r="E9" i="7"/>
  <c r="G9" i="7" s="1"/>
  <c r="N8" i="7"/>
  <c r="K8" i="7"/>
  <c r="L8" i="7" s="1"/>
  <c r="J8" i="7"/>
  <c r="E8" i="7"/>
  <c r="G8" i="7" s="1"/>
  <c r="N7" i="7"/>
  <c r="K7" i="7"/>
  <c r="L7" i="7" s="1"/>
  <c r="J7" i="7"/>
  <c r="E7" i="7"/>
  <c r="G7" i="7" s="1"/>
  <c r="N6" i="7"/>
  <c r="K6" i="7"/>
  <c r="L6" i="7" s="1"/>
  <c r="J6" i="7"/>
  <c r="E6" i="7"/>
  <c r="G6" i="7" s="1"/>
  <c r="N5" i="7"/>
  <c r="K5" i="7"/>
  <c r="L5" i="7" s="1"/>
  <c r="J5" i="7"/>
  <c r="E5" i="7"/>
  <c r="G5" i="7" s="1"/>
  <c r="N4" i="7"/>
  <c r="K4" i="7"/>
  <c r="L4" i="7" s="1"/>
  <c r="J4" i="7"/>
  <c r="J11" i="7" s="1"/>
  <c r="E4" i="7"/>
  <c r="G4" i="7" s="1"/>
  <c r="N3" i="7"/>
  <c r="N11" i="7" s="1"/>
  <c r="K3" i="7"/>
  <c r="E3" i="7"/>
  <c r="P2" i="7"/>
  <c r="F279" i="6"/>
  <c r="N278" i="6"/>
  <c r="K278" i="6"/>
  <c r="L278" i="6" s="1"/>
  <c r="J278" i="6"/>
  <c r="E278" i="6"/>
  <c r="G278" i="6" s="1"/>
  <c r="N277" i="6"/>
  <c r="K277" i="6"/>
  <c r="L277" i="6" s="1"/>
  <c r="J277" i="6"/>
  <c r="E277" i="6"/>
  <c r="G277" i="6" s="1"/>
  <c r="N276" i="6"/>
  <c r="K276" i="6"/>
  <c r="L276" i="6" s="1"/>
  <c r="J276" i="6"/>
  <c r="E276" i="6"/>
  <c r="G276" i="6" s="1"/>
  <c r="N275" i="6"/>
  <c r="K275" i="6"/>
  <c r="L275" i="6" s="1"/>
  <c r="E275" i="6"/>
  <c r="G275" i="6" s="1"/>
  <c r="N274" i="6"/>
  <c r="K274" i="6"/>
  <c r="L274" i="6" s="1"/>
  <c r="J274" i="6"/>
  <c r="E274" i="6"/>
  <c r="N273" i="6"/>
  <c r="N279" i="6" s="1"/>
  <c r="K273" i="6"/>
  <c r="J273" i="6"/>
  <c r="J279" i="6" s="1"/>
  <c r="G273" i="6"/>
  <c r="G279" i="6" s="1"/>
  <c r="F272" i="6"/>
  <c r="N271" i="6"/>
  <c r="K271" i="6"/>
  <c r="L271" i="6" s="1"/>
  <c r="J271" i="6"/>
  <c r="E271" i="6"/>
  <c r="G271" i="6" s="1"/>
  <c r="N270" i="6"/>
  <c r="K270" i="6"/>
  <c r="L270" i="6" s="1"/>
  <c r="J270" i="6"/>
  <c r="E270" i="6"/>
  <c r="G270" i="6" s="1"/>
  <c r="N269" i="6"/>
  <c r="K269" i="6"/>
  <c r="L269" i="6" s="1"/>
  <c r="J269" i="6"/>
  <c r="E269" i="6"/>
  <c r="G269" i="6" s="1"/>
  <c r="N268" i="6"/>
  <c r="K268" i="6"/>
  <c r="L268" i="6" s="1"/>
  <c r="J268" i="6"/>
  <c r="E268" i="6"/>
  <c r="G268" i="6" s="1"/>
  <c r="N267" i="6"/>
  <c r="K267" i="6"/>
  <c r="L267" i="6" s="1"/>
  <c r="J267" i="6"/>
  <c r="E267" i="6"/>
  <c r="N266" i="6"/>
  <c r="N272" i="6" s="1"/>
  <c r="Q210" i="6" s="1"/>
  <c r="K266" i="6"/>
  <c r="J266" i="6"/>
  <c r="J272" i="6" s="1"/>
  <c r="G266" i="6"/>
  <c r="G272" i="6" s="1"/>
  <c r="F265" i="6"/>
  <c r="N264" i="6"/>
  <c r="K264" i="6"/>
  <c r="L264" i="6" s="1"/>
  <c r="J264" i="6"/>
  <c r="E264" i="6"/>
  <c r="G264" i="6" s="1"/>
  <c r="N263" i="6"/>
  <c r="K263" i="6"/>
  <c r="L263" i="6" s="1"/>
  <c r="J263" i="6"/>
  <c r="E263" i="6"/>
  <c r="G263" i="6" s="1"/>
  <c r="N262" i="6"/>
  <c r="K262" i="6"/>
  <c r="L262" i="6" s="1"/>
  <c r="J262" i="6"/>
  <c r="E262" i="6"/>
  <c r="G262" i="6" s="1"/>
  <c r="N261" i="6"/>
  <c r="K261" i="6"/>
  <c r="L261" i="6" s="1"/>
  <c r="J261" i="6"/>
  <c r="E261" i="6"/>
  <c r="G261" i="6" s="1"/>
  <c r="N260" i="6"/>
  <c r="K260" i="6"/>
  <c r="L260" i="6" s="1"/>
  <c r="J260" i="6"/>
  <c r="E260" i="6"/>
  <c r="G260" i="6" s="1"/>
  <c r="N259" i="6"/>
  <c r="N265" i="6" s="1"/>
  <c r="Q206" i="6" s="1"/>
  <c r="K259" i="6"/>
  <c r="J259" i="6"/>
  <c r="J265" i="6" s="1"/>
  <c r="E259" i="6"/>
  <c r="F258" i="6"/>
  <c r="N257" i="6"/>
  <c r="N258" i="6" s="1"/>
  <c r="Q208" i="6" s="1"/>
  <c r="K257" i="6"/>
  <c r="L257" i="6" s="1"/>
  <c r="J257" i="6"/>
  <c r="E257" i="6"/>
  <c r="G257" i="6" s="1"/>
  <c r="K256" i="6"/>
  <c r="L256" i="6" s="1"/>
  <c r="J256" i="6"/>
  <c r="E256" i="6"/>
  <c r="G256" i="6" s="1"/>
  <c r="K255" i="6"/>
  <c r="L255" i="6" s="1"/>
  <c r="J255" i="6"/>
  <c r="E255" i="6"/>
  <c r="G255" i="6" s="1"/>
  <c r="K254" i="6"/>
  <c r="L254" i="6" s="1"/>
  <c r="J254" i="6"/>
  <c r="E254" i="6"/>
  <c r="G254" i="6" s="1"/>
  <c r="K253" i="6"/>
  <c r="L253" i="6" s="1"/>
  <c r="J253" i="6"/>
  <c r="E253" i="6"/>
  <c r="G253" i="6" s="1"/>
  <c r="K252" i="6"/>
  <c r="J252" i="6"/>
  <c r="J258" i="6" s="1"/>
  <c r="E252" i="6"/>
  <c r="F251" i="6"/>
  <c r="N250" i="6"/>
  <c r="K250" i="6"/>
  <c r="L250" i="6" s="1"/>
  <c r="J250" i="6"/>
  <c r="E250" i="6"/>
  <c r="G250" i="6" s="1"/>
  <c r="N249" i="6"/>
  <c r="N251" i="6" s="1"/>
  <c r="Q207" i="6" s="1"/>
  <c r="K249" i="6"/>
  <c r="L249" i="6" s="1"/>
  <c r="J249" i="6"/>
  <c r="K248" i="6"/>
  <c r="L248" i="6" s="1"/>
  <c r="J248" i="6"/>
  <c r="E248" i="6"/>
  <c r="G248" i="6" s="1"/>
  <c r="K247" i="6"/>
  <c r="L247" i="6" s="1"/>
  <c r="J247" i="6"/>
  <c r="E247" i="6"/>
  <c r="G247" i="6" s="1"/>
  <c r="K246" i="6"/>
  <c r="L246" i="6" s="1"/>
  <c r="J246" i="6"/>
  <c r="E246" i="6"/>
  <c r="G246" i="6" s="1"/>
  <c r="K245" i="6"/>
  <c r="L245" i="6" s="1"/>
  <c r="J245" i="6"/>
  <c r="E245" i="6"/>
  <c r="G245" i="6" s="1"/>
  <c r="K244" i="6"/>
  <c r="J244" i="6"/>
  <c r="E244" i="6"/>
  <c r="G244" i="6" s="1"/>
  <c r="J243" i="6"/>
  <c r="E243" i="6"/>
  <c r="F242" i="6"/>
  <c r="N241" i="6"/>
  <c r="K241" i="6"/>
  <c r="L241" i="6" s="1"/>
  <c r="J241" i="6"/>
  <c r="E241" i="6"/>
  <c r="G241" i="6" s="1"/>
  <c r="N240" i="6"/>
  <c r="N242" i="6" s="1"/>
  <c r="Q209" i="6" s="1"/>
  <c r="K240" i="6"/>
  <c r="L240" i="6" s="1"/>
  <c r="J240" i="6"/>
  <c r="E240" i="6"/>
  <c r="G240" i="6" s="1"/>
  <c r="K239" i="6"/>
  <c r="L239" i="6" s="1"/>
  <c r="J239" i="6"/>
  <c r="E239" i="6"/>
  <c r="G239" i="6" s="1"/>
  <c r="K238" i="6"/>
  <c r="L238" i="6" s="1"/>
  <c r="J238" i="6"/>
  <c r="E238" i="6"/>
  <c r="G238" i="6" s="1"/>
  <c r="K237" i="6"/>
  <c r="J237" i="6"/>
  <c r="J242" i="6" s="1"/>
  <c r="E237" i="6"/>
  <c r="F236" i="6"/>
  <c r="K235" i="6"/>
  <c r="J235" i="6"/>
  <c r="E235" i="6"/>
  <c r="G235" i="6" s="1"/>
  <c r="N234" i="6"/>
  <c r="K234" i="6"/>
  <c r="L234" i="6" s="1"/>
  <c r="J234" i="6"/>
  <c r="E234" i="6"/>
  <c r="G234" i="6" s="1"/>
  <c r="N233" i="6"/>
  <c r="K233" i="6"/>
  <c r="L233" i="6" s="1"/>
  <c r="E233" i="6"/>
  <c r="G233" i="6" s="1"/>
  <c r="N232" i="6"/>
  <c r="K232" i="6"/>
  <c r="L232" i="6" s="1"/>
  <c r="J232" i="6"/>
  <c r="E232" i="6"/>
  <c r="G232" i="6" s="1"/>
  <c r="N231" i="6"/>
  <c r="K231" i="6"/>
  <c r="J231" i="6"/>
  <c r="J236" i="6" s="1"/>
  <c r="E231" i="6"/>
  <c r="F230" i="6"/>
  <c r="N229" i="6"/>
  <c r="K229" i="6"/>
  <c r="L229" i="6" s="1"/>
  <c r="J229" i="6"/>
  <c r="E229" i="6"/>
  <c r="G229" i="6" s="1"/>
  <c r="N228" i="6"/>
  <c r="K228" i="6"/>
  <c r="L228" i="6" s="1"/>
  <c r="J228" i="6"/>
  <c r="E228" i="6"/>
  <c r="G228" i="6" s="1"/>
  <c r="N227" i="6"/>
  <c r="K227" i="6"/>
  <c r="L227" i="6" s="1"/>
  <c r="J227" i="6"/>
  <c r="E227" i="6"/>
  <c r="G227" i="6" s="1"/>
  <c r="K226" i="6"/>
  <c r="J226" i="6"/>
  <c r="E226" i="6"/>
  <c r="N225" i="6"/>
  <c r="K225" i="6"/>
  <c r="J225" i="6"/>
  <c r="J230" i="6" s="1"/>
  <c r="G225" i="6"/>
  <c r="G230" i="6" s="1"/>
  <c r="F224" i="6"/>
  <c r="N223" i="6"/>
  <c r="K223" i="6"/>
  <c r="L223" i="6" s="1"/>
  <c r="J223" i="6"/>
  <c r="E223" i="6"/>
  <c r="G223" i="6" s="1"/>
  <c r="K222" i="6"/>
  <c r="J222" i="6"/>
  <c r="E222" i="6"/>
  <c r="G222" i="6" s="1"/>
  <c r="K221" i="6"/>
  <c r="J221" i="6"/>
  <c r="E221" i="6"/>
  <c r="G221" i="6" s="1"/>
  <c r="K220" i="6"/>
  <c r="J220" i="6"/>
  <c r="E220" i="6"/>
  <c r="G220" i="6" s="1"/>
  <c r="K219" i="6"/>
  <c r="J219" i="6"/>
  <c r="J224" i="6" s="1"/>
  <c r="E219" i="6"/>
  <c r="K218" i="6"/>
  <c r="F218" i="6"/>
  <c r="N217" i="6"/>
  <c r="J217" i="6"/>
  <c r="L217" i="6" s="1"/>
  <c r="E217" i="6"/>
  <c r="G217" i="6" s="1"/>
  <c r="N216" i="6"/>
  <c r="J216" i="6"/>
  <c r="L216" i="6" s="1"/>
  <c r="E216" i="6"/>
  <c r="G216" i="6" s="1"/>
  <c r="N215" i="6"/>
  <c r="J215" i="6"/>
  <c r="L215" i="6" s="1"/>
  <c r="E215" i="6"/>
  <c r="G215" i="6" s="1"/>
  <c r="N214" i="6"/>
  <c r="J214" i="6"/>
  <c r="L214" i="6" s="1"/>
  <c r="E214" i="6"/>
  <c r="G214" i="6" s="1"/>
  <c r="N213" i="6"/>
  <c r="N218" i="6" s="1"/>
  <c r="Q202" i="6" s="1"/>
  <c r="J213" i="6"/>
  <c r="E213" i="6"/>
  <c r="F212" i="6"/>
  <c r="N211" i="6"/>
  <c r="K211" i="6"/>
  <c r="L211" i="6" s="1"/>
  <c r="J211" i="6"/>
  <c r="E211" i="6"/>
  <c r="G211" i="6" s="1"/>
  <c r="N210" i="6"/>
  <c r="K210" i="6"/>
  <c r="L210" i="6" s="1"/>
  <c r="J210" i="6"/>
  <c r="E210" i="6"/>
  <c r="G210" i="6" s="1"/>
  <c r="N209" i="6"/>
  <c r="K209" i="6"/>
  <c r="L209" i="6" s="1"/>
  <c r="J209" i="6"/>
  <c r="E209" i="6"/>
  <c r="G209" i="6" s="1"/>
  <c r="N208" i="6"/>
  <c r="K208" i="6"/>
  <c r="L208" i="6" s="1"/>
  <c r="J208" i="6"/>
  <c r="E208" i="6"/>
  <c r="G208" i="6" s="1"/>
  <c r="N207" i="6"/>
  <c r="N212" i="6" s="1"/>
  <c r="Q201" i="6" s="1"/>
  <c r="K207" i="6"/>
  <c r="J207" i="6"/>
  <c r="J212" i="6" s="1"/>
  <c r="E207" i="6"/>
  <c r="F206" i="6"/>
  <c r="K205" i="6"/>
  <c r="J205" i="6"/>
  <c r="E205" i="6"/>
  <c r="G205" i="6" s="1"/>
  <c r="K204" i="6"/>
  <c r="J204" i="6"/>
  <c r="E204" i="6"/>
  <c r="K203" i="6"/>
  <c r="J203" i="6"/>
  <c r="G203" i="6"/>
  <c r="K202" i="6"/>
  <c r="J202" i="6"/>
  <c r="G202" i="6"/>
  <c r="K201" i="6"/>
  <c r="J201" i="6"/>
  <c r="J206" i="6" s="1"/>
  <c r="G201" i="6"/>
  <c r="G206" i="6" s="1"/>
  <c r="R197" i="6"/>
  <c r="R196" i="6"/>
  <c r="R195" i="6"/>
  <c r="K195" i="6"/>
  <c r="J195" i="6"/>
  <c r="E195" i="6"/>
  <c r="G195" i="6" s="1"/>
  <c r="K194" i="6"/>
  <c r="J194" i="6"/>
  <c r="E194" i="6"/>
  <c r="G194" i="6" s="1"/>
  <c r="K193" i="6"/>
  <c r="J193" i="6"/>
  <c r="E193" i="6"/>
  <c r="G193" i="6" s="1"/>
  <c r="K192" i="6"/>
  <c r="J192" i="6"/>
  <c r="E192" i="6"/>
  <c r="G192" i="6" s="1"/>
  <c r="K191" i="6"/>
  <c r="J191" i="6"/>
  <c r="E191" i="6"/>
  <c r="G191" i="6" s="1"/>
  <c r="K190" i="6"/>
  <c r="J190" i="6"/>
  <c r="E190" i="6"/>
  <c r="G190" i="6" s="1"/>
  <c r="K189" i="6"/>
  <c r="J189" i="6"/>
  <c r="E189" i="6"/>
  <c r="G189" i="6" s="1"/>
  <c r="R187" i="6"/>
  <c r="K187" i="6"/>
  <c r="J187" i="6"/>
  <c r="E187" i="6"/>
  <c r="G187" i="6" s="1"/>
  <c r="R186" i="6"/>
  <c r="K186" i="6"/>
  <c r="J186" i="6"/>
  <c r="E186" i="6"/>
  <c r="G186" i="6" s="1"/>
  <c r="R185" i="6"/>
  <c r="K185" i="6"/>
  <c r="J185" i="6"/>
  <c r="E185" i="6"/>
  <c r="G185" i="6" s="1"/>
  <c r="R184" i="6"/>
  <c r="K184" i="6"/>
  <c r="J184" i="6"/>
  <c r="E184" i="6"/>
  <c r="G184" i="6" s="1"/>
  <c r="R183" i="6"/>
  <c r="K183" i="6"/>
  <c r="J183" i="6"/>
  <c r="E183" i="6"/>
  <c r="G183" i="6" s="1"/>
  <c r="R182" i="6"/>
  <c r="K182" i="6"/>
  <c r="J182" i="6"/>
  <c r="E182" i="6"/>
  <c r="G182" i="6" s="1"/>
  <c r="R181" i="6"/>
  <c r="K181" i="6"/>
  <c r="J181" i="6"/>
  <c r="E181" i="6"/>
  <c r="F180" i="6"/>
  <c r="F188" i="6" s="1"/>
  <c r="F196" i="6" s="1"/>
  <c r="N179" i="6"/>
  <c r="J179" i="6"/>
  <c r="L179" i="6" s="1"/>
  <c r="E179" i="6"/>
  <c r="G179" i="6" s="1"/>
  <c r="N178" i="6"/>
  <c r="J178" i="6"/>
  <c r="L178" i="6" s="1"/>
  <c r="E178" i="6"/>
  <c r="G178" i="6" s="1"/>
  <c r="N177" i="6"/>
  <c r="J177" i="6"/>
  <c r="L177" i="6" s="1"/>
  <c r="E177" i="6"/>
  <c r="G177" i="6" s="1"/>
  <c r="K176" i="6"/>
  <c r="J176" i="6"/>
  <c r="E176" i="6"/>
  <c r="G176" i="6" s="1"/>
  <c r="K175" i="6"/>
  <c r="J175" i="6"/>
  <c r="E175" i="6"/>
  <c r="K174" i="6"/>
  <c r="J174" i="6"/>
  <c r="E174" i="6"/>
  <c r="G174" i="6" s="1"/>
  <c r="K173" i="6"/>
  <c r="J173" i="6"/>
  <c r="E173" i="6"/>
  <c r="G173" i="6" s="1"/>
  <c r="K172" i="6"/>
  <c r="J172" i="6"/>
  <c r="J180" i="6" s="1"/>
  <c r="E172" i="6"/>
  <c r="F171" i="6"/>
  <c r="K170" i="6"/>
  <c r="J170" i="6"/>
  <c r="E170" i="6"/>
  <c r="G170" i="6" s="1"/>
  <c r="K169" i="6"/>
  <c r="J169" i="6"/>
  <c r="E169" i="6"/>
  <c r="G169" i="6" s="1"/>
  <c r="K168" i="6"/>
  <c r="J168" i="6"/>
  <c r="E168" i="6"/>
  <c r="G168" i="6" s="1"/>
  <c r="K167" i="6"/>
  <c r="J167" i="6"/>
  <c r="E167" i="6"/>
  <c r="G167" i="6" s="1"/>
  <c r="K166" i="6"/>
  <c r="J166" i="6"/>
  <c r="E166" i="6"/>
  <c r="G166" i="6" s="1"/>
  <c r="K165" i="6"/>
  <c r="J165" i="6"/>
  <c r="E165" i="6"/>
  <c r="G165" i="6" s="1"/>
  <c r="K164" i="6"/>
  <c r="J164" i="6"/>
  <c r="E164" i="6"/>
  <c r="G164" i="6" s="1"/>
  <c r="K163" i="6"/>
  <c r="J163" i="6"/>
  <c r="J171" i="6" s="1"/>
  <c r="E163" i="6"/>
  <c r="R162" i="6"/>
  <c r="F162" i="6"/>
  <c r="R161" i="6"/>
  <c r="K161" i="6"/>
  <c r="J161" i="6"/>
  <c r="E161" i="6"/>
  <c r="G161" i="6" s="1"/>
  <c r="R160" i="6"/>
  <c r="N160" i="6"/>
  <c r="K160" i="6"/>
  <c r="L160" i="6" s="1"/>
  <c r="J160" i="6"/>
  <c r="E160" i="6"/>
  <c r="G160" i="6" s="1"/>
  <c r="R159" i="6"/>
  <c r="N159" i="6"/>
  <c r="K159" i="6"/>
  <c r="L159" i="6" s="1"/>
  <c r="J159" i="6"/>
  <c r="E159" i="6"/>
  <c r="G159" i="6" s="1"/>
  <c r="R158" i="6"/>
  <c r="N158" i="6"/>
  <c r="K158" i="6"/>
  <c r="L158" i="6" s="1"/>
  <c r="J158" i="6"/>
  <c r="E158" i="6"/>
  <c r="G158" i="6" s="1"/>
  <c r="R157" i="6"/>
  <c r="K157" i="6"/>
  <c r="J157" i="6"/>
  <c r="E157" i="6"/>
  <c r="G157" i="6" s="1"/>
  <c r="R156" i="6"/>
  <c r="K156" i="6"/>
  <c r="J156" i="6"/>
  <c r="E156" i="6"/>
  <c r="G156" i="6" s="1"/>
  <c r="R155" i="6"/>
  <c r="K155" i="6"/>
  <c r="J155" i="6"/>
  <c r="E155" i="6"/>
  <c r="G155" i="6" s="1"/>
  <c r="K154" i="6"/>
  <c r="R153" i="6"/>
  <c r="K153" i="6"/>
  <c r="J153" i="6"/>
  <c r="J162" i="6" s="1"/>
  <c r="E153" i="6"/>
  <c r="R152" i="6"/>
  <c r="R151" i="6"/>
  <c r="K151" i="6"/>
  <c r="J151" i="6"/>
  <c r="E151" i="6"/>
  <c r="G151" i="6" s="1"/>
  <c r="R150" i="6"/>
  <c r="N150" i="6"/>
  <c r="K150" i="6"/>
  <c r="L150" i="6" s="1"/>
  <c r="J150" i="6"/>
  <c r="E150" i="6"/>
  <c r="G150" i="6" s="1"/>
  <c r="R149" i="6"/>
  <c r="N149" i="6"/>
  <c r="K149" i="6"/>
  <c r="L149" i="6" s="1"/>
  <c r="J149" i="6"/>
  <c r="E149" i="6"/>
  <c r="G149" i="6" s="1"/>
  <c r="R148" i="6"/>
  <c r="N148" i="6"/>
  <c r="J148" i="6"/>
  <c r="L148" i="6" s="1"/>
  <c r="E148" i="6"/>
  <c r="G148" i="6" s="1"/>
  <c r="R147" i="6"/>
  <c r="N147" i="6"/>
  <c r="J147" i="6"/>
  <c r="L147" i="6" s="1"/>
  <c r="E147" i="6"/>
  <c r="G147" i="6" s="1"/>
  <c r="R146" i="6"/>
  <c r="K146" i="6"/>
  <c r="J146" i="6"/>
  <c r="E146" i="6"/>
  <c r="G146" i="6" s="1"/>
  <c r="R145" i="6"/>
  <c r="K145" i="6"/>
  <c r="J145" i="6"/>
  <c r="E145" i="6"/>
  <c r="G145" i="6" s="1"/>
  <c r="R144" i="6"/>
  <c r="K144" i="6"/>
  <c r="J144" i="6"/>
  <c r="J152" i="6" s="1"/>
  <c r="E144" i="6"/>
  <c r="R143" i="6"/>
  <c r="F143" i="6"/>
  <c r="R142" i="6"/>
  <c r="K142" i="6"/>
  <c r="J142" i="6"/>
  <c r="E142" i="6"/>
  <c r="G142" i="6" s="1"/>
  <c r="R141" i="6"/>
  <c r="N141" i="6"/>
  <c r="K141" i="6"/>
  <c r="J141" i="6"/>
  <c r="E141" i="6"/>
  <c r="G141" i="6" s="1"/>
  <c r="R140" i="6"/>
  <c r="N140" i="6"/>
  <c r="J140" i="6"/>
  <c r="L140" i="6" s="1"/>
  <c r="E140" i="6"/>
  <c r="G140" i="6" s="1"/>
  <c r="R139" i="6"/>
  <c r="N139" i="6"/>
  <c r="J139" i="6"/>
  <c r="E139" i="6"/>
  <c r="G139" i="6" s="1"/>
  <c r="R138" i="6"/>
  <c r="N138" i="6"/>
  <c r="J138" i="6"/>
  <c r="L138" i="6" s="1"/>
  <c r="E138" i="6"/>
  <c r="G138" i="6" s="1"/>
  <c r="R137" i="6"/>
  <c r="N137" i="6"/>
  <c r="J137" i="6"/>
  <c r="L137" i="6" s="1"/>
  <c r="E137" i="6"/>
  <c r="G137" i="6" s="1"/>
  <c r="R136" i="6"/>
  <c r="N136" i="6"/>
  <c r="J136" i="6"/>
  <c r="L136" i="6" s="1"/>
  <c r="E136" i="6"/>
  <c r="G136" i="6" s="1"/>
  <c r="R135" i="6"/>
  <c r="N135" i="6"/>
  <c r="J135" i="6"/>
  <c r="E135" i="6"/>
  <c r="R134" i="6"/>
  <c r="F134" i="6"/>
  <c r="R133" i="6"/>
  <c r="N133" i="6"/>
  <c r="J133" i="6"/>
  <c r="L133" i="6" s="1"/>
  <c r="E133" i="6"/>
  <c r="G133" i="6" s="1"/>
  <c r="R132" i="6"/>
  <c r="N132" i="6"/>
  <c r="J132" i="6"/>
  <c r="L132" i="6" s="1"/>
  <c r="E132" i="6"/>
  <c r="G132" i="6" s="1"/>
  <c r="R131" i="6"/>
  <c r="N131" i="6"/>
  <c r="J131" i="6"/>
  <c r="L131" i="6" s="1"/>
  <c r="E131" i="6"/>
  <c r="G131" i="6" s="1"/>
  <c r="R130" i="6"/>
  <c r="K130" i="6"/>
  <c r="J130" i="6"/>
  <c r="E130" i="6"/>
  <c r="G130" i="6" s="1"/>
  <c r="R129" i="6"/>
  <c r="K129" i="6"/>
  <c r="J129" i="6"/>
  <c r="E129" i="6"/>
  <c r="G129" i="6" s="1"/>
  <c r="R128" i="6"/>
  <c r="K128" i="6"/>
  <c r="J128" i="6"/>
  <c r="E128" i="6"/>
  <c r="G128" i="6" s="1"/>
  <c r="R127" i="6"/>
  <c r="K127" i="6"/>
  <c r="J127" i="6"/>
  <c r="E127" i="6"/>
  <c r="G127" i="6" s="1"/>
  <c r="R126" i="6"/>
  <c r="K126" i="6"/>
  <c r="J126" i="6"/>
  <c r="J134" i="6" s="1"/>
  <c r="E126" i="6"/>
  <c r="R125" i="6"/>
  <c r="F125" i="6"/>
  <c r="R124" i="6"/>
  <c r="N124" i="6"/>
  <c r="K124" i="6"/>
  <c r="L124" i="6" s="1"/>
  <c r="J124" i="6"/>
  <c r="E124" i="6"/>
  <c r="G124" i="6" s="1"/>
  <c r="R123" i="6"/>
  <c r="N123" i="6"/>
  <c r="K123" i="6"/>
  <c r="L123" i="6" s="1"/>
  <c r="J123" i="6"/>
  <c r="E123" i="6"/>
  <c r="G123" i="6" s="1"/>
  <c r="R122" i="6"/>
  <c r="N122" i="6"/>
  <c r="K122" i="6"/>
  <c r="L122" i="6" s="1"/>
  <c r="J122" i="6"/>
  <c r="E122" i="6"/>
  <c r="G122" i="6" s="1"/>
  <c r="R121" i="6"/>
  <c r="N121" i="6"/>
  <c r="K121" i="6"/>
  <c r="L121" i="6" s="1"/>
  <c r="J121" i="6"/>
  <c r="E121" i="6"/>
  <c r="G121" i="6" s="1"/>
  <c r="R120" i="6"/>
  <c r="N120" i="6"/>
  <c r="K120" i="6"/>
  <c r="L120" i="6" s="1"/>
  <c r="J120" i="6"/>
  <c r="E120" i="6"/>
  <c r="G120" i="6" s="1"/>
  <c r="R119" i="6"/>
  <c r="N119" i="6"/>
  <c r="K119" i="6"/>
  <c r="L119" i="6" s="1"/>
  <c r="J119" i="6"/>
  <c r="E119" i="6"/>
  <c r="G119" i="6" s="1"/>
  <c r="R118" i="6"/>
  <c r="N118" i="6"/>
  <c r="N125" i="6" s="1"/>
  <c r="Q17" i="6" s="1"/>
  <c r="R17" i="6" s="1"/>
  <c r="K118" i="6"/>
  <c r="J118" i="6"/>
  <c r="J125" i="6" s="1"/>
  <c r="E118" i="6"/>
  <c r="R117" i="6"/>
  <c r="R116" i="6"/>
  <c r="N116" i="6"/>
  <c r="K116" i="6"/>
  <c r="L116" i="6" s="1"/>
  <c r="J116" i="6"/>
  <c r="E116" i="6"/>
  <c r="G116" i="6" s="1"/>
  <c r="R115" i="6"/>
  <c r="N115" i="6"/>
  <c r="K115" i="6"/>
  <c r="L115" i="6" s="1"/>
  <c r="J115" i="6"/>
  <c r="E115" i="6"/>
  <c r="G115" i="6" s="1"/>
  <c r="R114" i="6"/>
  <c r="N114" i="6"/>
  <c r="K114" i="6"/>
  <c r="L114" i="6" s="1"/>
  <c r="J114" i="6"/>
  <c r="E114" i="6"/>
  <c r="G114" i="6" s="1"/>
  <c r="R113" i="6"/>
  <c r="N113" i="6"/>
  <c r="K113" i="6"/>
  <c r="L113" i="6" s="1"/>
  <c r="J113" i="6"/>
  <c r="E113" i="6"/>
  <c r="G113" i="6" s="1"/>
  <c r="R112" i="6"/>
  <c r="N112" i="6"/>
  <c r="K112" i="6"/>
  <c r="L112" i="6" s="1"/>
  <c r="J112" i="6"/>
  <c r="E112" i="6"/>
  <c r="G112" i="6" s="1"/>
  <c r="R111" i="6"/>
  <c r="N111" i="6"/>
  <c r="K111" i="6"/>
  <c r="L111" i="6" s="1"/>
  <c r="J111" i="6"/>
  <c r="E111" i="6"/>
  <c r="G111" i="6" s="1"/>
  <c r="R110" i="6"/>
  <c r="N110" i="6"/>
  <c r="N117" i="6" s="1"/>
  <c r="K110" i="6"/>
  <c r="J110" i="6"/>
  <c r="J117" i="6" s="1"/>
  <c r="E110" i="6"/>
  <c r="R109" i="6"/>
  <c r="R108" i="6"/>
  <c r="N108" i="6"/>
  <c r="K108" i="6"/>
  <c r="L108" i="6" s="1"/>
  <c r="J108" i="6"/>
  <c r="E108" i="6"/>
  <c r="G108" i="6" s="1"/>
  <c r="R107" i="6"/>
  <c r="N107" i="6"/>
  <c r="K107" i="6"/>
  <c r="L107" i="6" s="1"/>
  <c r="J107" i="6"/>
  <c r="E107" i="6"/>
  <c r="G107" i="6" s="1"/>
  <c r="R106" i="6"/>
  <c r="N106" i="6"/>
  <c r="K106" i="6"/>
  <c r="L106" i="6" s="1"/>
  <c r="J106" i="6"/>
  <c r="E106" i="6"/>
  <c r="G106" i="6" s="1"/>
  <c r="R105" i="6"/>
  <c r="N105" i="6"/>
  <c r="K105" i="6"/>
  <c r="L105" i="6" s="1"/>
  <c r="J105" i="6"/>
  <c r="E105" i="6"/>
  <c r="G105" i="6" s="1"/>
  <c r="R104" i="6"/>
  <c r="N104" i="6"/>
  <c r="K104" i="6"/>
  <c r="L104" i="6" s="1"/>
  <c r="J104" i="6"/>
  <c r="E104" i="6"/>
  <c r="G104" i="6" s="1"/>
  <c r="R103" i="6"/>
  <c r="N103" i="6"/>
  <c r="K103" i="6"/>
  <c r="L103" i="6" s="1"/>
  <c r="J103" i="6"/>
  <c r="E103" i="6"/>
  <c r="G103" i="6" s="1"/>
  <c r="R102" i="6"/>
  <c r="N102" i="6"/>
  <c r="N109" i="6" s="1"/>
  <c r="Q15" i="6" s="1"/>
  <c r="R15" i="6" s="1"/>
  <c r="K102" i="6"/>
  <c r="L102" i="6" s="1"/>
  <c r="J102" i="6"/>
  <c r="E102" i="6"/>
  <c r="G102" i="6" s="1"/>
  <c r="R101" i="6"/>
  <c r="R100" i="6"/>
  <c r="N100" i="6"/>
  <c r="K100" i="6"/>
  <c r="L100" i="6" s="1"/>
  <c r="J100" i="6"/>
  <c r="E100" i="6"/>
  <c r="G100" i="6" s="1"/>
  <c r="R99" i="6"/>
  <c r="N99" i="6"/>
  <c r="K99" i="6"/>
  <c r="L99" i="6" s="1"/>
  <c r="J99" i="6"/>
  <c r="E99" i="6"/>
  <c r="G99" i="6" s="1"/>
  <c r="R98" i="6"/>
  <c r="N98" i="6"/>
  <c r="K98" i="6"/>
  <c r="L98" i="6" s="1"/>
  <c r="J98" i="6"/>
  <c r="E98" i="6"/>
  <c r="G98" i="6" s="1"/>
  <c r="R97" i="6"/>
  <c r="N97" i="6"/>
  <c r="K97" i="6"/>
  <c r="L97" i="6" s="1"/>
  <c r="J97" i="6"/>
  <c r="E97" i="6"/>
  <c r="G97" i="6" s="1"/>
  <c r="R96" i="6"/>
  <c r="N96" i="6"/>
  <c r="K96" i="6"/>
  <c r="L96" i="6" s="1"/>
  <c r="J96" i="6"/>
  <c r="E96" i="6"/>
  <c r="G96" i="6" s="1"/>
  <c r="R95" i="6"/>
  <c r="N95" i="6"/>
  <c r="N101" i="6" s="1"/>
  <c r="Q14" i="6" s="1"/>
  <c r="R14" i="6" s="1"/>
  <c r="K95" i="6"/>
  <c r="J95" i="6"/>
  <c r="E95" i="6"/>
  <c r="R94" i="6"/>
  <c r="F94" i="6"/>
  <c r="F101" i="6" s="1"/>
  <c r="F109" i="6" s="1"/>
  <c r="R93" i="6"/>
  <c r="N93" i="6"/>
  <c r="K93" i="6"/>
  <c r="L93" i="6" s="1"/>
  <c r="J93" i="6"/>
  <c r="E93" i="6"/>
  <c r="G93" i="6" s="1"/>
  <c r="R92" i="6"/>
  <c r="N92" i="6"/>
  <c r="K92" i="6"/>
  <c r="L92" i="6" s="1"/>
  <c r="J92" i="6"/>
  <c r="E92" i="6"/>
  <c r="G92" i="6" s="1"/>
  <c r="R91" i="6"/>
  <c r="N91" i="6"/>
  <c r="K91" i="6"/>
  <c r="L91" i="6" s="1"/>
  <c r="J91" i="6"/>
  <c r="E91" i="6"/>
  <c r="G91" i="6" s="1"/>
  <c r="R90" i="6"/>
  <c r="N90" i="6"/>
  <c r="K90" i="6"/>
  <c r="L90" i="6" s="1"/>
  <c r="J90" i="6"/>
  <c r="E90" i="6"/>
  <c r="G90" i="6" s="1"/>
  <c r="R89" i="6"/>
  <c r="N89" i="6"/>
  <c r="K89" i="6"/>
  <c r="L89" i="6" s="1"/>
  <c r="J89" i="6"/>
  <c r="E89" i="6"/>
  <c r="G89" i="6" s="1"/>
  <c r="R88" i="6"/>
  <c r="N88" i="6"/>
  <c r="K88" i="6"/>
  <c r="L88" i="6" s="1"/>
  <c r="J88" i="6"/>
  <c r="E88" i="6"/>
  <c r="G88" i="6" s="1"/>
  <c r="R87" i="6"/>
  <c r="N87" i="6"/>
  <c r="N94" i="6" s="1"/>
  <c r="Q13" i="6" s="1"/>
  <c r="R13" i="6" s="1"/>
  <c r="K87" i="6"/>
  <c r="J87" i="6"/>
  <c r="J94" i="6" s="1"/>
  <c r="E87" i="6"/>
  <c r="R86" i="6"/>
  <c r="R85" i="6"/>
  <c r="N85" i="6"/>
  <c r="K85" i="6"/>
  <c r="L85" i="6" s="1"/>
  <c r="J85" i="6"/>
  <c r="E85" i="6"/>
  <c r="G85" i="6" s="1"/>
  <c r="R84" i="6"/>
  <c r="N84" i="6"/>
  <c r="K84" i="6"/>
  <c r="L84" i="6" s="1"/>
  <c r="J84" i="6"/>
  <c r="E84" i="6"/>
  <c r="G84" i="6" s="1"/>
  <c r="R83" i="6"/>
  <c r="N83" i="6"/>
  <c r="K83" i="6"/>
  <c r="L83" i="6" s="1"/>
  <c r="J83" i="6"/>
  <c r="E83" i="6"/>
  <c r="G83" i="6" s="1"/>
  <c r="R82" i="6"/>
  <c r="N82" i="6"/>
  <c r="K82" i="6"/>
  <c r="L82" i="6" s="1"/>
  <c r="J82" i="6"/>
  <c r="E82" i="6"/>
  <c r="G82" i="6" s="1"/>
  <c r="R81" i="6"/>
  <c r="N81" i="6"/>
  <c r="K81" i="6"/>
  <c r="L81" i="6" s="1"/>
  <c r="J81" i="6"/>
  <c r="E81" i="6"/>
  <c r="G81" i="6" s="1"/>
  <c r="R80" i="6"/>
  <c r="N80" i="6"/>
  <c r="K80" i="6"/>
  <c r="L80" i="6" s="1"/>
  <c r="J80" i="6"/>
  <c r="E80" i="6"/>
  <c r="G80" i="6" s="1"/>
  <c r="R79" i="6"/>
  <c r="N79" i="6"/>
  <c r="N86" i="6" s="1"/>
  <c r="Q12" i="6" s="1"/>
  <c r="R12" i="6" s="1"/>
  <c r="K79" i="6"/>
  <c r="J79" i="6"/>
  <c r="J86" i="6" s="1"/>
  <c r="E79" i="6"/>
  <c r="R78" i="6"/>
  <c r="R77" i="6"/>
  <c r="N77" i="6"/>
  <c r="K77" i="6"/>
  <c r="L77" i="6" s="1"/>
  <c r="J77" i="6"/>
  <c r="E77" i="6"/>
  <c r="G77" i="6" s="1"/>
  <c r="R76" i="6"/>
  <c r="N76" i="6"/>
  <c r="K76" i="6"/>
  <c r="L76" i="6" s="1"/>
  <c r="J76" i="6"/>
  <c r="E76" i="6"/>
  <c r="G76" i="6" s="1"/>
  <c r="R75" i="6"/>
  <c r="N75" i="6"/>
  <c r="K75" i="6"/>
  <c r="L75" i="6" s="1"/>
  <c r="J75" i="6"/>
  <c r="E75" i="6"/>
  <c r="G75" i="6" s="1"/>
  <c r="R74" i="6"/>
  <c r="N74" i="6"/>
  <c r="K74" i="6"/>
  <c r="L74" i="6" s="1"/>
  <c r="J74" i="6"/>
  <c r="E74" i="6"/>
  <c r="G74" i="6" s="1"/>
  <c r="R73" i="6"/>
  <c r="N73" i="6"/>
  <c r="K73" i="6"/>
  <c r="L73" i="6" s="1"/>
  <c r="J73" i="6"/>
  <c r="E73" i="6"/>
  <c r="G73" i="6" s="1"/>
  <c r="R72" i="6"/>
  <c r="N72" i="6"/>
  <c r="K72" i="6"/>
  <c r="J72" i="6"/>
  <c r="E72" i="6"/>
  <c r="G72" i="6" s="1"/>
  <c r="R71" i="6"/>
  <c r="N71" i="6"/>
  <c r="N78" i="6" s="1"/>
  <c r="Q11" i="6" s="1"/>
  <c r="R11" i="6" s="1"/>
  <c r="K71" i="6"/>
  <c r="L71" i="6" s="1"/>
  <c r="J71" i="6"/>
  <c r="J78" i="6" s="1"/>
  <c r="E71" i="6"/>
  <c r="R70" i="6"/>
  <c r="F70" i="6"/>
  <c r="R69" i="6"/>
  <c r="N69" i="6"/>
  <c r="K69" i="6"/>
  <c r="L69" i="6" s="1"/>
  <c r="J69" i="6"/>
  <c r="E69" i="6"/>
  <c r="G69" i="6" s="1"/>
  <c r="R68" i="6"/>
  <c r="N68" i="6"/>
  <c r="K68" i="6"/>
  <c r="L68" i="6" s="1"/>
  <c r="J68" i="6"/>
  <c r="E68" i="6"/>
  <c r="G68" i="6" s="1"/>
  <c r="R67" i="6"/>
  <c r="N67" i="6"/>
  <c r="K67" i="6"/>
  <c r="L67" i="6" s="1"/>
  <c r="J67" i="6"/>
  <c r="E67" i="6"/>
  <c r="G67" i="6" s="1"/>
  <c r="R66" i="6"/>
  <c r="N66" i="6"/>
  <c r="K66" i="6"/>
  <c r="L66" i="6" s="1"/>
  <c r="J66" i="6"/>
  <c r="E66" i="6"/>
  <c r="G66" i="6" s="1"/>
  <c r="R65" i="6"/>
  <c r="N65" i="6"/>
  <c r="K65" i="6"/>
  <c r="L65" i="6" s="1"/>
  <c r="J65" i="6"/>
  <c r="E65" i="6"/>
  <c r="G65" i="6" s="1"/>
  <c r="N64" i="6"/>
  <c r="K64" i="6"/>
  <c r="L64" i="6" s="1"/>
  <c r="J64" i="6"/>
  <c r="E64" i="6"/>
  <c r="G64" i="6" s="1"/>
  <c r="R63" i="6"/>
  <c r="N63" i="6"/>
  <c r="K63" i="6"/>
  <c r="L63" i="6" s="1"/>
  <c r="J63" i="6"/>
  <c r="E63" i="6"/>
  <c r="G63" i="6" s="1"/>
  <c r="R62" i="6"/>
  <c r="N62" i="6"/>
  <c r="K62" i="6"/>
  <c r="L62" i="6" s="1"/>
  <c r="J62" i="6"/>
  <c r="E62" i="6"/>
  <c r="G62" i="6" s="1"/>
  <c r="R61" i="6"/>
  <c r="N61" i="6"/>
  <c r="N70" i="6" s="1"/>
  <c r="Q10" i="6" s="1"/>
  <c r="R10" i="6" s="1"/>
  <c r="K61" i="6"/>
  <c r="J61" i="6"/>
  <c r="J70" i="6" s="1"/>
  <c r="E61" i="6"/>
  <c r="R60" i="6"/>
  <c r="R59" i="6"/>
  <c r="N59" i="6"/>
  <c r="K59" i="6"/>
  <c r="L59" i="6" s="1"/>
  <c r="J59" i="6"/>
  <c r="E59" i="6"/>
  <c r="G59" i="6" s="1"/>
  <c r="R58" i="6"/>
  <c r="N58" i="6"/>
  <c r="K58" i="6"/>
  <c r="L58" i="6" s="1"/>
  <c r="J58" i="6"/>
  <c r="E58" i="6"/>
  <c r="G58" i="6" s="1"/>
  <c r="N57" i="6"/>
  <c r="K57" i="6"/>
  <c r="L57" i="6" s="1"/>
  <c r="J57" i="6"/>
  <c r="E57" i="6"/>
  <c r="G57" i="6" s="1"/>
  <c r="R56" i="6"/>
  <c r="N56" i="6"/>
  <c r="K56" i="6"/>
  <c r="L56" i="6" s="1"/>
  <c r="J56" i="6"/>
  <c r="E56" i="6"/>
  <c r="G56" i="6" s="1"/>
  <c r="R55" i="6"/>
  <c r="N55" i="6"/>
  <c r="K55" i="6"/>
  <c r="L55" i="6" s="1"/>
  <c r="J55" i="6"/>
  <c r="E55" i="6"/>
  <c r="G55" i="6" s="1"/>
  <c r="R54" i="6"/>
  <c r="N54" i="6"/>
  <c r="K54" i="6"/>
  <c r="L54" i="6" s="1"/>
  <c r="J54" i="6"/>
  <c r="E54" i="6"/>
  <c r="G54" i="6" s="1"/>
  <c r="R53" i="6"/>
  <c r="N53" i="6"/>
  <c r="K53" i="6"/>
  <c r="L53" i="6" s="1"/>
  <c r="J53" i="6"/>
  <c r="E53" i="6"/>
  <c r="G53" i="6" s="1"/>
  <c r="R52" i="6"/>
  <c r="N52" i="6"/>
  <c r="K52" i="6"/>
  <c r="L52" i="6" s="1"/>
  <c r="J52" i="6"/>
  <c r="E52" i="6"/>
  <c r="G52" i="6" s="1"/>
  <c r="R51" i="6"/>
  <c r="N51" i="6"/>
  <c r="K51" i="6"/>
  <c r="L51" i="6" s="1"/>
  <c r="J51" i="6"/>
  <c r="E51" i="6"/>
  <c r="G51" i="6" s="1"/>
  <c r="R50" i="6"/>
  <c r="N50" i="6"/>
  <c r="K50" i="6"/>
  <c r="L50" i="6" s="1"/>
  <c r="J50" i="6"/>
  <c r="E50" i="6"/>
  <c r="G50" i="6" s="1"/>
  <c r="R49" i="6"/>
  <c r="N49" i="6"/>
  <c r="N60" i="6" s="1"/>
  <c r="Q8" i="6" s="1"/>
  <c r="R8" i="6" s="1"/>
  <c r="K49" i="6"/>
  <c r="J49" i="6"/>
  <c r="J60" i="6" s="1"/>
  <c r="E49" i="6"/>
  <c r="R48" i="6"/>
  <c r="F48" i="6"/>
  <c r="R47" i="6"/>
  <c r="N47" i="6"/>
  <c r="K47" i="6"/>
  <c r="L47" i="6" s="1"/>
  <c r="J47" i="6"/>
  <c r="E47" i="6"/>
  <c r="G47" i="6" s="1"/>
  <c r="N46" i="6"/>
  <c r="K46" i="6"/>
  <c r="L46" i="6" s="1"/>
  <c r="J46" i="6"/>
  <c r="E46" i="6"/>
  <c r="G46" i="6" s="1"/>
  <c r="N45" i="6"/>
  <c r="K45" i="6"/>
  <c r="L45" i="6" s="1"/>
  <c r="J45" i="6"/>
  <c r="E45" i="6"/>
  <c r="G45" i="6" s="1"/>
  <c r="R44" i="6"/>
  <c r="N44" i="6"/>
  <c r="K44" i="6"/>
  <c r="L44" i="6" s="1"/>
  <c r="J44" i="6"/>
  <c r="E44" i="6"/>
  <c r="G44" i="6" s="1"/>
  <c r="R43" i="6"/>
  <c r="N43" i="6"/>
  <c r="K43" i="6"/>
  <c r="L43" i="6" s="1"/>
  <c r="J43" i="6"/>
  <c r="E43" i="6"/>
  <c r="G43" i="6" s="1"/>
  <c r="R42" i="6"/>
  <c r="N42" i="6"/>
  <c r="K42" i="6"/>
  <c r="L42" i="6" s="1"/>
  <c r="J42" i="6"/>
  <c r="E42" i="6"/>
  <c r="G42" i="6" s="1"/>
  <c r="R41" i="6"/>
  <c r="N41" i="6"/>
  <c r="K41" i="6"/>
  <c r="L41" i="6" s="1"/>
  <c r="J41" i="6"/>
  <c r="E41" i="6"/>
  <c r="G41" i="6" s="1"/>
  <c r="R40" i="6"/>
  <c r="N40" i="6"/>
  <c r="K40" i="6"/>
  <c r="L40" i="6" s="1"/>
  <c r="J40" i="6"/>
  <c r="E40" i="6"/>
  <c r="G40" i="6" s="1"/>
  <c r="R39" i="6"/>
  <c r="N39" i="6"/>
  <c r="N48" i="6" s="1"/>
  <c r="Q7" i="6" s="1"/>
  <c r="R7" i="6" s="1"/>
  <c r="K39" i="6"/>
  <c r="J39" i="6"/>
  <c r="J48" i="6" s="1"/>
  <c r="E39" i="6"/>
  <c r="R38" i="6"/>
  <c r="R37" i="6"/>
  <c r="N37" i="6"/>
  <c r="K37" i="6"/>
  <c r="L37" i="6" s="1"/>
  <c r="J37" i="6"/>
  <c r="E37" i="6"/>
  <c r="G37" i="6" s="1"/>
  <c r="R36" i="6"/>
  <c r="N36" i="6"/>
  <c r="K36" i="6"/>
  <c r="L36" i="6" s="1"/>
  <c r="J36" i="6"/>
  <c r="E36" i="6"/>
  <c r="G36" i="6" s="1"/>
  <c r="R35" i="6"/>
  <c r="N35" i="6"/>
  <c r="K35" i="6"/>
  <c r="L35" i="6" s="1"/>
  <c r="J35" i="6"/>
  <c r="E35" i="6"/>
  <c r="G35" i="6" s="1"/>
  <c r="R34" i="6"/>
  <c r="N34" i="6"/>
  <c r="K34" i="6"/>
  <c r="L34" i="6" s="1"/>
  <c r="J34" i="6"/>
  <c r="E34" i="6"/>
  <c r="G34" i="6" s="1"/>
  <c r="R33" i="6"/>
  <c r="N33" i="6"/>
  <c r="K33" i="6"/>
  <c r="L33" i="6" s="1"/>
  <c r="J33" i="6"/>
  <c r="E33" i="6"/>
  <c r="G33" i="6" s="1"/>
  <c r="R32" i="6"/>
  <c r="N32" i="6"/>
  <c r="K32" i="6"/>
  <c r="L32" i="6" s="1"/>
  <c r="J32" i="6"/>
  <c r="E32" i="6"/>
  <c r="G32" i="6" s="1"/>
  <c r="R31" i="6"/>
  <c r="N31" i="6"/>
  <c r="K31" i="6"/>
  <c r="L31" i="6" s="1"/>
  <c r="J31" i="6"/>
  <c r="E31" i="6"/>
  <c r="G31" i="6" s="1"/>
  <c r="R30" i="6"/>
  <c r="N30" i="6"/>
  <c r="N38" i="6" s="1"/>
  <c r="Q6" i="6" s="1"/>
  <c r="R6" i="6" s="1"/>
  <c r="K30" i="6"/>
  <c r="J30" i="6"/>
  <c r="J38" i="6" s="1"/>
  <c r="E30" i="6"/>
  <c r="F29" i="6"/>
  <c r="R28" i="6"/>
  <c r="N28" i="6"/>
  <c r="K28" i="6"/>
  <c r="L28" i="6" s="1"/>
  <c r="J28" i="6"/>
  <c r="E28" i="6"/>
  <c r="G28" i="6" s="1"/>
  <c r="R27" i="6"/>
  <c r="N27" i="6"/>
  <c r="K27" i="6"/>
  <c r="L27" i="6" s="1"/>
  <c r="J27" i="6"/>
  <c r="E27" i="6"/>
  <c r="G27" i="6" s="1"/>
  <c r="R26" i="6"/>
  <c r="N26" i="6"/>
  <c r="K26" i="6"/>
  <c r="L26" i="6" s="1"/>
  <c r="J26" i="6"/>
  <c r="E26" i="6"/>
  <c r="G26" i="6" s="1"/>
  <c r="N25" i="6"/>
  <c r="K25" i="6"/>
  <c r="L25" i="6" s="1"/>
  <c r="J25" i="6"/>
  <c r="E25" i="6"/>
  <c r="G25" i="6" s="1"/>
  <c r="N24" i="6"/>
  <c r="K24" i="6"/>
  <c r="L24" i="6" s="1"/>
  <c r="J24" i="6"/>
  <c r="E24" i="6"/>
  <c r="G24" i="6" s="1"/>
  <c r="N23" i="6"/>
  <c r="K23" i="6"/>
  <c r="L23" i="6" s="1"/>
  <c r="J23" i="6"/>
  <c r="E23" i="6"/>
  <c r="G23" i="6" s="1"/>
  <c r="N22" i="6"/>
  <c r="K22" i="6"/>
  <c r="L22" i="6" s="1"/>
  <c r="J22" i="6"/>
  <c r="E22" i="6"/>
  <c r="G22" i="6" s="1"/>
  <c r="N21" i="6"/>
  <c r="K21" i="6"/>
  <c r="L21" i="6" s="1"/>
  <c r="J21" i="6"/>
  <c r="E21" i="6"/>
  <c r="G21" i="6" s="1"/>
  <c r="N20" i="6"/>
  <c r="N29" i="6" s="1"/>
  <c r="Q5" i="6" s="1"/>
  <c r="R5" i="6" s="1"/>
  <c r="K20" i="6"/>
  <c r="J20" i="6"/>
  <c r="J29" i="6" s="1"/>
  <c r="E20" i="6"/>
  <c r="F19" i="6"/>
  <c r="O18" i="6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N18" i="6"/>
  <c r="N19" i="6" s="1"/>
  <c r="Q4" i="6" s="1"/>
  <c r="K18" i="6"/>
  <c r="J18" i="6"/>
  <c r="J19" i="6" s="1"/>
  <c r="E18" i="6"/>
  <c r="N17" i="6"/>
  <c r="K17" i="6"/>
  <c r="L17" i="6" s="1"/>
  <c r="J17" i="6"/>
  <c r="E17" i="6"/>
  <c r="G17" i="6" s="1"/>
  <c r="N16" i="6"/>
  <c r="K16" i="6"/>
  <c r="L16" i="6" s="1"/>
  <c r="J16" i="6"/>
  <c r="E16" i="6"/>
  <c r="G16" i="6" s="1"/>
  <c r="N15" i="6"/>
  <c r="K15" i="6"/>
  <c r="L15" i="6" s="1"/>
  <c r="J15" i="6"/>
  <c r="E15" i="6"/>
  <c r="G15" i="6" s="1"/>
  <c r="N14" i="6"/>
  <c r="K14" i="6"/>
  <c r="L14" i="6" s="1"/>
  <c r="J14" i="6"/>
  <c r="E14" i="6"/>
  <c r="G14" i="6" s="1"/>
  <c r="N13" i="6"/>
  <c r="K13" i="6"/>
  <c r="L13" i="6" s="1"/>
  <c r="J13" i="6"/>
  <c r="E13" i="6"/>
  <c r="G13" i="6" s="1"/>
  <c r="N12" i="6"/>
  <c r="K12" i="6"/>
  <c r="L12" i="6" s="1"/>
  <c r="J12" i="6"/>
  <c r="E12" i="6"/>
  <c r="G12" i="6" s="1"/>
  <c r="F11" i="6"/>
  <c r="N10" i="6"/>
  <c r="K10" i="6"/>
  <c r="L10" i="6" s="1"/>
  <c r="J10" i="6"/>
  <c r="E10" i="6"/>
  <c r="G10" i="6" s="1"/>
  <c r="N9" i="6"/>
  <c r="K9" i="6"/>
  <c r="L9" i="6" s="1"/>
  <c r="J9" i="6"/>
  <c r="E9" i="6"/>
  <c r="G9" i="6" s="1"/>
  <c r="N8" i="6"/>
  <c r="K8" i="6"/>
  <c r="L8" i="6" s="1"/>
  <c r="J8" i="6"/>
  <c r="E8" i="6"/>
  <c r="G8" i="6" s="1"/>
  <c r="N7" i="6"/>
  <c r="K7" i="6"/>
  <c r="L7" i="6" s="1"/>
  <c r="J7" i="6"/>
  <c r="E7" i="6"/>
  <c r="G7" i="6" s="1"/>
  <c r="N6" i="6"/>
  <c r="K6" i="6"/>
  <c r="L6" i="6" s="1"/>
  <c r="J6" i="6"/>
  <c r="E6" i="6"/>
  <c r="G6" i="6" s="1"/>
  <c r="N5" i="6"/>
  <c r="K5" i="6"/>
  <c r="L5" i="6" s="1"/>
  <c r="J5" i="6"/>
  <c r="E5" i="6"/>
  <c r="G5" i="6" s="1"/>
  <c r="N4" i="6"/>
  <c r="K4" i="6"/>
  <c r="L4" i="6" s="1"/>
  <c r="J4" i="6"/>
  <c r="E4" i="6"/>
  <c r="G4" i="6" s="1"/>
  <c r="N3" i="6"/>
  <c r="N11" i="6" s="1"/>
  <c r="K3" i="6"/>
  <c r="J3" i="6"/>
  <c r="J11" i="6" s="1"/>
  <c r="E3" i="6"/>
  <c r="P2" i="6"/>
  <c r="F285" i="5"/>
  <c r="N284" i="5"/>
  <c r="K284" i="5"/>
  <c r="L284" i="5" s="1"/>
  <c r="J284" i="5"/>
  <c r="E284" i="5"/>
  <c r="G284" i="5" s="1"/>
  <c r="N283" i="5"/>
  <c r="K283" i="5"/>
  <c r="L283" i="5" s="1"/>
  <c r="J283" i="5"/>
  <c r="E283" i="5"/>
  <c r="G283" i="5" s="1"/>
  <c r="N282" i="5"/>
  <c r="K282" i="5"/>
  <c r="L282" i="5" s="1"/>
  <c r="J282" i="5"/>
  <c r="E282" i="5"/>
  <c r="G282" i="5" s="1"/>
  <c r="N281" i="5"/>
  <c r="N285" i="5" s="1"/>
  <c r="K281" i="5"/>
  <c r="L281" i="5" s="1"/>
  <c r="J281" i="5"/>
  <c r="E281" i="5"/>
  <c r="G281" i="5" s="1"/>
  <c r="K280" i="5"/>
  <c r="L280" i="5" s="1"/>
  <c r="J280" i="5"/>
  <c r="E280" i="5"/>
  <c r="G280" i="5" s="1"/>
  <c r="K279" i="5"/>
  <c r="J279" i="5"/>
  <c r="J285" i="5" s="1"/>
  <c r="E279" i="5"/>
  <c r="F278" i="5"/>
  <c r="N277" i="5"/>
  <c r="K277" i="5"/>
  <c r="L277" i="5" s="1"/>
  <c r="J277" i="5"/>
  <c r="E277" i="5"/>
  <c r="G277" i="5" s="1"/>
  <c r="N276" i="5"/>
  <c r="K276" i="5"/>
  <c r="L276" i="5" s="1"/>
  <c r="J276" i="5"/>
  <c r="E276" i="5"/>
  <c r="G276" i="5" s="1"/>
  <c r="N275" i="5"/>
  <c r="K275" i="5"/>
  <c r="L275" i="5" s="1"/>
  <c r="J275" i="5"/>
  <c r="E275" i="5"/>
  <c r="G275" i="5" s="1"/>
  <c r="N274" i="5"/>
  <c r="K274" i="5"/>
  <c r="L274" i="5" s="1"/>
  <c r="J274" i="5"/>
  <c r="E274" i="5"/>
  <c r="G274" i="5" s="1"/>
  <c r="N273" i="5"/>
  <c r="K273" i="5"/>
  <c r="L273" i="5" s="1"/>
  <c r="J273" i="5"/>
  <c r="E273" i="5"/>
  <c r="G273" i="5" s="1"/>
  <c r="N272" i="5"/>
  <c r="N278" i="5" s="1"/>
  <c r="Q210" i="5" s="1"/>
  <c r="K272" i="5"/>
  <c r="J272" i="5"/>
  <c r="J278" i="5" s="1"/>
  <c r="E272" i="5"/>
  <c r="F271" i="5"/>
  <c r="N270" i="5"/>
  <c r="K270" i="5"/>
  <c r="L270" i="5" s="1"/>
  <c r="J270" i="5"/>
  <c r="E270" i="5"/>
  <c r="G270" i="5" s="1"/>
  <c r="N269" i="5"/>
  <c r="K269" i="5"/>
  <c r="L269" i="5" s="1"/>
  <c r="J269" i="5"/>
  <c r="E269" i="5"/>
  <c r="G269" i="5" s="1"/>
  <c r="K268" i="5"/>
  <c r="L268" i="5" s="1"/>
  <c r="J268" i="5"/>
  <c r="E268" i="5"/>
  <c r="G268" i="5" s="1"/>
  <c r="N267" i="5"/>
  <c r="K267" i="5"/>
  <c r="L267" i="5" s="1"/>
  <c r="J267" i="5"/>
  <c r="E267" i="5"/>
  <c r="G267" i="5" s="1"/>
  <c r="N266" i="5"/>
  <c r="K266" i="5"/>
  <c r="L266" i="5" s="1"/>
  <c r="J266" i="5"/>
  <c r="E266" i="5"/>
  <c r="G266" i="5" s="1"/>
  <c r="N265" i="5"/>
  <c r="N271" i="5" s="1"/>
  <c r="Q209" i="5" s="1"/>
  <c r="K265" i="5"/>
  <c r="J265" i="5"/>
  <c r="J271" i="5" s="1"/>
  <c r="E265" i="5"/>
  <c r="F264" i="5"/>
  <c r="N263" i="5"/>
  <c r="K263" i="5"/>
  <c r="L263" i="5" s="1"/>
  <c r="J263" i="5"/>
  <c r="E263" i="5"/>
  <c r="G263" i="5" s="1"/>
  <c r="N262" i="5"/>
  <c r="K262" i="5"/>
  <c r="L262" i="5" s="1"/>
  <c r="J262" i="5"/>
  <c r="E262" i="5"/>
  <c r="G262" i="5" s="1"/>
  <c r="N261" i="5"/>
  <c r="K261" i="5"/>
  <c r="L261" i="5" s="1"/>
  <c r="J261" i="5"/>
  <c r="E261" i="5"/>
  <c r="G261" i="5" s="1"/>
  <c r="N260" i="5"/>
  <c r="K260" i="5"/>
  <c r="L260" i="5" s="1"/>
  <c r="J260" i="5"/>
  <c r="E260" i="5"/>
  <c r="G260" i="5" s="1"/>
  <c r="N259" i="5"/>
  <c r="K259" i="5"/>
  <c r="L259" i="5" s="1"/>
  <c r="E259" i="5"/>
  <c r="G259" i="5" s="1"/>
  <c r="N258" i="5"/>
  <c r="N264" i="5" s="1"/>
  <c r="Q205" i="5" s="1"/>
  <c r="K258" i="5"/>
  <c r="J258" i="5"/>
  <c r="J264" i="5" s="1"/>
  <c r="E258" i="5"/>
  <c r="F257" i="5"/>
  <c r="N256" i="5"/>
  <c r="K256" i="5"/>
  <c r="L256" i="5" s="1"/>
  <c r="J256" i="5"/>
  <c r="E256" i="5"/>
  <c r="G256" i="5" s="1"/>
  <c r="N255" i="5"/>
  <c r="K255" i="5"/>
  <c r="L255" i="5" s="1"/>
  <c r="J255" i="5"/>
  <c r="E255" i="5"/>
  <c r="G255" i="5" s="1"/>
  <c r="N254" i="5"/>
  <c r="N257" i="5" s="1"/>
  <c r="Q207" i="5" s="1"/>
  <c r="K254" i="5"/>
  <c r="L254" i="5" s="1"/>
  <c r="J254" i="5"/>
  <c r="E254" i="5"/>
  <c r="G254" i="5" s="1"/>
  <c r="K253" i="5"/>
  <c r="L253" i="5" s="1"/>
  <c r="J253" i="5"/>
  <c r="E253" i="5"/>
  <c r="G253" i="5" s="1"/>
  <c r="K252" i="5"/>
  <c r="L252" i="5" s="1"/>
  <c r="J252" i="5"/>
  <c r="E252" i="5"/>
  <c r="G252" i="5" s="1"/>
  <c r="K251" i="5"/>
  <c r="J251" i="5"/>
  <c r="J257" i="5" s="1"/>
  <c r="E251" i="5"/>
  <c r="F250" i="5"/>
  <c r="N249" i="5"/>
  <c r="K249" i="5"/>
  <c r="L249" i="5" s="1"/>
  <c r="J249" i="5"/>
  <c r="E249" i="5"/>
  <c r="G249" i="5" s="1"/>
  <c r="N248" i="5"/>
  <c r="N250" i="5" s="1"/>
  <c r="Q206" i="5" s="1"/>
  <c r="K248" i="5"/>
  <c r="L248" i="5" s="1"/>
  <c r="J248" i="5"/>
  <c r="K247" i="5"/>
  <c r="L247" i="5" s="1"/>
  <c r="J247" i="5"/>
  <c r="E247" i="5"/>
  <c r="G247" i="5" s="1"/>
  <c r="K246" i="5"/>
  <c r="L246" i="5" s="1"/>
  <c r="J246" i="5"/>
  <c r="E246" i="5"/>
  <c r="G246" i="5" s="1"/>
  <c r="K245" i="5"/>
  <c r="L245" i="5" s="1"/>
  <c r="J245" i="5"/>
  <c r="E245" i="5"/>
  <c r="G245" i="5" s="1"/>
  <c r="K244" i="5"/>
  <c r="L244" i="5" s="1"/>
  <c r="J244" i="5"/>
  <c r="E244" i="5"/>
  <c r="G244" i="5" s="1"/>
  <c r="K243" i="5"/>
  <c r="J243" i="5"/>
  <c r="E243" i="5"/>
  <c r="G243" i="5" s="1"/>
  <c r="J242" i="5"/>
  <c r="E242" i="5"/>
  <c r="F241" i="5"/>
  <c r="N240" i="5"/>
  <c r="K240" i="5"/>
  <c r="L240" i="5" s="1"/>
  <c r="J240" i="5"/>
  <c r="E240" i="5"/>
  <c r="G240" i="5" s="1"/>
  <c r="N239" i="5"/>
  <c r="N241" i="5" s="1"/>
  <c r="Q208" i="5" s="1"/>
  <c r="K239" i="5"/>
  <c r="L239" i="5" s="1"/>
  <c r="J239" i="5"/>
  <c r="E239" i="5"/>
  <c r="G239" i="5" s="1"/>
  <c r="K238" i="5"/>
  <c r="L238" i="5" s="1"/>
  <c r="J238" i="5"/>
  <c r="E238" i="5"/>
  <c r="G238" i="5" s="1"/>
  <c r="K237" i="5"/>
  <c r="L237" i="5" s="1"/>
  <c r="J237" i="5"/>
  <c r="E237" i="5"/>
  <c r="G237" i="5" s="1"/>
  <c r="K236" i="5"/>
  <c r="J236" i="5"/>
  <c r="J241" i="5" s="1"/>
  <c r="E236" i="5"/>
  <c r="F235" i="5"/>
  <c r="K234" i="5"/>
  <c r="J234" i="5"/>
  <c r="E234" i="5"/>
  <c r="G234" i="5" s="1"/>
  <c r="N233" i="5"/>
  <c r="K233" i="5"/>
  <c r="L233" i="5" s="1"/>
  <c r="J233" i="5"/>
  <c r="E233" i="5"/>
  <c r="G233" i="5" s="1"/>
  <c r="N232" i="5"/>
  <c r="K232" i="5"/>
  <c r="L232" i="5" s="1"/>
  <c r="J232" i="5"/>
  <c r="E232" i="5"/>
  <c r="G232" i="5" s="1"/>
  <c r="N231" i="5"/>
  <c r="K231" i="5"/>
  <c r="L231" i="5" s="1"/>
  <c r="J231" i="5"/>
  <c r="E231" i="5"/>
  <c r="G231" i="5" s="1"/>
  <c r="N230" i="5"/>
  <c r="K230" i="5"/>
  <c r="J230" i="5"/>
  <c r="J235" i="5" s="1"/>
  <c r="E230" i="5"/>
  <c r="F229" i="5"/>
  <c r="N228" i="5"/>
  <c r="K228" i="5"/>
  <c r="L228" i="5" s="1"/>
  <c r="J228" i="5"/>
  <c r="E228" i="5"/>
  <c r="G228" i="5" s="1"/>
  <c r="N227" i="5"/>
  <c r="K227" i="5"/>
  <c r="L227" i="5" s="1"/>
  <c r="J227" i="5"/>
  <c r="E227" i="5"/>
  <c r="G227" i="5" s="1"/>
  <c r="N226" i="5"/>
  <c r="K226" i="5"/>
  <c r="L226" i="5" s="1"/>
  <c r="J226" i="5"/>
  <c r="E226" i="5"/>
  <c r="G226" i="5" s="1"/>
  <c r="K225" i="5"/>
  <c r="J225" i="5"/>
  <c r="E225" i="5"/>
  <c r="N224" i="5"/>
  <c r="K224" i="5"/>
  <c r="J224" i="5"/>
  <c r="J229" i="5" s="1"/>
  <c r="G224" i="5"/>
  <c r="G229" i="5" s="1"/>
  <c r="F223" i="5"/>
  <c r="N222" i="5"/>
  <c r="K222" i="5"/>
  <c r="L222" i="5" s="1"/>
  <c r="J222" i="5"/>
  <c r="E222" i="5"/>
  <c r="G222" i="5" s="1"/>
  <c r="K221" i="5"/>
  <c r="J221" i="5"/>
  <c r="E221" i="5"/>
  <c r="G221" i="5" s="1"/>
  <c r="K220" i="5"/>
  <c r="J220" i="5"/>
  <c r="E220" i="5"/>
  <c r="G220" i="5" s="1"/>
  <c r="K219" i="5"/>
  <c r="J219" i="5"/>
  <c r="E219" i="5"/>
  <c r="G219" i="5" s="1"/>
  <c r="K218" i="5"/>
  <c r="J218" i="5"/>
  <c r="J223" i="5" s="1"/>
  <c r="E218" i="5"/>
  <c r="K217" i="5"/>
  <c r="F217" i="5"/>
  <c r="N216" i="5"/>
  <c r="J216" i="5"/>
  <c r="L216" i="5" s="1"/>
  <c r="E216" i="5"/>
  <c r="G216" i="5" s="1"/>
  <c r="N215" i="5"/>
  <c r="J215" i="5"/>
  <c r="L215" i="5" s="1"/>
  <c r="E215" i="5"/>
  <c r="G215" i="5" s="1"/>
  <c r="N214" i="5"/>
  <c r="J214" i="5"/>
  <c r="L214" i="5" s="1"/>
  <c r="E214" i="5"/>
  <c r="G214" i="5" s="1"/>
  <c r="N213" i="5"/>
  <c r="J213" i="5"/>
  <c r="L213" i="5" s="1"/>
  <c r="E213" i="5"/>
  <c r="G213" i="5" s="1"/>
  <c r="N212" i="5"/>
  <c r="N217" i="5" s="1"/>
  <c r="Q201" i="5" s="1"/>
  <c r="J212" i="5"/>
  <c r="E212" i="5"/>
  <c r="F211" i="5"/>
  <c r="N210" i="5"/>
  <c r="K210" i="5"/>
  <c r="L210" i="5" s="1"/>
  <c r="J210" i="5"/>
  <c r="E210" i="5"/>
  <c r="G210" i="5" s="1"/>
  <c r="N209" i="5"/>
  <c r="K209" i="5"/>
  <c r="L209" i="5" s="1"/>
  <c r="J209" i="5"/>
  <c r="E209" i="5"/>
  <c r="G209" i="5" s="1"/>
  <c r="N208" i="5"/>
  <c r="K208" i="5"/>
  <c r="L208" i="5" s="1"/>
  <c r="J208" i="5"/>
  <c r="G208" i="5"/>
  <c r="N207" i="5"/>
  <c r="K207" i="5"/>
  <c r="L207" i="5" s="1"/>
  <c r="E207" i="5"/>
  <c r="G207" i="5" s="1"/>
  <c r="N206" i="5"/>
  <c r="N211" i="5" s="1"/>
  <c r="Q200" i="5" s="1"/>
  <c r="K206" i="5"/>
  <c r="J206" i="5"/>
  <c r="J211" i="5" s="1"/>
  <c r="E206" i="5"/>
  <c r="F205" i="5"/>
  <c r="K204" i="5"/>
  <c r="J204" i="5"/>
  <c r="E204" i="5"/>
  <c r="G204" i="5" s="1"/>
  <c r="K203" i="5"/>
  <c r="J203" i="5"/>
  <c r="E203" i="5"/>
  <c r="G203" i="5" s="1"/>
  <c r="K202" i="5"/>
  <c r="J202" i="5"/>
  <c r="E202" i="5"/>
  <c r="G202" i="5" s="1"/>
  <c r="K201" i="5"/>
  <c r="J201" i="5"/>
  <c r="E201" i="5"/>
  <c r="G201" i="5" s="1"/>
  <c r="N200" i="5"/>
  <c r="J200" i="5"/>
  <c r="E200" i="5"/>
  <c r="R196" i="5"/>
  <c r="Q195" i="5"/>
  <c r="R195" i="5" s="1"/>
  <c r="R194" i="5"/>
  <c r="K194" i="5"/>
  <c r="J194" i="5"/>
  <c r="E194" i="5"/>
  <c r="G194" i="5" s="1"/>
  <c r="K193" i="5"/>
  <c r="J193" i="5"/>
  <c r="E193" i="5"/>
  <c r="G193" i="5" s="1"/>
  <c r="K192" i="5"/>
  <c r="J192" i="5"/>
  <c r="E192" i="5"/>
  <c r="G192" i="5" s="1"/>
  <c r="K191" i="5"/>
  <c r="J191" i="5"/>
  <c r="E191" i="5"/>
  <c r="G191" i="5" s="1"/>
  <c r="K190" i="5"/>
  <c r="J190" i="5"/>
  <c r="E190" i="5"/>
  <c r="G190" i="5" s="1"/>
  <c r="K189" i="5"/>
  <c r="J189" i="5"/>
  <c r="E189" i="5"/>
  <c r="G189" i="5" s="1"/>
  <c r="K188" i="5"/>
  <c r="J188" i="5"/>
  <c r="E188" i="5"/>
  <c r="G188" i="5" s="1"/>
  <c r="R186" i="5"/>
  <c r="K186" i="5"/>
  <c r="J186" i="5"/>
  <c r="E186" i="5"/>
  <c r="G186" i="5" s="1"/>
  <c r="R185" i="5"/>
  <c r="K185" i="5"/>
  <c r="J185" i="5"/>
  <c r="E185" i="5"/>
  <c r="G185" i="5" s="1"/>
  <c r="R184" i="5"/>
  <c r="K184" i="5"/>
  <c r="J184" i="5"/>
  <c r="E184" i="5"/>
  <c r="G184" i="5" s="1"/>
  <c r="R183" i="5"/>
  <c r="K183" i="5"/>
  <c r="J183" i="5"/>
  <c r="E183" i="5"/>
  <c r="G183" i="5" s="1"/>
  <c r="R182" i="5"/>
  <c r="K182" i="5"/>
  <c r="J182" i="5"/>
  <c r="E182" i="5"/>
  <c r="G182" i="5" s="1"/>
  <c r="R181" i="5"/>
  <c r="K181" i="5"/>
  <c r="L181" i="5" s="1"/>
  <c r="J181" i="5"/>
  <c r="E181" i="5"/>
  <c r="G181" i="5" s="1"/>
  <c r="R180" i="5"/>
  <c r="K180" i="5"/>
  <c r="J180" i="5"/>
  <c r="E180" i="5"/>
  <c r="F179" i="5"/>
  <c r="F187" i="5" s="1"/>
  <c r="F195" i="5" s="1"/>
  <c r="N178" i="5"/>
  <c r="J178" i="5"/>
  <c r="L178" i="5" s="1"/>
  <c r="E178" i="5"/>
  <c r="G178" i="5" s="1"/>
  <c r="N177" i="5"/>
  <c r="J177" i="5"/>
  <c r="L177" i="5" s="1"/>
  <c r="E177" i="5"/>
  <c r="G177" i="5" s="1"/>
  <c r="N176" i="5"/>
  <c r="J176" i="5"/>
  <c r="L176" i="5" s="1"/>
  <c r="E176" i="5"/>
  <c r="G176" i="5" s="1"/>
  <c r="K175" i="5"/>
  <c r="J175" i="5"/>
  <c r="E175" i="5"/>
  <c r="G175" i="5" s="1"/>
  <c r="K174" i="5"/>
  <c r="J174" i="5"/>
  <c r="E174" i="5"/>
  <c r="K173" i="5"/>
  <c r="L173" i="5" s="1"/>
  <c r="J173" i="5"/>
  <c r="E173" i="5"/>
  <c r="G173" i="5" s="1"/>
  <c r="K172" i="5"/>
  <c r="L172" i="5" s="1"/>
  <c r="J172" i="5"/>
  <c r="E172" i="5"/>
  <c r="G172" i="5" s="1"/>
  <c r="K171" i="5"/>
  <c r="J171" i="5"/>
  <c r="J179" i="5" s="1"/>
  <c r="E171" i="5"/>
  <c r="F170" i="5"/>
  <c r="K169" i="5"/>
  <c r="J169" i="5"/>
  <c r="E169" i="5"/>
  <c r="G169" i="5" s="1"/>
  <c r="K168" i="5"/>
  <c r="J168" i="5"/>
  <c r="E168" i="5"/>
  <c r="G168" i="5" s="1"/>
  <c r="K167" i="5"/>
  <c r="J167" i="5"/>
  <c r="E167" i="5"/>
  <c r="G167" i="5" s="1"/>
  <c r="K166" i="5"/>
  <c r="L166" i="5" s="1"/>
  <c r="J166" i="5"/>
  <c r="E166" i="5"/>
  <c r="G166" i="5" s="1"/>
  <c r="K165" i="5"/>
  <c r="L165" i="5" s="1"/>
  <c r="J165" i="5"/>
  <c r="E165" i="5"/>
  <c r="G165" i="5" s="1"/>
  <c r="K164" i="5"/>
  <c r="L164" i="5" s="1"/>
  <c r="J164" i="5"/>
  <c r="E164" i="5"/>
  <c r="G164" i="5" s="1"/>
  <c r="K163" i="5"/>
  <c r="L163" i="5" s="1"/>
  <c r="J163" i="5"/>
  <c r="E163" i="5"/>
  <c r="G163" i="5" s="1"/>
  <c r="K162" i="5"/>
  <c r="J162" i="5"/>
  <c r="J170" i="5" s="1"/>
  <c r="E162" i="5"/>
  <c r="R161" i="5"/>
  <c r="F161" i="5"/>
  <c r="R160" i="5"/>
  <c r="K160" i="5"/>
  <c r="J160" i="5"/>
  <c r="E160" i="5"/>
  <c r="G160" i="5" s="1"/>
  <c r="R159" i="5"/>
  <c r="N159" i="5"/>
  <c r="K159" i="5"/>
  <c r="L159" i="5" s="1"/>
  <c r="J159" i="5"/>
  <c r="E159" i="5"/>
  <c r="G159" i="5" s="1"/>
  <c r="R158" i="5"/>
  <c r="N158" i="5"/>
  <c r="K158" i="5"/>
  <c r="L158" i="5" s="1"/>
  <c r="J158" i="5"/>
  <c r="E158" i="5"/>
  <c r="G158" i="5" s="1"/>
  <c r="R157" i="5"/>
  <c r="N157" i="5"/>
  <c r="K157" i="5"/>
  <c r="L157" i="5" s="1"/>
  <c r="J157" i="5"/>
  <c r="E157" i="5"/>
  <c r="G157" i="5" s="1"/>
  <c r="R156" i="5"/>
  <c r="K156" i="5"/>
  <c r="L156" i="5" s="1"/>
  <c r="J156" i="5"/>
  <c r="E156" i="5"/>
  <c r="G156" i="5" s="1"/>
  <c r="R155" i="5"/>
  <c r="K155" i="5"/>
  <c r="L155" i="5" s="1"/>
  <c r="J155" i="5"/>
  <c r="E155" i="5"/>
  <c r="G155" i="5" s="1"/>
  <c r="R154" i="5"/>
  <c r="K154" i="5"/>
  <c r="L154" i="5" s="1"/>
  <c r="J154" i="5"/>
  <c r="E154" i="5"/>
  <c r="G154" i="5" s="1"/>
  <c r="R153" i="5"/>
  <c r="K153" i="5"/>
  <c r="J153" i="5"/>
  <c r="J161" i="5" s="1"/>
  <c r="E153" i="5"/>
  <c r="R152" i="5"/>
  <c r="R151" i="5"/>
  <c r="K151" i="5"/>
  <c r="J151" i="5"/>
  <c r="E151" i="5"/>
  <c r="G151" i="5" s="1"/>
  <c r="R150" i="5"/>
  <c r="N150" i="5"/>
  <c r="K150" i="5"/>
  <c r="L150" i="5" s="1"/>
  <c r="J150" i="5"/>
  <c r="E150" i="5"/>
  <c r="G150" i="5" s="1"/>
  <c r="R149" i="5"/>
  <c r="N149" i="5"/>
  <c r="K149" i="5"/>
  <c r="L149" i="5" s="1"/>
  <c r="J149" i="5"/>
  <c r="E149" i="5"/>
  <c r="G149" i="5" s="1"/>
  <c r="R148" i="5"/>
  <c r="N148" i="5"/>
  <c r="J148" i="5"/>
  <c r="L148" i="5" s="1"/>
  <c r="E148" i="5"/>
  <c r="G148" i="5" s="1"/>
  <c r="R147" i="5"/>
  <c r="N147" i="5"/>
  <c r="J147" i="5"/>
  <c r="L147" i="5" s="1"/>
  <c r="E147" i="5"/>
  <c r="G147" i="5" s="1"/>
  <c r="R146" i="5"/>
  <c r="K146" i="5"/>
  <c r="L146" i="5" s="1"/>
  <c r="J146" i="5"/>
  <c r="E146" i="5"/>
  <c r="G146" i="5" s="1"/>
  <c r="R145" i="5"/>
  <c r="K145" i="5"/>
  <c r="L145" i="5" s="1"/>
  <c r="J145" i="5"/>
  <c r="E145" i="5"/>
  <c r="G145" i="5" s="1"/>
  <c r="R144" i="5"/>
  <c r="K144" i="5"/>
  <c r="J144" i="5"/>
  <c r="J152" i="5" s="1"/>
  <c r="E144" i="5"/>
  <c r="R143" i="5"/>
  <c r="F143" i="5"/>
  <c r="R142" i="5"/>
  <c r="K142" i="5"/>
  <c r="J142" i="5"/>
  <c r="E142" i="5"/>
  <c r="G142" i="5" s="1"/>
  <c r="R141" i="5"/>
  <c r="N141" i="5"/>
  <c r="K141" i="5"/>
  <c r="J141" i="5"/>
  <c r="E141" i="5"/>
  <c r="G141" i="5" s="1"/>
  <c r="R140" i="5"/>
  <c r="N140" i="5"/>
  <c r="J140" i="5"/>
  <c r="L140" i="5" s="1"/>
  <c r="E140" i="5"/>
  <c r="G140" i="5" s="1"/>
  <c r="R139" i="5"/>
  <c r="N139" i="5"/>
  <c r="J139" i="5"/>
  <c r="E139" i="5"/>
  <c r="G139" i="5" s="1"/>
  <c r="R138" i="5"/>
  <c r="N138" i="5"/>
  <c r="J138" i="5"/>
  <c r="L138" i="5" s="1"/>
  <c r="E138" i="5"/>
  <c r="G138" i="5" s="1"/>
  <c r="R137" i="5"/>
  <c r="J137" i="5"/>
  <c r="L137" i="5" s="1"/>
  <c r="E137" i="5"/>
  <c r="G137" i="5" s="1"/>
  <c r="R136" i="5"/>
  <c r="J136" i="5"/>
  <c r="L136" i="5" s="1"/>
  <c r="E136" i="5"/>
  <c r="G136" i="5" s="1"/>
  <c r="R135" i="5"/>
  <c r="J135" i="5"/>
  <c r="E135" i="5"/>
  <c r="R134" i="5"/>
  <c r="F134" i="5"/>
  <c r="R133" i="5"/>
  <c r="N133" i="5"/>
  <c r="N134" i="5" s="1"/>
  <c r="Q18" i="5" s="1"/>
  <c r="R18" i="5" s="1"/>
  <c r="J133" i="5"/>
  <c r="L133" i="5" s="1"/>
  <c r="E133" i="5"/>
  <c r="G133" i="5" s="1"/>
  <c r="R132" i="5"/>
  <c r="J132" i="5"/>
  <c r="L132" i="5" s="1"/>
  <c r="E132" i="5"/>
  <c r="G132" i="5" s="1"/>
  <c r="R131" i="5"/>
  <c r="J131" i="5"/>
  <c r="L131" i="5" s="1"/>
  <c r="E131" i="5"/>
  <c r="G131" i="5" s="1"/>
  <c r="R130" i="5"/>
  <c r="K130" i="5"/>
  <c r="L130" i="5" s="1"/>
  <c r="J130" i="5"/>
  <c r="E130" i="5"/>
  <c r="G130" i="5" s="1"/>
  <c r="R129" i="5"/>
  <c r="K129" i="5"/>
  <c r="L129" i="5" s="1"/>
  <c r="J129" i="5"/>
  <c r="E129" i="5"/>
  <c r="G129" i="5" s="1"/>
  <c r="R128" i="5"/>
  <c r="K128" i="5"/>
  <c r="L128" i="5" s="1"/>
  <c r="J128" i="5"/>
  <c r="E128" i="5"/>
  <c r="G128" i="5" s="1"/>
  <c r="R127" i="5"/>
  <c r="K127" i="5"/>
  <c r="L127" i="5" s="1"/>
  <c r="J127" i="5"/>
  <c r="E127" i="5"/>
  <c r="G127" i="5" s="1"/>
  <c r="R126" i="5"/>
  <c r="K126" i="5"/>
  <c r="J126" i="5"/>
  <c r="J134" i="5" s="1"/>
  <c r="E126" i="5"/>
  <c r="R125" i="5"/>
  <c r="F125" i="5"/>
  <c r="R124" i="5"/>
  <c r="N124" i="5"/>
  <c r="K124" i="5"/>
  <c r="L124" i="5" s="1"/>
  <c r="J124" i="5"/>
  <c r="E124" i="5"/>
  <c r="G124" i="5" s="1"/>
  <c r="R123" i="5"/>
  <c r="N123" i="5"/>
  <c r="K123" i="5"/>
  <c r="L123" i="5" s="1"/>
  <c r="J123" i="5"/>
  <c r="E123" i="5"/>
  <c r="G123" i="5" s="1"/>
  <c r="R122" i="5"/>
  <c r="N122" i="5"/>
  <c r="K122" i="5"/>
  <c r="L122" i="5" s="1"/>
  <c r="J122" i="5"/>
  <c r="E122" i="5"/>
  <c r="G122" i="5" s="1"/>
  <c r="R121" i="5"/>
  <c r="N121" i="5"/>
  <c r="K121" i="5"/>
  <c r="L121" i="5" s="1"/>
  <c r="J121" i="5"/>
  <c r="E121" i="5"/>
  <c r="G121" i="5" s="1"/>
  <c r="R120" i="5"/>
  <c r="N120" i="5"/>
  <c r="K120" i="5"/>
  <c r="L120" i="5" s="1"/>
  <c r="J120" i="5"/>
  <c r="E120" i="5"/>
  <c r="G120" i="5" s="1"/>
  <c r="R119" i="5"/>
  <c r="N119" i="5"/>
  <c r="K119" i="5"/>
  <c r="L119" i="5" s="1"/>
  <c r="J119" i="5"/>
  <c r="E119" i="5"/>
  <c r="G119" i="5" s="1"/>
  <c r="R118" i="5"/>
  <c r="N118" i="5"/>
  <c r="N125" i="5" s="1"/>
  <c r="Q17" i="5" s="1"/>
  <c r="R17" i="5" s="1"/>
  <c r="K118" i="5"/>
  <c r="J118" i="5"/>
  <c r="J125" i="5" s="1"/>
  <c r="E118" i="5"/>
  <c r="R117" i="5"/>
  <c r="R116" i="5"/>
  <c r="N116" i="5"/>
  <c r="K116" i="5"/>
  <c r="L116" i="5" s="1"/>
  <c r="J116" i="5"/>
  <c r="E116" i="5"/>
  <c r="G116" i="5" s="1"/>
  <c r="R115" i="5"/>
  <c r="N115" i="5"/>
  <c r="K115" i="5"/>
  <c r="L115" i="5" s="1"/>
  <c r="J115" i="5"/>
  <c r="E115" i="5"/>
  <c r="G115" i="5" s="1"/>
  <c r="R114" i="5"/>
  <c r="N114" i="5"/>
  <c r="K114" i="5"/>
  <c r="L114" i="5" s="1"/>
  <c r="J114" i="5"/>
  <c r="E114" i="5"/>
  <c r="G114" i="5" s="1"/>
  <c r="R113" i="5"/>
  <c r="N113" i="5"/>
  <c r="K113" i="5"/>
  <c r="L113" i="5" s="1"/>
  <c r="J113" i="5"/>
  <c r="E113" i="5"/>
  <c r="G113" i="5" s="1"/>
  <c r="R112" i="5"/>
  <c r="N112" i="5"/>
  <c r="K112" i="5"/>
  <c r="L112" i="5" s="1"/>
  <c r="J112" i="5"/>
  <c r="E112" i="5"/>
  <c r="G112" i="5" s="1"/>
  <c r="R111" i="5"/>
  <c r="N111" i="5"/>
  <c r="K111" i="5"/>
  <c r="L111" i="5" s="1"/>
  <c r="J111" i="5"/>
  <c r="E111" i="5"/>
  <c r="G111" i="5" s="1"/>
  <c r="R110" i="5"/>
  <c r="N110" i="5"/>
  <c r="N117" i="5" s="1"/>
  <c r="K110" i="5"/>
  <c r="J110" i="5"/>
  <c r="J117" i="5" s="1"/>
  <c r="E110" i="5"/>
  <c r="R109" i="5"/>
  <c r="R108" i="5"/>
  <c r="N108" i="5"/>
  <c r="K108" i="5"/>
  <c r="L108" i="5" s="1"/>
  <c r="J108" i="5"/>
  <c r="E108" i="5"/>
  <c r="G108" i="5" s="1"/>
  <c r="R107" i="5"/>
  <c r="N107" i="5"/>
  <c r="K107" i="5"/>
  <c r="L107" i="5" s="1"/>
  <c r="J107" i="5"/>
  <c r="E107" i="5"/>
  <c r="G107" i="5" s="1"/>
  <c r="R106" i="5"/>
  <c r="N106" i="5"/>
  <c r="K106" i="5"/>
  <c r="L106" i="5" s="1"/>
  <c r="J106" i="5"/>
  <c r="E106" i="5"/>
  <c r="G106" i="5" s="1"/>
  <c r="R105" i="5"/>
  <c r="N105" i="5"/>
  <c r="K105" i="5"/>
  <c r="L105" i="5" s="1"/>
  <c r="J105" i="5"/>
  <c r="E105" i="5"/>
  <c r="G105" i="5" s="1"/>
  <c r="R104" i="5"/>
  <c r="N104" i="5"/>
  <c r="K104" i="5"/>
  <c r="L104" i="5" s="1"/>
  <c r="J104" i="5"/>
  <c r="E104" i="5"/>
  <c r="G104" i="5" s="1"/>
  <c r="R103" i="5"/>
  <c r="N103" i="5"/>
  <c r="K103" i="5"/>
  <c r="L103" i="5" s="1"/>
  <c r="J103" i="5"/>
  <c r="E103" i="5"/>
  <c r="G103" i="5" s="1"/>
  <c r="R102" i="5"/>
  <c r="N102" i="5"/>
  <c r="N109" i="5" s="1"/>
  <c r="Q15" i="5" s="1"/>
  <c r="R15" i="5" s="1"/>
  <c r="K102" i="5"/>
  <c r="L102" i="5" s="1"/>
  <c r="J102" i="5"/>
  <c r="E102" i="5"/>
  <c r="G102" i="5" s="1"/>
  <c r="R101" i="5"/>
  <c r="R100" i="5"/>
  <c r="N100" i="5"/>
  <c r="K100" i="5"/>
  <c r="L100" i="5" s="1"/>
  <c r="J100" i="5"/>
  <c r="E100" i="5"/>
  <c r="G100" i="5" s="1"/>
  <c r="R99" i="5"/>
  <c r="N99" i="5"/>
  <c r="K99" i="5"/>
  <c r="L99" i="5" s="1"/>
  <c r="J99" i="5"/>
  <c r="E99" i="5"/>
  <c r="G99" i="5" s="1"/>
  <c r="R98" i="5"/>
  <c r="N98" i="5"/>
  <c r="K98" i="5"/>
  <c r="L98" i="5" s="1"/>
  <c r="J98" i="5"/>
  <c r="E98" i="5"/>
  <c r="G98" i="5" s="1"/>
  <c r="R97" i="5"/>
  <c r="N97" i="5"/>
  <c r="K97" i="5"/>
  <c r="L97" i="5" s="1"/>
  <c r="J97" i="5"/>
  <c r="E97" i="5"/>
  <c r="G97" i="5" s="1"/>
  <c r="R96" i="5"/>
  <c r="N96" i="5"/>
  <c r="K96" i="5"/>
  <c r="L96" i="5" s="1"/>
  <c r="J96" i="5"/>
  <c r="E96" i="5"/>
  <c r="G96" i="5" s="1"/>
  <c r="R95" i="5"/>
  <c r="N95" i="5"/>
  <c r="N101" i="5" s="1"/>
  <c r="Q14" i="5" s="1"/>
  <c r="R14" i="5" s="1"/>
  <c r="K95" i="5"/>
  <c r="J95" i="5"/>
  <c r="E95" i="5"/>
  <c r="R94" i="5"/>
  <c r="F94" i="5"/>
  <c r="F101" i="5" s="1"/>
  <c r="F109" i="5" s="1"/>
  <c r="R93" i="5"/>
  <c r="N93" i="5"/>
  <c r="K93" i="5"/>
  <c r="L93" i="5" s="1"/>
  <c r="J93" i="5"/>
  <c r="E93" i="5"/>
  <c r="G93" i="5" s="1"/>
  <c r="R92" i="5"/>
  <c r="N92" i="5"/>
  <c r="K92" i="5"/>
  <c r="L92" i="5" s="1"/>
  <c r="J92" i="5"/>
  <c r="E92" i="5"/>
  <c r="G92" i="5" s="1"/>
  <c r="R91" i="5"/>
  <c r="N91" i="5"/>
  <c r="K91" i="5"/>
  <c r="L91" i="5" s="1"/>
  <c r="J91" i="5"/>
  <c r="E91" i="5"/>
  <c r="G91" i="5" s="1"/>
  <c r="R90" i="5"/>
  <c r="N90" i="5"/>
  <c r="K90" i="5"/>
  <c r="L90" i="5" s="1"/>
  <c r="J90" i="5"/>
  <c r="E90" i="5"/>
  <c r="G90" i="5" s="1"/>
  <c r="R89" i="5"/>
  <c r="N89" i="5"/>
  <c r="K89" i="5"/>
  <c r="L89" i="5" s="1"/>
  <c r="J89" i="5"/>
  <c r="E89" i="5"/>
  <c r="G89" i="5" s="1"/>
  <c r="R88" i="5"/>
  <c r="N88" i="5"/>
  <c r="K88" i="5"/>
  <c r="L88" i="5" s="1"/>
  <c r="J88" i="5"/>
  <c r="E88" i="5"/>
  <c r="G88" i="5" s="1"/>
  <c r="R87" i="5"/>
  <c r="N87" i="5"/>
  <c r="N94" i="5" s="1"/>
  <c r="Q13" i="5" s="1"/>
  <c r="R13" i="5" s="1"/>
  <c r="K87" i="5"/>
  <c r="J87" i="5"/>
  <c r="J94" i="5" s="1"/>
  <c r="E87" i="5"/>
  <c r="R86" i="5"/>
  <c r="R85" i="5"/>
  <c r="N85" i="5"/>
  <c r="K85" i="5"/>
  <c r="L85" i="5" s="1"/>
  <c r="J85" i="5"/>
  <c r="E85" i="5"/>
  <c r="G85" i="5" s="1"/>
  <c r="R84" i="5"/>
  <c r="N84" i="5"/>
  <c r="K84" i="5"/>
  <c r="L84" i="5" s="1"/>
  <c r="J84" i="5"/>
  <c r="E84" i="5"/>
  <c r="G84" i="5" s="1"/>
  <c r="R83" i="5"/>
  <c r="N83" i="5"/>
  <c r="K83" i="5"/>
  <c r="L83" i="5" s="1"/>
  <c r="J83" i="5"/>
  <c r="E83" i="5"/>
  <c r="G83" i="5" s="1"/>
  <c r="R82" i="5"/>
  <c r="N82" i="5"/>
  <c r="K82" i="5"/>
  <c r="L82" i="5" s="1"/>
  <c r="J82" i="5"/>
  <c r="E82" i="5"/>
  <c r="G82" i="5" s="1"/>
  <c r="R81" i="5"/>
  <c r="N81" i="5"/>
  <c r="K81" i="5"/>
  <c r="L81" i="5" s="1"/>
  <c r="J81" i="5"/>
  <c r="E81" i="5"/>
  <c r="G81" i="5" s="1"/>
  <c r="R80" i="5"/>
  <c r="N80" i="5"/>
  <c r="K80" i="5"/>
  <c r="L80" i="5" s="1"/>
  <c r="J80" i="5"/>
  <c r="E80" i="5"/>
  <c r="G80" i="5" s="1"/>
  <c r="R79" i="5"/>
  <c r="N79" i="5"/>
  <c r="N86" i="5" s="1"/>
  <c r="Q12" i="5" s="1"/>
  <c r="R12" i="5" s="1"/>
  <c r="K79" i="5"/>
  <c r="J79" i="5"/>
  <c r="J86" i="5" s="1"/>
  <c r="E79" i="5"/>
  <c r="R78" i="5"/>
  <c r="R77" i="5"/>
  <c r="N77" i="5"/>
  <c r="K77" i="5"/>
  <c r="L77" i="5" s="1"/>
  <c r="J77" i="5"/>
  <c r="E77" i="5"/>
  <c r="G77" i="5" s="1"/>
  <c r="R76" i="5"/>
  <c r="N76" i="5"/>
  <c r="K76" i="5"/>
  <c r="L76" i="5" s="1"/>
  <c r="J76" i="5"/>
  <c r="E76" i="5"/>
  <c r="G76" i="5" s="1"/>
  <c r="R75" i="5"/>
  <c r="N75" i="5"/>
  <c r="K75" i="5"/>
  <c r="L75" i="5" s="1"/>
  <c r="J75" i="5"/>
  <c r="E75" i="5"/>
  <c r="G75" i="5" s="1"/>
  <c r="R74" i="5"/>
  <c r="N74" i="5"/>
  <c r="K74" i="5"/>
  <c r="L74" i="5" s="1"/>
  <c r="J74" i="5"/>
  <c r="E74" i="5"/>
  <c r="G74" i="5" s="1"/>
  <c r="R73" i="5"/>
  <c r="N73" i="5"/>
  <c r="K73" i="5"/>
  <c r="L73" i="5" s="1"/>
  <c r="J73" i="5"/>
  <c r="E73" i="5"/>
  <c r="G73" i="5" s="1"/>
  <c r="R72" i="5"/>
  <c r="N72" i="5"/>
  <c r="K72" i="5"/>
  <c r="J72" i="5"/>
  <c r="E72" i="5"/>
  <c r="G72" i="5" s="1"/>
  <c r="R71" i="5"/>
  <c r="N71" i="5"/>
  <c r="N78" i="5" s="1"/>
  <c r="Q11" i="5" s="1"/>
  <c r="R11" i="5" s="1"/>
  <c r="K71" i="5"/>
  <c r="L71" i="5" s="1"/>
  <c r="J71" i="5"/>
  <c r="J78" i="5" s="1"/>
  <c r="E71" i="5"/>
  <c r="R70" i="5"/>
  <c r="F70" i="5"/>
  <c r="R69" i="5"/>
  <c r="N69" i="5"/>
  <c r="K69" i="5"/>
  <c r="L69" i="5" s="1"/>
  <c r="J69" i="5"/>
  <c r="E69" i="5"/>
  <c r="G69" i="5" s="1"/>
  <c r="R68" i="5"/>
  <c r="N68" i="5"/>
  <c r="K68" i="5"/>
  <c r="L68" i="5" s="1"/>
  <c r="J68" i="5"/>
  <c r="E68" i="5"/>
  <c r="G68" i="5" s="1"/>
  <c r="R67" i="5"/>
  <c r="N67" i="5"/>
  <c r="K67" i="5"/>
  <c r="L67" i="5" s="1"/>
  <c r="J67" i="5"/>
  <c r="E67" i="5"/>
  <c r="G67" i="5" s="1"/>
  <c r="R66" i="5"/>
  <c r="N66" i="5"/>
  <c r="K66" i="5"/>
  <c r="L66" i="5" s="1"/>
  <c r="J66" i="5"/>
  <c r="E66" i="5"/>
  <c r="G66" i="5" s="1"/>
  <c r="R65" i="5"/>
  <c r="N65" i="5"/>
  <c r="K65" i="5"/>
  <c r="L65" i="5" s="1"/>
  <c r="J65" i="5"/>
  <c r="E65" i="5"/>
  <c r="G65" i="5" s="1"/>
  <c r="N64" i="5"/>
  <c r="K64" i="5"/>
  <c r="L64" i="5" s="1"/>
  <c r="J64" i="5"/>
  <c r="E64" i="5"/>
  <c r="G64" i="5" s="1"/>
  <c r="R63" i="5"/>
  <c r="N63" i="5"/>
  <c r="K63" i="5"/>
  <c r="L63" i="5" s="1"/>
  <c r="J63" i="5"/>
  <c r="E63" i="5"/>
  <c r="G63" i="5" s="1"/>
  <c r="R62" i="5"/>
  <c r="N62" i="5"/>
  <c r="K62" i="5"/>
  <c r="L62" i="5" s="1"/>
  <c r="J62" i="5"/>
  <c r="E62" i="5"/>
  <c r="G62" i="5" s="1"/>
  <c r="R61" i="5"/>
  <c r="N61" i="5"/>
  <c r="N70" i="5" s="1"/>
  <c r="Q10" i="5" s="1"/>
  <c r="R10" i="5" s="1"/>
  <c r="K61" i="5"/>
  <c r="J61" i="5"/>
  <c r="J70" i="5" s="1"/>
  <c r="E61" i="5"/>
  <c r="R60" i="5"/>
  <c r="R59" i="5"/>
  <c r="N59" i="5"/>
  <c r="K59" i="5"/>
  <c r="L59" i="5" s="1"/>
  <c r="J59" i="5"/>
  <c r="E59" i="5"/>
  <c r="G59" i="5" s="1"/>
  <c r="R58" i="5"/>
  <c r="N58" i="5"/>
  <c r="K58" i="5"/>
  <c r="L58" i="5" s="1"/>
  <c r="J58" i="5"/>
  <c r="E58" i="5"/>
  <c r="G58" i="5" s="1"/>
  <c r="N57" i="5"/>
  <c r="K57" i="5"/>
  <c r="L57" i="5" s="1"/>
  <c r="J57" i="5"/>
  <c r="E57" i="5"/>
  <c r="G57" i="5" s="1"/>
  <c r="R56" i="5"/>
  <c r="N56" i="5"/>
  <c r="K56" i="5"/>
  <c r="L56" i="5" s="1"/>
  <c r="J56" i="5"/>
  <c r="E56" i="5"/>
  <c r="G56" i="5" s="1"/>
  <c r="R55" i="5"/>
  <c r="N55" i="5"/>
  <c r="K55" i="5"/>
  <c r="L55" i="5" s="1"/>
  <c r="J55" i="5"/>
  <c r="E55" i="5"/>
  <c r="G55" i="5" s="1"/>
  <c r="R54" i="5"/>
  <c r="N54" i="5"/>
  <c r="K54" i="5"/>
  <c r="L54" i="5" s="1"/>
  <c r="J54" i="5"/>
  <c r="E54" i="5"/>
  <c r="G54" i="5" s="1"/>
  <c r="R53" i="5"/>
  <c r="N53" i="5"/>
  <c r="K53" i="5"/>
  <c r="L53" i="5" s="1"/>
  <c r="J53" i="5"/>
  <c r="E53" i="5"/>
  <c r="G53" i="5" s="1"/>
  <c r="R52" i="5"/>
  <c r="N52" i="5"/>
  <c r="K52" i="5"/>
  <c r="L52" i="5" s="1"/>
  <c r="J52" i="5"/>
  <c r="E52" i="5"/>
  <c r="G52" i="5" s="1"/>
  <c r="R51" i="5"/>
  <c r="N51" i="5"/>
  <c r="K51" i="5"/>
  <c r="L51" i="5" s="1"/>
  <c r="J51" i="5"/>
  <c r="E51" i="5"/>
  <c r="G51" i="5" s="1"/>
  <c r="R50" i="5"/>
  <c r="N50" i="5"/>
  <c r="K50" i="5"/>
  <c r="L50" i="5" s="1"/>
  <c r="J50" i="5"/>
  <c r="E50" i="5"/>
  <c r="G50" i="5" s="1"/>
  <c r="R49" i="5"/>
  <c r="N49" i="5"/>
  <c r="N60" i="5" s="1"/>
  <c r="Q8" i="5" s="1"/>
  <c r="R8" i="5" s="1"/>
  <c r="K49" i="5"/>
  <c r="J49" i="5"/>
  <c r="J60" i="5" s="1"/>
  <c r="E49" i="5"/>
  <c r="R48" i="5"/>
  <c r="F48" i="5"/>
  <c r="R47" i="5"/>
  <c r="N47" i="5"/>
  <c r="K47" i="5"/>
  <c r="L47" i="5" s="1"/>
  <c r="J47" i="5"/>
  <c r="E47" i="5"/>
  <c r="G47" i="5" s="1"/>
  <c r="N46" i="5"/>
  <c r="K46" i="5"/>
  <c r="L46" i="5" s="1"/>
  <c r="J46" i="5"/>
  <c r="E46" i="5"/>
  <c r="G46" i="5" s="1"/>
  <c r="N45" i="5"/>
  <c r="K45" i="5"/>
  <c r="L45" i="5" s="1"/>
  <c r="J45" i="5"/>
  <c r="E45" i="5"/>
  <c r="G45" i="5" s="1"/>
  <c r="R44" i="5"/>
  <c r="N44" i="5"/>
  <c r="K44" i="5"/>
  <c r="L44" i="5" s="1"/>
  <c r="J44" i="5"/>
  <c r="E44" i="5"/>
  <c r="G44" i="5" s="1"/>
  <c r="R43" i="5"/>
  <c r="N43" i="5"/>
  <c r="K43" i="5"/>
  <c r="L43" i="5" s="1"/>
  <c r="J43" i="5"/>
  <c r="E43" i="5"/>
  <c r="G43" i="5" s="1"/>
  <c r="R42" i="5"/>
  <c r="N42" i="5"/>
  <c r="K42" i="5"/>
  <c r="L42" i="5" s="1"/>
  <c r="J42" i="5"/>
  <c r="E42" i="5"/>
  <c r="G42" i="5" s="1"/>
  <c r="R41" i="5"/>
  <c r="N41" i="5"/>
  <c r="K41" i="5"/>
  <c r="L41" i="5" s="1"/>
  <c r="J41" i="5"/>
  <c r="E41" i="5"/>
  <c r="G41" i="5" s="1"/>
  <c r="R40" i="5"/>
  <c r="N40" i="5"/>
  <c r="K40" i="5"/>
  <c r="L40" i="5" s="1"/>
  <c r="J40" i="5"/>
  <c r="E40" i="5"/>
  <c r="G40" i="5" s="1"/>
  <c r="R39" i="5"/>
  <c r="N39" i="5"/>
  <c r="N48" i="5" s="1"/>
  <c r="Q7" i="5" s="1"/>
  <c r="R7" i="5" s="1"/>
  <c r="K39" i="5"/>
  <c r="J39" i="5"/>
  <c r="J48" i="5" s="1"/>
  <c r="E39" i="5"/>
  <c r="R38" i="5"/>
  <c r="R37" i="5"/>
  <c r="N37" i="5"/>
  <c r="K37" i="5"/>
  <c r="L37" i="5" s="1"/>
  <c r="J37" i="5"/>
  <c r="E37" i="5"/>
  <c r="G37" i="5" s="1"/>
  <c r="R36" i="5"/>
  <c r="N36" i="5"/>
  <c r="K36" i="5"/>
  <c r="L36" i="5" s="1"/>
  <c r="J36" i="5"/>
  <c r="E36" i="5"/>
  <c r="G36" i="5" s="1"/>
  <c r="R35" i="5"/>
  <c r="N35" i="5"/>
  <c r="K35" i="5"/>
  <c r="L35" i="5" s="1"/>
  <c r="J35" i="5"/>
  <c r="E35" i="5"/>
  <c r="G35" i="5" s="1"/>
  <c r="R34" i="5"/>
  <c r="N34" i="5"/>
  <c r="K34" i="5"/>
  <c r="L34" i="5" s="1"/>
  <c r="J34" i="5"/>
  <c r="E34" i="5"/>
  <c r="G34" i="5" s="1"/>
  <c r="R33" i="5"/>
  <c r="N33" i="5"/>
  <c r="K33" i="5"/>
  <c r="L33" i="5" s="1"/>
  <c r="J33" i="5"/>
  <c r="E33" i="5"/>
  <c r="G33" i="5" s="1"/>
  <c r="R32" i="5"/>
  <c r="N32" i="5"/>
  <c r="K32" i="5"/>
  <c r="L32" i="5" s="1"/>
  <c r="J32" i="5"/>
  <c r="E32" i="5"/>
  <c r="G32" i="5" s="1"/>
  <c r="R31" i="5"/>
  <c r="N31" i="5"/>
  <c r="K31" i="5"/>
  <c r="L31" i="5" s="1"/>
  <c r="J31" i="5"/>
  <c r="E31" i="5"/>
  <c r="G31" i="5" s="1"/>
  <c r="R30" i="5"/>
  <c r="N30" i="5"/>
  <c r="N38" i="5" s="1"/>
  <c r="Q6" i="5" s="1"/>
  <c r="R6" i="5" s="1"/>
  <c r="K30" i="5"/>
  <c r="J30" i="5"/>
  <c r="J38" i="5" s="1"/>
  <c r="E30" i="5"/>
  <c r="F29" i="5"/>
  <c r="R28" i="5"/>
  <c r="N28" i="5"/>
  <c r="K28" i="5"/>
  <c r="L28" i="5" s="1"/>
  <c r="J28" i="5"/>
  <c r="E28" i="5"/>
  <c r="G28" i="5" s="1"/>
  <c r="R27" i="5"/>
  <c r="N27" i="5"/>
  <c r="K27" i="5"/>
  <c r="L27" i="5" s="1"/>
  <c r="J27" i="5"/>
  <c r="E27" i="5"/>
  <c r="G27" i="5" s="1"/>
  <c r="R26" i="5"/>
  <c r="N26" i="5"/>
  <c r="K26" i="5"/>
  <c r="L26" i="5" s="1"/>
  <c r="J26" i="5"/>
  <c r="E26" i="5"/>
  <c r="G26" i="5" s="1"/>
  <c r="N25" i="5"/>
  <c r="K25" i="5"/>
  <c r="L25" i="5" s="1"/>
  <c r="J25" i="5"/>
  <c r="E25" i="5"/>
  <c r="G25" i="5" s="1"/>
  <c r="N24" i="5"/>
  <c r="K24" i="5"/>
  <c r="L24" i="5" s="1"/>
  <c r="J24" i="5"/>
  <c r="E24" i="5"/>
  <c r="G24" i="5" s="1"/>
  <c r="N23" i="5"/>
  <c r="K23" i="5"/>
  <c r="L23" i="5" s="1"/>
  <c r="J23" i="5"/>
  <c r="E23" i="5"/>
  <c r="G23" i="5" s="1"/>
  <c r="N22" i="5"/>
  <c r="K22" i="5"/>
  <c r="L22" i="5" s="1"/>
  <c r="J22" i="5"/>
  <c r="E22" i="5"/>
  <c r="G22" i="5" s="1"/>
  <c r="N21" i="5"/>
  <c r="K21" i="5"/>
  <c r="L21" i="5" s="1"/>
  <c r="J21" i="5"/>
  <c r="E21" i="5"/>
  <c r="G21" i="5" s="1"/>
  <c r="N20" i="5"/>
  <c r="N29" i="5" s="1"/>
  <c r="Q5" i="5" s="1"/>
  <c r="R5" i="5" s="1"/>
  <c r="K20" i="5"/>
  <c r="J20" i="5"/>
  <c r="J29" i="5" s="1"/>
  <c r="E20" i="5"/>
  <c r="O18" i="5"/>
  <c r="O19" i="5" s="1"/>
  <c r="O20" i="5" s="1"/>
  <c r="O21" i="5" s="1"/>
  <c r="O22" i="5" s="1"/>
  <c r="O23" i="5" s="1"/>
  <c r="O24" i="5" s="1"/>
  <c r="O25" i="5" s="1"/>
  <c r="O26" i="5" s="1"/>
  <c r="N18" i="5"/>
  <c r="K18" i="5"/>
  <c r="L18" i="5" s="1"/>
  <c r="J18" i="5"/>
  <c r="E18" i="5"/>
  <c r="G18" i="5" s="1"/>
  <c r="N17" i="5"/>
  <c r="K17" i="5"/>
  <c r="L17" i="5" s="1"/>
  <c r="J17" i="5"/>
  <c r="E17" i="5"/>
  <c r="G17" i="5" s="1"/>
  <c r="N16" i="5"/>
  <c r="K16" i="5"/>
  <c r="L16" i="5" s="1"/>
  <c r="J16" i="5"/>
  <c r="E16" i="5"/>
  <c r="G16" i="5" s="1"/>
  <c r="N15" i="5"/>
  <c r="K15" i="5"/>
  <c r="L15" i="5" s="1"/>
  <c r="J15" i="5"/>
  <c r="E15" i="5"/>
  <c r="G15" i="5" s="1"/>
  <c r="N14" i="5"/>
  <c r="K14" i="5"/>
  <c r="L14" i="5" s="1"/>
  <c r="J14" i="5"/>
  <c r="E14" i="5"/>
  <c r="G14" i="5" s="1"/>
  <c r="N13" i="5"/>
  <c r="K13" i="5"/>
  <c r="L13" i="5" s="1"/>
  <c r="J13" i="5"/>
  <c r="E13" i="5"/>
  <c r="G13" i="5" s="1"/>
  <c r="N12" i="5"/>
  <c r="N19" i="5" s="1"/>
  <c r="Q4" i="5" s="1"/>
  <c r="K12" i="5"/>
  <c r="J12" i="5"/>
  <c r="J19" i="5" s="1"/>
  <c r="E12" i="5"/>
  <c r="F11" i="5"/>
  <c r="F19" i="5" s="1"/>
  <c r="N10" i="5"/>
  <c r="K10" i="5"/>
  <c r="L10" i="5" s="1"/>
  <c r="J10" i="5"/>
  <c r="E10" i="5"/>
  <c r="G10" i="5" s="1"/>
  <c r="N9" i="5"/>
  <c r="K9" i="5"/>
  <c r="L9" i="5" s="1"/>
  <c r="J9" i="5"/>
  <c r="E9" i="5"/>
  <c r="G9" i="5" s="1"/>
  <c r="N8" i="5"/>
  <c r="K8" i="5"/>
  <c r="L8" i="5" s="1"/>
  <c r="J8" i="5"/>
  <c r="E8" i="5"/>
  <c r="G8" i="5" s="1"/>
  <c r="N7" i="5"/>
  <c r="K7" i="5"/>
  <c r="L7" i="5" s="1"/>
  <c r="J7" i="5"/>
  <c r="E7" i="5"/>
  <c r="G7" i="5" s="1"/>
  <c r="N6" i="5"/>
  <c r="K6" i="5"/>
  <c r="L6" i="5" s="1"/>
  <c r="J6" i="5"/>
  <c r="E6" i="5"/>
  <c r="G6" i="5" s="1"/>
  <c r="N5" i="5"/>
  <c r="K5" i="5"/>
  <c r="L5" i="5" s="1"/>
  <c r="J5" i="5"/>
  <c r="E5" i="5"/>
  <c r="G5" i="5" s="1"/>
  <c r="N4" i="5"/>
  <c r="K4" i="5"/>
  <c r="L4" i="5" s="1"/>
  <c r="J4" i="5"/>
  <c r="E4" i="5"/>
  <c r="G4" i="5" s="1"/>
  <c r="N3" i="5"/>
  <c r="N11" i="5" s="1"/>
  <c r="K3" i="5"/>
  <c r="J3" i="5"/>
  <c r="J11" i="5" s="1"/>
  <c r="E3" i="5"/>
  <c r="P2" i="5"/>
  <c r="F319" i="4"/>
  <c r="N318" i="4"/>
  <c r="K318" i="4"/>
  <c r="L318" i="4" s="1"/>
  <c r="J318" i="4"/>
  <c r="E318" i="4"/>
  <c r="G318" i="4" s="1"/>
  <c r="N317" i="4"/>
  <c r="K317" i="4"/>
  <c r="L317" i="4" s="1"/>
  <c r="J317" i="4"/>
  <c r="E317" i="4"/>
  <c r="G317" i="4" s="1"/>
  <c r="N316" i="4"/>
  <c r="K316" i="4"/>
  <c r="L316" i="4" s="1"/>
  <c r="J316" i="4"/>
  <c r="E316" i="4"/>
  <c r="G316" i="4" s="1"/>
  <c r="N315" i="4"/>
  <c r="K315" i="4"/>
  <c r="L315" i="4" s="1"/>
  <c r="J315" i="4"/>
  <c r="E315" i="4"/>
  <c r="G315" i="4" s="1"/>
  <c r="N314" i="4"/>
  <c r="K314" i="4"/>
  <c r="L314" i="4" s="1"/>
  <c r="J314" i="4"/>
  <c r="E314" i="4"/>
  <c r="G314" i="4" s="1"/>
  <c r="N313" i="4"/>
  <c r="N319" i="4" s="1"/>
  <c r="Q228" i="4" s="1"/>
  <c r="R228" i="4" s="1"/>
  <c r="K313" i="4"/>
  <c r="J313" i="4"/>
  <c r="J319" i="4" s="1"/>
  <c r="E313" i="4"/>
  <c r="F312" i="4"/>
  <c r="N311" i="4"/>
  <c r="K311" i="4"/>
  <c r="L311" i="4" s="1"/>
  <c r="J311" i="4"/>
  <c r="E311" i="4"/>
  <c r="G311" i="4" s="1"/>
  <c r="N310" i="4"/>
  <c r="K310" i="4"/>
  <c r="L310" i="4" s="1"/>
  <c r="J310" i="4"/>
  <c r="E310" i="4"/>
  <c r="G310" i="4" s="1"/>
  <c r="N309" i="4"/>
  <c r="K309" i="4"/>
  <c r="L309" i="4" s="1"/>
  <c r="J309" i="4"/>
  <c r="E309" i="4"/>
  <c r="G309" i="4" s="1"/>
  <c r="N308" i="4"/>
  <c r="K308" i="4"/>
  <c r="L308" i="4" s="1"/>
  <c r="J308" i="4"/>
  <c r="E308" i="4"/>
  <c r="G308" i="4" s="1"/>
  <c r="N307" i="4"/>
  <c r="K307" i="4"/>
  <c r="L307" i="4" s="1"/>
  <c r="J307" i="4"/>
  <c r="E307" i="4"/>
  <c r="G307" i="4" s="1"/>
  <c r="N306" i="4"/>
  <c r="N312" i="4" s="1"/>
  <c r="Q227" i="4" s="1"/>
  <c r="R227" i="4" s="1"/>
  <c r="K306" i="4"/>
  <c r="J306" i="4"/>
  <c r="J312" i="4" s="1"/>
  <c r="E306" i="4"/>
  <c r="F305" i="4"/>
  <c r="N304" i="4"/>
  <c r="K304" i="4"/>
  <c r="L304" i="4" s="1"/>
  <c r="J304" i="4"/>
  <c r="E304" i="4"/>
  <c r="G304" i="4" s="1"/>
  <c r="N303" i="4"/>
  <c r="K303" i="4"/>
  <c r="L303" i="4" s="1"/>
  <c r="J303" i="4"/>
  <c r="E303" i="4"/>
  <c r="G303" i="4" s="1"/>
  <c r="N302" i="4"/>
  <c r="K302" i="4"/>
  <c r="L302" i="4" s="1"/>
  <c r="J302" i="4"/>
  <c r="E302" i="4"/>
  <c r="G302" i="4" s="1"/>
  <c r="N301" i="4"/>
  <c r="N305" i="4" s="1"/>
  <c r="Q226" i="4" s="1"/>
  <c r="R226" i="4" s="1"/>
  <c r="K301" i="4"/>
  <c r="L301" i="4" s="1"/>
  <c r="J301" i="4"/>
  <c r="E301" i="4"/>
  <c r="G301" i="4" s="1"/>
  <c r="K300" i="4"/>
  <c r="L300" i="4" s="1"/>
  <c r="J300" i="4"/>
  <c r="E300" i="4"/>
  <c r="G300" i="4" s="1"/>
  <c r="K299" i="4"/>
  <c r="J299" i="4"/>
  <c r="J305" i="4" s="1"/>
  <c r="E299" i="4"/>
  <c r="F298" i="4"/>
  <c r="N297" i="4"/>
  <c r="K297" i="4"/>
  <c r="L297" i="4" s="1"/>
  <c r="J297" i="4"/>
  <c r="E297" i="4"/>
  <c r="G297" i="4" s="1"/>
  <c r="N296" i="4"/>
  <c r="K296" i="4"/>
  <c r="L296" i="4" s="1"/>
  <c r="J296" i="4"/>
  <c r="E296" i="4"/>
  <c r="G296" i="4" s="1"/>
  <c r="N295" i="4"/>
  <c r="K295" i="4"/>
  <c r="L295" i="4" s="1"/>
  <c r="J295" i="4"/>
  <c r="E295" i="4"/>
  <c r="G295" i="4" s="1"/>
  <c r="N294" i="4"/>
  <c r="K294" i="4"/>
  <c r="L294" i="4" s="1"/>
  <c r="J294" i="4"/>
  <c r="E294" i="4"/>
  <c r="G294" i="4" s="1"/>
  <c r="N293" i="4"/>
  <c r="K293" i="4"/>
  <c r="L293" i="4" s="1"/>
  <c r="J293" i="4"/>
  <c r="E293" i="4"/>
  <c r="G293" i="4" s="1"/>
  <c r="N292" i="4"/>
  <c r="K292" i="4"/>
  <c r="L292" i="4" s="1"/>
  <c r="J292" i="4"/>
  <c r="E292" i="4"/>
  <c r="G292" i="4" s="1"/>
  <c r="N291" i="4"/>
  <c r="K291" i="4"/>
  <c r="L291" i="4" s="1"/>
  <c r="J291" i="4"/>
  <c r="E291" i="4"/>
  <c r="G291" i="4" s="1"/>
  <c r="N290" i="4"/>
  <c r="K290" i="4"/>
  <c r="L290" i="4" s="1"/>
  <c r="J290" i="4"/>
  <c r="E290" i="4"/>
  <c r="G290" i="4" s="1"/>
  <c r="N289" i="4"/>
  <c r="N298" i="4" s="1"/>
  <c r="Q224" i="4" s="1"/>
  <c r="R224" i="4" s="1"/>
  <c r="K289" i="4"/>
  <c r="J289" i="4"/>
  <c r="J298" i="4" s="1"/>
  <c r="E289" i="4"/>
  <c r="F288" i="4"/>
  <c r="N287" i="4"/>
  <c r="K287" i="4"/>
  <c r="L287" i="4" s="1"/>
  <c r="J287" i="4"/>
  <c r="E287" i="4"/>
  <c r="G287" i="4" s="1"/>
  <c r="N286" i="4"/>
  <c r="K286" i="4"/>
  <c r="L286" i="4" s="1"/>
  <c r="J286" i="4"/>
  <c r="E286" i="4"/>
  <c r="G286" i="4" s="1"/>
  <c r="N285" i="4"/>
  <c r="K285" i="4"/>
  <c r="L285" i="4" s="1"/>
  <c r="J285" i="4"/>
  <c r="E285" i="4"/>
  <c r="G285" i="4" s="1"/>
  <c r="N284" i="4"/>
  <c r="K284" i="4"/>
  <c r="L284" i="4" s="1"/>
  <c r="J284" i="4"/>
  <c r="E284" i="4"/>
  <c r="G284" i="4" s="1"/>
  <c r="N283" i="4"/>
  <c r="K283" i="4"/>
  <c r="L283" i="4" s="1"/>
  <c r="J283" i="4"/>
  <c r="E283" i="4"/>
  <c r="G283" i="4" s="1"/>
  <c r="N282" i="4"/>
  <c r="K282" i="4"/>
  <c r="L282" i="4" s="1"/>
  <c r="J282" i="4"/>
  <c r="E282" i="4"/>
  <c r="G282" i="4" s="1"/>
  <c r="N281" i="4"/>
  <c r="K281" i="4"/>
  <c r="L281" i="4" s="1"/>
  <c r="J281" i="4"/>
  <c r="E281" i="4"/>
  <c r="G281" i="4" s="1"/>
  <c r="N280" i="4"/>
  <c r="N288" i="4" s="1"/>
  <c r="Q223" i="4" s="1"/>
  <c r="R223" i="4" s="1"/>
  <c r="K280" i="4"/>
  <c r="J280" i="4"/>
  <c r="J288" i="4" s="1"/>
  <c r="E280" i="4"/>
  <c r="F279" i="4"/>
  <c r="N278" i="4"/>
  <c r="K278" i="4"/>
  <c r="L278" i="4" s="1"/>
  <c r="J278" i="4"/>
  <c r="E278" i="4"/>
  <c r="G278" i="4" s="1"/>
  <c r="N277" i="4"/>
  <c r="K277" i="4"/>
  <c r="L277" i="4" s="1"/>
  <c r="J277" i="4"/>
  <c r="E277" i="4"/>
  <c r="G277" i="4" s="1"/>
  <c r="K276" i="4"/>
  <c r="L276" i="4" s="1"/>
  <c r="J276" i="4"/>
  <c r="E276" i="4"/>
  <c r="G276" i="4" s="1"/>
  <c r="N275" i="4"/>
  <c r="N279" i="4" s="1"/>
  <c r="Q219" i="4" s="1"/>
  <c r="R219" i="4" s="1"/>
  <c r="K275" i="4"/>
  <c r="L275" i="4" s="1"/>
  <c r="J275" i="4"/>
  <c r="E275" i="4"/>
  <c r="G275" i="4" s="1"/>
  <c r="K274" i="4"/>
  <c r="L274" i="4" s="1"/>
  <c r="J274" i="4"/>
  <c r="E274" i="4"/>
  <c r="G274" i="4" s="1"/>
  <c r="K273" i="4"/>
  <c r="J273" i="4"/>
  <c r="J279" i="4" s="1"/>
  <c r="E273" i="4"/>
  <c r="F272" i="4"/>
  <c r="K271" i="4"/>
  <c r="L271" i="4" s="1"/>
  <c r="J271" i="4"/>
  <c r="E271" i="4"/>
  <c r="G271" i="4" s="1"/>
  <c r="K270" i="4"/>
  <c r="L270" i="4" s="1"/>
  <c r="J270" i="4"/>
  <c r="E270" i="4"/>
  <c r="G270" i="4" s="1"/>
  <c r="N269" i="4"/>
  <c r="N272" i="4" s="1"/>
  <c r="Q221" i="4" s="1"/>
  <c r="R221" i="4" s="1"/>
  <c r="K269" i="4"/>
  <c r="L269" i="4" s="1"/>
  <c r="J269" i="4"/>
  <c r="E269" i="4"/>
  <c r="G269" i="4" s="1"/>
  <c r="K268" i="4"/>
  <c r="L268" i="4" s="1"/>
  <c r="J268" i="4"/>
  <c r="E268" i="4"/>
  <c r="G268" i="4" s="1"/>
  <c r="K267" i="4"/>
  <c r="L267" i="4" s="1"/>
  <c r="J267" i="4"/>
  <c r="E267" i="4"/>
  <c r="G267" i="4" s="1"/>
  <c r="K266" i="4"/>
  <c r="J266" i="4"/>
  <c r="J272" i="4" s="1"/>
  <c r="E266" i="4"/>
  <c r="F265" i="4"/>
  <c r="N264" i="4"/>
  <c r="K264" i="4"/>
  <c r="L264" i="4" s="1"/>
  <c r="J264" i="4"/>
  <c r="E264" i="4"/>
  <c r="G264" i="4" s="1"/>
  <c r="N263" i="4"/>
  <c r="N265" i="4" s="1"/>
  <c r="Q220" i="4" s="1"/>
  <c r="R220" i="4" s="1"/>
  <c r="K263" i="4"/>
  <c r="L263" i="4" s="1"/>
  <c r="J263" i="4"/>
  <c r="K262" i="4"/>
  <c r="L262" i="4" s="1"/>
  <c r="J262" i="4"/>
  <c r="E262" i="4"/>
  <c r="G262" i="4" s="1"/>
  <c r="K261" i="4"/>
  <c r="L261" i="4" s="1"/>
  <c r="J261" i="4"/>
  <c r="E261" i="4"/>
  <c r="G261" i="4" s="1"/>
  <c r="K260" i="4"/>
  <c r="L260" i="4" s="1"/>
  <c r="J260" i="4"/>
  <c r="E260" i="4"/>
  <c r="G260" i="4" s="1"/>
  <c r="K259" i="4"/>
  <c r="L259" i="4" s="1"/>
  <c r="J259" i="4"/>
  <c r="E259" i="4"/>
  <c r="G259" i="4" s="1"/>
  <c r="K258" i="4"/>
  <c r="J258" i="4"/>
  <c r="E258" i="4"/>
  <c r="G258" i="4" s="1"/>
  <c r="J257" i="4"/>
  <c r="E257" i="4"/>
  <c r="N256" i="4"/>
  <c r="F256" i="4"/>
  <c r="K255" i="4"/>
  <c r="L255" i="4" s="1"/>
  <c r="J255" i="4"/>
  <c r="E255" i="4"/>
  <c r="G255" i="4" s="1"/>
  <c r="K254" i="4"/>
  <c r="L254" i="4" s="1"/>
  <c r="J254" i="4"/>
  <c r="E254" i="4"/>
  <c r="G254" i="4" s="1"/>
  <c r="K253" i="4"/>
  <c r="L253" i="4" s="1"/>
  <c r="J253" i="4"/>
  <c r="E253" i="4"/>
  <c r="G253" i="4" s="1"/>
  <c r="K252" i="4"/>
  <c r="L252" i="4" s="1"/>
  <c r="J252" i="4"/>
  <c r="E252" i="4"/>
  <c r="G252" i="4" s="1"/>
  <c r="K251" i="4"/>
  <c r="J251" i="4"/>
  <c r="J256" i="4" s="1"/>
  <c r="E251" i="4"/>
  <c r="F250" i="4"/>
  <c r="K249" i="4"/>
  <c r="J249" i="4"/>
  <c r="E249" i="4"/>
  <c r="G249" i="4" s="1"/>
  <c r="N248" i="4"/>
  <c r="K248" i="4"/>
  <c r="L248" i="4" s="1"/>
  <c r="J248" i="4"/>
  <c r="E248" i="4"/>
  <c r="G248" i="4" s="1"/>
  <c r="N247" i="4"/>
  <c r="K247" i="4"/>
  <c r="L247" i="4" s="1"/>
  <c r="J247" i="4"/>
  <c r="E247" i="4"/>
  <c r="G247" i="4" s="1"/>
  <c r="K246" i="4"/>
  <c r="L246" i="4" s="1"/>
  <c r="J246" i="4"/>
  <c r="E246" i="4"/>
  <c r="G246" i="4" s="1"/>
  <c r="N245" i="4"/>
  <c r="K245" i="4"/>
  <c r="J245" i="4"/>
  <c r="J250" i="4" s="1"/>
  <c r="E245" i="4"/>
  <c r="F244" i="4"/>
  <c r="N243" i="4"/>
  <c r="K243" i="4"/>
  <c r="L243" i="4" s="1"/>
  <c r="J243" i="4"/>
  <c r="E243" i="4"/>
  <c r="G243" i="4" s="1"/>
  <c r="N242" i="4"/>
  <c r="K242" i="4"/>
  <c r="L242" i="4" s="1"/>
  <c r="J242" i="4"/>
  <c r="E242" i="4"/>
  <c r="G242" i="4" s="1"/>
  <c r="N241" i="4"/>
  <c r="K241" i="4"/>
  <c r="L241" i="4" s="1"/>
  <c r="J241" i="4"/>
  <c r="E241" i="4"/>
  <c r="G241" i="4" s="1"/>
  <c r="K240" i="4"/>
  <c r="J240" i="4"/>
  <c r="E240" i="4"/>
  <c r="N239" i="4"/>
  <c r="K239" i="4"/>
  <c r="J239" i="4"/>
  <c r="J244" i="4" s="1"/>
  <c r="G239" i="4"/>
  <c r="G244" i="4" s="1"/>
  <c r="F238" i="4"/>
  <c r="N237" i="4"/>
  <c r="K237" i="4"/>
  <c r="L237" i="4" s="1"/>
  <c r="J237" i="4"/>
  <c r="E237" i="4"/>
  <c r="G237" i="4" s="1"/>
  <c r="K236" i="4"/>
  <c r="J236" i="4"/>
  <c r="E236" i="4"/>
  <c r="G236" i="4" s="1"/>
  <c r="K235" i="4"/>
  <c r="L235" i="4" s="1"/>
  <c r="J235" i="4"/>
  <c r="E235" i="4"/>
  <c r="G235" i="4" s="1"/>
  <c r="K234" i="4"/>
  <c r="J234" i="4"/>
  <c r="E234" i="4"/>
  <c r="G234" i="4" s="1"/>
  <c r="K233" i="4"/>
  <c r="J233" i="4"/>
  <c r="J238" i="4" s="1"/>
  <c r="E233" i="4"/>
  <c r="K232" i="4"/>
  <c r="F232" i="4"/>
  <c r="N231" i="4"/>
  <c r="J231" i="4"/>
  <c r="L231" i="4" s="1"/>
  <c r="E231" i="4"/>
  <c r="G231" i="4" s="1"/>
  <c r="N230" i="4"/>
  <c r="J230" i="4"/>
  <c r="L230" i="4" s="1"/>
  <c r="E230" i="4"/>
  <c r="G230" i="4" s="1"/>
  <c r="N229" i="4"/>
  <c r="J229" i="4"/>
  <c r="L229" i="4" s="1"/>
  <c r="E229" i="4"/>
  <c r="G229" i="4" s="1"/>
  <c r="N228" i="4"/>
  <c r="J228" i="4"/>
  <c r="L228" i="4" s="1"/>
  <c r="E228" i="4"/>
  <c r="G228" i="4" s="1"/>
  <c r="N227" i="4"/>
  <c r="N232" i="4" s="1"/>
  <c r="Q215" i="4" s="1"/>
  <c r="R215" i="4" s="1"/>
  <c r="J227" i="4"/>
  <c r="E227" i="4"/>
  <c r="F226" i="4"/>
  <c r="R225" i="4"/>
  <c r="K225" i="4"/>
  <c r="J225" i="4"/>
  <c r="E225" i="4"/>
  <c r="G225" i="4" s="1"/>
  <c r="K224" i="4"/>
  <c r="L224" i="4" s="1"/>
  <c r="J224" i="4"/>
  <c r="E224" i="4"/>
  <c r="G224" i="4" s="1"/>
  <c r="N223" i="4"/>
  <c r="K223" i="4"/>
  <c r="L223" i="4" s="1"/>
  <c r="J223" i="4"/>
  <c r="E223" i="4"/>
  <c r="G223" i="4" s="1"/>
  <c r="Q222" i="4"/>
  <c r="R222" i="4" s="1"/>
  <c r="K222" i="4"/>
  <c r="L222" i="4" s="1"/>
  <c r="J222" i="4"/>
  <c r="E222" i="4"/>
  <c r="G222" i="4" s="1"/>
  <c r="N221" i="4"/>
  <c r="K221" i="4"/>
  <c r="L221" i="4" s="1"/>
  <c r="J221" i="4"/>
  <c r="E221" i="4"/>
  <c r="G221" i="4" s="1"/>
  <c r="N220" i="4"/>
  <c r="K220" i="4"/>
  <c r="J220" i="4"/>
  <c r="J226" i="4" s="1"/>
  <c r="E220" i="4"/>
  <c r="F219" i="4"/>
  <c r="K218" i="4"/>
  <c r="J218" i="4"/>
  <c r="E218" i="4"/>
  <c r="G218" i="4" s="1"/>
  <c r="K217" i="4"/>
  <c r="J217" i="4"/>
  <c r="E217" i="4"/>
  <c r="G217" i="4" s="1"/>
  <c r="K216" i="4"/>
  <c r="J216" i="4"/>
  <c r="E216" i="4"/>
  <c r="G216" i="4" s="1"/>
  <c r="K215" i="4"/>
  <c r="J215" i="4"/>
  <c r="E215" i="4"/>
  <c r="G215" i="4" s="1"/>
  <c r="N214" i="4"/>
  <c r="J214" i="4"/>
  <c r="E214" i="4"/>
  <c r="R210" i="4"/>
  <c r="R208" i="4"/>
  <c r="K208" i="4"/>
  <c r="J208" i="4"/>
  <c r="E208" i="4"/>
  <c r="G208" i="4" s="1"/>
  <c r="K207" i="4"/>
  <c r="J207" i="4"/>
  <c r="E207" i="4"/>
  <c r="G207" i="4" s="1"/>
  <c r="K206" i="4"/>
  <c r="L206" i="4" s="1"/>
  <c r="J206" i="4"/>
  <c r="E206" i="4"/>
  <c r="G206" i="4" s="1"/>
  <c r="K205" i="4"/>
  <c r="L205" i="4" s="1"/>
  <c r="J205" i="4"/>
  <c r="E205" i="4"/>
  <c r="G205" i="4" s="1"/>
  <c r="K204" i="4"/>
  <c r="L204" i="4" s="1"/>
  <c r="J204" i="4"/>
  <c r="E204" i="4"/>
  <c r="G204" i="4" s="1"/>
  <c r="K203" i="4"/>
  <c r="L203" i="4" s="1"/>
  <c r="J203" i="4"/>
  <c r="E203" i="4"/>
  <c r="G203" i="4" s="1"/>
  <c r="K202" i="4"/>
  <c r="J202" i="4"/>
  <c r="E202" i="4"/>
  <c r="G202" i="4" s="1"/>
  <c r="R200" i="4"/>
  <c r="K200" i="4"/>
  <c r="J200" i="4"/>
  <c r="E200" i="4"/>
  <c r="G200" i="4" s="1"/>
  <c r="R199" i="4"/>
  <c r="K199" i="4"/>
  <c r="J199" i="4"/>
  <c r="E199" i="4"/>
  <c r="G199" i="4" s="1"/>
  <c r="R198" i="4"/>
  <c r="K198" i="4"/>
  <c r="J198" i="4"/>
  <c r="E198" i="4"/>
  <c r="G198" i="4" s="1"/>
  <c r="R197" i="4"/>
  <c r="K197" i="4"/>
  <c r="J197" i="4"/>
  <c r="E197" i="4"/>
  <c r="G197" i="4" s="1"/>
  <c r="R196" i="4"/>
  <c r="K196" i="4"/>
  <c r="J196" i="4"/>
  <c r="E196" i="4"/>
  <c r="G196" i="4" s="1"/>
  <c r="R195" i="4"/>
  <c r="K195" i="4"/>
  <c r="L195" i="4" s="1"/>
  <c r="J195" i="4"/>
  <c r="E195" i="4"/>
  <c r="G195" i="4" s="1"/>
  <c r="R194" i="4"/>
  <c r="K194" i="4"/>
  <c r="J194" i="4"/>
  <c r="E194" i="4"/>
  <c r="F193" i="4"/>
  <c r="F201" i="4" s="1"/>
  <c r="F209" i="4" s="1"/>
  <c r="N192" i="4"/>
  <c r="J192" i="4"/>
  <c r="L192" i="4" s="1"/>
  <c r="E192" i="4"/>
  <c r="G192" i="4" s="1"/>
  <c r="N191" i="4"/>
  <c r="J191" i="4"/>
  <c r="L191" i="4" s="1"/>
  <c r="E191" i="4"/>
  <c r="G191" i="4" s="1"/>
  <c r="N190" i="4"/>
  <c r="N193" i="4" s="1"/>
  <c r="Q23" i="4" s="1"/>
  <c r="R23" i="4" s="1"/>
  <c r="J190" i="4"/>
  <c r="L190" i="4" s="1"/>
  <c r="E190" i="4"/>
  <c r="G190" i="4" s="1"/>
  <c r="K189" i="4"/>
  <c r="L189" i="4" s="1"/>
  <c r="J189" i="4"/>
  <c r="E189" i="4"/>
  <c r="G189" i="4" s="1"/>
  <c r="K188" i="4"/>
  <c r="L188" i="4" s="1"/>
  <c r="L201" i="4" s="1"/>
  <c r="J188" i="4"/>
  <c r="E188" i="4"/>
  <c r="K187" i="4"/>
  <c r="L187" i="4" s="1"/>
  <c r="J187" i="4"/>
  <c r="E187" i="4"/>
  <c r="G187" i="4" s="1"/>
  <c r="K186" i="4"/>
  <c r="L186" i="4" s="1"/>
  <c r="J186" i="4"/>
  <c r="E186" i="4"/>
  <c r="G186" i="4" s="1"/>
  <c r="K185" i="4"/>
  <c r="J185" i="4"/>
  <c r="J193" i="4" s="1"/>
  <c r="E185" i="4"/>
  <c r="F184" i="4"/>
  <c r="K183" i="4"/>
  <c r="J183" i="4"/>
  <c r="E183" i="4"/>
  <c r="G183" i="4" s="1"/>
  <c r="K182" i="4"/>
  <c r="J182" i="4"/>
  <c r="E182" i="4"/>
  <c r="G182" i="4" s="1"/>
  <c r="K181" i="4"/>
  <c r="L181" i="4" s="1"/>
  <c r="J181" i="4"/>
  <c r="E181" i="4"/>
  <c r="G181" i="4" s="1"/>
  <c r="K180" i="4"/>
  <c r="L180" i="4" s="1"/>
  <c r="J180" i="4"/>
  <c r="E180" i="4"/>
  <c r="G180" i="4" s="1"/>
  <c r="K179" i="4"/>
  <c r="L179" i="4" s="1"/>
  <c r="J179" i="4"/>
  <c r="E179" i="4"/>
  <c r="G179" i="4" s="1"/>
  <c r="K178" i="4"/>
  <c r="L178" i="4" s="1"/>
  <c r="J178" i="4"/>
  <c r="E178" i="4"/>
  <c r="G178" i="4" s="1"/>
  <c r="K177" i="4"/>
  <c r="L177" i="4" s="1"/>
  <c r="J177" i="4"/>
  <c r="E177" i="4"/>
  <c r="G177" i="4" s="1"/>
  <c r="K176" i="4"/>
  <c r="J176" i="4"/>
  <c r="J184" i="4" s="1"/>
  <c r="E176" i="4"/>
  <c r="R175" i="4"/>
  <c r="F175" i="4"/>
  <c r="R174" i="4"/>
  <c r="K174" i="4"/>
  <c r="J174" i="4"/>
  <c r="E174" i="4"/>
  <c r="G174" i="4" s="1"/>
  <c r="R173" i="4"/>
  <c r="N173" i="4"/>
  <c r="K173" i="4"/>
  <c r="L173" i="4" s="1"/>
  <c r="J173" i="4"/>
  <c r="E173" i="4"/>
  <c r="G173" i="4" s="1"/>
  <c r="R172" i="4"/>
  <c r="N172" i="4"/>
  <c r="K172" i="4"/>
  <c r="L172" i="4" s="1"/>
  <c r="J172" i="4"/>
  <c r="E172" i="4"/>
  <c r="G172" i="4" s="1"/>
  <c r="R171" i="4"/>
  <c r="N171" i="4"/>
  <c r="K171" i="4"/>
  <c r="L171" i="4" s="1"/>
  <c r="J171" i="4"/>
  <c r="E171" i="4"/>
  <c r="G171" i="4" s="1"/>
  <c r="R170" i="4"/>
  <c r="K170" i="4"/>
  <c r="L170" i="4" s="1"/>
  <c r="J170" i="4"/>
  <c r="E170" i="4"/>
  <c r="G170" i="4" s="1"/>
  <c r="R169" i="4"/>
  <c r="K169" i="4"/>
  <c r="L169" i="4" s="1"/>
  <c r="J169" i="4"/>
  <c r="E169" i="4"/>
  <c r="G169" i="4" s="1"/>
  <c r="R168" i="4"/>
  <c r="K168" i="4"/>
  <c r="L168" i="4" s="1"/>
  <c r="J168" i="4"/>
  <c r="E168" i="4"/>
  <c r="G168" i="4" s="1"/>
  <c r="R167" i="4"/>
  <c r="K167" i="4"/>
  <c r="J167" i="4"/>
  <c r="J175" i="4" s="1"/>
  <c r="E167" i="4"/>
  <c r="R166" i="4"/>
  <c r="R165" i="4"/>
  <c r="K165" i="4"/>
  <c r="J165" i="4"/>
  <c r="E165" i="4"/>
  <c r="G165" i="4" s="1"/>
  <c r="R164" i="4"/>
  <c r="N164" i="4"/>
  <c r="K164" i="4"/>
  <c r="L164" i="4" s="1"/>
  <c r="J164" i="4"/>
  <c r="E164" i="4"/>
  <c r="G164" i="4" s="1"/>
  <c r="R163" i="4"/>
  <c r="N163" i="4"/>
  <c r="K163" i="4"/>
  <c r="L163" i="4" s="1"/>
  <c r="J163" i="4"/>
  <c r="E163" i="4"/>
  <c r="G163" i="4" s="1"/>
  <c r="R162" i="4"/>
  <c r="J162" i="4"/>
  <c r="L162" i="4" s="1"/>
  <c r="E162" i="4"/>
  <c r="G162" i="4" s="1"/>
  <c r="R161" i="4"/>
  <c r="J161" i="4"/>
  <c r="L161" i="4" s="1"/>
  <c r="E161" i="4"/>
  <c r="G161" i="4" s="1"/>
  <c r="R160" i="4"/>
  <c r="K160" i="4"/>
  <c r="L160" i="4" s="1"/>
  <c r="J160" i="4"/>
  <c r="E160" i="4"/>
  <c r="G160" i="4" s="1"/>
  <c r="R159" i="4"/>
  <c r="K159" i="4"/>
  <c r="L159" i="4" s="1"/>
  <c r="J159" i="4"/>
  <c r="E159" i="4"/>
  <c r="G159" i="4" s="1"/>
  <c r="R158" i="4"/>
  <c r="K158" i="4"/>
  <c r="J158" i="4"/>
  <c r="J166" i="4" s="1"/>
  <c r="E158" i="4"/>
  <c r="R157" i="4"/>
  <c r="F157" i="4"/>
  <c r="R156" i="4"/>
  <c r="K156" i="4"/>
  <c r="J156" i="4"/>
  <c r="E156" i="4"/>
  <c r="G156" i="4" s="1"/>
  <c r="R155" i="4"/>
  <c r="N155" i="4"/>
  <c r="K155" i="4"/>
  <c r="J155" i="4"/>
  <c r="E155" i="4"/>
  <c r="G155" i="4" s="1"/>
  <c r="R154" i="4"/>
  <c r="N154" i="4"/>
  <c r="J154" i="4"/>
  <c r="L154" i="4" s="1"/>
  <c r="E154" i="4"/>
  <c r="G154" i="4" s="1"/>
  <c r="R153" i="4"/>
  <c r="N153" i="4"/>
  <c r="J153" i="4"/>
  <c r="E153" i="4"/>
  <c r="G153" i="4" s="1"/>
  <c r="R152" i="4"/>
  <c r="N152" i="4"/>
  <c r="J152" i="4"/>
  <c r="L152" i="4" s="1"/>
  <c r="E152" i="4"/>
  <c r="G152" i="4" s="1"/>
  <c r="R151" i="4"/>
  <c r="J151" i="4"/>
  <c r="L151" i="4" s="1"/>
  <c r="E151" i="4"/>
  <c r="G151" i="4" s="1"/>
  <c r="R150" i="4"/>
  <c r="J150" i="4"/>
  <c r="L150" i="4" s="1"/>
  <c r="E150" i="4"/>
  <c r="G150" i="4" s="1"/>
  <c r="R149" i="4"/>
  <c r="J149" i="4"/>
  <c r="E149" i="4"/>
  <c r="R148" i="4"/>
  <c r="N148" i="4"/>
  <c r="Q18" i="4" s="1"/>
  <c r="R18" i="4" s="1"/>
  <c r="F148" i="4"/>
  <c r="J147" i="4"/>
  <c r="L147" i="4" s="1"/>
  <c r="E147" i="4"/>
  <c r="G147" i="4" s="1"/>
  <c r="J146" i="4"/>
  <c r="L146" i="4" s="1"/>
  <c r="E146" i="4"/>
  <c r="G146" i="4" s="1"/>
  <c r="J145" i="4"/>
  <c r="L145" i="4" s="1"/>
  <c r="E145" i="4"/>
  <c r="G145" i="4" s="1"/>
  <c r="J144" i="4"/>
  <c r="L144" i="4" s="1"/>
  <c r="E144" i="4"/>
  <c r="G144" i="4" s="1"/>
  <c r="R143" i="4"/>
  <c r="J143" i="4"/>
  <c r="L143" i="4" s="1"/>
  <c r="E143" i="4"/>
  <c r="G143" i="4" s="1"/>
  <c r="R142" i="4"/>
  <c r="J142" i="4"/>
  <c r="L142" i="4" s="1"/>
  <c r="E142" i="4"/>
  <c r="G142" i="4" s="1"/>
  <c r="R141" i="4"/>
  <c r="J141" i="4"/>
  <c r="L141" i="4" s="1"/>
  <c r="E141" i="4"/>
  <c r="G141" i="4" s="1"/>
  <c r="R140" i="4"/>
  <c r="K140" i="4"/>
  <c r="L140" i="4" s="1"/>
  <c r="J140" i="4"/>
  <c r="E140" i="4"/>
  <c r="G140" i="4" s="1"/>
  <c r="R139" i="4"/>
  <c r="K139" i="4"/>
  <c r="L139" i="4" s="1"/>
  <c r="J139" i="4"/>
  <c r="E139" i="4"/>
  <c r="G139" i="4" s="1"/>
  <c r="R138" i="4"/>
  <c r="K138" i="4"/>
  <c r="L138" i="4" s="1"/>
  <c r="J138" i="4"/>
  <c r="E138" i="4"/>
  <c r="G138" i="4" s="1"/>
  <c r="R137" i="4"/>
  <c r="K137" i="4"/>
  <c r="L137" i="4" s="1"/>
  <c r="J137" i="4"/>
  <c r="E137" i="4"/>
  <c r="G137" i="4" s="1"/>
  <c r="R136" i="4"/>
  <c r="K136" i="4"/>
  <c r="J136" i="4"/>
  <c r="J148" i="4" s="1"/>
  <c r="E136" i="4"/>
  <c r="N134" i="4"/>
  <c r="K134" i="4"/>
  <c r="L134" i="4" s="1"/>
  <c r="J134" i="4"/>
  <c r="E134" i="4"/>
  <c r="G134" i="4" s="1"/>
  <c r="N133" i="4"/>
  <c r="K133" i="4"/>
  <c r="L133" i="4" s="1"/>
  <c r="J133" i="4"/>
  <c r="E133" i="4"/>
  <c r="G133" i="4" s="1"/>
  <c r="N132" i="4"/>
  <c r="K132" i="4"/>
  <c r="L132" i="4" s="1"/>
  <c r="J132" i="4"/>
  <c r="E132" i="4"/>
  <c r="G132" i="4" s="1"/>
  <c r="N131" i="4"/>
  <c r="K131" i="4"/>
  <c r="L131" i="4" s="1"/>
  <c r="J131" i="4"/>
  <c r="E131" i="4"/>
  <c r="G131" i="4" s="1"/>
  <c r="N130" i="4"/>
  <c r="K130" i="4"/>
  <c r="L130" i="4" s="1"/>
  <c r="J130" i="4"/>
  <c r="E130" i="4"/>
  <c r="G130" i="4" s="1"/>
  <c r="N129" i="4"/>
  <c r="K129" i="4"/>
  <c r="L129" i="4" s="1"/>
  <c r="J129" i="4"/>
  <c r="E129" i="4"/>
  <c r="G129" i="4" s="1"/>
  <c r="N128" i="4"/>
  <c r="N135" i="4" s="1"/>
  <c r="Q26" i="4" s="1"/>
  <c r="R26" i="4" s="1"/>
  <c r="K128" i="4"/>
  <c r="J128" i="4"/>
  <c r="J135" i="4" s="1"/>
  <c r="E128" i="4"/>
  <c r="R127" i="4"/>
  <c r="F127" i="4"/>
  <c r="F135" i="4" s="1"/>
  <c r="R126" i="4"/>
  <c r="N126" i="4"/>
  <c r="K126" i="4"/>
  <c r="L126" i="4" s="1"/>
  <c r="J126" i="4"/>
  <c r="E126" i="4"/>
  <c r="G126" i="4" s="1"/>
  <c r="R125" i="4"/>
  <c r="N125" i="4"/>
  <c r="K125" i="4"/>
  <c r="L125" i="4" s="1"/>
  <c r="J125" i="4"/>
  <c r="E125" i="4"/>
  <c r="G125" i="4" s="1"/>
  <c r="R124" i="4"/>
  <c r="N124" i="4"/>
  <c r="K124" i="4"/>
  <c r="L124" i="4" s="1"/>
  <c r="J124" i="4"/>
  <c r="E124" i="4"/>
  <c r="G124" i="4" s="1"/>
  <c r="R123" i="4"/>
  <c r="N123" i="4"/>
  <c r="K123" i="4"/>
  <c r="L123" i="4" s="1"/>
  <c r="J123" i="4"/>
  <c r="E123" i="4"/>
  <c r="G123" i="4" s="1"/>
  <c r="R122" i="4"/>
  <c r="N122" i="4"/>
  <c r="K122" i="4"/>
  <c r="L122" i="4" s="1"/>
  <c r="J122" i="4"/>
  <c r="E122" i="4"/>
  <c r="G122" i="4" s="1"/>
  <c r="R121" i="4"/>
  <c r="N121" i="4"/>
  <c r="K121" i="4"/>
  <c r="L121" i="4" s="1"/>
  <c r="J121" i="4"/>
  <c r="E121" i="4"/>
  <c r="G121" i="4" s="1"/>
  <c r="R120" i="4"/>
  <c r="N120" i="4"/>
  <c r="N127" i="4" s="1"/>
  <c r="Q17" i="4" s="1"/>
  <c r="R17" i="4" s="1"/>
  <c r="K120" i="4"/>
  <c r="J120" i="4"/>
  <c r="J127" i="4" s="1"/>
  <c r="E120" i="4"/>
  <c r="R119" i="4"/>
  <c r="R118" i="4"/>
  <c r="N118" i="4"/>
  <c r="K118" i="4"/>
  <c r="L118" i="4" s="1"/>
  <c r="J118" i="4"/>
  <c r="E118" i="4"/>
  <c r="G118" i="4" s="1"/>
  <c r="R117" i="4"/>
  <c r="N117" i="4"/>
  <c r="K117" i="4"/>
  <c r="L117" i="4" s="1"/>
  <c r="J117" i="4"/>
  <c r="E117" i="4"/>
  <c r="G117" i="4" s="1"/>
  <c r="R116" i="4"/>
  <c r="N116" i="4"/>
  <c r="K116" i="4"/>
  <c r="L116" i="4" s="1"/>
  <c r="J116" i="4"/>
  <c r="E116" i="4"/>
  <c r="G116" i="4" s="1"/>
  <c r="R115" i="4"/>
  <c r="N115" i="4"/>
  <c r="K115" i="4"/>
  <c r="L115" i="4" s="1"/>
  <c r="J115" i="4"/>
  <c r="E115" i="4"/>
  <c r="G115" i="4" s="1"/>
  <c r="R114" i="4"/>
  <c r="N114" i="4"/>
  <c r="K114" i="4"/>
  <c r="L114" i="4" s="1"/>
  <c r="J114" i="4"/>
  <c r="E114" i="4"/>
  <c r="G114" i="4" s="1"/>
  <c r="R113" i="4"/>
  <c r="N113" i="4"/>
  <c r="K113" i="4"/>
  <c r="L113" i="4" s="1"/>
  <c r="J113" i="4"/>
  <c r="E113" i="4"/>
  <c r="G113" i="4" s="1"/>
  <c r="R112" i="4"/>
  <c r="N112" i="4"/>
  <c r="N119" i="4" s="1"/>
  <c r="K112" i="4"/>
  <c r="J112" i="4"/>
  <c r="J119" i="4" s="1"/>
  <c r="E112" i="4"/>
  <c r="R111" i="4"/>
  <c r="R110" i="4"/>
  <c r="N110" i="4"/>
  <c r="K110" i="4"/>
  <c r="L110" i="4" s="1"/>
  <c r="J110" i="4"/>
  <c r="E110" i="4"/>
  <c r="G110" i="4" s="1"/>
  <c r="R109" i="4"/>
  <c r="N109" i="4"/>
  <c r="K109" i="4"/>
  <c r="L109" i="4" s="1"/>
  <c r="J109" i="4"/>
  <c r="E109" i="4"/>
  <c r="G109" i="4" s="1"/>
  <c r="R108" i="4"/>
  <c r="N108" i="4"/>
  <c r="K108" i="4"/>
  <c r="L108" i="4" s="1"/>
  <c r="J108" i="4"/>
  <c r="E108" i="4"/>
  <c r="G108" i="4" s="1"/>
  <c r="R107" i="4"/>
  <c r="N107" i="4"/>
  <c r="K107" i="4"/>
  <c r="L107" i="4" s="1"/>
  <c r="J107" i="4"/>
  <c r="E107" i="4"/>
  <c r="G107" i="4" s="1"/>
  <c r="R106" i="4"/>
  <c r="N106" i="4"/>
  <c r="K106" i="4"/>
  <c r="L106" i="4" s="1"/>
  <c r="J106" i="4"/>
  <c r="E106" i="4"/>
  <c r="G106" i="4" s="1"/>
  <c r="R105" i="4"/>
  <c r="N105" i="4"/>
  <c r="K105" i="4"/>
  <c r="L105" i="4" s="1"/>
  <c r="J105" i="4"/>
  <c r="E105" i="4"/>
  <c r="G105" i="4" s="1"/>
  <c r="R104" i="4"/>
  <c r="N104" i="4"/>
  <c r="N111" i="4" s="1"/>
  <c r="Q15" i="4" s="1"/>
  <c r="R15" i="4" s="1"/>
  <c r="K104" i="4"/>
  <c r="L104" i="4" s="1"/>
  <c r="J104" i="4"/>
  <c r="E104" i="4"/>
  <c r="G104" i="4" s="1"/>
  <c r="R103" i="4"/>
  <c r="R102" i="4"/>
  <c r="N102" i="4"/>
  <c r="K102" i="4"/>
  <c r="L102" i="4" s="1"/>
  <c r="J102" i="4"/>
  <c r="E102" i="4"/>
  <c r="G102" i="4" s="1"/>
  <c r="R101" i="4"/>
  <c r="K101" i="4"/>
  <c r="L101" i="4" s="1"/>
  <c r="J101" i="4"/>
  <c r="E101" i="4"/>
  <c r="G101" i="4" s="1"/>
  <c r="R100" i="4"/>
  <c r="N100" i="4"/>
  <c r="K100" i="4"/>
  <c r="L100" i="4" s="1"/>
  <c r="J100" i="4"/>
  <c r="E100" i="4"/>
  <c r="G100" i="4" s="1"/>
  <c r="R99" i="4"/>
  <c r="N99" i="4"/>
  <c r="K99" i="4"/>
  <c r="L99" i="4" s="1"/>
  <c r="J99" i="4"/>
  <c r="E99" i="4"/>
  <c r="G99" i="4" s="1"/>
  <c r="R98" i="4"/>
  <c r="N98" i="4"/>
  <c r="K98" i="4"/>
  <c r="L98" i="4" s="1"/>
  <c r="J98" i="4"/>
  <c r="E98" i="4"/>
  <c r="G98" i="4" s="1"/>
  <c r="R97" i="4"/>
  <c r="N97" i="4"/>
  <c r="N103" i="4" s="1"/>
  <c r="Q14" i="4" s="1"/>
  <c r="R14" i="4" s="1"/>
  <c r="K97" i="4"/>
  <c r="J97" i="4"/>
  <c r="E97" i="4"/>
  <c r="R96" i="4"/>
  <c r="F96" i="4"/>
  <c r="F103" i="4" s="1"/>
  <c r="F111" i="4" s="1"/>
  <c r="R95" i="4"/>
  <c r="N95" i="4"/>
  <c r="K95" i="4"/>
  <c r="L95" i="4" s="1"/>
  <c r="J95" i="4"/>
  <c r="E95" i="4"/>
  <c r="G95" i="4" s="1"/>
  <c r="R94" i="4"/>
  <c r="N94" i="4"/>
  <c r="K94" i="4"/>
  <c r="L94" i="4" s="1"/>
  <c r="J94" i="4"/>
  <c r="E94" i="4"/>
  <c r="G94" i="4" s="1"/>
  <c r="R93" i="4"/>
  <c r="N93" i="4"/>
  <c r="K93" i="4"/>
  <c r="L93" i="4" s="1"/>
  <c r="J93" i="4"/>
  <c r="E93" i="4"/>
  <c r="G93" i="4" s="1"/>
  <c r="R92" i="4"/>
  <c r="N92" i="4"/>
  <c r="K92" i="4"/>
  <c r="L92" i="4" s="1"/>
  <c r="J92" i="4"/>
  <c r="E92" i="4"/>
  <c r="G92" i="4" s="1"/>
  <c r="R91" i="4"/>
  <c r="N91" i="4"/>
  <c r="K91" i="4"/>
  <c r="L91" i="4" s="1"/>
  <c r="J91" i="4"/>
  <c r="E91" i="4"/>
  <c r="G91" i="4" s="1"/>
  <c r="R90" i="4"/>
  <c r="N90" i="4"/>
  <c r="K90" i="4"/>
  <c r="L90" i="4" s="1"/>
  <c r="J90" i="4"/>
  <c r="E90" i="4"/>
  <c r="G90" i="4" s="1"/>
  <c r="R89" i="4"/>
  <c r="N89" i="4"/>
  <c r="K89" i="4"/>
  <c r="L89" i="4" s="1"/>
  <c r="J89" i="4"/>
  <c r="E89" i="4"/>
  <c r="G89" i="4" s="1"/>
  <c r="R88" i="4"/>
  <c r="N88" i="4"/>
  <c r="N96" i="4" s="1"/>
  <c r="Q13" i="4" s="1"/>
  <c r="R13" i="4" s="1"/>
  <c r="K88" i="4"/>
  <c r="J88" i="4"/>
  <c r="J96" i="4" s="1"/>
  <c r="E88" i="4"/>
  <c r="R87" i="4"/>
  <c r="R86" i="4"/>
  <c r="N86" i="4"/>
  <c r="K86" i="4"/>
  <c r="L86" i="4" s="1"/>
  <c r="J86" i="4"/>
  <c r="E86" i="4"/>
  <c r="G86" i="4" s="1"/>
  <c r="R85" i="4"/>
  <c r="N85" i="4"/>
  <c r="K85" i="4"/>
  <c r="L85" i="4" s="1"/>
  <c r="J85" i="4"/>
  <c r="E85" i="4"/>
  <c r="G85" i="4" s="1"/>
  <c r="R84" i="4"/>
  <c r="N84" i="4"/>
  <c r="K84" i="4"/>
  <c r="L84" i="4" s="1"/>
  <c r="J84" i="4"/>
  <c r="E84" i="4"/>
  <c r="G84" i="4" s="1"/>
  <c r="R83" i="4"/>
  <c r="N83" i="4"/>
  <c r="K83" i="4"/>
  <c r="L83" i="4" s="1"/>
  <c r="J83" i="4"/>
  <c r="E83" i="4"/>
  <c r="G83" i="4" s="1"/>
  <c r="R82" i="4"/>
  <c r="N82" i="4"/>
  <c r="K82" i="4"/>
  <c r="L82" i="4" s="1"/>
  <c r="J82" i="4"/>
  <c r="E82" i="4"/>
  <c r="G82" i="4" s="1"/>
  <c r="R81" i="4"/>
  <c r="N81" i="4"/>
  <c r="K81" i="4"/>
  <c r="L81" i="4" s="1"/>
  <c r="J81" i="4"/>
  <c r="E81" i="4"/>
  <c r="G81" i="4" s="1"/>
  <c r="R80" i="4"/>
  <c r="N80" i="4"/>
  <c r="N87" i="4" s="1"/>
  <c r="Q12" i="4" s="1"/>
  <c r="R12" i="4" s="1"/>
  <c r="K80" i="4"/>
  <c r="J80" i="4"/>
  <c r="J87" i="4" s="1"/>
  <c r="E80" i="4"/>
  <c r="R79" i="4"/>
  <c r="R78" i="4"/>
  <c r="N78" i="4"/>
  <c r="K78" i="4"/>
  <c r="L78" i="4" s="1"/>
  <c r="J78" i="4"/>
  <c r="E78" i="4"/>
  <c r="G78" i="4" s="1"/>
  <c r="R77" i="4"/>
  <c r="N77" i="4"/>
  <c r="K77" i="4"/>
  <c r="L77" i="4" s="1"/>
  <c r="J77" i="4"/>
  <c r="E77" i="4"/>
  <c r="G77" i="4" s="1"/>
  <c r="R76" i="4"/>
  <c r="N76" i="4"/>
  <c r="K76" i="4"/>
  <c r="L76" i="4" s="1"/>
  <c r="J76" i="4"/>
  <c r="E76" i="4"/>
  <c r="G76" i="4" s="1"/>
  <c r="R75" i="4"/>
  <c r="N75" i="4"/>
  <c r="K75" i="4"/>
  <c r="L75" i="4" s="1"/>
  <c r="J75" i="4"/>
  <c r="E75" i="4"/>
  <c r="G75" i="4" s="1"/>
  <c r="R74" i="4"/>
  <c r="N74" i="4"/>
  <c r="K74" i="4"/>
  <c r="L74" i="4" s="1"/>
  <c r="J74" i="4"/>
  <c r="E74" i="4"/>
  <c r="G74" i="4" s="1"/>
  <c r="R73" i="4"/>
  <c r="N73" i="4"/>
  <c r="K73" i="4"/>
  <c r="J73" i="4"/>
  <c r="E73" i="4"/>
  <c r="G73" i="4" s="1"/>
  <c r="R72" i="4"/>
  <c r="N72" i="4"/>
  <c r="N79" i="4" s="1"/>
  <c r="Q11" i="4" s="1"/>
  <c r="R11" i="4" s="1"/>
  <c r="K72" i="4"/>
  <c r="L72" i="4" s="1"/>
  <c r="J72" i="4"/>
  <c r="J79" i="4" s="1"/>
  <c r="E72" i="4"/>
  <c r="R71" i="4"/>
  <c r="F71" i="4"/>
  <c r="R70" i="4"/>
  <c r="N70" i="4"/>
  <c r="K70" i="4"/>
  <c r="L70" i="4" s="1"/>
  <c r="J70" i="4"/>
  <c r="E70" i="4"/>
  <c r="G70" i="4" s="1"/>
  <c r="R69" i="4"/>
  <c r="N69" i="4"/>
  <c r="K69" i="4"/>
  <c r="L69" i="4" s="1"/>
  <c r="J69" i="4"/>
  <c r="E69" i="4"/>
  <c r="G69" i="4" s="1"/>
  <c r="R68" i="4"/>
  <c r="N68" i="4"/>
  <c r="K68" i="4"/>
  <c r="J68" i="4"/>
  <c r="J71" i="4" s="1"/>
  <c r="E68" i="4"/>
  <c r="R67" i="4"/>
  <c r="N67" i="4"/>
  <c r="N71" i="4" s="1"/>
  <c r="Q10" i="4" s="1"/>
  <c r="R10" i="4" s="1"/>
  <c r="L67" i="4"/>
  <c r="K67" i="4"/>
  <c r="J67" i="4"/>
  <c r="E67" i="4"/>
  <c r="G67" i="4" s="1"/>
  <c r="R66" i="4"/>
  <c r="N66" i="4"/>
  <c r="K66" i="4"/>
  <c r="L66" i="4" s="1"/>
  <c r="J66" i="4"/>
  <c r="E66" i="4"/>
  <c r="G66" i="4" s="1"/>
  <c r="K65" i="4"/>
  <c r="L65" i="4" s="1"/>
  <c r="J65" i="4"/>
  <c r="E65" i="4"/>
  <c r="G65" i="4" s="1"/>
  <c r="R64" i="4"/>
  <c r="N64" i="4"/>
  <c r="K64" i="4"/>
  <c r="L64" i="4" s="1"/>
  <c r="J64" i="4"/>
  <c r="E64" i="4"/>
  <c r="G64" i="4" s="1"/>
  <c r="R63" i="4"/>
  <c r="N63" i="4"/>
  <c r="K63" i="4"/>
  <c r="L63" i="4" s="1"/>
  <c r="J63" i="4"/>
  <c r="E63" i="4"/>
  <c r="G63" i="4" s="1"/>
  <c r="R62" i="4"/>
  <c r="N62" i="4"/>
  <c r="K62" i="4"/>
  <c r="L62" i="4" s="1"/>
  <c r="L71" i="4" s="1"/>
  <c r="J62" i="4"/>
  <c r="E62" i="4"/>
  <c r="G62" i="4" s="1"/>
  <c r="G71" i="4" s="1"/>
  <c r="R61" i="4"/>
  <c r="R60" i="4"/>
  <c r="N60" i="4"/>
  <c r="K60" i="4"/>
  <c r="L60" i="4" s="1"/>
  <c r="J60" i="4"/>
  <c r="E60" i="4"/>
  <c r="G60" i="4" s="1"/>
  <c r="R59" i="4"/>
  <c r="N59" i="4"/>
  <c r="K59" i="4"/>
  <c r="L59" i="4" s="1"/>
  <c r="J59" i="4"/>
  <c r="E59" i="4"/>
  <c r="G59" i="4" s="1"/>
  <c r="N58" i="4"/>
  <c r="K58" i="4"/>
  <c r="L58" i="4" s="1"/>
  <c r="J58" i="4"/>
  <c r="E58" i="4"/>
  <c r="G58" i="4" s="1"/>
  <c r="R57" i="4"/>
  <c r="N57" i="4"/>
  <c r="K57" i="4"/>
  <c r="L57" i="4" s="1"/>
  <c r="J57" i="4"/>
  <c r="E57" i="4"/>
  <c r="G57" i="4" s="1"/>
  <c r="R56" i="4"/>
  <c r="N56" i="4"/>
  <c r="K56" i="4"/>
  <c r="L56" i="4" s="1"/>
  <c r="J56" i="4"/>
  <c r="E56" i="4"/>
  <c r="G56" i="4" s="1"/>
  <c r="R55" i="4"/>
  <c r="N55" i="4"/>
  <c r="K55" i="4"/>
  <c r="L55" i="4" s="1"/>
  <c r="J55" i="4"/>
  <c r="E55" i="4"/>
  <c r="G55" i="4" s="1"/>
  <c r="R54" i="4"/>
  <c r="N54" i="4"/>
  <c r="K54" i="4"/>
  <c r="L54" i="4" s="1"/>
  <c r="J54" i="4"/>
  <c r="E54" i="4"/>
  <c r="G54" i="4" s="1"/>
  <c r="R53" i="4"/>
  <c r="N53" i="4"/>
  <c r="K53" i="4"/>
  <c r="L53" i="4" s="1"/>
  <c r="J53" i="4"/>
  <c r="E53" i="4"/>
  <c r="G53" i="4" s="1"/>
  <c r="R52" i="4"/>
  <c r="N52" i="4"/>
  <c r="K52" i="4"/>
  <c r="L52" i="4" s="1"/>
  <c r="J52" i="4"/>
  <c r="E52" i="4"/>
  <c r="G52" i="4" s="1"/>
  <c r="R51" i="4"/>
  <c r="N51" i="4"/>
  <c r="K51" i="4"/>
  <c r="L51" i="4" s="1"/>
  <c r="J51" i="4"/>
  <c r="E51" i="4"/>
  <c r="G51" i="4" s="1"/>
  <c r="R50" i="4"/>
  <c r="N50" i="4"/>
  <c r="N61" i="4" s="1"/>
  <c r="Q8" i="4" s="1"/>
  <c r="R8" i="4" s="1"/>
  <c r="K50" i="4"/>
  <c r="J50" i="4"/>
  <c r="J61" i="4" s="1"/>
  <c r="E50" i="4"/>
  <c r="R49" i="4"/>
  <c r="F49" i="4"/>
  <c r="R48" i="4"/>
  <c r="N48" i="4"/>
  <c r="K48" i="4"/>
  <c r="L48" i="4" s="1"/>
  <c r="J48" i="4"/>
  <c r="E48" i="4"/>
  <c r="G48" i="4" s="1"/>
  <c r="R47" i="4"/>
  <c r="N47" i="4"/>
  <c r="K47" i="4"/>
  <c r="L47" i="4" s="1"/>
  <c r="J47" i="4"/>
  <c r="E47" i="4"/>
  <c r="G47" i="4" s="1"/>
  <c r="N46" i="4"/>
  <c r="K46" i="4"/>
  <c r="L46" i="4" s="1"/>
  <c r="J46" i="4"/>
  <c r="E46" i="4"/>
  <c r="G46" i="4" s="1"/>
  <c r="N45" i="4"/>
  <c r="K45" i="4"/>
  <c r="L45" i="4" s="1"/>
  <c r="J45" i="4"/>
  <c r="E45" i="4"/>
  <c r="G45" i="4" s="1"/>
  <c r="R44" i="4"/>
  <c r="N44" i="4"/>
  <c r="K44" i="4"/>
  <c r="L44" i="4" s="1"/>
  <c r="J44" i="4"/>
  <c r="E44" i="4"/>
  <c r="G44" i="4" s="1"/>
  <c r="R43" i="4"/>
  <c r="N43" i="4"/>
  <c r="K43" i="4"/>
  <c r="L43" i="4" s="1"/>
  <c r="J43" i="4"/>
  <c r="E43" i="4"/>
  <c r="G43" i="4" s="1"/>
  <c r="R42" i="4"/>
  <c r="N42" i="4"/>
  <c r="K42" i="4"/>
  <c r="L42" i="4" s="1"/>
  <c r="J42" i="4"/>
  <c r="E42" i="4"/>
  <c r="G42" i="4" s="1"/>
  <c r="R41" i="4"/>
  <c r="N41" i="4"/>
  <c r="K41" i="4"/>
  <c r="L41" i="4" s="1"/>
  <c r="J41" i="4"/>
  <c r="E41" i="4"/>
  <c r="G41" i="4" s="1"/>
  <c r="R40" i="4"/>
  <c r="N40" i="4"/>
  <c r="K40" i="4"/>
  <c r="L40" i="4" s="1"/>
  <c r="J40" i="4"/>
  <c r="E40" i="4"/>
  <c r="G40" i="4" s="1"/>
  <c r="R39" i="4"/>
  <c r="N39" i="4"/>
  <c r="N49" i="4" s="1"/>
  <c r="Q7" i="4" s="1"/>
  <c r="R7" i="4" s="1"/>
  <c r="K39" i="4"/>
  <c r="J39" i="4"/>
  <c r="J49" i="4" s="1"/>
  <c r="E39" i="4"/>
  <c r="R38" i="4"/>
  <c r="R37" i="4"/>
  <c r="N37" i="4"/>
  <c r="K37" i="4"/>
  <c r="L37" i="4" s="1"/>
  <c r="J37" i="4"/>
  <c r="E37" i="4"/>
  <c r="G37" i="4" s="1"/>
  <c r="R36" i="4"/>
  <c r="N36" i="4"/>
  <c r="K36" i="4"/>
  <c r="L36" i="4" s="1"/>
  <c r="J36" i="4"/>
  <c r="E36" i="4"/>
  <c r="G36" i="4" s="1"/>
  <c r="R35" i="4"/>
  <c r="N35" i="4"/>
  <c r="K35" i="4"/>
  <c r="L35" i="4" s="1"/>
  <c r="J35" i="4"/>
  <c r="E35" i="4"/>
  <c r="G35" i="4" s="1"/>
  <c r="R34" i="4"/>
  <c r="N34" i="4"/>
  <c r="K34" i="4"/>
  <c r="L34" i="4" s="1"/>
  <c r="J34" i="4"/>
  <c r="E34" i="4"/>
  <c r="G34" i="4" s="1"/>
  <c r="R33" i="4"/>
  <c r="N33" i="4"/>
  <c r="K33" i="4"/>
  <c r="L33" i="4" s="1"/>
  <c r="J33" i="4"/>
  <c r="E33" i="4"/>
  <c r="G33" i="4" s="1"/>
  <c r="R32" i="4"/>
  <c r="N32" i="4"/>
  <c r="K32" i="4"/>
  <c r="L32" i="4" s="1"/>
  <c r="J32" i="4"/>
  <c r="E32" i="4"/>
  <c r="G32" i="4" s="1"/>
  <c r="R31" i="4"/>
  <c r="N31" i="4"/>
  <c r="K31" i="4"/>
  <c r="L31" i="4" s="1"/>
  <c r="J31" i="4"/>
  <c r="E31" i="4"/>
  <c r="G31" i="4" s="1"/>
  <c r="R30" i="4"/>
  <c r="N30" i="4"/>
  <c r="N38" i="4" s="1"/>
  <c r="Q6" i="4" s="1"/>
  <c r="R6" i="4" s="1"/>
  <c r="K30" i="4"/>
  <c r="J30" i="4"/>
  <c r="J38" i="4" s="1"/>
  <c r="E30" i="4"/>
  <c r="F29" i="4"/>
  <c r="R28" i="4"/>
  <c r="N28" i="4"/>
  <c r="K28" i="4"/>
  <c r="L28" i="4" s="1"/>
  <c r="J28" i="4"/>
  <c r="E28" i="4"/>
  <c r="G28" i="4" s="1"/>
  <c r="R27" i="4"/>
  <c r="N27" i="4"/>
  <c r="K27" i="4"/>
  <c r="L27" i="4" s="1"/>
  <c r="J27" i="4"/>
  <c r="E27" i="4"/>
  <c r="G27" i="4" s="1"/>
  <c r="N26" i="4"/>
  <c r="K26" i="4"/>
  <c r="L26" i="4" s="1"/>
  <c r="J26" i="4"/>
  <c r="E26" i="4"/>
  <c r="G26" i="4" s="1"/>
  <c r="N25" i="4"/>
  <c r="K25" i="4"/>
  <c r="L25" i="4" s="1"/>
  <c r="J25" i="4"/>
  <c r="E25" i="4"/>
  <c r="G25" i="4" s="1"/>
  <c r="N24" i="4"/>
  <c r="K24" i="4"/>
  <c r="L24" i="4" s="1"/>
  <c r="J24" i="4"/>
  <c r="E24" i="4"/>
  <c r="G24" i="4" s="1"/>
  <c r="N23" i="4"/>
  <c r="K23" i="4"/>
  <c r="L23" i="4" s="1"/>
  <c r="J23" i="4"/>
  <c r="E23" i="4"/>
  <c r="G23" i="4" s="1"/>
  <c r="N22" i="4"/>
  <c r="K22" i="4"/>
  <c r="L22" i="4" s="1"/>
  <c r="J22" i="4"/>
  <c r="E22" i="4"/>
  <c r="G22" i="4" s="1"/>
  <c r="N21" i="4"/>
  <c r="K21" i="4"/>
  <c r="L21" i="4" s="1"/>
  <c r="J21" i="4"/>
  <c r="E21" i="4"/>
  <c r="G21" i="4" s="1"/>
  <c r="N20" i="4"/>
  <c r="N29" i="4" s="1"/>
  <c r="Q5" i="4" s="1"/>
  <c r="R5" i="4" s="1"/>
  <c r="K20" i="4"/>
  <c r="J20" i="4"/>
  <c r="J29" i="4" s="1"/>
  <c r="E20" i="4"/>
  <c r="O18" i="4"/>
  <c r="O19" i="4" s="1"/>
  <c r="O20" i="4" s="1"/>
  <c r="O21" i="4" s="1"/>
  <c r="O22" i="4" s="1"/>
  <c r="O23" i="4" s="1"/>
  <c r="O24" i="4" s="1"/>
  <c r="O25" i="4" s="1"/>
  <c r="O26" i="4" s="1"/>
  <c r="N18" i="4"/>
  <c r="K18" i="4"/>
  <c r="L18" i="4" s="1"/>
  <c r="J18" i="4"/>
  <c r="E18" i="4"/>
  <c r="G18" i="4" s="1"/>
  <c r="N17" i="4"/>
  <c r="K17" i="4"/>
  <c r="L17" i="4" s="1"/>
  <c r="J17" i="4"/>
  <c r="E17" i="4"/>
  <c r="G17" i="4" s="1"/>
  <c r="N16" i="4"/>
  <c r="K16" i="4"/>
  <c r="L16" i="4" s="1"/>
  <c r="J16" i="4"/>
  <c r="E16" i="4"/>
  <c r="G16" i="4" s="1"/>
  <c r="N15" i="4"/>
  <c r="K15" i="4"/>
  <c r="L15" i="4" s="1"/>
  <c r="J15" i="4"/>
  <c r="E15" i="4"/>
  <c r="G15" i="4" s="1"/>
  <c r="N14" i="4"/>
  <c r="K14" i="4"/>
  <c r="L14" i="4" s="1"/>
  <c r="J14" i="4"/>
  <c r="E14" i="4"/>
  <c r="G14" i="4" s="1"/>
  <c r="N13" i="4"/>
  <c r="K13" i="4"/>
  <c r="L13" i="4" s="1"/>
  <c r="J13" i="4"/>
  <c r="E13" i="4"/>
  <c r="G13" i="4" s="1"/>
  <c r="N12" i="4"/>
  <c r="N19" i="4" s="1"/>
  <c r="Q4" i="4" s="1"/>
  <c r="K12" i="4"/>
  <c r="J12" i="4"/>
  <c r="J19" i="4" s="1"/>
  <c r="E12" i="4"/>
  <c r="G11" i="4"/>
  <c r="F11" i="4"/>
  <c r="F19" i="4" s="1"/>
  <c r="N10" i="4"/>
  <c r="K10" i="4"/>
  <c r="L10" i="4" s="1"/>
  <c r="J10" i="4"/>
  <c r="E10" i="4"/>
  <c r="G10" i="4" s="1"/>
  <c r="N9" i="4"/>
  <c r="K9" i="4"/>
  <c r="L9" i="4" s="1"/>
  <c r="J9" i="4"/>
  <c r="E9" i="4"/>
  <c r="G9" i="4" s="1"/>
  <c r="N8" i="4"/>
  <c r="K8" i="4"/>
  <c r="L8" i="4" s="1"/>
  <c r="J8" i="4"/>
  <c r="E8" i="4"/>
  <c r="G8" i="4" s="1"/>
  <c r="N7" i="4"/>
  <c r="K7" i="4"/>
  <c r="L7" i="4" s="1"/>
  <c r="J7" i="4"/>
  <c r="E7" i="4"/>
  <c r="G7" i="4" s="1"/>
  <c r="N6" i="4"/>
  <c r="K6" i="4"/>
  <c r="L6" i="4" s="1"/>
  <c r="J6" i="4"/>
  <c r="E6" i="4"/>
  <c r="G6" i="4" s="1"/>
  <c r="N5" i="4"/>
  <c r="K5" i="4"/>
  <c r="L5" i="4" s="1"/>
  <c r="J5" i="4"/>
  <c r="E5" i="4"/>
  <c r="G5" i="4" s="1"/>
  <c r="N4" i="4"/>
  <c r="K4" i="4"/>
  <c r="L4" i="4" s="1"/>
  <c r="J4" i="4"/>
  <c r="E4" i="4"/>
  <c r="G4" i="4" s="1"/>
  <c r="N3" i="4"/>
  <c r="N11" i="4" s="1"/>
  <c r="K3" i="4"/>
  <c r="J3" i="4"/>
  <c r="J11" i="4" s="1"/>
  <c r="E3" i="4"/>
  <c r="F334" i="3"/>
  <c r="N333" i="3"/>
  <c r="K333" i="3"/>
  <c r="L333" i="3" s="1"/>
  <c r="J333" i="3"/>
  <c r="E333" i="3"/>
  <c r="G333" i="3" s="1"/>
  <c r="N332" i="3"/>
  <c r="K332" i="3"/>
  <c r="L332" i="3" s="1"/>
  <c r="J332" i="3"/>
  <c r="E332" i="3"/>
  <c r="G332" i="3" s="1"/>
  <c r="N331" i="3"/>
  <c r="K331" i="3"/>
  <c r="L331" i="3" s="1"/>
  <c r="J331" i="3"/>
  <c r="E331" i="3"/>
  <c r="G331" i="3" s="1"/>
  <c r="N330" i="3"/>
  <c r="K330" i="3"/>
  <c r="L330" i="3" s="1"/>
  <c r="J330" i="3"/>
  <c r="E330" i="3"/>
  <c r="G330" i="3" s="1"/>
  <c r="N329" i="3"/>
  <c r="N334" i="3" s="1"/>
  <c r="Q235" i="3" s="1"/>
  <c r="R235" i="3" s="1"/>
  <c r="K329" i="3"/>
  <c r="L329" i="3" s="1"/>
  <c r="J329" i="3"/>
  <c r="E329" i="3"/>
  <c r="G329" i="3" s="1"/>
  <c r="K328" i="3"/>
  <c r="J328" i="3"/>
  <c r="J334" i="3" s="1"/>
  <c r="E328" i="3"/>
  <c r="F327" i="3"/>
  <c r="N326" i="3"/>
  <c r="K326" i="3"/>
  <c r="L326" i="3" s="1"/>
  <c r="J326" i="3"/>
  <c r="E326" i="3"/>
  <c r="G326" i="3" s="1"/>
  <c r="N325" i="3"/>
  <c r="K325" i="3"/>
  <c r="L325" i="3" s="1"/>
  <c r="J325" i="3"/>
  <c r="E325" i="3"/>
  <c r="G325" i="3" s="1"/>
  <c r="N324" i="3"/>
  <c r="K324" i="3"/>
  <c r="L324" i="3" s="1"/>
  <c r="J324" i="3"/>
  <c r="E324" i="3"/>
  <c r="G324" i="3" s="1"/>
  <c r="N323" i="3"/>
  <c r="K323" i="3"/>
  <c r="L323" i="3" s="1"/>
  <c r="J323" i="3"/>
  <c r="E323" i="3"/>
  <c r="G323" i="3" s="1"/>
  <c r="N322" i="3"/>
  <c r="K322" i="3"/>
  <c r="L322" i="3" s="1"/>
  <c r="J322" i="3"/>
  <c r="E322" i="3"/>
  <c r="G322" i="3" s="1"/>
  <c r="N321" i="3"/>
  <c r="K321" i="3"/>
  <c r="L321" i="3" s="1"/>
  <c r="J321" i="3"/>
  <c r="E321" i="3"/>
  <c r="G321" i="3" s="1"/>
  <c r="N320" i="3"/>
  <c r="K320" i="3"/>
  <c r="L320" i="3" s="1"/>
  <c r="J320" i="3"/>
  <c r="E320" i="3"/>
  <c r="G320" i="3" s="1"/>
  <c r="N319" i="3"/>
  <c r="K319" i="3"/>
  <c r="L319" i="3" s="1"/>
  <c r="J319" i="3"/>
  <c r="E319" i="3"/>
  <c r="G319" i="3" s="1"/>
  <c r="N318" i="3"/>
  <c r="N327" i="3" s="1"/>
  <c r="Q234" i="3" s="1"/>
  <c r="R234" i="3" s="1"/>
  <c r="K318" i="3"/>
  <c r="J318" i="3"/>
  <c r="J327" i="3" s="1"/>
  <c r="E318" i="3"/>
  <c r="F317" i="3"/>
  <c r="N316" i="3"/>
  <c r="K316" i="3"/>
  <c r="L316" i="3" s="1"/>
  <c r="J316" i="3"/>
  <c r="E316" i="3"/>
  <c r="G316" i="3" s="1"/>
  <c r="N315" i="3"/>
  <c r="K315" i="3"/>
  <c r="L315" i="3" s="1"/>
  <c r="J315" i="3"/>
  <c r="E315" i="3"/>
  <c r="G315" i="3" s="1"/>
  <c r="N314" i="3"/>
  <c r="K314" i="3"/>
  <c r="L314" i="3" s="1"/>
  <c r="J314" i="3"/>
  <c r="E314" i="3"/>
  <c r="G314" i="3" s="1"/>
  <c r="N313" i="3"/>
  <c r="N317" i="3" s="1"/>
  <c r="Q233" i="3" s="1"/>
  <c r="R233" i="3" s="1"/>
  <c r="K313" i="3"/>
  <c r="L313" i="3" s="1"/>
  <c r="J313" i="3"/>
  <c r="E313" i="3"/>
  <c r="G313" i="3" s="1"/>
  <c r="K312" i="3"/>
  <c r="L312" i="3" s="1"/>
  <c r="J312" i="3"/>
  <c r="E312" i="3"/>
  <c r="G312" i="3" s="1"/>
  <c r="K311" i="3"/>
  <c r="J311" i="3"/>
  <c r="J317" i="3" s="1"/>
  <c r="E311" i="3"/>
  <c r="F310" i="3"/>
  <c r="N309" i="3"/>
  <c r="K309" i="3"/>
  <c r="L309" i="3" s="1"/>
  <c r="J309" i="3"/>
  <c r="E309" i="3"/>
  <c r="G309" i="3" s="1"/>
  <c r="N308" i="3"/>
  <c r="K308" i="3"/>
  <c r="L308" i="3" s="1"/>
  <c r="J308" i="3"/>
  <c r="E308" i="3"/>
  <c r="G308" i="3" s="1"/>
  <c r="N307" i="3"/>
  <c r="K307" i="3"/>
  <c r="L307" i="3" s="1"/>
  <c r="J307" i="3"/>
  <c r="E307" i="3"/>
  <c r="G307" i="3" s="1"/>
  <c r="N306" i="3"/>
  <c r="K306" i="3"/>
  <c r="L306" i="3" s="1"/>
  <c r="J306" i="3"/>
  <c r="E306" i="3"/>
  <c r="G306" i="3" s="1"/>
  <c r="N305" i="3"/>
  <c r="K305" i="3"/>
  <c r="L305" i="3" s="1"/>
  <c r="J305" i="3"/>
  <c r="E305" i="3"/>
  <c r="G305" i="3" s="1"/>
  <c r="N304" i="3"/>
  <c r="K304" i="3"/>
  <c r="L304" i="3" s="1"/>
  <c r="J304" i="3"/>
  <c r="E304" i="3"/>
  <c r="G304" i="3" s="1"/>
  <c r="N303" i="3"/>
  <c r="K303" i="3"/>
  <c r="L303" i="3" s="1"/>
  <c r="J303" i="3"/>
  <c r="E303" i="3"/>
  <c r="G303" i="3" s="1"/>
  <c r="N302" i="3"/>
  <c r="K302" i="3"/>
  <c r="L302" i="3" s="1"/>
  <c r="J302" i="3"/>
  <c r="E302" i="3"/>
  <c r="G302" i="3" s="1"/>
  <c r="N301" i="3"/>
  <c r="N310" i="3" s="1"/>
  <c r="Q232" i="3" s="1"/>
  <c r="R232" i="3" s="1"/>
  <c r="K301" i="3"/>
  <c r="J301" i="3"/>
  <c r="J310" i="3" s="1"/>
  <c r="E301" i="3"/>
  <c r="F300" i="3"/>
  <c r="N299" i="3"/>
  <c r="K299" i="3"/>
  <c r="L299" i="3" s="1"/>
  <c r="J299" i="3"/>
  <c r="E299" i="3"/>
  <c r="G299" i="3" s="1"/>
  <c r="N298" i="3"/>
  <c r="K298" i="3"/>
  <c r="L298" i="3" s="1"/>
  <c r="J298" i="3"/>
  <c r="E298" i="3"/>
  <c r="G298" i="3" s="1"/>
  <c r="N297" i="3"/>
  <c r="K297" i="3"/>
  <c r="L297" i="3" s="1"/>
  <c r="J297" i="3"/>
  <c r="E297" i="3"/>
  <c r="G297" i="3" s="1"/>
  <c r="N296" i="3"/>
  <c r="K296" i="3"/>
  <c r="L296" i="3" s="1"/>
  <c r="J296" i="3"/>
  <c r="E296" i="3"/>
  <c r="G296" i="3" s="1"/>
  <c r="N295" i="3"/>
  <c r="K295" i="3"/>
  <c r="L295" i="3" s="1"/>
  <c r="J295" i="3"/>
  <c r="E295" i="3"/>
  <c r="G295" i="3" s="1"/>
  <c r="N294" i="3"/>
  <c r="N300" i="3" s="1"/>
  <c r="Q231" i="3" s="1"/>
  <c r="R231" i="3" s="1"/>
  <c r="K294" i="3"/>
  <c r="J294" i="3"/>
  <c r="J300" i="3" s="1"/>
  <c r="E294" i="3"/>
  <c r="F293" i="3"/>
  <c r="N292" i="3"/>
  <c r="K292" i="3"/>
  <c r="L292" i="3" s="1"/>
  <c r="J292" i="3"/>
  <c r="E292" i="3"/>
  <c r="G292" i="3" s="1"/>
  <c r="N291" i="3"/>
  <c r="K291" i="3"/>
  <c r="L291" i="3" s="1"/>
  <c r="J291" i="3"/>
  <c r="E291" i="3"/>
  <c r="G291" i="3" s="1"/>
  <c r="N290" i="3"/>
  <c r="K290" i="3"/>
  <c r="L290" i="3" s="1"/>
  <c r="J290" i="3"/>
  <c r="E290" i="3"/>
  <c r="G290" i="3" s="1"/>
  <c r="K289" i="3"/>
  <c r="L289" i="3" s="1"/>
  <c r="J289" i="3"/>
  <c r="E289" i="3"/>
  <c r="G289" i="3" s="1"/>
  <c r="K288" i="3"/>
  <c r="L288" i="3" s="1"/>
  <c r="J288" i="3"/>
  <c r="E288" i="3"/>
  <c r="G288" i="3" s="1"/>
  <c r="N287" i="3"/>
  <c r="N293" i="3" s="1"/>
  <c r="Q227" i="3" s="1"/>
  <c r="R227" i="3" s="1"/>
  <c r="K287" i="3"/>
  <c r="J287" i="3"/>
  <c r="J293" i="3" s="1"/>
  <c r="E287" i="3"/>
  <c r="N286" i="3"/>
  <c r="F286" i="3"/>
  <c r="K285" i="3"/>
  <c r="L285" i="3" s="1"/>
  <c r="J285" i="3"/>
  <c r="E285" i="3"/>
  <c r="G285" i="3" s="1"/>
  <c r="K284" i="3"/>
  <c r="L284" i="3" s="1"/>
  <c r="J284" i="3"/>
  <c r="E284" i="3"/>
  <c r="G284" i="3" s="1"/>
  <c r="K283" i="3"/>
  <c r="L283" i="3" s="1"/>
  <c r="J283" i="3"/>
  <c r="E283" i="3"/>
  <c r="G283" i="3" s="1"/>
  <c r="K282" i="3"/>
  <c r="L282" i="3" s="1"/>
  <c r="J282" i="3"/>
  <c r="E282" i="3"/>
  <c r="G282" i="3" s="1"/>
  <c r="J281" i="3"/>
  <c r="L281" i="3" s="1"/>
  <c r="E281" i="3"/>
  <c r="G281" i="3" s="1"/>
  <c r="K280" i="3"/>
  <c r="L280" i="3" s="1"/>
  <c r="J280" i="3"/>
  <c r="E280" i="3"/>
  <c r="G280" i="3" s="1"/>
  <c r="K279" i="3"/>
  <c r="L279" i="3" s="1"/>
  <c r="J279" i="3"/>
  <c r="E279" i="3"/>
  <c r="G279" i="3" s="1"/>
  <c r="K278" i="3"/>
  <c r="J278" i="3"/>
  <c r="J286" i="3" s="1"/>
  <c r="E278" i="3"/>
  <c r="F277" i="3"/>
  <c r="N276" i="3"/>
  <c r="N277" i="3" s="1"/>
  <c r="Q228" i="3" s="1"/>
  <c r="R228" i="3" s="1"/>
  <c r="K276" i="3"/>
  <c r="L276" i="3" s="1"/>
  <c r="J276" i="3"/>
  <c r="E276" i="3"/>
  <c r="G276" i="3" s="1"/>
  <c r="K275" i="3"/>
  <c r="L275" i="3" s="1"/>
  <c r="J275" i="3"/>
  <c r="K274" i="3"/>
  <c r="L274" i="3" s="1"/>
  <c r="J274" i="3"/>
  <c r="E274" i="3"/>
  <c r="G274" i="3" s="1"/>
  <c r="K273" i="3"/>
  <c r="L273" i="3" s="1"/>
  <c r="J273" i="3"/>
  <c r="E273" i="3"/>
  <c r="G273" i="3" s="1"/>
  <c r="K272" i="3"/>
  <c r="L272" i="3" s="1"/>
  <c r="J272" i="3"/>
  <c r="E272" i="3"/>
  <c r="G272" i="3" s="1"/>
  <c r="K271" i="3"/>
  <c r="L271" i="3" s="1"/>
  <c r="J271" i="3"/>
  <c r="E271" i="3"/>
  <c r="G271" i="3" s="1"/>
  <c r="K270" i="3"/>
  <c r="J270" i="3"/>
  <c r="E270" i="3"/>
  <c r="G270" i="3" s="1"/>
  <c r="J269" i="3"/>
  <c r="E269" i="3"/>
  <c r="N268" i="3"/>
  <c r="F268" i="3"/>
  <c r="K267" i="3"/>
  <c r="L267" i="3" s="1"/>
  <c r="J267" i="3"/>
  <c r="E267" i="3"/>
  <c r="G267" i="3" s="1"/>
  <c r="K266" i="3"/>
  <c r="L266" i="3" s="1"/>
  <c r="J266" i="3"/>
  <c r="E266" i="3"/>
  <c r="G266" i="3" s="1"/>
  <c r="K265" i="3"/>
  <c r="L265" i="3" s="1"/>
  <c r="J265" i="3"/>
  <c r="E265" i="3"/>
  <c r="G265" i="3" s="1"/>
  <c r="K264" i="3"/>
  <c r="L264" i="3" s="1"/>
  <c r="J264" i="3"/>
  <c r="E264" i="3"/>
  <c r="G264" i="3" s="1"/>
  <c r="K263" i="3"/>
  <c r="L263" i="3" s="1"/>
  <c r="J263" i="3"/>
  <c r="E263" i="3"/>
  <c r="G263" i="3" s="1"/>
  <c r="K262" i="3"/>
  <c r="L262" i="3" s="1"/>
  <c r="J262" i="3"/>
  <c r="E262" i="3"/>
  <c r="G262" i="3" s="1"/>
  <c r="K261" i="3"/>
  <c r="L261" i="3" s="1"/>
  <c r="J261" i="3"/>
  <c r="E261" i="3"/>
  <c r="G261" i="3" s="1"/>
  <c r="K260" i="3"/>
  <c r="J260" i="3"/>
  <c r="J268" i="3" s="1"/>
  <c r="E260" i="3"/>
  <c r="F259" i="3"/>
  <c r="K258" i="3"/>
  <c r="J258" i="3"/>
  <c r="E258" i="3"/>
  <c r="G258" i="3" s="1"/>
  <c r="K257" i="3"/>
  <c r="J257" i="3"/>
  <c r="E257" i="3"/>
  <c r="G257" i="3" s="1"/>
  <c r="N256" i="3"/>
  <c r="K256" i="3"/>
  <c r="L256" i="3" s="1"/>
  <c r="J256" i="3"/>
  <c r="E256" i="3"/>
  <c r="G256" i="3" s="1"/>
  <c r="N255" i="3"/>
  <c r="K255" i="3"/>
  <c r="L255" i="3" s="1"/>
  <c r="J255" i="3"/>
  <c r="E255" i="3"/>
  <c r="G255" i="3" s="1"/>
  <c r="N254" i="3"/>
  <c r="K254" i="3"/>
  <c r="L254" i="3" s="1"/>
  <c r="J254" i="3"/>
  <c r="E254" i="3"/>
  <c r="G254" i="3" s="1"/>
  <c r="N253" i="3"/>
  <c r="K253" i="3"/>
  <c r="J253" i="3"/>
  <c r="J259" i="3" s="1"/>
  <c r="E253" i="3"/>
  <c r="F252" i="3"/>
  <c r="N251" i="3"/>
  <c r="K251" i="3"/>
  <c r="L251" i="3" s="1"/>
  <c r="J251" i="3"/>
  <c r="E251" i="3"/>
  <c r="G251" i="3" s="1"/>
  <c r="N250" i="3"/>
  <c r="K250" i="3"/>
  <c r="L250" i="3" s="1"/>
  <c r="J250" i="3"/>
  <c r="E250" i="3"/>
  <c r="G250" i="3" s="1"/>
  <c r="N249" i="3"/>
  <c r="K249" i="3"/>
  <c r="L249" i="3" s="1"/>
  <c r="J249" i="3"/>
  <c r="E249" i="3"/>
  <c r="G249" i="3" s="1"/>
  <c r="K248" i="3"/>
  <c r="J248" i="3"/>
  <c r="E248" i="3"/>
  <c r="N247" i="3"/>
  <c r="K247" i="3"/>
  <c r="J247" i="3"/>
  <c r="J252" i="3" s="1"/>
  <c r="G247" i="3"/>
  <c r="G252" i="3" s="1"/>
  <c r="F246" i="3"/>
  <c r="N245" i="3"/>
  <c r="K245" i="3"/>
  <c r="L245" i="3" s="1"/>
  <c r="J245" i="3"/>
  <c r="E245" i="3"/>
  <c r="G245" i="3" s="1"/>
  <c r="K244" i="3"/>
  <c r="J244" i="3"/>
  <c r="E244" i="3"/>
  <c r="G244" i="3" s="1"/>
  <c r="K243" i="3"/>
  <c r="J243" i="3"/>
  <c r="E243" i="3"/>
  <c r="G243" i="3" s="1"/>
  <c r="K242" i="3"/>
  <c r="J242" i="3"/>
  <c r="E242" i="3"/>
  <c r="G242" i="3" s="1"/>
  <c r="K241" i="3"/>
  <c r="J241" i="3"/>
  <c r="J246" i="3" s="1"/>
  <c r="E241" i="3"/>
  <c r="K240" i="3"/>
  <c r="F240" i="3"/>
  <c r="N239" i="3"/>
  <c r="J239" i="3"/>
  <c r="L239" i="3" s="1"/>
  <c r="E239" i="3"/>
  <c r="G239" i="3" s="1"/>
  <c r="N238" i="3"/>
  <c r="J238" i="3"/>
  <c r="L238" i="3" s="1"/>
  <c r="E238" i="3"/>
  <c r="G238" i="3" s="1"/>
  <c r="N237" i="3"/>
  <c r="J237" i="3"/>
  <c r="L237" i="3" s="1"/>
  <c r="E237" i="3"/>
  <c r="G237" i="3" s="1"/>
  <c r="N236" i="3"/>
  <c r="J236" i="3"/>
  <c r="L236" i="3" s="1"/>
  <c r="E236" i="3"/>
  <c r="G236" i="3" s="1"/>
  <c r="N235" i="3"/>
  <c r="N240" i="3" s="1"/>
  <c r="Q223" i="3" s="1"/>
  <c r="R223" i="3" s="1"/>
  <c r="J235" i="3"/>
  <c r="E235" i="3"/>
  <c r="F234" i="3"/>
  <c r="K233" i="3"/>
  <c r="J233" i="3"/>
  <c r="E233" i="3"/>
  <c r="G233" i="3" s="1"/>
  <c r="K232" i="3"/>
  <c r="J232" i="3"/>
  <c r="E232" i="3"/>
  <c r="G232" i="3" s="1"/>
  <c r="N231" i="3"/>
  <c r="K231" i="3"/>
  <c r="L231" i="3" s="1"/>
  <c r="J231" i="3"/>
  <c r="E231" i="3"/>
  <c r="G231" i="3" s="1"/>
  <c r="Q230" i="3"/>
  <c r="R230" i="3" s="1"/>
  <c r="N230" i="3"/>
  <c r="K230" i="3"/>
  <c r="L230" i="3" s="1"/>
  <c r="J230" i="3"/>
  <c r="E230" i="3"/>
  <c r="G230" i="3" s="1"/>
  <c r="Q229" i="3"/>
  <c r="R229" i="3" s="1"/>
  <c r="N229" i="3"/>
  <c r="K229" i="3"/>
  <c r="L229" i="3" s="1"/>
  <c r="J229" i="3"/>
  <c r="E229" i="3"/>
  <c r="G229" i="3" s="1"/>
  <c r="N228" i="3"/>
  <c r="K228" i="3"/>
  <c r="J228" i="3"/>
  <c r="J234" i="3" s="1"/>
  <c r="E228" i="3"/>
  <c r="F227" i="3"/>
  <c r="K226" i="3"/>
  <c r="J226" i="3"/>
  <c r="E226" i="3"/>
  <c r="G226" i="3" s="1"/>
  <c r="K225" i="3"/>
  <c r="J225" i="3"/>
  <c r="E225" i="3"/>
  <c r="G225" i="3" s="1"/>
  <c r="K224" i="3"/>
  <c r="J224" i="3"/>
  <c r="E224" i="3"/>
  <c r="G224" i="3" s="1"/>
  <c r="K223" i="3"/>
  <c r="J223" i="3"/>
  <c r="E223" i="3"/>
  <c r="G223" i="3" s="1"/>
  <c r="N222" i="3"/>
  <c r="J222" i="3"/>
  <c r="E222" i="3"/>
  <c r="R218" i="3"/>
  <c r="K216" i="3"/>
  <c r="J216" i="3"/>
  <c r="E216" i="3"/>
  <c r="G216" i="3" s="1"/>
  <c r="K215" i="3"/>
  <c r="J215" i="3"/>
  <c r="E215" i="3"/>
  <c r="G215" i="3" s="1"/>
  <c r="K214" i="3"/>
  <c r="J214" i="3"/>
  <c r="E214" i="3"/>
  <c r="G214" i="3" s="1"/>
  <c r="K213" i="3"/>
  <c r="L213" i="3" s="1"/>
  <c r="J213" i="3"/>
  <c r="E213" i="3"/>
  <c r="G213" i="3" s="1"/>
  <c r="K212" i="3"/>
  <c r="L212" i="3" s="1"/>
  <c r="J212" i="3"/>
  <c r="E212" i="3"/>
  <c r="G212" i="3" s="1"/>
  <c r="K211" i="3"/>
  <c r="L211" i="3" s="1"/>
  <c r="J211" i="3"/>
  <c r="E211" i="3"/>
  <c r="G211" i="3" s="1"/>
  <c r="K210" i="3"/>
  <c r="J210" i="3"/>
  <c r="E210" i="3"/>
  <c r="G210" i="3" s="1"/>
  <c r="R208" i="3"/>
  <c r="K208" i="3"/>
  <c r="J208" i="3"/>
  <c r="E208" i="3"/>
  <c r="G208" i="3" s="1"/>
  <c r="K207" i="3"/>
  <c r="J207" i="3"/>
  <c r="E207" i="3"/>
  <c r="G207" i="3" s="1"/>
  <c r="K206" i="3"/>
  <c r="J206" i="3"/>
  <c r="E206" i="3"/>
  <c r="G206" i="3" s="1"/>
  <c r="K205" i="3"/>
  <c r="L205" i="3" s="1"/>
  <c r="J205" i="3"/>
  <c r="E205" i="3"/>
  <c r="G205" i="3" s="1"/>
  <c r="K204" i="3"/>
  <c r="L204" i="3" s="1"/>
  <c r="J204" i="3"/>
  <c r="E204" i="3"/>
  <c r="G204" i="3" s="1"/>
  <c r="K203" i="3"/>
  <c r="L203" i="3" s="1"/>
  <c r="J203" i="3"/>
  <c r="E203" i="3"/>
  <c r="G203" i="3" s="1"/>
  <c r="K202" i="3"/>
  <c r="J202" i="3"/>
  <c r="E202" i="3"/>
  <c r="R200" i="3"/>
  <c r="K200" i="3"/>
  <c r="J200" i="3"/>
  <c r="E200" i="3"/>
  <c r="G200" i="3" s="1"/>
  <c r="R199" i="3"/>
  <c r="K199" i="3"/>
  <c r="J199" i="3"/>
  <c r="E199" i="3"/>
  <c r="G199" i="3" s="1"/>
  <c r="R198" i="3"/>
  <c r="K198" i="3"/>
  <c r="J198" i="3"/>
  <c r="E198" i="3"/>
  <c r="G198" i="3" s="1"/>
  <c r="R197" i="3"/>
  <c r="K197" i="3"/>
  <c r="J197" i="3"/>
  <c r="E197" i="3"/>
  <c r="G197" i="3" s="1"/>
  <c r="R196" i="3"/>
  <c r="K196" i="3"/>
  <c r="L196" i="3" s="1"/>
  <c r="J196" i="3"/>
  <c r="E196" i="3"/>
  <c r="G196" i="3" s="1"/>
  <c r="R195" i="3"/>
  <c r="K195" i="3"/>
  <c r="L195" i="3" s="1"/>
  <c r="J195" i="3"/>
  <c r="E195" i="3"/>
  <c r="G195" i="3" s="1"/>
  <c r="R194" i="3"/>
  <c r="K194" i="3"/>
  <c r="J194" i="3"/>
  <c r="E194" i="3"/>
  <c r="F193" i="3"/>
  <c r="F201" i="3" s="1"/>
  <c r="F209" i="3" s="1"/>
  <c r="F217" i="3" s="1"/>
  <c r="N192" i="3"/>
  <c r="J192" i="3"/>
  <c r="L192" i="3" s="1"/>
  <c r="E192" i="3"/>
  <c r="G192" i="3" s="1"/>
  <c r="N191" i="3"/>
  <c r="J191" i="3"/>
  <c r="L191" i="3" s="1"/>
  <c r="E191" i="3"/>
  <c r="G191" i="3" s="1"/>
  <c r="N190" i="3"/>
  <c r="N193" i="3" s="1"/>
  <c r="Q23" i="3" s="1"/>
  <c r="R23" i="3" s="1"/>
  <c r="J190" i="3"/>
  <c r="L190" i="3" s="1"/>
  <c r="E190" i="3"/>
  <c r="G190" i="3" s="1"/>
  <c r="K189" i="3"/>
  <c r="L189" i="3" s="1"/>
  <c r="J189" i="3"/>
  <c r="E189" i="3"/>
  <c r="G189" i="3" s="1"/>
  <c r="K188" i="3"/>
  <c r="L188" i="3" s="1"/>
  <c r="L201" i="3" s="1"/>
  <c r="J188" i="3"/>
  <c r="E188" i="3"/>
  <c r="K187" i="3"/>
  <c r="L187" i="3" s="1"/>
  <c r="J187" i="3"/>
  <c r="E187" i="3"/>
  <c r="G187" i="3" s="1"/>
  <c r="K186" i="3"/>
  <c r="L186" i="3" s="1"/>
  <c r="J186" i="3"/>
  <c r="E186" i="3"/>
  <c r="G186" i="3" s="1"/>
  <c r="K185" i="3"/>
  <c r="J185" i="3"/>
  <c r="J193" i="3" s="1"/>
  <c r="E185" i="3"/>
  <c r="F184" i="3"/>
  <c r="K183" i="3"/>
  <c r="J183" i="3"/>
  <c r="E183" i="3"/>
  <c r="G183" i="3" s="1"/>
  <c r="K182" i="3"/>
  <c r="J182" i="3"/>
  <c r="E182" i="3"/>
  <c r="G182" i="3" s="1"/>
  <c r="K181" i="3"/>
  <c r="J181" i="3"/>
  <c r="E181" i="3"/>
  <c r="G181" i="3" s="1"/>
  <c r="K180" i="3"/>
  <c r="L180" i="3" s="1"/>
  <c r="J180" i="3"/>
  <c r="E180" i="3"/>
  <c r="G180" i="3" s="1"/>
  <c r="K179" i="3"/>
  <c r="L179" i="3" s="1"/>
  <c r="J179" i="3"/>
  <c r="E179" i="3"/>
  <c r="G179" i="3" s="1"/>
  <c r="K178" i="3"/>
  <c r="L178" i="3" s="1"/>
  <c r="J178" i="3"/>
  <c r="E178" i="3"/>
  <c r="G178" i="3" s="1"/>
  <c r="K177" i="3"/>
  <c r="L177" i="3" s="1"/>
  <c r="J177" i="3"/>
  <c r="E177" i="3"/>
  <c r="G177" i="3" s="1"/>
  <c r="K176" i="3"/>
  <c r="J176" i="3"/>
  <c r="J184" i="3" s="1"/>
  <c r="E176" i="3"/>
  <c r="R175" i="3"/>
  <c r="F175" i="3"/>
  <c r="R174" i="3"/>
  <c r="K174" i="3"/>
  <c r="J174" i="3"/>
  <c r="E174" i="3"/>
  <c r="G174" i="3" s="1"/>
  <c r="R173" i="3"/>
  <c r="N173" i="3"/>
  <c r="K173" i="3"/>
  <c r="L173" i="3" s="1"/>
  <c r="J173" i="3"/>
  <c r="E173" i="3"/>
  <c r="G173" i="3" s="1"/>
  <c r="R172" i="3"/>
  <c r="N172" i="3"/>
  <c r="K172" i="3"/>
  <c r="L172" i="3" s="1"/>
  <c r="J172" i="3"/>
  <c r="E172" i="3"/>
  <c r="G172" i="3" s="1"/>
  <c r="R171" i="3"/>
  <c r="K171" i="3"/>
  <c r="L171" i="3" s="1"/>
  <c r="J171" i="3"/>
  <c r="E171" i="3"/>
  <c r="G171" i="3" s="1"/>
  <c r="R170" i="3"/>
  <c r="K170" i="3"/>
  <c r="L170" i="3" s="1"/>
  <c r="J170" i="3"/>
  <c r="E170" i="3"/>
  <c r="G170" i="3" s="1"/>
  <c r="R169" i="3"/>
  <c r="K169" i="3"/>
  <c r="L169" i="3" s="1"/>
  <c r="J169" i="3"/>
  <c r="E169" i="3"/>
  <c r="G169" i="3" s="1"/>
  <c r="R168" i="3"/>
  <c r="K168" i="3"/>
  <c r="L168" i="3" s="1"/>
  <c r="J168" i="3"/>
  <c r="E168" i="3"/>
  <c r="G168" i="3" s="1"/>
  <c r="R167" i="3"/>
  <c r="K167" i="3"/>
  <c r="J167" i="3"/>
  <c r="J175" i="3" s="1"/>
  <c r="E167" i="3"/>
  <c r="R166" i="3"/>
  <c r="R165" i="3"/>
  <c r="K165" i="3"/>
  <c r="J165" i="3"/>
  <c r="E165" i="3"/>
  <c r="G165" i="3" s="1"/>
  <c r="R164" i="3"/>
  <c r="N164" i="3"/>
  <c r="K164" i="3"/>
  <c r="L164" i="3" s="1"/>
  <c r="J164" i="3"/>
  <c r="E164" i="3"/>
  <c r="G164" i="3" s="1"/>
  <c r="R163" i="3"/>
  <c r="N163" i="3"/>
  <c r="K163" i="3"/>
  <c r="L163" i="3" s="1"/>
  <c r="J163" i="3"/>
  <c r="E163" i="3"/>
  <c r="G163" i="3" s="1"/>
  <c r="R162" i="3"/>
  <c r="J162" i="3"/>
  <c r="L162" i="3" s="1"/>
  <c r="E162" i="3"/>
  <c r="G162" i="3" s="1"/>
  <c r="R161" i="3"/>
  <c r="J161" i="3"/>
  <c r="L161" i="3" s="1"/>
  <c r="E161" i="3"/>
  <c r="G161" i="3" s="1"/>
  <c r="R160" i="3"/>
  <c r="K160" i="3"/>
  <c r="L160" i="3" s="1"/>
  <c r="J160" i="3"/>
  <c r="E160" i="3"/>
  <c r="G160" i="3" s="1"/>
  <c r="R159" i="3"/>
  <c r="K159" i="3"/>
  <c r="L159" i="3" s="1"/>
  <c r="J159" i="3"/>
  <c r="E159" i="3"/>
  <c r="G159" i="3" s="1"/>
  <c r="R158" i="3"/>
  <c r="K158" i="3"/>
  <c r="J158" i="3"/>
  <c r="J166" i="3" s="1"/>
  <c r="E158" i="3"/>
  <c r="R157" i="3"/>
  <c r="F157" i="3"/>
  <c r="R156" i="3"/>
  <c r="K156" i="3"/>
  <c r="J156" i="3"/>
  <c r="E156" i="3"/>
  <c r="G156" i="3" s="1"/>
  <c r="R155" i="3"/>
  <c r="N155" i="3"/>
  <c r="K155" i="3"/>
  <c r="J155" i="3"/>
  <c r="E155" i="3"/>
  <c r="G155" i="3" s="1"/>
  <c r="R154" i="3"/>
  <c r="N154" i="3"/>
  <c r="J154" i="3"/>
  <c r="L154" i="3" s="1"/>
  <c r="E154" i="3"/>
  <c r="G154" i="3" s="1"/>
  <c r="R153" i="3"/>
  <c r="N153" i="3"/>
  <c r="J153" i="3"/>
  <c r="L153" i="3" s="1"/>
  <c r="E153" i="3"/>
  <c r="G153" i="3" s="1"/>
  <c r="R152" i="3"/>
  <c r="N152" i="3"/>
  <c r="J152" i="3"/>
  <c r="L152" i="3" s="1"/>
  <c r="E152" i="3"/>
  <c r="G152" i="3" s="1"/>
  <c r="R151" i="3"/>
  <c r="J151" i="3"/>
  <c r="L151" i="3" s="1"/>
  <c r="E151" i="3"/>
  <c r="G151" i="3" s="1"/>
  <c r="R150" i="3"/>
  <c r="J150" i="3"/>
  <c r="L150" i="3" s="1"/>
  <c r="E150" i="3"/>
  <c r="G150" i="3" s="1"/>
  <c r="R149" i="3"/>
  <c r="J149" i="3"/>
  <c r="E149" i="3"/>
  <c r="R148" i="3"/>
  <c r="N148" i="3"/>
  <c r="F148" i="3"/>
  <c r="J147" i="3"/>
  <c r="L147" i="3" s="1"/>
  <c r="E147" i="3"/>
  <c r="G147" i="3" s="1"/>
  <c r="J146" i="3"/>
  <c r="L146" i="3" s="1"/>
  <c r="E146" i="3"/>
  <c r="G146" i="3" s="1"/>
  <c r="J145" i="3"/>
  <c r="L145" i="3" s="1"/>
  <c r="E145" i="3"/>
  <c r="G145" i="3" s="1"/>
  <c r="R144" i="3"/>
  <c r="J144" i="3"/>
  <c r="L144" i="3" s="1"/>
  <c r="E144" i="3"/>
  <c r="G144" i="3" s="1"/>
  <c r="R143" i="3"/>
  <c r="J143" i="3"/>
  <c r="L143" i="3" s="1"/>
  <c r="E143" i="3"/>
  <c r="G143" i="3" s="1"/>
  <c r="R142" i="3"/>
  <c r="J142" i="3"/>
  <c r="L142" i="3" s="1"/>
  <c r="E142" i="3"/>
  <c r="G142" i="3" s="1"/>
  <c r="R141" i="3"/>
  <c r="K141" i="3"/>
  <c r="L141" i="3" s="1"/>
  <c r="J141" i="3"/>
  <c r="E141" i="3"/>
  <c r="G141" i="3" s="1"/>
  <c r="R140" i="3"/>
  <c r="K140" i="3"/>
  <c r="L140" i="3" s="1"/>
  <c r="J140" i="3"/>
  <c r="E140" i="3"/>
  <c r="G140" i="3" s="1"/>
  <c r="R139" i="3"/>
  <c r="K139" i="3"/>
  <c r="L139" i="3" s="1"/>
  <c r="J139" i="3"/>
  <c r="E139" i="3"/>
  <c r="G139" i="3" s="1"/>
  <c r="R138" i="3"/>
  <c r="K138" i="3"/>
  <c r="L138" i="3" s="1"/>
  <c r="J138" i="3"/>
  <c r="E138" i="3"/>
  <c r="G138" i="3" s="1"/>
  <c r="R137" i="3"/>
  <c r="K137" i="3"/>
  <c r="J137" i="3"/>
  <c r="J148" i="3" s="1"/>
  <c r="E137" i="3"/>
  <c r="N135" i="3"/>
  <c r="K135" i="3"/>
  <c r="L135" i="3" s="1"/>
  <c r="J135" i="3"/>
  <c r="E135" i="3"/>
  <c r="G135" i="3" s="1"/>
  <c r="N134" i="3"/>
  <c r="K134" i="3"/>
  <c r="L134" i="3" s="1"/>
  <c r="J134" i="3"/>
  <c r="E134" i="3"/>
  <c r="G134" i="3" s="1"/>
  <c r="N133" i="3"/>
  <c r="K133" i="3"/>
  <c r="L133" i="3" s="1"/>
  <c r="J133" i="3"/>
  <c r="E133" i="3"/>
  <c r="G133" i="3" s="1"/>
  <c r="N132" i="3"/>
  <c r="K132" i="3"/>
  <c r="L132" i="3" s="1"/>
  <c r="J132" i="3"/>
  <c r="E132" i="3"/>
  <c r="G132" i="3" s="1"/>
  <c r="N131" i="3"/>
  <c r="K131" i="3"/>
  <c r="L131" i="3" s="1"/>
  <c r="J131" i="3"/>
  <c r="E131" i="3"/>
  <c r="G131" i="3" s="1"/>
  <c r="N130" i="3"/>
  <c r="K130" i="3"/>
  <c r="L130" i="3" s="1"/>
  <c r="J130" i="3"/>
  <c r="E130" i="3"/>
  <c r="G130" i="3" s="1"/>
  <c r="N129" i="3"/>
  <c r="N136" i="3" s="1"/>
  <c r="Q26" i="3" s="1"/>
  <c r="R26" i="3" s="1"/>
  <c r="K129" i="3"/>
  <c r="J129" i="3"/>
  <c r="J136" i="3" s="1"/>
  <c r="E129" i="3"/>
  <c r="R128" i="3"/>
  <c r="F128" i="3"/>
  <c r="F136" i="3" s="1"/>
  <c r="R127" i="3"/>
  <c r="N127" i="3"/>
  <c r="K127" i="3"/>
  <c r="L127" i="3" s="1"/>
  <c r="J127" i="3"/>
  <c r="E127" i="3"/>
  <c r="G127" i="3" s="1"/>
  <c r="R126" i="3"/>
  <c r="N126" i="3"/>
  <c r="K126" i="3"/>
  <c r="L126" i="3" s="1"/>
  <c r="J126" i="3"/>
  <c r="E126" i="3"/>
  <c r="G126" i="3" s="1"/>
  <c r="R125" i="3"/>
  <c r="N125" i="3"/>
  <c r="K125" i="3"/>
  <c r="L125" i="3" s="1"/>
  <c r="J125" i="3"/>
  <c r="E125" i="3"/>
  <c r="G125" i="3" s="1"/>
  <c r="R124" i="3"/>
  <c r="N124" i="3"/>
  <c r="K124" i="3"/>
  <c r="L124" i="3" s="1"/>
  <c r="J124" i="3"/>
  <c r="E124" i="3"/>
  <c r="G124" i="3" s="1"/>
  <c r="R123" i="3"/>
  <c r="N123" i="3"/>
  <c r="K123" i="3"/>
  <c r="L123" i="3" s="1"/>
  <c r="J123" i="3"/>
  <c r="E123" i="3"/>
  <c r="G123" i="3" s="1"/>
  <c r="R122" i="3"/>
  <c r="N122" i="3"/>
  <c r="K122" i="3"/>
  <c r="L122" i="3" s="1"/>
  <c r="J122" i="3"/>
  <c r="E122" i="3"/>
  <c r="G122" i="3" s="1"/>
  <c r="R121" i="3"/>
  <c r="N121" i="3"/>
  <c r="N128" i="3" s="1"/>
  <c r="Q17" i="3" s="1"/>
  <c r="R17" i="3" s="1"/>
  <c r="K121" i="3"/>
  <c r="J121" i="3"/>
  <c r="J128" i="3" s="1"/>
  <c r="E121" i="3"/>
  <c r="R120" i="3"/>
  <c r="R119" i="3"/>
  <c r="N119" i="3"/>
  <c r="K119" i="3"/>
  <c r="L119" i="3" s="1"/>
  <c r="J119" i="3"/>
  <c r="E119" i="3"/>
  <c r="G119" i="3" s="1"/>
  <c r="R118" i="3"/>
  <c r="N118" i="3"/>
  <c r="K118" i="3"/>
  <c r="L118" i="3" s="1"/>
  <c r="J118" i="3"/>
  <c r="E118" i="3"/>
  <c r="G118" i="3" s="1"/>
  <c r="R117" i="3"/>
  <c r="N117" i="3"/>
  <c r="K117" i="3"/>
  <c r="L117" i="3" s="1"/>
  <c r="J117" i="3"/>
  <c r="E117" i="3"/>
  <c r="G117" i="3" s="1"/>
  <c r="R116" i="3"/>
  <c r="N116" i="3"/>
  <c r="K116" i="3"/>
  <c r="L116" i="3" s="1"/>
  <c r="J116" i="3"/>
  <c r="E116" i="3"/>
  <c r="G116" i="3" s="1"/>
  <c r="R115" i="3"/>
  <c r="N115" i="3"/>
  <c r="K115" i="3"/>
  <c r="L115" i="3" s="1"/>
  <c r="J115" i="3"/>
  <c r="E115" i="3"/>
  <c r="G115" i="3" s="1"/>
  <c r="R114" i="3"/>
  <c r="N114" i="3"/>
  <c r="K114" i="3"/>
  <c r="L114" i="3" s="1"/>
  <c r="J114" i="3"/>
  <c r="E114" i="3"/>
  <c r="G114" i="3" s="1"/>
  <c r="R113" i="3"/>
  <c r="N113" i="3"/>
  <c r="N120" i="3" s="1"/>
  <c r="K113" i="3"/>
  <c r="J113" i="3"/>
  <c r="J120" i="3" s="1"/>
  <c r="E113" i="3"/>
  <c r="R112" i="3"/>
  <c r="R111" i="3"/>
  <c r="N111" i="3"/>
  <c r="K111" i="3"/>
  <c r="L111" i="3" s="1"/>
  <c r="J111" i="3"/>
  <c r="E111" i="3"/>
  <c r="G111" i="3" s="1"/>
  <c r="R110" i="3"/>
  <c r="N110" i="3"/>
  <c r="K110" i="3"/>
  <c r="L110" i="3" s="1"/>
  <c r="J110" i="3"/>
  <c r="E110" i="3"/>
  <c r="G110" i="3" s="1"/>
  <c r="R109" i="3"/>
  <c r="N109" i="3"/>
  <c r="K109" i="3"/>
  <c r="L109" i="3" s="1"/>
  <c r="J109" i="3"/>
  <c r="E109" i="3"/>
  <c r="G109" i="3" s="1"/>
  <c r="R108" i="3"/>
  <c r="N108" i="3"/>
  <c r="K108" i="3"/>
  <c r="L108" i="3" s="1"/>
  <c r="J108" i="3"/>
  <c r="E108" i="3"/>
  <c r="G108" i="3" s="1"/>
  <c r="R107" i="3"/>
  <c r="N107" i="3"/>
  <c r="K107" i="3"/>
  <c r="L107" i="3" s="1"/>
  <c r="J107" i="3"/>
  <c r="E107" i="3"/>
  <c r="G107" i="3" s="1"/>
  <c r="R106" i="3"/>
  <c r="N106" i="3"/>
  <c r="K106" i="3"/>
  <c r="L106" i="3" s="1"/>
  <c r="J106" i="3"/>
  <c r="E106" i="3"/>
  <c r="G106" i="3" s="1"/>
  <c r="R105" i="3"/>
  <c r="N105" i="3"/>
  <c r="N112" i="3" s="1"/>
  <c r="Q15" i="3" s="1"/>
  <c r="R15" i="3" s="1"/>
  <c r="K105" i="3"/>
  <c r="L105" i="3" s="1"/>
  <c r="J105" i="3"/>
  <c r="E105" i="3"/>
  <c r="G105" i="3" s="1"/>
  <c r="R104" i="3"/>
  <c r="R103" i="3"/>
  <c r="N103" i="3"/>
  <c r="K103" i="3"/>
  <c r="L103" i="3" s="1"/>
  <c r="J103" i="3"/>
  <c r="E103" i="3"/>
  <c r="G103" i="3" s="1"/>
  <c r="R102" i="3"/>
  <c r="N102" i="3"/>
  <c r="K102" i="3"/>
  <c r="L102" i="3" s="1"/>
  <c r="J102" i="3"/>
  <c r="E102" i="3"/>
  <c r="G102" i="3" s="1"/>
  <c r="R101" i="3"/>
  <c r="N101" i="3"/>
  <c r="K101" i="3"/>
  <c r="L101" i="3" s="1"/>
  <c r="J101" i="3"/>
  <c r="E101" i="3"/>
  <c r="G101" i="3" s="1"/>
  <c r="R100" i="3"/>
  <c r="N100" i="3"/>
  <c r="K100" i="3"/>
  <c r="L100" i="3" s="1"/>
  <c r="J100" i="3"/>
  <c r="E100" i="3"/>
  <c r="G100" i="3" s="1"/>
  <c r="R99" i="3"/>
  <c r="N99" i="3"/>
  <c r="K99" i="3"/>
  <c r="L99" i="3" s="1"/>
  <c r="J99" i="3"/>
  <c r="E99" i="3"/>
  <c r="G99" i="3" s="1"/>
  <c r="R98" i="3"/>
  <c r="N98" i="3"/>
  <c r="N104" i="3" s="1"/>
  <c r="Q14" i="3" s="1"/>
  <c r="R14" i="3" s="1"/>
  <c r="K98" i="3"/>
  <c r="J98" i="3"/>
  <c r="E98" i="3"/>
  <c r="R97" i="3"/>
  <c r="F97" i="3"/>
  <c r="F104" i="3" s="1"/>
  <c r="F112" i="3" s="1"/>
  <c r="R96" i="3"/>
  <c r="N96" i="3"/>
  <c r="K96" i="3"/>
  <c r="L96" i="3" s="1"/>
  <c r="J96" i="3"/>
  <c r="E96" i="3"/>
  <c r="G96" i="3" s="1"/>
  <c r="R95" i="3"/>
  <c r="N95" i="3"/>
  <c r="K95" i="3"/>
  <c r="L95" i="3" s="1"/>
  <c r="J95" i="3"/>
  <c r="E95" i="3"/>
  <c r="G95" i="3" s="1"/>
  <c r="R94" i="3"/>
  <c r="N94" i="3"/>
  <c r="K94" i="3"/>
  <c r="L94" i="3" s="1"/>
  <c r="J94" i="3"/>
  <c r="E94" i="3"/>
  <c r="G94" i="3" s="1"/>
  <c r="R93" i="3"/>
  <c r="N93" i="3"/>
  <c r="K93" i="3"/>
  <c r="L93" i="3" s="1"/>
  <c r="J93" i="3"/>
  <c r="E93" i="3"/>
  <c r="G93" i="3" s="1"/>
  <c r="R92" i="3"/>
  <c r="N92" i="3"/>
  <c r="K92" i="3"/>
  <c r="L92" i="3" s="1"/>
  <c r="J92" i="3"/>
  <c r="E92" i="3"/>
  <c r="G92" i="3" s="1"/>
  <c r="R91" i="3"/>
  <c r="N91" i="3"/>
  <c r="K91" i="3"/>
  <c r="L91" i="3" s="1"/>
  <c r="J91" i="3"/>
  <c r="E91" i="3"/>
  <c r="G91" i="3" s="1"/>
  <c r="R90" i="3"/>
  <c r="N90" i="3"/>
  <c r="K90" i="3"/>
  <c r="L90" i="3" s="1"/>
  <c r="J90" i="3"/>
  <c r="E90" i="3"/>
  <c r="G90" i="3" s="1"/>
  <c r="R89" i="3"/>
  <c r="N89" i="3"/>
  <c r="N97" i="3" s="1"/>
  <c r="Q13" i="3" s="1"/>
  <c r="R13" i="3" s="1"/>
  <c r="K89" i="3"/>
  <c r="J89" i="3"/>
  <c r="J97" i="3" s="1"/>
  <c r="E89" i="3"/>
  <c r="R88" i="3"/>
  <c r="R87" i="3"/>
  <c r="N87" i="3"/>
  <c r="K87" i="3"/>
  <c r="L87" i="3" s="1"/>
  <c r="J87" i="3"/>
  <c r="E87" i="3"/>
  <c r="G87" i="3" s="1"/>
  <c r="R86" i="3"/>
  <c r="N86" i="3"/>
  <c r="K86" i="3"/>
  <c r="L86" i="3" s="1"/>
  <c r="J86" i="3"/>
  <c r="E86" i="3"/>
  <c r="G86" i="3" s="1"/>
  <c r="R85" i="3"/>
  <c r="N85" i="3"/>
  <c r="K85" i="3"/>
  <c r="L85" i="3" s="1"/>
  <c r="J85" i="3"/>
  <c r="E85" i="3"/>
  <c r="G85" i="3" s="1"/>
  <c r="R84" i="3"/>
  <c r="N84" i="3"/>
  <c r="K84" i="3"/>
  <c r="L84" i="3" s="1"/>
  <c r="J84" i="3"/>
  <c r="E84" i="3"/>
  <c r="G84" i="3" s="1"/>
  <c r="R83" i="3"/>
  <c r="N83" i="3"/>
  <c r="K83" i="3"/>
  <c r="L83" i="3" s="1"/>
  <c r="J83" i="3"/>
  <c r="E83" i="3"/>
  <c r="G83" i="3" s="1"/>
  <c r="R82" i="3"/>
  <c r="N82" i="3"/>
  <c r="K82" i="3"/>
  <c r="L82" i="3" s="1"/>
  <c r="J82" i="3"/>
  <c r="E82" i="3"/>
  <c r="G82" i="3" s="1"/>
  <c r="R81" i="3"/>
  <c r="N81" i="3"/>
  <c r="N88" i="3" s="1"/>
  <c r="Q12" i="3" s="1"/>
  <c r="R12" i="3" s="1"/>
  <c r="K81" i="3"/>
  <c r="J81" i="3"/>
  <c r="J88" i="3" s="1"/>
  <c r="E81" i="3"/>
  <c r="R80" i="3"/>
  <c r="R79" i="3"/>
  <c r="N79" i="3"/>
  <c r="K79" i="3"/>
  <c r="L79" i="3" s="1"/>
  <c r="J79" i="3"/>
  <c r="E79" i="3"/>
  <c r="G79" i="3" s="1"/>
  <c r="R78" i="3"/>
  <c r="N78" i="3"/>
  <c r="K78" i="3"/>
  <c r="L78" i="3" s="1"/>
  <c r="J78" i="3"/>
  <c r="E78" i="3"/>
  <c r="G78" i="3" s="1"/>
  <c r="R77" i="3"/>
  <c r="N77" i="3"/>
  <c r="K77" i="3"/>
  <c r="L77" i="3" s="1"/>
  <c r="J77" i="3"/>
  <c r="E77" i="3"/>
  <c r="G77" i="3" s="1"/>
  <c r="R76" i="3"/>
  <c r="N76" i="3"/>
  <c r="K76" i="3"/>
  <c r="L76" i="3" s="1"/>
  <c r="J76" i="3"/>
  <c r="E76" i="3"/>
  <c r="G76" i="3" s="1"/>
  <c r="R75" i="3"/>
  <c r="N75" i="3"/>
  <c r="K75" i="3"/>
  <c r="L75" i="3" s="1"/>
  <c r="J75" i="3"/>
  <c r="E75" i="3"/>
  <c r="G75" i="3" s="1"/>
  <c r="R74" i="3"/>
  <c r="N74" i="3"/>
  <c r="K74" i="3"/>
  <c r="L74" i="3" s="1"/>
  <c r="J74" i="3"/>
  <c r="E74" i="3"/>
  <c r="G74" i="3" s="1"/>
  <c r="R73" i="3"/>
  <c r="N73" i="3"/>
  <c r="K73" i="3"/>
  <c r="J73" i="3"/>
  <c r="E73" i="3"/>
  <c r="G73" i="3" s="1"/>
  <c r="R72" i="3"/>
  <c r="N72" i="3"/>
  <c r="N80" i="3" s="1"/>
  <c r="Q11" i="3" s="1"/>
  <c r="R11" i="3" s="1"/>
  <c r="K72" i="3"/>
  <c r="L72" i="3" s="1"/>
  <c r="J72" i="3"/>
  <c r="J80" i="3" s="1"/>
  <c r="E72" i="3"/>
  <c r="R71" i="3"/>
  <c r="F71" i="3"/>
  <c r="R70" i="3"/>
  <c r="N70" i="3"/>
  <c r="K70" i="3"/>
  <c r="L70" i="3" s="1"/>
  <c r="J70" i="3"/>
  <c r="E70" i="3"/>
  <c r="G70" i="3" s="1"/>
  <c r="R69" i="3"/>
  <c r="N69" i="3"/>
  <c r="K69" i="3"/>
  <c r="L69" i="3" s="1"/>
  <c r="J69" i="3"/>
  <c r="E69" i="3"/>
  <c r="G69" i="3" s="1"/>
  <c r="R68" i="3"/>
  <c r="N68" i="3"/>
  <c r="K68" i="3"/>
  <c r="L68" i="3" s="1"/>
  <c r="J68" i="3"/>
  <c r="E68" i="3"/>
  <c r="G68" i="3" s="1"/>
  <c r="R67" i="3"/>
  <c r="N67" i="3"/>
  <c r="K67" i="3"/>
  <c r="L67" i="3" s="1"/>
  <c r="J67" i="3"/>
  <c r="E67" i="3"/>
  <c r="G67" i="3" s="1"/>
  <c r="R66" i="3"/>
  <c r="N66" i="3"/>
  <c r="K66" i="3"/>
  <c r="L66" i="3" s="1"/>
  <c r="J66" i="3"/>
  <c r="E66" i="3"/>
  <c r="G66" i="3" s="1"/>
  <c r="N65" i="3"/>
  <c r="K65" i="3"/>
  <c r="L65" i="3" s="1"/>
  <c r="J65" i="3"/>
  <c r="E65" i="3"/>
  <c r="G65" i="3" s="1"/>
  <c r="R64" i="3"/>
  <c r="N64" i="3"/>
  <c r="K64" i="3"/>
  <c r="L64" i="3" s="1"/>
  <c r="J64" i="3"/>
  <c r="E64" i="3"/>
  <c r="G64" i="3" s="1"/>
  <c r="R63" i="3"/>
  <c r="N63" i="3"/>
  <c r="K63" i="3"/>
  <c r="L63" i="3" s="1"/>
  <c r="J63" i="3"/>
  <c r="E63" i="3"/>
  <c r="G63" i="3" s="1"/>
  <c r="R62" i="3"/>
  <c r="N62" i="3"/>
  <c r="N71" i="3" s="1"/>
  <c r="Q10" i="3" s="1"/>
  <c r="R10" i="3" s="1"/>
  <c r="K62" i="3"/>
  <c r="J62" i="3"/>
  <c r="J71" i="3" s="1"/>
  <c r="E62" i="3"/>
  <c r="R61" i="3"/>
  <c r="R60" i="3"/>
  <c r="N60" i="3"/>
  <c r="K60" i="3"/>
  <c r="L60" i="3" s="1"/>
  <c r="J60" i="3"/>
  <c r="E60" i="3"/>
  <c r="G60" i="3" s="1"/>
  <c r="R59" i="3"/>
  <c r="N59" i="3"/>
  <c r="K59" i="3"/>
  <c r="L59" i="3" s="1"/>
  <c r="J59" i="3"/>
  <c r="E59" i="3"/>
  <c r="G59" i="3" s="1"/>
  <c r="N58" i="3"/>
  <c r="K58" i="3"/>
  <c r="L58" i="3" s="1"/>
  <c r="J58" i="3"/>
  <c r="E58" i="3"/>
  <c r="G58" i="3" s="1"/>
  <c r="R57" i="3"/>
  <c r="N57" i="3"/>
  <c r="K57" i="3"/>
  <c r="L57" i="3" s="1"/>
  <c r="J57" i="3"/>
  <c r="E57" i="3"/>
  <c r="G57" i="3" s="1"/>
  <c r="R56" i="3"/>
  <c r="N56" i="3"/>
  <c r="K56" i="3"/>
  <c r="L56" i="3" s="1"/>
  <c r="J56" i="3"/>
  <c r="E56" i="3"/>
  <c r="G56" i="3" s="1"/>
  <c r="R55" i="3"/>
  <c r="N55" i="3"/>
  <c r="K55" i="3"/>
  <c r="L55" i="3" s="1"/>
  <c r="J55" i="3"/>
  <c r="E55" i="3"/>
  <c r="G55" i="3" s="1"/>
  <c r="R54" i="3"/>
  <c r="N54" i="3"/>
  <c r="K54" i="3"/>
  <c r="L54" i="3" s="1"/>
  <c r="J54" i="3"/>
  <c r="E54" i="3"/>
  <c r="G54" i="3" s="1"/>
  <c r="R53" i="3"/>
  <c r="N53" i="3"/>
  <c r="K53" i="3"/>
  <c r="L53" i="3" s="1"/>
  <c r="J53" i="3"/>
  <c r="E53" i="3"/>
  <c r="G53" i="3" s="1"/>
  <c r="R52" i="3"/>
  <c r="N52" i="3"/>
  <c r="K52" i="3"/>
  <c r="L52" i="3" s="1"/>
  <c r="J52" i="3"/>
  <c r="E52" i="3"/>
  <c r="G52" i="3" s="1"/>
  <c r="R51" i="3"/>
  <c r="N51" i="3"/>
  <c r="K51" i="3"/>
  <c r="L51" i="3" s="1"/>
  <c r="J51" i="3"/>
  <c r="E51" i="3"/>
  <c r="G51" i="3" s="1"/>
  <c r="R50" i="3"/>
  <c r="N50" i="3"/>
  <c r="N61" i="3" s="1"/>
  <c r="Q8" i="3" s="1"/>
  <c r="R8" i="3" s="1"/>
  <c r="K50" i="3"/>
  <c r="J50" i="3"/>
  <c r="J61" i="3" s="1"/>
  <c r="E50" i="3"/>
  <c r="R49" i="3"/>
  <c r="F49" i="3"/>
  <c r="R48" i="3"/>
  <c r="N48" i="3"/>
  <c r="K48" i="3"/>
  <c r="L48" i="3" s="1"/>
  <c r="J48" i="3"/>
  <c r="E48" i="3"/>
  <c r="G48" i="3" s="1"/>
  <c r="R47" i="3"/>
  <c r="N47" i="3"/>
  <c r="K47" i="3"/>
  <c r="L47" i="3" s="1"/>
  <c r="J47" i="3"/>
  <c r="E47" i="3"/>
  <c r="G47" i="3" s="1"/>
  <c r="N46" i="3"/>
  <c r="K46" i="3"/>
  <c r="L46" i="3" s="1"/>
  <c r="J46" i="3"/>
  <c r="E46" i="3"/>
  <c r="G46" i="3" s="1"/>
  <c r="N45" i="3"/>
  <c r="K45" i="3"/>
  <c r="L45" i="3" s="1"/>
  <c r="J45" i="3"/>
  <c r="E45" i="3"/>
  <c r="G45" i="3" s="1"/>
  <c r="R44" i="3"/>
  <c r="N44" i="3"/>
  <c r="K44" i="3"/>
  <c r="L44" i="3" s="1"/>
  <c r="J44" i="3"/>
  <c r="E44" i="3"/>
  <c r="G44" i="3" s="1"/>
  <c r="R43" i="3"/>
  <c r="N43" i="3"/>
  <c r="K43" i="3"/>
  <c r="L43" i="3" s="1"/>
  <c r="J43" i="3"/>
  <c r="E43" i="3"/>
  <c r="G43" i="3" s="1"/>
  <c r="R42" i="3"/>
  <c r="N42" i="3"/>
  <c r="K42" i="3"/>
  <c r="L42" i="3" s="1"/>
  <c r="J42" i="3"/>
  <c r="E42" i="3"/>
  <c r="G42" i="3" s="1"/>
  <c r="R41" i="3"/>
  <c r="N41" i="3"/>
  <c r="K41" i="3"/>
  <c r="L41" i="3" s="1"/>
  <c r="J41" i="3"/>
  <c r="E41" i="3"/>
  <c r="G41" i="3" s="1"/>
  <c r="R40" i="3"/>
  <c r="N40" i="3"/>
  <c r="K40" i="3"/>
  <c r="L40" i="3" s="1"/>
  <c r="J40" i="3"/>
  <c r="E40" i="3"/>
  <c r="G40" i="3" s="1"/>
  <c r="R39" i="3"/>
  <c r="N39" i="3"/>
  <c r="N49" i="3" s="1"/>
  <c r="Q7" i="3" s="1"/>
  <c r="R7" i="3" s="1"/>
  <c r="K39" i="3"/>
  <c r="J39" i="3"/>
  <c r="J49" i="3" s="1"/>
  <c r="E39" i="3"/>
  <c r="R38" i="3"/>
  <c r="R37" i="3"/>
  <c r="N37" i="3"/>
  <c r="K37" i="3"/>
  <c r="L37" i="3" s="1"/>
  <c r="J37" i="3"/>
  <c r="E37" i="3"/>
  <c r="G37" i="3" s="1"/>
  <c r="R36" i="3"/>
  <c r="N36" i="3"/>
  <c r="K36" i="3"/>
  <c r="L36" i="3" s="1"/>
  <c r="J36" i="3"/>
  <c r="E36" i="3"/>
  <c r="G36" i="3" s="1"/>
  <c r="R35" i="3"/>
  <c r="N35" i="3"/>
  <c r="K35" i="3"/>
  <c r="L35" i="3" s="1"/>
  <c r="J35" i="3"/>
  <c r="E35" i="3"/>
  <c r="G35" i="3" s="1"/>
  <c r="R34" i="3"/>
  <c r="N34" i="3"/>
  <c r="K34" i="3"/>
  <c r="L34" i="3" s="1"/>
  <c r="J34" i="3"/>
  <c r="E34" i="3"/>
  <c r="G34" i="3" s="1"/>
  <c r="R33" i="3"/>
  <c r="N33" i="3"/>
  <c r="K33" i="3"/>
  <c r="L33" i="3" s="1"/>
  <c r="J33" i="3"/>
  <c r="E33" i="3"/>
  <c r="G33" i="3" s="1"/>
  <c r="R32" i="3"/>
  <c r="N32" i="3"/>
  <c r="K32" i="3"/>
  <c r="L32" i="3" s="1"/>
  <c r="J32" i="3"/>
  <c r="E32" i="3"/>
  <c r="G32" i="3" s="1"/>
  <c r="R31" i="3"/>
  <c r="N31" i="3"/>
  <c r="K31" i="3"/>
  <c r="L31" i="3" s="1"/>
  <c r="J31" i="3"/>
  <c r="E31" i="3"/>
  <c r="G31" i="3" s="1"/>
  <c r="R30" i="3"/>
  <c r="N30" i="3"/>
  <c r="N38" i="3" s="1"/>
  <c r="Q6" i="3" s="1"/>
  <c r="R6" i="3" s="1"/>
  <c r="K30" i="3"/>
  <c r="J30" i="3"/>
  <c r="J38" i="3" s="1"/>
  <c r="E30" i="3"/>
  <c r="F29" i="3"/>
  <c r="R28" i="3"/>
  <c r="N28" i="3"/>
  <c r="K28" i="3"/>
  <c r="L28" i="3" s="1"/>
  <c r="J28" i="3"/>
  <c r="E28" i="3"/>
  <c r="G28" i="3" s="1"/>
  <c r="N27" i="3"/>
  <c r="K27" i="3"/>
  <c r="L27" i="3" s="1"/>
  <c r="J27" i="3"/>
  <c r="E27" i="3"/>
  <c r="G27" i="3" s="1"/>
  <c r="N26" i="3"/>
  <c r="K26" i="3"/>
  <c r="L26" i="3" s="1"/>
  <c r="J26" i="3"/>
  <c r="E26" i="3"/>
  <c r="G26" i="3" s="1"/>
  <c r="N25" i="3"/>
  <c r="K25" i="3"/>
  <c r="L25" i="3" s="1"/>
  <c r="J25" i="3"/>
  <c r="E25" i="3"/>
  <c r="G25" i="3" s="1"/>
  <c r="N24" i="3"/>
  <c r="K24" i="3"/>
  <c r="L24" i="3" s="1"/>
  <c r="J24" i="3"/>
  <c r="E24" i="3"/>
  <c r="G24" i="3" s="1"/>
  <c r="N23" i="3"/>
  <c r="K23" i="3"/>
  <c r="L23" i="3" s="1"/>
  <c r="J23" i="3"/>
  <c r="E23" i="3"/>
  <c r="G23" i="3" s="1"/>
  <c r="N22" i="3"/>
  <c r="K22" i="3"/>
  <c r="L22" i="3" s="1"/>
  <c r="J22" i="3"/>
  <c r="E22" i="3"/>
  <c r="G22" i="3" s="1"/>
  <c r="N21" i="3"/>
  <c r="K21" i="3"/>
  <c r="L21" i="3" s="1"/>
  <c r="J21" i="3"/>
  <c r="E21" i="3"/>
  <c r="G21" i="3" s="1"/>
  <c r="N20" i="3"/>
  <c r="N29" i="3" s="1"/>
  <c r="Q5" i="3" s="1"/>
  <c r="R5" i="3" s="1"/>
  <c r="K20" i="3"/>
  <c r="J20" i="3"/>
  <c r="J29" i="3" s="1"/>
  <c r="E20" i="3"/>
  <c r="Q18" i="3"/>
  <c r="R18" i="3" s="1"/>
  <c r="O18" i="3"/>
  <c r="O19" i="3" s="1"/>
  <c r="O20" i="3" s="1"/>
  <c r="O21" i="3" s="1"/>
  <c r="O22" i="3" s="1"/>
  <c r="O23" i="3" s="1"/>
  <c r="O24" i="3" s="1"/>
  <c r="O25" i="3" s="1"/>
  <c r="O26" i="3" s="1"/>
  <c r="N18" i="3"/>
  <c r="K18" i="3"/>
  <c r="L18" i="3" s="1"/>
  <c r="J18" i="3"/>
  <c r="E18" i="3"/>
  <c r="G18" i="3" s="1"/>
  <c r="N17" i="3"/>
  <c r="K17" i="3"/>
  <c r="L17" i="3" s="1"/>
  <c r="J17" i="3"/>
  <c r="E17" i="3"/>
  <c r="G17" i="3" s="1"/>
  <c r="N16" i="3"/>
  <c r="K16" i="3"/>
  <c r="L16" i="3" s="1"/>
  <c r="J16" i="3"/>
  <c r="E16" i="3"/>
  <c r="G16" i="3" s="1"/>
  <c r="N15" i="3"/>
  <c r="K15" i="3"/>
  <c r="L15" i="3" s="1"/>
  <c r="J15" i="3"/>
  <c r="E15" i="3"/>
  <c r="G15" i="3" s="1"/>
  <c r="N14" i="3"/>
  <c r="K14" i="3"/>
  <c r="L14" i="3" s="1"/>
  <c r="J14" i="3"/>
  <c r="E14" i="3"/>
  <c r="G14" i="3" s="1"/>
  <c r="N13" i="3"/>
  <c r="K13" i="3"/>
  <c r="L13" i="3" s="1"/>
  <c r="J13" i="3"/>
  <c r="E13" i="3"/>
  <c r="G13" i="3" s="1"/>
  <c r="N12" i="3"/>
  <c r="N19" i="3" s="1"/>
  <c r="Q4" i="3" s="1"/>
  <c r="K12" i="3"/>
  <c r="J12" i="3"/>
  <c r="J19" i="3" s="1"/>
  <c r="E12" i="3"/>
  <c r="G11" i="3"/>
  <c r="F11" i="3"/>
  <c r="F19" i="3" s="1"/>
  <c r="N10" i="3"/>
  <c r="K10" i="3"/>
  <c r="L10" i="3" s="1"/>
  <c r="J10" i="3"/>
  <c r="E10" i="3"/>
  <c r="G10" i="3" s="1"/>
  <c r="N9" i="3"/>
  <c r="K9" i="3"/>
  <c r="L9" i="3" s="1"/>
  <c r="J9" i="3"/>
  <c r="E9" i="3"/>
  <c r="G9" i="3" s="1"/>
  <c r="N8" i="3"/>
  <c r="K8" i="3"/>
  <c r="L8" i="3" s="1"/>
  <c r="J8" i="3"/>
  <c r="E8" i="3"/>
  <c r="G8" i="3" s="1"/>
  <c r="N7" i="3"/>
  <c r="K7" i="3"/>
  <c r="L7" i="3" s="1"/>
  <c r="J7" i="3"/>
  <c r="E7" i="3"/>
  <c r="G7" i="3" s="1"/>
  <c r="N6" i="3"/>
  <c r="K6" i="3"/>
  <c r="L6" i="3" s="1"/>
  <c r="J6" i="3"/>
  <c r="E6" i="3"/>
  <c r="G6" i="3" s="1"/>
  <c r="N5" i="3"/>
  <c r="K5" i="3"/>
  <c r="L5" i="3" s="1"/>
  <c r="J5" i="3"/>
  <c r="E5" i="3"/>
  <c r="G5" i="3" s="1"/>
  <c r="N4" i="3"/>
  <c r="K4" i="3"/>
  <c r="L4" i="3" s="1"/>
  <c r="J4" i="3"/>
  <c r="E4" i="3"/>
  <c r="G4" i="3" s="1"/>
  <c r="N3" i="3"/>
  <c r="K3" i="3"/>
  <c r="J3" i="3"/>
  <c r="J11" i="3" s="1"/>
  <c r="E3" i="3"/>
  <c r="F352" i="2"/>
  <c r="N351" i="2"/>
  <c r="K351" i="2"/>
  <c r="L351" i="2" s="1"/>
  <c r="J351" i="2"/>
  <c r="E351" i="2"/>
  <c r="G351" i="2" s="1"/>
  <c r="N350" i="2"/>
  <c r="K350" i="2"/>
  <c r="L350" i="2" s="1"/>
  <c r="J350" i="2"/>
  <c r="E350" i="2"/>
  <c r="G350" i="2" s="1"/>
  <c r="N349" i="2"/>
  <c r="K349" i="2"/>
  <c r="L349" i="2" s="1"/>
  <c r="J349" i="2"/>
  <c r="E349" i="2"/>
  <c r="G349" i="2" s="1"/>
  <c r="N348" i="2"/>
  <c r="K348" i="2"/>
  <c r="L348" i="2" s="1"/>
  <c r="J348" i="2"/>
  <c r="E348" i="2"/>
  <c r="G348" i="2" s="1"/>
  <c r="N347" i="2"/>
  <c r="K347" i="2"/>
  <c r="L347" i="2" s="1"/>
  <c r="J347" i="2"/>
  <c r="E347" i="2"/>
  <c r="G347" i="2" s="1"/>
  <c r="N346" i="2"/>
  <c r="N352" i="2" s="1"/>
  <c r="Q251" i="2" s="1"/>
  <c r="R251" i="2" s="1"/>
  <c r="K346" i="2"/>
  <c r="J346" i="2"/>
  <c r="J352" i="2" s="1"/>
  <c r="E346" i="2"/>
  <c r="F345" i="2"/>
  <c r="N344" i="2"/>
  <c r="K344" i="2"/>
  <c r="L344" i="2" s="1"/>
  <c r="J344" i="2"/>
  <c r="E344" i="2"/>
  <c r="G344" i="2" s="1"/>
  <c r="N343" i="2"/>
  <c r="K343" i="2"/>
  <c r="L343" i="2" s="1"/>
  <c r="J343" i="2"/>
  <c r="E343" i="2"/>
  <c r="G343" i="2" s="1"/>
  <c r="N342" i="2"/>
  <c r="K342" i="2"/>
  <c r="L342" i="2" s="1"/>
  <c r="J342" i="2"/>
  <c r="E342" i="2"/>
  <c r="G342" i="2" s="1"/>
  <c r="N341" i="2"/>
  <c r="K341" i="2"/>
  <c r="L341" i="2" s="1"/>
  <c r="J341" i="2"/>
  <c r="E341" i="2"/>
  <c r="G341" i="2" s="1"/>
  <c r="N340" i="2"/>
  <c r="K340" i="2"/>
  <c r="L340" i="2" s="1"/>
  <c r="J340" i="2"/>
  <c r="E340" i="2"/>
  <c r="G340" i="2" s="1"/>
  <c r="N339" i="2"/>
  <c r="K339" i="2"/>
  <c r="L339" i="2" s="1"/>
  <c r="J339" i="2"/>
  <c r="E339" i="2"/>
  <c r="G339" i="2" s="1"/>
  <c r="N338" i="2"/>
  <c r="K338" i="2"/>
  <c r="L338" i="2" s="1"/>
  <c r="J338" i="2"/>
  <c r="E338" i="2"/>
  <c r="G338" i="2" s="1"/>
  <c r="N337" i="2"/>
  <c r="K337" i="2"/>
  <c r="L337" i="2" s="1"/>
  <c r="J337" i="2"/>
  <c r="E337" i="2"/>
  <c r="G337" i="2" s="1"/>
  <c r="N336" i="2"/>
  <c r="N345" i="2" s="1"/>
  <c r="Q250" i="2" s="1"/>
  <c r="R250" i="2" s="1"/>
  <c r="K336" i="2"/>
  <c r="J336" i="2"/>
  <c r="J345" i="2" s="1"/>
  <c r="E336" i="2"/>
  <c r="F335" i="2"/>
  <c r="N334" i="2"/>
  <c r="K334" i="2"/>
  <c r="L334" i="2" s="1"/>
  <c r="J334" i="2"/>
  <c r="E334" i="2"/>
  <c r="G334" i="2" s="1"/>
  <c r="N333" i="2"/>
  <c r="K333" i="2"/>
  <c r="L333" i="2" s="1"/>
  <c r="J333" i="2"/>
  <c r="E333" i="2"/>
  <c r="G333" i="2" s="1"/>
  <c r="N332" i="2"/>
  <c r="K332" i="2"/>
  <c r="L332" i="2" s="1"/>
  <c r="J332" i="2"/>
  <c r="E332" i="2"/>
  <c r="G332" i="2" s="1"/>
  <c r="N331" i="2"/>
  <c r="N335" i="2" s="1"/>
  <c r="Q249" i="2" s="1"/>
  <c r="R249" i="2" s="1"/>
  <c r="K331" i="2"/>
  <c r="L331" i="2" s="1"/>
  <c r="J331" i="2"/>
  <c r="E331" i="2"/>
  <c r="G331" i="2" s="1"/>
  <c r="K330" i="2"/>
  <c r="L330" i="2" s="1"/>
  <c r="J330" i="2"/>
  <c r="E330" i="2"/>
  <c r="G330" i="2" s="1"/>
  <c r="K329" i="2"/>
  <c r="J329" i="2"/>
  <c r="J335" i="2" s="1"/>
  <c r="E329" i="2"/>
  <c r="F328" i="2"/>
  <c r="N327" i="2"/>
  <c r="K327" i="2"/>
  <c r="L327" i="2" s="1"/>
  <c r="J327" i="2"/>
  <c r="E327" i="2"/>
  <c r="G327" i="2" s="1"/>
  <c r="N326" i="2"/>
  <c r="K326" i="2"/>
  <c r="L326" i="2" s="1"/>
  <c r="J326" i="2"/>
  <c r="E326" i="2"/>
  <c r="G326" i="2" s="1"/>
  <c r="N325" i="2"/>
  <c r="K325" i="2"/>
  <c r="L325" i="2" s="1"/>
  <c r="J325" i="2"/>
  <c r="E325" i="2"/>
  <c r="G325" i="2" s="1"/>
  <c r="N324" i="2"/>
  <c r="K324" i="2"/>
  <c r="L324" i="2" s="1"/>
  <c r="J324" i="2"/>
  <c r="E324" i="2"/>
  <c r="G324" i="2" s="1"/>
  <c r="N323" i="2"/>
  <c r="K323" i="2"/>
  <c r="L323" i="2" s="1"/>
  <c r="J323" i="2"/>
  <c r="E323" i="2"/>
  <c r="G323" i="2" s="1"/>
  <c r="N322" i="2"/>
  <c r="K322" i="2"/>
  <c r="L322" i="2" s="1"/>
  <c r="J322" i="2"/>
  <c r="E322" i="2"/>
  <c r="G322" i="2" s="1"/>
  <c r="N321" i="2"/>
  <c r="K321" i="2"/>
  <c r="L321" i="2" s="1"/>
  <c r="J321" i="2"/>
  <c r="E321" i="2"/>
  <c r="G321" i="2" s="1"/>
  <c r="N320" i="2"/>
  <c r="K320" i="2"/>
  <c r="L320" i="2" s="1"/>
  <c r="J320" i="2"/>
  <c r="E320" i="2"/>
  <c r="G320" i="2" s="1"/>
  <c r="N319" i="2"/>
  <c r="N328" i="2" s="1"/>
  <c r="Q248" i="2" s="1"/>
  <c r="R248" i="2" s="1"/>
  <c r="K319" i="2"/>
  <c r="J319" i="2"/>
  <c r="J328" i="2" s="1"/>
  <c r="E319" i="2"/>
  <c r="F318" i="2"/>
  <c r="N317" i="2"/>
  <c r="K317" i="2"/>
  <c r="L317" i="2" s="1"/>
  <c r="J317" i="2"/>
  <c r="E317" i="2"/>
  <c r="G317" i="2" s="1"/>
  <c r="N316" i="2"/>
  <c r="K316" i="2"/>
  <c r="L316" i="2" s="1"/>
  <c r="J316" i="2"/>
  <c r="E316" i="2"/>
  <c r="G316" i="2" s="1"/>
  <c r="N315" i="2"/>
  <c r="K315" i="2"/>
  <c r="J315" i="2"/>
  <c r="E315" i="2"/>
  <c r="G315" i="2" s="1"/>
  <c r="N314" i="2"/>
  <c r="J314" i="2"/>
  <c r="L314" i="2" s="1"/>
  <c r="E314" i="2"/>
  <c r="G314" i="2" s="1"/>
  <c r="N313" i="2"/>
  <c r="J313" i="2"/>
  <c r="L313" i="2" s="1"/>
  <c r="E313" i="2"/>
  <c r="G313" i="2" s="1"/>
  <c r="N312" i="2"/>
  <c r="J312" i="2"/>
  <c r="L312" i="2" s="1"/>
  <c r="E312" i="2"/>
  <c r="G312" i="2" s="1"/>
  <c r="N311" i="2"/>
  <c r="J311" i="2"/>
  <c r="L311" i="2" s="1"/>
  <c r="E311" i="2"/>
  <c r="G311" i="2" s="1"/>
  <c r="N310" i="2"/>
  <c r="N318" i="2" s="1"/>
  <c r="Q247" i="2" s="1"/>
  <c r="R247" i="2" s="1"/>
  <c r="J310" i="2"/>
  <c r="E310" i="2"/>
  <c r="F309" i="2"/>
  <c r="N308" i="2"/>
  <c r="K308" i="2"/>
  <c r="L308" i="2" s="1"/>
  <c r="J308" i="2"/>
  <c r="E308" i="2"/>
  <c r="G308" i="2" s="1"/>
  <c r="N307" i="2"/>
  <c r="K307" i="2"/>
  <c r="L307" i="2" s="1"/>
  <c r="J307" i="2"/>
  <c r="E307" i="2"/>
  <c r="G307" i="2" s="1"/>
  <c r="N306" i="2"/>
  <c r="K306" i="2"/>
  <c r="L306" i="2" s="1"/>
  <c r="J306" i="2"/>
  <c r="E306" i="2"/>
  <c r="G306" i="2" s="1"/>
  <c r="N305" i="2"/>
  <c r="K305" i="2"/>
  <c r="L305" i="2" s="1"/>
  <c r="J305" i="2"/>
  <c r="E305" i="2"/>
  <c r="G305" i="2" s="1"/>
  <c r="N304" i="2"/>
  <c r="K304" i="2"/>
  <c r="L304" i="2" s="1"/>
  <c r="J304" i="2"/>
  <c r="E304" i="2"/>
  <c r="G304" i="2" s="1"/>
  <c r="N303" i="2"/>
  <c r="N309" i="2" s="1"/>
  <c r="Q243" i="2" s="1"/>
  <c r="R243" i="2" s="1"/>
  <c r="K303" i="2"/>
  <c r="J303" i="2"/>
  <c r="J309" i="2" s="1"/>
  <c r="E303" i="2"/>
  <c r="N302" i="2"/>
  <c r="F302" i="2"/>
  <c r="K301" i="2"/>
  <c r="L301" i="2" s="1"/>
  <c r="J301" i="2"/>
  <c r="E301" i="2"/>
  <c r="G301" i="2" s="1"/>
  <c r="K300" i="2"/>
  <c r="L300" i="2" s="1"/>
  <c r="J300" i="2"/>
  <c r="E300" i="2"/>
  <c r="G300" i="2" s="1"/>
  <c r="K299" i="2"/>
  <c r="L299" i="2" s="1"/>
  <c r="J299" i="2"/>
  <c r="E299" i="2"/>
  <c r="G299" i="2" s="1"/>
  <c r="K298" i="2"/>
  <c r="L298" i="2" s="1"/>
  <c r="J298" i="2"/>
  <c r="E298" i="2"/>
  <c r="G298" i="2" s="1"/>
  <c r="J297" i="2"/>
  <c r="L297" i="2" s="1"/>
  <c r="E297" i="2"/>
  <c r="G297" i="2" s="1"/>
  <c r="K296" i="2"/>
  <c r="L296" i="2" s="1"/>
  <c r="J296" i="2"/>
  <c r="E296" i="2"/>
  <c r="G296" i="2" s="1"/>
  <c r="K295" i="2"/>
  <c r="L295" i="2" s="1"/>
  <c r="J295" i="2"/>
  <c r="E295" i="2"/>
  <c r="G295" i="2" s="1"/>
  <c r="K294" i="2"/>
  <c r="J294" i="2"/>
  <c r="J302" i="2" s="1"/>
  <c r="E294" i="2"/>
  <c r="F293" i="2"/>
  <c r="N292" i="2"/>
  <c r="N293" i="2" s="1"/>
  <c r="Q244" i="2" s="1"/>
  <c r="R244" i="2" s="1"/>
  <c r="K292" i="2"/>
  <c r="L292" i="2" s="1"/>
  <c r="J292" i="2"/>
  <c r="E292" i="2"/>
  <c r="G292" i="2" s="1"/>
  <c r="K291" i="2"/>
  <c r="L291" i="2" s="1"/>
  <c r="J291" i="2"/>
  <c r="K290" i="2"/>
  <c r="L290" i="2" s="1"/>
  <c r="J290" i="2"/>
  <c r="E290" i="2"/>
  <c r="G290" i="2" s="1"/>
  <c r="K289" i="2"/>
  <c r="L289" i="2" s="1"/>
  <c r="J289" i="2"/>
  <c r="E289" i="2"/>
  <c r="G289" i="2" s="1"/>
  <c r="K288" i="2"/>
  <c r="L288" i="2" s="1"/>
  <c r="J288" i="2"/>
  <c r="E288" i="2"/>
  <c r="G288" i="2" s="1"/>
  <c r="K287" i="2"/>
  <c r="L287" i="2" s="1"/>
  <c r="J287" i="2"/>
  <c r="E287" i="2"/>
  <c r="G287" i="2" s="1"/>
  <c r="K286" i="2"/>
  <c r="J286" i="2"/>
  <c r="E286" i="2"/>
  <c r="G286" i="2" s="1"/>
  <c r="J285" i="2"/>
  <c r="E285" i="2"/>
  <c r="N284" i="2"/>
  <c r="F284" i="2"/>
  <c r="K283" i="2"/>
  <c r="L283" i="2" s="1"/>
  <c r="J283" i="2"/>
  <c r="E283" i="2"/>
  <c r="G283" i="2" s="1"/>
  <c r="K282" i="2"/>
  <c r="L282" i="2" s="1"/>
  <c r="J282" i="2"/>
  <c r="E282" i="2"/>
  <c r="G282" i="2" s="1"/>
  <c r="K281" i="2"/>
  <c r="L281" i="2" s="1"/>
  <c r="J281" i="2"/>
  <c r="E281" i="2"/>
  <c r="G281" i="2" s="1"/>
  <c r="K280" i="2"/>
  <c r="L280" i="2" s="1"/>
  <c r="J280" i="2"/>
  <c r="E280" i="2"/>
  <c r="G280" i="2" s="1"/>
  <c r="K279" i="2"/>
  <c r="L279" i="2" s="1"/>
  <c r="J279" i="2"/>
  <c r="E279" i="2"/>
  <c r="G279" i="2" s="1"/>
  <c r="K278" i="2"/>
  <c r="L278" i="2" s="1"/>
  <c r="J278" i="2"/>
  <c r="E278" i="2"/>
  <c r="G278" i="2" s="1"/>
  <c r="K277" i="2"/>
  <c r="L277" i="2" s="1"/>
  <c r="J277" i="2"/>
  <c r="E277" i="2"/>
  <c r="G277" i="2" s="1"/>
  <c r="K276" i="2"/>
  <c r="J276" i="2"/>
  <c r="J284" i="2" s="1"/>
  <c r="E276" i="2"/>
  <c r="F275" i="2"/>
  <c r="K274" i="2"/>
  <c r="J274" i="2"/>
  <c r="E274" i="2"/>
  <c r="G274" i="2" s="1"/>
  <c r="K273" i="2"/>
  <c r="J273" i="2"/>
  <c r="E273" i="2"/>
  <c r="G273" i="2" s="1"/>
  <c r="N272" i="2"/>
  <c r="K272" i="2"/>
  <c r="L272" i="2" s="1"/>
  <c r="J272" i="2"/>
  <c r="E272" i="2"/>
  <c r="G272" i="2" s="1"/>
  <c r="N271" i="2"/>
  <c r="K271" i="2"/>
  <c r="L271" i="2" s="1"/>
  <c r="J271" i="2"/>
  <c r="E271" i="2"/>
  <c r="G271" i="2" s="1"/>
  <c r="N270" i="2"/>
  <c r="K270" i="2"/>
  <c r="L270" i="2" s="1"/>
  <c r="J270" i="2"/>
  <c r="E270" i="2"/>
  <c r="G270" i="2" s="1"/>
  <c r="N269" i="2"/>
  <c r="K269" i="2"/>
  <c r="J269" i="2"/>
  <c r="J275" i="2" s="1"/>
  <c r="E269" i="2"/>
  <c r="F268" i="2"/>
  <c r="N267" i="2"/>
  <c r="K267" i="2"/>
  <c r="L267" i="2" s="1"/>
  <c r="J267" i="2"/>
  <c r="E267" i="2"/>
  <c r="G267" i="2" s="1"/>
  <c r="N266" i="2"/>
  <c r="K266" i="2"/>
  <c r="L266" i="2" s="1"/>
  <c r="J266" i="2"/>
  <c r="E266" i="2"/>
  <c r="G266" i="2" s="1"/>
  <c r="N265" i="2"/>
  <c r="K265" i="2"/>
  <c r="L265" i="2" s="1"/>
  <c r="J265" i="2"/>
  <c r="E265" i="2"/>
  <c r="G265" i="2" s="1"/>
  <c r="K264" i="2"/>
  <c r="J264" i="2"/>
  <c r="E264" i="2"/>
  <c r="N263" i="2"/>
  <c r="K263" i="2"/>
  <c r="J263" i="2"/>
  <c r="J268" i="2" s="1"/>
  <c r="G263" i="2"/>
  <c r="G268" i="2" s="1"/>
  <c r="F262" i="2"/>
  <c r="N261" i="2"/>
  <c r="K261" i="2"/>
  <c r="L261" i="2" s="1"/>
  <c r="J261" i="2"/>
  <c r="E261" i="2"/>
  <c r="G261" i="2" s="1"/>
  <c r="K260" i="2"/>
  <c r="J260" i="2"/>
  <c r="E260" i="2"/>
  <c r="G260" i="2" s="1"/>
  <c r="K259" i="2"/>
  <c r="J259" i="2"/>
  <c r="E259" i="2"/>
  <c r="G259" i="2" s="1"/>
  <c r="K258" i="2"/>
  <c r="E258" i="2"/>
  <c r="G258" i="2" s="1"/>
  <c r="K257" i="2"/>
  <c r="J257" i="2"/>
  <c r="E257" i="2"/>
  <c r="K256" i="2"/>
  <c r="F256" i="2"/>
  <c r="N255" i="2"/>
  <c r="J255" i="2"/>
  <c r="L255" i="2" s="1"/>
  <c r="E255" i="2"/>
  <c r="G255" i="2" s="1"/>
  <c r="N254" i="2"/>
  <c r="J254" i="2"/>
  <c r="L254" i="2" s="1"/>
  <c r="E254" i="2"/>
  <c r="G254" i="2" s="1"/>
  <c r="N253" i="2"/>
  <c r="J253" i="2"/>
  <c r="L253" i="2" s="1"/>
  <c r="E253" i="2"/>
  <c r="G253" i="2" s="1"/>
  <c r="N252" i="2"/>
  <c r="J252" i="2"/>
  <c r="L252" i="2" s="1"/>
  <c r="E252" i="2"/>
  <c r="G252" i="2" s="1"/>
  <c r="N251" i="2"/>
  <c r="N256" i="2" s="1"/>
  <c r="Q239" i="2" s="1"/>
  <c r="R239" i="2" s="1"/>
  <c r="J251" i="2"/>
  <c r="E251" i="2"/>
  <c r="F250" i="2"/>
  <c r="K249" i="2"/>
  <c r="J249" i="2"/>
  <c r="E249" i="2"/>
  <c r="G249" i="2" s="1"/>
  <c r="K248" i="2"/>
  <c r="J248" i="2"/>
  <c r="E248" i="2"/>
  <c r="G248" i="2" s="1"/>
  <c r="N247" i="2"/>
  <c r="K247" i="2"/>
  <c r="L247" i="2" s="1"/>
  <c r="J247" i="2"/>
  <c r="E247" i="2"/>
  <c r="G247" i="2" s="1"/>
  <c r="Q246" i="2"/>
  <c r="R246" i="2" s="1"/>
  <c r="N246" i="2"/>
  <c r="K246" i="2"/>
  <c r="L246" i="2" s="1"/>
  <c r="J246" i="2"/>
  <c r="E246" i="2"/>
  <c r="G246" i="2" s="1"/>
  <c r="Q245" i="2"/>
  <c r="R245" i="2" s="1"/>
  <c r="N245" i="2"/>
  <c r="K245" i="2"/>
  <c r="L245" i="2" s="1"/>
  <c r="J245" i="2"/>
  <c r="E245" i="2"/>
  <c r="G245" i="2" s="1"/>
  <c r="N244" i="2"/>
  <c r="K244" i="2"/>
  <c r="J244" i="2"/>
  <c r="J250" i="2" s="1"/>
  <c r="E244" i="2"/>
  <c r="F243" i="2"/>
  <c r="K242" i="2"/>
  <c r="J242" i="2"/>
  <c r="E242" i="2"/>
  <c r="G242" i="2" s="1"/>
  <c r="K241" i="2"/>
  <c r="J241" i="2"/>
  <c r="E241" i="2"/>
  <c r="G241" i="2" s="1"/>
  <c r="K240" i="2"/>
  <c r="J240" i="2"/>
  <c r="E240" i="2"/>
  <c r="G240" i="2" s="1"/>
  <c r="K239" i="2"/>
  <c r="J239" i="2"/>
  <c r="E239" i="2"/>
  <c r="G239" i="2" s="1"/>
  <c r="N238" i="2"/>
  <c r="J238" i="2"/>
  <c r="E238" i="2"/>
  <c r="R234" i="2"/>
  <c r="K232" i="2"/>
  <c r="J232" i="2"/>
  <c r="E232" i="2"/>
  <c r="G232" i="2" s="1"/>
  <c r="K231" i="2"/>
  <c r="J231" i="2"/>
  <c r="E231" i="2"/>
  <c r="G231" i="2" s="1"/>
  <c r="K230" i="2"/>
  <c r="J230" i="2"/>
  <c r="E230" i="2"/>
  <c r="G230" i="2" s="1"/>
  <c r="N229" i="2"/>
  <c r="K229" i="2"/>
  <c r="L229" i="2" s="1"/>
  <c r="J229" i="2"/>
  <c r="E229" i="2"/>
  <c r="G229" i="2" s="1"/>
  <c r="N228" i="2"/>
  <c r="K228" i="2"/>
  <c r="L228" i="2" s="1"/>
  <c r="J228" i="2"/>
  <c r="E228" i="2"/>
  <c r="G228" i="2" s="1"/>
  <c r="N227" i="2"/>
  <c r="K227" i="2"/>
  <c r="L227" i="2" s="1"/>
  <c r="J227" i="2"/>
  <c r="E227" i="2"/>
  <c r="G227" i="2" s="1"/>
  <c r="N226" i="2"/>
  <c r="K226" i="2"/>
  <c r="J226" i="2"/>
  <c r="E226" i="2"/>
  <c r="G226" i="2" s="1"/>
  <c r="K224" i="2"/>
  <c r="J224" i="2"/>
  <c r="E224" i="2"/>
  <c r="G224" i="2" s="1"/>
  <c r="K223" i="2"/>
  <c r="J223" i="2"/>
  <c r="E223" i="2"/>
  <c r="G223" i="2" s="1"/>
  <c r="K222" i="2"/>
  <c r="J222" i="2"/>
  <c r="E222" i="2"/>
  <c r="G222" i="2" s="1"/>
  <c r="N221" i="2"/>
  <c r="K221" i="2"/>
  <c r="L221" i="2" s="1"/>
  <c r="J221" i="2"/>
  <c r="E221" i="2"/>
  <c r="G221" i="2" s="1"/>
  <c r="N220" i="2"/>
  <c r="K220" i="2"/>
  <c r="L220" i="2" s="1"/>
  <c r="J220" i="2"/>
  <c r="E220" i="2"/>
  <c r="G220" i="2" s="1"/>
  <c r="N219" i="2"/>
  <c r="K219" i="2"/>
  <c r="L219" i="2" s="1"/>
  <c r="J219" i="2"/>
  <c r="E219" i="2"/>
  <c r="G219" i="2" s="1"/>
  <c r="N218" i="2"/>
  <c r="K218" i="2"/>
  <c r="J218" i="2"/>
  <c r="E218" i="2"/>
  <c r="K216" i="2"/>
  <c r="J216" i="2"/>
  <c r="E216" i="2"/>
  <c r="G216" i="2" s="1"/>
  <c r="K215" i="2"/>
  <c r="J215" i="2"/>
  <c r="E215" i="2"/>
  <c r="G215" i="2" s="1"/>
  <c r="K214" i="2"/>
  <c r="J214" i="2"/>
  <c r="E214" i="2"/>
  <c r="G214" i="2" s="1"/>
  <c r="N213" i="2"/>
  <c r="K213" i="2"/>
  <c r="L213" i="2" s="1"/>
  <c r="J213" i="2"/>
  <c r="E213" i="2"/>
  <c r="G213" i="2" s="1"/>
  <c r="N212" i="2"/>
  <c r="K212" i="2"/>
  <c r="L212" i="2" s="1"/>
  <c r="J212" i="2"/>
  <c r="E212" i="2"/>
  <c r="G212" i="2" s="1"/>
  <c r="N211" i="2"/>
  <c r="K211" i="2"/>
  <c r="L211" i="2" s="1"/>
  <c r="J211" i="2"/>
  <c r="E211" i="2"/>
  <c r="G211" i="2" s="1"/>
  <c r="N210" i="2"/>
  <c r="K210" i="2"/>
  <c r="J210" i="2"/>
  <c r="E210" i="2"/>
  <c r="R208" i="2"/>
  <c r="K208" i="2"/>
  <c r="J208" i="2"/>
  <c r="E208" i="2"/>
  <c r="G208" i="2" s="1"/>
  <c r="K207" i="2"/>
  <c r="J207" i="2"/>
  <c r="E207" i="2"/>
  <c r="G207" i="2" s="1"/>
  <c r="K206" i="2"/>
  <c r="J206" i="2"/>
  <c r="E206" i="2"/>
  <c r="G206" i="2" s="1"/>
  <c r="K205" i="2"/>
  <c r="L205" i="2" s="1"/>
  <c r="J205" i="2"/>
  <c r="E205" i="2"/>
  <c r="G205" i="2" s="1"/>
  <c r="K204" i="2"/>
  <c r="J204" i="2"/>
  <c r="E204" i="2"/>
  <c r="G204" i="2" s="1"/>
  <c r="K203" i="2"/>
  <c r="J203" i="2"/>
  <c r="E203" i="2"/>
  <c r="G203" i="2" s="1"/>
  <c r="K202" i="2"/>
  <c r="J202" i="2"/>
  <c r="E202" i="2"/>
  <c r="F201" i="2"/>
  <c r="F209" i="2" s="1"/>
  <c r="F217" i="2" s="1"/>
  <c r="F225" i="2" s="1"/>
  <c r="F233" i="2" s="1"/>
  <c r="R200" i="2"/>
  <c r="K200" i="2"/>
  <c r="J200" i="2"/>
  <c r="E200" i="2"/>
  <c r="R199" i="2"/>
  <c r="K199" i="2"/>
  <c r="J199" i="2"/>
  <c r="E199" i="2"/>
  <c r="G199" i="2" s="1"/>
  <c r="R198" i="2"/>
  <c r="K198" i="2"/>
  <c r="J198" i="2"/>
  <c r="E198" i="2"/>
  <c r="G198" i="2" s="1"/>
  <c r="R197" i="2"/>
  <c r="K197" i="2"/>
  <c r="L197" i="2" s="1"/>
  <c r="J197" i="2"/>
  <c r="E197" i="2"/>
  <c r="G197" i="2" s="1"/>
  <c r="R196" i="2"/>
  <c r="K196" i="2"/>
  <c r="L196" i="2" s="1"/>
  <c r="J196" i="2"/>
  <c r="E196" i="2"/>
  <c r="G196" i="2" s="1"/>
  <c r="R195" i="2"/>
  <c r="N195" i="2"/>
  <c r="K195" i="2"/>
  <c r="L195" i="2" s="1"/>
  <c r="J195" i="2"/>
  <c r="E195" i="2"/>
  <c r="G195" i="2" s="1"/>
  <c r="R194" i="2"/>
  <c r="N194" i="2"/>
  <c r="K194" i="2"/>
  <c r="L194" i="2" s="1"/>
  <c r="L209" i="2" s="1"/>
  <c r="J194" i="2"/>
  <c r="E194" i="2"/>
  <c r="G194" i="2" s="1"/>
  <c r="G209" i="2" s="1"/>
  <c r="F193" i="2"/>
  <c r="N192" i="2"/>
  <c r="J192" i="2"/>
  <c r="L192" i="2" s="1"/>
  <c r="E192" i="2"/>
  <c r="G192" i="2" s="1"/>
  <c r="N191" i="2"/>
  <c r="J191" i="2"/>
  <c r="L191" i="2" s="1"/>
  <c r="E191" i="2"/>
  <c r="G191" i="2" s="1"/>
  <c r="N190" i="2"/>
  <c r="J190" i="2"/>
  <c r="L190" i="2" s="1"/>
  <c r="E190" i="2"/>
  <c r="G190" i="2" s="1"/>
  <c r="K189" i="2"/>
  <c r="L189" i="2" s="1"/>
  <c r="J189" i="2"/>
  <c r="E189" i="2"/>
  <c r="G189" i="2" s="1"/>
  <c r="K188" i="2"/>
  <c r="J188" i="2"/>
  <c r="E188" i="2"/>
  <c r="G188" i="2" s="1"/>
  <c r="G201" i="2" s="1"/>
  <c r="N187" i="2"/>
  <c r="J187" i="2"/>
  <c r="L187" i="2" s="1"/>
  <c r="E187" i="2"/>
  <c r="G187" i="2" s="1"/>
  <c r="N186" i="2"/>
  <c r="J186" i="2"/>
  <c r="L186" i="2" s="1"/>
  <c r="E186" i="2"/>
  <c r="G186" i="2" s="1"/>
  <c r="N185" i="2"/>
  <c r="N193" i="2" s="1"/>
  <c r="Q23" i="2" s="1"/>
  <c r="R23" i="2" s="1"/>
  <c r="J185" i="2"/>
  <c r="E185" i="2"/>
  <c r="F184" i="2"/>
  <c r="K183" i="2"/>
  <c r="J183" i="2"/>
  <c r="E183" i="2"/>
  <c r="G183" i="2" s="1"/>
  <c r="K182" i="2"/>
  <c r="J182" i="2"/>
  <c r="E182" i="2"/>
  <c r="G182" i="2" s="1"/>
  <c r="K181" i="2"/>
  <c r="J181" i="2"/>
  <c r="E181" i="2"/>
  <c r="G181" i="2" s="1"/>
  <c r="K180" i="2"/>
  <c r="L180" i="2" s="1"/>
  <c r="J180" i="2"/>
  <c r="E180" i="2"/>
  <c r="G180" i="2" s="1"/>
  <c r="K179" i="2"/>
  <c r="L179" i="2" s="1"/>
  <c r="J179" i="2"/>
  <c r="E179" i="2"/>
  <c r="G179" i="2" s="1"/>
  <c r="N178" i="2"/>
  <c r="K178" i="2"/>
  <c r="L178" i="2" s="1"/>
  <c r="J178" i="2"/>
  <c r="E178" i="2"/>
  <c r="G178" i="2" s="1"/>
  <c r="N177" i="2"/>
  <c r="K177" i="2"/>
  <c r="L177" i="2" s="1"/>
  <c r="J177" i="2"/>
  <c r="E177" i="2"/>
  <c r="G177" i="2" s="1"/>
  <c r="N176" i="2"/>
  <c r="K176" i="2"/>
  <c r="J176" i="2"/>
  <c r="J184" i="2" s="1"/>
  <c r="E176" i="2"/>
  <c r="R175" i="2"/>
  <c r="F175" i="2"/>
  <c r="R174" i="2"/>
  <c r="K174" i="2"/>
  <c r="J174" i="2"/>
  <c r="E174" i="2"/>
  <c r="G174" i="2" s="1"/>
  <c r="R173" i="2"/>
  <c r="N173" i="2"/>
  <c r="K173" i="2"/>
  <c r="L173" i="2" s="1"/>
  <c r="J173" i="2"/>
  <c r="E173" i="2"/>
  <c r="G173" i="2" s="1"/>
  <c r="R172" i="2"/>
  <c r="N172" i="2"/>
  <c r="K172" i="2"/>
  <c r="L172" i="2" s="1"/>
  <c r="J172" i="2"/>
  <c r="E172" i="2"/>
  <c r="G172" i="2" s="1"/>
  <c r="R171" i="2"/>
  <c r="K171" i="2"/>
  <c r="L171" i="2" s="1"/>
  <c r="J171" i="2"/>
  <c r="E171" i="2"/>
  <c r="G171" i="2" s="1"/>
  <c r="R170" i="2"/>
  <c r="K170" i="2"/>
  <c r="L170" i="2" s="1"/>
  <c r="J170" i="2"/>
  <c r="E170" i="2"/>
  <c r="G170" i="2" s="1"/>
  <c r="R169" i="2"/>
  <c r="K169" i="2"/>
  <c r="L169" i="2" s="1"/>
  <c r="J169" i="2"/>
  <c r="E169" i="2"/>
  <c r="G169" i="2" s="1"/>
  <c r="R168" i="2"/>
  <c r="K168" i="2"/>
  <c r="L168" i="2" s="1"/>
  <c r="J168" i="2"/>
  <c r="E168" i="2"/>
  <c r="G168" i="2" s="1"/>
  <c r="R167" i="2"/>
  <c r="N167" i="2"/>
  <c r="K167" i="2"/>
  <c r="J167" i="2"/>
  <c r="J175" i="2" s="1"/>
  <c r="E167" i="2"/>
  <c r="R166" i="2"/>
  <c r="R165" i="2"/>
  <c r="K165" i="2"/>
  <c r="J165" i="2"/>
  <c r="E165" i="2"/>
  <c r="G165" i="2" s="1"/>
  <c r="R164" i="2"/>
  <c r="N164" i="2"/>
  <c r="K164" i="2"/>
  <c r="L164" i="2" s="1"/>
  <c r="J164" i="2"/>
  <c r="E164" i="2"/>
  <c r="G164" i="2" s="1"/>
  <c r="R163" i="2"/>
  <c r="N163" i="2"/>
  <c r="K163" i="2"/>
  <c r="L163" i="2" s="1"/>
  <c r="J163" i="2"/>
  <c r="E163" i="2"/>
  <c r="G163" i="2" s="1"/>
  <c r="R162" i="2"/>
  <c r="J162" i="2"/>
  <c r="L162" i="2" s="1"/>
  <c r="E162" i="2"/>
  <c r="G162" i="2" s="1"/>
  <c r="R161" i="2"/>
  <c r="J161" i="2"/>
  <c r="L161" i="2" s="1"/>
  <c r="E161" i="2"/>
  <c r="G161" i="2" s="1"/>
  <c r="R160" i="2"/>
  <c r="K160" i="2"/>
  <c r="L160" i="2" s="1"/>
  <c r="J160" i="2"/>
  <c r="E160" i="2"/>
  <c r="G160" i="2" s="1"/>
  <c r="R159" i="2"/>
  <c r="K159" i="2"/>
  <c r="L159" i="2" s="1"/>
  <c r="J159" i="2"/>
  <c r="E159" i="2"/>
  <c r="G159" i="2" s="1"/>
  <c r="R158" i="2"/>
  <c r="K158" i="2"/>
  <c r="J158" i="2"/>
  <c r="J166" i="2" s="1"/>
  <c r="E158" i="2"/>
  <c r="R157" i="2"/>
  <c r="F157" i="2"/>
  <c r="R156" i="2"/>
  <c r="K156" i="2"/>
  <c r="J156" i="2"/>
  <c r="E156" i="2"/>
  <c r="G156" i="2" s="1"/>
  <c r="R155" i="2"/>
  <c r="N155" i="2"/>
  <c r="K155" i="2"/>
  <c r="J155" i="2"/>
  <c r="E155" i="2"/>
  <c r="G155" i="2" s="1"/>
  <c r="R154" i="2"/>
  <c r="N154" i="2"/>
  <c r="J154" i="2"/>
  <c r="L154" i="2" s="1"/>
  <c r="E154" i="2"/>
  <c r="G154" i="2" s="1"/>
  <c r="R153" i="2"/>
  <c r="N153" i="2"/>
  <c r="J153" i="2"/>
  <c r="L153" i="2" s="1"/>
  <c r="E153" i="2"/>
  <c r="G153" i="2" s="1"/>
  <c r="R152" i="2"/>
  <c r="N152" i="2"/>
  <c r="J152" i="2"/>
  <c r="L152" i="2" s="1"/>
  <c r="E152" i="2"/>
  <c r="G152" i="2" s="1"/>
  <c r="R151" i="2"/>
  <c r="N151" i="2"/>
  <c r="J151" i="2"/>
  <c r="L151" i="2" s="1"/>
  <c r="E151" i="2"/>
  <c r="G151" i="2" s="1"/>
  <c r="R150" i="2"/>
  <c r="N150" i="2"/>
  <c r="J150" i="2"/>
  <c r="L150" i="2" s="1"/>
  <c r="E150" i="2"/>
  <c r="G150" i="2" s="1"/>
  <c r="R149" i="2"/>
  <c r="N149" i="2"/>
  <c r="J149" i="2"/>
  <c r="E149" i="2"/>
  <c r="R148" i="2"/>
  <c r="F148" i="2"/>
  <c r="J147" i="2"/>
  <c r="L147" i="2" s="1"/>
  <c r="E147" i="2"/>
  <c r="G147" i="2" s="1"/>
  <c r="J146" i="2"/>
  <c r="L146" i="2" s="1"/>
  <c r="E146" i="2"/>
  <c r="G146" i="2" s="1"/>
  <c r="J145" i="2"/>
  <c r="L145" i="2" s="1"/>
  <c r="E145" i="2"/>
  <c r="G145" i="2" s="1"/>
  <c r="R144" i="2"/>
  <c r="J144" i="2"/>
  <c r="L144" i="2" s="1"/>
  <c r="E144" i="2"/>
  <c r="G144" i="2" s="1"/>
  <c r="R143" i="2"/>
  <c r="J143" i="2"/>
  <c r="L143" i="2" s="1"/>
  <c r="E143" i="2"/>
  <c r="G143" i="2" s="1"/>
  <c r="R142" i="2"/>
  <c r="J142" i="2"/>
  <c r="L142" i="2" s="1"/>
  <c r="E142" i="2"/>
  <c r="G142" i="2" s="1"/>
  <c r="R141" i="2"/>
  <c r="K141" i="2"/>
  <c r="L141" i="2" s="1"/>
  <c r="J141" i="2"/>
  <c r="E141" i="2"/>
  <c r="G141" i="2" s="1"/>
  <c r="R140" i="2"/>
  <c r="N140" i="2"/>
  <c r="K140" i="2"/>
  <c r="L140" i="2" s="1"/>
  <c r="J140" i="2"/>
  <c r="E140" i="2"/>
  <c r="G140" i="2" s="1"/>
  <c r="R139" i="2"/>
  <c r="N139" i="2"/>
  <c r="K139" i="2"/>
  <c r="L139" i="2" s="1"/>
  <c r="J139" i="2"/>
  <c r="E139" i="2"/>
  <c r="G139" i="2" s="1"/>
  <c r="R138" i="2"/>
  <c r="N138" i="2"/>
  <c r="K138" i="2"/>
  <c r="L138" i="2" s="1"/>
  <c r="J138" i="2"/>
  <c r="E138" i="2"/>
  <c r="G138" i="2" s="1"/>
  <c r="R137" i="2"/>
  <c r="N137" i="2"/>
  <c r="N148" i="2" s="1"/>
  <c r="Q18" i="2" s="1"/>
  <c r="R18" i="2" s="1"/>
  <c r="K137" i="2"/>
  <c r="J137" i="2"/>
  <c r="J148" i="2" s="1"/>
  <c r="E137" i="2"/>
  <c r="N135" i="2"/>
  <c r="K135" i="2"/>
  <c r="L135" i="2" s="1"/>
  <c r="J135" i="2"/>
  <c r="E135" i="2"/>
  <c r="G135" i="2" s="1"/>
  <c r="N134" i="2"/>
  <c r="K134" i="2"/>
  <c r="L134" i="2" s="1"/>
  <c r="J134" i="2"/>
  <c r="E134" i="2"/>
  <c r="G134" i="2" s="1"/>
  <c r="N133" i="2"/>
  <c r="K133" i="2"/>
  <c r="L133" i="2" s="1"/>
  <c r="J133" i="2"/>
  <c r="E133" i="2"/>
  <c r="G133" i="2" s="1"/>
  <c r="N132" i="2"/>
  <c r="K132" i="2"/>
  <c r="L132" i="2" s="1"/>
  <c r="J132" i="2"/>
  <c r="E132" i="2"/>
  <c r="G132" i="2" s="1"/>
  <c r="N131" i="2"/>
  <c r="K131" i="2"/>
  <c r="L131" i="2" s="1"/>
  <c r="J131" i="2"/>
  <c r="E131" i="2"/>
  <c r="G131" i="2" s="1"/>
  <c r="N130" i="2"/>
  <c r="K130" i="2"/>
  <c r="L130" i="2" s="1"/>
  <c r="J130" i="2"/>
  <c r="E130" i="2"/>
  <c r="G130" i="2" s="1"/>
  <c r="N129" i="2"/>
  <c r="N136" i="2" s="1"/>
  <c r="Q26" i="2" s="1"/>
  <c r="R26" i="2" s="1"/>
  <c r="K129" i="2"/>
  <c r="J129" i="2"/>
  <c r="J136" i="2" s="1"/>
  <c r="E129" i="2"/>
  <c r="R128" i="2"/>
  <c r="F128" i="2"/>
  <c r="F136" i="2" s="1"/>
  <c r="R127" i="2"/>
  <c r="N127" i="2"/>
  <c r="K127" i="2"/>
  <c r="L127" i="2" s="1"/>
  <c r="J127" i="2"/>
  <c r="E127" i="2"/>
  <c r="G127" i="2" s="1"/>
  <c r="R126" i="2"/>
  <c r="N126" i="2"/>
  <c r="K126" i="2"/>
  <c r="L126" i="2" s="1"/>
  <c r="J126" i="2"/>
  <c r="E126" i="2"/>
  <c r="G126" i="2" s="1"/>
  <c r="R125" i="2"/>
  <c r="N125" i="2"/>
  <c r="K125" i="2"/>
  <c r="L125" i="2" s="1"/>
  <c r="J125" i="2"/>
  <c r="E125" i="2"/>
  <c r="G125" i="2" s="1"/>
  <c r="R124" i="2"/>
  <c r="N124" i="2"/>
  <c r="K124" i="2"/>
  <c r="L124" i="2" s="1"/>
  <c r="J124" i="2"/>
  <c r="E124" i="2"/>
  <c r="G124" i="2" s="1"/>
  <c r="R123" i="2"/>
  <c r="N123" i="2"/>
  <c r="K123" i="2"/>
  <c r="L123" i="2" s="1"/>
  <c r="J123" i="2"/>
  <c r="E123" i="2"/>
  <c r="G123" i="2" s="1"/>
  <c r="R122" i="2"/>
  <c r="N122" i="2"/>
  <c r="K122" i="2"/>
  <c r="L122" i="2" s="1"/>
  <c r="J122" i="2"/>
  <c r="E122" i="2"/>
  <c r="G122" i="2" s="1"/>
  <c r="R121" i="2"/>
  <c r="N121" i="2"/>
  <c r="N128" i="2" s="1"/>
  <c r="Q17" i="2" s="1"/>
  <c r="R17" i="2" s="1"/>
  <c r="K121" i="2"/>
  <c r="J121" i="2"/>
  <c r="J128" i="2" s="1"/>
  <c r="E121" i="2"/>
  <c r="R120" i="2"/>
  <c r="R119" i="2"/>
  <c r="N119" i="2"/>
  <c r="K119" i="2"/>
  <c r="L119" i="2" s="1"/>
  <c r="J119" i="2"/>
  <c r="E119" i="2"/>
  <c r="G119" i="2" s="1"/>
  <c r="R118" i="2"/>
  <c r="N118" i="2"/>
  <c r="K118" i="2"/>
  <c r="L118" i="2" s="1"/>
  <c r="J118" i="2"/>
  <c r="E118" i="2"/>
  <c r="G118" i="2" s="1"/>
  <c r="R117" i="2"/>
  <c r="N117" i="2"/>
  <c r="K117" i="2"/>
  <c r="J117" i="2"/>
  <c r="E117" i="2"/>
  <c r="G117" i="2" s="1"/>
  <c r="R116" i="2"/>
  <c r="N116" i="2"/>
  <c r="J116" i="2"/>
  <c r="L116" i="2" s="1"/>
  <c r="E116" i="2"/>
  <c r="G116" i="2" s="1"/>
  <c r="R115" i="2"/>
  <c r="N115" i="2"/>
  <c r="J115" i="2"/>
  <c r="L115" i="2" s="1"/>
  <c r="E115" i="2"/>
  <c r="G115" i="2" s="1"/>
  <c r="R114" i="2"/>
  <c r="N114" i="2"/>
  <c r="J114" i="2"/>
  <c r="L114" i="2" s="1"/>
  <c r="E114" i="2"/>
  <c r="G114" i="2" s="1"/>
  <c r="R113" i="2"/>
  <c r="N113" i="2"/>
  <c r="N120" i="2" s="1"/>
  <c r="J113" i="2"/>
  <c r="E113" i="2"/>
  <c r="R112" i="2"/>
  <c r="R111" i="2"/>
  <c r="N111" i="2"/>
  <c r="K111" i="2"/>
  <c r="L111" i="2" s="1"/>
  <c r="J111" i="2"/>
  <c r="E111" i="2"/>
  <c r="G111" i="2" s="1"/>
  <c r="R110" i="2"/>
  <c r="N110" i="2"/>
  <c r="K110" i="2"/>
  <c r="L110" i="2" s="1"/>
  <c r="J110" i="2"/>
  <c r="E110" i="2"/>
  <c r="G110" i="2" s="1"/>
  <c r="R109" i="2"/>
  <c r="N109" i="2"/>
  <c r="K109" i="2"/>
  <c r="L109" i="2" s="1"/>
  <c r="J109" i="2"/>
  <c r="E109" i="2"/>
  <c r="G109" i="2" s="1"/>
  <c r="R108" i="2"/>
  <c r="N108" i="2"/>
  <c r="K108" i="2"/>
  <c r="L108" i="2" s="1"/>
  <c r="J108" i="2"/>
  <c r="E108" i="2"/>
  <c r="G108" i="2" s="1"/>
  <c r="R107" i="2"/>
  <c r="N107" i="2"/>
  <c r="K107" i="2"/>
  <c r="L107" i="2" s="1"/>
  <c r="J107" i="2"/>
  <c r="E107" i="2"/>
  <c r="G107" i="2" s="1"/>
  <c r="R106" i="2"/>
  <c r="N106" i="2"/>
  <c r="K106" i="2"/>
  <c r="L106" i="2" s="1"/>
  <c r="J106" i="2"/>
  <c r="E106" i="2"/>
  <c r="G106" i="2" s="1"/>
  <c r="R105" i="2"/>
  <c r="N105" i="2"/>
  <c r="N112" i="2" s="1"/>
  <c r="Q15" i="2" s="1"/>
  <c r="R15" i="2" s="1"/>
  <c r="K105" i="2"/>
  <c r="L105" i="2" s="1"/>
  <c r="J105" i="2"/>
  <c r="E105" i="2"/>
  <c r="G105" i="2" s="1"/>
  <c r="R104" i="2"/>
  <c r="R103" i="2"/>
  <c r="N103" i="2"/>
  <c r="K103" i="2"/>
  <c r="L103" i="2" s="1"/>
  <c r="J103" i="2"/>
  <c r="E103" i="2"/>
  <c r="G103" i="2" s="1"/>
  <c r="R102" i="2"/>
  <c r="N102" i="2"/>
  <c r="K102" i="2"/>
  <c r="L102" i="2" s="1"/>
  <c r="J102" i="2"/>
  <c r="E102" i="2"/>
  <c r="G102" i="2" s="1"/>
  <c r="R101" i="2"/>
  <c r="N101" i="2"/>
  <c r="K101" i="2"/>
  <c r="L101" i="2" s="1"/>
  <c r="J101" i="2"/>
  <c r="E101" i="2"/>
  <c r="G101" i="2" s="1"/>
  <c r="R100" i="2"/>
  <c r="N100" i="2"/>
  <c r="K100" i="2"/>
  <c r="L100" i="2" s="1"/>
  <c r="J100" i="2"/>
  <c r="E100" i="2"/>
  <c r="G100" i="2" s="1"/>
  <c r="R99" i="2"/>
  <c r="N99" i="2"/>
  <c r="K99" i="2"/>
  <c r="L99" i="2" s="1"/>
  <c r="J99" i="2"/>
  <c r="E99" i="2"/>
  <c r="G99" i="2" s="1"/>
  <c r="R98" i="2"/>
  <c r="N98" i="2"/>
  <c r="N104" i="2" s="1"/>
  <c r="Q14" i="2" s="1"/>
  <c r="R14" i="2" s="1"/>
  <c r="K98" i="2"/>
  <c r="J98" i="2"/>
  <c r="E98" i="2"/>
  <c r="R97" i="2"/>
  <c r="F97" i="2"/>
  <c r="F104" i="2" s="1"/>
  <c r="F112" i="2" s="1"/>
  <c r="R96" i="2"/>
  <c r="N96" i="2"/>
  <c r="K96" i="2"/>
  <c r="L96" i="2" s="1"/>
  <c r="J96" i="2"/>
  <c r="E96" i="2"/>
  <c r="G96" i="2" s="1"/>
  <c r="R95" i="2"/>
  <c r="N95" i="2"/>
  <c r="K95" i="2"/>
  <c r="L95" i="2" s="1"/>
  <c r="J95" i="2"/>
  <c r="E95" i="2"/>
  <c r="G95" i="2" s="1"/>
  <c r="R94" i="2"/>
  <c r="N94" i="2"/>
  <c r="K94" i="2"/>
  <c r="L94" i="2" s="1"/>
  <c r="J94" i="2"/>
  <c r="E94" i="2"/>
  <c r="G94" i="2" s="1"/>
  <c r="R93" i="2"/>
  <c r="N93" i="2"/>
  <c r="K93" i="2"/>
  <c r="L93" i="2" s="1"/>
  <c r="J93" i="2"/>
  <c r="E93" i="2"/>
  <c r="G93" i="2" s="1"/>
  <c r="R92" i="2"/>
  <c r="N92" i="2"/>
  <c r="K92" i="2"/>
  <c r="L92" i="2" s="1"/>
  <c r="J92" i="2"/>
  <c r="E92" i="2"/>
  <c r="G92" i="2" s="1"/>
  <c r="R91" i="2"/>
  <c r="N91" i="2"/>
  <c r="K91" i="2"/>
  <c r="L91" i="2" s="1"/>
  <c r="J91" i="2"/>
  <c r="E91" i="2"/>
  <c r="G91" i="2" s="1"/>
  <c r="R90" i="2"/>
  <c r="N90" i="2"/>
  <c r="K90" i="2"/>
  <c r="L90" i="2" s="1"/>
  <c r="J90" i="2"/>
  <c r="E90" i="2"/>
  <c r="G90" i="2" s="1"/>
  <c r="R89" i="2"/>
  <c r="N89" i="2"/>
  <c r="N97" i="2" s="1"/>
  <c r="Q13" i="2" s="1"/>
  <c r="R13" i="2" s="1"/>
  <c r="K89" i="2"/>
  <c r="J89" i="2"/>
  <c r="J97" i="2" s="1"/>
  <c r="E89" i="2"/>
  <c r="R88" i="2"/>
  <c r="R87" i="2"/>
  <c r="N87" i="2"/>
  <c r="K87" i="2"/>
  <c r="L87" i="2" s="1"/>
  <c r="J87" i="2"/>
  <c r="E87" i="2"/>
  <c r="G87" i="2" s="1"/>
  <c r="R86" i="2"/>
  <c r="N86" i="2"/>
  <c r="K86" i="2"/>
  <c r="L86" i="2" s="1"/>
  <c r="J86" i="2"/>
  <c r="E86" i="2"/>
  <c r="G86" i="2" s="1"/>
  <c r="R85" i="2"/>
  <c r="N85" i="2"/>
  <c r="K85" i="2"/>
  <c r="L85" i="2" s="1"/>
  <c r="J85" i="2"/>
  <c r="E85" i="2"/>
  <c r="G85" i="2" s="1"/>
  <c r="R84" i="2"/>
  <c r="N84" i="2"/>
  <c r="K84" i="2"/>
  <c r="L84" i="2" s="1"/>
  <c r="J84" i="2"/>
  <c r="E84" i="2"/>
  <c r="G84" i="2" s="1"/>
  <c r="R83" i="2"/>
  <c r="N83" i="2"/>
  <c r="K83" i="2"/>
  <c r="L83" i="2" s="1"/>
  <c r="J83" i="2"/>
  <c r="E83" i="2"/>
  <c r="G83" i="2" s="1"/>
  <c r="R82" i="2"/>
  <c r="N82" i="2"/>
  <c r="K82" i="2"/>
  <c r="L82" i="2" s="1"/>
  <c r="J82" i="2"/>
  <c r="E82" i="2"/>
  <c r="G82" i="2" s="1"/>
  <c r="R81" i="2"/>
  <c r="N81" i="2"/>
  <c r="N88" i="2" s="1"/>
  <c r="Q12" i="2" s="1"/>
  <c r="R12" i="2" s="1"/>
  <c r="K81" i="2"/>
  <c r="J81" i="2"/>
  <c r="J88" i="2" s="1"/>
  <c r="E81" i="2"/>
  <c r="R80" i="2"/>
  <c r="R79" i="2"/>
  <c r="N79" i="2"/>
  <c r="K79" i="2"/>
  <c r="L79" i="2" s="1"/>
  <c r="J79" i="2"/>
  <c r="E79" i="2"/>
  <c r="G79" i="2" s="1"/>
  <c r="R78" i="2"/>
  <c r="N78" i="2"/>
  <c r="K78" i="2"/>
  <c r="L78" i="2" s="1"/>
  <c r="J78" i="2"/>
  <c r="E78" i="2"/>
  <c r="G78" i="2" s="1"/>
  <c r="R77" i="2"/>
  <c r="N77" i="2"/>
  <c r="K77" i="2"/>
  <c r="L77" i="2" s="1"/>
  <c r="J77" i="2"/>
  <c r="E77" i="2"/>
  <c r="G77" i="2" s="1"/>
  <c r="R76" i="2"/>
  <c r="N76" i="2"/>
  <c r="K76" i="2"/>
  <c r="L76" i="2" s="1"/>
  <c r="J76" i="2"/>
  <c r="E76" i="2"/>
  <c r="G76" i="2" s="1"/>
  <c r="R75" i="2"/>
  <c r="N75" i="2"/>
  <c r="K75" i="2"/>
  <c r="L75" i="2" s="1"/>
  <c r="J75" i="2"/>
  <c r="E75" i="2"/>
  <c r="G75" i="2" s="1"/>
  <c r="R74" i="2"/>
  <c r="N74" i="2"/>
  <c r="K74" i="2"/>
  <c r="L74" i="2" s="1"/>
  <c r="J74" i="2"/>
  <c r="E74" i="2"/>
  <c r="G74" i="2" s="1"/>
  <c r="R73" i="2"/>
  <c r="N73" i="2"/>
  <c r="K73" i="2"/>
  <c r="J73" i="2"/>
  <c r="E73" i="2"/>
  <c r="G73" i="2" s="1"/>
  <c r="R72" i="2"/>
  <c r="N72" i="2"/>
  <c r="N80" i="2" s="1"/>
  <c r="Q11" i="2" s="1"/>
  <c r="R11" i="2" s="1"/>
  <c r="K72" i="2"/>
  <c r="L72" i="2" s="1"/>
  <c r="J72" i="2"/>
  <c r="J80" i="2" s="1"/>
  <c r="E72" i="2"/>
  <c r="R71" i="2"/>
  <c r="F71" i="2"/>
  <c r="R70" i="2"/>
  <c r="N70" i="2"/>
  <c r="K70" i="2"/>
  <c r="L70" i="2" s="1"/>
  <c r="J70" i="2"/>
  <c r="E70" i="2"/>
  <c r="G70" i="2" s="1"/>
  <c r="R69" i="2"/>
  <c r="N69" i="2"/>
  <c r="K69" i="2"/>
  <c r="L69" i="2" s="1"/>
  <c r="J69" i="2"/>
  <c r="E69" i="2"/>
  <c r="G69" i="2" s="1"/>
  <c r="R68" i="2"/>
  <c r="N68" i="2"/>
  <c r="K68" i="2"/>
  <c r="L68" i="2" s="1"/>
  <c r="J68" i="2"/>
  <c r="E68" i="2"/>
  <c r="G68" i="2" s="1"/>
  <c r="R67" i="2"/>
  <c r="N67" i="2"/>
  <c r="K67" i="2"/>
  <c r="L67" i="2" s="1"/>
  <c r="J67" i="2"/>
  <c r="E67" i="2"/>
  <c r="G67" i="2" s="1"/>
  <c r="R66" i="2"/>
  <c r="N66" i="2"/>
  <c r="K66" i="2"/>
  <c r="L66" i="2" s="1"/>
  <c r="J66" i="2"/>
  <c r="E66" i="2"/>
  <c r="G66" i="2" s="1"/>
  <c r="N65" i="2"/>
  <c r="K65" i="2"/>
  <c r="L65" i="2" s="1"/>
  <c r="J65" i="2"/>
  <c r="E65" i="2"/>
  <c r="G65" i="2" s="1"/>
  <c r="R64" i="2"/>
  <c r="N64" i="2"/>
  <c r="K64" i="2"/>
  <c r="L64" i="2" s="1"/>
  <c r="J64" i="2"/>
  <c r="E64" i="2"/>
  <c r="G64" i="2" s="1"/>
  <c r="R63" i="2"/>
  <c r="N63" i="2"/>
  <c r="K63" i="2"/>
  <c r="L63" i="2" s="1"/>
  <c r="J63" i="2"/>
  <c r="E63" i="2"/>
  <c r="G63" i="2" s="1"/>
  <c r="R62" i="2"/>
  <c r="N62" i="2"/>
  <c r="N71" i="2" s="1"/>
  <c r="Q10" i="2" s="1"/>
  <c r="R10" i="2" s="1"/>
  <c r="K62" i="2"/>
  <c r="J62" i="2"/>
  <c r="J71" i="2" s="1"/>
  <c r="E62" i="2"/>
  <c r="R61" i="2"/>
  <c r="R60" i="2"/>
  <c r="N60" i="2"/>
  <c r="K60" i="2"/>
  <c r="L60" i="2" s="1"/>
  <c r="J60" i="2"/>
  <c r="E60" i="2"/>
  <c r="G60" i="2" s="1"/>
  <c r="R59" i="2"/>
  <c r="N59" i="2"/>
  <c r="K59" i="2"/>
  <c r="L59" i="2" s="1"/>
  <c r="J59" i="2"/>
  <c r="E59" i="2"/>
  <c r="G59" i="2" s="1"/>
  <c r="N58" i="2"/>
  <c r="K58" i="2"/>
  <c r="L58" i="2" s="1"/>
  <c r="J58" i="2"/>
  <c r="E58" i="2"/>
  <c r="G58" i="2" s="1"/>
  <c r="R57" i="2"/>
  <c r="N57" i="2"/>
  <c r="K57" i="2"/>
  <c r="L57" i="2" s="1"/>
  <c r="J57" i="2"/>
  <c r="E57" i="2"/>
  <c r="G57" i="2" s="1"/>
  <c r="R56" i="2"/>
  <c r="N56" i="2"/>
  <c r="K56" i="2"/>
  <c r="L56" i="2" s="1"/>
  <c r="J56" i="2"/>
  <c r="E56" i="2"/>
  <c r="G56" i="2" s="1"/>
  <c r="R55" i="2"/>
  <c r="N55" i="2"/>
  <c r="K55" i="2"/>
  <c r="L55" i="2" s="1"/>
  <c r="J55" i="2"/>
  <c r="E55" i="2"/>
  <c r="G55" i="2" s="1"/>
  <c r="R54" i="2"/>
  <c r="N54" i="2"/>
  <c r="K54" i="2"/>
  <c r="L54" i="2" s="1"/>
  <c r="J54" i="2"/>
  <c r="E54" i="2"/>
  <c r="G54" i="2" s="1"/>
  <c r="R53" i="2"/>
  <c r="N53" i="2"/>
  <c r="K53" i="2"/>
  <c r="L53" i="2" s="1"/>
  <c r="J53" i="2"/>
  <c r="E53" i="2"/>
  <c r="G53" i="2" s="1"/>
  <c r="R52" i="2"/>
  <c r="N52" i="2"/>
  <c r="K52" i="2"/>
  <c r="L52" i="2" s="1"/>
  <c r="J52" i="2"/>
  <c r="E52" i="2"/>
  <c r="G52" i="2" s="1"/>
  <c r="R51" i="2"/>
  <c r="N51" i="2"/>
  <c r="K51" i="2"/>
  <c r="L51" i="2" s="1"/>
  <c r="J51" i="2"/>
  <c r="E51" i="2"/>
  <c r="G51" i="2" s="1"/>
  <c r="R50" i="2"/>
  <c r="N50" i="2"/>
  <c r="N61" i="2" s="1"/>
  <c r="Q8" i="2" s="1"/>
  <c r="R8" i="2" s="1"/>
  <c r="K50" i="2"/>
  <c r="J50" i="2"/>
  <c r="J61" i="2" s="1"/>
  <c r="E50" i="2"/>
  <c r="R49" i="2"/>
  <c r="F49" i="2"/>
  <c r="R48" i="2"/>
  <c r="N48" i="2"/>
  <c r="K48" i="2"/>
  <c r="L48" i="2" s="1"/>
  <c r="J48" i="2"/>
  <c r="E48" i="2"/>
  <c r="G48" i="2" s="1"/>
  <c r="R47" i="2"/>
  <c r="N47" i="2"/>
  <c r="K47" i="2"/>
  <c r="L47" i="2" s="1"/>
  <c r="J47" i="2"/>
  <c r="E47" i="2"/>
  <c r="G47" i="2" s="1"/>
  <c r="N46" i="2"/>
  <c r="K46" i="2"/>
  <c r="L46" i="2" s="1"/>
  <c r="J46" i="2"/>
  <c r="E46" i="2"/>
  <c r="G46" i="2" s="1"/>
  <c r="N45" i="2"/>
  <c r="K45" i="2"/>
  <c r="L45" i="2" s="1"/>
  <c r="J45" i="2"/>
  <c r="E45" i="2"/>
  <c r="G45" i="2" s="1"/>
  <c r="R44" i="2"/>
  <c r="N44" i="2"/>
  <c r="K44" i="2"/>
  <c r="L44" i="2" s="1"/>
  <c r="J44" i="2"/>
  <c r="E44" i="2"/>
  <c r="G44" i="2" s="1"/>
  <c r="R43" i="2"/>
  <c r="N43" i="2"/>
  <c r="K43" i="2"/>
  <c r="L43" i="2" s="1"/>
  <c r="J43" i="2"/>
  <c r="E43" i="2"/>
  <c r="G43" i="2" s="1"/>
  <c r="R42" i="2"/>
  <c r="N42" i="2"/>
  <c r="K42" i="2"/>
  <c r="L42" i="2" s="1"/>
  <c r="J42" i="2"/>
  <c r="E42" i="2"/>
  <c r="G42" i="2" s="1"/>
  <c r="R41" i="2"/>
  <c r="N41" i="2"/>
  <c r="K41" i="2"/>
  <c r="L41" i="2" s="1"/>
  <c r="J41" i="2"/>
  <c r="E41" i="2"/>
  <c r="G41" i="2" s="1"/>
  <c r="R40" i="2"/>
  <c r="N40" i="2"/>
  <c r="K40" i="2"/>
  <c r="L40" i="2" s="1"/>
  <c r="J40" i="2"/>
  <c r="E40" i="2"/>
  <c r="G40" i="2" s="1"/>
  <c r="R39" i="2"/>
  <c r="N39" i="2"/>
  <c r="N49" i="2" s="1"/>
  <c r="Q7" i="2" s="1"/>
  <c r="R7" i="2" s="1"/>
  <c r="K39" i="2"/>
  <c r="J39" i="2"/>
  <c r="J49" i="2" s="1"/>
  <c r="E39" i="2"/>
  <c r="R38" i="2"/>
  <c r="R37" i="2"/>
  <c r="N37" i="2"/>
  <c r="K37" i="2"/>
  <c r="L37" i="2" s="1"/>
  <c r="J37" i="2"/>
  <c r="E37" i="2"/>
  <c r="G37" i="2" s="1"/>
  <c r="R36" i="2"/>
  <c r="N36" i="2"/>
  <c r="K36" i="2"/>
  <c r="L36" i="2" s="1"/>
  <c r="J36" i="2"/>
  <c r="E36" i="2"/>
  <c r="G36" i="2" s="1"/>
  <c r="R35" i="2"/>
  <c r="N35" i="2"/>
  <c r="K35" i="2"/>
  <c r="L35" i="2" s="1"/>
  <c r="J35" i="2"/>
  <c r="E35" i="2"/>
  <c r="G35" i="2" s="1"/>
  <c r="R34" i="2"/>
  <c r="N34" i="2"/>
  <c r="K34" i="2"/>
  <c r="L34" i="2" s="1"/>
  <c r="J34" i="2"/>
  <c r="E34" i="2"/>
  <c r="G34" i="2" s="1"/>
  <c r="R33" i="2"/>
  <c r="N33" i="2"/>
  <c r="K33" i="2"/>
  <c r="L33" i="2" s="1"/>
  <c r="J33" i="2"/>
  <c r="E33" i="2"/>
  <c r="G33" i="2" s="1"/>
  <c r="R32" i="2"/>
  <c r="N32" i="2"/>
  <c r="K32" i="2"/>
  <c r="L32" i="2" s="1"/>
  <c r="J32" i="2"/>
  <c r="E32" i="2"/>
  <c r="G32" i="2" s="1"/>
  <c r="R31" i="2"/>
  <c r="N31" i="2"/>
  <c r="K31" i="2"/>
  <c r="L31" i="2" s="1"/>
  <c r="J31" i="2"/>
  <c r="E31" i="2"/>
  <c r="G31" i="2" s="1"/>
  <c r="N30" i="2"/>
  <c r="N38" i="2" s="1"/>
  <c r="Q6" i="2" s="1"/>
  <c r="R6" i="2" s="1"/>
  <c r="K30" i="2"/>
  <c r="J30" i="2"/>
  <c r="J38" i="2" s="1"/>
  <c r="E30" i="2"/>
  <c r="F29" i="2"/>
  <c r="N28" i="2"/>
  <c r="K28" i="2"/>
  <c r="L28" i="2" s="1"/>
  <c r="J28" i="2"/>
  <c r="E28" i="2"/>
  <c r="G28" i="2" s="1"/>
  <c r="N27" i="2"/>
  <c r="K27" i="2"/>
  <c r="L27" i="2" s="1"/>
  <c r="J27" i="2"/>
  <c r="E27" i="2"/>
  <c r="G27" i="2" s="1"/>
  <c r="N26" i="2"/>
  <c r="K26" i="2"/>
  <c r="L26" i="2" s="1"/>
  <c r="J26" i="2"/>
  <c r="E26" i="2"/>
  <c r="G26" i="2" s="1"/>
  <c r="N25" i="2"/>
  <c r="K25" i="2"/>
  <c r="L25" i="2" s="1"/>
  <c r="J25" i="2"/>
  <c r="E25" i="2"/>
  <c r="G25" i="2" s="1"/>
  <c r="N24" i="2"/>
  <c r="K24" i="2"/>
  <c r="L24" i="2" s="1"/>
  <c r="J24" i="2"/>
  <c r="E24" i="2"/>
  <c r="G24" i="2" s="1"/>
  <c r="N23" i="2"/>
  <c r="K23" i="2"/>
  <c r="L23" i="2" s="1"/>
  <c r="J23" i="2"/>
  <c r="E23" i="2"/>
  <c r="G23" i="2" s="1"/>
  <c r="N22" i="2"/>
  <c r="K22" i="2"/>
  <c r="L22" i="2" s="1"/>
  <c r="J22" i="2"/>
  <c r="E22" i="2"/>
  <c r="G22" i="2" s="1"/>
  <c r="N21" i="2"/>
  <c r="K21" i="2"/>
  <c r="L21" i="2" s="1"/>
  <c r="J21" i="2"/>
  <c r="E21" i="2"/>
  <c r="G21" i="2" s="1"/>
  <c r="N20" i="2"/>
  <c r="N29" i="2" s="1"/>
  <c r="Q5" i="2" s="1"/>
  <c r="R5" i="2" s="1"/>
  <c r="K20" i="2"/>
  <c r="J20" i="2"/>
  <c r="J29" i="2" s="1"/>
  <c r="E20" i="2"/>
  <c r="O18" i="2"/>
  <c r="O19" i="2" s="1"/>
  <c r="O20" i="2" s="1"/>
  <c r="O21" i="2" s="1"/>
  <c r="O22" i="2" s="1"/>
  <c r="O23" i="2" s="1"/>
  <c r="O24" i="2" s="1"/>
  <c r="O25" i="2" s="1"/>
  <c r="O26" i="2" s="1"/>
  <c r="N18" i="2"/>
  <c r="K18" i="2"/>
  <c r="L18" i="2" s="1"/>
  <c r="J18" i="2"/>
  <c r="E18" i="2"/>
  <c r="G18" i="2" s="1"/>
  <c r="N17" i="2"/>
  <c r="K17" i="2"/>
  <c r="L17" i="2" s="1"/>
  <c r="J17" i="2"/>
  <c r="E17" i="2"/>
  <c r="G17" i="2" s="1"/>
  <c r="N16" i="2"/>
  <c r="K16" i="2"/>
  <c r="L16" i="2" s="1"/>
  <c r="J16" i="2"/>
  <c r="E16" i="2"/>
  <c r="G16" i="2" s="1"/>
  <c r="N15" i="2"/>
  <c r="K15" i="2"/>
  <c r="L15" i="2" s="1"/>
  <c r="J15" i="2"/>
  <c r="E15" i="2"/>
  <c r="G15" i="2" s="1"/>
  <c r="N14" i="2"/>
  <c r="K14" i="2"/>
  <c r="L14" i="2" s="1"/>
  <c r="J14" i="2"/>
  <c r="E14" i="2"/>
  <c r="G14" i="2" s="1"/>
  <c r="N13" i="2"/>
  <c r="K13" i="2"/>
  <c r="L13" i="2" s="1"/>
  <c r="J13" i="2"/>
  <c r="E13" i="2"/>
  <c r="G13" i="2" s="1"/>
  <c r="N12" i="2"/>
  <c r="N19" i="2" s="1"/>
  <c r="Q4" i="2" s="1"/>
  <c r="K12" i="2"/>
  <c r="J12" i="2"/>
  <c r="J19" i="2" s="1"/>
  <c r="E12" i="2"/>
  <c r="G11" i="2"/>
  <c r="F11" i="2"/>
  <c r="F19" i="2" s="1"/>
  <c r="N10" i="2"/>
  <c r="K10" i="2"/>
  <c r="L10" i="2" s="1"/>
  <c r="J10" i="2"/>
  <c r="E10" i="2"/>
  <c r="G10" i="2" s="1"/>
  <c r="N9" i="2"/>
  <c r="K9" i="2"/>
  <c r="L9" i="2" s="1"/>
  <c r="J9" i="2"/>
  <c r="E9" i="2"/>
  <c r="G9" i="2" s="1"/>
  <c r="N8" i="2"/>
  <c r="K8" i="2"/>
  <c r="L8" i="2" s="1"/>
  <c r="J8" i="2"/>
  <c r="E8" i="2"/>
  <c r="G8" i="2" s="1"/>
  <c r="N7" i="2"/>
  <c r="K7" i="2"/>
  <c r="L7" i="2" s="1"/>
  <c r="J7" i="2"/>
  <c r="E7" i="2"/>
  <c r="G7" i="2" s="1"/>
  <c r="N6" i="2"/>
  <c r="K6" i="2"/>
  <c r="L6" i="2" s="1"/>
  <c r="J6" i="2"/>
  <c r="E6" i="2"/>
  <c r="G6" i="2" s="1"/>
  <c r="N5" i="2"/>
  <c r="K5" i="2"/>
  <c r="L5" i="2" s="1"/>
  <c r="J5" i="2"/>
  <c r="E5" i="2"/>
  <c r="G5" i="2" s="1"/>
  <c r="N4" i="2"/>
  <c r="K4" i="2"/>
  <c r="L4" i="2" s="1"/>
  <c r="J4" i="2"/>
  <c r="E4" i="2"/>
  <c r="G4" i="2" s="1"/>
  <c r="N3" i="2"/>
  <c r="N11" i="2" s="1"/>
  <c r="K3" i="2"/>
  <c r="J3" i="2"/>
  <c r="J11" i="2" s="1"/>
  <c r="E3" i="2"/>
  <c r="F336" i="1"/>
  <c r="N335" i="1"/>
  <c r="K335" i="1"/>
  <c r="L335" i="1" s="1"/>
  <c r="J335" i="1"/>
  <c r="E335" i="1"/>
  <c r="G335" i="1" s="1"/>
  <c r="N334" i="1"/>
  <c r="K334" i="1"/>
  <c r="L334" i="1" s="1"/>
  <c r="J334" i="1"/>
  <c r="E334" i="1"/>
  <c r="G334" i="1" s="1"/>
  <c r="N333" i="1"/>
  <c r="K333" i="1"/>
  <c r="L333" i="1" s="1"/>
  <c r="J333" i="1"/>
  <c r="E333" i="1"/>
  <c r="G333" i="1" s="1"/>
  <c r="N332" i="1"/>
  <c r="K332" i="1"/>
  <c r="L332" i="1" s="1"/>
  <c r="J332" i="1"/>
  <c r="E332" i="1"/>
  <c r="G332" i="1" s="1"/>
  <c r="N331" i="1"/>
  <c r="K331" i="1"/>
  <c r="L331" i="1" s="1"/>
  <c r="J331" i="1"/>
  <c r="E331" i="1"/>
  <c r="G331" i="1" s="1"/>
  <c r="N330" i="1"/>
  <c r="N336" i="1" s="1"/>
  <c r="Q235" i="1" s="1"/>
  <c r="R235" i="1" s="1"/>
  <c r="K330" i="1"/>
  <c r="J330" i="1"/>
  <c r="J336" i="1" s="1"/>
  <c r="E330" i="1"/>
  <c r="F329" i="1"/>
  <c r="N328" i="1"/>
  <c r="K328" i="1"/>
  <c r="L328" i="1" s="1"/>
  <c r="J328" i="1"/>
  <c r="E328" i="1"/>
  <c r="G328" i="1" s="1"/>
  <c r="N327" i="1"/>
  <c r="K327" i="1"/>
  <c r="L327" i="1" s="1"/>
  <c r="J327" i="1"/>
  <c r="E327" i="1"/>
  <c r="G327" i="1" s="1"/>
  <c r="N326" i="1"/>
  <c r="K326" i="1"/>
  <c r="L326" i="1" s="1"/>
  <c r="J326" i="1"/>
  <c r="E326" i="1"/>
  <c r="G326" i="1" s="1"/>
  <c r="N325" i="1"/>
  <c r="K325" i="1"/>
  <c r="L325" i="1" s="1"/>
  <c r="J325" i="1"/>
  <c r="E325" i="1"/>
  <c r="G325" i="1" s="1"/>
  <c r="N324" i="1"/>
  <c r="K324" i="1"/>
  <c r="L324" i="1" s="1"/>
  <c r="J324" i="1"/>
  <c r="E324" i="1"/>
  <c r="G324" i="1" s="1"/>
  <c r="N323" i="1"/>
  <c r="K323" i="1"/>
  <c r="L323" i="1" s="1"/>
  <c r="J323" i="1"/>
  <c r="E323" i="1"/>
  <c r="G323" i="1" s="1"/>
  <c r="N322" i="1"/>
  <c r="K322" i="1"/>
  <c r="L322" i="1" s="1"/>
  <c r="J322" i="1"/>
  <c r="E322" i="1"/>
  <c r="G322" i="1" s="1"/>
  <c r="N321" i="1"/>
  <c r="K321" i="1"/>
  <c r="L321" i="1" s="1"/>
  <c r="J321" i="1"/>
  <c r="E321" i="1"/>
  <c r="G321" i="1" s="1"/>
  <c r="N320" i="1"/>
  <c r="N329" i="1" s="1"/>
  <c r="Q234" i="1" s="1"/>
  <c r="R234" i="1" s="1"/>
  <c r="K320" i="1"/>
  <c r="J320" i="1"/>
  <c r="J329" i="1" s="1"/>
  <c r="E320" i="1"/>
  <c r="F319" i="1"/>
  <c r="N318" i="1"/>
  <c r="K318" i="1"/>
  <c r="L318" i="1" s="1"/>
  <c r="J318" i="1"/>
  <c r="E318" i="1"/>
  <c r="G318" i="1" s="1"/>
  <c r="N317" i="1"/>
  <c r="K317" i="1"/>
  <c r="L317" i="1" s="1"/>
  <c r="J317" i="1"/>
  <c r="E317" i="1"/>
  <c r="G317" i="1" s="1"/>
  <c r="N316" i="1"/>
  <c r="K316" i="1"/>
  <c r="L316" i="1" s="1"/>
  <c r="J316" i="1"/>
  <c r="E316" i="1"/>
  <c r="G316" i="1" s="1"/>
  <c r="N315" i="1"/>
  <c r="N319" i="1" s="1"/>
  <c r="Q233" i="1" s="1"/>
  <c r="R233" i="1" s="1"/>
  <c r="K315" i="1"/>
  <c r="L315" i="1" s="1"/>
  <c r="J315" i="1"/>
  <c r="E315" i="1"/>
  <c r="G315" i="1" s="1"/>
  <c r="K314" i="1"/>
  <c r="L314" i="1" s="1"/>
  <c r="J314" i="1"/>
  <c r="E314" i="1"/>
  <c r="G314" i="1" s="1"/>
  <c r="K313" i="1"/>
  <c r="J313" i="1"/>
  <c r="J319" i="1" s="1"/>
  <c r="E313" i="1"/>
  <c r="F312" i="1"/>
  <c r="N311" i="1"/>
  <c r="K311" i="1"/>
  <c r="L311" i="1" s="1"/>
  <c r="J311" i="1"/>
  <c r="E311" i="1"/>
  <c r="G311" i="1" s="1"/>
  <c r="N310" i="1"/>
  <c r="K310" i="1"/>
  <c r="L310" i="1" s="1"/>
  <c r="J310" i="1"/>
  <c r="E310" i="1"/>
  <c r="G310" i="1" s="1"/>
  <c r="N309" i="1"/>
  <c r="K309" i="1"/>
  <c r="L309" i="1" s="1"/>
  <c r="J309" i="1"/>
  <c r="E309" i="1"/>
  <c r="G309" i="1" s="1"/>
  <c r="N308" i="1"/>
  <c r="K308" i="1"/>
  <c r="L308" i="1" s="1"/>
  <c r="J308" i="1"/>
  <c r="E308" i="1"/>
  <c r="G308" i="1" s="1"/>
  <c r="N307" i="1"/>
  <c r="K307" i="1"/>
  <c r="L307" i="1" s="1"/>
  <c r="J307" i="1"/>
  <c r="E307" i="1"/>
  <c r="G307" i="1" s="1"/>
  <c r="N306" i="1"/>
  <c r="K306" i="1"/>
  <c r="L306" i="1" s="1"/>
  <c r="J306" i="1"/>
  <c r="E306" i="1"/>
  <c r="G306" i="1" s="1"/>
  <c r="N305" i="1"/>
  <c r="K305" i="1"/>
  <c r="L305" i="1" s="1"/>
  <c r="J305" i="1"/>
  <c r="E305" i="1"/>
  <c r="G305" i="1" s="1"/>
  <c r="N304" i="1"/>
  <c r="K304" i="1"/>
  <c r="L304" i="1" s="1"/>
  <c r="J304" i="1"/>
  <c r="E304" i="1"/>
  <c r="G304" i="1" s="1"/>
  <c r="N303" i="1"/>
  <c r="N312" i="1" s="1"/>
  <c r="Q232" i="1" s="1"/>
  <c r="R232" i="1" s="1"/>
  <c r="K303" i="1"/>
  <c r="J303" i="1"/>
  <c r="J312" i="1" s="1"/>
  <c r="E303" i="1"/>
  <c r="F302" i="1"/>
  <c r="N301" i="1"/>
  <c r="K301" i="1"/>
  <c r="L301" i="1" s="1"/>
  <c r="J301" i="1"/>
  <c r="E301" i="1"/>
  <c r="G301" i="1" s="1"/>
  <c r="N300" i="1"/>
  <c r="K300" i="1"/>
  <c r="L300" i="1" s="1"/>
  <c r="J300" i="1"/>
  <c r="E300" i="1"/>
  <c r="G300" i="1" s="1"/>
  <c r="N299" i="1"/>
  <c r="K299" i="1"/>
  <c r="L299" i="1" s="1"/>
  <c r="J299" i="1"/>
  <c r="E299" i="1"/>
  <c r="G299" i="1" s="1"/>
  <c r="N298" i="1"/>
  <c r="K298" i="1"/>
  <c r="L298" i="1" s="1"/>
  <c r="J298" i="1"/>
  <c r="E298" i="1"/>
  <c r="G298" i="1" s="1"/>
  <c r="N297" i="1"/>
  <c r="K297" i="1"/>
  <c r="L297" i="1" s="1"/>
  <c r="J297" i="1"/>
  <c r="E297" i="1"/>
  <c r="G297" i="1" s="1"/>
  <c r="N296" i="1"/>
  <c r="K296" i="1"/>
  <c r="L296" i="1" s="1"/>
  <c r="J296" i="1"/>
  <c r="E296" i="1"/>
  <c r="G296" i="1" s="1"/>
  <c r="N295" i="1"/>
  <c r="K295" i="1"/>
  <c r="L295" i="1" s="1"/>
  <c r="J295" i="1"/>
  <c r="E295" i="1"/>
  <c r="G295" i="1" s="1"/>
  <c r="N294" i="1"/>
  <c r="N302" i="1" s="1"/>
  <c r="Q231" i="1" s="1"/>
  <c r="R231" i="1" s="1"/>
  <c r="K294" i="1"/>
  <c r="J294" i="1"/>
  <c r="J302" i="1" s="1"/>
  <c r="E294" i="1"/>
  <c r="F293" i="1"/>
  <c r="N292" i="1"/>
  <c r="K292" i="1"/>
  <c r="L292" i="1" s="1"/>
  <c r="J292" i="1"/>
  <c r="E292" i="1"/>
  <c r="G292" i="1" s="1"/>
  <c r="N291" i="1"/>
  <c r="K291" i="1"/>
  <c r="L291" i="1" s="1"/>
  <c r="J291" i="1"/>
  <c r="E291" i="1"/>
  <c r="G291" i="1" s="1"/>
  <c r="N290" i="1"/>
  <c r="K290" i="1"/>
  <c r="L290" i="1" s="1"/>
  <c r="J290" i="1"/>
  <c r="E290" i="1"/>
  <c r="G290" i="1" s="1"/>
  <c r="N289" i="1"/>
  <c r="K289" i="1"/>
  <c r="L289" i="1" s="1"/>
  <c r="J289" i="1"/>
  <c r="E289" i="1"/>
  <c r="G289" i="1" s="1"/>
  <c r="N288" i="1"/>
  <c r="K288" i="1"/>
  <c r="L288" i="1" s="1"/>
  <c r="J288" i="1"/>
  <c r="E288" i="1"/>
  <c r="G288" i="1" s="1"/>
  <c r="N287" i="1"/>
  <c r="N293" i="1" s="1"/>
  <c r="Q227" i="1" s="1"/>
  <c r="R227" i="1" s="1"/>
  <c r="K287" i="1"/>
  <c r="J287" i="1"/>
  <c r="J293" i="1" s="1"/>
  <c r="E287" i="1"/>
  <c r="N286" i="1"/>
  <c r="F286" i="1"/>
  <c r="K285" i="1"/>
  <c r="L285" i="1" s="1"/>
  <c r="J285" i="1"/>
  <c r="E285" i="1"/>
  <c r="G285" i="1" s="1"/>
  <c r="K284" i="1"/>
  <c r="L284" i="1" s="1"/>
  <c r="J284" i="1"/>
  <c r="E284" i="1"/>
  <c r="G284" i="1" s="1"/>
  <c r="K283" i="1"/>
  <c r="L283" i="1" s="1"/>
  <c r="J283" i="1"/>
  <c r="E283" i="1"/>
  <c r="G283" i="1" s="1"/>
  <c r="K282" i="1"/>
  <c r="L282" i="1" s="1"/>
  <c r="J282" i="1"/>
  <c r="E282" i="1"/>
  <c r="G282" i="1" s="1"/>
  <c r="J281" i="1"/>
  <c r="L281" i="1" s="1"/>
  <c r="E281" i="1"/>
  <c r="G281" i="1" s="1"/>
  <c r="K280" i="1"/>
  <c r="L280" i="1" s="1"/>
  <c r="J280" i="1"/>
  <c r="E280" i="1"/>
  <c r="G280" i="1" s="1"/>
  <c r="K279" i="1"/>
  <c r="L279" i="1" s="1"/>
  <c r="J279" i="1"/>
  <c r="E279" i="1"/>
  <c r="G279" i="1" s="1"/>
  <c r="K278" i="1"/>
  <c r="J278" i="1"/>
  <c r="J286" i="1" s="1"/>
  <c r="E278" i="1"/>
  <c r="F277" i="1"/>
  <c r="N276" i="1"/>
  <c r="N277" i="1" s="1"/>
  <c r="Q228" i="1" s="1"/>
  <c r="R228" i="1" s="1"/>
  <c r="K276" i="1"/>
  <c r="L276" i="1" s="1"/>
  <c r="J276" i="1"/>
  <c r="E276" i="1"/>
  <c r="G276" i="1" s="1"/>
  <c r="K275" i="1"/>
  <c r="L275" i="1" s="1"/>
  <c r="J275" i="1"/>
  <c r="K274" i="1"/>
  <c r="L274" i="1" s="1"/>
  <c r="J274" i="1"/>
  <c r="E274" i="1"/>
  <c r="G274" i="1" s="1"/>
  <c r="K273" i="1"/>
  <c r="L273" i="1" s="1"/>
  <c r="J273" i="1"/>
  <c r="E273" i="1"/>
  <c r="G273" i="1" s="1"/>
  <c r="K272" i="1"/>
  <c r="L272" i="1" s="1"/>
  <c r="J272" i="1"/>
  <c r="E272" i="1"/>
  <c r="G272" i="1" s="1"/>
  <c r="K271" i="1"/>
  <c r="L271" i="1" s="1"/>
  <c r="J271" i="1"/>
  <c r="E271" i="1"/>
  <c r="G271" i="1" s="1"/>
  <c r="K270" i="1"/>
  <c r="J270" i="1"/>
  <c r="E270" i="1"/>
  <c r="G270" i="1" s="1"/>
  <c r="J269" i="1"/>
  <c r="E269" i="1"/>
  <c r="N268" i="1"/>
  <c r="F268" i="1"/>
  <c r="K267" i="1"/>
  <c r="L267" i="1" s="1"/>
  <c r="J267" i="1"/>
  <c r="E267" i="1"/>
  <c r="G267" i="1" s="1"/>
  <c r="K266" i="1"/>
  <c r="L266" i="1" s="1"/>
  <c r="J266" i="1"/>
  <c r="E266" i="1"/>
  <c r="G266" i="1" s="1"/>
  <c r="K265" i="1"/>
  <c r="L265" i="1" s="1"/>
  <c r="J265" i="1"/>
  <c r="E265" i="1"/>
  <c r="G265" i="1" s="1"/>
  <c r="K264" i="1"/>
  <c r="L264" i="1" s="1"/>
  <c r="J264" i="1"/>
  <c r="E264" i="1"/>
  <c r="G264" i="1" s="1"/>
  <c r="K263" i="1"/>
  <c r="L263" i="1" s="1"/>
  <c r="J263" i="1"/>
  <c r="E263" i="1"/>
  <c r="G263" i="1" s="1"/>
  <c r="K262" i="1"/>
  <c r="L262" i="1" s="1"/>
  <c r="J262" i="1"/>
  <c r="E262" i="1"/>
  <c r="G262" i="1" s="1"/>
  <c r="K261" i="1"/>
  <c r="L261" i="1" s="1"/>
  <c r="J261" i="1"/>
  <c r="E261" i="1"/>
  <c r="G261" i="1" s="1"/>
  <c r="K260" i="1"/>
  <c r="J260" i="1"/>
  <c r="J268" i="1" s="1"/>
  <c r="E260" i="1"/>
  <c r="F259" i="1"/>
  <c r="K258" i="1"/>
  <c r="J258" i="1"/>
  <c r="E258" i="1"/>
  <c r="G258" i="1" s="1"/>
  <c r="K257" i="1"/>
  <c r="J257" i="1"/>
  <c r="E257" i="1"/>
  <c r="G257" i="1" s="1"/>
  <c r="N256" i="1"/>
  <c r="K256" i="1"/>
  <c r="L256" i="1" s="1"/>
  <c r="J256" i="1"/>
  <c r="E256" i="1"/>
  <c r="G256" i="1" s="1"/>
  <c r="N255" i="1"/>
  <c r="K255" i="1"/>
  <c r="L255" i="1" s="1"/>
  <c r="J255" i="1"/>
  <c r="E255" i="1"/>
  <c r="G255" i="1" s="1"/>
  <c r="N254" i="1"/>
  <c r="K254" i="1"/>
  <c r="L254" i="1" s="1"/>
  <c r="J254" i="1"/>
  <c r="E254" i="1"/>
  <c r="G254" i="1" s="1"/>
  <c r="N253" i="1"/>
  <c r="K253" i="1"/>
  <c r="J253" i="1"/>
  <c r="J259" i="1" s="1"/>
  <c r="E253" i="1"/>
  <c r="F252" i="1"/>
  <c r="N251" i="1"/>
  <c r="K251" i="1"/>
  <c r="L251" i="1" s="1"/>
  <c r="J251" i="1"/>
  <c r="E251" i="1"/>
  <c r="G251" i="1" s="1"/>
  <c r="N250" i="1"/>
  <c r="K250" i="1"/>
  <c r="L250" i="1" s="1"/>
  <c r="J250" i="1"/>
  <c r="E250" i="1"/>
  <c r="G250" i="1" s="1"/>
  <c r="N249" i="1"/>
  <c r="K249" i="1"/>
  <c r="L249" i="1" s="1"/>
  <c r="J249" i="1"/>
  <c r="E249" i="1"/>
  <c r="G249" i="1" s="1"/>
  <c r="K248" i="1"/>
  <c r="J248" i="1"/>
  <c r="E248" i="1"/>
  <c r="N247" i="1"/>
  <c r="K247" i="1"/>
  <c r="J247" i="1"/>
  <c r="J252" i="1" s="1"/>
  <c r="G247" i="1"/>
  <c r="G252" i="1" s="1"/>
  <c r="F246" i="1"/>
  <c r="N245" i="1"/>
  <c r="K245" i="1"/>
  <c r="L245" i="1" s="1"/>
  <c r="J245" i="1"/>
  <c r="E245" i="1"/>
  <c r="G245" i="1" s="1"/>
  <c r="K244" i="1"/>
  <c r="J244" i="1"/>
  <c r="E244" i="1"/>
  <c r="G244" i="1" s="1"/>
  <c r="K243" i="1"/>
  <c r="J243" i="1"/>
  <c r="E243" i="1"/>
  <c r="G243" i="1" s="1"/>
  <c r="K242" i="1"/>
  <c r="J242" i="1"/>
  <c r="E242" i="1"/>
  <c r="G242" i="1" s="1"/>
  <c r="K241" i="1"/>
  <c r="J241" i="1"/>
  <c r="J246" i="1" s="1"/>
  <c r="E241" i="1"/>
  <c r="K240" i="1"/>
  <c r="F240" i="1"/>
  <c r="N239" i="1"/>
  <c r="J239" i="1"/>
  <c r="L239" i="1" s="1"/>
  <c r="E239" i="1"/>
  <c r="G239" i="1" s="1"/>
  <c r="N238" i="1"/>
  <c r="J238" i="1"/>
  <c r="L238" i="1" s="1"/>
  <c r="E238" i="1"/>
  <c r="G238" i="1" s="1"/>
  <c r="N237" i="1"/>
  <c r="J237" i="1"/>
  <c r="L237" i="1" s="1"/>
  <c r="E237" i="1"/>
  <c r="G237" i="1" s="1"/>
  <c r="N236" i="1"/>
  <c r="J236" i="1"/>
  <c r="L236" i="1" s="1"/>
  <c r="E236" i="1"/>
  <c r="G236" i="1" s="1"/>
  <c r="N235" i="1"/>
  <c r="N240" i="1" s="1"/>
  <c r="Q223" i="1" s="1"/>
  <c r="R223" i="1" s="1"/>
  <c r="J235" i="1"/>
  <c r="E235" i="1"/>
  <c r="F234" i="1"/>
  <c r="K233" i="1"/>
  <c r="J233" i="1"/>
  <c r="E233" i="1"/>
  <c r="G233" i="1" s="1"/>
  <c r="K232" i="1"/>
  <c r="J232" i="1"/>
  <c r="E232" i="1"/>
  <c r="G232" i="1" s="1"/>
  <c r="N231" i="1"/>
  <c r="K231" i="1"/>
  <c r="L231" i="1" s="1"/>
  <c r="J231" i="1"/>
  <c r="E231" i="1"/>
  <c r="G231" i="1" s="1"/>
  <c r="Q230" i="1"/>
  <c r="R230" i="1" s="1"/>
  <c r="N230" i="1"/>
  <c r="K230" i="1"/>
  <c r="L230" i="1" s="1"/>
  <c r="J230" i="1"/>
  <c r="E230" i="1"/>
  <c r="G230" i="1" s="1"/>
  <c r="Q229" i="1"/>
  <c r="R229" i="1" s="1"/>
  <c r="N229" i="1"/>
  <c r="K229" i="1"/>
  <c r="L229" i="1" s="1"/>
  <c r="J229" i="1"/>
  <c r="E229" i="1"/>
  <c r="G229" i="1" s="1"/>
  <c r="N228" i="1"/>
  <c r="K228" i="1"/>
  <c r="J228" i="1"/>
  <c r="J234" i="1" s="1"/>
  <c r="E228" i="1"/>
  <c r="F227" i="1"/>
  <c r="K226" i="1"/>
  <c r="J226" i="1"/>
  <c r="E226" i="1"/>
  <c r="G226" i="1" s="1"/>
  <c r="K225" i="1"/>
  <c r="J225" i="1"/>
  <c r="E225" i="1"/>
  <c r="G225" i="1" s="1"/>
  <c r="K224" i="1"/>
  <c r="J224" i="1"/>
  <c r="E224" i="1"/>
  <c r="G224" i="1" s="1"/>
  <c r="K223" i="1"/>
  <c r="J223" i="1"/>
  <c r="E223" i="1"/>
  <c r="G223" i="1" s="1"/>
  <c r="N222" i="1"/>
  <c r="J222" i="1"/>
  <c r="E222" i="1"/>
  <c r="R218" i="1"/>
  <c r="K216" i="1"/>
  <c r="J216" i="1"/>
  <c r="E216" i="1"/>
  <c r="G216" i="1" s="1"/>
  <c r="K215" i="1"/>
  <c r="J215" i="1"/>
  <c r="E215" i="1"/>
  <c r="G215" i="1" s="1"/>
  <c r="K214" i="1"/>
  <c r="J214" i="1"/>
  <c r="E214" i="1"/>
  <c r="G214" i="1" s="1"/>
  <c r="K213" i="1"/>
  <c r="L213" i="1" s="1"/>
  <c r="J213" i="1"/>
  <c r="E213" i="1"/>
  <c r="G213" i="1" s="1"/>
  <c r="N212" i="1"/>
  <c r="K212" i="1"/>
  <c r="L212" i="1" s="1"/>
  <c r="J212" i="1"/>
  <c r="E212" i="1"/>
  <c r="G212" i="1" s="1"/>
  <c r="N211" i="1"/>
  <c r="K211" i="1"/>
  <c r="L211" i="1" s="1"/>
  <c r="J211" i="1"/>
  <c r="E211" i="1"/>
  <c r="G211" i="1" s="1"/>
  <c r="N210" i="1"/>
  <c r="K210" i="1"/>
  <c r="J210" i="1"/>
  <c r="E210" i="1"/>
  <c r="G210" i="1" s="1"/>
  <c r="R208" i="1"/>
  <c r="K208" i="1"/>
  <c r="J208" i="1"/>
  <c r="E208" i="1"/>
  <c r="G208" i="1" s="1"/>
  <c r="K207" i="1"/>
  <c r="J207" i="1"/>
  <c r="E207" i="1"/>
  <c r="G207" i="1" s="1"/>
  <c r="K206" i="1"/>
  <c r="J206" i="1"/>
  <c r="E206" i="1"/>
  <c r="G206" i="1" s="1"/>
  <c r="K205" i="1"/>
  <c r="L205" i="1" s="1"/>
  <c r="J205" i="1"/>
  <c r="E205" i="1"/>
  <c r="G205" i="1" s="1"/>
  <c r="K204" i="1"/>
  <c r="J204" i="1"/>
  <c r="E204" i="1"/>
  <c r="G204" i="1" s="1"/>
  <c r="K203" i="1"/>
  <c r="J203" i="1"/>
  <c r="E203" i="1"/>
  <c r="G203" i="1" s="1"/>
  <c r="K202" i="1"/>
  <c r="J202" i="1"/>
  <c r="E202" i="1"/>
  <c r="R200" i="1"/>
  <c r="K200" i="1"/>
  <c r="J200" i="1"/>
  <c r="E200" i="1"/>
  <c r="G200" i="1" s="1"/>
  <c r="R199" i="1"/>
  <c r="K199" i="1"/>
  <c r="J199" i="1"/>
  <c r="E199" i="1"/>
  <c r="G199" i="1" s="1"/>
  <c r="R198" i="1"/>
  <c r="K198" i="1"/>
  <c r="J198" i="1"/>
  <c r="E198" i="1"/>
  <c r="G198" i="1" s="1"/>
  <c r="R197" i="1"/>
  <c r="K197" i="1"/>
  <c r="L197" i="1" s="1"/>
  <c r="J197" i="1"/>
  <c r="E197" i="1"/>
  <c r="G197" i="1" s="1"/>
  <c r="R196" i="1"/>
  <c r="N196" i="1"/>
  <c r="K196" i="1"/>
  <c r="L196" i="1" s="1"/>
  <c r="J196" i="1"/>
  <c r="E196" i="1"/>
  <c r="G196" i="1" s="1"/>
  <c r="R195" i="1"/>
  <c r="N195" i="1"/>
  <c r="K195" i="1"/>
  <c r="L195" i="1" s="1"/>
  <c r="J195" i="1"/>
  <c r="E195" i="1"/>
  <c r="G195" i="1" s="1"/>
  <c r="R194" i="1"/>
  <c r="N194" i="1"/>
  <c r="K194" i="1"/>
  <c r="J194" i="1"/>
  <c r="E194" i="1"/>
  <c r="F193" i="1"/>
  <c r="F201" i="1" s="1"/>
  <c r="F209" i="1" s="1"/>
  <c r="F217" i="1" s="1"/>
  <c r="N192" i="1"/>
  <c r="J192" i="1"/>
  <c r="L192" i="1" s="1"/>
  <c r="E192" i="1"/>
  <c r="G192" i="1" s="1"/>
  <c r="N191" i="1"/>
  <c r="J191" i="1"/>
  <c r="L191" i="1" s="1"/>
  <c r="E191" i="1"/>
  <c r="G191" i="1" s="1"/>
  <c r="N190" i="1"/>
  <c r="J190" i="1"/>
  <c r="L190" i="1" s="1"/>
  <c r="E190" i="1"/>
  <c r="G190" i="1" s="1"/>
  <c r="K189" i="1"/>
  <c r="L189" i="1" s="1"/>
  <c r="J189" i="1"/>
  <c r="E189" i="1"/>
  <c r="G189" i="1" s="1"/>
  <c r="K188" i="1"/>
  <c r="J188" i="1"/>
  <c r="E188" i="1"/>
  <c r="K187" i="1"/>
  <c r="J187" i="1"/>
  <c r="E187" i="1"/>
  <c r="G187" i="1" s="1"/>
  <c r="K186" i="1"/>
  <c r="J186" i="1"/>
  <c r="E186" i="1"/>
  <c r="G186" i="1" s="1"/>
  <c r="K185" i="1"/>
  <c r="J185" i="1"/>
  <c r="J193" i="1" s="1"/>
  <c r="E185" i="1"/>
  <c r="F184" i="1"/>
  <c r="K183" i="1"/>
  <c r="J183" i="1"/>
  <c r="E183" i="1"/>
  <c r="G183" i="1" s="1"/>
  <c r="K182" i="1"/>
  <c r="J182" i="1"/>
  <c r="E182" i="1"/>
  <c r="G182" i="1" s="1"/>
  <c r="K181" i="1"/>
  <c r="J181" i="1"/>
  <c r="E181" i="1"/>
  <c r="G181" i="1" s="1"/>
  <c r="K180" i="1"/>
  <c r="L180" i="1" s="1"/>
  <c r="J180" i="1"/>
  <c r="E180" i="1"/>
  <c r="G180" i="1" s="1"/>
  <c r="N179" i="1"/>
  <c r="K179" i="1"/>
  <c r="L179" i="1" s="1"/>
  <c r="J179" i="1"/>
  <c r="E179" i="1"/>
  <c r="G179" i="1" s="1"/>
  <c r="N178" i="1"/>
  <c r="K178" i="1"/>
  <c r="L178" i="1" s="1"/>
  <c r="J178" i="1"/>
  <c r="E178" i="1"/>
  <c r="G178" i="1" s="1"/>
  <c r="N177" i="1"/>
  <c r="K177" i="1"/>
  <c r="L177" i="1" s="1"/>
  <c r="J177" i="1"/>
  <c r="E177" i="1"/>
  <c r="G177" i="1" s="1"/>
  <c r="N176" i="1"/>
  <c r="K176" i="1"/>
  <c r="J176" i="1"/>
  <c r="J184" i="1" s="1"/>
  <c r="E176" i="1"/>
  <c r="R175" i="1"/>
  <c r="F175" i="1"/>
  <c r="R174" i="1"/>
  <c r="K174" i="1"/>
  <c r="J174" i="1"/>
  <c r="E174" i="1"/>
  <c r="G174" i="1" s="1"/>
  <c r="R173" i="1"/>
  <c r="N173" i="1"/>
  <c r="K173" i="1"/>
  <c r="L173" i="1" s="1"/>
  <c r="J173" i="1"/>
  <c r="E173" i="1"/>
  <c r="G173" i="1" s="1"/>
  <c r="R172" i="1"/>
  <c r="N172" i="1"/>
  <c r="K172" i="1"/>
  <c r="L172" i="1" s="1"/>
  <c r="J172" i="1"/>
  <c r="E172" i="1"/>
  <c r="G172" i="1" s="1"/>
  <c r="R171" i="1"/>
  <c r="K171" i="1"/>
  <c r="L171" i="1" s="1"/>
  <c r="J171" i="1"/>
  <c r="E171" i="1"/>
  <c r="G171" i="1" s="1"/>
  <c r="R170" i="1"/>
  <c r="K170" i="1"/>
  <c r="L170" i="1" s="1"/>
  <c r="J170" i="1"/>
  <c r="E170" i="1"/>
  <c r="G170" i="1" s="1"/>
  <c r="R169" i="1"/>
  <c r="N169" i="1"/>
  <c r="K169" i="1"/>
  <c r="L169" i="1" s="1"/>
  <c r="J169" i="1"/>
  <c r="E169" i="1"/>
  <c r="G169" i="1" s="1"/>
  <c r="R168" i="1"/>
  <c r="N168" i="1"/>
  <c r="K168" i="1"/>
  <c r="L168" i="1" s="1"/>
  <c r="J168" i="1"/>
  <c r="E168" i="1"/>
  <c r="G168" i="1" s="1"/>
  <c r="R167" i="1"/>
  <c r="N167" i="1"/>
  <c r="K167" i="1"/>
  <c r="J167" i="1"/>
  <c r="J175" i="1" s="1"/>
  <c r="E167" i="1"/>
  <c r="R166" i="1"/>
  <c r="R165" i="1"/>
  <c r="K165" i="1"/>
  <c r="J165" i="1"/>
  <c r="E165" i="1"/>
  <c r="G165" i="1" s="1"/>
  <c r="R164" i="1"/>
  <c r="N164" i="1"/>
  <c r="K164" i="1"/>
  <c r="L164" i="1" s="1"/>
  <c r="J164" i="1"/>
  <c r="E164" i="1"/>
  <c r="G164" i="1" s="1"/>
  <c r="R163" i="1"/>
  <c r="N163" i="1"/>
  <c r="K163" i="1"/>
  <c r="L163" i="1" s="1"/>
  <c r="J163" i="1"/>
  <c r="E163" i="1"/>
  <c r="G163" i="1" s="1"/>
  <c r="R162" i="1"/>
  <c r="J162" i="1"/>
  <c r="L162" i="1" s="1"/>
  <c r="E162" i="1"/>
  <c r="G162" i="1" s="1"/>
  <c r="R161" i="1"/>
  <c r="J161" i="1"/>
  <c r="L161" i="1" s="1"/>
  <c r="E161" i="1"/>
  <c r="G161" i="1" s="1"/>
  <c r="R160" i="1"/>
  <c r="K160" i="1"/>
  <c r="L160" i="1" s="1"/>
  <c r="J160" i="1"/>
  <c r="E160" i="1"/>
  <c r="G160" i="1" s="1"/>
  <c r="R159" i="1"/>
  <c r="K159" i="1"/>
  <c r="L159" i="1" s="1"/>
  <c r="J159" i="1"/>
  <c r="E159" i="1"/>
  <c r="G159" i="1" s="1"/>
  <c r="R158" i="1"/>
  <c r="K158" i="1"/>
  <c r="J158" i="1"/>
  <c r="J166" i="1" s="1"/>
  <c r="E158" i="1"/>
  <c r="R157" i="1"/>
  <c r="F157" i="1"/>
  <c r="R156" i="1"/>
  <c r="K156" i="1"/>
  <c r="J156" i="1"/>
  <c r="E156" i="1"/>
  <c r="G156" i="1" s="1"/>
  <c r="R155" i="1"/>
  <c r="N155" i="1"/>
  <c r="K155" i="1"/>
  <c r="J155" i="1"/>
  <c r="E155" i="1"/>
  <c r="G155" i="1" s="1"/>
  <c r="R154" i="1"/>
  <c r="N154" i="1"/>
  <c r="J154" i="1"/>
  <c r="L154" i="1" s="1"/>
  <c r="E154" i="1"/>
  <c r="G154" i="1" s="1"/>
  <c r="R153" i="1"/>
  <c r="N153" i="1"/>
  <c r="J153" i="1"/>
  <c r="L153" i="1" s="1"/>
  <c r="E153" i="1"/>
  <c r="G153" i="1" s="1"/>
  <c r="R152" i="1"/>
  <c r="N152" i="1"/>
  <c r="J152" i="1"/>
  <c r="L152" i="1" s="1"/>
  <c r="E152" i="1"/>
  <c r="G152" i="1" s="1"/>
  <c r="R151" i="1"/>
  <c r="N151" i="1"/>
  <c r="J151" i="1"/>
  <c r="L151" i="1" s="1"/>
  <c r="E151" i="1"/>
  <c r="G151" i="1" s="1"/>
  <c r="R150" i="1"/>
  <c r="N150" i="1"/>
  <c r="J150" i="1"/>
  <c r="L150" i="1" s="1"/>
  <c r="G150" i="1"/>
  <c r="E150" i="1"/>
  <c r="R149" i="1"/>
  <c r="N149" i="1"/>
  <c r="J149" i="1"/>
  <c r="E149" i="1"/>
  <c r="R148" i="1"/>
  <c r="F148" i="1"/>
  <c r="J147" i="1"/>
  <c r="L147" i="1" s="1"/>
  <c r="E147" i="1"/>
  <c r="G147" i="1" s="1"/>
  <c r="J146" i="1"/>
  <c r="L146" i="1" s="1"/>
  <c r="E146" i="1"/>
  <c r="G146" i="1" s="1"/>
  <c r="J145" i="1"/>
  <c r="L145" i="1" s="1"/>
  <c r="E145" i="1"/>
  <c r="G145" i="1" s="1"/>
  <c r="R144" i="1"/>
  <c r="J144" i="1"/>
  <c r="L144" i="1" s="1"/>
  <c r="E144" i="1"/>
  <c r="G144" i="1" s="1"/>
  <c r="R143" i="1"/>
  <c r="J143" i="1"/>
  <c r="L143" i="1" s="1"/>
  <c r="E143" i="1"/>
  <c r="G143" i="1" s="1"/>
  <c r="R142" i="1"/>
  <c r="N142" i="1"/>
  <c r="J142" i="1"/>
  <c r="L142" i="1" s="1"/>
  <c r="E142" i="1"/>
  <c r="G142" i="1" s="1"/>
  <c r="R141" i="1"/>
  <c r="N141" i="1"/>
  <c r="K141" i="1"/>
  <c r="L141" i="1" s="1"/>
  <c r="J141" i="1"/>
  <c r="E141" i="1"/>
  <c r="G141" i="1" s="1"/>
  <c r="R140" i="1"/>
  <c r="N140" i="1"/>
  <c r="K140" i="1"/>
  <c r="L140" i="1" s="1"/>
  <c r="J140" i="1"/>
  <c r="E140" i="1"/>
  <c r="G140" i="1" s="1"/>
  <c r="R139" i="1"/>
  <c r="N139" i="1"/>
  <c r="K139" i="1"/>
  <c r="L139" i="1" s="1"/>
  <c r="J139" i="1"/>
  <c r="E139" i="1"/>
  <c r="G139" i="1" s="1"/>
  <c r="R138" i="1"/>
  <c r="N138" i="1"/>
  <c r="K138" i="1"/>
  <c r="L138" i="1" s="1"/>
  <c r="J138" i="1"/>
  <c r="E138" i="1"/>
  <c r="G138" i="1" s="1"/>
  <c r="R137" i="1"/>
  <c r="N137" i="1"/>
  <c r="N148" i="1" s="1"/>
  <c r="Q18" i="1" s="1"/>
  <c r="R18" i="1" s="1"/>
  <c r="K137" i="1"/>
  <c r="J137" i="1"/>
  <c r="J148" i="1" s="1"/>
  <c r="E137" i="1"/>
  <c r="N135" i="1"/>
  <c r="K135" i="1"/>
  <c r="L135" i="1" s="1"/>
  <c r="J135" i="1"/>
  <c r="E135" i="1"/>
  <c r="G135" i="1" s="1"/>
  <c r="N134" i="1"/>
  <c r="K134" i="1"/>
  <c r="L134" i="1" s="1"/>
  <c r="J134" i="1"/>
  <c r="G134" i="1"/>
  <c r="E134" i="1"/>
  <c r="N133" i="1"/>
  <c r="K133" i="1"/>
  <c r="L133" i="1" s="1"/>
  <c r="J133" i="1"/>
  <c r="E133" i="1"/>
  <c r="G133" i="1" s="1"/>
  <c r="N132" i="1"/>
  <c r="L132" i="1"/>
  <c r="K132" i="1"/>
  <c r="J132" i="1"/>
  <c r="E132" i="1"/>
  <c r="G132" i="1" s="1"/>
  <c r="N131" i="1"/>
  <c r="K131" i="1"/>
  <c r="L131" i="1" s="1"/>
  <c r="J131" i="1"/>
  <c r="E131" i="1"/>
  <c r="G131" i="1" s="1"/>
  <c r="N130" i="1"/>
  <c r="K130" i="1"/>
  <c r="L130" i="1" s="1"/>
  <c r="J130" i="1"/>
  <c r="E130" i="1"/>
  <c r="G130" i="1" s="1"/>
  <c r="N129" i="1"/>
  <c r="N136" i="1" s="1"/>
  <c r="Q26" i="1" s="1"/>
  <c r="R26" i="1" s="1"/>
  <c r="K129" i="1"/>
  <c r="J129" i="1"/>
  <c r="J136" i="1" s="1"/>
  <c r="E129" i="1"/>
  <c r="R128" i="1"/>
  <c r="F128" i="1"/>
  <c r="F136" i="1" s="1"/>
  <c r="R127" i="1"/>
  <c r="N127" i="1"/>
  <c r="K127" i="1"/>
  <c r="L127" i="1" s="1"/>
  <c r="J127" i="1"/>
  <c r="E127" i="1"/>
  <c r="G127" i="1" s="1"/>
  <c r="R126" i="1"/>
  <c r="N126" i="1"/>
  <c r="K126" i="1"/>
  <c r="L126" i="1" s="1"/>
  <c r="J126" i="1"/>
  <c r="E126" i="1"/>
  <c r="G126" i="1" s="1"/>
  <c r="R125" i="1"/>
  <c r="N125" i="1"/>
  <c r="K125" i="1"/>
  <c r="L125" i="1" s="1"/>
  <c r="J125" i="1"/>
  <c r="E125" i="1"/>
  <c r="G125" i="1" s="1"/>
  <c r="R124" i="1"/>
  <c r="N124" i="1"/>
  <c r="K124" i="1"/>
  <c r="L124" i="1" s="1"/>
  <c r="J124" i="1"/>
  <c r="E124" i="1"/>
  <c r="G124" i="1" s="1"/>
  <c r="R123" i="1"/>
  <c r="N123" i="1"/>
  <c r="K123" i="1"/>
  <c r="L123" i="1" s="1"/>
  <c r="J123" i="1"/>
  <c r="E123" i="1"/>
  <c r="G123" i="1" s="1"/>
  <c r="R122" i="1"/>
  <c r="N122" i="1"/>
  <c r="K122" i="1"/>
  <c r="L122" i="1" s="1"/>
  <c r="J122" i="1"/>
  <c r="E122" i="1"/>
  <c r="G122" i="1" s="1"/>
  <c r="R121" i="1"/>
  <c r="N121" i="1"/>
  <c r="N128" i="1" s="1"/>
  <c r="Q17" i="1" s="1"/>
  <c r="R17" i="1" s="1"/>
  <c r="K121" i="1"/>
  <c r="J121" i="1"/>
  <c r="J128" i="1" s="1"/>
  <c r="E121" i="1"/>
  <c r="R120" i="1"/>
  <c r="R119" i="1"/>
  <c r="N119" i="1"/>
  <c r="K119" i="1"/>
  <c r="L119" i="1" s="1"/>
  <c r="J119" i="1"/>
  <c r="G119" i="1"/>
  <c r="E119" i="1"/>
  <c r="R118" i="1"/>
  <c r="N118" i="1"/>
  <c r="K118" i="1"/>
  <c r="L118" i="1" s="1"/>
  <c r="J118" i="1"/>
  <c r="G118" i="1"/>
  <c r="E118" i="1"/>
  <c r="R117" i="1"/>
  <c r="N117" i="1"/>
  <c r="K117" i="1"/>
  <c r="L117" i="1" s="1"/>
  <c r="J117" i="1"/>
  <c r="E117" i="1"/>
  <c r="G117" i="1" s="1"/>
  <c r="R116" i="1"/>
  <c r="N116" i="1"/>
  <c r="K116" i="1"/>
  <c r="L116" i="1" s="1"/>
  <c r="J116" i="1"/>
  <c r="G116" i="1"/>
  <c r="E116" i="1"/>
  <c r="R115" i="1"/>
  <c r="N115" i="1"/>
  <c r="K115" i="1"/>
  <c r="L115" i="1" s="1"/>
  <c r="J115" i="1"/>
  <c r="E115" i="1"/>
  <c r="G115" i="1" s="1"/>
  <c r="R114" i="1"/>
  <c r="N114" i="1"/>
  <c r="K114" i="1"/>
  <c r="L114" i="1" s="1"/>
  <c r="J114" i="1"/>
  <c r="E114" i="1"/>
  <c r="G114" i="1" s="1"/>
  <c r="R113" i="1"/>
  <c r="N113" i="1"/>
  <c r="N120" i="1" s="1"/>
  <c r="K113" i="1"/>
  <c r="J113" i="1"/>
  <c r="J120" i="1" s="1"/>
  <c r="E113" i="1"/>
  <c r="R112" i="1"/>
  <c r="R111" i="1"/>
  <c r="N111" i="1"/>
  <c r="K111" i="1"/>
  <c r="L111" i="1" s="1"/>
  <c r="J111" i="1"/>
  <c r="E111" i="1"/>
  <c r="G111" i="1" s="1"/>
  <c r="R110" i="1"/>
  <c r="N110" i="1"/>
  <c r="K110" i="1"/>
  <c r="L110" i="1" s="1"/>
  <c r="J110" i="1"/>
  <c r="E110" i="1"/>
  <c r="G110" i="1" s="1"/>
  <c r="R109" i="1"/>
  <c r="N109" i="1"/>
  <c r="K109" i="1"/>
  <c r="L109" i="1" s="1"/>
  <c r="J109" i="1"/>
  <c r="E109" i="1"/>
  <c r="G109" i="1" s="1"/>
  <c r="R108" i="1"/>
  <c r="N108" i="1"/>
  <c r="K108" i="1"/>
  <c r="L108" i="1" s="1"/>
  <c r="J108" i="1"/>
  <c r="E108" i="1"/>
  <c r="G108" i="1" s="1"/>
  <c r="R107" i="1"/>
  <c r="N107" i="1"/>
  <c r="K107" i="1"/>
  <c r="L107" i="1" s="1"/>
  <c r="J107" i="1"/>
  <c r="E107" i="1"/>
  <c r="G107" i="1" s="1"/>
  <c r="R106" i="1"/>
  <c r="N106" i="1"/>
  <c r="K106" i="1"/>
  <c r="L106" i="1" s="1"/>
  <c r="J106" i="1"/>
  <c r="E106" i="1"/>
  <c r="G106" i="1" s="1"/>
  <c r="R105" i="1"/>
  <c r="N105" i="1"/>
  <c r="N112" i="1" s="1"/>
  <c r="Q15" i="1" s="1"/>
  <c r="R15" i="1" s="1"/>
  <c r="K105" i="1"/>
  <c r="L105" i="1" s="1"/>
  <c r="J105" i="1"/>
  <c r="E105" i="1"/>
  <c r="G105" i="1" s="1"/>
  <c r="R104" i="1"/>
  <c r="R103" i="1"/>
  <c r="N103" i="1"/>
  <c r="K103" i="1"/>
  <c r="L103" i="1" s="1"/>
  <c r="J103" i="1"/>
  <c r="E103" i="1"/>
  <c r="G103" i="1" s="1"/>
  <c r="R102" i="1"/>
  <c r="N102" i="1"/>
  <c r="L102" i="1"/>
  <c r="K102" i="1"/>
  <c r="J102" i="1"/>
  <c r="E102" i="1"/>
  <c r="G102" i="1" s="1"/>
  <c r="R101" i="1"/>
  <c r="N101" i="1"/>
  <c r="K101" i="1"/>
  <c r="L101" i="1" s="1"/>
  <c r="J101" i="1"/>
  <c r="G101" i="1"/>
  <c r="E101" i="1"/>
  <c r="R100" i="1"/>
  <c r="N100" i="1"/>
  <c r="K100" i="1"/>
  <c r="L100" i="1" s="1"/>
  <c r="J100" i="1"/>
  <c r="E100" i="1"/>
  <c r="G100" i="1" s="1"/>
  <c r="R99" i="1"/>
  <c r="N99" i="1"/>
  <c r="K99" i="1"/>
  <c r="L99" i="1" s="1"/>
  <c r="J99" i="1"/>
  <c r="E99" i="1"/>
  <c r="G99" i="1" s="1"/>
  <c r="R98" i="1"/>
  <c r="N98" i="1"/>
  <c r="N104" i="1" s="1"/>
  <c r="Q14" i="1" s="1"/>
  <c r="R14" i="1" s="1"/>
  <c r="K98" i="1"/>
  <c r="J98" i="1"/>
  <c r="E98" i="1"/>
  <c r="R97" i="1"/>
  <c r="F97" i="1"/>
  <c r="F104" i="1" s="1"/>
  <c r="F112" i="1" s="1"/>
  <c r="R96" i="1"/>
  <c r="N96" i="1"/>
  <c r="K96" i="1"/>
  <c r="L96" i="1" s="1"/>
  <c r="J96" i="1"/>
  <c r="E96" i="1"/>
  <c r="G96" i="1" s="1"/>
  <c r="R95" i="1"/>
  <c r="N95" i="1"/>
  <c r="K95" i="1"/>
  <c r="L95" i="1" s="1"/>
  <c r="J95" i="1"/>
  <c r="E95" i="1"/>
  <c r="G95" i="1" s="1"/>
  <c r="R94" i="1"/>
  <c r="N94" i="1"/>
  <c r="K94" i="1"/>
  <c r="L94" i="1" s="1"/>
  <c r="J94" i="1"/>
  <c r="E94" i="1"/>
  <c r="G94" i="1" s="1"/>
  <c r="R93" i="1"/>
  <c r="N93" i="1"/>
  <c r="K93" i="1"/>
  <c r="L93" i="1" s="1"/>
  <c r="J93" i="1"/>
  <c r="E93" i="1"/>
  <c r="G93" i="1" s="1"/>
  <c r="R92" i="1"/>
  <c r="N92" i="1"/>
  <c r="K92" i="1"/>
  <c r="L92" i="1" s="1"/>
  <c r="J92" i="1"/>
  <c r="E92" i="1"/>
  <c r="G92" i="1" s="1"/>
  <c r="R91" i="1"/>
  <c r="N91" i="1"/>
  <c r="K91" i="1"/>
  <c r="L91" i="1" s="1"/>
  <c r="J91" i="1"/>
  <c r="E91" i="1"/>
  <c r="G91" i="1" s="1"/>
  <c r="R90" i="1"/>
  <c r="N90" i="1"/>
  <c r="K90" i="1"/>
  <c r="L90" i="1" s="1"/>
  <c r="J90" i="1"/>
  <c r="E90" i="1"/>
  <c r="G90" i="1" s="1"/>
  <c r="R89" i="1"/>
  <c r="N89" i="1"/>
  <c r="N97" i="1" s="1"/>
  <c r="Q13" i="1" s="1"/>
  <c r="R13" i="1" s="1"/>
  <c r="K89" i="1"/>
  <c r="J89" i="1"/>
  <c r="J97" i="1" s="1"/>
  <c r="E89" i="1"/>
  <c r="R88" i="1"/>
  <c r="R87" i="1"/>
  <c r="N87" i="1"/>
  <c r="L87" i="1"/>
  <c r="K87" i="1"/>
  <c r="J87" i="1"/>
  <c r="E87" i="1"/>
  <c r="G87" i="1" s="1"/>
  <c r="R86" i="1"/>
  <c r="N86" i="1"/>
  <c r="K86" i="1"/>
  <c r="L86" i="1" s="1"/>
  <c r="J86" i="1"/>
  <c r="E86" i="1"/>
  <c r="G86" i="1" s="1"/>
  <c r="R85" i="1"/>
  <c r="N85" i="1"/>
  <c r="K85" i="1"/>
  <c r="L85" i="1" s="1"/>
  <c r="J85" i="1"/>
  <c r="G85" i="1"/>
  <c r="E85" i="1"/>
  <c r="R84" i="1"/>
  <c r="N84" i="1"/>
  <c r="K84" i="1"/>
  <c r="L84" i="1" s="1"/>
  <c r="J84" i="1"/>
  <c r="E84" i="1"/>
  <c r="G84" i="1" s="1"/>
  <c r="R83" i="1"/>
  <c r="N83" i="1"/>
  <c r="K83" i="1"/>
  <c r="L83" i="1" s="1"/>
  <c r="J83" i="1"/>
  <c r="E83" i="1"/>
  <c r="G83" i="1" s="1"/>
  <c r="R82" i="1"/>
  <c r="N82" i="1"/>
  <c r="K82" i="1"/>
  <c r="L82" i="1" s="1"/>
  <c r="J82" i="1"/>
  <c r="E82" i="1"/>
  <c r="G82" i="1" s="1"/>
  <c r="R81" i="1"/>
  <c r="N81" i="1"/>
  <c r="N88" i="1" s="1"/>
  <c r="Q12" i="1" s="1"/>
  <c r="R12" i="1" s="1"/>
  <c r="K81" i="1"/>
  <c r="J81" i="1"/>
  <c r="J88" i="1" s="1"/>
  <c r="E81" i="1"/>
  <c r="R80" i="1"/>
  <c r="R79" i="1"/>
  <c r="N79" i="1"/>
  <c r="L79" i="1"/>
  <c r="K79" i="1"/>
  <c r="J79" i="1"/>
  <c r="E79" i="1"/>
  <c r="G79" i="1" s="1"/>
  <c r="R78" i="1"/>
  <c r="N78" i="1"/>
  <c r="K78" i="1"/>
  <c r="L78" i="1" s="1"/>
  <c r="J78" i="1"/>
  <c r="E78" i="1"/>
  <c r="G78" i="1" s="1"/>
  <c r="R77" i="1"/>
  <c r="N77" i="1"/>
  <c r="K77" i="1"/>
  <c r="L77" i="1" s="1"/>
  <c r="J77" i="1"/>
  <c r="E77" i="1"/>
  <c r="G77" i="1" s="1"/>
  <c r="R76" i="1"/>
  <c r="N76" i="1"/>
  <c r="K76" i="1"/>
  <c r="L76" i="1" s="1"/>
  <c r="J76" i="1"/>
  <c r="E76" i="1"/>
  <c r="G76" i="1" s="1"/>
  <c r="R75" i="1"/>
  <c r="N75" i="1"/>
  <c r="K75" i="1"/>
  <c r="L75" i="1" s="1"/>
  <c r="J75" i="1"/>
  <c r="E75" i="1"/>
  <c r="G75" i="1" s="1"/>
  <c r="R74" i="1"/>
  <c r="N74" i="1"/>
  <c r="K74" i="1"/>
  <c r="L74" i="1" s="1"/>
  <c r="J74" i="1"/>
  <c r="E74" i="1"/>
  <c r="G74" i="1" s="1"/>
  <c r="R73" i="1"/>
  <c r="N73" i="1"/>
  <c r="K73" i="1"/>
  <c r="J73" i="1"/>
  <c r="E73" i="1"/>
  <c r="G73" i="1" s="1"/>
  <c r="R72" i="1"/>
  <c r="N72" i="1"/>
  <c r="N80" i="1" s="1"/>
  <c r="Q11" i="1" s="1"/>
  <c r="R11" i="1" s="1"/>
  <c r="K72" i="1"/>
  <c r="L72" i="1" s="1"/>
  <c r="J72" i="1"/>
  <c r="J80" i="1" s="1"/>
  <c r="E72" i="1"/>
  <c r="R71" i="1"/>
  <c r="F71" i="1"/>
  <c r="R70" i="1"/>
  <c r="N70" i="1"/>
  <c r="K70" i="1"/>
  <c r="L70" i="1" s="1"/>
  <c r="J70" i="1"/>
  <c r="E70" i="1"/>
  <c r="G70" i="1" s="1"/>
  <c r="R69" i="1"/>
  <c r="N69" i="1"/>
  <c r="K69" i="1"/>
  <c r="L69" i="1" s="1"/>
  <c r="J69" i="1"/>
  <c r="E69" i="1"/>
  <c r="G69" i="1" s="1"/>
  <c r="R68" i="1"/>
  <c r="N68" i="1"/>
  <c r="K68" i="1"/>
  <c r="L68" i="1" s="1"/>
  <c r="J68" i="1"/>
  <c r="E68" i="1"/>
  <c r="G68" i="1" s="1"/>
  <c r="R67" i="1"/>
  <c r="N67" i="1"/>
  <c r="L67" i="1"/>
  <c r="K67" i="1"/>
  <c r="J67" i="1"/>
  <c r="E67" i="1"/>
  <c r="G67" i="1" s="1"/>
  <c r="R66" i="1"/>
  <c r="N66" i="1"/>
  <c r="K66" i="1"/>
  <c r="L66" i="1" s="1"/>
  <c r="J66" i="1"/>
  <c r="E66" i="1"/>
  <c r="G66" i="1" s="1"/>
  <c r="N65" i="1"/>
  <c r="K65" i="1"/>
  <c r="L65" i="1" s="1"/>
  <c r="J65" i="1"/>
  <c r="E65" i="1"/>
  <c r="G65" i="1" s="1"/>
  <c r="R64" i="1"/>
  <c r="N64" i="1"/>
  <c r="K64" i="1"/>
  <c r="L64" i="1" s="1"/>
  <c r="J64" i="1"/>
  <c r="E64" i="1"/>
  <c r="G64" i="1" s="1"/>
  <c r="R63" i="1"/>
  <c r="N63" i="1"/>
  <c r="K63" i="1"/>
  <c r="L63" i="1" s="1"/>
  <c r="J63" i="1"/>
  <c r="E63" i="1"/>
  <c r="G63" i="1" s="1"/>
  <c r="R62" i="1"/>
  <c r="N62" i="1"/>
  <c r="N71" i="1" s="1"/>
  <c r="Q10" i="1" s="1"/>
  <c r="R10" i="1" s="1"/>
  <c r="K62" i="1"/>
  <c r="J62" i="1"/>
  <c r="J71" i="1" s="1"/>
  <c r="E62" i="1"/>
  <c r="R61" i="1"/>
  <c r="R60" i="1"/>
  <c r="N60" i="1"/>
  <c r="K60" i="1"/>
  <c r="L60" i="1" s="1"/>
  <c r="J60" i="1"/>
  <c r="E60" i="1"/>
  <c r="G60" i="1" s="1"/>
  <c r="R59" i="1"/>
  <c r="N59" i="1"/>
  <c r="K59" i="1"/>
  <c r="L59" i="1" s="1"/>
  <c r="J59" i="1"/>
  <c r="E59" i="1"/>
  <c r="G59" i="1" s="1"/>
  <c r="N58" i="1"/>
  <c r="K58" i="1"/>
  <c r="L58" i="1" s="1"/>
  <c r="J58" i="1"/>
  <c r="E58" i="1"/>
  <c r="G58" i="1" s="1"/>
  <c r="R57" i="1"/>
  <c r="N57" i="1"/>
  <c r="K57" i="1"/>
  <c r="L57" i="1" s="1"/>
  <c r="J57" i="1"/>
  <c r="E57" i="1"/>
  <c r="G57" i="1" s="1"/>
  <c r="R56" i="1"/>
  <c r="N56" i="1"/>
  <c r="K56" i="1"/>
  <c r="L56" i="1" s="1"/>
  <c r="J56" i="1"/>
  <c r="E56" i="1"/>
  <c r="G56" i="1" s="1"/>
  <c r="R55" i="1"/>
  <c r="N55" i="1"/>
  <c r="K55" i="1"/>
  <c r="L55" i="1" s="1"/>
  <c r="J55" i="1"/>
  <c r="E55" i="1"/>
  <c r="G55" i="1" s="1"/>
  <c r="R54" i="1"/>
  <c r="N54" i="1"/>
  <c r="K54" i="1"/>
  <c r="L54" i="1" s="1"/>
  <c r="J54" i="1"/>
  <c r="G54" i="1"/>
  <c r="E54" i="1"/>
  <c r="R53" i="1"/>
  <c r="N53" i="1"/>
  <c r="K53" i="1"/>
  <c r="L53" i="1" s="1"/>
  <c r="J53" i="1"/>
  <c r="E53" i="1"/>
  <c r="G53" i="1" s="1"/>
  <c r="R52" i="1"/>
  <c r="N52" i="1"/>
  <c r="K52" i="1"/>
  <c r="L52" i="1" s="1"/>
  <c r="J52" i="1"/>
  <c r="E52" i="1"/>
  <c r="G52" i="1" s="1"/>
  <c r="R51" i="1"/>
  <c r="N51" i="1"/>
  <c r="K51" i="1"/>
  <c r="L51" i="1" s="1"/>
  <c r="J51" i="1"/>
  <c r="E51" i="1"/>
  <c r="G51" i="1" s="1"/>
  <c r="R50" i="1"/>
  <c r="N50" i="1"/>
  <c r="N61" i="1" s="1"/>
  <c r="Q8" i="1" s="1"/>
  <c r="R8" i="1" s="1"/>
  <c r="K50" i="1"/>
  <c r="J50" i="1"/>
  <c r="J61" i="1" s="1"/>
  <c r="E50" i="1"/>
  <c r="R49" i="1"/>
  <c r="F49" i="1"/>
  <c r="R48" i="1"/>
  <c r="N48" i="1"/>
  <c r="K48" i="1"/>
  <c r="L48" i="1" s="1"/>
  <c r="J48" i="1"/>
  <c r="E48" i="1"/>
  <c r="G48" i="1" s="1"/>
  <c r="R47" i="1"/>
  <c r="N47" i="1"/>
  <c r="K47" i="1"/>
  <c r="L47" i="1" s="1"/>
  <c r="J47" i="1"/>
  <c r="E47" i="1"/>
  <c r="G47" i="1" s="1"/>
  <c r="N46" i="1"/>
  <c r="K46" i="1"/>
  <c r="L46" i="1" s="1"/>
  <c r="J46" i="1"/>
  <c r="E46" i="1"/>
  <c r="G46" i="1" s="1"/>
  <c r="N45" i="1"/>
  <c r="L45" i="1"/>
  <c r="K45" i="1"/>
  <c r="J45" i="1"/>
  <c r="E45" i="1"/>
  <c r="G45" i="1" s="1"/>
  <c r="R44" i="1"/>
  <c r="N44" i="1"/>
  <c r="K44" i="1"/>
  <c r="L44" i="1" s="1"/>
  <c r="J44" i="1"/>
  <c r="G44" i="1"/>
  <c r="E44" i="1"/>
  <c r="R43" i="1"/>
  <c r="N43" i="1"/>
  <c r="K43" i="1"/>
  <c r="L43" i="1" s="1"/>
  <c r="J43" i="1"/>
  <c r="E43" i="1"/>
  <c r="G43" i="1" s="1"/>
  <c r="R42" i="1"/>
  <c r="N42" i="1"/>
  <c r="K42" i="1"/>
  <c r="L42" i="1" s="1"/>
  <c r="J42" i="1"/>
  <c r="E42" i="1"/>
  <c r="G42" i="1" s="1"/>
  <c r="R41" i="1"/>
  <c r="N41" i="1"/>
  <c r="K41" i="1"/>
  <c r="L41" i="1" s="1"/>
  <c r="J41" i="1"/>
  <c r="E41" i="1"/>
  <c r="G41" i="1" s="1"/>
  <c r="R40" i="1"/>
  <c r="N40" i="1"/>
  <c r="K40" i="1"/>
  <c r="L40" i="1" s="1"/>
  <c r="J40" i="1"/>
  <c r="E40" i="1"/>
  <c r="G40" i="1" s="1"/>
  <c r="R39" i="1"/>
  <c r="N39" i="1"/>
  <c r="N49" i="1" s="1"/>
  <c r="Q7" i="1" s="1"/>
  <c r="R7" i="1" s="1"/>
  <c r="K39" i="1"/>
  <c r="J39" i="1"/>
  <c r="J49" i="1" s="1"/>
  <c r="E39" i="1"/>
  <c r="R38" i="1"/>
  <c r="R37" i="1"/>
  <c r="N37" i="1"/>
  <c r="K37" i="1"/>
  <c r="L37" i="1" s="1"/>
  <c r="J37" i="1"/>
  <c r="E37" i="1"/>
  <c r="G37" i="1" s="1"/>
  <c r="R36" i="1"/>
  <c r="N36" i="1"/>
  <c r="K36" i="1"/>
  <c r="L36" i="1" s="1"/>
  <c r="J36" i="1"/>
  <c r="E36" i="1"/>
  <c r="G36" i="1" s="1"/>
  <c r="R35" i="1"/>
  <c r="N35" i="1"/>
  <c r="K35" i="1"/>
  <c r="L35" i="1" s="1"/>
  <c r="J35" i="1"/>
  <c r="E35" i="1"/>
  <c r="G35" i="1" s="1"/>
  <c r="R34" i="1"/>
  <c r="N34" i="1"/>
  <c r="K34" i="1"/>
  <c r="L34" i="1" s="1"/>
  <c r="J34" i="1"/>
  <c r="E34" i="1"/>
  <c r="G34" i="1" s="1"/>
  <c r="R33" i="1"/>
  <c r="N33" i="1"/>
  <c r="K33" i="1"/>
  <c r="L33" i="1" s="1"/>
  <c r="J33" i="1"/>
  <c r="E33" i="1"/>
  <c r="G33" i="1" s="1"/>
  <c r="R32" i="1"/>
  <c r="N32" i="1"/>
  <c r="K32" i="1"/>
  <c r="L32" i="1" s="1"/>
  <c r="J32" i="1"/>
  <c r="E32" i="1"/>
  <c r="G32" i="1" s="1"/>
  <c r="R31" i="1"/>
  <c r="N31" i="1"/>
  <c r="L31" i="1"/>
  <c r="K31" i="1"/>
  <c r="J31" i="1"/>
  <c r="E31" i="1"/>
  <c r="G31" i="1" s="1"/>
  <c r="R30" i="1"/>
  <c r="N30" i="1"/>
  <c r="N38" i="1" s="1"/>
  <c r="Q6" i="1" s="1"/>
  <c r="R6" i="1" s="1"/>
  <c r="K30" i="1"/>
  <c r="J30" i="1"/>
  <c r="J38" i="1" s="1"/>
  <c r="E30" i="1"/>
  <c r="F29" i="1"/>
  <c r="R28" i="1"/>
  <c r="N28" i="1"/>
  <c r="K28" i="1"/>
  <c r="J28" i="1"/>
  <c r="L28" i="1" s="1"/>
  <c r="E28" i="1"/>
  <c r="G28" i="1" s="1"/>
  <c r="N27" i="1"/>
  <c r="K27" i="1"/>
  <c r="L27" i="1" s="1"/>
  <c r="J27" i="1"/>
  <c r="E27" i="1"/>
  <c r="G27" i="1" s="1"/>
  <c r="N26" i="1"/>
  <c r="K26" i="1"/>
  <c r="L26" i="1" s="1"/>
  <c r="J26" i="1"/>
  <c r="E26" i="1"/>
  <c r="G26" i="1" s="1"/>
  <c r="N25" i="1"/>
  <c r="L25" i="1"/>
  <c r="K25" i="1"/>
  <c r="J25" i="1"/>
  <c r="E25" i="1"/>
  <c r="G25" i="1" s="1"/>
  <c r="N24" i="1"/>
  <c r="K24" i="1"/>
  <c r="L24" i="1" s="1"/>
  <c r="J24" i="1"/>
  <c r="G24" i="1"/>
  <c r="E24" i="1"/>
  <c r="N23" i="1"/>
  <c r="L23" i="1"/>
  <c r="K23" i="1"/>
  <c r="J23" i="1"/>
  <c r="E23" i="1"/>
  <c r="G23" i="1" s="1"/>
  <c r="N22" i="1"/>
  <c r="K22" i="1"/>
  <c r="L22" i="1" s="1"/>
  <c r="J22" i="1"/>
  <c r="E22" i="1"/>
  <c r="G22" i="1" s="1"/>
  <c r="N21" i="1"/>
  <c r="K21" i="1"/>
  <c r="L21" i="1" s="1"/>
  <c r="J21" i="1"/>
  <c r="E21" i="1"/>
  <c r="G21" i="1" s="1"/>
  <c r="N20" i="1"/>
  <c r="N29" i="1" s="1"/>
  <c r="Q5" i="1" s="1"/>
  <c r="R5" i="1" s="1"/>
  <c r="K20" i="1"/>
  <c r="J20" i="1"/>
  <c r="J29" i="1" s="1"/>
  <c r="E20" i="1"/>
  <c r="O18" i="1"/>
  <c r="O19" i="1" s="1"/>
  <c r="O20" i="1" s="1"/>
  <c r="O21" i="1" s="1"/>
  <c r="O22" i="1" s="1"/>
  <c r="O23" i="1" s="1"/>
  <c r="O24" i="1" s="1"/>
  <c r="O25" i="1" s="1"/>
  <c r="O26" i="1" s="1"/>
  <c r="N18" i="1"/>
  <c r="K18" i="1"/>
  <c r="L18" i="1" s="1"/>
  <c r="J18" i="1"/>
  <c r="E18" i="1"/>
  <c r="G18" i="1" s="1"/>
  <c r="N17" i="1"/>
  <c r="K17" i="1"/>
  <c r="L17" i="1" s="1"/>
  <c r="J17" i="1"/>
  <c r="E17" i="1"/>
  <c r="G17" i="1" s="1"/>
  <c r="N16" i="1"/>
  <c r="K16" i="1"/>
  <c r="L16" i="1" s="1"/>
  <c r="J16" i="1"/>
  <c r="E16" i="1"/>
  <c r="G16" i="1" s="1"/>
  <c r="N15" i="1"/>
  <c r="K15" i="1"/>
  <c r="L15" i="1" s="1"/>
  <c r="J15" i="1"/>
  <c r="E15" i="1"/>
  <c r="G15" i="1" s="1"/>
  <c r="N14" i="1"/>
  <c r="K14" i="1"/>
  <c r="L14" i="1" s="1"/>
  <c r="J14" i="1"/>
  <c r="E14" i="1"/>
  <c r="G14" i="1" s="1"/>
  <c r="N13" i="1"/>
  <c r="K13" i="1"/>
  <c r="L13" i="1" s="1"/>
  <c r="J13" i="1"/>
  <c r="E13" i="1"/>
  <c r="G13" i="1" s="1"/>
  <c r="N12" i="1"/>
  <c r="N19" i="1" s="1"/>
  <c r="Q4" i="1" s="1"/>
  <c r="K12" i="1"/>
  <c r="J12" i="1"/>
  <c r="J19" i="1" s="1"/>
  <c r="E12" i="1"/>
  <c r="G11" i="1"/>
  <c r="F11" i="1"/>
  <c r="F19" i="1" s="1"/>
  <c r="N10" i="1"/>
  <c r="K10" i="1"/>
  <c r="L10" i="1" s="1"/>
  <c r="J10" i="1"/>
  <c r="E10" i="1"/>
  <c r="G10" i="1" s="1"/>
  <c r="N9" i="1"/>
  <c r="K9" i="1"/>
  <c r="L9" i="1" s="1"/>
  <c r="J9" i="1"/>
  <c r="E9" i="1"/>
  <c r="G9" i="1" s="1"/>
  <c r="N8" i="1"/>
  <c r="K8" i="1"/>
  <c r="L8" i="1" s="1"/>
  <c r="J8" i="1"/>
  <c r="E8" i="1"/>
  <c r="G8" i="1" s="1"/>
  <c r="N7" i="1"/>
  <c r="K7" i="1"/>
  <c r="L7" i="1" s="1"/>
  <c r="J7" i="1"/>
  <c r="E7" i="1"/>
  <c r="G7" i="1" s="1"/>
  <c r="N6" i="1"/>
  <c r="K6" i="1"/>
  <c r="L6" i="1" s="1"/>
  <c r="J6" i="1"/>
  <c r="G6" i="1"/>
  <c r="E6" i="1"/>
  <c r="N5" i="1"/>
  <c r="K5" i="1"/>
  <c r="L5" i="1" s="1"/>
  <c r="J5" i="1"/>
  <c r="E5" i="1"/>
  <c r="G5" i="1" s="1"/>
  <c r="N4" i="1"/>
  <c r="K4" i="1"/>
  <c r="L4" i="1" s="1"/>
  <c r="J4" i="1"/>
  <c r="E4" i="1"/>
  <c r="G4" i="1" s="1"/>
  <c r="N3" i="1"/>
  <c r="K3" i="1"/>
  <c r="J3" i="1"/>
  <c r="J11" i="1" s="1"/>
  <c r="G3" i="1"/>
  <c r="E3" i="1"/>
  <c r="E11" i="1" s="1"/>
  <c r="J262" i="2" l="1"/>
  <c r="K84" i="20"/>
  <c r="L77" i="20"/>
  <c r="L84" i="20" s="1"/>
  <c r="E84" i="20"/>
  <c r="G77" i="20"/>
  <c r="G84" i="20" s="1"/>
  <c r="K76" i="20"/>
  <c r="L69" i="20"/>
  <c r="L76" i="20" s="1"/>
  <c r="G69" i="20"/>
  <c r="G76" i="20" s="1"/>
  <c r="E76" i="20"/>
  <c r="K68" i="20"/>
  <c r="L61" i="20"/>
  <c r="L68" i="20" s="1"/>
  <c r="E68" i="20"/>
  <c r="G61" i="20"/>
  <c r="G68" i="20" s="1"/>
  <c r="K60" i="20"/>
  <c r="L55" i="20"/>
  <c r="L60" i="20" s="1"/>
  <c r="G55" i="20"/>
  <c r="G60" i="20" s="1"/>
  <c r="E60" i="20"/>
  <c r="K54" i="20"/>
  <c r="L51" i="20"/>
  <c r="L54" i="20" s="1"/>
  <c r="E54" i="20"/>
  <c r="G51" i="20"/>
  <c r="G54" i="20" s="1"/>
  <c r="K50" i="20"/>
  <c r="L46" i="20"/>
  <c r="L50" i="20" s="1"/>
  <c r="G46" i="20"/>
  <c r="G50" i="20" s="1"/>
  <c r="E50" i="20"/>
  <c r="K45" i="20"/>
  <c r="L38" i="20"/>
  <c r="L45" i="20" s="1"/>
  <c r="E45" i="20"/>
  <c r="G38" i="20"/>
  <c r="G45" i="20" s="1"/>
  <c r="K37" i="20"/>
  <c r="L31" i="20"/>
  <c r="L37" i="20" s="1"/>
  <c r="E37" i="20"/>
  <c r="G31" i="20"/>
  <c r="G37" i="20" s="1"/>
  <c r="K30" i="20"/>
  <c r="L23" i="20"/>
  <c r="L30" i="20" s="1"/>
  <c r="E30" i="20"/>
  <c r="G23" i="20"/>
  <c r="G30" i="20" s="1"/>
  <c r="K22" i="20"/>
  <c r="L16" i="20"/>
  <c r="L22" i="20" s="1"/>
  <c r="E22" i="20"/>
  <c r="G16" i="20"/>
  <c r="G22" i="20" s="1"/>
  <c r="K15" i="20"/>
  <c r="L11" i="20"/>
  <c r="L15" i="20" s="1"/>
  <c r="E15" i="20"/>
  <c r="G11" i="20"/>
  <c r="G15" i="20" s="1"/>
  <c r="O10" i="20"/>
  <c r="N85" i="20"/>
  <c r="K10" i="20"/>
  <c r="L3" i="20"/>
  <c r="L10" i="20" s="1"/>
  <c r="G3" i="20"/>
  <c r="G10" i="20" s="1"/>
  <c r="E10" i="20"/>
  <c r="K95" i="19"/>
  <c r="L88" i="19"/>
  <c r="L95" i="19" s="1"/>
  <c r="G88" i="19"/>
  <c r="G95" i="19" s="1"/>
  <c r="E95" i="19"/>
  <c r="K87" i="19"/>
  <c r="L80" i="19"/>
  <c r="L87" i="19" s="1"/>
  <c r="E87" i="19"/>
  <c r="G80" i="19"/>
  <c r="G87" i="19" s="1"/>
  <c r="K79" i="19"/>
  <c r="L72" i="19"/>
  <c r="L79" i="19" s="1"/>
  <c r="E79" i="19"/>
  <c r="G72" i="19"/>
  <c r="G79" i="19" s="1"/>
  <c r="L64" i="19"/>
  <c r="L71" i="19" s="1"/>
  <c r="K71" i="19"/>
  <c r="E71" i="19"/>
  <c r="G64" i="19"/>
  <c r="G71" i="19" s="1"/>
  <c r="K63" i="19"/>
  <c r="L56" i="19"/>
  <c r="L63" i="19" s="1"/>
  <c r="E63" i="19"/>
  <c r="G56" i="19"/>
  <c r="G63" i="19" s="1"/>
  <c r="K55" i="19"/>
  <c r="L48" i="19"/>
  <c r="L55" i="19" s="1"/>
  <c r="G48" i="19"/>
  <c r="G55" i="19" s="1"/>
  <c r="E55" i="19"/>
  <c r="K47" i="19"/>
  <c r="L40" i="19"/>
  <c r="L47" i="19" s="1"/>
  <c r="E47" i="19"/>
  <c r="G40" i="19"/>
  <c r="G47" i="19" s="1"/>
  <c r="K39" i="19"/>
  <c r="L32" i="19"/>
  <c r="L39" i="19" s="1"/>
  <c r="E39" i="19"/>
  <c r="G32" i="19"/>
  <c r="G39" i="19" s="1"/>
  <c r="K31" i="19"/>
  <c r="L24" i="19"/>
  <c r="L31" i="19" s="1"/>
  <c r="G24" i="19"/>
  <c r="G31" i="19" s="1"/>
  <c r="E31" i="19"/>
  <c r="K23" i="19"/>
  <c r="L16" i="19"/>
  <c r="L23" i="19" s="1"/>
  <c r="G16" i="19"/>
  <c r="G23" i="19" s="1"/>
  <c r="E23" i="19"/>
  <c r="K15" i="19"/>
  <c r="L10" i="19"/>
  <c r="L15" i="19" s="1"/>
  <c r="E15" i="19"/>
  <c r="G10" i="19"/>
  <c r="G15" i="19" s="1"/>
  <c r="K9" i="19"/>
  <c r="L3" i="19"/>
  <c r="L9" i="19" s="1"/>
  <c r="E9" i="19"/>
  <c r="G3" i="19"/>
  <c r="G9" i="19" s="1"/>
  <c r="K105" i="18"/>
  <c r="L98" i="18"/>
  <c r="L105" i="18" s="1"/>
  <c r="E105" i="18"/>
  <c r="G98" i="18"/>
  <c r="G105" i="18" s="1"/>
  <c r="K89" i="18"/>
  <c r="L83" i="18"/>
  <c r="K97" i="18"/>
  <c r="J89" i="18"/>
  <c r="J97" i="18" s="1"/>
  <c r="E89" i="18"/>
  <c r="E97" i="18"/>
  <c r="G83" i="18"/>
  <c r="L75" i="18"/>
  <c r="L82" i="18" s="1"/>
  <c r="K82" i="18"/>
  <c r="E82" i="18"/>
  <c r="G75" i="18"/>
  <c r="G82" i="18" s="1"/>
  <c r="K74" i="18"/>
  <c r="L67" i="18"/>
  <c r="L74" i="18" s="1"/>
  <c r="E74" i="18"/>
  <c r="G67" i="18"/>
  <c r="G74" i="18" s="1"/>
  <c r="K66" i="18"/>
  <c r="L59" i="18"/>
  <c r="L66" i="18" s="1"/>
  <c r="G59" i="18"/>
  <c r="G66" i="18" s="1"/>
  <c r="E66" i="18"/>
  <c r="K58" i="18"/>
  <c r="L51" i="18"/>
  <c r="L58" i="18" s="1"/>
  <c r="E58" i="18"/>
  <c r="G51" i="18"/>
  <c r="G58" i="18" s="1"/>
  <c r="K50" i="18"/>
  <c r="L43" i="18"/>
  <c r="L50" i="18" s="1"/>
  <c r="E50" i="18"/>
  <c r="G43" i="18"/>
  <c r="G50" i="18" s="1"/>
  <c r="K42" i="18"/>
  <c r="L35" i="18"/>
  <c r="L42" i="18" s="1"/>
  <c r="E42" i="18"/>
  <c r="G35" i="18"/>
  <c r="G42" i="18" s="1"/>
  <c r="L27" i="18"/>
  <c r="L34" i="18" s="1"/>
  <c r="K34" i="18"/>
  <c r="E34" i="18"/>
  <c r="G27" i="18"/>
  <c r="G34" i="18" s="1"/>
  <c r="K26" i="18"/>
  <c r="L19" i="18"/>
  <c r="L26" i="18" s="1"/>
  <c r="E26" i="18"/>
  <c r="G19" i="18"/>
  <c r="G26" i="18" s="1"/>
  <c r="K18" i="18"/>
  <c r="L11" i="18"/>
  <c r="L18" i="18" s="1"/>
  <c r="G11" i="18"/>
  <c r="G18" i="18" s="1"/>
  <c r="E18" i="18"/>
  <c r="N106" i="18"/>
  <c r="P106" i="18"/>
  <c r="K10" i="18"/>
  <c r="L3" i="18"/>
  <c r="L10" i="18" s="1"/>
  <c r="E10" i="18"/>
  <c r="G3" i="18"/>
  <c r="G10" i="18" s="1"/>
  <c r="K135" i="17"/>
  <c r="L130" i="17"/>
  <c r="L135" i="17" s="1"/>
  <c r="G130" i="17"/>
  <c r="G135" i="17" s="1"/>
  <c r="E135" i="17"/>
  <c r="K129" i="17"/>
  <c r="L124" i="17"/>
  <c r="L129" i="17" s="1"/>
  <c r="E129" i="17"/>
  <c r="G124" i="17"/>
  <c r="G129" i="17" s="1"/>
  <c r="K123" i="17"/>
  <c r="L118" i="17"/>
  <c r="L123" i="17" s="1"/>
  <c r="E123" i="17"/>
  <c r="G118" i="17"/>
  <c r="G123" i="17" s="1"/>
  <c r="K117" i="17"/>
  <c r="L112" i="17"/>
  <c r="L117" i="17" s="1"/>
  <c r="E117" i="17"/>
  <c r="G112" i="17"/>
  <c r="G117" i="17" s="1"/>
  <c r="K111" i="17"/>
  <c r="L106" i="17"/>
  <c r="L111" i="17" s="1"/>
  <c r="E111" i="17"/>
  <c r="G106" i="17"/>
  <c r="G111" i="17" s="1"/>
  <c r="L100" i="17"/>
  <c r="L105" i="17" s="1"/>
  <c r="K105" i="17"/>
  <c r="E105" i="17"/>
  <c r="G100" i="17"/>
  <c r="G105" i="17" s="1"/>
  <c r="K99" i="17"/>
  <c r="L94" i="17"/>
  <c r="L99" i="17" s="1"/>
  <c r="E99" i="17"/>
  <c r="G94" i="17"/>
  <c r="G99" i="17" s="1"/>
  <c r="K89" i="17"/>
  <c r="L86" i="17"/>
  <c r="L89" i="17" s="1"/>
  <c r="E89" i="17"/>
  <c r="G86" i="17"/>
  <c r="G89" i="17" s="1"/>
  <c r="K80" i="17"/>
  <c r="L76" i="17"/>
  <c r="K85" i="17"/>
  <c r="J80" i="17"/>
  <c r="J85" i="17"/>
  <c r="E80" i="17"/>
  <c r="E85" i="17"/>
  <c r="G76" i="17"/>
  <c r="K75" i="17"/>
  <c r="L71" i="17"/>
  <c r="L75" i="17" s="1"/>
  <c r="E75" i="17"/>
  <c r="G71" i="17"/>
  <c r="G75" i="17" s="1"/>
  <c r="K70" i="17"/>
  <c r="L67" i="17"/>
  <c r="L70" i="17" s="1"/>
  <c r="E70" i="17"/>
  <c r="G67" i="17"/>
  <c r="G70" i="17" s="1"/>
  <c r="K66" i="17"/>
  <c r="L62" i="17"/>
  <c r="J66" i="17"/>
  <c r="L59" i="17"/>
  <c r="L66" i="17" s="1"/>
  <c r="E66" i="17"/>
  <c r="G59" i="17"/>
  <c r="G66" i="17" s="1"/>
  <c r="K58" i="17"/>
  <c r="L51" i="17"/>
  <c r="L58" i="17" s="1"/>
  <c r="E58" i="17"/>
  <c r="G51" i="17"/>
  <c r="G58" i="17" s="1"/>
  <c r="K50" i="17"/>
  <c r="L43" i="17"/>
  <c r="L50" i="17" s="1"/>
  <c r="E50" i="17"/>
  <c r="G43" i="17"/>
  <c r="G50" i="17" s="1"/>
  <c r="K42" i="17"/>
  <c r="L35" i="17"/>
  <c r="L42" i="17" s="1"/>
  <c r="G35" i="17"/>
  <c r="G42" i="17" s="1"/>
  <c r="E42" i="17"/>
  <c r="K34" i="17"/>
  <c r="L27" i="17"/>
  <c r="L34" i="17" s="1"/>
  <c r="E34" i="17"/>
  <c r="G27" i="17"/>
  <c r="G34" i="17" s="1"/>
  <c r="K26" i="17"/>
  <c r="L19" i="17"/>
  <c r="L26" i="17" s="1"/>
  <c r="G19" i="17"/>
  <c r="G26" i="17" s="1"/>
  <c r="E26" i="17"/>
  <c r="K18" i="17"/>
  <c r="L11" i="17"/>
  <c r="L18" i="17" s="1"/>
  <c r="E18" i="17"/>
  <c r="G11" i="17"/>
  <c r="G18" i="17" s="1"/>
  <c r="K10" i="17"/>
  <c r="L3" i="17"/>
  <c r="L10" i="17" s="1"/>
  <c r="E10" i="17"/>
  <c r="G3" i="17"/>
  <c r="G10" i="17" s="1"/>
  <c r="L143" i="16"/>
  <c r="L148" i="16" s="1"/>
  <c r="K148" i="16"/>
  <c r="E148" i="16"/>
  <c r="G143" i="16"/>
  <c r="G148" i="16" s="1"/>
  <c r="K142" i="16"/>
  <c r="L134" i="16"/>
  <c r="L142" i="16" s="1"/>
  <c r="G134" i="16"/>
  <c r="G142" i="16" s="1"/>
  <c r="E142" i="16"/>
  <c r="L128" i="16"/>
  <c r="L133" i="16" s="1"/>
  <c r="K133" i="16"/>
  <c r="E133" i="16"/>
  <c r="G128" i="16"/>
  <c r="G133" i="16" s="1"/>
  <c r="K127" i="16"/>
  <c r="L122" i="16"/>
  <c r="L127" i="16" s="1"/>
  <c r="E127" i="16"/>
  <c r="G122" i="16"/>
  <c r="G127" i="16" s="1"/>
  <c r="L116" i="16"/>
  <c r="L121" i="16" s="1"/>
  <c r="K121" i="16"/>
  <c r="E121" i="16"/>
  <c r="G116" i="16"/>
  <c r="G121" i="16" s="1"/>
  <c r="K115" i="16"/>
  <c r="L110" i="16"/>
  <c r="L115" i="16" s="1"/>
  <c r="G110" i="16"/>
  <c r="G115" i="16" s="1"/>
  <c r="E115" i="16"/>
  <c r="L104" i="16"/>
  <c r="L109" i="16" s="1"/>
  <c r="K109" i="16"/>
  <c r="E109" i="16"/>
  <c r="G104" i="16"/>
  <c r="G109" i="16" s="1"/>
  <c r="N103" i="16"/>
  <c r="N149" i="16" s="1"/>
  <c r="K103" i="16"/>
  <c r="L98" i="16"/>
  <c r="L103" i="16" s="1"/>
  <c r="E103" i="16"/>
  <c r="G98" i="16"/>
  <c r="G103" i="16" s="1"/>
  <c r="K93" i="16"/>
  <c r="L85" i="16"/>
  <c r="L93" i="16" s="1"/>
  <c r="G85" i="16"/>
  <c r="G93" i="16" s="1"/>
  <c r="E93" i="16"/>
  <c r="K84" i="16"/>
  <c r="L79" i="16"/>
  <c r="L84" i="16" s="1"/>
  <c r="E84" i="16"/>
  <c r="G79" i="16"/>
  <c r="G84" i="16" s="1"/>
  <c r="K73" i="16"/>
  <c r="K78" i="16" s="1"/>
  <c r="L69" i="16"/>
  <c r="J73" i="16"/>
  <c r="J78" i="16"/>
  <c r="G69" i="16"/>
  <c r="E73" i="16"/>
  <c r="E78" i="16" s="1"/>
  <c r="K68" i="16"/>
  <c r="L63" i="16"/>
  <c r="L68" i="16" s="1"/>
  <c r="E68" i="16"/>
  <c r="G63" i="16"/>
  <c r="G68" i="16" s="1"/>
  <c r="K62" i="16"/>
  <c r="L58" i="16"/>
  <c r="L62" i="16" s="1"/>
  <c r="E62" i="16"/>
  <c r="G58" i="16"/>
  <c r="G62" i="16" s="1"/>
  <c r="K57" i="16"/>
  <c r="L54" i="16"/>
  <c r="L57" i="16" s="1"/>
  <c r="G54" i="16"/>
  <c r="G57" i="16" s="1"/>
  <c r="E57" i="16"/>
  <c r="K53" i="16"/>
  <c r="L47" i="16"/>
  <c r="L53" i="16" s="1"/>
  <c r="E53" i="16"/>
  <c r="G47" i="16"/>
  <c r="G53" i="16" s="1"/>
  <c r="K46" i="16"/>
  <c r="L40" i="16"/>
  <c r="L46" i="16" s="1"/>
  <c r="E46" i="16"/>
  <c r="G40" i="16"/>
  <c r="G46" i="16" s="1"/>
  <c r="L32" i="16"/>
  <c r="L39" i="16" s="1"/>
  <c r="K39" i="16"/>
  <c r="E39" i="16"/>
  <c r="G32" i="16"/>
  <c r="G39" i="16" s="1"/>
  <c r="K31" i="16"/>
  <c r="L25" i="16"/>
  <c r="L31" i="16" s="1"/>
  <c r="E31" i="16"/>
  <c r="G25" i="16"/>
  <c r="G31" i="16" s="1"/>
  <c r="K24" i="16"/>
  <c r="L16" i="16"/>
  <c r="L24" i="16" s="1"/>
  <c r="G16" i="16"/>
  <c r="G24" i="16" s="1"/>
  <c r="E24" i="16"/>
  <c r="K15" i="16"/>
  <c r="L10" i="16"/>
  <c r="L15" i="16" s="1"/>
  <c r="E15" i="16"/>
  <c r="G10" i="16"/>
  <c r="G15" i="16" s="1"/>
  <c r="K9" i="16"/>
  <c r="L3" i="16"/>
  <c r="L9" i="16" s="1"/>
  <c r="G3" i="16"/>
  <c r="G9" i="16" s="1"/>
  <c r="E9" i="16"/>
  <c r="L165" i="15"/>
  <c r="L170" i="15" s="1"/>
  <c r="K170" i="15"/>
  <c r="G165" i="15"/>
  <c r="G170" i="15" s="1"/>
  <c r="E170" i="15"/>
  <c r="K164" i="15"/>
  <c r="L156" i="15"/>
  <c r="L164" i="15" s="1"/>
  <c r="E164" i="15"/>
  <c r="G156" i="15"/>
  <c r="G164" i="15" s="1"/>
  <c r="K155" i="15"/>
  <c r="L150" i="15"/>
  <c r="L155" i="15" s="1"/>
  <c r="G150" i="15"/>
  <c r="G155" i="15" s="1"/>
  <c r="E155" i="15"/>
  <c r="K149" i="15"/>
  <c r="L144" i="15"/>
  <c r="L149" i="15" s="1"/>
  <c r="E149" i="15"/>
  <c r="G144" i="15"/>
  <c r="G149" i="15" s="1"/>
  <c r="E143" i="15"/>
  <c r="G141" i="15"/>
  <c r="K143" i="15"/>
  <c r="L140" i="15"/>
  <c r="K137" i="15"/>
  <c r="L132" i="15"/>
  <c r="L137" i="15" s="1"/>
  <c r="G132" i="15"/>
  <c r="G137" i="15" s="1"/>
  <c r="E137" i="15"/>
  <c r="K131" i="15"/>
  <c r="L127" i="15"/>
  <c r="J131" i="15"/>
  <c r="L126" i="15"/>
  <c r="L131" i="15" s="1"/>
  <c r="E131" i="15"/>
  <c r="G126" i="15"/>
  <c r="G131" i="15" s="1"/>
  <c r="L121" i="15"/>
  <c r="K125" i="15"/>
  <c r="N121" i="15"/>
  <c r="E125" i="15"/>
  <c r="G121" i="15"/>
  <c r="G125" i="15" s="1"/>
  <c r="K115" i="15"/>
  <c r="L109" i="15"/>
  <c r="J115" i="15"/>
  <c r="L107" i="15"/>
  <c r="L115" i="15" s="1"/>
  <c r="G107" i="15"/>
  <c r="G115" i="15" s="1"/>
  <c r="E115" i="15"/>
  <c r="K106" i="15"/>
  <c r="L99" i="15"/>
  <c r="L106" i="15" s="1"/>
  <c r="G99" i="15"/>
  <c r="G106" i="15" s="1"/>
  <c r="E106" i="15"/>
  <c r="N91" i="15"/>
  <c r="N98" i="15" s="1"/>
  <c r="N116" i="15" s="1"/>
  <c r="L91" i="15"/>
  <c r="L84" i="15"/>
  <c r="K90" i="15"/>
  <c r="K98" i="15"/>
  <c r="J90" i="15"/>
  <c r="J98" i="15"/>
  <c r="E90" i="15"/>
  <c r="G84" i="15"/>
  <c r="E98" i="15"/>
  <c r="L76" i="15"/>
  <c r="L83" i="15" s="1"/>
  <c r="K83" i="15"/>
  <c r="E83" i="15"/>
  <c r="G76" i="15"/>
  <c r="G83" i="15" s="1"/>
  <c r="K75" i="15"/>
  <c r="L68" i="15"/>
  <c r="L75" i="15" s="1"/>
  <c r="E75" i="15"/>
  <c r="G68" i="15"/>
  <c r="G75" i="15" s="1"/>
  <c r="L60" i="15"/>
  <c r="L67" i="15" s="1"/>
  <c r="K67" i="15"/>
  <c r="G60" i="15"/>
  <c r="G67" i="15" s="1"/>
  <c r="E67" i="15"/>
  <c r="K59" i="15"/>
  <c r="L52" i="15"/>
  <c r="L59" i="15" s="1"/>
  <c r="G52" i="15"/>
  <c r="G59" i="15" s="1"/>
  <c r="E59" i="15"/>
  <c r="K51" i="15"/>
  <c r="L44" i="15"/>
  <c r="L51" i="15" s="1"/>
  <c r="G44" i="15"/>
  <c r="G51" i="15" s="1"/>
  <c r="E51" i="15"/>
  <c r="K43" i="15"/>
  <c r="L36" i="15"/>
  <c r="L43" i="15" s="1"/>
  <c r="E43" i="15"/>
  <c r="G36" i="15"/>
  <c r="G43" i="15" s="1"/>
  <c r="L28" i="15"/>
  <c r="L35" i="15" s="1"/>
  <c r="K35" i="15"/>
  <c r="G28" i="15"/>
  <c r="G35" i="15" s="1"/>
  <c r="E35" i="15"/>
  <c r="K27" i="15"/>
  <c r="L19" i="15"/>
  <c r="L27" i="15" s="1"/>
  <c r="E27" i="15"/>
  <c r="G19" i="15"/>
  <c r="G27" i="15" s="1"/>
  <c r="K18" i="15"/>
  <c r="L11" i="15"/>
  <c r="L18" i="15" s="1"/>
  <c r="E18" i="15"/>
  <c r="G11" i="15"/>
  <c r="G18" i="15" s="1"/>
  <c r="L3" i="15"/>
  <c r="L10" i="15" s="1"/>
  <c r="K10" i="15"/>
  <c r="E10" i="15"/>
  <c r="G3" i="15"/>
  <c r="G10" i="15" s="1"/>
  <c r="K177" i="14"/>
  <c r="L171" i="14"/>
  <c r="L177" i="14" s="1"/>
  <c r="E177" i="14"/>
  <c r="G171" i="14"/>
  <c r="G177" i="14" s="1"/>
  <c r="K170" i="14"/>
  <c r="L162" i="14"/>
  <c r="L170" i="14" s="1"/>
  <c r="E170" i="14"/>
  <c r="G162" i="14"/>
  <c r="G170" i="14" s="1"/>
  <c r="K161" i="14"/>
  <c r="L156" i="14"/>
  <c r="L161" i="14" s="1"/>
  <c r="G156" i="14"/>
  <c r="G161" i="14" s="1"/>
  <c r="E161" i="14"/>
  <c r="K155" i="14"/>
  <c r="L150" i="14"/>
  <c r="L155" i="14" s="1"/>
  <c r="E155" i="14"/>
  <c r="G150" i="14"/>
  <c r="G155" i="14" s="1"/>
  <c r="L146" i="14"/>
  <c r="K149" i="14"/>
  <c r="L144" i="14"/>
  <c r="L149" i="14" s="1"/>
  <c r="J149" i="14"/>
  <c r="E149" i="14"/>
  <c r="G144" i="14"/>
  <c r="G149" i="14" s="1"/>
  <c r="L138" i="14"/>
  <c r="L143" i="14" s="1"/>
  <c r="K143" i="14"/>
  <c r="E143" i="14"/>
  <c r="G138" i="14"/>
  <c r="G143" i="14" s="1"/>
  <c r="K137" i="14"/>
  <c r="L133" i="14"/>
  <c r="J137" i="14"/>
  <c r="L132" i="14"/>
  <c r="L137" i="14" s="1"/>
  <c r="E137" i="14"/>
  <c r="G132" i="14"/>
  <c r="G137" i="14" s="1"/>
  <c r="L127" i="14"/>
  <c r="K131" i="14"/>
  <c r="L126" i="14"/>
  <c r="L131" i="14" s="1"/>
  <c r="J131" i="14"/>
  <c r="G126" i="14"/>
  <c r="G131" i="14" s="1"/>
  <c r="E131" i="14"/>
  <c r="N125" i="14"/>
  <c r="N178" i="14" s="1"/>
  <c r="K125" i="14"/>
  <c r="L121" i="14"/>
  <c r="G121" i="14"/>
  <c r="G125" i="14" s="1"/>
  <c r="E125" i="14"/>
  <c r="J115" i="14"/>
  <c r="L107" i="14"/>
  <c r="L115" i="14" s="1"/>
  <c r="E115" i="14"/>
  <c r="G107" i="14"/>
  <c r="G115" i="14" s="1"/>
  <c r="K106" i="14"/>
  <c r="L104" i="14"/>
  <c r="L99" i="14"/>
  <c r="L106" i="14" s="1"/>
  <c r="J106" i="14"/>
  <c r="E106" i="14"/>
  <c r="G99" i="14"/>
  <c r="G106" i="14" s="1"/>
  <c r="L91" i="14"/>
  <c r="N91" i="14"/>
  <c r="N98" i="14" s="1"/>
  <c r="N116" i="14" s="1"/>
  <c r="K90" i="14"/>
  <c r="K98" i="14"/>
  <c r="L84" i="14"/>
  <c r="J90" i="14"/>
  <c r="J98" i="14"/>
  <c r="E90" i="14"/>
  <c r="E98" i="14" s="1"/>
  <c r="G84" i="14"/>
  <c r="K83" i="14"/>
  <c r="L76" i="14"/>
  <c r="L83" i="14" s="1"/>
  <c r="E83" i="14"/>
  <c r="G76" i="14"/>
  <c r="G83" i="14" s="1"/>
  <c r="K75" i="14"/>
  <c r="L68" i="14"/>
  <c r="L75" i="14" s="1"/>
  <c r="E75" i="14"/>
  <c r="G68" i="14"/>
  <c r="G75" i="14" s="1"/>
  <c r="K67" i="14"/>
  <c r="L60" i="14"/>
  <c r="L67" i="14" s="1"/>
  <c r="G60" i="14"/>
  <c r="G67" i="14" s="1"/>
  <c r="E67" i="14"/>
  <c r="K59" i="14"/>
  <c r="L52" i="14"/>
  <c r="L59" i="14" s="1"/>
  <c r="E59" i="14"/>
  <c r="G52" i="14"/>
  <c r="G59" i="14" s="1"/>
  <c r="K51" i="14"/>
  <c r="L44" i="14"/>
  <c r="L51" i="14" s="1"/>
  <c r="G44" i="14"/>
  <c r="G51" i="14" s="1"/>
  <c r="E51" i="14"/>
  <c r="L36" i="14"/>
  <c r="L43" i="14" s="1"/>
  <c r="K43" i="14"/>
  <c r="G36" i="14"/>
  <c r="G43" i="14" s="1"/>
  <c r="E43" i="14"/>
  <c r="K35" i="14"/>
  <c r="L28" i="14"/>
  <c r="L35" i="14" s="1"/>
  <c r="E35" i="14"/>
  <c r="G28" i="14"/>
  <c r="G35" i="14" s="1"/>
  <c r="K27" i="14"/>
  <c r="L19" i="14"/>
  <c r="L27" i="14" s="1"/>
  <c r="G19" i="14"/>
  <c r="G27" i="14" s="1"/>
  <c r="E27" i="14"/>
  <c r="K18" i="14"/>
  <c r="L11" i="14"/>
  <c r="L18" i="14" s="1"/>
  <c r="G11" i="14"/>
  <c r="G18" i="14" s="1"/>
  <c r="E18" i="14"/>
  <c r="K10" i="14"/>
  <c r="L3" i="14"/>
  <c r="L10" i="14" s="1"/>
  <c r="G3" i="14"/>
  <c r="G10" i="14" s="1"/>
  <c r="E10" i="14"/>
  <c r="K212" i="13"/>
  <c r="L207" i="13"/>
  <c r="J212" i="13"/>
  <c r="L206" i="13"/>
  <c r="L212" i="13" s="1"/>
  <c r="E212" i="13"/>
  <c r="G206" i="13"/>
  <c r="G212" i="13" s="1"/>
  <c r="K205" i="13"/>
  <c r="L198" i="13"/>
  <c r="L197" i="13"/>
  <c r="L205" i="13" s="1"/>
  <c r="J205" i="13"/>
  <c r="E205" i="13"/>
  <c r="G197" i="13"/>
  <c r="G205" i="13" s="1"/>
  <c r="L191" i="13"/>
  <c r="L196" i="13" s="1"/>
  <c r="K196" i="13"/>
  <c r="E196" i="13"/>
  <c r="G191" i="13"/>
  <c r="G196" i="13" s="1"/>
  <c r="L186" i="13"/>
  <c r="K190" i="13"/>
  <c r="E190" i="13"/>
  <c r="G186" i="13"/>
  <c r="J190" i="13"/>
  <c r="L185" i="13"/>
  <c r="L190" i="13" s="1"/>
  <c r="K184" i="13"/>
  <c r="L181" i="13"/>
  <c r="E184" i="13"/>
  <c r="G180" i="13"/>
  <c r="J184" i="13"/>
  <c r="L179" i="13"/>
  <c r="L184" i="13" s="1"/>
  <c r="K178" i="13"/>
  <c r="L173" i="13"/>
  <c r="L178" i="13" s="1"/>
  <c r="E178" i="13"/>
  <c r="G173" i="13"/>
  <c r="G178" i="13" s="1"/>
  <c r="K172" i="13"/>
  <c r="L168" i="13"/>
  <c r="J172" i="13"/>
  <c r="L167" i="13"/>
  <c r="L172" i="13" s="1"/>
  <c r="E172" i="13"/>
  <c r="G167" i="13"/>
  <c r="G172" i="13" s="1"/>
  <c r="L162" i="13"/>
  <c r="L166" i="13" s="1"/>
  <c r="K166" i="13"/>
  <c r="E166" i="13"/>
  <c r="G162" i="13"/>
  <c r="G166" i="13" s="1"/>
  <c r="K161" i="13"/>
  <c r="L157" i="13"/>
  <c r="E161" i="13"/>
  <c r="G157" i="13"/>
  <c r="G161" i="13" s="1"/>
  <c r="N161" i="13"/>
  <c r="N213" i="13" s="1"/>
  <c r="J151" i="13"/>
  <c r="L143" i="13"/>
  <c r="L151" i="13" s="1"/>
  <c r="G143" i="13"/>
  <c r="G151" i="13" s="1"/>
  <c r="E151" i="13"/>
  <c r="J142" i="13"/>
  <c r="L134" i="13"/>
  <c r="L142" i="13" s="1"/>
  <c r="E142" i="13"/>
  <c r="G134" i="13"/>
  <c r="G142" i="13" s="1"/>
  <c r="J133" i="13"/>
  <c r="L125" i="13"/>
  <c r="L133" i="13" s="1"/>
  <c r="J124" i="13"/>
  <c r="L116" i="13"/>
  <c r="L124" i="13" s="1"/>
  <c r="G116" i="13"/>
  <c r="G124" i="13" s="1"/>
  <c r="E124" i="13"/>
  <c r="L110" i="13"/>
  <c r="K115" i="13"/>
  <c r="L108" i="13"/>
  <c r="L115" i="13" s="1"/>
  <c r="J115" i="13"/>
  <c r="E115" i="13"/>
  <c r="G108" i="13"/>
  <c r="G115" i="13" s="1"/>
  <c r="L100" i="13"/>
  <c r="L107" i="13" s="1"/>
  <c r="J107" i="13"/>
  <c r="E107" i="13"/>
  <c r="G100" i="13"/>
  <c r="G107" i="13" s="1"/>
  <c r="L92" i="13"/>
  <c r="N92" i="13"/>
  <c r="N99" i="13" s="1"/>
  <c r="L85" i="13"/>
  <c r="K91" i="13"/>
  <c r="K99" i="13"/>
  <c r="J91" i="13"/>
  <c r="J99" i="13"/>
  <c r="E91" i="13"/>
  <c r="E99" i="13"/>
  <c r="G85" i="13"/>
  <c r="K84" i="13"/>
  <c r="L77" i="13"/>
  <c r="L84" i="13" s="1"/>
  <c r="E84" i="13"/>
  <c r="G77" i="13"/>
  <c r="G84" i="13" s="1"/>
  <c r="K76" i="13"/>
  <c r="L69" i="13"/>
  <c r="L76" i="13" s="1"/>
  <c r="G69" i="13"/>
  <c r="G76" i="13" s="1"/>
  <c r="E76" i="13"/>
  <c r="K68" i="13"/>
  <c r="L61" i="13"/>
  <c r="L68" i="13" s="1"/>
  <c r="E68" i="13"/>
  <c r="G61" i="13"/>
  <c r="G68" i="13" s="1"/>
  <c r="K60" i="13"/>
  <c r="L53" i="13"/>
  <c r="L60" i="13" s="1"/>
  <c r="K52" i="13"/>
  <c r="L44" i="13"/>
  <c r="L52" i="13" s="1"/>
  <c r="L36" i="13"/>
  <c r="L43" i="13" s="1"/>
  <c r="K43" i="13"/>
  <c r="E43" i="13"/>
  <c r="G36" i="13"/>
  <c r="G43" i="13" s="1"/>
  <c r="L28" i="13"/>
  <c r="L35" i="13" s="1"/>
  <c r="J35" i="13"/>
  <c r="E35" i="13"/>
  <c r="G28" i="13"/>
  <c r="G35" i="13" s="1"/>
  <c r="K27" i="13"/>
  <c r="L19" i="13"/>
  <c r="L27" i="13" s="1"/>
  <c r="E27" i="13"/>
  <c r="G19" i="13"/>
  <c r="G27" i="13" s="1"/>
  <c r="K18" i="13"/>
  <c r="L11" i="13"/>
  <c r="L18" i="13" s="1"/>
  <c r="E18" i="13"/>
  <c r="G11" i="13"/>
  <c r="G18" i="13" s="1"/>
  <c r="N152" i="13"/>
  <c r="Q3" i="13"/>
  <c r="K10" i="13"/>
  <c r="L3" i="13"/>
  <c r="L10" i="13" s="1"/>
  <c r="E10" i="13"/>
  <c r="G3" i="13"/>
  <c r="G10" i="13" s="1"/>
  <c r="K215" i="12"/>
  <c r="L209" i="12"/>
  <c r="L215" i="12" s="1"/>
  <c r="G209" i="12"/>
  <c r="G215" i="12" s="1"/>
  <c r="E215" i="12"/>
  <c r="K208" i="12"/>
  <c r="L201" i="12"/>
  <c r="G200" i="12"/>
  <c r="G208" i="12" s="1"/>
  <c r="E208" i="12"/>
  <c r="K199" i="12"/>
  <c r="L194" i="12"/>
  <c r="L199" i="12" s="1"/>
  <c r="E199" i="12"/>
  <c r="G194" i="12"/>
  <c r="G199" i="12" s="1"/>
  <c r="N191" i="12"/>
  <c r="L191" i="12"/>
  <c r="L189" i="12"/>
  <c r="N189" i="12"/>
  <c r="G189" i="12"/>
  <c r="E193" i="12"/>
  <c r="K193" i="12"/>
  <c r="L188" i="12"/>
  <c r="L193" i="12" s="1"/>
  <c r="N188" i="12"/>
  <c r="N193" i="12" s="1"/>
  <c r="G183" i="12"/>
  <c r="E187" i="12"/>
  <c r="N182" i="12"/>
  <c r="N187" i="12" s="1"/>
  <c r="L182" i="12"/>
  <c r="L187" i="12" s="1"/>
  <c r="K187" i="12"/>
  <c r="K181" i="12"/>
  <c r="L176" i="12"/>
  <c r="L181" i="12" s="1"/>
  <c r="E181" i="12"/>
  <c r="G176" i="12"/>
  <c r="G181" i="12" s="1"/>
  <c r="N170" i="12"/>
  <c r="N175" i="12" s="1"/>
  <c r="K175" i="12"/>
  <c r="L170" i="12"/>
  <c r="L175" i="12" s="1"/>
  <c r="G170" i="12"/>
  <c r="G175" i="12" s="1"/>
  <c r="E175" i="12"/>
  <c r="L164" i="12"/>
  <c r="L169" i="12" s="1"/>
  <c r="K169" i="12"/>
  <c r="E169" i="12"/>
  <c r="G164" i="12"/>
  <c r="G169" i="12" s="1"/>
  <c r="N159" i="12"/>
  <c r="L159" i="12"/>
  <c r="E163" i="12"/>
  <c r="G159" i="12"/>
  <c r="G163" i="12" s="1"/>
  <c r="L158" i="12"/>
  <c r="L163" i="12" s="1"/>
  <c r="K163" i="12"/>
  <c r="L145" i="12"/>
  <c r="L153" i="12" s="1"/>
  <c r="K153" i="12"/>
  <c r="E153" i="12"/>
  <c r="G145" i="12"/>
  <c r="G153" i="12" s="1"/>
  <c r="K144" i="12"/>
  <c r="L136" i="12"/>
  <c r="L144" i="12" s="1"/>
  <c r="E144" i="12"/>
  <c r="G136" i="12"/>
  <c r="G144" i="12" s="1"/>
  <c r="K135" i="12"/>
  <c r="L127" i="12"/>
  <c r="L135" i="12" s="1"/>
  <c r="G127" i="12"/>
  <c r="G135" i="12" s="1"/>
  <c r="E135" i="12"/>
  <c r="K126" i="12"/>
  <c r="L121" i="12"/>
  <c r="E126" i="12"/>
  <c r="G121" i="12"/>
  <c r="L110" i="12"/>
  <c r="L117" i="12" s="1"/>
  <c r="K117" i="12"/>
  <c r="G110" i="12"/>
  <c r="G117" i="12" s="1"/>
  <c r="E117" i="12"/>
  <c r="K109" i="12"/>
  <c r="L102" i="12"/>
  <c r="L109" i="12" s="1"/>
  <c r="E109" i="12"/>
  <c r="G102" i="12"/>
  <c r="G109" i="12" s="1"/>
  <c r="N94" i="12"/>
  <c r="N101" i="12" s="1"/>
  <c r="Q14" i="12" s="1"/>
  <c r="L94" i="12"/>
  <c r="L87" i="12"/>
  <c r="K93" i="12"/>
  <c r="K101" i="12"/>
  <c r="J93" i="12"/>
  <c r="J101" i="12"/>
  <c r="G87" i="12"/>
  <c r="E93" i="12"/>
  <c r="E101" i="12" s="1"/>
  <c r="L79" i="12"/>
  <c r="L86" i="12" s="1"/>
  <c r="K86" i="12"/>
  <c r="G79" i="12"/>
  <c r="G86" i="12" s="1"/>
  <c r="E86" i="12"/>
  <c r="K78" i="12"/>
  <c r="L71" i="12"/>
  <c r="L78" i="12" s="1"/>
  <c r="E78" i="12"/>
  <c r="G71" i="12"/>
  <c r="G78" i="12" s="1"/>
  <c r="L63" i="12"/>
  <c r="L70" i="12" s="1"/>
  <c r="K70" i="12"/>
  <c r="G63" i="12"/>
  <c r="G70" i="12" s="1"/>
  <c r="E70" i="12"/>
  <c r="K62" i="12"/>
  <c r="L54" i="12"/>
  <c r="L62" i="12" s="1"/>
  <c r="G54" i="12"/>
  <c r="G62" i="12" s="1"/>
  <c r="E62" i="12"/>
  <c r="L44" i="12"/>
  <c r="L53" i="12" s="1"/>
  <c r="K53" i="12"/>
  <c r="E53" i="12"/>
  <c r="G44" i="12"/>
  <c r="G53" i="12" s="1"/>
  <c r="L36" i="12"/>
  <c r="L43" i="12" s="1"/>
  <c r="K43" i="12"/>
  <c r="G36" i="12"/>
  <c r="G43" i="12" s="1"/>
  <c r="E43" i="12"/>
  <c r="L28" i="12"/>
  <c r="L35" i="12" s="1"/>
  <c r="K35" i="12"/>
  <c r="E35" i="12"/>
  <c r="G28" i="12"/>
  <c r="G35" i="12" s="1"/>
  <c r="L19" i="12"/>
  <c r="L27" i="12" s="1"/>
  <c r="K27" i="12"/>
  <c r="E27" i="12"/>
  <c r="G19" i="12"/>
  <c r="G27" i="12" s="1"/>
  <c r="L11" i="12"/>
  <c r="L18" i="12" s="1"/>
  <c r="K18" i="12"/>
  <c r="G11" i="12"/>
  <c r="G18" i="12" s="1"/>
  <c r="E18" i="12"/>
  <c r="N154" i="12"/>
  <c r="Q3" i="12"/>
  <c r="K10" i="12"/>
  <c r="L3" i="12"/>
  <c r="L10" i="12" s="1"/>
  <c r="G3" i="12"/>
  <c r="G10" i="12" s="1"/>
  <c r="E10" i="12"/>
  <c r="K242" i="11"/>
  <c r="L236" i="11"/>
  <c r="L242" i="11" s="1"/>
  <c r="E242" i="11"/>
  <c r="G236" i="11"/>
  <c r="G242" i="11" s="1"/>
  <c r="K235" i="11"/>
  <c r="L229" i="11"/>
  <c r="L235" i="11" s="1"/>
  <c r="G229" i="11"/>
  <c r="G235" i="11" s="1"/>
  <c r="E235" i="11"/>
  <c r="Q184" i="11"/>
  <c r="Q30" i="11"/>
  <c r="R30" i="11" s="1"/>
  <c r="L221" i="11"/>
  <c r="K228" i="11"/>
  <c r="L220" i="11"/>
  <c r="L228" i="11" s="1"/>
  <c r="J228" i="11"/>
  <c r="G220" i="11"/>
  <c r="G228" i="11" s="1"/>
  <c r="E228" i="11"/>
  <c r="Q29" i="11"/>
  <c r="R29" i="11" s="1"/>
  <c r="Q183" i="11"/>
  <c r="L214" i="11"/>
  <c r="L219" i="11" s="1"/>
  <c r="K219" i="11"/>
  <c r="E219" i="11"/>
  <c r="G214" i="11"/>
  <c r="G219" i="11" s="1"/>
  <c r="L212" i="11"/>
  <c r="N212" i="11"/>
  <c r="N213" i="11" s="1"/>
  <c r="L208" i="11"/>
  <c r="L213" i="11" s="1"/>
  <c r="K213" i="11"/>
  <c r="G208" i="11"/>
  <c r="G213" i="11" s="1"/>
  <c r="E213" i="11"/>
  <c r="Q27" i="11"/>
  <c r="Q181" i="11"/>
  <c r="G203" i="11"/>
  <c r="E207" i="11"/>
  <c r="L202" i="11"/>
  <c r="L207" i="11" s="1"/>
  <c r="K207" i="11"/>
  <c r="Q26" i="11"/>
  <c r="R26" i="11" s="1"/>
  <c r="Q180" i="11"/>
  <c r="G196" i="11"/>
  <c r="G201" i="11" s="1"/>
  <c r="E201" i="11"/>
  <c r="Q25" i="11"/>
  <c r="R25" i="11" s="1"/>
  <c r="Q179" i="11"/>
  <c r="K195" i="11"/>
  <c r="L190" i="11"/>
  <c r="L195" i="11" s="1"/>
  <c r="G190" i="11"/>
  <c r="G195" i="11" s="1"/>
  <c r="E195" i="11"/>
  <c r="Q24" i="11"/>
  <c r="R24" i="11" s="1"/>
  <c r="Q178" i="11"/>
  <c r="L184" i="11"/>
  <c r="L189" i="11" s="1"/>
  <c r="K189" i="11"/>
  <c r="N183" i="11"/>
  <c r="N243" i="11" s="1"/>
  <c r="L178" i="11"/>
  <c r="L183" i="11" s="1"/>
  <c r="K183" i="11"/>
  <c r="E183" i="11"/>
  <c r="G178" i="11"/>
  <c r="G183" i="11" s="1"/>
  <c r="L165" i="11"/>
  <c r="L173" i="11" s="1"/>
  <c r="K173" i="11"/>
  <c r="G165" i="11"/>
  <c r="G173" i="11" s="1"/>
  <c r="E173" i="11"/>
  <c r="K164" i="11"/>
  <c r="L156" i="11"/>
  <c r="L164" i="11" s="1"/>
  <c r="E164" i="11"/>
  <c r="G156" i="11"/>
  <c r="G164" i="11" s="1"/>
  <c r="K155" i="11"/>
  <c r="L147" i="11"/>
  <c r="L155" i="11" s="1"/>
  <c r="E155" i="11"/>
  <c r="G147" i="11"/>
  <c r="G155" i="11" s="1"/>
  <c r="L138" i="11"/>
  <c r="L146" i="11" s="1"/>
  <c r="K146" i="11"/>
  <c r="G138" i="11"/>
  <c r="G146" i="11" s="1"/>
  <c r="E146" i="11"/>
  <c r="K137" i="11"/>
  <c r="L129" i="11"/>
  <c r="L137" i="11" s="1"/>
  <c r="G129" i="11"/>
  <c r="G137" i="11" s="1"/>
  <c r="E137" i="11"/>
  <c r="K128" i="11"/>
  <c r="L120" i="11"/>
  <c r="L128" i="11" s="1"/>
  <c r="E128" i="11"/>
  <c r="G120" i="11"/>
  <c r="G128" i="11" s="1"/>
  <c r="L112" i="11"/>
  <c r="L119" i="11" s="1"/>
  <c r="K119" i="11"/>
  <c r="G112" i="11"/>
  <c r="G119" i="11" s="1"/>
  <c r="E119" i="11"/>
  <c r="E111" i="11"/>
  <c r="G104" i="11"/>
  <c r="G111" i="11" s="1"/>
  <c r="N96" i="11"/>
  <c r="N103" i="11" s="1"/>
  <c r="L96" i="11"/>
  <c r="L89" i="11"/>
  <c r="K95" i="11"/>
  <c r="K103" i="11" s="1"/>
  <c r="J95" i="11"/>
  <c r="J103" i="11" s="1"/>
  <c r="G103" i="11"/>
  <c r="G95" i="11"/>
  <c r="E95" i="11"/>
  <c r="E103" i="11" s="1"/>
  <c r="K88" i="11"/>
  <c r="L81" i="11"/>
  <c r="L88" i="11" s="1"/>
  <c r="G81" i="11"/>
  <c r="G88" i="11" s="1"/>
  <c r="E88" i="11"/>
  <c r="K80" i="11"/>
  <c r="L73" i="11"/>
  <c r="L80" i="11" s="1"/>
  <c r="L65" i="11"/>
  <c r="L72" i="11" s="1"/>
  <c r="K72" i="11"/>
  <c r="L56" i="11"/>
  <c r="L64" i="11" s="1"/>
  <c r="K64" i="11"/>
  <c r="E64" i="11"/>
  <c r="G56" i="11"/>
  <c r="G64" i="11" s="1"/>
  <c r="K55" i="11"/>
  <c r="L45" i="11"/>
  <c r="L55" i="11" s="1"/>
  <c r="E55" i="11"/>
  <c r="G45" i="11"/>
  <c r="G55" i="11" s="1"/>
  <c r="K44" i="11"/>
  <c r="L36" i="11"/>
  <c r="L44" i="11" s="1"/>
  <c r="E44" i="11"/>
  <c r="G36" i="11"/>
  <c r="G44" i="11" s="1"/>
  <c r="J35" i="11"/>
  <c r="L28" i="11"/>
  <c r="L35" i="11" s="1"/>
  <c r="G28" i="11"/>
  <c r="G35" i="11" s="1"/>
  <c r="E35" i="11"/>
  <c r="K27" i="11"/>
  <c r="L19" i="11"/>
  <c r="L27" i="11" s="1"/>
  <c r="G19" i="11"/>
  <c r="G27" i="11" s="1"/>
  <c r="E27" i="11"/>
  <c r="K18" i="11"/>
  <c r="L11" i="11"/>
  <c r="L18" i="11" s="1"/>
  <c r="G11" i="11"/>
  <c r="G18" i="11" s="1"/>
  <c r="E18" i="11"/>
  <c r="Q3" i="11"/>
  <c r="R3" i="11" s="1"/>
  <c r="N174" i="11"/>
  <c r="E10" i="11"/>
  <c r="G3" i="11"/>
  <c r="G10" i="11" s="1"/>
  <c r="K235" i="10"/>
  <c r="L232" i="10"/>
  <c r="L235" i="10" s="1"/>
  <c r="G232" i="10"/>
  <c r="G235" i="10" s="1"/>
  <c r="E235" i="10"/>
  <c r="K231" i="10"/>
  <c r="L225" i="10"/>
  <c r="L231" i="10" s="1"/>
  <c r="G225" i="10"/>
  <c r="G231" i="10" s="1"/>
  <c r="E231" i="10"/>
  <c r="L217" i="10"/>
  <c r="K224" i="10"/>
  <c r="L216" i="10"/>
  <c r="L224" i="10" s="1"/>
  <c r="J224" i="10"/>
  <c r="E224" i="10"/>
  <c r="G216" i="10"/>
  <c r="G224" i="10" s="1"/>
  <c r="L210" i="10"/>
  <c r="L215" i="10" s="1"/>
  <c r="K215" i="10"/>
  <c r="E215" i="10"/>
  <c r="G210" i="10"/>
  <c r="G215" i="10" s="1"/>
  <c r="K209" i="10"/>
  <c r="L204" i="10"/>
  <c r="L209" i="10" s="1"/>
  <c r="G204" i="10"/>
  <c r="G209" i="10" s="1"/>
  <c r="E209" i="10"/>
  <c r="G199" i="10"/>
  <c r="E203" i="10"/>
  <c r="L198" i="10"/>
  <c r="L203" i="10" s="1"/>
  <c r="K203" i="10"/>
  <c r="N195" i="10"/>
  <c r="L195" i="10"/>
  <c r="L194" i="10"/>
  <c r="N194" i="10"/>
  <c r="K197" i="10"/>
  <c r="N192" i="10"/>
  <c r="N197" i="10" s="1"/>
  <c r="Q178" i="10" s="1"/>
  <c r="L192" i="10"/>
  <c r="L197" i="10" s="1"/>
  <c r="G192" i="10"/>
  <c r="G197" i="10" s="1"/>
  <c r="E197" i="10"/>
  <c r="K191" i="10"/>
  <c r="L186" i="10"/>
  <c r="L191" i="10" s="1"/>
  <c r="E191" i="10"/>
  <c r="G186" i="10"/>
  <c r="G191" i="10" s="1"/>
  <c r="L182" i="10"/>
  <c r="L185" i="10" s="1"/>
  <c r="K185" i="10"/>
  <c r="E185" i="10"/>
  <c r="G182" i="10"/>
  <c r="G185" i="10" s="1"/>
  <c r="L180" i="10"/>
  <c r="N180" i="10"/>
  <c r="L179" i="10"/>
  <c r="N179" i="10"/>
  <c r="L176" i="10"/>
  <c r="L181" i="10" s="1"/>
  <c r="K181" i="10"/>
  <c r="E181" i="10"/>
  <c r="G176" i="10"/>
  <c r="G181" i="10" s="1"/>
  <c r="L163" i="10"/>
  <c r="L171" i="10" s="1"/>
  <c r="K171" i="10"/>
  <c r="N163" i="10"/>
  <c r="N171" i="10" s="1"/>
  <c r="Q22" i="10" s="1"/>
  <c r="R22" i="10" s="1"/>
  <c r="G163" i="10"/>
  <c r="G171" i="10" s="1"/>
  <c r="E171" i="10"/>
  <c r="N161" i="10"/>
  <c r="L161" i="10"/>
  <c r="N160" i="10"/>
  <c r="L160" i="10"/>
  <c r="K159" i="10"/>
  <c r="G159" i="10"/>
  <c r="G158" i="10"/>
  <c r="K158" i="10"/>
  <c r="N157" i="10"/>
  <c r="L157" i="10"/>
  <c r="N156" i="10"/>
  <c r="L156" i="10"/>
  <c r="N155" i="10"/>
  <c r="L155" i="10"/>
  <c r="G155" i="10"/>
  <c r="G162" i="10" s="1"/>
  <c r="E162" i="10"/>
  <c r="N154" i="10"/>
  <c r="L154" i="10"/>
  <c r="L162" i="10" s="1"/>
  <c r="K162" i="10"/>
  <c r="L147" i="10"/>
  <c r="N147" i="10"/>
  <c r="L146" i="10"/>
  <c r="N146" i="10"/>
  <c r="L145" i="10"/>
  <c r="L153" i="10" s="1"/>
  <c r="K153" i="10"/>
  <c r="N145" i="10"/>
  <c r="N153" i="10" s="1"/>
  <c r="Q20" i="10" s="1"/>
  <c r="R20" i="10" s="1"/>
  <c r="G145" i="10"/>
  <c r="G153" i="10" s="1"/>
  <c r="E153" i="10"/>
  <c r="L143" i="10"/>
  <c r="N143" i="10"/>
  <c r="N144" i="10" s="1"/>
  <c r="Q19" i="10" s="1"/>
  <c r="R19" i="10" s="1"/>
  <c r="K144" i="10"/>
  <c r="L136" i="10"/>
  <c r="L144" i="10" s="1"/>
  <c r="E144" i="10"/>
  <c r="G136" i="10"/>
  <c r="G144" i="10" s="1"/>
  <c r="N134" i="10"/>
  <c r="N135" i="10" s="1"/>
  <c r="Q18" i="10" s="1"/>
  <c r="R18" i="10" s="1"/>
  <c r="L134" i="10"/>
  <c r="L127" i="10"/>
  <c r="L135" i="10" s="1"/>
  <c r="K135" i="10"/>
  <c r="E135" i="10"/>
  <c r="G127" i="10"/>
  <c r="G135" i="10" s="1"/>
  <c r="L125" i="10"/>
  <c r="N125" i="10"/>
  <c r="N126" i="10" s="1"/>
  <c r="Q17" i="10" s="1"/>
  <c r="R17" i="10" s="1"/>
  <c r="L118" i="10"/>
  <c r="L126" i="10" s="1"/>
  <c r="K126" i="10"/>
  <c r="G118" i="10"/>
  <c r="G126" i="10" s="1"/>
  <c r="E126" i="10"/>
  <c r="K117" i="10"/>
  <c r="L112" i="10"/>
  <c r="L117" i="10" s="1"/>
  <c r="E117" i="10"/>
  <c r="G112" i="10"/>
  <c r="G117" i="10" s="1"/>
  <c r="L104" i="10"/>
  <c r="L111" i="10" s="1"/>
  <c r="K111" i="10"/>
  <c r="G104" i="10"/>
  <c r="G111" i="10" s="1"/>
  <c r="E111" i="10"/>
  <c r="N96" i="10"/>
  <c r="N103" i="10" s="1"/>
  <c r="L96" i="10"/>
  <c r="K103" i="10"/>
  <c r="K95" i="10"/>
  <c r="L89" i="10"/>
  <c r="J95" i="10"/>
  <c r="J103" i="10"/>
  <c r="E95" i="10"/>
  <c r="G89" i="10"/>
  <c r="E103" i="10"/>
  <c r="L81" i="10"/>
  <c r="L88" i="10" s="1"/>
  <c r="J88" i="10"/>
  <c r="E88" i="10"/>
  <c r="G81" i="10"/>
  <c r="G88" i="10" s="1"/>
  <c r="L73" i="10"/>
  <c r="L80" i="10" s="1"/>
  <c r="K80" i="10"/>
  <c r="E80" i="10"/>
  <c r="G73" i="10"/>
  <c r="G80" i="10" s="1"/>
  <c r="E72" i="10"/>
  <c r="G65" i="10"/>
  <c r="G72" i="10" s="1"/>
  <c r="K64" i="10"/>
  <c r="L61" i="10"/>
  <c r="G61" i="10"/>
  <c r="G64" i="10" s="1"/>
  <c r="E64" i="10"/>
  <c r="K55" i="10"/>
  <c r="L45" i="10"/>
  <c r="L55" i="10" s="1"/>
  <c r="G45" i="10"/>
  <c r="G55" i="10" s="1"/>
  <c r="E55" i="10"/>
  <c r="K44" i="10"/>
  <c r="L36" i="10"/>
  <c r="L44" i="10" s="1"/>
  <c r="E44" i="10"/>
  <c r="G36" i="10"/>
  <c r="G44" i="10" s="1"/>
  <c r="L28" i="10"/>
  <c r="L35" i="10" s="1"/>
  <c r="K35" i="10"/>
  <c r="G28" i="10"/>
  <c r="G35" i="10" s="1"/>
  <c r="E35" i="10"/>
  <c r="L19" i="10"/>
  <c r="L27" i="10" s="1"/>
  <c r="K27" i="10"/>
  <c r="E27" i="10"/>
  <c r="G19" i="10"/>
  <c r="G27" i="10" s="1"/>
  <c r="K18" i="10"/>
  <c r="L11" i="10"/>
  <c r="L18" i="10" s="1"/>
  <c r="E18" i="10"/>
  <c r="G11" i="10"/>
  <c r="G18" i="10" s="1"/>
  <c r="Q23" i="10"/>
  <c r="R23" i="10" s="1"/>
  <c r="K10" i="10"/>
  <c r="L3" i="10"/>
  <c r="L10" i="10" s="1"/>
  <c r="G3" i="10"/>
  <c r="G10" i="10" s="1"/>
  <c r="E10" i="10"/>
  <c r="K244" i="9"/>
  <c r="L238" i="9"/>
  <c r="L244" i="9" s="1"/>
  <c r="E244" i="9"/>
  <c r="G238" i="9"/>
  <c r="G244" i="9" s="1"/>
  <c r="K237" i="9"/>
  <c r="L231" i="9"/>
  <c r="L237" i="9" s="1"/>
  <c r="E237" i="9"/>
  <c r="G231" i="9"/>
  <c r="G237" i="9" s="1"/>
  <c r="K230" i="9"/>
  <c r="L223" i="9"/>
  <c r="L222" i="9"/>
  <c r="L230" i="9" s="1"/>
  <c r="J230" i="9"/>
  <c r="G222" i="9"/>
  <c r="G230" i="9" s="1"/>
  <c r="E230" i="9"/>
  <c r="K221" i="9"/>
  <c r="L216" i="9"/>
  <c r="L221" i="9" s="1"/>
  <c r="E221" i="9"/>
  <c r="G216" i="9"/>
  <c r="G221" i="9" s="1"/>
  <c r="N214" i="9"/>
  <c r="N215" i="9" s="1"/>
  <c r="Q184" i="9" s="1"/>
  <c r="L214" i="9"/>
  <c r="K215" i="9"/>
  <c r="L210" i="9"/>
  <c r="L215" i="9" s="1"/>
  <c r="E215" i="9"/>
  <c r="G210" i="9"/>
  <c r="G215" i="9" s="1"/>
  <c r="G205" i="9"/>
  <c r="E209" i="9"/>
  <c r="K209" i="9"/>
  <c r="L204" i="9"/>
  <c r="L209" i="9" s="1"/>
  <c r="L201" i="9"/>
  <c r="N201" i="9"/>
  <c r="N200" i="9"/>
  <c r="L200" i="9"/>
  <c r="N199" i="9"/>
  <c r="L199" i="9"/>
  <c r="K203" i="9"/>
  <c r="N198" i="9"/>
  <c r="N203" i="9" s="1"/>
  <c r="Q182" i="9" s="1"/>
  <c r="L198" i="9"/>
  <c r="L203" i="9" s="1"/>
  <c r="E203" i="9"/>
  <c r="G198" i="9"/>
  <c r="G203" i="9" s="1"/>
  <c r="L194" i="9"/>
  <c r="K197" i="9"/>
  <c r="L192" i="9"/>
  <c r="L197" i="9" s="1"/>
  <c r="J197" i="9"/>
  <c r="E197" i="9"/>
  <c r="G192" i="9"/>
  <c r="G197" i="9" s="1"/>
  <c r="L186" i="9"/>
  <c r="L191" i="9" s="1"/>
  <c r="K191" i="9"/>
  <c r="G186" i="9"/>
  <c r="G191" i="9" s="1"/>
  <c r="E191" i="9"/>
  <c r="N184" i="9"/>
  <c r="L184" i="9"/>
  <c r="N183" i="9"/>
  <c r="L183" i="9"/>
  <c r="L182" i="9"/>
  <c r="N182" i="9"/>
  <c r="N180" i="9"/>
  <c r="K185" i="9"/>
  <c r="L180" i="9"/>
  <c r="L185" i="9" s="1"/>
  <c r="E185" i="9"/>
  <c r="G180" i="9"/>
  <c r="G185" i="9" s="1"/>
  <c r="J175" i="9"/>
  <c r="L167" i="9"/>
  <c r="L175" i="9" s="1"/>
  <c r="E175" i="9"/>
  <c r="G167" i="9"/>
  <c r="G175" i="9" s="1"/>
  <c r="N165" i="9"/>
  <c r="L165" i="9"/>
  <c r="N164" i="9"/>
  <c r="L164" i="9"/>
  <c r="K163" i="9"/>
  <c r="G163" i="9"/>
  <c r="K162" i="9"/>
  <c r="G162" i="9"/>
  <c r="K161" i="9"/>
  <c r="G161" i="9"/>
  <c r="L160" i="9"/>
  <c r="N160" i="9"/>
  <c r="N159" i="9"/>
  <c r="L159" i="9"/>
  <c r="K158" i="9"/>
  <c r="G158" i="9"/>
  <c r="G166" i="9" s="1"/>
  <c r="E166" i="9"/>
  <c r="K157" i="9"/>
  <c r="L155" i="9"/>
  <c r="J157" i="9"/>
  <c r="L149" i="9"/>
  <c r="L157" i="9" s="1"/>
  <c r="E157" i="9"/>
  <c r="G149" i="9"/>
  <c r="G157" i="9" s="1"/>
  <c r="N147" i="9"/>
  <c r="N148" i="9" s="1"/>
  <c r="Q20" i="9" s="1"/>
  <c r="R20" i="9" s="1"/>
  <c r="L147" i="9"/>
  <c r="K148" i="9"/>
  <c r="L144" i="9"/>
  <c r="L140" i="9"/>
  <c r="L148" i="9" s="1"/>
  <c r="J148" i="9"/>
  <c r="G140" i="9"/>
  <c r="G148" i="9" s="1"/>
  <c r="E148" i="9"/>
  <c r="L138" i="9"/>
  <c r="N138" i="9"/>
  <c r="N139" i="9" s="1"/>
  <c r="Q19" i="9" s="1"/>
  <c r="R19" i="9" s="1"/>
  <c r="K139" i="9"/>
  <c r="L137" i="9"/>
  <c r="L131" i="9"/>
  <c r="L139" i="9" s="1"/>
  <c r="J139" i="9"/>
  <c r="E139" i="9"/>
  <c r="G131" i="9"/>
  <c r="G139" i="9" s="1"/>
  <c r="J130" i="9"/>
  <c r="L122" i="9"/>
  <c r="L130" i="9" s="1"/>
  <c r="G122" i="9"/>
  <c r="G130" i="9" s="1"/>
  <c r="E130" i="9"/>
  <c r="L114" i="9"/>
  <c r="L121" i="9" s="1"/>
  <c r="K121" i="9"/>
  <c r="G114" i="9"/>
  <c r="G121" i="9" s="1"/>
  <c r="E121" i="9"/>
  <c r="K113" i="9"/>
  <c r="L106" i="9"/>
  <c r="L113" i="9" s="1"/>
  <c r="E113" i="9"/>
  <c r="G106" i="9"/>
  <c r="G113" i="9" s="1"/>
  <c r="L98" i="9"/>
  <c r="N98" i="9"/>
  <c r="N105" i="9" s="1"/>
  <c r="K97" i="9"/>
  <c r="K105" i="9" s="1"/>
  <c r="L91" i="9"/>
  <c r="J97" i="9"/>
  <c r="J105" i="9" s="1"/>
  <c r="G91" i="9"/>
  <c r="E97" i="9"/>
  <c r="E105" i="9" s="1"/>
  <c r="L83" i="9"/>
  <c r="L90" i="9" s="1"/>
  <c r="K90" i="9"/>
  <c r="G83" i="9"/>
  <c r="G90" i="9" s="1"/>
  <c r="E90" i="9"/>
  <c r="L75" i="9"/>
  <c r="L82" i="9" s="1"/>
  <c r="K82" i="9"/>
  <c r="E82" i="9"/>
  <c r="G75" i="9"/>
  <c r="G82" i="9" s="1"/>
  <c r="L68" i="9"/>
  <c r="K74" i="9"/>
  <c r="G67" i="9"/>
  <c r="G74" i="9" s="1"/>
  <c r="E74" i="9"/>
  <c r="L57" i="9"/>
  <c r="L66" i="9" s="1"/>
  <c r="K66" i="9"/>
  <c r="G57" i="9"/>
  <c r="G66" i="9" s="1"/>
  <c r="E66" i="9"/>
  <c r="G46" i="9"/>
  <c r="G56" i="9" s="1"/>
  <c r="E56" i="9"/>
  <c r="L37" i="9"/>
  <c r="L45" i="9" s="1"/>
  <c r="K45" i="9"/>
  <c r="G37" i="9"/>
  <c r="G45" i="9" s="1"/>
  <c r="E45" i="9"/>
  <c r="K36" i="9"/>
  <c r="L29" i="9"/>
  <c r="L36" i="9" s="1"/>
  <c r="G29" i="9"/>
  <c r="G36" i="9" s="1"/>
  <c r="E36" i="9"/>
  <c r="K28" i="9"/>
  <c r="L20" i="9"/>
  <c r="L28" i="9" s="1"/>
  <c r="G20" i="9"/>
  <c r="G28" i="9" s="1"/>
  <c r="E28" i="9"/>
  <c r="L12" i="9"/>
  <c r="L19" i="9" s="1"/>
  <c r="K19" i="9"/>
  <c r="G12" i="9"/>
  <c r="G19" i="9" s="1"/>
  <c r="E19" i="9"/>
  <c r="K11" i="9"/>
  <c r="L3" i="9"/>
  <c r="L11" i="9" s="1"/>
  <c r="E11" i="9"/>
  <c r="G3" i="9"/>
  <c r="G11" i="9" s="1"/>
  <c r="K245" i="8"/>
  <c r="L239" i="8"/>
  <c r="L245" i="8" s="1"/>
  <c r="G239" i="8"/>
  <c r="G245" i="8" s="1"/>
  <c r="E245" i="8"/>
  <c r="L232" i="8"/>
  <c r="L238" i="8" s="1"/>
  <c r="K238" i="8"/>
  <c r="G232" i="8"/>
  <c r="G238" i="8" s="1"/>
  <c r="E238" i="8"/>
  <c r="K231" i="8"/>
  <c r="L223" i="8"/>
  <c r="L222" i="8"/>
  <c r="L231" i="8" s="1"/>
  <c r="J231" i="8"/>
  <c r="E231" i="8"/>
  <c r="G222" i="8"/>
  <c r="G231" i="8" s="1"/>
  <c r="L216" i="8"/>
  <c r="L221" i="8" s="1"/>
  <c r="K221" i="8"/>
  <c r="E221" i="8"/>
  <c r="G216" i="8"/>
  <c r="G221" i="8" s="1"/>
  <c r="L214" i="8"/>
  <c r="N214" i="8"/>
  <c r="N215" i="8" s="1"/>
  <c r="Q184" i="8" s="1"/>
  <c r="K215" i="8"/>
  <c r="L210" i="8"/>
  <c r="L215" i="8" s="1"/>
  <c r="E215" i="8"/>
  <c r="G210" i="8"/>
  <c r="G215" i="8" s="1"/>
  <c r="L205" i="8"/>
  <c r="N205" i="8"/>
  <c r="N209" i="8" s="1"/>
  <c r="Q183" i="8" s="1"/>
  <c r="L201" i="8"/>
  <c r="N201" i="8"/>
  <c r="N200" i="8"/>
  <c r="L200" i="8"/>
  <c r="L199" i="8"/>
  <c r="N199" i="8"/>
  <c r="K203" i="8"/>
  <c r="N198" i="8"/>
  <c r="N203" i="8" s="1"/>
  <c r="Q182" i="8" s="1"/>
  <c r="L198" i="8"/>
  <c r="L203" i="8" s="1"/>
  <c r="E203" i="8"/>
  <c r="G198" i="8"/>
  <c r="G203" i="8" s="1"/>
  <c r="J197" i="8"/>
  <c r="L192" i="8"/>
  <c r="L197" i="8" s="1"/>
  <c r="E197" i="8"/>
  <c r="G192" i="8"/>
  <c r="G197" i="8" s="1"/>
  <c r="K191" i="8"/>
  <c r="L186" i="8"/>
  <c r="L191" i="8" s="1"/>
  <c r="E191" i="8"/>
  <c r="G186" i="8"/>
  <c r="G191" i="8" s="1"/>
  <c r="L184" i="8"/>
  <c r="N184" i="8"/>
  <c r="L183" i="8"/>
  <c r="N183" i="8"/>
  <c r="N182" i="8"/>
  <c r="L182" i="8"/>
  <c r="L181" i="8"/>
  <c r="N181" i="8"/>
  <c r="L180" i="8"/>
  <c r="L185" i="8" s="1"/>
  <c r="N180" i="8"/>
  <c r="K185" i="8"/>
  <c r="E185" i="8"/>
  <c r="G180" i="8"/>
  <c r="G185" i="8" s="1"/>
  <c r="J175" i="8"/>
  <c r="L167" i="8"/>
  <c r="L175" i="8" s="1"/>
  <c r="G167" i="8"/>
  <c r="G175" i="8" s="1"/>
  <c r="E175" i="8"/>
  <c r="L165" i="8"/>
  <c r="N165" i="8"/>
  <c r="N164" i="8"/>
  <c r="N166" i="8" s="1"/>
  <c r="Q22" i="8" s="1"/>
  <c r="R22" i="8" s="1"/>
  <c r="L164" i="8"/>
  <c r="K166" i="8"/>
  <c r="J166" i="8"/>
  <c r="L158" i="8"/>
  <c r="L166" i="8" s="1"/>
  <c r="E166" i="8"/>
  <c r="G158" i="8"/>
  <c r="G166" i="8" s="1"/>
  <c r="K157" i="8"/>
  <c r="L155" i="8"/>
  <c r="J157" i="8"/>
  <c r="L149" i="8"/>
  <c r="L157" i="8" s="1"/>
  <c r="G149" i="8"/>
  <c r="G157" i="8" s="1"/>
  <c r="E157" i="8"/>
  <c r="N147" i="8"/>
  <c r="N148" i="8" s="1"/>
  <c r="Q20" i="8" s="1"/>
  <c r="R20" i="8" s="1"/>
  <c r="L147" i="8"/>
  <c r="K148" i="8"/>
  <c r="L146" i="8"/>
  <c r="L140" i="8"/>
  <c r="L148" i="8" s="1"/>
  <c r="J148" i="8"/>
  <c r="E148" i="8"/>
  <c r="G140" i="8"/>
  <c r="G148" i="8" s="1"/>
  <c r="N138" i="8"/>
  <c r="N139" i="8" s="1"/>
  <c r="L138" i="8"/>
  <c r="L137" i="8"/>
  <c r="K139" i="8"/>
  <c r="J139" i="8"/>
  <c r="L131" i="8"/>
  <c r="L139" i="8" s="1"/>
  <c r="L122" i="8"/>
  <c r="L130" i="8" s="1"/>
  <c r="J130" i="8"/>
  <c r="E130" i="8"/>
  <c r="G122" i="8"/>
  <c r="G130" i="8" s="1"/>
  <c r="K121" i="8"/>
  <c r="L114" i="8"/>
  <c r="L121" i="8" s="1"/>
  <c r="G114" i="8"/>
  <c r="G121" i="8" s="1"/>
  <c r="E121" i="8"/>
  <c r="K113" i="8"/>
  <c r="L106" i="8"/>
  <c r="L113" i="8" s="1"/>
  <c r="E113" i="8"/>
  <c r="G106" i="8"/>
  <c r="G113" i="8" s="1"/>
  <c r="Q16" i="8"/>
  <c r="Q15" i="8"/>
  <c r="R15" i="8" s="1"/>
  <c r="K97" i="8"/>
  <c r="K105" i="8" s="1"/>
  <c r="L91" i="8"/>
  <c r="J97" i="8"/>
  <c r="J105" i="8" s="1"/>
  <c r="G91" i="8"/>
  <c r="E105" i="8"/>
  <c r="E97" i="8"/>
  <c r="L83" i="8"/>
  <c r="L90" i="8" s="1"/>
  <c r="K90" i="8"/>
  <c r="E90" i="8"/>
  <c r="G83" i="8"/>
  <c r="G90" i="8" s="1"/>
  <c r="L75" i="8"/>
  <c r="L82" i="8" s="1"/>
  <c r="K82" i="8"/>
  <c r="G75" i="8"/>
  <c r="G82" i="8" s="1"/>
  <c r="E82" i="8"/>
  <c r="L68" i="8"/>
  <c r="L74" i="8" s="1"/>
  <c r="K74" i="8"/>
  <c r="G67" i="8"/>
  <c r="G74" i="8" s="1"/>
  <c r="E74" i="8"/>
  <c r="L57" i="8"/>
  <c r="L66" i="8" s="1"/>
  <c r="K66" i="8"/>
  <c r="G57" i="8"/>
  <c r="G66" i="8" s="1"/>
  <c r="E66" i="8"/>
  <c r="L46" i="8"/>
  <c r="L56" i="8" s="1"/>
  <c r="K56" i="8"/>
  <c r="E56" i="8"/>
  <c r="G46" i="8"/>
  <c r="G56" i="8" s="1"/>
  <c r="L37" i="8"/>
  <c r="L45" i="8" s="1"/>
  <c r="K45" i="8"/>
  <c r="G37" i="8"/>
  <c r="G45" i="8" s="1"/>
  <c r="E45" i="8"/>
  <c r="L29" i="8"/>
  <c r="L36" i="8" s="1"/>
  <c r="K36" i="8"/>
  <c r="E36" i="8"/>
  <c r="G29" i="8"/>
  <c r="G36" i="8" s="1"/>
  <c r="K28" i="8"/>
  <c r="L20" i="8"/>
  <c r="L28" i="8" s="1"/>
  <c r="E28" i="8"/>
  <c r="G20" i="8"/>
  <c r="G28" i="8" s="1"/>
  <c r="G15" i="8"/>
  <c r="G19" i="8" s="1"/>
  <c r="E19" i="8"/>
  <c r="L14" i="8"/>
  <c r="L19" i="8" s="1"/>
  <c r="K19" i="8"/>
  <c r="K11" i="8"/>
  <c r="L3" i="8"/>
  <c r="L11" i="8" s="1"/>
  <c r="G3" i="8"/>
  <c r="G11" i="8" s="1"/>
  <c r="E11" i="8"/>
  <c r="L258" i="7"/>
  <c r="L264" i="7" s="1"/>
  <c r="K264" i="7"/>
  <c r="G258" i="7"/>
  <c r="G264" i="7" s="1"/>
  <c r="E264" i="7"/>
  <c r="L251" i="7"/>
  <c r="L257" i="7" s="1"/>
  <c r="K257" i="7"/>
  <c r="G251" i="7"/>
  <c r="G257" i="7" s="1"/>
  <c r="E257" i="7"/>
  <c r="L243" i="7"/>
  <c r="K250" i="7"/>
  <c r="L242" i="7"/>
  <c r="L250" i="7" s="1"/>
  <c r="J250" i="7"/>
  <c r="E250" i="7"/>
  <c r="G242" i="7"/>
  <c r="G250" i="7" s="1"/>
  <c r="K241" i="7"/>
  <c r="L236" i="7"/>
  <c r="L241" i="7" s="1"/>
  <c r="G236" i="7"/>
  <c r="G241" i="7" s="1"/>
  <c r="E241" i="7"/>
  <c r="L234" i="7"/>
  <c r="N234" i="7"/>
  <c r="N235" i="7" s="1"/>
  <c r="Q204" i="7" s="1"/>
  <c r="L230" i="7"/>
  <c r="L235" i="7" s="1"/>
  <c r="K235" i="7"/>
  <c r="G230" i="7"/>
  <c r="G235" i="7" s="1"/>
  <c r="E235" i="7"/>
  <c r="N225" i="7"/>
  <c r="N229" i="7" s="1"/>
  <c r="Q203" i="7" s="1"/>
  <c r="L225" i="7"/>
  <c r="E229" i="7"/>
  <c r="G225" i="7"/>
  <c r="L224" i="7"/>
  <c r="L229" i="7" s="1"/>
  <c r="K229" i="7"/>
  <c r="N221" i="7"/>
  <c r="L221" i="7"/>
  <c r="N220" i="7"/>
  <c r="L220" i="7"/>
  <c r="N219" i="7"/>
  <c r="N223" i="7" s="1"/>
  <c r="Q202" i="7" s="1"/>
  <c r="L219" i="7"/>
  <c r="K223" i="7"/>
  <c r="L218" i="7"/>
  <c r="L223" i="7" s="1"/>
  <c r="G218" i="7"/>
  <c r="G223" i="7" s="1"/>
  <c r="E223" i="7"/>
  <c r="L214" i="7"/>
  <c r="K217" i="7"/>
  <c r="L212" i="7"/>
  <c r="L217" i="7" s="1"/>
  <c r="J217" i="7"/>
  <c r="G212" i="7"/>
  <c r="G217" i="7" s="1"/>
  <c r="E217" i="7"/>
  <c r="L206" i="7"/>
  <c r="L211" i="7" s="1"/>
  <c r="K211" i="7"/>
  <c r="E211" i="7"/>
  <c r="G206" i="7"/>
  <c r="G211" i="7" s="1"/>
  <c r="N204" i="7"/>
  <c r="L204" i="7"/>
  <c r="L203" i="7"/>
  <c r="N203" i="7"/>
  <c r="L202" i="7"/>
  <c r="N202" i="7"/>
  <c r="L201" i="7"/>
  <c r="N201" i="7"/>
  <c r="K205" i="7"/>
  <c r="N205" i="7"/>
  <c r="Q199" i="7" s="1"/>
  <c r="Q210" i="7" s="1"/>
  <c r="N265" i="7"/>
  <c r="L200" i="7"/>
  <c r="L205" i="7" s="1"/>
  <c r="J205" i="7"/>
  <c r="G200" i="7"/>
  <c r="G205" i="7" s="1"/>
  <c r="E205" i="7"/>
  <c r="N188" i="7"/>
  <c r="N195" i="7" s="1"/>
  <c r="Q25" i="7" s="1"/>
  <c r="R25" i="7" s="1"/>
  <c r="L188" i="7"/>
  <c r="K195" i="7"/>
  <c r="N182" i="7"/>
  <c r="L182" i="7"/>
  <c r="N181" i="7"/>
  <c r="L181" i="7"/>
  <c r="K187" i="7"/>
  <c r="N180" i="7"/>
  <c r="N187" i="7" s="1"/>
  <c r="Q24" i="7" s="1"/>
  <c r="R24" i="7" s="1"/>
  <c r="L180" i="7"/>
  <c r="L195" i="7" s="1"/>
  <c r="G180" i="7"/>
  <c r="G195" i="7" s="1"/>
  <c r="L174" i="7"/>
  <c r="L187" i="7" s="1"/>
  <c r="J187" i="7"/>
  <c r="J195" i="7" s="1"/>
  <c r="G174" i="7"/>
  <c r="G187" i="7" s="1"/>
  <c r="N172" i="7"/>
  <c r="L172" i="7"/>
  <c r="N171" i="7"/>
  <c r="N179" i="7" s="1"/>
  <c r="Q23" i="7" s="1"/>
  <c r="R23" i="7" s="1"/>
  <c r="L171" i="7"/>
  <c r="L179" i="7" s="1"/>
  <c r="K179" i="7"/>
  <c r="E179" i="7"/>
  <c r="E187" i="7" s="1"/>
  <c r="E195" i="7" s="1"/>
  <c r="G171" i="7"/>
  <c r="G179" i="7" s="1"/>
  <c r="N169" i="7"/>
  <c r="L169" i="7"/>
  <c r="N168" i="7"/>
  <c r="L168" i="7"/>
  <c r="N165" i="7"/>
  <c r="L165" i="7"/>
  <c r="L164" i="7"/>
  <c r="N164" i="7"/>
  <c r="N163" i="7"/>
  <c r="L163" i="7"/>
  <c r="L162" i="7"/>
  <c r="L170" i="7" s="1"/>
  <c r="N162" i="7"/>
  <c r="N170" i="7" s="1"/>
  <c r="Q22" i="7" s="1"/>
  <c r="R22" i="7" s="1"/>
  <c r="K170" i="7"/>
  <c r="E170" i="7"/>
  <c r="G162" i="7"/>
  <c r="G170" i="7" s="1"/>
  <c r="N154" i="7"/>
  <c r="L154" i="7"/>
  <c r="K161" i="7"/>
  <c r="N153" i="7"/>
  <c r="N161" i="7" s="1"/>
  <c r="Q21" i="7" s="1"/>
  <c r="R21" i="7" s="1"/>
  <c r="L153" i="7"/>
  <c r="L161" i="7" s="1"/>
  <c r="E161" i="7"/>
  <c r="G153" i="7"/>
  <c r="G161" i="7" s="1"/>
  <c r="N151" i="7"/>
  <c r="L151" i="7"/>
  <c r="N146" i="7"/>
  <c r="L146" i="7"/>
  <c r="N145" i="7"/>
  <c r="L145" i="7"/>
  <c r="N144" i="7"/>
  <c r="N152" i="7" s="1"/>
  <c r="Q20" i="7" s="1"/>
  <c r="R20" i="7" s="1"/>
  <c r="L144" i="7"/>
  <c r="L152" i="7" s="1"/>
  <c r="K152" i="7"/>
  <c r="E152" i="7"/>
  <c r="G144" i="7"/>
  <c r="G152" i="7" s="1"/>
  <c r="L142" i="7"/>
  <c r="N142" i="7"/>
  <c r="N143" i="7" s="1"/>
  <c r="Q19" i="7" s="1"/>
  <c r="R19" i="7" s="1"/>
  <c r="K143" i="7"/>
  <c r="L141" i="7"/>
  <c r="L135" i="7"/>
  <c r="L143" i="7" s="1"/>
  <c r="J143" i="7"/>
  <c r="E143" i="7"/>
  <c r="G135" i="7"/>
  <c r="G143" i="7" s="1"/>
  <c r="N130" i="7"/>
  <c r="L130" i="7"/>
  <c r="L129" i="7"/>
  <c r="N129" i="7"/>
  <c r="L128" i="7"/>
  <c r="N128" i="7"/>
  <c r="L127" i="7"/>
  <c r="N127" i="7"/>
  <c r="K134" i="7"/>
  <c r="L126" i="7"/>
  <c r="L134" i="7" s="1"/>
  <c r="N126" i="7"/>
  <c r="N134" i="7" s="1"/>
  <c r="Q18" i="7" s="1"/>
  <c r="R18" i="7" s="1"/>
  <c r="G126" i="7"/>
  <c r="G134" i="7" s="1"/>
  <c r="E134" i="7"/>
  <c r="L118" i="7"/>
  <c r="L125" i="7" s="1"/>
  <c r="K125" i="7"/>
  <c r="G118" i="7"/>
  <c r="G125" i="7" s="1"/>
  <c r="E125" i="7"/>
  <c r="Q16" i="7"/>
  <c r="R16" i="7"/>
  <c r="K117" i="7"/>
  <c r="L110" i="7"/>
  <c r="L117" i="7" s="1"/>
  <c r="G110" i="7"/>
  <c r="G117" i="7" s="1"/>
  <c r="E117" i="7"/>
  <c r="K101" i="7"/>
  <c r="K109" i="7" s="1"/>
  <c r="L95" i="7"/>
  <c r="J101" i="7"/>
  <c r="J109" i="7" s="1"/>
  <c r="E101" i="7"/>
  <c r="G95" i="7"/>
  <c r="E109" i="7"/>
  <c r="K94" i="7"/>
  <c r="L87" i="7"/>
  <c r="L94" i="7" s="1"/>
  <c r="G87" i="7"/>
  <c r="G94" i="7" s="1"/>
  <c r="E94" i="7"/>
  <c r="K86" i="7"/>
  <c r="L79" i="7"/>
  <c r="L86" i="7" s="1"/>
  <c r="E86" i="7"/>
  <c r="G79" i="7"/>
  <c r="G86" i="7" s="1"/>
  <c r="K78" i="7"/>
  <c r="L72" i="7"/>
  <c r="L78" i="7" s="1"/>
  <c r="E78" i="7"/>
  <c r="G71" i="7"/>
  <c r="G78" i="7" s="1"/>
  <c r="K70" i="7"/>
  <c r="L61" i="7"/>
  <c r="L70" i="7" s="1"/>
  <c r="G61" i="7"/>
  <c r="G70" i="7" s="1"/>
  <c r="E70" i="7"/>
  <c r="L49" i="7"/>
  <c r="L60" i="7" s="1"/>
  <c r="K60" i="7"/>
  <c r="G49" i="7"/>
  <c r="G60" i="7" s="1"/>
  <c r="E60" i="7"/>
  <c r="K48" i="7"/>
  <c r="L39" i="7"/>
  <c r="L48" i="7" s="1"/>
  <c r="E48" i="7"/>
  <c r="G39" i="7"/>
  <c r="G48" i="7" s="1"/>
  <c r="K38" i="7"/>
  <c r="L30" i="7"/>
  <c r="L38" i="7" s="1"/>
  <c r="E38" i="7"/>
  <c r="G30" i="7"/>
  <c r="G38" i="7" s="1"/>
  <c r="K29" i="7"/>
  <c r="L20" i="7"/>
  <c r="L29" i="7" s="1"/>
  <c r="G20" i="7"/>
  <c r="G29" i="7" s="1"/>
  <c r="E29" i="7"/>
  <c r="O27" i="7"/>
  <c r="O28" i="7"/>
  <c r="R4" i="7"/>
  <c r="K19" i="7"/>
  <c r="L12" i="7"/>
  <c r="L19" i="7" s="1"/>
  <c r="G12" i="7"/>
  <c r="G19" i="7" s="1"/>
  <c r="E19" i="7"/>
  <c r="N196" i="7"/>
  <c r="Q9" i="7"/>
  <c r="K11" i="7"/>
  <c r="L3" i="7"/>
  <c r="L11" i="7" s="1"/>
  <c r="E11" i="7"/>
  <c r="G3" i="7"/>
  <c r="G11" i="7" s="1"/>
  <c r="E279" i="6"/>
  <c r="G274" i="6"/>
  <c r="Q211" i="6"/>
  <c r="K279" i="6"/>
  <c r="L273" i="6"/>
  <c r="L279" i="6" s="1"/>
  <c r="G267" i="6"/>
  <c r="E272" i="6"/>
  <c r="L266" i="6"/>
  <c r="L272" i="6" s="1"/>
  <c r="K272" i="6"/>
  <c r="K265" i="6"/>
  <c r="L259" i="6"/>
  <c r="L265" i="6" s="1"/>
  <c r="E265" i="6"/>
  <c r="G259" i="6"/>
  <c r="G265" i="6" s="1"/>
  <c r="K258" i="6"/>
  <c r="L252" i="6"/>
  <c r="L258" i="6" s="1"/>
  <c r="E258" i="6"/>
  <c r="G252" i="6"/>
  <c r="G258" i="6" s="1"/>
  <c r="K251" i="6"/>
  <c r="L244" i="6"/>
  <c r="J251" i="6"/>
  <c r="L243" i="6"/>
  <c r="L251" i="6" s="1"/>
  <c r="E251" i="6"/>
  <c r="G243" i="6"/>
  <c r="G251" i="6" s="1"/>
  <c r="K242" i="6"/>
  <c r="L237" i="6"/>
  <c r="L242" i="6" s="1"/>
  <c r="E242" i="6"/>
  <c r="G237" i="6"/>
  <c r="G242" i="6" s="1"/>
  <c r="L235" i="6"/>
  <c r="N235" i="6"/>
  <c r="N236" i="6" s="1"/>
  <c r="L231" i="6"/>
  <c r="L236" i="6" s="1"/>
  <c r="K236" i="6"/>
  <c r="E236" i="6"/>
  <c r="G231" i="6"/>
  <c r="G236" i="6" s="1"/>
  <c r="N226" i="6"/>
  <c r="N230" i="6" s="1"/>
  <c r="Q204" i="6" s="1"/>
  <c r="L226" i="6"/>
  <c r="E230" i="6"/>
  <c r="G226" i="6"/>
  <c r="K230" i="6"/>
  <c r="L225" i="6"/>
  <c r="L230" i="6" s="1"/>
  <c r="L222" i="6"/>
  <c r="N222" i="6"/>
  <c r="N221" i="6"/>
  <c r="L221" i="6"/>
  <c r="N220" i="6"/>
  <c r="L220" i="6"/>
  <c r="K224" i="6"/>
  <c r="N219" i="6"/>
  <c r="N224" i="6" s="1"/>
  <c r="Q203" i="6" s="1"/>
  <c r="L219" i="6"/>
  <c r="L224" i="6" s="1"/>
  <c r="E224" i="6"/>
  <c r="G219" i="6"/>
  <c r="G224" i="6" s="1"/>
  <c r="L213" i="6"/>
  <c r="L218" i="6" s="1"/>
  <c r="J218" i="6"/>
  <c r="G213" i="6"/>
  <c r="G218" i="6" s="1"/>
  <c r="E218" i="6"/>
  <c r="K212" i="6"/>
  <c r="L207" i="6"/>
  <c r="L212" i="6" s="1"/>
  <c r="E212" i="6"/>
  <c r="G207" i="6"/>
  <c r="G212" i="6" s="1"/>
  <c r="L205" i="6"/>
  <c r="N205" i="6"/>
  <c r="N204" i="6"/>
  <c r="L204" i="6"/>
  <c r="E206" i="6"/>
  <c r="G204" i="6"/>
  <c r="N203" i="6"/>
  <c r="L203" i="6"/>
  <c r="N202" i="6"/>
  <c r="L202" i="6"/>
  <c r="L201" i="6"/>
  <c r="L206" i="6" s="1"/>
  <c r="K206" i="6"/>
  <c r="N201" i="6"/>
  <c r="N206" i="6" s="1"/>
  <c r="Q200" i="6" s="1"/>
  <c r="Q213" i="6" s="1"/>
  <c r="N195" i="6"/>
  <c r="L195" i="6"/>
  <c r="N194" i="6"/>
  <c r="L194" i="6"/>
  <c r="N193" i="6"/>
  <c r="L193" i="6"/>
  <c r="N192" i="6"/>
  <c r="L192" i="6"/>
  <c r="N191" i="6"/>
  <c r="L191" i="6"/>
  <c r="L190" i="6"/>
  <c r="N190" i="6"/>
  <c r="K196" i="6"/>
  <c r="L189" i="6"/>
  <c r="N189" i="6"/>
  <c r="N196" i="6" s="1"/>
  <c r="Q25" i="6" s="1"/>
  <c r="R25" i="6" s="1"/>
  <c r="L187" i="6"/>
  <c r="N187" i="6"/>
  <c r="N186" i="6"/>
  <c r="L186" i="6"/>
  <c r="N185" i="6"/>
  <c r="L185" i="6"/>
  <c r="N184" i="6"/>
  <c r="L184" i="6"/>
  <c r="N183" i="6"/>
  <c r="L183" i="6"/>
  <c r="N182" i="6"/>
  <c r="L182" i="6"/>
  <c r="K188" i="6"/>
  <c r="N181" i="6"/>
  <c r="N188" i="6" s="1"/>
  <c r="Q24" i="6" s="1"/>
  <c r="R24" i="6" s="1"/>
  <c r="L181" i="6"/>
  <c r="L196" i="6" s="1"/>
  <c r="G181" i="6"/>
  <c r="G196" i="6" s="1"/>
  <c r="N176" i="6"/>
  <c r="L176" i="6"/>
  <c r="N175" i="6"/>
  <c r="L175" i="6"/>
  <c r="L188" i="6" s="1"/>
  <c r="G175" i="6"/>
  <c r="G188" i="6" s="1"/>
  <c r="N174" i="6"/>
  <c r="L174" i="6"/>
  <c r="N173" i="6"/>
  <c r="L173" i="6"/>
  <c r="K180" i="6"/>
  <c r="N172" i="6"/>
  <c r="N180" i="6" s="1"/>
  <c r="Q23" i="6" s="1"/>
  <c r="R23" i="6" s="1"/>
  <c r="L172" i="6"/>
  <c r="L180" i="6" s="1"/>
  <c r="E180" i="6"/>
  <c r="E188" i="6" s="1"/>
  <c r="E196" i="6" s="1"/>
  <c r="G172" i="6"/>
  <c r="G180" i="6" s="1"/>
  <c r="N170" i="6"/>
  <c r="L170" i="6"/>
  <c r="N169" i="6"/>
  <c r="L169" i="6"/>
  <c r="N168" i="6"/>
  <c r="L168" i="6"/>
  <c r="N167" i="6"/>
  <c r="L167" i="6"/>
  <c r="N166" i="6"/>
  <c r="L166" i="6"/>
  <c r="N165" i="6"/>
  <c r="L165" i="6"/>
  <c r="N164" i="6"/>
  <c r="L164" i="6"/>
  <c r="N163" i="6"/>
  <c r="N171" i="6" s="1"/>
  <c r="Q22" i="6" s="1"/>
  <c r="R22" i="6" s="1"/>
  <c r="L163" i="6"/>
  <c r="L171" i="6" s="1"/>
  <c r="K171" i="6"/>
  <c r="E171" i="6"/>
  <c r="G163" i="6"/>
  <c r="G171" i="6" s="1"/>
  <c r="N161" i="6"/>
  <c r="L161" i="6"/>
  <c r="N157" i="6"/>
  <c r="L157" i="6"/>
  <c r="N156" i="6"/>
  <c r="L156" i="6"/>
  <c r="N155" i="6"/>
  <c r="L155" i="6"/>
  <c r="N154" i="6"/>
  <c r="L154" i="6"/>
  <c r="L153" i="6"/>
  <c r="L162" i="6" s="1"/>
  <c r="N153" i="6"/>
  <c r="N162" i="6" s="1"/>
  <c r="Q21" i="6" s="1"/>
  <c r="R21" i="6" s="1"/>
  <c r="K162" i="6"/>
  <c r="G153" i="6"/>
  <c r="G162" i="6" s="1"/>
  <c r="E162" i="6"/>
  <c r="N151" i="6"/>
  <c r="L151" i="6"/>
  <c r="N146" i="6"/>
  <c r="L146" i="6"/>
  <c r="N145" i="6"/>
  <c r="L145" i="6"/>
  <c r="N144" i="6"/>
  <c r="N152" i="6" s="1"/>
  <c r="Q20" i="6" s="1"/>
  <c r="R20" i="6" s="1"/>
  <c r="L144" i="6"/>
  <c r="L152" i="6" s="1"/>
  <c r="K152" i="6"/>
  <c r="G144" i="6"/>
  <c r="G152" i="6" s="1"/>
  <c r="E152" i="6"/>
  <c r="N142" i="6"/>
  <c r="N143" i="6" s="1"/>
  <c r="Q19" i="6" s="1"/>
  <c r="R19" i="6" s="1"/>
  <c r="L142" i="6"/>
  <c r="K143" i="6"/>
  <c r="L141" i="6"/>
  <c r="L135" i="6"/>
  <c r="L143" i="6" s="1"/>
  <c r="J143" i="6"/>
  <c r="G135" i="6"/>
  <c r="G143" i="6" s="1"/>
  <c r="E143" i="6"/>
  <c r="N130" i="6"/>
  <c r="L130" i="6"/>
  <c r="N129" i="6"/>
  <c r="L129" i="6"/>
  <c r="N128" i="6"/>
  <c r="L128" i="6"/>
  <c r="N127" i="6"/>
  <c r="L127" i="6"/>
  <c r="N126" i="6"/>
  <c r="N134" i="6" s="1"/>
  <c r="Q18" i="6" s="1"/>
  <c r="R18" i="6" s="1"/>
  <c r="L126" i="6"/>
  <c r="L134" i="6" s="1"/>
  <c r="K134" i="6"/>
  <c r="G126" i="6"/>
  <c r="G134" i="6" s="1"/>
  <c r="E134" i="6"/>
  <c r="L118" i="6"/>
  <c r="L125" i="6" s="1"/>
  <c r="K125" i="6"/>
  <c r="G118" i="6"/>
  <c r="G125" i="6" s="1"/>
  <c r="E125" i="6"/>
  <c r="Q16" i="6"/>
  <c r="R16" i="6"/>
  <c r="K117" i="6"/>
  <c r="L110" i="6"/>
  <c r="L117" i="6" s="1"/>
  <c r="G110" i="6"/>
  <c r="G117" i="6" s="1"/>
  <c r="E117" i="6"/>
  <c r="K101" i="6"/>
  <c r="K109" i="6" s="1"/>
  <c r="L95" i="6"/>
  <c r="J109" i="6"/>
  <c r="J101" i="6"/>
  <c r="G95" i="6"/>
  <c r="E101" i="6"/>
  <c r="E109" i="6" s="1"/>
  <c r="L87" i="6"/>
  <c r="L94" i="6" s="1"/>
  <c r="K94" i="6"/>
  <c r="E94" i="6"/>
  <c r="G87" i="6"/>
  <c r="G94" i="6" s="1"/>
  <c r="L79" i="6"/>
  <c r="L86" i="6" s="1"/>
  <c r="K86" i="6"/>
  <c r="E86" i="6"/>
  <c r="G79" i="6"/>
  <c r="G86" i="6" s="1"/>
  <c r="K78" i="6"/>
  <c r="L72" i="6"/>
  <c r="L78" i="6" s="1"/>
  <c r="E78" i="6"/>
  <c r="G71" i="6"/>
  <c r="G78" i="6" s="1"/>
  <c r="K70" i="6"/>
  <c r="L61" i="6"/>
  <c r="L70" i="6" s="1"/>
  <c r="E70" i="6"/>
  <c r="G61" i="6"/>
  <c r="G70" i="6" s="1"/>
  <c r="K60" i="6"/>
  <c r="L49" i="6"/>
  <c r="L60" i="6" s="1"/>
  <c r="E60" i="6"/>
  <c r="G49" i="6"/>
  <c r="G60" i="6" s="1"/>
  <c r="K48" i="6"/>
  <c r="L39" i="6"/>
  <c r="L48" i="6" s="1"/>
  <c r="E48" i="6"/>
  <c r="G39" i="6"/>
  <c r="G48" i="6" s="1"/>
  <c r="L30" i="6"/>
  <c r="L38" i="6" s="1"/>
  <c r="K38" i="6"/>
  <c r="G30" i="6"/>
  <c r="G38" i="6" s="1"/>
  <c r="E38" i="6"/>
  <c r="K29" i="6"/>
  <c r="L20" i="6"/>
  <c r="L29" i="6" s="1"/>
  <c r="E29" i="6"/>
  <c r="G20" i="6"/>
  <c r="G29" i="6" s="1"/>
  <c r="R4" i="6"/>
  <c r="K19" i="6"/>
  <c r="L18" i="6"/>
  <c r="L19" i="6" s="1"/>
  <c r="E19" i="6"/>
  <c r="G18" i="6"/>
  <c r="G19" i="6" s="1"/>
  <c r="N197" i="6"/>
  <c r="Q9" i="6"/>
  <c r="K11" i="6"/>
  <c r="L3" i="6"/>
  <c r="L11" i="6" s="1"/>
  <c r="E11" i="6"/>
  <c r="G3" i="6"/>
  <c r="G11" i="6" s="1"/>
  <c r="Q211" i="5"/>
  <c r="L279" i="5"/>
  <c r="L285" i="5" s="1"/>
  <c r="K285" i="5"/>
  <c r="G279" i="5"/>
  <c r="G285" i="5" s="1"/>
  <c r="E285" i="5"/>
  <c r="L272" i="5"/>
  <c r="L278" i="5" s="1"/>
  <c r="K278" i="5"/>
  <c r="G272" i="5"/>
  <c r="G278" i="5" s="1"/>
  <c r="E278" i="5"/>
  <c r="K271" i="5"/>
  <c r="L265" i="5"/>
  <c r="L271" i="5" s="1"/>
  <c r="E271" i="5"/>
  <c r="G265" i="5"/>
  <c r="G271" i="5" s="1"/>
  <c r="L258" i="5"/>
  <c r="L264" i="5" s="1"/>
  <c r="K264" i="5"/>
  <c r="E264" i="5"/>
  <c r="G258" i="5"/>
  <c r="G264" i="5" s="1"/>
  <c r="L251" i="5"/>
  <c r="L257" i="5" s="1"/>
  <c r="K257" i="5"/>
  <c r="E257" i="5"/>
  <c r="G251" i="5"/>
  <c r="G257" i="5" s="1"/>
  <c r="K250" i="5"/>
  <c r="L243" i="5"/>
  <c r="L242" i="5"/>
  <c r="L250" i="5" s="1"/>
  <c r="J250" i="5"/>
  <c r="G242" i="5"/>
  <c r="G250" i="5" s="1"/>
  <c r="E250" i="5"/>
  <c r="L236" i="5"/>
  <c r="L241" i="5" s="1"/>
  <c r="K241" i="5"/>
  <c r="E241" i="5"/>
  <c r="G236" i="5"/>
  <c r="G241" i="5" s="1"/>
  <c r="N234" i="5"/>
  <c r="N235" i="5" s="1"/>
  <c r="L234" i="5"/>
  <c r="K235" i="5"/>
  <c r="L230" i="5"/>
  <c r="L235" i="5" s="1"/>
  <c r="E235" i="5"/>
  <c r="G230" i="5"/>
  <c r="G235" i="5" s="1"/>
  <c r="N225" i="5"/>
  <c r="N229" i="5" s="1"/>
  <c r="Q203" i="5" s="1"/>
  <c r="L225" i="5"/>
  <c r="G225" i="5"/>
  <c r="E229" i="5"/>
  <c r="K229" i="5"/>
  <c r="L224" i="5"/>
  <c r="L229" i="5" s="1"/>
  <c r="N221" i="5"/>
  <c r="L221" i="5"/>
  <c r="N220" i="5"/>
  <c r="L220" i="5"/>
  <c r="N219" i="5"/>
  <c r="L219" i="5"/>
  <c r="K223" i="5"/>
  <c r="N218" i="5"/>
  <c r="N223" i="5" s="1"/>
  <c r="Q202" i="5" s="1"/>
  <c r="L218" i="5"/>
  <c r="L223" i="5" s="1"/>
  <c r="E223" i="5"/>
  <c r="G218" i="5"/>
  <c r="G223" i="5" s="1"/>
  <c r="L212" i="5"/>
  <c r="L217" i="5" s="1"/>
  <c r="J217" i="5"/>
  <c r="E217" i="5"/>
  <c r="G212" i="5"/>
  <c r="G217" i="5" s="1"/>
  <c r="K211" i="5"/>
  <c r="L206" i="5"/>
  <c r="L211" i="5" s="1"/>
  <c r="E211" i="5"/>
  <c r="G206" i="5"/>
  <c r="G211" i="5" s="1"/>
  <c r="L204" i="5"/>
  <c r="N204" i="5"/>
  <c r="L203" i="5"/>
  <c r="N203" i="5"/>
  <c r="L202" i="5"/>
  <c r="N202" i="5"/>
  <c r="K205" i="5"/>
  <c r="N201" i="5"/>
  <c r="N205" i="5" s="1"/>
  <c r="Q199" i="5" s="1"/>
  <c r="L201" i="5"/>
  <c r="J205" i="5"/>
  <c r="L200" i="5"/>
  <c r="L205" i="5" s="1"/>
  <c r="G200" i="5"/>
  <c r="G205" i="5" s="1"/>
  <c r="E205" i="5"/>
  <c r="L194" i="5"/>
  <c r="N194" i="5"/>
  <c r="N193" i="5"/>
  <c r="L193" i="5"/>
  <c r="N192" i="5"/>
  <c r="L192" i="5"/>
  <c r="N191" i="5"/>
  <c r="L191" i="5"/>
  <c r="N190" i="5"/>
  <c r="L190" i="5"/>
  <c r="N189" i="5"/>
  <c r="N195" i="5" s="1"/>
  <c r="Q25" i="5" s="1"/>
  <c r="R25" i="5" s="1"/>
  <c r="L189" i="5"/>
  <c r="L188" i="5"/>
  <c r="K195" i="5"/>
  <c r="N186" i="5"/>
  <c r="L186" i="5"/>
  <c r="L185" i="5"/>
  <c r="N185" i="5"/>
  <c r="N184" i="5"/>
  <c r="L184" i="5"/>
  <c r="L183" i="5"/>
  <c r="N183" i="5"/>
  <c r="N182" i="5"/>
  <c r="N187" i="5" s="1"/>
  <c r="Q24" i="5" s="1"/>
  <c r="R24" i="5" s="1"/>
  <c r="L182" i="5"/>
  <c r="K187" i="5"/>
  <c r="L180" i="5"/>
  <c r="L195" i="5" s="1"/>
  <c r="G180" i="5"/>
  <c r="G195" i="5" s="1"/>
  <c r="N175" i="5"/>
  <c r="L175" i="5"/>
  <c r="N174" i="5"/>
  <c r="N179" i="5" s="1"/>
  <c r="Q23" i="5" s="1"/>
  <c r="R23" i="5" s="1"/>
  <c r="L174" i="5"/>
  <c r="L187" i="5" s="1"/>
  <c r="G174" i="5"/>
  <c r="G187" i="5" s="1"/>
  <c r="L171" i="5"/>
  <c r="L179" i="5" s="1"/>
  <c r="K179" i="5"/>
  <c r="E179" i="5"/>
  <c r="E187" i="5" s="1"/>
  <c r="E195" i="5" s="1"/>
  <c r="G171" i="5"/>
  <c r="G179" i="5" s="1"/>
  <c r="N169" i="5"/>
  <c r="L169" i="5"/>
  <c r="N168" i="5"/>
  <c r="L168" i="5"/>
  <c r="N167" i="5"/>
  <c r="N170" i="5" s="1"/>
  <c r="Q22" i="5" s="1"/>
  <c r="R22" i="5" s="1"/>
  <c r="L167" i="5"/>
  <c r="L162" i="5"/>
  <c r="L170" i="5" s="1"/>
  <c r="K170" i="5"/>
  <c r="E170" i="5"/>
  <c r="G162" i="5"/>
  <c r="G170" i="5" s="1"/>
  <c r="N160" i="5"/>
  <c r="N161" i="5" s="1"/>
  <c r="Q21" i="5" s="1"/>
  <c r="R21" i="5" s="1"/>
  <c r="L160" i="5"/>
  <c r="K161" i="5"/>
  <c r="L153" i="5"/>
  <c r="L161" i="5" s="1"/>
  <c r="E161" i="5"/>
  <c r="G153" i="5"/>
  <c r="G161" i="5" s="1"/>
  <c r="L151" i="5"/>
  <c r="N151" i="5"/>
  <c r="N152" i="5" s="1"/>
  <c r="Q20" i="5" s="1"/>
  <c r="R20" i="5" s="1"/>
  <c r="K152" i="5"/>
  <c r="L144" i="5"/>
  <c r="L152" i="5" s="1"/>
  <c r="E152" i="5"/>
  <c r="G144" i="5"/>
  <c r="G152" i="5" s="1"/>
  <c r="N142" i="5"/>
  <c r="N143" i="5" s="1"/>
  <c r="Q19" i="5" s="1"/>
  <c r="R19" i="5" s="1"/>
  <c r="L142" i="5"/>
  <c r="L141" i="5"/>
  <c r="K143" i="5"/>
  <c r="J143" i="5"/>
  <c r="L135" i="5"/>
  <c r="L143" i="5" s="1"/>
  <c r="E143" i="5"/>
  <c r="G135" i="5"/>
  <c r="G143" i="5" s="1"/>
  <c r="L126" i="5"/>
  <c r="L134" i="5" s="1"/>
  <c r="K134" i="5"/>
  <c r="E134" i="5"/>
  <c r="G126" i="5"/>
  <c r="G134" i="5" s="1"/>
  <c r="L118" i="5"/>
  <c r="L125" i="5" s="1"/>
  <c r="K125" i="5"/>
  <c r="E125" i="5"/>
  <c r="G118" i="5"/>
  <c r="G125" i="5" s="1"/>
  <c r="Q16" i="5"/>
  <c r="R16" i="5"/>
  <c r="K117" i="5"/>
  <c r="L110" i="5"/>
  <c r="L117" i="5" s="1"/>
  <c r="E117" i="5"/>
  <c r="G110" i="5"/>
  <c r="G117" i="5" s="1"/>
  <c r="K101" i="5"/>
  <c r="L95" i="5"/>
  <c r="K109" i="5"/>
  <c r="J101" i="5"/>
  <c r="J109" i="5" s="1"/>
  <c r="G95" i="5"/>
  <c r="E101" i="5"/>
  <c r="E109" i="5" s="1"/>
  <c r="K94" i="5"/>
  <c r="L87" i="5"/>
  <c r="L94" i="5" s="1"/>
  <c r="E94" i="5"/>
  <c r="G87" i="5"/>
  <c r="G94" i="5" s="1"/>
  <c r="K86" i="5"/>
  <c r="L79" i="5"/>
  <c r="L86" i="5" s="1"/>
  <c r="G79" i="5"/>
  <c r="G86" i="5" s="1"/>
  <c r="E86" i="5"/>
  <c r="K78" i="5"/>
  <c r="L72" i="5"/>
  <c r="L78" i="5" s="1"/>
  <c r="E78" i="5"/>
  <c r="G71" i="5"/>
  <c r="G78" i="5" s="1"/>
  <c r="L61" i="5"/>
  <c r="L70" i="5" s="1"/>
  <c r="K70" i="5"/>
  <c r="E70" i="5"/>
  <c r="G61" i="5"/>
  <c r="G70" i="5" s="1"/>
  <c r="L49" i="5"/>
  <c r="L60" i="5" s="1"/>
  <c r="K60" i="5"/>
  <c r="G49" i="5"/>
  <c r="G60" i="5" s="1"/>
  <c r="E60" i="5"/>
  <c r="K48" i="5"/>
  <c r="L39" i="5"/>
  <c r="L48" i="5" s="1"/>
  <c r="E48" i="5"/>
  <c r="G39" i="5"/>
  <c r="G48" i="5" s="1"/>
  <c r="K38" i="5"/>
  <c r="L30" i="5"/>
  <c r="L38" i="5" s="1"/>
  <c r="E38" i="5"/>
  <c r="G30" i="5"/>
  <c r="G38" i="5" s="1"/>
  <c r="K29" i="5"/>
  <c r="L20" i="5"/>
  <c r="L29" i="5" s="1"/>
  <c r="G20" i="5"/>
  <c r="G29" i="5" s="1"/>
  <c r="E29" i="5"/>
  <c r="O27" i="5"/>
  <c r="O28" i="5"/>
  <c r="R4" i="5"/>
  <c r="K19" i="5"/>
  <c r="L12" i="5"/>
  <c r="L19" i="5" s="1"/>
  <c r="E19" i="5"/>
  <c r="G12" i="5"/>
  <c r="G19" i="5" s="1"/>
  <c r="N196" i="5"/>
  <c r="Q9" i="5"/>
  <c r="L3" i="5"/>
  <c r="L11" i="5" s="1"/>
  <c r="K11" i="5"/>
  <c r="G3" i="5"/>
  <c r="G11" i="5" s="1"/>
  <c r="E11" i="5"/>
  <c r="K319" i="4"/>
  <c r="L313" i="4"/>
  <c r="L319" i="4" s="1"/>
  <c r="E319" i="4"/>
  <c r="G313" i="4"/>
  <c r="G319" i="4" s="1"/>
  <c r="K312" i="4"/>
  <c r="L306" i="4"/>
  <c r="L312" i="4" s="1"/>
  <c r="G306" i="4"/>
  <c r="G312" i="4" s="1"/>
  <c r="E312" i="4"/>
  <c r="K305" i="4"/>
  <c r="L299" i="4"/>
  <c r="L305" i="4" s="1"/>
  <c r="E305" i="4"/>
  <c r="G299" i="4"/>
  <c r="G305" i="4" s="1"/>
  <c r="L289" i="4"/>
  <c r="L298" i="4" s="1"/>
  <c r="K298" i="4"/>
  <c r="E298" i="4"/>
  <c r="G289" i="4"/>
  <c r="G298" i="4" s="1"/>
  <c r="L280" i="4"/>
  <c r="L288" i="4" s="1"/>
  <c r="K288" i="4"/>
  <c r="G280" i="4"/>
  <c r="G288" i="4" s="1"/>
  <c r="E288" i="4"/>
  <c r="L273" i="4"/>
  <c r="L279" i="4" s="1"/>
  <c r="K279" i="4"/>
  <c r="G273" i="4"/>
  <c r="G279" i="4" s="1"/>
  <c r="E279" i="4"/>
  <c r="L266" i="4"/>
  <c r="L272" i="4" s="1"/>
  <c r="K272" i="4"/>
  <c r="G266" i="4"/>
  <c r="G272" i="4" s="1"/>
  <c r="E272" i="4"/>
  <c r="L258" i="4"/>
  <c r="K265" i="4"/>
  <c r="L257" i="4"/>
  <c r="L265" i="4" s="1"/>
  <c r="J265" i="4"/>
  <c r="G257" i="4"/>
  <c r="G265" i="4" s="1"/>
  <c r="E265" i="4"/>
  <c r="K256" i="4"/>
  <c r="L251" i="4"/>
  <c r="L256" i="4" s="1"/>
  <c r="E256" i="4"/>
  <c r="G251" i="4"/>
  <c r="G256" i="4" s="1"/>
  <c r="L249" i="4"/>
  <c r="N249" i="4"/>
  <c r="N250" i="4" s="1"/>
  <c r="Q218" i="4" s="1"/>
  <c r="R218" i="4" s="1"/>
  <c r="L245" i="4"/>
  <c r="L250" i="4" s="1"/>
  <c r="K250" i="4"/>
  <c r="E250" i="4"/>
  <c r="G245" i="4"/>
  <c r="G250" i="4" s="1"/>
  <c r="N240" i="4"/>
  <c r="N244" i="4" s="1"/>
  <c r="Q217" i="4" s="1"/>
  <c r="R217" i="4" s="1"/>
  <c r="L240" i="4"/>
  <c r="E244" i="4"/>
  <c r="G240" i="4"/>
  <c r="K244" i="4"/>
  <c r="L239" i="4"/>
  <c r="L244" i="4" s="1"/>
  <c r="N236" i="4"/>
  <c r="L236" i="4"/>
  <c r="N234" i="4"/>
  <c r="L234" i="4"/>
  <c r="K238" i="4"/>
  <c r="N233" i="4"/>
  <c r="N238" i="4" s="1"/>
  <c r="Q216" i="4" s="1"/>
  <c r="R216" i="4" s="1"/>
  <c r="L233" i="4"/>
  <c r="L238" i="4" s="1"/>
  <c r="E238" i="4"/>
  <c r="G233" i="4"/>
  <c r="G238" i="4" s="1"/>
  <c r="L227" i="4"/>
  <c r="L232" i="4" s="1"/>
  <c r="J232" i="4"/>
  <c r="E232" i="4"/>
  <c r="G227" i="4"/>
  <c r="G232" i="4" s="1"/>
  <c r="N225" i="4"/>
  <c r="N226" i="4" s="1"/>
  <c r="Q214" i="4" s="1"/>
  <c r="R214" i="4" s="1"/>
  <c r="L225" i="4"/>
  <c r="K226" i="4"/>
  <c r="L220" i="4"/>
  <c r="L226" i="4" s="1"/>
  <c r="E226" i="4"/>
  <c r="G220" i="4"/>
  <c r="G226" i="4" s="1"/>
  <c r="N218" i="4"/>
  <c r="L218" i="4"/>
  <c r="N217" i="4"/>
  <c r="L217" i="4"/>
  <c r="N216" i="4"/>
  <c r="L216" i="4"/>
  <c r="K219" i="4"/>
  <c r="N215" i="4"/>
  <c r="L215" i="4"/>
  <c r="N219" i="4"/>
  <c r="Q213" i="4" s="1"/>
  <c r="N320" i="4"/>
  <c r="J219" i="4"/>
  <c r="L214" i="4"/>
  <c r="L219" i="4" s="1"/>
  <c r="G214" i="4"/>
  <c r="G219" i="4" s="1"/>
  <c r="E219" i="4"/>
  <c r="N208" i="4"/>
  <c r="L208" i="4"/>
  <c r="L207" i="4"/>
  <c r="N207" i="4"/>
  <c r="N209" i="4" s="1"/>
  <c r="Q25" i="4" s="1"/>
  <c r="R25" i="4" s="1"/>
  <c r="K209" i="4"/>
  <c r="L202" i="4"/>
  <c r="N200" i="4"/>
  <c r="L200" i="4"/>
  <c r="N199" i="4"/>
  <c r="L199" i="4"/>
  <c r="N198" i="4"/>
  <c r="L198" i="4"/>
  <c r="N197" i="4"/>
  <c r="L197" i="4"/>
  <c r="N196" i="4"/>
  <c r="N201" i="4" s="1"/>
  <c r="Q24" i="4" s="1"/>
  <c r="R24" i="4" s="1"/>
  <c r="L196" i="4"/>
  <c r="K201" i="4"/>
  <c r="L194" i="4"/>
  <c r="L209" i="4" s="1"/>
  <c r="G194" i="4"/>
  <c r="G209" i="4" s="1"/>
  <c r="G188" i="4"/>
  <c r="G201" i="4" s="1"/>
  <c r="K193" i="4"/>
  <c r="L185" i="4"/>
  <c r="L193" i="4" s="1"/>
  <c r="E193" i="4"/>
  <c r="E201" i="4" s="1"/>
  <c r="E209" i="4" s="1"/>
  <c r="G185" i="4"/>
  <c r="G193" i="4" s="1"/>
  <c r="N183" i="4"/>
  <c r="L183" i="4"/>
  <c r="N182" i="4"/>
  <c r="N184" i="4" s="1"/>
  <c r="Q22" i="4" s="1"/>
  <c r="R22" i="4" s="1"/>
  <c r="L182" i="4"/>
  <c r="K184" i="4"/>
  <c r="L176" i="4"/>
  <c r="L184" i="4" s="1"/>
  <c r="E184" i="4"/>
  <c r="G176" i="4"/>
  <c r="G184" i="4" s="1"/>
  <c r="N174" i="4"/>
  <c r="N175" i="4" s="1"/>
  <c r="Q21" i="4" s="1"/>
  <c r="R21" i="4" s="1"/>
  <c r="L174" i="4"/>
  <c r="K175" i="4"/>
  <c r="L167" i="4"/>
  <c r="L175" i="4" s="1"/>
  <c r="E175" i="4"/>
  <c r="G167" i="4"/>
  <c r="G175" i="4" s="1"/>
  <c r="N165" i="4"/>
  <c r="N166" i="4" s="1"/>
  <c r="Q20" i="4" s="1"/>
  <c r="R20" i="4" s="1"/>
  <c r="L165" i="4"/>
  <c r="L158" i="4"/>
  <c r="L166" i="4" s="1"/>
  <c r="K166" i="4"/>
  <c r="E166" i="4"/>
  <c r="G158" i="4"/>
  <c r="G166" i="4" s="1"/>
  <c r="N156" i="4"/>
  <c r="N157" i="4" s="1"/>
  <c r="Q19" i="4" s="1"/>
  <c r="R19" i="4" s="1"/>
  <c r="L156" i="4"/>
  <c r="K157" i="4"/>
  <c r="L155" i="4"/>
  <c r="J157" i="4"/>
  <c r="L149" i="4"/>
  <c r="L157" i="4" s="1"/>
  <c r="E157" i="4"/>
  <c r="G149" i="4"/>
  <c r="G157" i="4" s="1"/>
  <c r="L136" i="4"/>
  <c r="L148" i="4" s="1"/>
  <c r="K148" i="4"/>
  <c r="G136" i="4"/>
  <c r="G148" i="4" s="1"/>
  <c r="E148" i="4"/>
  <c r="K135" i="4"/>
  <c r="L128" i="4"/>
  <c r="L135" i="4" s="1"/>
  <c r="E135" i="4"/>
  <c r="G128" i="4"/>
  <c r="G135" i="4" s="1"/>
  <c r="L120" i="4"/>
  <c r="L127" i="4" s="1"/>
  <c r="K127" i="4"/>
  <c r="G120" i="4"/>
  <c r="G127" i="4" s="1"/>
  <c r="E127" i="4"/>
  <c r="Q16" i="4"/>
  <c r="R16" i="4"/>
  <c r="K119" i="4"/>
  <c r="L112" i="4"/>
  <c r="L119" i="4" s="1"/>
  <c r="E119" i="4"/>
  <c r="G112" i="4"/>
  <c r="G119" i="4" s="1"/>
  <c r="L97" i="4"/>
  <c r="K103" i="4"/>
  <c r="K111" i="4" s="1"/>
  <c r="J103" i="4"/>
  <c r="J111" i="4"/>
  <c r="E103" i="4"/>
  <c r="G97" i="4"/>
  <c r="E111" i="4"/>
  <c r="L88" i="4"/>
  <c r="L96" i="4" s="1"/>
  <c r="K96" i="4"/>
  <c r="G88" i="4"/>
  <c r="G96" i="4" s="1"/>
  <c r="E96" i="4"/>
  <c r="K87" i="4"/>
  <c r="L80" i="4"/>
  <c r="L87" i="4" s="1"/>
  <c r="E87" i="4"/>
  <c r="G80" i="4"/>
  <c r="G87" i="4" s="1"/>
  <c r="K79" i="4"/>
  <c r="L73" i="4"/>
  <c r="L79" i="4" s="1"/>
  <c r="E79" i="4"/>
  <c r="G72" i="4"/>
  <c r="G79" i="4" s="1"/>
  <c r="K71" i="4"/>
  <c r="L68" i="4"/>
  <c r="E71" i="4"/>
  <c r="G68" i="4"/>
  <c r="L50" i="4"/>
  <c r="L61" i="4" s="1"/>
  <c r="K61" i="4"/>
  <c r="E61" i="4"/>
  <c r="G50" i="4"/>
  <c r="G61" i="4" s="1"/>
  <c r="K49" i="4"/>
  <c r="L39" i="4"/>
  <c r="L49" i="4" s="1"/>
  <c r="G39" i="4"/>
  <c r="G49" i="4" s="1"/>
  <c r="E49" i="4"/>
  <c r="K38" i="4"/>
  <c r="L30" i="4"/>
  <c r="L38" i="4" s="1"/>
  <c r="E38" i="4"/>
  <c r="G30" i="4"/>
  <c r="G38" i="4" s="1"/>
  <c r="K29" i="4"/>
  <c r="L20" i="4"/>
  <c r="L29" i="4" s="1"/>
  <c r="E29" i="4"/>
  <c r="G20" i="4"/>
  <c r="G29" i="4" s="1"/>
  <c r="O27" i="4"/>
  <c r="O28" i="4"/>
  <c r="R4" i="4"/>
  <c r="K19" i="4"/>
  <c r="L12" i="4"/>
  <c r="L19" i="4" s="1"/>
  <c r="E19" i="4"/>
  <c r="G12" i="4"/>
  <c r="G19" i="4" s="1"/>
  <c r="N210" i="4"/>
  <c r="Q9" i="4"/>
  <c r="K11" i="4"/>
  <c r="L3" i="4"/>
  <c r="L11" i="4" s="1"/>
  <c r="E11" i="4"/>
  <c r="G3" i="4"/>
  <c r="K334" i="3"/>
  <c r="L328" i="3"/>
  <c r="L334" i="3" s="1"/>
  <c r="G328" i="3"/>
  <c r="G334" i="3" s="1"/>
  <c r="E334" i="3"/>
  <c r="K327" i="3"/>
  <c r="L318" i="3"/>
  <c r="L327" i="3" s="1"/>
  <c r="E327" i="3"/>
  <c r="G318" i="3"/>
  <c r="G327" i="3" s="1"/>
  <c r="K317" i="3"/>
  <c r="L311" i="3"/>
  <c r="L317" i="3" s="1"/>
  <c r="E317" i="3"/>
  <c r="G311" i="3"/>
  <c r="G317" i="3" s="1"/>
  <c r="K310" i="3"/>
  <c r="L301" i="3"/>
  <c r="L310" i="3" s="1"/>
  <c r="E310" i="3"/>
  <c r="G301" i="3"/>
  <c r="G310" i="3" s="1"/>
  <c r="L294" i="3"/>
  <c r="L300" i="3" s="1"/>
  <c r="K300" i="3"/>
  <c r="E300" i="3"/>
  <c r="G294" i="3"/>
  <c r="G300" i="3" s="1"/>
  <c r="K293" i="3"/>
  <c r="L287" i="3"/>
  <c r="L293" i="3" s="1"/>
  <c r="G287" i="3"/>
  <c r="G293" i="3" s="1"/>
  <c r="E293" i="3"/>
  <c r="K286" i="3"/>
  <c r="L278" i="3"/>
  <c r="L286" i="3" s="1"/>
  <c r="E286" i="3"/>
  <c r="G278" i="3"/>
  <c r="G286" i="3" s="1"/>
  <c r="L270" i="3"/>
  <c r="K277" i="3"/>
  <c r="L269" i="3"/>
  <c r="L277" i="3" s="1"/>
  <c r="J277" i="3"/>
  <c r="E277" i="3"/>
  <c r="G269" i="3"/>
  <c r="G277" i="3" s="1"/>
  <c r="L260" i="3"/>
  <c r="L268" i="3" s="1"/>
  <c r="K268" i="3"/>
  <c r="E268" i="3"/>
  <c r="G260" i="3"/>
  <c r="G268" i="3" s="1"/>
  <c r="L258" i="3"/>
  <c r="N258" i="3"/>
  <c r="L257" i="3"/>
  <c r="N257" i="3"/>
  <c r="N259" i="3" s="1"/>
  <c r="Q226" i="3" s="1"/>
  <c r="R226" i="3" s="1"/>
  <c r="K259" i="3"/>
  <c r="L253" i="3"/>
  <c r="L259" i="3" s="1"/>
  <c r="G253" i="3"/>
  <c r="G259" i="3" s="1"/>
  <c r="E259" i="3"/>
  <c r="L248" i="3"/>
  <c r="N248" i="3"/>
  <c r="N252" i="3" s="1"/>
  <c r="Q225" i="3" s="1"/>
  <c r="R225" i="3" s="1"/>
  <c r="E252" i="3"/>
  <c r="G248" i="3"/>
  <c r="L247" i="3"/>
  <c r="L252" i="3" s="1"/>
  <c r="K252" i="3"/>
  <c r="L244" i="3"/>
  <c r="N244" i="3"/>
  <c r="N243" i="3"/>
  <c r="L243" i="3"/>
  <c r="N242" i="3"/>
  <c r="L242" i="3"/>
  <c r="K246" i="3"/>
  <c r="N241" i="3"/>
  <c r="N246" i="3" s="1"/>
  <c r="Q224" i="3" s="1"/>
  <c r="R224" i="3" s="1"/>
  <c r="L241" i="3"/>
  <c r="L246" i="3" s="1"/>
  <c r="E246" i="3"/>
  <c r="G241" i="3"/>
  <c r="G246" i="3" s="1"/>
  <c r="J240" i="3"/>
  <c r="L235" i="3"/>
  <c r="L240" i="3" s="1"/>
  <c r="E240" i="3"/>
  <c r="G235" i="3"/>
  <c r="G240" i="3" s="1"/>
  <c r="N233" i="3"/>
  <c r="L233" i="3"/>
  <c r="N232" i="3"/>
  <c r="N234" i="3" s="1"/>
  <c r="Q222" i="3" s="1"/>
  <c r="R222" i="3" s="1"/>
  <c r="L232" i="3"/>
  <c r="K234" i="3"/>
  <c r="L228" i="3"/>
  <c r="L234" i="3" s="1"/>
  <c r="E234" i="3"/>
  <c r="G228" i="3"/>
  <c r="G234" i="3" s="1"/>
  <c r="L226" i="3"/>
  <c r="N226" i="3"/>
  <c r="L225" i="3"/>
  <c r="N225" i="3"/>
  <c r="L224" i="3"/>
  <c r="N224" i="3"/>
  <c r="K227" i="3"/>
  <c r="N223" i="3"/>
  <c r="L223" i="3"/>
  <c r="N227" i="3"/>
  <c r="J227" i="3"/>
  <c r="L222" i="3"/>
  <c r="L227" i="3" s="1"/>
  <c r="E227" i="3"/>
  <c r="G222" i="3"/>
  <c r="G227" i="3" s="1"/>
  <c r="L216" i="3"/>
  <c r="N216" i="3"/>
  <c r="N215" i="3"/>
  <c r="L215" i="3"/>
  <c r="N214" i="3"/>
  <c r="N217" i="3" s="1"/>
  <c r="Q27" i="3" s="1"/>
  <c r="R27" i="3" s="1"/>
  <c r="L214" i="3"/>
  <c r="L210" i="3"/>
  <c r="K217" i="3"/>
  <c r="N208" i="3"/>
  <c r="L208" i="3"/>
  <c r="N207" i="3"/>
  <c r="L207" i="3"/>
  <c r="N206" i="3"/>
  <c r="N209" i="3" s="1"/>
  <c r="Q25" i="3" s="1"/>
  <c r="R25" i="3" s="1"/>
  <c r="L206" i="3"/>
  <c r="L202" i="3"/>
  <c r="L217" i="3" s="1"/>
  <c r="K209" i="3"/>
  <c r="G202" i="3"/>
  <c r="G217" i="3" s="1"/>
  <c r="L200" i="3"/>
  <c r="N200" i="3"/>
  <c r="N199" i="3"/>
  <c r="L199" i="3"/>
  <c r="N198" i="3"/>
  <c r="L198" i="3"/>
  <c r="N197" i="3"/>
  <c r="N201" i="3" s="1"/>
  <c r="Q24" i="3" s="1"/>
  <c r="R24" i="3" s="1"/>
  <c r="L197" i="3"/>
  <c r="K201" i="3"/>
  <c r="L194" i="3"/>
  <c r="L209" i="3" s="1"/>
  <c r="G194" i="3"/>
  <c r="G209" i="3" s="1"/>
  <c r="G188" i="3"/>
  <c r="G201" i="3" s="1"/>
  <c r="K193" i="3"/>
  <c r="L185" i="3"/>
  <c r="L193" i="3" s="1"/>
  <c r="G185" i="3"/>
  <c r="G193" i="3" s="1"/>
  <c r="E193" i="3"/>
  <c r="E201" i="3" s="1"/>
  <c r="E209" i="3" s="1"/>
  <c r="E217" i="3" s="1"/>
  <c r="N183" i="3"/>
  <c r="L183" i="3"/>
  <c r="L182" i="3"/>
  <c r="N182" i="3"/>
  <c r="L181" i="3"/>
  <c r="N181" i="3"/>
  <c r="N184" i="3" s="1"/>
  <c r="Q22" i="3" s="1"/>
  <c r="R22" i="3" s="1"/>
  <c r="L176" i="3"/>
  <c r="L184" i="3" s="1"/>
  <c r="K184" i="3"/>
  <c r="E184" i="3"/>
  <c r="G176" i="3"/>
  <c r="G184" i="3" s="1"/>
  <c r="N174" i="3"/>
  <c r="N175" i="3" s="1"/>
  <c r="Q21" i="3" s="1"/>
  <c r="R21" i="3" s="1"/>
  <c r="L174" i="3"/>
  <c r="K175" i="3"/>
  <c r="L167" i="3"/>
  <c r="L175" i="3" s="1"/>
  <c r="G167" i="3"/>
  <c r="G175" i="3" s="1"/>
  <c r="E175" i="3"/>
  <c r="N165" i="3"/>
  <c r="N166" i="3" s="1"/>
  <c r="Q20" i="3" s="1"/>
  <c r="R20" i="3" s="1"/>
  <c r="L165" i="3"/>
  <c r="K166" i="3"/>
  <c r="L158" i="3"/>
  <c r="L166" i="3" s="1"/>
  <c r="E166" i="3"/>
  <c r="G158" i="3"/>
  <c r="G166" i="3" s="1"/>
  <c r="N156" i="3"/>
  <c r="N157" i="3" s="1"/>
  <c r="Q19" i="3" s="1"/>
  <c r="R19" i="3" s="1"/>
  <c r="L156" i="3"/>
  <c r="K157" i="3"/>
  <c r="L155" i="3"/>
  <c r="L149" i="3"/>
  <c r="L157" i="3" s="1"/>
  <c r="J157" i="3"/>
  <c r="G149" i="3"/>
  <c r="G157" i="3" s="1"/>
  <c r="E157" i="3"/>
  <c r="K148" i="3"/>
  <c r="L137" i="3"/>
  <c r="L148" i="3" s="1"/>
  <c r="E148" i="3"/>
  <c r="G137" i="3"/>
  <c r="G148" i="3" s="1"/>
  <c r="K136" i="3"/>
  <c r="L129" i="3"/>
  <c r="L136" i="3" s="1"/>
  <c r="E136" i="3"/>
  <c r="G129" i="3"/>
  <c r="G136" i="3" s="1"/>
  <c r="K128" i="3"/>
  <c r="L121" i="3"/>
  <c r="L128" i="3" s="1"/>
  <c r="E128" i="3"/>
  <c r="G121" i="3"/>
  <c r="G128" i="3" s="1"/>
  <c r="Q16" i="3"/>
  <c r="R16" i="3"/>
  <c r="K120" i="3"/>
  <c r="L113" i="3"/>
  <c r="L120" i="3" s="1"/>
  <c r="E120" i="3"/>
  <c r="G113" i="3"/>
  <c r="G120" i="3" s="1"/>
  <c r="L98" i="3"/>
  <c r="K104" i="3"/>
  <c r="K112" i="3" s="1"/>
  <c r="J104" i="3"/>
  <c r="J112" i="3" s="1"/>
  <c r="G98" i="3"/>
  <c r="E104" i="3"/>
  <c r="E112" i="3" s="1"/>
  <c r="L89" i="3"/>
  <c r="L97" i="3" s="1"/>
  <c r="K97" i="3"/>
  <c r="E97" i="3"/>
  <c r="G89" i="3"/>
  <c r="G97" i="3" s="1"/>
  <c r="K88" i="3"/>
  <c r="L81" i="3"/>
  <c r="L88" i="3" s="1"/>
  <c r="E88" i="3"/>
  <c r="G81" i="3"/>
  <c r="G88" i="3" s="1"/>
  <c r="L73" i="3"/>
  <c r="L80" i="3" s="1"/>
  <c r="K80" i="3"/>
  <c r="E80" i="3"/>
  <c r="G72" i="3"/>
  <c r="G80" i="3" s="1"/>
  <c r="L62" i="3"/>
  <c r="L71" i="3" s="1"/>
  <c r="K71" i="3"/>
  <c r="G62" i="3"/>
  <c r="G71" i="3" s="1"/>
  <c r="E71" i="3"/>
  <c r="K61" i="3"/>
  <c r="L50" i="3"/>
  <c r="L61" i="3" s="1"/>
  <c r="E61" i="3"/>
  <c r="G50" i="3"/>
  <c r="G61" i="3" s="1"/>
  <c r="K49" i="3"/>
  <c r="L39" i="3"/>
  <c r="L49" i="3" s="1"/>
  <c r="E49" i="3"/>
  <c r="G39" i="3"/>
  <c r="G49" i="3" s="1"/>
  <c r="K38" i="3"/>
  <c r="L30" i="3"/>
  <c r="L38" i="3" s="1"/>
  <c r="E38" i="3"/>
  <c r="G30" i="3"/>
  <c r="G38" i="3" s="1"/>
  <c r="K29" i="3"/>
  <c r="L20" i="3"/>
  <c r="L29" i="3" s="1"/>
  <c r="E29" i="3"/>
  <c r="G20" i="3"/>
  <c r="G29" i="3" s="1"/>
  <c r="O27" i="3"/>
  <c r="O28" i="3"/>
  <c r="R4" i="3"/>
  <c r="L12" i="3"/>
  <c r="L19" i="3" s="1"/>
  <c r="K19" i="3"/>
  <c r="E19" i="3"/>
  <c r="G12" i="3"/>
  <c r="G19" i="3" s="1"/>
  <c r="N11" i="3"/>
  <c r="Q9" i="3" s="1"/>
  <c r="N218" i="3"/>
  <c r="K11" i="3"/>
  <c r="L3" i="3"/>
  <c r="L11" i="3" s="1"/>
  <c r="E11" i="3"/>
  <c r="G3" i="3"/>
  <c r="K352" i="2"/>
  <c r="L346" i="2"/>
  <c r="L352" i="2" s="1"/>
  <c r="E352" i="2"/>
  <c r="G346" i="2"/>
  <c r="G352" i="2" s="1"/>
  <c r="K345" i="2"/>
  <c r="L336" i="2"/>
  <c r="L345" i="2" s="1"/>
  <c r="E345" i="2"/>
  <c r="G336" i="2"/>
  <c r="G345" i="2" s="1"/>
  <c r="K335" i="2"/>
  <c r="L329" i="2"/>
  <c r="L335" i="2" s="1"/>
  <c r="E335" i="2"/>
  <c r="G329" i="2"/>
  <c r="G335" i="2" s="1"/>
  <c r="L319" i="2"/>
  <c r="L328" i="2" s="1"/>
  <c r="K328" i="2"/>
  <c r="G319" i="2"/>
  <c r="G328" i="2" s="1"/>
  <c r="E328" i="2"/>
  <c r="K318" i="2"/>
  <c r="L315" i="2"/>
  <c r="J318" i="2"/>
  <c r="L310" i="2"/>
  <c r="L318" i="2" s="1"/>
  <c r="E318" i="2"/>
  <c r="G310" i="2"/>
  <c r="G318" i="2" s="1"/>
  <c r="L303" i="2"/>
  <c r="L309" i="2" s="1"/>
  <c r="K309" i="2"/>
  <c r="E309" i="2"/>
  <c r="G303" i="2"/>
  <c r="G309" i="2" s="1"/>
  <c r="K302" i="2"/>
  <c r="L294" i="2"/>
  <c r="L302" i="2" s="1"/>
  <c r="E302" i="2"/>
  <c r="G294" i="2"/>
  <c r="G302" i="2" s="1"/>
  <c r="L286" i="2"/>
  <c r="K293" i="2"/>
  <c r="J293" i="2"/>
  <c r="L285" i="2"/>
  <c r="L293" i="2" s="1"/>
  <c r="G285" i="2"/>
  <c r="G293" i="2" s="1"/>
  <c r="E293" i="2"/>
  <c r="K284" i="2"/>
  <c r="L276" i="2"/>
  <c r="L284" i="2" s="1"/>
  <c r="G276" i="2"/>
  <c r="G284" i="2" s="1"/>
  <c r="E284" i="2"/>
  <c r="L274" i="2"/>
  <c r="N274" i="2"/>
  <c r="L273" i="2"/>
  <c r="N273" i="2"/>
  <c r="N275" i="2" s="1"/>
  <c r="Q242" i="2" s="1"/>
  <c r="R242" i="2" s="1"/>
  <c r="K275" i="2"/>
  <c r="L269" i="2"/>
  <c r="L275" i="2" s="1"/>
  <c r="G269" i="2"/>
  <c r="G275" i="2" s="1"/>
  <c r="E275" i="2"/>
  <c r="L264" i="2"/>
  <c r="N264" i="2"/>
  <c r="N268" i="2" s="1"/>
  <c r="Q241" i="2" s="1"/>
  <c r="R241" i="2" s="1"/>
  <c r="G264" i="2"/>
  <c r="E268" i="2"/>
  <c r="L263" i="2"/>
  <c r="L268" i="2" s="1"/>
  <c r="K268" i="2"/>
  <c r="N260" i="2"/>
  <c r="L260" i="2"/>
  <c r="N259" i="2"/>
  <c r="L259" i="2"/>
  <c r="N258" i="2"/>
  <c r="L258" i="2"/>
  <c r="N257" i="2"/>
  <c r="N262" i="2" s="1"/>
  <c r="Q240" i="2" s="1"/>
  <c r="R240" i="2" s="1"/>
  <c r="L257" i="2"/>
  <c r="L262" i="2" s="1"/>
  <c r="K262" i="2"/>
  <c r="G257" i="2"/>
  <c r="G262" i="2" s="1"/>
  <c r="E262" i="2"/>
  <c r="L251" i="2"/>
  <c r="L256" i="2" s="1"/>
  <c r="J256" i="2"/>
  <c r="E256" i="2"/>
  <c r="G251" i="2"/>
  <c r="G256" i="2" s="1"/>
  <c r="N249" i="2"/>
  <c r="L249" i="2"/>
  <c r="N248" i="2"/>
  <c r="N250" i="2" s="1"/>
  <c r="Q238" i="2" s="1"/>
  <c r="R238" i="2" s="1"/>
  <c r="L248" i="2"/>
  <c r="K250" i="2"/>
  <c r="L244" i="2"/>
  <c r="L250" i="2" s="1"/>
  <c r="E250" i="2"/>
  <c r="G244" i="2"/>
  <c r="G250" i="2" s="1"/>
  <c r="N242" i="2"/>
  <c r="L242" i="2"/>
  <c r="N241" i="2"/>
  <c r="L241" i="2"/>
  <c r="N240" i="2"/>
  <c r="L240" i="2"/>
  <c r="L239" i="2"/>
  <c r="K243" i="2"/>
  <c r="N239" i="2"/>
  <c r="N243" i="2"/>
  <c r="Q237" i="2" s="1"/>
  <c r="N353" i="2"/>
  <c r="J243" i="2"/>
  <c r="L238" i="2"/>
  <c r="L243" i="2" s="1"/>
  <c r="E243" i="2"/>
  <c r="G238" i="2"/>
  <c r="G243" i="2" s="1"/>
  <c r="N232" i="2"/>
  <c r="L232" i="2"/>
  <c r="N231" i="2"/>
  <c r="L231" i="2"/>
  <c r="N230" i="2"/>
  <c r="N233" i="2" s="1"/>
  <c r="Q29" i="2" s="1"/>
  <c r="R29" i="2" s="1"/>
  <c r="L230" i="2"/>
  <c r="K233" i="2"/>
  <c r="L226" i="2"/>
  <c r="L224" i="2"/>
  <c r="N224" i="2"/>
  <c r="N223" i="2"/>
  <c r="L223" i="2"/>
  <c r="L222" i="2"/>
  <c r="N222" i="2"/>
  <c r="N225" i="2" s="1"/>
  <c r="Q28" i="2" s="1"/>
  <c r="R28" i="2" s="1"/>
  <c r="K225" i="2"/>
  <c r="L218" i="2"/>
  <c r="L233" i="2" s="1"/>
  <c r="G218" i="2"/>
  <c r="G233" i="2" s="1"/>
  <c r="L216" i="2"/>
  <c r="N216" i="2"/>
  <c r="L215" i="2"/>
  <c r="N215" i="2"/>
  <c r="N214" i="2"/>
  <c r="N217" i="2" s="1"/>
  <c r="Q27" i="2" s="1"/>
  <c r="R27" i="2" s="1"/>
  <c r="L214" i="2"/>
  <c r="L210" i="2"/>
  <c r="L225" i="2" s="1"/>
  <c r="K217" i="2"/>
  <c r="G210" i="2"/>
  <c r="G225" i="2" s="1"/>
  <c r="N208" i="2"/>
  <c r="L208" i="2"/>
  <c r="N207" i="2"/>
  <c r="L207" i="2"/>
  <c r="N206" i="2"/>
  <c r="L206" i="2"/>
  <c r="L204" i="2"/>
  <c r="N204" i="2"/>
  <c r="L203" i="2"/>
  <c r="N203" i="2"/>
  <c r="N202" i="2"/>
  <c r="N209" i="2" s="1"/>
  <c r="Q25" i="2" s="1"/>
  <c r="R25" i="2" s="1"/>
  <c r="L202" i="2"/>
  <c r="L217" i="2" s="1"/>
  <c r="K209" i="2"/>
  <c r="G202" i="2"/>
  <c r="G217" i="2" s="1"/>
  <c r="K201" i="2"/>
  <c r="N200" i="2"/>
  <c r="L200" i="2"/>
  <c r="E209" i="2"/>
  <c r="E217" i="2" s="1"/>
  <c r="E225" i="2" s="1"/>
  <c r="E233" i="2" s="1"/>
  <c r="G200" i="2"/>
  <c r="N199" i="2"/>
  <c r="L199" i="2"/>
  <c r="L198" i="2"/>
  <c r="N198" i="2"/>
  <c r="K193" i="2"/>
  <c r="L188" i="2"/>
  <c r="L201" i="2" s="1"/>
  <c r="J193" i="2"/>
  <c r="J201" i="2" s="1"/>
  <c r="J209" i="2" s="1"/>
  <c r="L185" i="2"/>
  <c r="L193" i="2" s="1"/>
  <c r="G185" i="2"/>
  <c r="G193" i="2" s="1"/>
  <c r="E193" i="2"/>
  <c r="E201" i="2" s="1"/>
  <c r="L183" i="2"/>
  <c r="N183" i="2"/>
  <c r="L182" i="2"/>
  <c r="N182" i="2"/>
  <c r="N181" i="2"/>
  <c r="N184" i="2" s="1"/>
  <c r="Q22" i="2" s="1"/>
  <c r="R22" i="2" s="1"/>
  <c r="L181" i="2"/>
  <c r="K184" i="2"/>
  <c r="L176" i="2"/>
  <c r="L184" i="2" s="1"/>
  <c r="E184" i="2"/>
  <c r="G176" i="2"/>
  <c r="G184" i="2" s="1"/>
  <c r="N174" i="2"/>
  <c r="N175" i="2" s="1"/>
  <c r="Q21" i="2" s="1"/>
  <c r="R21" i="2" s="1"/>
  <c r="L174" i="2"/>
  <c r="K175" i="2"/>
  <c r="L167" i="2"/>
  <c r="L175" i="2" s="1"/>
  <c r="G167" i="2"/>
  <c r="G175" i="2" s="1"/>
  <c r="E175" i="2"/>
  <c r="L165" i="2"/>
  <c r="N165" i="2"/>
  <c r="N166" i="2" s="1"/>
  <c r="Q20" i="2" s="1"/>
  <c r="R20" i="2" s="1"/>
  <c r="L158" i="2"/>
  <c r="L166" i="2" s="1"/>
  <c r="K166" i="2"/>
  <c r="G158" i="2"/>
  <c r="G166" i="2" s="1"/>
  <c r="E166" i="2"/>
  <c r="N156" i="2"/>
  <c r="N157" i="2" s="1"/>
  <c r="Q19" i="2" s="1"/>
  <c r="R19" i="2" s="1"/>
  <c r="L156" i="2"/>
  <c r="K157" i="2"/>
  <c r="L155" i="2"/>
  <c r="J157" i="2"/>
  <c r="L149" i="2"/>
  <c r="L157" i="2" s="1"/>
  <c r="E157" i="2"/>
  <c r="G149" i="2"/>
  <c r="G157" i="2" s="1"/>
  <c r="K148" i="2"/>
  <c r="L137" i="2"/>
  <c r="L148" i="2" s="1"/>
  <c r="E148" i="2"/>
  <c r="G137" i="2"/>
  <c r="G148" i="2" s="1"/>
  <c r="K136" i="2"/>
  <c r="L129" i="2"/>
  <c r="L136" i="2" s="1"/>
  <c r="E136" i="2"/>
  <c r="G129" i="2"/>
  <c r="G136" i="2" s="1"/>
  <c r="K128" i="2"/>
  <c r="L121" i="2"/>
  <c r="L128" i="2" s="1"/>
  <c r="E128" i="2"/>
  <c r="G121" i="2"/>
  <c r="G128" i="2" s="1"/>
  <c r="L117" i="2"/>
  <c r="K120" i="2"/>
  <c r="Q16" i="2"/>
  <c r="R16" i="2"/>
  <c r="J120" i="2"/>
  <c r="L113" i="2"/>
  <c r="L120" i="2" s="1"/>
  <c r="E120" i="2"/>
  <c r="G113" i="2"/>
  <c r="G120" i="2" s="1"/>
  <c r="K104" i="2"/>
  <c r="L98" i="2"/>
  <c r="K112" i="2"/>
  <c r="J104" i="2"/>
  <c r="J112" i="2"/>
  <c r="E104" i="2"/>
  <c r="E112" i="2"/>
  <c r="G98" i="2"/>
  <c r="K97" i="2"/>
  <c r="L89" i="2"/>
  <c r="L97" i="2" s="1"/>
  <c r="E97" i="2"/>
  <c r="G89" i="2"/>
  <c r="G97" i="2" s="1"/>
  <c r="L81" i="2"/>
  <c r="L88" i="2" s="1"/>
  <c r="K88" i="2"/>
  <c r="E88" i="2"/>
  <c r="G81" i="2"/>
  <c r="G88" i="2" s="1"/>
  <c r="L73" i="2"/>
  <c r="L80" i="2" s="1"/>
  <c r="K80" i="2"/>
  <c r="G72" i="2"/>
  <c r="G80" i="2" s="1"/>
  <c r="E80" i="2"/>
  <c r="L62" i="2"/>
  <c r="L71" i="2" s="1"/>
  <c r="K71" i="2"/>
  <c r="E71" i="2"/>
  <c r="G62" i="2"/>
  <c r="G71" i="2" s="1"/>
  <c r="K61" i="2"/>
  <c r="L50" i="2"/>
  <c r="L61" i="2" s="1"/>
  <c r="G50" i="2"/>
  <c r="G61" i="2" s="1"/>
  <c r="E61" i="2"/>
  <c r="K49" i="2"/>
  <c r="L39" i="2"/>
  <c r="L49" i="2" s="1"/>
  <c r="E49" i="2"/>
  <c r="G39" i="2"/>
  <c r="G49" i="2" s="1"/>
  <c r="L30" i="2"/>
  <c r="L38" i="2" s="1"/>
  <c r="K38" i="2"/>
  <c r="G30" i="2"/>
  <c r="G38" i="2" s="1"/>
  <c r="E38" i="2"/>
  <c r="L20" i="2"/>
  <c r="L29" i="2" s="1"/>
  <c r="K29" i="2"/>
  <c r="E29" i="2"/>
  <c r="G20" i="2"/>
  <c r="G29" i="2" s="1"/>
  <c r="O27" i="2"/>
  <c r="O28" i="2"/>
  <c r="R4" i="2"/>
  <c r="L12" i="2"/>
  <c r="L19" i="2" s="1"/>
  <c r="K19" i="2"/>
  <c r="G12" i="2"/>
  <c r="G19" i="2" s="1"/>
  <c r="E19" i="2"/>
  <c r="Q9" i="2"/>
  <c r="K11" i="2"/>
  <c r="L3" i="2"/>
  <c r="L11" i="2" s="1"/>
  <c r="E11" i="2"/>
  <c r="G3" i="2"/>
  <c r="L330" i="1"/>
  <c r="L336" i="1" s="1"/>
  <c r="K336" i="1"/>
  <c r="G330" i="1"/>
  <c r="G336" i="1" s="1"/>
  <c r="E336" i="1"/>
  <c r="L320" i="1"/>
  <c r="L329" i="1" s="1"/>
  <c r="K329" i="1"/>
  <c r="G320" i="1"/>
  <c r="G329" i="1" s="1"/>
  <c r="E329" i="1"/>
  <c r="L313" i="1"/>
  <c r="L319" i="1" s="1"/>
  <c r="K319" i="1"/>
  <c r="G313" i="1"/>
  <c r="G319" i="1" s="1"/>
  <c r="E319" i="1"/>
  <c r="L303" i="1"/>
  <c r="L312" i="1" s="1"/>
  <c r="K312" i="1"/>
  <c r="E312" i="1"/>
  <c r="G303" i="1"/>
  <c r="G312" i="1" s="1"/>
  <c r="L294" i="1"/>
  <c r="L302" i="1" s="1"/>
  <c r="K302" i="1"/>
  <c r="G294" i="1"/>
  <c r="G302" i="1" s="1"/>
  <c r="E302" i="1"/>
  <c r="K293" i="1"/>
  <c r="L287" i="1"/>
  <c r="L293" i="1" s="1"/>
  <c r="G287" i="1"/>
  <c r="G293" i="1" s="1"/>
  <c r="E293" i="1"/>
  <c r="K286" i="1"/>
  <c r="L278" i="1"/>
  <c r="L286" i="1" s="1"/>
  <c r="E286" i="1"/>
  <c r="G278" i="1"/>
  <c r="G286" i="1" s="1"/>
  <c r="K277" i="1"/>
  <c r="L270" i="1"/>
  <c r="L269" i="1"/>
  <c r="L277" i="1" s="1"/>
  <c r="J277" i="1"/>
  <c r="G269" i="1"/>
  <c r="G277" i="1" s="1"/>
  <c r="E277" i="1"/>
  <c r="K268" i="1"/>
  <c r="L260" i="1"/>
  <c r="L268" i="1" s="1"/>
  <c r="E268" i="1"/>
  <c r="G260" i="1"/>
  <c r="G268" i="1" s="1"/>
  <c r="N258" i="1"/>
  <c r="L258" i="1"/>
  <c r="N257" i="1"/>
  <c r="N259" i="1" s="1"/>
  <c r="Q226" i="1" s="1"/>
  <c r="R226" i="1" s="1"/>
  <c r="L257" i="1"/>
  <c r="K259" i="1"/>
  <c r="L253" i="1"/>
  <c r="L259" i="1" s="1"/>
  <c r="G253" i="1"/>
  <c r="G259" i="1" s="1"/>
  <c r="E259" i="1"/>
  <c r="N248" i="1"/>
  <c r="N252" i="1" s="1"/>
  <c r="Q225" i="1" s="1"/>
  <c r="R225" i="1" s="1"/>
  <c r="L248" i="1"/>
  <c r="E252" i="1"/>
  <c r="G248" i="1"/>
  <c r="K252" i="1"/>
  <c r="L247" i="1"/>
  <c r="L252" i="1" s="1"/>
  <c r="N244" i="1"/>
  <c r="L244" i="1"/>
  <c r="L243" i="1"/>
  <c r="N243" i="1"/>
  <c r="L242" i="1"/>
  <c r="N242" i="1"/>
  <c r="N241" i="1"/>
  <c r="N246" i="1" s="1"/>
  <c r="Q224" i="1" s="1"/>
  <c r="R224" i="1" s="1"/>
  <c r="L241" i="1"/>
  <c r="L246" i="1" s="1"/>
  <c r="K246" i="1"/>
  <c r="G241" i="1"/>
  <c r="G246" i="1" s="1"/>
  <c r="E246" i="1"/>
  <c r="L235" i="1"/>
  <c r="L240" i="1" s="1"/>
  <c r="J240" i="1"/>
  <c r="E240" i="1"/>
  <c r="G235" i="1"/>
  <c r="G240" i="1" s="1"/>
  <c r="N233" i="1"/>
  <c r="L233" i="1"/>
  <c r="N232" i="1"/>
  <c r="N234" i="1" s="1"/>
  <c r="Q222" i="1" s="1"/>
  <c r="R222" i="1" s="1"/>
  <c r="L232" i="1"/>
  <c r="K234" i="1"/>
  <c r="L228" i="1"/>
  <c r="L234" i="1" s="1"/>
  <c r="G228" i="1"/>
  <c r="G234" i="1" s="1"/>
  <c r="E234" i="1"/>
  <c r="N226" i="1"/>
  <c r="L226" i="1"/>
  <c r="N225" i="1"/>
  <c r="L225" i="1"/>
  <c r="N224" i="1"/>
  <c r="L224" i="1"/>
  <c r="N223" i="1"/>
  <c r="L223" i="1"/>
  <c r="K227" i="1"/>
  <c r="N227" i="1"/>
  <c r="Q221" i="1" s="1"/>
  <c r="N337" i="1"/>
  <c r="J227" i="1"/>
  <c r="L222" i="1"/>
  <c r="L227" i="1" s="1"/>
  <c r="G222" i="1"/>
  <c r="G227" i="1" s="1"/>
  <c r="E227" i="1"/>
  <c r="L216" i="1"/>
  <c r="N216" i="1"/>
  <c r="N215" i="1"/>
  <c r="L215" i="1"/>
  <c r="L214" i="1"/>
  <c r="N214" i="1"/>
  <c r="N217" i="1" s="1"/>
  <c r="Q27" i="1" s="1"/>
  <c r="R27" i="1" s="1"/>
  <c r="L210" i="1"/>
  <c r="K217" i="1"/>
  <c r="N208" i="1"/>
  <c r="L208" i="1"/>
  <c r="N207" i="1"/>
  <c r="L207" i="1"/>
  <c r="N206" i="1"/>
  <c r="L206" i="1"/>
  <c r="N204" i="1"/>
  <c r="L204" i="1"/>
  <c r="N203" i="1"/>
  <c r="L203" i="1"/>
  <c r="K209" i="1"/>
  <c r="N202" i="1"/>
  <c r="N209" i="1" s="1"/>
  <c r="Q25" i="1" s="1"/>
  <c r="R25" i="1" s="1"/>
  <c r="L202" i="1"/>
  <c r="L217" i="1" s="1"/>
  <c r="G202" i="1"/>
  <c r="G217" i="1" s="1"/>
  <c r="N200" i="1"/>
  <c r="L200" i="1"/>
  <c r="N199" i="1"/>
  <c r="L199" i="1"/>
  <c r="L198" i="1"/>
  <c r="N198" i="1"/>
  <c r="N201" i="1" s="1"/>
  <c r="Q24" i="1" s="1"/>
  <c r="R24" i="1" s="1"/>
  <c r="L194" i="1"/>
  <c r="L209" i="1" s="1"/>
  <c r="K201" i="1"/>
  <c r="G194" i="1"/>
  <c r="G209" i="1" s="1"/>
  <c r="N188" i="1"/>
  <c r="L188" i="1"/>
  <c r="L201" i="1" s="1"/>
  <c r="G188" i="1"/>
  <c r="G201" i="1" s="1"/>
  <c r="N187" i="1"/>
  <c r="L187" i="1"/>
  <c r="N186" i="1"/>
  <c r="L186" i="1"/>
  <c r="N185" i="1"/>
  <c r="N193" i="1" s="1"/>
  <c r="Q23" i="1" s="1"/>
  <c r="R23" i="1" s="1"/>
  <c r="L185" i="1"/>
  <c r="L193" i="1" s="1"/>
  <c r="K193" i="1"/>
  <c r="G185" i="1"/>
  <c r="G193" i="1" s="1"/>
  <c r="E193" i="1"/>
  <c r="E201" i="1" s="1"/>
  <c r="E209" i="1" s="1"/>
  <c r="E217" i="1" s="1"/>
  <c r="N183" i="1"/>
  <c r="L183" i="1"/>
  <c r="N182" i="1"/>
  <c r="L182" i="1"/>
  <c r="N181" i="1"/>
  <c r="N184" i="1" s="1"/>
  <c r="Q22" i="1" s="1"/>
  <c r="R22" i="1" s="1"/>
  <c r="L181" i="1"/>
  <c r="L176" i="1"/>
  <c r="L184" i="1" s="1"/>
  <c r="K184" i="1"/>
  <c r="E184" i="1"/>
  <c r="G176" i="1"/>
  <c r="G184" i="1" s="1"/>
  <c r="N174" i="1"/>
  <c r="N175" i="1" s="1"/>
  <c r="Q21" i="1" s="1"/>
  <c r="R21" i="1" s="1"/>
  <c r="L174" i="1"/>
  <c r="K175" i="1"/>
  <c r="L167" i="1"/>
  <c r="L175" i="1" s="1"/>
  <c r="G167" i="1"/>
  <c r="G175" i="1" s="1"/>
  <c r="E175" i="1"/>
  <c r="N165" i="1"/>
  <c r="N166" i="1" s="1"/>
  <c r="Q20" i="1" s="1"/>
  <c r="R20" i="1" s="1"/>
  <c r="L165" i="1"/>
  <c r="L158" i="1"/>
  <c r="L166" i="1" s="1"/>
  <c r="K166" i="1"/>
  <c r="E166" i="1"/>
  <c r="G158" i="1"/>
  <c r="G166" i="1" s="1"/>
  <c r="L156" i="1"/>
  <c r="N156" i="1"/>
  <c r="N157" i="1" s="1"/>
  <c r="Q19" i="1" s="1"/>
  <c r="R19" i="1" s="1"/>
  <c r="L155" i="1"/>
  <c r="K157" i="1"/>
  <c r="J157" i="1"/>
  <c r="L149" i="1"/>
  <c r="L157" i="1" s="1"/>
  <c r="E157" i="1"/>
  <c r="G149" i="1"/>
  <c r="G157" i="1" s="1"/>
  <c r="K148" i="1"/>
  <c r="L137" i="1"/>
  <c r="L148" i="1" s="1"/>
  <c r="G137" i="1"/>
  <c r="G148" i="1" s="1"/>
  <c r="E148" i="1"/>
  <c r="K136" i="1"/>
  <c r="L129" i="1"/>
  <c r="L136" i="1" s="1"/>
  <c r="G129" i="1"/>
  <c r="G136" i="1" s="1"/>
  <c r="E136" i="1"/>
  <c r="K128" i="1"/>
  <c r="L121" i="1"/>
  <c r="L128" i="1" s="1"/>
  <c r="E128" i="1"/>
  <c r="G121" i="1"/>
  <c r="G128" i="1" s="1"/>
  <c r="Q16" i="1"/>
  <c r="R16" i="1"/>
  <c r="L113" i="1"/>
  <c r="L120" i="1" s="1"/>
  <c r="K120" i="1"/>
  <c r="E120" i="1"/>
  <c r="G113" i="1"/>
  <c r="G120" i="1" s="1"/>
  <c r="L98" i="1"/>
  <c r="K104" i="1"/>
  <c r="K112" i="1"/>
  <c r="J104" i="1"/>
  <c r="J112" i="1"/>
  <c r="G98" i="1"/>
  <c r="E104" i="1"/>
  <c r="E112" i="1" s="1"/>
  <c r="L89" i="1"/>
  <c r="L97" i="1" s="1"/>
  <c r="K97" i="1"/>
  <c r="G89" i="1"/>
  <c r="G97" i="1" s="1"/>
  <c r="E97" i="1"/>
  <c r="L81" i="1"/>
  <c r="L88" i="1" s="1"/>
  <c r="K88" i="1"/>
  <c r="G81" i="1"/>
  <c r="G88" i="1" s="1"/>
  <c r="E88" i="1"/>
  <c r="L73" i="1"/>
  <c r="L80" i="1" s="1"/>
  <c r="K80" i="1"/>
  <c r="E80" i="1"/>
  <c r="G72" i="1"/>
  <c r="G80" i="1" s="1"/>
  <c r="K71" i="1"/>
  <c r="L62" i="1"/>
  <c r="L71" i="1" s="1"/>
  <c r="E71" i="1"/>
  <c r="G62" i="1"/>
  <c r="G71" i="1" s="1"/>
  <c r="K61" i="1"/>
  <c r="L50" i="1"/>
  <c r="L61" i="1" s="1"/>
  <c r="G50" i="1"/>
  <c r="G61" i="1" s="1"/>
  <c r="E61" i="1"/>
  <c r="K49" i="1"/>
  <c r="L39" i="1"/>
  <c r="L49" i="1" s="1"/>
  <c r="E49" i="1"/>
  <c r="G39" i="1"/>
  <c r="G49" i="1" s="1"/>
  <c r="L30" i="1"/>
  <c r="L38" i="1" s="1"/>
  <c r="K38" i="1"/>
  <c r="G30" i="1"/>
  <c r="G38" i="1" s="1"/>
  <c r="E38" i="1"/>
  <c r="L20" i="1"/>
  <c r="L29" i="1" s="1"/>
  <c r="K29" i="1"/>
  <c r="G20" i="1"/>
  <c r="G29" i="1" s="1"/>
  <c r="E29" i="1"/>
  <c r="O28" i="1"/>
  <c r="O27" i="1"/>
  <c r="R4" i="1"/>
  <c r="L12" i="1"/>
  <c r="L19" i="1" s="1"/>
  <c r="K19" i="1"/>
  <c r="G12" i="1"/>
  <c r="G19" i="1" s="1"/>
  <c r="E19" i="1"/>
  <c r="N11" i="1"/>
  <c r="Q9" i="1" s="1"/>
  <c r="N218" i="1"/>
  <c r="K11" i="1"/>
  <c r="L3" i="1"/>
  <c r="L11" i="1" s="1"/>
  <c r="J188" i="6"/>
  <c r="J196" i="6" s="1"/>
  <c r="J187" i="5"/>
  <c r="J195" i="5" s="1"/>
  <c r="J201" i="4"/>
  <c r="J209" i="4" s="1"/>
  <c r="J217" i="2"/>
  <c r="J225" i="2" s="1"/>
  <c r="J233" i="2" s="1"/>
  <c r="J201" i="3"/>
  <c r="J209" i="3" s="1"/>
  <c r="J217" i="3" s="1"/>
  <c r="J201" i="1"/>
  <c r="J209" i="1" s="1"/>
  <c r="J217" i="1" s="1"/>
  <c r="L89" i="18" l="1"/>
  <c r="L97" i="18"/>
  <c r="G89" i="18"/>
  <c r="G97" i="18"/>
  <c r="L80" i="17"/>
  <c r="L85" i="17"/>
  <c r="G80" i="17"/>
  <c r="G85" i="17"/>
  <c r="L73" i="16"/>
  <c r="L78" i="16"/>
  <c r="G73" i="16"/>
  <c r="G78" i="16"/>
  <c r="N125" i="15"/>
  <c r="N171" i="15"/>
  <c r="L90" i="15"/>
  <c r="L98" i="15"/>
  <c r="G90" i="15"/>
  <c r="G98" i="15"/>
  <c r="L90" i="14"/>
  <c r="L98" i="14"/>
  <c r="G90" i="14"/>
  <c r="G98" i="14"/>
  <c r="Q14" i="13"/>
  <c r="Q15" i="13"/>
  <c r="L99" i="13"/>
  <c r="L91" i="13"/>
  <c r="G91" i="13"/>
  <c r="G99" i="13"/>
  <c r="N163" i="12"/>
  <c r="N216" i="12"/>
  <c r="L93" i="12"/>
  <c r="L101" i="12"/>
  <c r="G93" i="12"/>
  <c r="G101" i="12"/>
  <c r="Q182" i="11"/>
  <c r="Q28" i="11"/>
  <c r="R28" i="11" s="1"/>
  <c r="Q23" i="11"/>
  <c r="R23" i="11" s="1"/>
  <c r="Q177" i="11"/>
  <c r="Q15" i="11"/>
  <c r="Q14" i="11"/>
  <c r="R14" i="11" s="1"/>
  <c r="L95" i="11"/>
  <c r="L103" i="11"/>
  <c r="N181" i="10"/>
  <c r="Q175" i="10" s="1"/>
  <c r="N236" i="10"/>
  <c r="N159" i="10"/>
  <c r="L159" i="10"/>
  <c r="N158" i="10"/>
  <c r="N162" i="10" s="1"/>
  <c r="L158" i="10"/>
  <c r="Q14" i="10"/>
  <c r="R14" i="10" s="1"/>
  <c r="Q15" i="10"/>
  <c r="L95" i="10"/>
  <c r="L103" i="10"/>
  <c r="G95" i="10"/>
  <c r="G103" i="10"/>
  <c r="N185" i="9"/>
  <c r="Q179" i="9" s="1"/>
  <c r="N245" i="9"/>
  <c r="L163" i="9"/>
  <c r="N163" i="9"/>
  <c r="L162" i="9"/>
  <c r="N162" i="9"/>
  <c r="L161" i="9"/>
  <c r="N161" i="9"/>
  <c r="L158" i="9"/>
  <c r="L166" i="9" s="1"/>
  <c r="N158" i="9"/>
  <c r="N166" i="9" s="1"/>
  <c r="Q22" i="9" s="1"/>
  <c r="R22" i="9" s="1"/>
  <c r="K166" i="9"/>
  <c r="N176" i="9"/>
  <c r="Q15" i="9"/>
  <c r="R15" i="9" s="1"/>
  <c r="Q16" i="9"/>
  <c r="L105" i="9"/>
  <c r="L97" i="9"/>
  <c r="G97" i="9"/>
  <c r="G105" i="9"/>
  <c r="N185" i="8"/>
  <c r="Q179" i="8" s="1"/>
  <c r="N246" i="8"/>
  <c r="L105" i="8"/>
  <c r="L97" i="8"/>
  <c r="G97" i="8"/>
  <c r="G105" i="8"/>
  <c r="L101" i="7"/>
  <c r="L109" i="7"/>
  <c r="G101" i="7"/>
  <c r="G109" i="7"/>
  <c r="L101" i="6"/>
  <c r="L109" i="6"/>
  <c r="G101" i="6"/>
  <c r="G109" i="6"/>
  <c r="L101" i="5"/>
  <c r="L109" i="5"/>
  <c r="G101" i="5"/>
  <c r="G109" i="5"/>
  <c r="R213" i="4"/>
  <c r="Q229" i="4"/>
  <c r="L103" i="4"/>
  <c r="L111" i="4"/>
  <c r="G103" i="4"/>
  <c r="G111" i="4"/>
  <c r="L104" i="3"/>
  <c r="L112" i="3"/>
  <c r="G104" i="3"/>
  <c r="G112" i="3"/>
  <c r="R237" i="2"/>
  <c r="Q253" i="2"/>
  <c r="L104" i="2"/>
  <c r="L112" i="2"/>
  <c r="G104" i="2"/>
  <c r="G112" i="2"/>
  <c r="R221" i="1"/>
  <c r="Q237" i="1"/>
  <c r="L104" i="1"/>
  <c r="L112" i="1"/>
  <c r="G104" i="1"/>
  <c r="G112" i="1"/>
  <c r="Q212" i="5"/>
  <c r="N201" i="2"/>
  <c r="Q19" i="8"/>
  <c r="R19" i="8" s="1"/>
  <c r="N176" i="8"/>
  <c r="R9" i="7"/>
  <c r="Q29" i="7"/>
  <c r="Q205" i="6"/>
  <c r="N280" i="6"/>
  <c r="R9" i="6"/>
  <c r="Q29" i="6"/>
  <c r="Q204" i="5"/>
  <c r="N286" i="5"/>
  <c r="R9" i="5"/>
  <c r="Q29" i="5"/>
  <c r="R9" i="4"/>
  <c r="Q29" i="4"/>
  <c r="Q221" i="3"/>
  <c r="N335" i="3"/>
  <c r="R9" i="3"/>
  <c r="Q29" i="3"/>
  <c r="R9" i="2"/>
  <c r="R9" i="1"/>
  <c r="Q29" i="1"/>
  <c r="N172" i="10" l="1"/>
  <c r="Q21" i="10"/>
  <c r="R21" i="10" s="1"/>
  <c r="N234" i="2"/>
  <c r="Q24" i="2"/>
  <c r="Q237" i="3"/>
  <c r="R221" i="3"/>
  <c r="Q30" i="2" l="1"/>
  <c r="R24" i="2"/>
  <c r="R30" i="2" s="1"/>
</calcChain>
</file>

<file path=xl/sharedStrings.xml><?xml version="1.0" encoding="utf-8"?>
<sst xmlns="http://schemas.openxmlformats.org/spreadsheetml/2006/main" count="5113" uniqueCount="112">
  <si>
    <t>THỐNG KÊ DẦU / 100 KM tháng 05/2026</t>
  </si>
  <si>
    <t>NGÀY</t>
  </si>
  <si>
    <t>SỐ XE</t>
  </si>
  <si>
    <t>SỐ KM CŨ</t>
  </si>
  <si>
    <t>SỐ KM ĐỔ</t>
  </si>
  <si>
    <t>T.CỘNG</t>
  </si>
  <si>
    <t>LÍT</t>
  </si>
  <si>
    <t>L/100 KM</t>
  </si>
  <si>
    <t>định vị</t>
  </si>
  <si>
    <t>ĐƠN GIÁ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</si>
  <si>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</si>
  <si>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</si>
  <si>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</si>
  <si>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</si>
  <si>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</si>
  <si>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</si>
  <si>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</si>
  <si>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</si>
  <si>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</si>
  <si>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</si>
  <si>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</si>
  <si>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</si>
  <si>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</si>
  <si>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</si>
  <si>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</si>
  <si>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</si>
  <si>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</si>
  <si>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47H-02023</t>
  </si>
  <si>
    <t>50H-92136</t>
  </si>
  <si>
    <t>62H  01887</t>
  </si>
  <si>
    <t>51D-38021</t>
  </si>
  <si>
    <t>51D -55829</t>
  </si>
  <si>
    <t>50H-60635</t>
  </si>
  <si>
    <t>50H-86564</t>
  </si>
  <si>
    <t>50H-44024</t>
  </si>
  <si>
    <t>50E-164,61</t>
  </si>
  <si>
    <t xml:space="preserve"> 50H-44328</t>
  </si>
  <si>
    <t>50H 50999</t>
  </si>
  <si>
    <t>50H 69501</t>
  </si>
  <si>
    <t>50H 746.19</t>
  </si>
  <si>
    <t>50H 70216</t>
  </si>
  <si>
    <t>50H 87442</t>
  </si>
  <si>
    <t xml:space="preserve"> 50E 16461</t>
  </si>
  <si>
    <t>62H-01887</t>
  </si>
  <si>
    <t>51D 55829</t>
  </si>
  <si>
    <t>XE LỚN 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</si>
  <si>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</si>
  <si>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</si>
  <si>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</si>
  <si>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</si>
  <si>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</si>
  <si>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</si>
  <si>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</si>
  <si>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</si>
  <si>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</si>
  <si>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 xml:space="preserve"> 50E-660.82</t>
  </si>
  <si>
    <t>50E-407,46</t>
  </si>
  <si>
    <t>50E-64873</t>
  </si>
  <si>
    <t xml:space="preserve"> 50E-654.34</t>
  </si>
  <si>
    <t>50H-17010</t>
  </si>
  <si>
    <t>50E 75774</t>
  </si>
  <si>
    <t>50E 75873</t>
  </si>
  <si>
    <t>50E-407.46</t>
  </si>
  <si>
    <t>50E-32401</t>
  </si>
  <si>
    <t>TỔNG CỘNG</t>
  </si>
  <si>
    <t>THỐNG KÊ DẦU / 100 KM tháng 06/2026</t>
  </si>
  <si>
    <t>50H-44328</t>
  </si>
  <si>
    <t>71H-03356</t>
  </si>
  <si>
    <t>50E-565,21</t>
  </si>
  <si>
    <t>60C-27211</t>
  </si>
  <si>
    <t xml:space="preserve"> 51L-89217</t>
  </si>
  <si>
    <t>THỐNG KÊ DẦU / 100 KM tháng 04/2026</t>
  </si>
  <si>
    <t>51D-95538</t>
  </si>
  <si>
    <t>THỐNG KÊ DẦU / 100 KM tháng 03/2026</t>
  </si>
  <si>
    <t>THỐNG KÊ DẦU / 100 KM tháng 02/2026</t>
  </si>
  <si>
    <t>THỐNG KÊ DẦU / 100 KM tháng 01/2026</t>
  </si>
  <si>
    <t>,</t>
  </si>
  <si>
    <t>THỐNG KÊ DẦU / 100 KM tháng 12/2025</t>
  </si>
  <si>
    <t>01./12/2025</t>
  </si>
  <si>
    <t>THỐNG KÊ DẦU / 100 KM tháng 11/2025</t>
  </si>
  <si>
    <t>50H-00945</t>
  </si>
  <si>
    <t>60H-45050</t>
  </si>
  <si>
    <t>THỐNG KÊ DẦU / 100 KM tháng 10/2025</t>
  </si>
  <si>
    <t>66G-00403</t>
  </si>
  <si>
    <t>CRB5L</t>
  </si>
  <si>
    <t>nhớt</t>
  </si>
  <si>
    <t>THỐNG KÊ DẦU / 100 KM tháng 09/2025</t>
  </si>
  <si>
    <t>50H-54581</t>
  </si>
  <si>
    <t>50H-66446</t>
  </si>
  <si>
    <t>50H-32401</t>
  </si>
  <si>
    <t>60C-45050</t>
  </si>
  <si>
    <t>THỐNG KÊ DẦU / 100 KM tháng 08/2025</t>
  </si>
  <si>
    <t>50E-324,04</t>
  </si>
  <si>
    <t>THỐNG KÊ DẦU / 100 KM tháng 07/2025</t>
  </si>
  <si>
    <t>THỐNG KÊ DẦU / 100 KM tháng 06/2025</t>
  </si>
  <si>
    <t xml:space="preserve">  </t>
  </si>
  <si>
    <t>THỐNG KÊ DẦU / 100 KM tháng 05/2025</t>
  </si>
  <si>
    <t>phiếu bảng kê tính 16,800</t>
  </si>
  <si>
    <t>51C-89727</t>
  </si>
  <si>
    <t>THỐNG KÊ DẦU / 100 KM tháng 04/2025</t>
  </si>
  <si>
    <t>THỐNG KÊ DẦU / 100 KM tháng 03/2025</t>
  </si>
  <si>
    <t>51C-65297</t>
  </si>
  <si>
    <t>THỐNG KÊ DẦU / 100 KM tháng 01/2025</t>
  </si>
  <si>
    <t>6,953,955</t>
  </si>
  <si>
    <t>60C-4500</t>
  </si>
  <si>
    <t>THỐNG KÊ DẦU / 100 KM tháng 12/2024</t>
  </si>
  <si>
    <t>50H-136.46</t>
  </si>
  <si>
    <t>51D-26552</t>
  </si>
  <si>
    <t>THỐNG KÊ DẦU / 100 KM tháng 02/2025</t>
  </si>
  <si>
    <t>x</t>
  </si>
  <si>
    <t>không có số km đồng hồ</t>
  </si>
  <si>
    <t>không có số km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</si>
</sst>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d/mm/yyyy"/>
    <numFmt numFmtId="166" formatCode="yyyy/m"/>
    <numFmt numFmtId="167" formatCode="dd\-mm"/>
    <numFmt numFmtId="168" formatCode="d\-m"/>
    <numFmt numFmtId="169" formatCode="d/m"/>
  </numFmts>
  <fonts count="24">
    <font>
      <sz val="10"/>
      <color rgb="FF000000"/>
      <name val="Arial"/>
      <scheme val="minor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81B3A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081B3A"/>
      <name val="SegoeuiPc"/>
    </font>
    <font>
      <sz val="11"/>
      <color rgb="FFFF0000"/>
      <name val="Arial"/>
      <family val="2"/>
    </font>
    <font>
      <sz val="13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FF0000"/>
      <name val="Arial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" fontId="5" fillId="2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0" fontId="6" fillId="0" borderId="0" xfId="0" applyFont="1"/>
    <xf numFmtId="0" fontId="6" fillId="2" borderId="0" xfId="0" applyFont="1" applyFill="1"/>
    <xf numFmtId="3" fontId="6" fillId="0" borderId="0" xfId="0" applyNumberFormat="1" applyFont="1"/>
    <xf numFmtId="3" fontId="3" fillId="3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3" fontId="7" fillId="2" borderId="14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3" fontId="3" fillId="2" borderId="17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3" fontId="3" fillId="2" borderId="18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0" fontId="6" fillId="4" borderId="0" xfId="0" applyFont="1" applyFill="1"/>
    <xf numFmtId="0" fontId="8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4" fontId="8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/>
    </xf>
    <xf numFmtId="164" fontId="3" fillId="2" borderId="21" xfId="0" applyNumberFormat="1" applyFont="1" applyFill="1" applyBorder="1" applyAlignment="1">
      <alignment horizontal="center"/>
    </xf>
    <xf numFmtId="4" fontId="3" fillId="2" borderId="22" xfId="0" applyNumberFormat="1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165" fontId="8" fillId="2" borderId="23" xfId="0" applyNumberFormat="1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4" fontId="3" fillId="2" borderId="25" xfId="0" applyNumberFormat="1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9" fillId="0" borderId="0" xfId="0" applyFont="1"/>
    <xf numFmtId="0" fontId="3" fillId="3" borderId="10" xfId="0" applyFont="1" applyFill="1" applyBorder="1" applyAlignment="1">
      <alignment horizontal="center"/>
    </xf>
    <xf numFmtId="166" fontId="9" fillId="0" borderId="0" xfId="0" applyNumberFormat="1" applyFont="1"/>
    <xf numFmtId="0" fontId="4" fillId="2" borderId="25" xfId="0" applyFont="1" applyFill="1" applyBorder="1" applyAlignment="1">
      <alignment horizontal="center"/>
    </xf>
    <xf numFmtId="165" fontId="3" fillId="3" borderId="9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165" fontId="3" fillId="2" borderId="21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165" fontId="3" fillId="2" borderId="27" xfId="0" applyNumberFormat="1" applyFont="1" applyFill="1" applyBorder="1" applyAlignment="1">
      <alignment horizontal="center"/>
    </xf>
    <xf numFmtId="165" fontId="3" fillId="3" borderId="21" xfId="0" applyNumberFormat="1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3" fillId="2" borderId="28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7" fillId="2" borderId="30" xfId="0" applyFont="1" applyFill="1" applyBorder="1"/>
    <xf numFmtId="0" fontId="7" fillId="2" borderId="5" xfId="0" applyFont="1" applyFill="1" applyBorder="1"/>
    <xf numFmtId="4" fontId="5" fillId="2" borderId="30" xfId="0" applyNumberFormat="1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4" fontId="3" fillId="2" borderId="29" xfId="0" applyNumberFormat="1" applyFont="1" applyFill="1" applyBorder="1" applyAlignment="1">
      <alignment horizontal="center"/>
    </xf>
    <xf numFmtId="3" fontId="3" fillId="2" borderId="29" xfId="0" applyNumberFormat="1" applyFont="1" applyFill="1" applyBorder="1" applyAlignment="1">
      <alignment horizontal="center"/>
    </xf>
    <xf numFmtId="3" fontId="3" fillId="2" borderId="31" xfId="0" applyNumberFormat="1" applyFont="1" applyFill="1" applyBorder="1" applyAlignment="1">
      <alignment horizontal="center"/>
    </xf>
    <xf numFmtId="164" fontId="3" fillId="2" borderId="32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4" fontId="10" fillId="2" borderId="32" xfId="0" applyNumberFormat="1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4" fontId="8" fillId="2" borderId="32" xfId="0" applyNumberFormat="1" applyFont="1" applyFill="1" applyBorder="1" applyAlignment="1">
      <alignment horizontal="center"/>
    </xf>
    <xf numFmtId="3" fontId="3" fillId="2" borderId="32" xfId="0" applyNumberFormat="1" applyFont="1" applyFill="1" applyBorder="1" applyAlignment="1">
      <alignment horizontal="center"/>
    </xf>
    <xf numFmtId="3" fontId="8" fillId="2" borderId="33" xfId="0" applyNumberFormat="1" applyFont="1" applyFill="1" applyBorder="1" applyAlignment="1">
      <alignment horizontal="center"/>
    </xf>
    <xf numFmtId="164" fontId="3" fillId="2" borderId="26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3" fillId="2" borderId="26" xfId="0" applyNumberFormat="1" applyFont="1" applyFill="1" applyBorder="1" applyAlignment="1">
      <alignment horizontal="center"/>
    </xf>
    <xf numFmtId="3" fontId="3" fillId="2" borderId="26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3" fontId="3" fillId="2" borderId="34" xfId="0" applyNumberFormat="1" applyFont="1" applyFill="1" applyBorder="1" applyAlignment="1">
      <alignment horizontal="center"/>
    </xf>
    <xf numFmtId="167" fontId="3" fillId="2" borderId="9" xfId="0" applyNumberFormat="1" applyFont="1" applyFill="1" applyBorder="1" applyAlignment="1">
      <alignment horizontal="center"/>
    </xf>
    <xf numFmtId="3" fontId="3" fillId="2" borderId="35" xfId="0" applyNumberFormat="1" applyFont="1" applyFill="1" applyBorder="1" applyAlignment="1">
      <alignment horizontal="center"/>
    </xf>
    <xf numFmtId="167" fontId="3" fillId="3" borderId="9" xfId="0" applyNumberFormat="1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4" fontId="8" fillId="2" borderId="20" xfId="0" applyNumberFormat="1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3" fontId="8" fillId="2" borderId="36" xfId="0" applyNumberFormat="1" applyFont="1" applyFill="1" applyBorder="1" applyAlignment="1">
      <alignment horizontal="center"/>
    </xf>
    <xf numFmtId="3" fontId="8" fillId="2" borderId="8" xfId="0" applyNumberFormat="1" applyFont="1" applyFill="1" applyBorder="1" applyAlignment="1">
      <alignment horizontal="center"/>
    </xf>
    <xf numFmtId="165" fontId="3" fillId="2" borderId="37" xfId="0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4" fontId="3" fillId="2" borderId="39" xfId="0" applyNumberFormat="1" applyFont="1" applyFill="1" applyBorder="1" applyAlignment="1">
      <alignment horizontal="center"/>
    </xf>
    <xf numFmtId="3" fontId="3" fillId="2" borderId="38" xfId="0" applyNumberFormat="1" applyFont="1" applyFill="1" applyBorder="1" applyAlignment="1">
      <alignment horizontal="center"/>
    </xf>
    <xf numFmtId="164" fontId="3" fillId="2" borderId="40" xfId="0" applyNumberFormat="1" applyFont="1" applyFill="1" applyBorder="1" applyAlignment="1">
      <alignment horizontal="center"/>
    </xf>
    <xf numFmtId="165" fontId="3" fillId="2" borderId="40" xfId="0" applyNumberFormat="1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4" fontId="3" fillId="2" borderId="4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4" fontId="3" fillId="2" borderId="42" xfId="0" applyNumberFormat="1" applyFont="1" applyFill="1" applyBorder="1" applyAlignment="1">
      <alignment horizontal="center"/>
    </xf>
    <xf numFmtId="0" fontId="8" fillId="2" borderId="43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3" fontId="11" fillId="2" borderId="45" xfId="0" applyNumberFormat="1" applyFont="1" applyFill="1" applyBorder="1"/>
    <xf numFmtId="4" fontId="9" fillId="0" borderId="0" xfId="0" applyNumberFormat="1" applyFont="1"/>
    <xf numFmtId="0" fontId="12" fillId="2" borderId="0" xfId="0" applyFont="1" applyFill="1"/>
    <xf numFmtId="0" fontId="13" fillId="0" borderId="0" xfId="0" applyFont="1"/>
    <xf numFmtId="0" fontId="14" fillId="0" borderId="0" xfId="0" applyFont="1"/>
    <xf numFmtId="0" fontId="4" fillId="2" borderId="44" xfId="0" applyFont="1" applyFill="1" applyBorder="1" applyAlignment="1">
      <alignment horizontal="center"/>
    </xf>
    <xf numFmtId="4" fontId="8" fillId="2" borderId="44" xfId="0" applyNumberFormat="1" applyFont="1" applyFill="1" applyBorder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3" fontId="6" fillId="2" borderId="0" xfId="0" applyNumberFormat="1" applyFont="1" applyFill="1" applyAlignment="1">
      <alignment horizontal="right"/>
    </xf>
    <xf numFmtId="0" fontId="4" fillId="4" borderId="2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1" fontId="6" fillId="2" borderId="0" xfId="0" applyNumberFormat="1" applyFont="1" applyFill="1" applyAlignment="1">
      <alignment horizontal="left"/>
    </xf>
    <xf numFmtId="0" fontId="4" fillId="4" borderId="3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5" fillId="4" borderId="47" xfId="0" applyFont="1" applyFill="1" applyBorder="1" applyAlignment="1">
      <alignment horizontal="center"/>
    </xf>
    <xf numFmtId="11" fontId="6" fillId="4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3" fontId="6" fillId="0" borderId="0" xfId="0" applyNumberFormat="1" applyFont="1" applyAlignment="1">
      <alignment horizontal="right"/>
    </xf>
    <xf numFmtId="49" fontId="4" fillId="4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11" fontId="4" fillId="2" borderId="39" xfId="0" applyNumberFormat="1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49" fontId="4" fillId="4" borderId="22" xfId="0" applyNumberFormat="1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/>
    </xf>
    <xf numFmtId="49" fontId="4" fillId="2" borderId="30" xfId="0" applyNumberFormat="1" applyFont="1" applyFill="1" applyBorder="1" applyAlignment="1">
      <alignment horizontal="left"/>
    </xf>
    <xf numFmtId="3" fontId="5" fillId="2" borderId="5" xfId="0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left"/>
    </xf>
    <xf numFmtId="3" fontId="16" fillId="0" borderId="0" xfId="0" applyNumberFormat="1" applyFont="1"/>
    <xf numFmtId="164" fontId="17" fillId="2" borderId="40" xfId="0" applyNumberFormat="1" applyFont="1" applyFill="1" applyBorder="1"/>
    <xf numFmtId="0" fontId="6" fillId="2" borderId="39" xfId="0" applyFont="1" applyFill="1" applyBorder="1" applyAlignment="1">
      <alignment horizontal="center"/>
    </xf>
    <xf numFmtId="0" fontId="17" fillId="2" borderId="26" xfId="0" applyFont="1" applyFill="1" applyBorder="1"/>
    <xf numFmtId="0" fontId="17" fillId="2" borderId="12" xfId="0" applyFont="1" applyFill="1" applyBorder="1"/>
    <xf numFmtId="0" fontId="17" fillId="2" borderId="13" xfId="0" applyFont="1" applyFill="1" applyBorder="1"/>
    <xf numFmtId="0" fontId="17" fillId="0" borderId="26" xfId="0" applyFont="1" applyBorder="1"/>
    <xf numFmtId="0" fontId="17" fillId="0" borderId="10" xfId="0" applyFont="1" applyBorder="1"/>
    <xf numFmtId="0" fontId="5" fillId="2" borderId="10" xfId="0" applyFont="1" applyFill="1" applyBorder="1" applyAlignment="1">
      <alignment horizontal="center"/>
    </xf>
    <xf numFmtId="0" fontId="17" fillId="2" borderId="11" xfId="0" applyFont="1" applyFill="1" applyBorder="1"/>
    <xf numFmtId="4" fontId="5" fillId="2" borderId="42" xfId="0" applyNumberFormat="1" applyFont="1" applyFill="1" applyBorder="1" applyAlignment="1">
      <alignment horizontal="center"/>
    </xf>
    <xf numFmtId="3" fontId="17" fillId="2" borderId="10" xfId="0" applyNumberFormat="1" applyFont="1" applyFill="1" applyBorder="1"/>
    <xf numFmtId="3" fontId="5" fillId="2" borderId="17" xfId="0" applyNumberFormat="1" applyFont="1" applyFill="1" applyBorder="1" applyAlignment="1">
      <alignment horizontal="center"/>
    </xf>
    <xf numFmtId="0" fontId="17" fillId="2" borderId="5" xfId="0" applyFont="1" applyFill="1" applyBorder="1"/>
    <xf numFmtId="0" fontId="17" fillId="2" borderId="16" xfId="0" applyFont="1" applyFill="1" applyBorder="1"/>
    <xf numFmtId="0" fontId="17" fillId="0" borderId="11" xfId="0" applyFont="1" applyBorder="1"/>
    <xf numFmtId="0" fontId="5" fillId="2" borderId="11" xfId="0" applyFont="1" applyFill="1" applyBorder="1" applyAlignment="1">
      <alignment horizontal="center"/>
    </xf>
    <xf numFmtId="4" fontId="5" fillId="2" borderId="39" xfId="0" applyNumberFormat="1" applyFont="1" applyFill="1" applyBorder="1" applyAlignment="1">
      <alignment horizontal="center"/>
    </xf>
    <xf numFmtId="3" fontId="17" fillId="2" borderId="26" xfId="0" applyNumberFormat="1" applyFont="1" applyFill="1" applyBorder="1"/>
    <xf numFmtId="0" fontId="17" fillId="2" borderId="14" xfId="0" applyFont="1" applyFill="1" applyBorder="1"/>
    <xf numFmtId="3" fontId="5" fillId="2" borderId="34" xfId="0" applyNumberFormat="1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17" fillId="2" borderId="7" xfId="0" applyFont="1" applyFill="1" applyBorder="1"/>
    <xf numFmtId="0" fontId="10" fillId="2" borderId="7" xfId="0" applyFont="1" applyFill="1" applyBorder="1" applyAlignment="1">
      <alignment horizontal="center"/>
    </xf>
    <xf numFmtId="4" fontId="10" fillId="2" borderId="7" xfId="0" applyNumberFormat="1" applyFont="1" applyFill="1" applyBorder="1" applyAlignment="1">
      <alignment horizontal="center"/>
    </xf>
    <xf numFmtId="0" fontId="17" fillId="0" borderId="7" xfId="0" applyFont="1" applyBorder="1"/>
    <xf numFmtId="49" fontId="4" fillId="2" borderId="22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164" fontId="3" fillId="2" borderId="27" xfId="0" applyNumberFormat="1" applyFont="1" applyFill="1" applyBorder="1" applyAlignment="1">
      <alignment horizontal="center"/>
    </xf>
    <xf numFmtId="164" fontId="3" fillId="2" borderId="49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4" fontId="5" fillId="4" borderId="5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4" fontId="3" fillId="4" borderId="39" xfId="0" applyNumberFormat="1" applyFont="1" applyFill="1" applyBorder="1" applyAlignment="1">
      <alignment horizontal="center"/>
    </xf>
    <xf numFmtId="3" fontId="3" fillId="4" borderId="26" xfId="0" applyNumberFormat="1" applyFont="1" applyFill="1" applyBorder="1" applyAlignment="1">
      <alignment horizontal="center"/>
    </xf>
    <xf numFmtId="3" fontId="3" fillId="4" borderId="17" xfId="0" applyNumberFormat="1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9" fillId="2" borderId="0" xfId="0" applyFont="1" applyFill="1"/>
    <xf numFmtId="3" fontId="9" fillId="0" borderId="0" xfId="0" applyNumberFormat="1" applyFont="1"/>
    <xf numFmtId="3" fontId="3" fillId="3" borderId="11" xfId="0" applyNumberFormat="1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3" fontId="3" fillId="3" borderId="18" xfId="0" applyNumberFormat="1" applyFont="1" applyFill="1" applyBorder="1" applyAlignment="1">
      <alignment horizontal="center"/>
    </xf>
    <xf numFmtId="0" fontId="9" fillId="4" borderId="0" xfId="0" applyFont="1" applyFill="1"/>
    <xf numFmtId="0" fontId="9" fillId="0" borderId="0" xfId="0" applyFont="1" applyAlignment="1">
      <alignment horizontal="right"/>
    </xf>
    <xf numFmtId="0" fontId="9" fillId="0" borderId="5" xfId="0" applyFont="1" applyBorder="1"/>
    <xf numFmtId="0" fontId="3" fillId="2" borderId="9" xfId="0" applyFont="1" applyFill="1" applyBorder="1" applyAlignment="1">
      <alignment horizontal="center"/>
    </xf>
    <xf numFmtId="3" fontId="9" fillId="2" borderId="0" xfId="0" applyNumberFormat="1" applyFont="1" applyFill="1"/>
    <xf numFmtId="11" fontId="9" fillId="2" borderId="0" xfId="0" applyNumberFormat="1" applyFont="1" applyFill="1"/>
    <xf numFmtId="0" fontId="3" fillId="3" borderId="2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4" fontId="3" fillId="3" borderId="21" xfId="0" applyNumberFormat="1" applyFont="1" applyFill="1" applyBorder="1" applyAlignment="1">
      <alignment horizontal="center"/>
    </xf>
    <xf numFmtId="3" fontId="3" fillId="6" borderId="11" xfId="0" applyNumberFormat="1" applyFont="1" applyFill="1" applyBorder="1" applyAlignment="1">
      <alignment horizontal="center"/>
    </xf>
    <xf numFmtId="168" fontId="3" fillId="2" borderId="27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3" fontId="8" fillId="2" borderId="32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1" fontId="9" fillId="4" borderId="0" xfId="0" applyNumberFormat="1" applyFont="1" applyFill="1"/>
    <xf numFmtId="0" fontId="3" fillId="5" borderId="10" xfId="0" applyFont="1" applyFill="1" applyBorder="1" applyAlignment="1">
      <alignment horizontal="center"/>
    </xf>
    <xf numFmtId="0" fontId="9" fillId="5" borderId="0" xfId="0" applyFont="1" applyFill="1"/>
    <xf numFmtId="0" fontId="7" fillId="2" borderId="5" xfId="0" applyFont="1" applyFill="1" applyBorder="1" applyAlignment="1">
      <alignment horizontal="center"/>
    </xf>
    <xf numFmtId="164" fontId="3" fillId="6" borderId="40" xfId="0" applyNumberFormat="1" applyFont="1" applyFill="1" applyBorder="1" applyAlignment="1">
      <alignment horizontal="center"/>
    </xf>
    <xf numFmtId="0" fontId="4" fillId="6" borderId="39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168" fontId="3" fillId="2" borderId="9" xfId="0" applyNumberFormat="1" applyFont="1" applyFill="1" applyBorder="1" applyAlignment="1">
      <alignment horizontal="center"/>
    </xf>
    <xf numFmtId="3" fontId="3" fillId="6" borderId="17" xfId="0" applyNumberFormat="1" applyFont="1" applyFill="1" applyBorder="1" applyAlignment="1">
      <alignment horizontal="center"/>
    </xf>
    <xf numFmtId="3" fontId="8" fillId="2" borderId="14" xfId="0" applyNumberFormat="1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3" fontId="7" fillId="2" borderId="14" xfId="0" applyNumberFormat="1" applyFont="1" applyFill="1" applyBorder="1"/>
    <xf numFmtId="3" fontId="7" fillId="2" borderId="0" xfId="0" applyNumberFormat="1" applyFont="1" applyFill="1"/>
    <xf numFmtId="3" fontId="3" fillId="6" borderId="10" xfId="0" applyNumberFormat="1" applyFont="1" applyFill="1" applyBorder="1" applyAlignment="1">
      <alignment horizontal="center"/>
    </xf>
    <xf numFmtId="3" fontId="3" fillId="6" borderId="34" xfId="0" applyNumberFormat="1" applyFont="1" applyFill="1" applyBorder="1" applyAlignment="1">
      <alignment horizontal="center"/>
    </xf>
    <xf numFmtId="165" fontId="3" fillId="6" borderId="9" xfId="0" applyNumberFormat="1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3" fontId="18" fillId="2" borderId="14" xfId="0" applyNumberFormat="1" applyFont="1" applyFill="1" applyBorder="1"/>
    <xf numFmtId="0" fontId="5" fillId="3" borderId="1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18" fillId="2" borderId="0" xfId="0" applyFont="1" applyFill="1"/>
    <xf numFmtId="0" fontId="4" fillId="2" borderId="51" xfId="0" applyFont="1" applyFill="1" applyBorder="1" applyAlignment="1">
      <alignment horizontal="center"/>
    </xf>
    <xf numFmtId="4" fontId="3" fillId="2" borderId="51" xfId="0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168" fontId="3" fillId="2" borderId="37" xfId="0" applyNumberFormat="1" applyFont="1" applyFill="1" applyBorder="1" applyAlignment="1">
      <alignment horizontal="center"/>
    </xf>
    <xf numFmtId="3" fontId="3" fillId="3" borderId="26" xfId="0" applyNumberFormat="1" applyFont="1" applyFill="1" applyBorder="1" applyAlignment="1">
      <alignment horizontal="center"/>
    </xf>
    <xf numFmtId="169" fontId="3" fillId="2" borderId="40" xfId="0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169" fontId="3" fillId="2" borderId="37" xfId="0" applyNumberFormat="1" applyFont="1" applyFill="1" applyBorder="1" applyAlignment="1">
      <alignment horizontal="center"/>
    </xf>
    <xf numFmtId="169" fontId="3" fillId="6" borderId="37" xfId="0" applyNumberFormat="1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164" fontId="3" fillId="3" borderId="40" xfId="0" applyNumberFormat="1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0" borderId="55" xfId="0" applyFont="1" applyBorder="1" applyAlignment="1">
      <alignment horizontal="center"/>
    </xf>
    <xf numFmtId="4" fontId="3" fillId="2" borderId="53" xfId="0" applyNumberFormat="1" applyFont="1" applyFill="1" applyBorder="1" applyAlignment="1">
      <alignment horizontal="center"/>
    </xf>
    <xf numFmtId="4" fontId="3" fillId="2" borderId="38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167" fontId="3" fillId="2" borderId="40" xfId="0" applyNumberFormat="1" applyFont="1" applyFill="1" applyBorder="1" applyAlignment="1">
      <alignment horizontal="center"/>
    </xf>
    <xf numFmtId="3" fontId="11" fillId="2" borderId="7" xfId="0" applyNumberFormat="1" applyFont="1" applyFill="1" applyBorder="1"/>
    <xf numFmtId="3" fontId="19" fillId="6" borderId="15" xfId="0" applyNumberFormat="1" applyFont="1" applyFill="1" applyBorder="1" applyAlignment="1">
      <alignment horizontal="center"/>
    </xf>
    <xf numFmtId="3" fontId="20" fillId="0" borderId="0" xfId="0" applyNumberFormat="1" applyFont="1"/>
    <xf numFmtId="3" fontId="19" fillId="6" borderId="34" xfId="0" applyNumberFormat="1" applyFont="1" applyFill="1" applyBorder="1" applyAlignment="1">
      <alignment horizontal="center"/>
    </xf>
    <xf numFmtId="3" fontId="5" fillId="6" borderId="34" xfId="0" applyNumberFormat="1" applyFont="1" applyFill="1" applyBorder="1" applyAlignment="1">
      <alignment horizontal="center"/>
    </xf>
    <xf numFmtId="3" fontId="5" fillId="3" borderId="35" xfId="0" applyNumberFormat="1" applyFont="1" applyFill="1" applyBorder="1" applyAlignment="1">
      <alignment horizontal="center"/>
    </xf>
    <xf numFmtId="3" fontId="10" fillId="3" borderId="7" xfId="0" applyNumberFormat="1" applyFont="1" applyFill="1" applyBorder="1" applyAlignment="1">
      <alignment horizontal="center"/>
    </xf>
    <xf numFmtId="3" fontId="5" fillId="3" borderId="34" xfId="0" applyNumberFormat="1" applyFont="1" applyFill="1" applyBorder="1" applyAlignment="1">
      <alignment horizontal="center"/>
    </xf>
    <xf numFmtId="3" fontId="19" fillId="7" borderId="34" xfId="0" applyNumberFormat="1" applyFont="1" applyFill="1" applyBorder="1" applyAlignment="1">
      <alignment horizontal="center"/>
    </xf>
    <xf numFmtId="3" fontId="5" fillId="6" borderId="35" xfId="0" applyNumberFormat="1" applyFont="1" applyFill="1" applyBorder="1" applyAlignment="1">
      <alignment horizontal="center"/>
    </xf>
    <xf numFmtId="165" fontId="8" fillId="2" borderId="49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19" fillId="7" borderId="15" xfId="0" applyNumberFormat="1" applyFont="1" applyFill="1" applyBorder="1" applyAlignment="1">
      <alignment horizontal="center"/>
    </xf>
    <xf numFmtId="3" fontId="19" fillId="3" borderId="34" xfId="0" applyNumberFormat="1" applyFont="1" applyFill="1" applyBorder="1" applyAlignment="1">
      <alignment horizontal="center"/>
    </xf>
    <xf numFmtId="3" fontId="5" fillId="6" borderId="15" xfId="0" applyNumberFormat="1" applyFont="1" applyFill="1" applyBorder="1" applyAlignment="1">
      <alignment horizontal="center"/>
    </xf>
    <xf numFmtId="3" fontId="5" fillId="3" borderId="15" xfId="0" applyNumberFormat="1" applyFont="1" applyFill="1" applyBorder="1" applyAlignment="1">
      <alignment horizontal="center"/>
    </xf>
    <xf numFmtId="4" fontId="3" fillId="2" borderId="52" xfId="0" applyNumberFormat="1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4" fontId="10" fillId="2" borderId="30" xfId="0" applyNumberFormat="1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4" fontId="8" fillId="2" borderId="30" xfId="0" applyNumberFormat="1" applyFont="1" applyFill="1" applyBorder="1" applyAlignment="1">
      <alignment horizontal="center"/>
    </xf>
    <xf numFmtId="3" fontId="3" fillId="2" borderId="30" xfId="0" applyNumberFormat="1" applyFont="1" applyFill="1" applyBorder="1" applyAlignment="1">
      <alignment horizontal="center"/>
    </xf>
    <xf numFmtId="3" fontId="10" fillId="3" borderId="30" xfId="0" applyNumberFormat="1" applyFont="1" applyFill="1" applyBorder="1" applyAlignment="1">
      <alignment horizontal="center"/>
    </xf>
    <xf numFmtId="3" fontId="10" fillId="6" borderId="14" xfId="0" applyNumberFormat="1" applyFont="1" applyFill="1" applyBorder="1" applyAlignment="1">
      <alignment horizontal="center"/>
    </xf>
    <xf numFmtId="3" fontId="5" fillId="6" borderId="14" xfId="0" applyNumberFormat="1" applyFont="1" applyFill="1" applyBorder="1" applyAlignment="1">
      <alignment horizontal="center"/>
    </xf>
    <xf numFmtId="3" fontId="19" fillId="6" borderId="17" xfId="0" applyNumberFormat="1" applyFont="1" applyFill="1" applyBorder="1" applyAlignment="1">
      <alignment horizontal="center"/>
    </xf>
    <xf numFmtId="3" fontId="10" fillId="2" borderId="8" xfId="0" applyNumberFormat="1" applyFont="1" applyFill="1" applyBorder="1" applyAlignment="1">
      <alignment horizontal="center"/>
    </xf>
    <xf numFmtId="3" fontId="21" fillId="0" borderId="5" xfId="0" applyNumberFormat="1" applyFont="1" applyBorder="1"/>
    <xf numFmtId="3" fontId="19" fillId="2" borderId="15" xfId="0" applyNumberFormat="1" applyFont="1" applyFill="1" applyBorder="1" applyAlignment="1">
      <alignment horizontal="center"/>
    </xf>
    <xf numFmtId="3" fontId="10" fillId="2" borderId="7" xfId="0" applyNumberFormat="1" applyFont="1" applyFill="1" applyBorder="1" applyAlignment="1">
      <alignment horizontal="center"/>
    </xf>
    <xf numFmtId="3" fontId="5" fillId="5" borderId="34" xfId="0" applyNumberFormat="1" applyFont="1" applyFill="1" applyBorder="1" applyAlignment="1">
      <alignment horizontal="center"/>
    </xf>
    <xf numFmtId="3" fontId="19" fillId="5" borderId="34" xfId="0" applyNumberFormat="1" applyFont="1" applyFill="1" applyBorder="1" applyAlignment="1">
      <alignment horizontal="center"/>
    </xf>
    <xf numFmtId="3" fontId="19" fillId="3" borderId="15" xfId="0" applyNumberFormat="1" applyFont="1" applyFill="1" applyBorder="1" applyAlignment="1">
      <alignment horizontal="center"/>
    </xf>
    <xf numFmtId="3" fontId="19" fillId="2" borderId="34" xfId="0" applyNumberFormat="1" applyFont="1" applyFill="1" applyBorder="1" applyAlignment="1">
      <alignment horizontal="center"/>
    </xf>
    <xf numFmtId="0" fontId="7" fillId="4" borderId="5" xfId="0" applyFont="1" applyFill="1" applyBorder="1"/>
    <xf numFmtId="3" fontId="3" fillId="8" borderId="26" xfId="0" applyNumberFormat="1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7" fillId="2" borderId="0" xfId="0" applyFont="1" applyFill="1"/>
    <xf numFmtId="0" fontId="21" fillId="0" borderId="5" xfId="0" applyFont="1" applyBorder="1"/>
    <xf numFmtId="3" fontId="19" fillId="3" borderId="17" xfId="0" applyNumberFormat="1" applyFont="1" applyFill="1" applyBorder="1" applyAlignment="1">
      <alignment horizontal="center"/>
    </xf>
    <xf numFmtId="3" fontId="5" fillId="2" borderId="35" xfId="0" applyNumberFormat="1" applyFont="1" applyFill="1" applyBorder="1" applyAlignment="1">
      <alignment horizontal="center"/>
    </xf>
    <xf numFmtId="169" fontId="3" fillId="3" borderId="21" xfId="0" applyNumberFormat="1" applyFont="1" applyFill="1" applyBorder="1" applyAlignment="1">
      <alignment horizontal="center"/>
    </xf>
    <xf numFmtId="164" fontId="3" fillId="8" borderId="21" xfId="0" applyNumberFormat="1" applyFont="1" applyFill="1" applyBorder="1" applyAlignment="1">
      <alignment horizontal="center"/>
    </xf>
    <xf numFmtId="3" fontId="10" fillId="2" borderId="30" xfId="0" applyNumberFormat="1" applyFont="1" applyFill="1" applyBorder="1" applyAlignment="1">
      <alignment horizontal="center"/>
    </xf>
    <xf numFmtId="3" fontId="8" fillId="2" borderId="45" xfId="0" applyNumberFormat="1" applyFont="1" applyFill="1" applyBorder="1" applyAlignment="1">
      <alignment horizontal="center"/>
    </xf>
    <xf numFmtId="3" fontId="5" fillId="2" borderId="15" xfId="0" applyNumberFormat="1" applyFont="1" applyFill="1" applyBorder="1" applyAlignment="1">
      <alignment horizontal="center"/>
    </xf>
    <xf numFmtId="3" fontId="22" fillId="2" borderId="14" xfId="0" applyNumberFormat="1" applyFont="1" applyFill="1" applyBorder="1" applyAlignment="1">
      <alignment horizontal="center"/>
    </xf>
    <xf numFmtId="3" fontId="19" fillId="2" borderId="14" xfId="0" applyNumberFormat="1" applyFont="1" applyFill="1" applyBorder="1" applyAlignment="1">
      <alignment horizontal="center"/>
    </xf>
    <xf numFmtId="3" fontId="5" fillId="2" borderId="14" xfId="0" applyNumberFormat="1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169" fontId="3" fillId="8" borderId="21" xfId="0" applyNumberFormat="1" applyFont="1" applyFill="1" applyBorder="1" applyAlignment="1">
      <alignment horizontal="center"/>
    </xf>
    <xf numFmtId="0" fontId="23" fillId="2" borderId="51" xfId="0" applyFont="1" applyFill="1" applyBorder="1" applyAlignment="1">
      <alignment horizontal="center"/>
    </xf>
    <xf numFmtId="3" fontId="5" fillId="5" borderId="15" xfId="0" applyNumberFormat="1" applyFont="1" applyFill="1" applyBorder="1" applyAlignment="1">
      <alignment horizontal="center"/>
    </xf>
    <xf numFmtId="3" fontId="3" fillId="6" borderId="26" xfId="0" applyNumberFormat="1" applyFont="1" applyFill="1" applyBorder="1" applyAlignment="1">
      <alignment horizontal="center"/>
    </xf>
    <xf numFmtId="164" fontId="19" fillId="2" borderId="21" xfId="0" applyNumberFormat="1" applyFont="1" applyFill="1" applyBorder="1" applyAlignment="1">
      <alignment horizontal="center"/>
    </xf>
    <xf numFmtId="0" fontId="1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8" fillId="2" borderId="48" xfId="0" applyFont="1" applyFill="1" applyBorder="1" applyAlignment="1">
      <alignment horizontal="center"/>
    </xf>
    <xf numFmtId="0" fontId="15" fillId="0" borderId="43" xfId="0" applyFont="1" applyBorder="1"/>
    <xf numFmtId="0" fontId="15" fillId="0" borderId="45" xfId="0" applyFont="1" applyBorder="1"/>
    <xf numFmtId="0" fontId="15" fillId="0" borderId="4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15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46148</v>
      </c>
      <c r="B3" s="8" t="s">
        <v>11</v>
      </c>
      <c r="C3" s="9">
        <v>206058</v>
      </c>
      <c r="D3" s="10">
        <v>206377</v>
      </c>
      <c r="E3" s="11">
        <f t="shared" ref="E3:E10" si="0">D3-C3</f>
        <v>319</v>
      </c>
      <c r="F3" s="12">
        <v>40</v>
      </c>
      <c r="G3" s="13">
        <f t="shared" ref="G3:G10" si="1">(F3/E3)*100</f>
        <v>12.539184952978054</v>
      </c>
      <c r="H3" s="14">
        <v>35966</v>
      </c>
      <c r="I3" s="15">
        <v>36318</v>
      </c>
      <c r="J3" s="12">
        <f t="shared" ref="J3:J10" si="2">I3-H3</f>
        <v>352</v>
      </c>
      <c r="K3" s="10">
        <f t="shared" ref="K3:K10" si="3">F3</f>
        <v>40</v>
      </c>
      <c r="L3" s="16">
        <f t="shared" ref="L3:L10" si="4">(K3/J3)*100</f>
        <v>11.363636363636363</v>
      </c>
      <c r="M3" s="17">
        <v>28170</v>
      </c>
      <c r="N3" s="17">
        <f t="shared" ref="N3:N10" si="5">F3*M3</f>
        <v>1126800</v>
      </c>
    </row>
    <row r="4" spans="1:18" ht="16">
      <c r="A4" s="7">
        <v>46153</v>
      </c>
      <c r="B4" s="8" t="s">
        <v>11</v>
      </c>
      <c r="C4" s="10">
        <v>206377</v>
      </c>
      <c r="D4" s="10">
        <v>206660</v>
      </c>
      <c r="E4" s="11">
        <f t="shared" si="0"/>
        <v>283</v>
      </c>
      <c r="F4" s="12">
        <v>40</v>
      </c>
      <c r="G4" s="13">
        <f t="shared" si="1"/>
        <v>14.134275618374559</v>
      </c>
      <c r="H4" s="15">
        <v>36318</v>
      </c>
      <c r="I4" s="15">
        <v>36602</v>
      </c>
      <c r="J4" s="12">
        <f t="shared" si="2"/>
        <v>284</v>
      </c>
      <c r="K4" s="10">
        <f t="shared" si="3"/>
        <v>40</v>
      </c>
      <c r="L4" s="16">
        <f t="shared" si="4"/>
        <v>14.084507042253522</v>
      </c>
      <c r="M4" s="17">
        <v>27490</v>
      </c>
      <c r="N4" s="17">
        <f t="shared" si="5"/>
        <v>1099600</v>
      </c>
      <c r="O4" s="18">
        <v>1</v>
      </c>
      <c r="P4" s="19" t="s">
        <v>12</v>
      </c>
      <c r="Q4" s="20">
        <f>N19</f>
        <v>7219060</v>
      </c>
      <c r="R4" s="20">
        <f t="shared" ref="R4:R15" si="6">Q4</f>
        <v>7219060</v>
      </c>
    </row>
    <row r="5" spans="1:18" ht="16">
      <c r="A5" s="7">
        <v>46156</v>
      </c>
      <c r="B5" s="8" t="s">
        <v>11</v>
      </c>
      <c r="C5" s="10">
        <v>206660</v>
      </c>
      <c r="D5" s="10">
        <v>207013</v>
      </c>
      <c r="E5" s="11">
        <f t="shared" si="0"/>
        <v>353</v>
      </c>
      <c r="F5" s="10">
        <v>45</v>
      </c>
      <c r="G5" s="13">
        <f t="shared" si="1"/>
        <v>12.747875354107649</v>
      </c>
      <c r="H5" s="15">
        <v>36602</v>
      </c>
      <c r="I5" s="15">
        <v>37001</v>
      </c>
      <c r="J5" s="12">
        <f t="shared" si="2"/>
        <v>399</v>
      </c>
      <c r="K5" s="10">
        <f t="shared" si="3"/>
        <v>45</v>
      </c>
      <c r="L5" s="16">
        <f t="shared" si="4"/>
        <v>11.278195488721805</v>
      </c>
      <c r="M5" s="17">
        <v>27490</v>
      </c>
      <c r="N5" s="17">
        <f t="shared" si="5"/>
        <v>1237050</v>
      </c>
      <c r="O5" s="18">
        <v>2</v>
      </c>
      <c r="P5" s="19" t="s">
        <v>13</v>
      </c>
      <c r="Q5" s="20">
        <f>N29</f>
        <v>7782100</v>
      </c>
      <c r="R5" s="20">
        <f t="shared" si="6"/>
        <v>7782100</v>
      </c>
    </row>
    <row r="6" spans="1:18" ht="16">
      <c r="A6" s="7">
        <v>46161</v>
      </c>
      <c r="B6" s="8" t="s">
        <v>11</v>
      </c>
      <c r="C6" s="10">
        <v>207013</v>
      </c>
      <c r="D6" s="10">
        <v>207257</v>
      </c>
      <c r="E6" s="11">
        <f t="shared" si="0"/>
        <v>244</v>
      </c>
      <c r="F6" s="10">
        <v>30</v>
      </c>
      <c r="G6" s="13">
        <f t="shared" si="1"/>
        <v>12.295081967213115</v>
      </c>
      <c r="H6" s="15">
        <v>37001</v>
      </c>
      <c r="I6" s="15">
        <v>37266</v>
      </c>
      <c r="J6" s="12">
        <f t="shared" si="2"/>
        <v>265</v>
      </c>
      <c r="K6" s="10">
        <f t="shared" si="3"/>
        <v>30</v>
      </c>
      <c r="L6" s="16">
        <f t="shared" si="4"/>
        <v>11.320754716981133</v>
      </c>
      <c r="M6" s="17">
        <v>27220</v>
      </c>
      <c r="N6" s="17">
        <f t="shared" si="5"/>
        <v>816600</v>
      </c>
      <c r="O6" s="18">
        <v>3</v>
      </c>
      <c r="P6" s="19" t="s">
        <v>14</v>
      </c>
      <c r="Q6" s="20">
        <f>N38</f>
        <v>6653600</v>
      </c>
      <c r="R6" s="20">
        <f t="shared" si="6"/>
        <v>6653600</v>
      </c>
    </row>
    <row r="7" spans="1:18" ht="16">
      <c r="A7" s="7">
        <v>46164</v>
      </c>
      <c r="B7" s="8" t="s">
        <v>11</v>
      </c>
      <c r="C7" s="10">
        <v>207257</v>
      </c>
      <c r="D7" s="10">
        <v>207542</v>
      </c>
      <c r="E7" s="11">
        <f t="shared" si="0"/>
        <v>285</v>
      </c>
      <c r="F7" s="10">
        <v>40</v>
      </c>
      <c r="G7" s="13">
        <f t="shared" si="1"/>
        <v>14.035087719298245</v>
      </c>
      <c r="H7" s="15">
        <v>37266</v>
      </c>
      <c r="I7" s="15">
        <v>37611</v>
      </c>
      <c r="J7" s="12">
        <f t="shared" si="2"/>
        <v>345</v>
      </c>
      <c r="K7" s="10">
        <f t="shared" si="3"/>
        <v>40</v>
      </c>
      <c r="L7" s="16">
        <f t="shared" si="4"/>
        <v>11.594202898550725</v>
      </c>
      <c r="M7" s="21">
        <v>28760</v>
      </c>
      <c r="N7" s="17">
        <f t="shared" si="5"/>
        <v>1150400</v>
      </c>
      <c r="O7" s="18">
        <v>4</v>
      </c>
      <c r="P7" s="19" t="s">
        <v>15</v>
      </c>
      <c r="Q7" s="20">
        <f>N49</f>
        <v>7510170</v>
      </c>
      <c r="R7" s="20">
        <f t="shared" si="6"/>
        <v>7510170</v>
      </c>
    </row>
    <row r="8" spans="1:18" ht="16">
      <c r="A8" s="7">
        <v>46169</v>
      </c>
      <c r="B8" s="8" t="s">
        <v>11</v>
      </c>
      <c r="C8" s="10">
        <v>207542</v>
      </c>
      <c r="D8" s="10">
        <v>207818</v>
      </c>
      <c r="E8" s="11">
        <f t="shared" si="0"/>
        <v>276</v>
      </c>
      <c r="F8" s="10">
        <v>40</v>
      </c>
      <c r="G8" s="13">
        <f t="shared" si="1"/>
        <v>14.492753623188406</v>
      </c>
      <c r="H8" s="15">
        <v>37611</v>
      </c>
      <c r="I8" s="15">
        <v>37899</v>
      </c>
      <c r="J8" s="12">
        <f t="shared" si="2"/>
        <v>288</v>
      </c>
      <c r="K8" s="10">
        <f t="shared" si="3"/>
        <v>40</v>
      </c>
      <c r="L8" s="16">
        <f t="shared" si="4"/>
        <v>13.888888888888889</v>
      </c>
      <c r="M8" s="21">
        <v>28760</v>
      </c>
      <c r="N8" s="17">
        <f t="shared" si="5"/>
        <v>1150400</v>
      </c>
      <c r="O8" s="18">
        <v>5</v>
      </c>
      <c r="P8" s="19" t="s">
        <v>16</v>
      </c>
      <c r="Q8" s="20">
        <f>N61</f>
        <v>7562088.5199999996</v>
      </c>
      <c r="R8" s="20">
        <f t="shared" si="6"/>
        <v>7562088.5199999996</v>
      </c>
    </row>
    <row r="9" spans="1:18" ht="16">
      <c r="A9" s="7"/>
      <c r="B9" s="8" t="s">
        <v>11</v>
      </c>
      <c r="C9" s="10"/>
      <c r="D9" s="10"/>
      <c r="E9" s="11">
        <f t="shared" si="0"/>
        <v>0</v>
      </c>
      <c r="F9" s="10"/>
      <c r="G9" s="13" t="e">
        <f t="shared" si="1"/>
        <v>#DIV/0!</v>
      </c>
      <c r="H9" s="15"/>
      <c r="I9" s="15"/>
      <c r="J9" s="12">
        <f t="shared" si="2"/>
        <v>0</v>
      </c>
      <c r="K9" s="10">
        <f t="shared" si="3"/>
        <v>0</v>
      </c>
      <c r="L9" s="16" t="e">
        <f t="shared" si="4"/>
        <v>#DIV/0!</v>
      </c>
      <c r="M9" s="21"/>
      <c r="N9" s="17">
        <f t="shared" si="5"/>
        <v>0</v>
      </c>
      <c r="O9" s="18">
        <v>6</v>
      </c>
      <c r="P9" s="19" t="s">
        <v>17</v>
      </c>
      <c r="Q9" s="20">
        <f>N11</f>
        <v>6580850</v>
      </c>
      <c r="R9" s="20">
        <f t="shared" si="6"/>
        <v>6580850</v>
      </c>
    </row>
    <row r="10" spans="1:18" ht="16">
      <c r="A10" s="22"/>
      <c r="B10" s="23" t="s">
        <v>11</v>
      </c>
      <c r="C10" s="10"/>
      <c r="D10" s="9"/>
      <c r="E10" s="24">
        <f t="shared" si="0"/>
        <v>0</v>
      </c>
      <c r="F10" s="9"/>
      <c r="G10" s="13" t="e">
        <f t="shared" si="1"/>
        <v>#DIV/0!</v>
      </c>
      <c r="H10" s="15"/>
      <c r="I10" s="14"/>
      <c r="J10" s="25">
        <f t="shared" si="2"/>
        <v>0</v>
      </c>
      <c r="K10" s="9">
        <f t="shared" si="3"/>
        <v>0</v>
      </c>
      <c r="L10" s="26" t="e">
        <f t="shared" si="4"/>
        <v>#DIV/0!</v>
      </c>
      <c r="M10" s="21"/>
      <c r="N10" s="27">
        <f t="shared" si="5"/>
        <v>0</v>
      </c>
      <c r="O10" s="18">
        <v>7</v>
      </c>
      <c r="P10" s="19" t="s">
        <v>18</v>
      </c>
      <c r="Q10" s="20">
        <f>N71</f>
        <v>7517850</v>
      </c>
      <c r="R10" s="20">
        <f t="shared" si="6"/>
        <v>7517850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1760</v>
      </c>
      <c r="F11" s="28">
        <f t="shared" si="7"/>
        <v>235</v>
      </c>
      <c r="G11" s="29" t="e">
        <f>G3:G10</f>
        <v>#VALUE!</v>
      </c>
      <c r="H11" s="28"/>
      <c r="I11" s="30"/>
      <c r="J11" s="28">
        <f t="shared" ref="J11:K11" si="8">SUM(J3:J10)</f>
        <v>1933</v>
      </c>
      <c r="K11" s="31">
        <f t="shared" si="8"/>
        <v>235</v>
      </c>
      <c r="L11" s="29" t="e">
        <f>AVERAGE(L3:L10)</f>
        <v>#DIV/0!</v>
      </c>
      <c r="M11" s="28"/>
      <c r="N11" s="32">
        <f>SUM(N3:N10)</f>
        <v>6580850</v>
      </c>
      <c r="O11" s="18">
        <v>8</v>
      </c>
      <c r="P11" s="19" t="s">
        <v>20</v>
      </c>
      <c r="Q11" s="20">
        <f>N80</f>
        <v>7081690</v>
      </c>
      <c r="R11" s="20">
        <f t="shared" si="6"/>
        <v>7081690</v>
      </c>
    </row>
    <row r="12" spans="1:18" ht="16">
      <c r="A12" s="33">
        <v>46146</v>
      </c>
      <c r="B12" s="34" t="s">
        <v>12</v>
      </c>
      <c r="C12" s="35">
        <v>168088</v>
      </c>
      <c r="D12" s="35">
        <v>168406</v>
      </c>
      <c r="E12" s="36">
        <f t="shared" ref="E12:E18" si="9">D12-C12</f>
        <v>318</v>
      </c>
      <c r="F12" s="37">
        <v>44</v>
      </c>
      <c r="G12" s="13">
        <f t="shared" ref="G12:G18" si="10">(F12/E12)*100</f>
        <v>13.836477987421384</v>
      </c>
      <c r="H12" s="38">
        <v>35596</v>
      </c>
      <c r="I12" s="38">
        <v>36031</v>
      </c>
      <c r="J12" s="39">
        <f t="shared" ref="J12:J18" si="11">I12-H12</f>
        <v>435</v>
      </c>
      <c r="K12" s="10">
        <f t="shared" ref="K12:K18" si="12">F12</f>
        <v>44</v>
      </c>
      <c r="L12" s="40">
        <f t="shared" ref="L12:L18" si="13">(K12/J12)*100</f>
        <v>10.114942528735632</v>
      </c>
      <c r="M12" s="41">
        <v>28170</v>
      </c>
      <c r="N12" s="42">
        <f t="shared" ref="N12:N18" si="14">F12*M12</f>
        <v>1239480</v>
      </c>
      <c r="O12" s="18">
        <v>9</v>
      </c>
      <c r="P12" s="19" t="s">
        <v>21</v>
      </c>
      <c r="Q12" s="20">
        <f>N88</f>
        <v>8442050</v>
      </c>
      <c r="R12" s="20">
        <f t="shared" si="6"/>
        <v>8442050</v>
      </c>
    </row>
    <row r="13" spans="1:18" ht="16">
      <c r="A13" s="43">
        <v>46149</v>
      </c>
      <c r="B13" s="44" t="s">
        <v>12</v>
      </c>
      <c r="C13" s="35">
        <v>168406</v>
      </c>
      <c r="D13" s="35">
        <v>168765</v>
      </c>
      <c r="E13" s="11">
        <f t="shared" si="9"/>
        <v>359</v>
      </c>
      <c r="F13" s="45">
        <v>45</v>
      </c>
      <c r="G13" s="13">
        <f t="shared" si="10"/>
        <v>12.534818941504177</v>
      </c>
      <c r="H13" s="38">
        <v>36031</v>
      </c>
      <c r="I13" s="38">
        <v>36344</v>
      </c>
      <c r="J13" s="35">
        <f t="shared" si="11"/>
        <v>313</v>
      </c>
      <c r="K13" s="10">
        <f t="shared" si="12"/>
        <v>45</v>
      </c>
      <c r="L13" s="46">
        <f t="shared" si="13"/>
        <v>14.376996805111823</v>
      </c>
      <c r="M13" s="41">
        <v>28170</v>
      </c>
      <c r="N13" s="47">
        <f t="shared" si="14"/>
        <v>1267650</v>
      </c>
      <c r="O13" s="18">
        <v>10</v>
      </c>
      <c r="P13" s="19" t="s">
        <v>22</v>
      </c>
      <c r="Q13" s="20">
        <f>N97</f>
        <v>8658400</v>
      </c>
      <c r="R13" s="20">
        <f t="shared" si="6"/>
        <v>8658400</v>
      </c>
    </row>
    <row r="14" spans="1:18" ht="16">
      <c r="A14" s="43">
        <v>46154</v>
      </c>
      <c r="B14" s="44" t="s">
        <v>12</v>
      </c>
      <c r="C14" s="35">
        <v>168765</v>
      </c>
      <c r="D14" s="35">
        <v>169110</v>
      </c>
      <c r="E14" s="11">
        <f t="shared" si="9"/>
        <v>345</v>
      </c>
      <c r="F14" s="45">
        <v>45</v>
      </c>
      <c r="G14" s="13">
        <f t="shared" si="10"/>
        <v>13.043478260869565</v>
      </c>
      <c r="H14" s="38">
        <v>36344</v>
      </c>
      <c r="I14" s="38">
        <v>36743</v>
      </c>
      <c r="J14" s="35">
        <f t="shared" si="11"/>
        <v>399</v>
      </c>
      <c r="K14" s="10">
        <f t="shared" si="12"/>
        <v>45</v>
      </c>
      <c r="L14" s="46">
        <f t="shared" si="13"/>
        <v>11.278195488721805</v>
      </c>
      <c r="M14" s="48">
        <v>27490</v>
      </c>
      <c r="N14" s="47">
        <f t="shared" si="14"/>
        <v>1237050</v>
      </c>
      <c r="O14" s="18">
        <v>11</v>
      </c>
      <c r="P14" s="19" t="s">
        <v>23</v>
      </c>
      <c r="Q14" s="20">
        <f>N104</f>
        <v>7318200</v>
      </c>
      <c r="R14" s="20">
        <f t="shared" si="6"/>
        <v>7318200</v>
      </c>
    </row>
    <row r="15" spans="1:18" ht="16">
      <c r="A15" s="43">
        <v>46160</v>
      </c>
      <c r="B15" s="49" t="s">
        <v>12</v>
      </c>
      <c r="C15" s="35">
        <v>169110</v>
      </c>
      <c r="D15" s="50">
        <v>169491</v>
      </c>
      <c r="E15" s="51">
        <f t="shared" si="9"/>
        <v>381</v>
      </c>
      <c r="F15" s="52">
        <v>49</v>
      </c>
      <c r="G15" s="13">
        <f t="shared" si="10"/>
        <v>12.860892388451445</v>
      </c>
      <c r="H15" s="38">
        <v>36743</v>
      </c>
      <c r="I15" s="38">
        <v>37193</v>
      </c>
      <c r="J15" s="35">
        <f t="shared" si="11"/>
        <v>450</v>
      </c>
      <c r="K15" s="10">
        <f t="shared" si="12"/>
        <v>49</v>
      </c>
      <c r="L15" s="46">
        <f t="shared" si="13"/>
        <v>10.888888888888888</v>
      </c>
      <c r="M15" s="48">
        <v>27220</v>
      </c>
      <c r="N15" s="47">
        <f t="shared" si="14"/>
        <v>1333780</v>
      </c>
      <c r="O15" s="18">
        <v>12</v>
      </c>
      <c r="P15" s="19" t="s">
        <v>24</v>
      </c>
      <c r="Q15" s="20">
        <f>N112</f>
        <v>8132720</v>
      </c>
      <c r="R15" s="20">
        <f t="shared" si="6"/>
        <v>8132720</v>
      </c>
    </row>
    <row r="16" spans="1:18" ht="16">
      <c r="A16" s="43">
        <v>46163</v>
      </c>
      <c r="B16" s="44" t="s">
        <v>12</v>
      </c>
      <c r="C16" s="50">
        <v>169491</v>
      </c>
      <c r="D16" s="35">
        <v>169736</v>
      </c>
      <c r="E16" s="11">
        <f t="shared" si="9"/>
        <v>245</v>
      </c>
      <c r="F16" s="45">
        <v>29</v>
      </c>
      <c r="G16" s="13">
        <f t="shared" si="10"/>
        <v>11.836734693877551</v>
      </c>
      <c r="H16" s="38">
        <v>37193</v>
      </c>
      <c r="I16" s="38">
        <v>37439</v>
      </c>
      <c r="J16" s="35">
        <f t="shared" si="11"/>
        <v>246</v>
      </c>
      <c r="K16" s="10">
        <f t="shared" si="12"/>
        <v>29</v>
      </c>
      <c r="L16" s="46">
        <f t="shared" si="13"/>
        <v>11.788617886178862</v>
      </c>
      <c r="M16" s="48">
        <v>27220</v>
      </c>
      <c r="N16" s="47">
        <f t="shared" si="14"/>
        <v>789380</v>
      </c>
      <c r="O16" s="18">
        <v>13</v>
      </c>
      <c r="P16" s="19" t="s">
        <v>25</v>
      </c>
      <c r="Q16" s="20">
        <f>N120</f>
        <v>7796770</v>
      </c>
      <c r="R16" s="20">
        <f>N120</f>
        <v>7796770</v>
      </c>
    </row>
    <row r="17" spans="1:18" ht="16">
      <c r="A17" s="43">
        <v>46170</v>
      </c>
      <c r="B17" s="44" t="s">
        <v>12</v>
      </c>
      <c r="C17" s="35">
        <v>169736</v>
      </c>
      <c r="D17" s="35">
        <v>170073</v>
      </c>
      <c r="E17" s="11">
        <f t="shared" si="9"/>
        <v>337</v>
      </c>
      <c r="F17" s="45">
        <v>47</v>
      </c>
      <c r="G17" s="13">
        <f t="shared" si="10"/>
        <v>13.94658753709199</v>
      </c>
      <c r="H17" s="38">
        <v>37439</v>
      </c>
      <c r="I17" s="38">
        <v>37845</v>
      </c>
      <c r="J17" s="35">
        <f t="shared" si="11"/>
        <v>406</v>
      </c>
      <c r="K17" s="10">
        <f t="shared" si="12"/>
        <v>47</v>
      </c>
      <c r="L17" s="46">
        <f t="shared" si="13"/>
        <v>11.576354679802956</v>
      </c>
      <c r="M17" s="48">
        <v>28760</v>
      </c>
      <c r="N17" s="47">
        <f t="shared" si="14"/>
        <v>1351720</v>
      </c>
      <c r="O17" s="18">
        <v>14</v>
      </c>
      <c r="P17" s="19" t="s">
        <v>26</v>
      </c>
      <c r="Q17" s="20">
        <f>N128</f>
        <v>7554030</v>
      </c>
      <c r="R17" s="20">
        <f t="shared" ref="R17:R28" si="15">Q17</f>
        <v>7554030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9134170</v>
      </c>
      <c r="R18" s="20">
        <f t="shared" si="15"/>
        <v>9134170</v>
      </c>
    </row>
    <row r="19" spans="1:18" ht="16">
      <c r="A19" s="59"/>
      <c r="B19" s="60"/>
      <c r="C19" s="59"/>
      <c r="D19" s="59" t="s">
        <v>19</v>
      </c>
      <c r="E19" s="59">
        <f>SUM(E12:E18)</f>
        <v>1985</v>
      </c>
      <c r="F19" s="59">
        <f>SUM(F11:F18)</f>
        <v>494</v>
      </c>
      <c r="G19" s="61" t="e">
        <f>AVERAGE(G12:G18)</f>
        <v>#DIV/0!</v>
      </c>
      <c r="H19" s="59"/>
      <c r="I19" s="62"/>
      <c r="J19" s="59">
        <f t="shared" ref="J19:K19" si="17">SUM(J12:J18)</f>
        <v>2249</v>
      </c>
      <c r="K19" s="63">
        <f t="shared" si="17"/>
        <v>259</v>
      </c>
      <c r="L19" s="61" t="e">
        <f>AVERAGE(L12:L18)</f>
        <v>#DIV/0!</v>
      </c>
      <c r="M19" s="64"/>
      <c r="N19" s="65">
        <f>SUM(N12:N18)</f>
        <v>7219060</v>
      </c>
      <c r="O19" s="18">
        <f t="shared" si="16"/>
        <v>16</v>
      </c>
      <c r="P19" s="58" t="s">
        <v>28</v>
      </c>
      <c r="Q19" s="20">
        <f>N157</f>
        <v>5352600</v>
      </c>
      <c r="R19" s="20">
        <f t="shared" si="15"/>
        <v>5352600</v>
      </c>
    </row>
    <row r="20" spans="1:18" ht="16">
      <c r="A20" s="66">
        <v>46148</v>
      </c>
      <c r="B20" s="34" t="s">
        <v>13</v>
      </c>
      <c r="C20" s="35">
        <v>186603</v>
      </c>
      <c r="D20" s="35">
        <v>186900</v>
      </c>
      <c r="E20" s="11">
        <f t="shared" ref="E20:E28" si="18">D20-C20</f>
        <v>297</v>
      </c>
      <c r="F20" s="37">
        <v>39</v>
      </c>
      <c r="G20" s="13">
        <f t="shared" ref="G20:G28" si="19">(F20/E20)*100</f>
        <v>13.131313131313133</v>
      </c>
      <c r="H20" s="35">
        <v>38726</v>
      </c>
      <c r="I20" s="35">
        <v>39143</v>
      </c>
      <c r="J20" s="39">
        <f t="shared" ref="J20:J28" si="20">I20-H20</f>
        <v>417</v>
      </c>
      <c r="K20" s="39">
        <f t="shared" ref="K20:K28" si="21">F20</f>
        <v>39</v>
      </c>
      <c r="L20" s="67">
        <f t="shared" ref="L20:L28" si="22">(K20/J20)*100</f>
        <v>9.3525179856115113</v>
      </c>
      <c r="M20" s="68">
        <v>28170</v>
      </c>
      <c r="N20" s="42">
        <f t="shared" ref="N20:N28" si="23">F20*M20</f>
        <v>1098630</v>
      </c>
      <c r="O20" s="18">
        <f t="shared" si="16"/>
        <v>17</v>
      </c>
      <c r="P20" s="58" t="s">
        <v>29</v>
      </c>
      <c r="Q20" s="20">
        <f>N166</f>
        <v>0</v>
      </c>
      <c r="R20" s="20">
        <f t="shared" si="15"/>
        <v>0</v>
      </c>
    </row>
    <row r="21" spans="1:18" ht="16">
      <c r="A21" s="66">
        <v>46151</v>
      </c>
      <c r="B21" s="44" t="s">
        <v>13</v>
      </c>
      <c r="C21" s="35">
        <v>186900</v>
      </c>
      <c r="D21" s="35">
        <v>187195</v>
      </c>
      <c r="E21" s="11">
        <f t="shared" si="18"/>
        <v>295</v>
      </c>
      <c r="F21" s="37">
        <v>44</v>
      </c>
      <c r="G21" s="13">
        <f t="shared" si="19"/>
        <v>14.915254237288137</v>
      </c>
      <c r="H21" s="35">
        <v>39143</v>
      </c>
      <c r="I21" s="35">
        <v>39385</v>
      </c>
      <c r="J21" s="35">
        <f t="shared" si="20"/>
        <v>242</v>
      </c>
      <c r="K21" s="35">
        <f t="shared" si="21"/>
        <v>44</v>
      </c>
      <c r="L21" s="46">
        <f t="shared" si="22"/>
        <v>18.181818181818183</v>
      </c>
      <c r="M21" s="68">
        <v>27490</v>
      </c>
      <c r="N21" s="47">
        <f t="shared" si="23"/>
        <v>1209560</v>
      </c>
      <c r="O21" s="18">
        <f t="shared" si="16"/>
        <v>18</v>
      </c>
      <c r="P21" s="58" t="s">
        <v>30</v>
      </c>
      <c r="Q21" s="20">
        <f>N175</f>
        <v>6373210</v>
      </c>
      <c r="R21" s="20">
        <f t="shared" si="15"/>
        <v>6373210</v>
      </c>
    </row>
    <row r="22" spans="1:18" ht="16">
      <c r="A22" s="33">
        <v>46157</v>
      </c>
      <c r="B22" s="44" t="s">
        <v>13</v>
      </c>
      <c r="C22" s="35">
        <v>187195</v>
      </c>
      <c r="D22" s="35">
        <v>187546</v>
      </c>
      <c r="E22" s="11">
        <f t="shared" si="18"/>
        <v>351</v>
      </c>
      <c r="F22" s="45">
        <v>45</v>
      </c>
      <c r="G22" s="13">
        <f t="shared" si="19"/>
        <v>12.820512820512819</v>
      </c>
      <c r="H22" s="35">
        <v>39385</v>
      </c>
      <c r="I22" s="35">
        <v>39769</v>
      </c>
      <c r="J22" s="35">
        <f t="shared" si="20"/>
        <v>384</v>
      </c>
      <c r="K22" s="35">
        <f t="shared" si="21"/>
        <v>45</v>
      </c>
      <c r="L22" s="46">
        <f t="shared" si="22"/>
        <v>11.71875</v>
      </c>
      <c r="M22" s="68">
        <v>27220</v>
      </c>
      <c r="N22" s="47">
        <f t="shared" si="23"/>
        <v>1224900</v>
      </c>
      <c r="O22" s="18">
        <f t="shared" si="16"/>
        <v>19</v>
      </c>
      <c r="P22" s="58" t="s">
        <v>31</v>
      </c>
      <c r="Q22" s="20">
        <f>N184</f>
        <v>8521550</v>
      </c>
      <c r="R22" s="20">
        <f t="shared" si="15"/>
        <v>8521550</v>
      </c>
    </row>
    <row r="23" spans="1:18" ht="16">
      <c r="A23" s="33">
        <v>46161</v>
      </c>
      <c r="B23" s="44" t="s">
        <v>13</v>
      </c>
      <c r="C23" s="35">
        <v>187546</v>
      </c>
      <c r="D23" s="35">
        <v>187819</v>
      </c>
      <c r="E23" s="11">
        <f t="shared" si="18"/>
        <v>273</v>
      </c>
      <c r="F23" s="45">
        <v>38</v>
      </c>
      <c r="G23" s="13">
        <f t="shared" si="19"/>
        <v>13.91941391941392</v>
      </c>
      <c r="H23" s="35">
        <v>39769</v>
      </c>
      <c r="I23" s="35">
        <v>40066</v>
      </c>
      <c r="J23" s="35">
        <f t="shared" si="20"/>
        <v>297</v>
      </c>
      <c r="K23" s="50">
        <f t="shared" si="21"/>
        <v>38</v>
      </c>
      <c r="L23" s="46">
        <f t="shared" si="22"/>
        <v>12.794612794612794</v>
      </c>
      <c r="M23" s="48">
        <v>27220</v>
      </c>
      <c r="N23" s="47">
        <f t="shared" si="23"/>
        <v>1034360</v>
      </c>
      <c r="O23" s="18">
        <f t="shared" si="16"/>
        <v>20</v>
      </c>
      <c r="P23" s="58" t="s">
        <v>32</v>
      </c>
      <c r="Q23" s="20">
        <f>N193</f>
        <v>8594210</v>
      </c>
      <c r="R23" s="20">
        <f t="shared" si="15"/>
        <v>8594210</v>
      </c>
    </row>
    <row r="24" spans="1:18" ht="16">
      <c r="A24" s="33">
        <v>46163</v>
      </c>
      <c r="B24" s="44" t="s">
        <v>13</v>
      </c>
      <c r="C24" s="35">
        <v>187819</v>
      </c>
      <c r="D24" s="35">
        <v>188065</v>
      </c>
      <c r="E24" s="11">
        <f t="shared" si="18"/>
        <v>246</v>
      </c>
      <c r="F24" s="45">
        <v>35</v>
      </c>
      <c r="G24" s="13">
        <f t="shared" si="19"/>
        <v>14.227642276422763</v>
      </c>
      <c r="H24" s="35">
        <v>40066</v>
      </c>
      <c r="I24" s="35">
        <v>40330</v>
      </c>
      <c r="J24" s="35">
        <f t="shared" si="20"/>
        <v>264</v>
      </c>
      <c r="K24" s="50">
        <f t="shared" si="21"/>
        <v>35</v>
      </c>
      <c r="L24" s="46">
        <f t="shared" si="22"/>
        <v>13.257575757575758</v>
      </c>
      <c r="M24" s="48">
        <v>27220</v>
      </c>
      <c r="N24" s="47">
        <f t="shared" si="23"/>
        <v>952700</v>
      </c>
      <c r="O24" s="18">
        <f t="shared" si="16"/>
        <v>21</v>
      </c>
      <c r="P24" s="58" t="s">
        <v>33</v>
      </c>
      <c r="Q24" s="20">
        <f>N201</f>
        <v>5986700</v>
      </c>
      <c r="R24" s="20">
        <f t="shared" si="15"/>
        <v>5986700</v>
      </c>
    </row>
    <row r="25" spans="1:18" ht="16">
      <c r="A25" s="33">
        <v>46169</v>
      </c>
      <c r="B25" s="44" t="s">
        <v>13</v>
      </c>
      <c r="C25" s="35">
        <v>188065</v>
      </c>
      <c r="D25" s="35">
        <v>188412</v>
      </c>
      <c r="E25" s="11">
        <f t="shared" si="18"/>
        <v>347</v>
      </c>
      <c r="F25" s="45">
        <v>45</v>
      </c>
      <c r="G25" s="13">
        <f t="shared" si="19"/>
        <v>12.968299711815561</v>
      </c>
      <c r="H25" s="35">
        <v>40330</v>
      </c>
      <c r="I25" s="35">
        <v>40772</v>
      </c>
      <c r="J25" s="35">
        <f t="shared" si="20"/>
        <v>442</v>
      </c>
      <c r="K25" s="50">
        <f t="shared" si="21"/>
        <v>45</v>
      </c>
      <c r="L25" s="46">
        <f t="shared" si="22"/>
        <v>10.180995475113122</v>
      </c>
      <c r="M25" s="48">
        <v>28760</v>
      </c>
      <c r="N25" s="47">
        <f t="shared" si="23"/>
        <v>1294200</v>
      </c>
      <c r="O25" s="18">
        <f t="shared" si="16"/>
        <v>22</v>
      </c>
      <c r="P25" s="58" t="s">
        <v>34</v>
      </c>
      <c r="Q25" s="20">
        <f>N209</f>
        <v>4727150</v>
      </c>
      <c r="R25" s="20">
        <f t="shared" si="15"/>
        <v>4727150</v>
      </c>
    </row>
    <row r="26" spans="1:18" ht="16">
      <c r="A26" s="33">
        <v>46172</v>
      </c>
      <c r="B26" s="44" t="s">
        <v>13</v>
      </c>
      <c r="C26" s="35">
        <v>188412</v>
      </c>
      <c r="D26" s="35">
        <v>188668</v>
      </c>
      <c r="E26" s="11">
        <f t="shared" si="18"/>
        <v>256</v>
      </c>
      <c r="F26" s="45">
        <v>35</v>
      </c>
      <c r="G26" s="13">
        <f t="shared" si="19"/>
        <v>13.671875</v>
      </c>
      <c r="H26" s="35">
        <v>40772</v>
      </c>
      <c r="I26" s="35">
        <v>40983</v>
      </c>
      <c r="J26" s="35">
        <f t="shared" si="20"/>
        <v>211</v>
      </c>
      <c r="K26" s="50">
        <f t="shared" si="21"/>
        <v>35</v>
      </c>
      <c r="L26" s="46">
        <f t="shared" si="22"/>
        <v>16.587677725118482</v>
      </c>
      <c r="M26" s="48">
        <v>27650</v>
      </c>
      <c r="N26" s="47">
        <f t="shared" si="23"/>
        <v>967750</v>
      </c>
      <c r="O26" s="18">
        <f t="shared" si="16"/>
        <v>23</v>
      </c>
      <c r="P26" s="69" t="s">
        <v>35</v>
      </c>
      <c r="Q26" s="20">
        <f>N136</f>
        <v>7030800</v>
      </c>
      <c r="R26" s="20">
        <f t="shared" si="15"/>
        <v>7030800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18">
        <f t="shared" si="16"/>
        <v>24</v>
      </c>
      <c r="P27" s="58" t="s">
        <v>36</v>
      </c>
      <c r="Q27" s="20">
        <f>N217</f>
        <v>5795870</v>
      </c>
      <c r="R27" s="20">
        <f t="shared" si="15"/>
        <v>5795870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"/>
      <c r="Q28" s="18"/>
      <c r="R28" s="18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2065</v>
      </c>
      <c r="F29" s="59">
        <f>SUM(F20:F28)</f>
        <v>281</v>
      </c>
      <c r="G29" s="61">
        <f>AVERAGE(G20:G26)</f>
        <v>13.664901585252334</v>
      </c>
      <c r="H29" s="59"/>
      <c r="I29" s="62"/>
      <c r="J29" s="59">
        <f t="shared" ref="J29:K29" si="24">SUM(J20:J26)</f>
        <v>2257</v>
      </c>
      <c r="K29" s="59">
        <f t="shared" si="24"/>
        <v>281</v>
      </c>
      <c r="L29" s="61">
        <f>AVERAGE(L20:L26)</f>
        <v>13.15342113140712</v>
      </c>
      <c r="M29" s="64"/>
      <c r="N29" s="65">
        <f>SUM(N20:N28)</f>
        <v>7782100</v>
      </c>
      <c r="O29" s="18"/>
      <c r="P29" s="75" t="s">
        <v>19</v>
      </c>
      <c r="Q29" s="20">
        <f>SUM(Q4:Q27)</f>
        <v>167325838.51999998</v>
      </c>
      <c r="R29" s="20"/>
    </row>
    <row r="30" spans="1:18" ht="16">
      <c r="A30" s="66">
        <v>46148</v>
      </c>
      <c r="B30" s="34" t="s">
        <v>14</v>
      </c>
      <c r="C30" s="35">
        <v>189686</v>
      </c>
      <c r="D30" s="53">
        <v>189951</v>
      </c>
      <c r="E30" s="36">
        <f t="shared" ref="E30:E37" si="25">D30-C30</f>
        <v>265</v>
      </c>
      <c r="F30" s="37">
        <v>30</v>
      </c>
      <c r="G30" s="13">
        <f t="shared" ref="G30:G37" si="26">(F30/E30)*100</f>
        <v>11.320754716981133</v>
      </c>
      <c r="H30" s="38">
        <v>30592</v>
      </c>
      <c r="I30" s="55">
        <v>30880</v>
      </c>
      <c r="J30" s="39">
        <f t="shared" ref="J30:J37" si="27">I30-H30</f>
        <v>288</v>
      </c>
      <c r="K30" s="50">
        <f t="shared" ref="K30:K37" si="28">F30</f>
        <v>30</v>
      </c>
      <c r="L30" s="67">
        <f t="shared" ref="L30:L37" si="29">(K30/J30)*100</f>
        <v>10.416666666666668</v>
      </c>
      <c r="M30" s="68">
        <v>28170</v>
      </c>
      <c r="N30" s="42">
        <f t="shared" ref="N30:N37" si="30">F30*M30</f>
        <v>845100</v>
      </c>
      <c r="R30" s="76">
        <f t="shared" ref="R30:R44" si="31">Q30</f>
        <v>0</v>
      </c>
    </row>
    <row r="31" spans="1:18" ht="16">
      <c r="A31" s="33">
        <v>46150</v>
      </c>
      <c r="B31" s="44" t="s">
        <v>14</v>
      </c>
      <c r="C31" s="53">
        <v>189951</v>
      </c>
      <c r="D31" s="35">
        <v>190298</v>
      </c>
      <c r="E31" s="11">
        <f t="shared" si="25"/>
        <v>347</v>
      </c>
      <c r="F31" s="45">
        <v>50</v>
      </c>
      <c r="G31" s="13">
        <f t="shared" si="26"/>
        <v>14.409221902017292</v>
      </c>
      <c r="H31" s="55">
        <v>30880</v>
      </c>
      <c r="I31" s="38">
        <v>31273</v>
      </c>
      <c r="J31" s="35">
        <f t="shared" si="27"/>
        <v>393</v>
      </c>
      <c r="K31" s="50">
        <f t="shared" si="28"/>
        <v>50</v>
      </c>
      <c r="L31" s="46">
        <f t="shared" si="29"/>
        <v>12.72264631043257</v>
      </c>
      <c r="M31" s="68">
        <v>27490</v>
      </c>
      <c r="N31" s="47">
        <f t="shared" si="30"/>
        <v>1374500</v>
      </c>
      <c r="R31" s="76">
        <f t="shared" si="31"/>
        <v>0</v>
      </c>
    </row>
    <row r="32" spans="1:18" ht="16">
      <c r="A32" s="33">
        <v>46156</v>
      </c>
      <c r="B32" s="34" t="s">
        <v>14</v>
      </c>
      <c r="C32" s="35">
        <v>190298</v>
      </c>
      <c r="D32" s="35">
        <v>190677</v>
      </c>
      <c r="E32" s="11">
        <f t="shared" si="25"/>
        <v>379</v>
      </c>
      <c r="F32" s="45">
        <v>40</v>
      </c>
      <c r="G32" s="13">
        <f t="shared" si="26"/>
        <v>10.554089709762533</v>
      </c>
      <c r="H32" s="38">
        <v>31273</v>
      </c>
      <c r="I32" s="38">
        <v>31696</v>
      </c>
      <c r="J32" s="35">
        <f t="shared" si="27"/>
        <v>423</v>
      </c>
      <c r="K32" s="50">
        <f t="shared" si="28"/>
        <v>40</v>
      </c>
      <c r="L32" s="46">
        <f t="shared" si="29"/>
        <v>9.456264775413711</v>
      </c>
      <c r="M32" s="68">
        <v>27220</v>
      </c>
      <c r="N32" s="47">
        <f t="shared" si="30"/>
        <v>1088800</v>
      </c>
      <c r="R32" s="76">
        <f t="shared" si="31"/>
        <v>0</v>
      </c>
    </row>
    <row r="33" spans="1:18" ht="16">
      <c r="A33" s="33">
        <v>46162</v>
      </c>
      <c r="B33" s="44" t="s">
        <v>14</v>
      </c>
      <c r="C33" s="35">
        <v>190677</v>
      </c>
      <c r="D33" s="35">
        <v>190973</v>
      </c>
      <c r="E33" s="11">
        <f t="shared" si="25"/>
        <v>296</v>
      </c>
      <c r="F33" s="45">
        <v>40</v>
      </c>
      <c r="G33" s="13">
        <f t="shared" si="26"/>
        <v>13.513513513513514</v>
      </c>
      <c r="H33" s="38">
        <v>31696</v>
      </c>
      <c r="I33" s="38">
        <v>32022</v>
      </c>
      <c r="J33" s="35">
        <f t="shared" si="27"/>
        <v>326</v>
      </c>
      <c r="K33" s="50">
        <f t="shared" si="28"/>
        <v>40</v>
      </c>
      <c r="L33" s="46">
        <f t="shared" si="29"/>
        <v>12.269938650306749</v>
      </c>
      <c r="M33" s="68">
        <v>27220</v>
      </c>
      <c r="N33" s="47">
        <f t="shared" si="30"/>
        <v>1088800</v>
      </c>
      <c r="R33" s="76">
        <f t="shared" si="31"/>
        <v>0</v>
      </c>
    </row>
    <row r="34" spans="1:18" ht="16">
      <c r="A34" s="33">
        <v>46167</v>
      </c>
      <c r="B34" s="44" t="s">
        <v>14</v>
      </c>
      <c r="C34" s="35">
        <v>190973</v>
      </c>
      <c r="D34" s="35">
        <v>191254</v>
      </c>
      <c r="E34" s="11">
        <f t="shared" si="25"/>
        <v>281</v>
      </c>
      <c r="F34" s="45">
        <v>40</v>
      </c>
      <c r="G34" s="13">
        <f t="shared" si="26"/>
        <v>14.23487544483986</v>
      </c>
      <c r="H34" s="38">
        <v>32022</v>
      </c>
      <c r="I34" s="38">
        <v>32335</v>
      </c>
      <c r="J34" s="35">
        <f t="shared" si="27"/>
        <v>313</v>
      </c>
      <c r="K34" s="50">
        <f t="shared" si="28"/>
        <v>40</v>
      </c>
      <c r="L34" s="46">
        <f t="shared" si="29"/>
        <v>12.779552715654951</v>
      </c>
      <c r="M34" s="68">
        <v>28760</v>
      </c>
      <c r="N34" s="47">
        <f t="shared" si="30"/>
        <v>1150400</v>
      </c>
      <c r="R34" s="76">
        <f t="shared" si="31"/>
        <v>0</v>
      </c>
    </row>
    <row r="35" spans="1:18" ht="16">
      <c r="A35" s="33">
        <v>46172</v>
      </c>
      <c r="B35" s="44" t="s">
        <v>14</v>
      </c>
      <c r="C35" s="35">
        <v>191254</v>
      </c>
      <c r="D35" s="35">
        <v>191607</v>
      </c>
      <c r="E35" s="11">
        <f t="shared" si="25"/>
        <v>353</v>
      </c>
      <c r="F35" s="45">
        <v>40</v>
      </c>
      <c r="G35" s="13">
        <f t="shared" si="26"/>
        <v>11.3314447592068</v>
      </c>
      <c r="H35" s="38">
        <v>32335</v>
      </c>
      <c r="I35" s="38">
        <v>32732</v>
      </c>
      <c r="J35" s="35">
        <f t="shared" si="27"/>
        <v>397</v>
      </c>
      <c r="K35" s="50">
        <f t="shared" si="28"/>
        <v>40</v>
      </c>
      <c r="L35" s="46">
        <f t="shared" si="29"/>
        <v>10.075566750629724</v>
      </c>
      <c r="M35" s="48">
        <v>27650</v>
      </c>
      <c r="N35" s="47">
        <f t="shared" si="30"/>
        <v>1106000</v>
      </c>
      <c r="R35" s="76">
        <f t="shared" si="31"/>
        <v>0</v>
      </c>
    </row>
    <row r="36" spans="1:18" ht="16">
      <c r="A36" s="33"/>
      <c r="B36" s="44" t="s">
        <v>14</v>
      </c>
      <c r="C36" s="35"/>
      <c r="D36" s="35"/>
      <c r="E36" s="11">
        <f t="shared" si="25"/>
        <v>0</v>
      </c>
      <c r="F36" s="45"/>
      <c r="G36" s="13" t="e">
        <f t="shared" si="26"/>
        <v>#DIV/0!</v>
      </c>
      <c r="H36" s="38"/>
      <c r="I36" s="38"/>
      <c r="J36" s="35">
        <f t="shared" si="27"/>
        <v>0</v>
      </c>
      <c r="K36" s="50">
        <f t="shared" si="28"/>
        <v>0</v>
      </c>
      <c r="L36" s="46" t="e">
        <f t="shared" si="29"/>
        <v>#DIV/0!</v>
      </c>
      <c r="M36" s="48"/>
      <c r="N36" s="47">
        <f t="shared" si="30"/>
        <v>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1921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2140</v>
      </c>
      <c r="K38" s="59">
        <f t="shared" si="32"/>
        <v>240</v>
      </c>
      <c r="L38" s="61" t="e">
        <f>AVERAGE(L30:L37)</f>
        <v>#DIV/0!</v>
      </c>
      <c r="M38" s="64"/>
      <c r="N38" s="65">
        <f>SUM(N30:N37)</f>
        <v>6653600</v>
      </c>
      <c r="R38" s="76">
        <f t="shared" si="31"/>
        <v>0</v>
      </c>
    </row>
    <row r="39" spans="1:18" ht="16">
      <c r="A39" s="66">
        <v>46150</v>
      </c>
      <c r="B39" s="34" t="s">
        <v>15</v>
      </c>
      <c r="C39" s="35">
        <v>178214</v>
      </c>
      <c r="D39" s="35">
        <v>178566</v>
      </c>
      <c r="E39" s="36">
        <f t="shared" ref="E39:E48" si="33">D39-C39</f>
        <v>352</v>
      </c>
      <c r="F39" s="37">
        <v>43</v>
      </c>
      <c r="G39" s="13">
        <f t="shared" ref="G39:G48" si="34">(F39/E39)*100</f>
        <v>12.215909090909092</v>
      </c>
      <c r="H39" s="38">
        <v>37292</v>
      </c>
      <c r="I39" s="38">
        <v>37748</v>
      </c>
      <c r="J39" s="39">
        <f t="shared" ref="J39:J48" si="35">I39-H39</f>
        <v>456</v>
      </c>
      <c r="K39" s="77">
        <f t="shared" ref="K39:K48" si="36">F39</f>
        <v>43</v>
      </c>
      <c r="L39" s="67">
        <f t="shared" ref="L39:L48" si="37">(K39/J39)*100</f>
        <v>9.4298245614035086</v>
      </c>
      <c r="M39" s="53">
        <v>27490</v>
      </c>
      <c r="N39" s="42">
        <f t="shared" ref="N39:N48" si="38">F39*M39</f>
        <v>1182070</v>
      </c>
      <c r="R39" s="76">
        <f t="shared" si="31"/>
        <v>0</v>
      </c>
    </row>
    <row r="40" spans="1:18" ht="16">
      <c r="A40" s="33">
        <v>46155</v>
      </c>
      <c r="B40" s="44" t="s">
        <v>15</v>
      </c>
      <c r="C40" s="35">
        <v>178566</v>
      </c>
      <c r="D40" s="35">
        <v>178872</v>
      </c>
      <c r="E40" s="11">
        <f t="shared" si="33"/>
        <v>306</v>
      </c>
      <c r="F40" s="45">
        <v>53</v>
      </c>
      <c r="G40" s="13">
        <f t="shared" si="34"/>
        <v>17.320261437908496</v>
      </c>
      <c r="H40" s="38">
        <v>37748</v>
      </c>
      <c r="I40" s="38">
        <v>38064</v>
      </c>
      <c r="J40" s="35">
        <f t="shared" si="35"/>
        <v>316</v>
      </c>
      <c r="K40" s="50">
        <f t="shared" si="36"/>
        <v>53</v>
      </c>
      <c r="L40" s="46">
        <f t="shared" si="37"/>
        <v>16.77215189873418</v>
      </c>
      <c r="M40" s="53">
        <v>27490</v>
      </c>
      <c r="N40" s="47">
        <f t="shared" si="38"/>
        <v>1456970</v>
      </c>
      <c r="P40" s="78"/>
      <c r="R40" s="76">
        <f t="shared" si="31"/>
        <v>0</v>
      </c>
    </row>
    <row r="41" spans="1:18" ht="16">
      <c r="A41" s="33">
        <v>46161</v>
      </c>
      <c r="B41" s="44" t="s">
        <v>15</v>
      </c>
      <c r="C41" s="35">
        <v>178872</v>
      </c>
      <c r="D41" s="35">
        <v>179412</v>
      </c>
      <c r="E41" s="11">
        <f t="shared" si="33"/>
        <v>540</v>
      </c>
      <c r="F41" s="45">
        <v>54</v>
      </c>
      <c r="G41" s="13">
        <f t="shared" si="34"/>
        <v>10</v>
      </c>
      <c r="H41" s="38">
        <v>38064</v>
      </c>
      <c r="I41" s="35">
        <v>38503</v>
      </c>
      <c r="J41" s="35">
        <f t="shared" si="35"/>
        <v>439</v>
      </c>
      <c r="K41" s="35">
        <f t="shared" si="36"/>
        <v>54</v>
      </c>
      <c r="L41" s="46">
        <f t="shared" si="37"/>
        <v>12.300683371298406</v>
      </c>
      <c r="M41" s="53">
        <v>27220</v>
      </c>
      <c r="N41" s="47">
        <f t="shared" si="38"/>
        <v>1469880</v>
      </c>
      <c r="R41" s="76">
        <f t="shared" si="31"/>
        <v>0</v>
      </c>
    </row>
    <row r="42" spans="1:18" ht="16">
      <c r="A42" s="33">
        <v>46163</v>
      </c>
      <c r="B42" s="44" t="s">
        <v>15</v>
      </c>
      <c r="C42" s="35">
        <v>179412</v>
      </c>
      <c r="D42" s="35">
        <v>179731</v>
      </c>
      <c r="E42" s="11">
        <f t="shared" si="33"/>
        <v>319</v>
      </c>
      <c r="F42" s="45">
        <v>39</v>
      </c>
      <c r="G42" s="13">
        <f t="shared" si="34"/>
        <v>12.225705329153605</v>
      </c>
      <c r="H42" s="35">
        <v>38503</v>
      </c>
      <c r="I42" s="38">
        <v>38831</v>
      </c>
      <c r="J42" s="35">
        <f t="shared" si="35"/>
        <v>328</v>
      </c>
      <c r="K42" s="50">
        <f t="shared" si="36"/>
        <v>39</v>
      </c>
      <c r="L42" s="46">
        <f t="shared" si="37"/>
        <v>11.890243902439025</v>
      </c>
      <c r="M42" s="53">
        <v>28760</v>
      </c>
      <c r="N42" s="47">
        <f t="shared" si="38"/>
        <v>1121640</v>
      </c>
      <c r="R42" s="76">
        <f t="shared" si="31"/>
        <v>0</v>
      </c>
    </row>
    <row r="43" spans="1:18" ht="16">
      <c r="A43" s="33">
        <v>46169</v>
      </c>
      <c r="B43" s="44" t="s">
        <v>15</v>
      </c>
      <c r="C43" s="35">
        <v>179731</v>
      </c>
      <c r="D43" s="35">
        <v>180142</v>
      </c>
      <c r="E43" s="11">
        <f t="shared" si="33"/>
        <v>411</v>
      </c>
      <c r="F43" s="45">
        <v>36</v>
      </c>
      <c r="G43" s="13">
        <f t="shared" si="34"/>
        <v>8.7591240875912408</v>
      </c>
      <c r="H43" s="38">
        <v>38831</v>
      </c>
      <c r="I43" s="38">
        <v>39296</v>
      </c>
      <c r="J43" s="35">
        <f t="shared" si="35"/>
        <v>465</v>
      </c>
      <c r="K43" s="50">
        <f t="shared" si="36"/>
        <v>36</v>
      </c>
      <c r="L43" s="46">
        <f t="shared" si="37"/>
        <v>7.741935483870968</v>
      </c>
      <c r="M43" s="53">
        <v>28760</v>
      </c>
      <c r="N43" s="47">
        <f t="shared" si="38"/>
        <v>1035360</v>
      </c>
      <c r="R43" s="76">
        <f t="shared" si="31"/>
        <v>0</v>
      </c>
    </row>
    <row r="44" spans="1:18" ht="16">
      <c r="A44" s="33">
        <v>46172</v>
      </c>
      <c r="B44" s="44" t="s">
        <v>15</v>
      </c>
      <c r="C44" s="35">
        <v>180142</v>
      </c>
      <c r="D44" s="35">
        <v>180475</v>
      </c>
      <c r="E44" s="11">
        <f t="shared" si="33"/>
        <v>333</v>
      </c>
      <c r="F44" s="45">
        <v>45</v>
      </c>
      <c r="G44" s="13">
        <f t="shared" si="34"/>
        <v>13.513513513513514</v>
      </c>
      <c r="H44" s="38">
        <v>39296</v>
      </c>
      <c r="I44" s="38">
        <v>39584</v>
      </c>
      <c r="J44" s="35">
        <f t="shared" si="35"/>
        <v>288</v>
      </c>
      <c r="K44" s="50">
        <f t="shared" si="36"/>
        <v>45</v>
      </c>
      <c r="L44" s="46">
        <f t="shared" si="37"/>
        <v>15.625</v>
      </c>
      <c r="M44" s="48">
        <v>27650</v>
      </c>
      <c r="N44" s="47">
        <f t="shared" si="38"/>
        <v>1244250</v>
      </c>
      <c r="R44" s="76">
        <f t="shared" si="31"/>
        <v>0</v>
      </c>
    </row>
    <row r="45" spans="1:18" ht="16">
      <c r="A45" s="33"/>
      <c r="B45" s="44" t="s">
        <v>15</v>
      </c>
      <c r="C45" s="35"/>
      <c r="D45" s="35"/>
      <c r="E45" s="11">
        <f t="shared" si="33"/>
        <v>0</v>
      </c>
      <c r="F45" s="45"/>
      <c r="G45" s="13" t="e">
        <f t="shared" si="34"/>
        <v>#DIV/0!</v>
      </c>
      <c r="H45" s="38"/>
      <c r="I45" s="38"/>
      <c r="J45" s="35">
        <f t="shared" si="35"/>
        <v>0</v>
      </c>
      <c r="K45" s="50">
        <f t="shared" si="36"/>
        <v>0</v>
      </c>
      <c r="L45" s="46" t="e">
        <f t="shared" si="37"/>
        <v>#DIV/0!</v>
      </c>
      <c r="M45" s="48"/>
      <c r="N45" s="47">
        <f t="shared" si="38"/>
        <v>0</v>
      </c>
    </row>
    <row r="46" spans="1:18" ht="16">
      <c r="A46" s="33"/>
      <c r="B46" s="44" t="s">
        <v>15</v>
      </c>
      <c r="C46" s="35"/>
      <c r="D46" s="35"/>
      <c r="E46" s="11">
        <f t="shared" si="33"/>
        <v>0</v>
      </c>
      <c r="F46" s="45"/>
      <c r="G46" s="13" t="e">
        <f t="shared" si="34"/>
        <v>#DIV/0!</v>
      </c>
      <c r="H46" s="38"/>
      <c r="I46" s="38"/>
      <c r="J46" s="35">
        <f t="shared" si="35"/>
        <v>0</v>
      </c>
      <c r="K46" s="50">
        <f t="shared" si="36"/>
        <v>0</v>
      </c>
      <c r="L46" s="46" t="e">
        <f t="shared" si="37"/>
        <v>#DIV/0!</v>
      </c>
      <c r="M46" s="48"/>
      <c r="N46" s="47">
        <f t="shared" si="38"/>
        <v>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7" si="39">Q47</f>
        <v>0</v>
      </c>
    </row>
    <row r="48" spans="1:18" ht="16">
      <c r="A48" s="33"/>
      <c r="B48" s="79" t="s">
        <v>15</v>
      </c>
      <c r="C48" s="53"/>
      <c r="D48" s="53"/>
      <c r="E48" s="24">
        <f t="shared" si="33"/>
        <v>0</v>
      </c>
      <c r="F48" s="45"/>
      <c r="G48" s="54" t="e">
        <f t="shared" si="34"/>
        <v>#DIV/0!</v>
      </c>
      <c r="H48" s="55"/>
      <c r="I48" s="55"/>
      <c r="J48" s="53">
        <f t="shared" si="35"/>
        <v>0</v>
      </c>
      <c r="K48" s="50">
        <f t="shared" si="36"/>
        <v>0</v>
      </c>
      <c r="L48" s="73" t="e">
        <f t="shared" si="37"/>
        <v>#DIV/0!</v>
      </c>
      <c r="M48" s="48"/>
      <c r="N48" s="57">
        <f t="shared" si="38"/>
        <v>0</v>
      </c>
      <c r="R48" s="76">
        <f t="shared" si="39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2261</v>
      </c>
      <c r="F49" s="59">
        <f>SUM(F39:F48)</f>
        <v>270</v>
      </c>
      <c r="G49" s="61" t="e">
        <f>AVERAGE(G39:G47)</f>
        <v>#DIV/0!</v>
      </c>
      <c r="H49" s="59"/>
      <c r="I49" s="62"/>
      <c r="J49" s="59">
        <f t="shared" ref="J49:K49" si="40">SUM(J39:J47)</f>
        <v>2292</v>
      </c>
      <c r="K49" s="59">
        <f t="shared" si="40"/>
        <v>270</v>
      </c>
      <c r="L49" s="61" t="e">
        <f>AVERAGE(L39:L47)</f>
        <v>#DIV/0!</v>
      </c>
      <c r="M49" s="64"/>
      <c r="N49" s="65">
        <f>SUM(N39:N48)</f>
        <v>7510170</v>
      </c>
      <c r="R49" s="76">
        <f t="shared" si="39"/>
        <v>0</v>
      </c>
    </row>
    <row r="50" spans="1:18" ht="16">
      <c r="A50" s="66">
        <v>46149</v>
      </c>
      <c r="B50" s="34" t="s">
        <v>16</v>
      </c>
      <c r="C50" s="35">
        <v>155596</v>
      </c>
      <c r="D50" s="35">
        <v>156619</v>
      </c>
      <c r="E50" s="36">
        <f t="shared" ref="E50:E60" si="41">D50-C50</f>
        <v>1023</v>
      </c>
      <c r="F50" s="37">
        <v>55</v>
      </c>
      <c r="G50" s="13">
        <f t="shared" ref="G50:G60" si="42">(F50/E50)*100</f>
        <v>5.376344086021505</v>
      </c>
      <c r="H50" s="38">
        <v>41052</v>
      </c>
      <c r="I50" s="38">
        <v>42165</v>
      </c>
      <c r="J50" s="39">
        <f t="shared" ref="J50:J60" si="43">I50-H50</f>
        <v>1113</v>
      </c>
      <c r="K50" s="77">
        <f t="shared" ref="K50:K60" si="44">F50</f>
        <v>55</v>
      </c>
      <c r="L50" s="67">
        <f t="shared" ref="L50:L60" si="45">(K50/J50)*100</f>
        <v>4.9415992812219232</v>
      </c>
      <c r="M50" s="68">
        <v>27490</v>
      </c>
      <c r="N50" s="42">
        <f t="shared" ref="N50:N60" si="46">F50*M50</f>
        <v>1511950</v>
      </c>
      <c r="R50" s="76">
        <f t="shared" si="39"/>
        <v>0</v>
      </c>
    </row>
    <row r="51" spans="1:18" ht="16">
      <c r="A51" s="66">
        <v>46154</v>
      </c>
      <c r="B51" s="44" t="s">
        <v>16</v>
      </c>
      <c r="C51" s="35">
        <v>156619</v>
      </c>
      <c r="D51" s="35">
        <v>156907</v>
      </c>
      <c r="E51" s="11">
        <f t="shared" si="41"/>
        <v>288</v>
      </c>
      <c r="F51" s="45">
        <v>40</v>
      </c>
      <c r="G51" s="13">
        <f t="shared" si="42"/>
        <v>13.888888888888889</v>
      </c>
      <c r="H51" s="38">
        <v>42165</v>
      </c>
      <c r="I51" s="38">
        <v>42506</v>
      </c>
      <c r="J51" s="35">
        <f t="shared" si="43"/>
        <v>341</v>
      </c>
      <c r="K51" s="50">
        <f t="shared" si="44"/>
        <v>40</v>
      </c>
      <c r="L51" s="46">
        <f t="shared" si="45"/>
        <v>11.730205278592376</v>
      </c>
      <c r="M51" s="48">
        <v>27490</v>
      </c>
      <c r="N51" s="47">
        <f t="shared" si="46"/>
        <v>1099600</v>
      </c>
      <c r="R51" s="76">
        <f t="shared" si="39"/>
        <v>0</v>
      </c>
    </row>
    <row r="52" spans="1:18" ht="16">
      <c r="A52" s="80">
        <v>46161</v>
      </c>
      <c r="B52" s="44" t="s">
        <v>16</v>
      </c>
      <c r="C52" s="35">
        <v>156907</v>
      </c>
      <c r="D52" s="35">
        <v>157258</v>
      </c>
      <c r="E52" s="11">
        <f t="shared" si="41"/>
        <v>351</v>
      </c>
      <c r="F52" s="45">
        <v>58</v>
      </c>
      <c r="G52" s="13">
        <f t="shared" si="42"/>
        <v>16.524216524216524</v>
      </c>
      <c r="H52" s="38">
        <v>42506</v>
      </c>
      <c r="I52" s="38">
        <v>42869</v>
      </c>
      <c r="J52" s="35">
        <f t="shared" si="43"/>
        <v>363</v>
      </c>
      <c r="K52" s="50">
        <f t="shared" si="44"/>
        <v>58</v>
      </c>
      <c r="L52" s="46">
        <f t="shared" si="45"/>
        <v>15.977961432506888</v>
      </c>
      <c r="M52" s="48">
        <v>27220</v>
      </c>
      <c r="N52" s="47">
        <f t="shared" si="46"/>
        <v>1578760</v>
      </c>
      <c r="R52" s="76">
        <f t="shared" si="39"/>
        <v>0</v>
      </c>
    </row>
    <row r="53" spans="1:18" ht="16">
      <c r="A53" s="80">
        <v>46168</v>
      </c>
      <c r="B53" s="44" t="s">
        <v>16</v>
      </c>
      <c r="C53" s="35">
        <v>157258</v>
      </c>
      <c r="D53" s="35"/>
      <c r="E53" s="11">
        <f t="shared" si="41"/>
        <v>-157258</v>
      </c>
      <c r="F53" s="45">
        <v>3.4769999999999999</v>
      </c>
      <c r="G53" s="13">
        <f t="shared" si="42"/>
        <v>-2.2110162916989915E-3</v>
      </c>
      <c r="H53" s="38">
        <v>42869</v>
      </c>
      <c r="I53" s="38"/>
      <c r="J53" s="35">
        <f t="shared" si="43"/>
        <v>-42869</v>
      </c>
      <c r="K53" s="50">
        <f t="shared" si="44"/>
        <v>3.4769999999999999</v>
      </c>
      <c r="L53" s="46">
        <f t="shared" si="45"/>
        <v>-8.1107560241666481E-3</v>
      </c>
      <c r="M53" s="48">
        <v>28760</v>
      </c>
      <c r="N53" s="47">
        <f t="shared" si="46"/>
        <v>99998.51999999999</v>
      </c>
      <c r="R53" s="76">
        <f t="shared" si="39"/>
        <v>0</v>
      </c>
    </row>
    <row r="54" spans="1:18" ht="16">
      <c r="A54" s="80">
        <v>46168</v>
      </c>
      <c r="B54" s="44" t="s">
        <v>16</v>
      </c>
      <c r="C54" s="35">
        <v>157258</v>
      </c>
      <c r="D54" s="35">
        <v>157683</v>
      </c>
      <c r="E54" s="11">
        <f t="shared" si="41"/>
        <v>425</v>
      </c>
      <c r="F54" s="45">
        <v>58</v>
      </c>
      <c r="G54" s="13">
        <f t="shared" si="42"/>
        <v>13.647058823529413</v>
      </c>
      <c r="H54" s="38">
        <v>42869</v>
      </c>
      <c r="I54" s="38">
        <v>43339</v>
      </c>
      <c r="J54" s="35">
        <f t="shared" si="43"/>
        <v>470</v>
      </c>
      <c r="K54" s="50">
        <f t="shared" si="44"/>
        <v>58</v>
      </c>
      <c r="L54" s="46">
        <f t="shared" si="45"/>
        <v>12.340425531914894</v>
      </c>
      <c r="M54" s="48">
        <v>28760</v>
      </c>
      <c r="N54" s="47">
        <f t="shared" si="46"/>
        <v>1668080</v>
      </c>
      <c r="P54" s="78"/>
      <c r="R54" s="76">
        <f t="shared" si="39"/>
        <v>0</v>
      </c>
    </row>
    <row r="55" spans="1:18" ht="16">
      <c r="A55" s="80">
        <v>46172</v>
      </c>
      <c r="B55" s="44" t="s">
        <v>16</v>
      </c>
      <c r="C55" s="35">
        <v>157683</v>
      </c>
      <c r="D55" s="35">
        <v>158072</v>
      </c>
      <c r="E55" s="11">
        <f t="shared" si="41"/>
        <v>389</v>
      </c>
      <c r="F55" s="45">
        <v>58</v>
      </c>
      <c r="G55" s="13">
        <f t="shared" si="42"/>
        <v>14.910025706940875</v>
      </c>
      <c r="H55" s="38">
        <v>43339</v>
      </c>
      <c r="I55" s="38">
        <v>43816</v>
      </c>
      <c r="J55" s="35">
        <f t="shared" si="43"/>
        <v>477</v>
      </c>
      <c r="K55" s="50">
        <f t="shared" si="44"/>
        <v>58</v>
      </c>
      <c r="L55" s="46">
        <f t="shared" si="45"/>
        <v>12.159329140461216</v>
      </c>
      <c r="M55" s="48">
        <v>27650</v>
      </c>
      <c r="N55" s="47">
        <f t="shared" si="46"/>
        <v>1603700</v>
      </c>
      <c r="R55" s="76">
        <f t="shared" si="39"/>
        <v>0</v>
      </c>
    </row>
    <row r="56" spans="1:18" ht="16">
      <c r="A56" s="80"/>
      <c r="B56" s="44" t="s">
        <v>16</v>
      </c>
      <c r="C56" s="35"/>
      <c r="D56" s="35"/>
      <c r="E56" s="11">
        <f t="shared" si="41"/>
        <v>0</v>
      </c>
      <c r="F56" s="45"/>
      <c r="G56" s="13" t="e">
        <f t="shared" si="42"/>
        <v>#DIV/0!</v>
      </c>
      <c r="H56" s="38"/>
      <c r="I56" s="38"/>
      <c r="J56" s="35">
        <f t="shared" si="43"/>
        <v>0</v>
      </c>
      <c r="K56" s="50">
        <f t="shared" si="44"/>
        <v>0</v>
      </c>
      <c r="L56" s="46" t="e">
        <f t="shared" si="45"/>
        <v>#DIV/0!</v>
      </c>
      <c r="M56" s="48"/>
      <c r="N56" s="47">
        <f t="shared" si="46"/>
        <v>0</v>
      </c>
      <c r="R56" s="76">
        <f t="shared" si="39"/>
        <v>0</v>
      </c>
    </row>
    <row r="57" spans="1:18" ht="16">
      <c r="A57" s="80"/>
      <c r="B57" s="44" t="s">
        <v>16</v>
      </c>
      <c r="C57" s="35"/>
      <c r="D57" s="35"/>
      <c r="E57" s="11">
        <f t="shared" si="41"/>
        <v>0</v>
      </c>
      <c r="F57" s="45"/>
      <c r="G57" s="13" t="e">
        <f t="shared" si="42"/>
        <v>#DIV/0!</v>
      </c>
      <c r="H57" s="38"/>
      <c r="I57" s="38"/>
      <c r="J57" s="35">
        <f t="shared" si="43"/>
        <v>0</v>
      </c>
      <c r="K57" s="50">
        <f t="shared" si="44"/>
        <v>0</v>
      </c>
      <c r="L57" s="46" t="e">
        <f t="shared" si="45"/>
        <v>#DIV/0!</v>
      </c>
      <c r="M57" s="48"/>
      <c r="N57" s="47">
        <f t="shared" si="46"/>
        <v>0</v>
      </c>
      <c r="R57" s="76">
        <f t="shared" si="39"/>
        <v>0</v>
      </c>
    </row>
    <row r="58" spans="1:18" ht="16">
      <c r="A58" s="80"/>
      <c r="B58" s="44" t="s">
        <v>16</v>
      </c>
      <c r="C58" s="35"/>
      <c r="D58" s="35"/>
      <c r="E58" s="11">
        <f t="shared" si="41"/>
        <v>0</v>
      </c>
      <c r="F58" s="45"/>
      <c r="G58" s="13" t="e">
        <f t="shared" si="42"/>
        <v>#DIV/0!</v>
      </c>
      <c r="H58" s="38"/>
      <c r="I58" s="38"/>
      <c r="J58" s="35">
        <f t="shared" si="43"/>
        <v>0</v>
      </c>
      <c r="K58" s="50">
        <f t="shared" si="44"/>
        <v>0</v>
      </c>
      <c r="L58" s="46" t="e">
        <f t="shared" si="45"/>
        <v>#DIV/0!</v>
      </c>
      <c r="M58" s="48"/>
      <c r="N58" s="47">
        <f t="shared" si="46"/>
        <v>0</v>
      </c>
    </row>
    <row r="59" spans="1:18" ht="16">
      <c r="A59" s="80"/>
      <c r="B59" s="44" t="s">
        <v>16</v>
      </c>
      <c r="C59" s="35"/>
      <c r="D59" s="35"/>
      <c r="E59" s="11">
        <f t="shared" si="41"/>
        <v>0</v>
      </c>
      <c r="F59" s="45"/>
      <c r="G59" s="13" t="e">
        <f t="shared" si="42"/>
        <v>#DIV/0!</v>
      </c>
      <c r="H59" s="38"/>
      <c r="I59" s="38"/>
      <c r="J59" s="35">
        <f t="shared" si="43"/>
        <v>0</v>
      </c>
      <c r="K59" s="50">
        <f t="shared" si="44"/>
        <v>0</v>
      </c>
      <c r="L59" s="46" t="e">
        <f t="shared" si="45"/>
        <v>#DIV/0!</v>
      </c>
      <c r="M59" s="48"/>
      <c r="N59" s="47">
        <f t="shared" si="46"/>
        <v>0</v>
      </c>
      <c r="R59" s="76">
        <f t="shared" ref="R59:R64" si="47">Q59</f>
        <v>0</v>
      </c>
    </row>
    <row r="60" spans="1:18" ht="16">
      <c r="A60" s="80"/>
      <c r="B60" s="44" t="s">
        <v>16</v>
      </c>
      <c r="C60" s="53"/>
      <c r="D60" s="53"/>
      <c r="E60" s="24">
        <f t="shared" si="41"/>
        <v>0</v>
      </c>
      <c r="F60" s="45"/>
      <c r="G60" s="54" t="e">
        <f t="shared" si="42"/>
        <v>#DIV/0!</v>
      </c>
      <c r="H60" s="53"/>
      <c r="I60" s="55"/>
      <c r="J60" s="53">
        <f t="shared" si="43"/>
        <v>0</v>
      </c>
      <c r="K60" s="50">
        <f t="shared" si="44"/>
        <v>0</v>
      </c>
      <c r="L60" s="73" t="e">
        <f t="shared" si="45"/>
        <v>#DIV/0!</v>
      </c>
      <c r="M60" s="48"/>
      <c r="N60" s="57">
        <f t="shared" si="46"/>
        <v>0</v>
      </c>
      <c r="R60" s="76">
        <f t="shared" si="47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-154782</v>
      </c>
      <c r="F61" s="37"/>
      <c r="G61" s="61" t="e">
        <f>AVERAGE(G50:G60)</f>
        <v>#DIV/0!</v>
      </c>
      <c r="H61" s="59"/>
      <c r="I61" s="62"/>
      <c r="J61" s="59">
        <f t="shared" ref="J61:K61" si="48">SUM(J50:J60)</f>
        <v>-40105</v>
      </c>
      <c r="K61" s="59">
        <f t="shared" si="48"/>
        <v>272.47699999999998</v>
      </c>
      <c r="L61" s="61" t="e">
        <f>AVERAGE(L50:L60)</f>
        <v>#DIV/0!</v>
      </c>
      <c r="M61" s="64"/>
      <c r="N61" s="65">
        <f>SUM(N50:N60)</f>
        <v>7562088.5199999996</v>
      </c>
      <c r="R61" s="76">
        <f t="shared" si="47"/>
        <v>0</v>
      </c>
    </row>
    <row r="62" spans="1:18" ht="16">
      <c r="A62" s="66">
        <v>46149</v>
      </c>
      <c r="B62" s="82" t="s">
        <v>18</v>
      </c>
      <c r="C62" s="50">
        <v>158736</v>
      </c>
      <c r="D62" s="50">
        <v>159007</v>
      </c>
      <c r="E62" s="36">
        <f t="shared" ref="E62:E70" si="49">D62-C62</f>
        <v>271</v>
      </c>
      <c r="F62" s="37">
        <v>47</v>
      </c>
      <c r="G62" s="13">
        <f t="shared" ref="G62:G70" si="50">(F62/E62)*100</f>
        <v>17.343173431734318</v>
      </c>
      <c r="H62" s="38">
        <v>31609</v>
      </c>
      <c r="I62" s="38">
        <v>31907</v>
      </c>
      <c r="J62" s="39">
        <f t="shared" ref="J62:J70" si="51">I62-H62</f>
        <v>298</v>
      </c>
      <c r="K62" s="77">
        <f t="shared" ref="K62:K70" si="52">F62</f>
        <v>47</v>
      </c>
      <c r="L62" s="67">
        <f t="shared" ref="L62:L70" si="53">(K62/J62)*100</f>
        <v>15.771812080536913</v>
      </c>
      <c r="M62" s="68">
        <v>28170</v>
      </c>
      <c r="N62" s="42">
        <f t="shared" ref="N62:N70" si="54">F62*M62</f>
        <v>1323990</v>
      </c>
      <c r="R62" s="76">
        <f t="shared" si="47"/>
        <v>0</v>
      </c>
    </row>
    <row r="63" spans="1:18" ht="16">
      <c r="A63" s="33">
        <v>46154</v>
      </c>
      <c r="B63" s="44" t="s">
        <v>18</v>
      </c>
      <c r="C63" s="50">
        <v>159007</v>
      </c>
      <c r="D63" s="35">
        <v>159332</v>
      </c>
      <c r="E63" s="11">
        <f t="shared" si="49"/>
        <v>325</v>
      </c>
      <c r="F63" s="45">
        <v>46</v>
      </c>
      <c r="G63" s="13">
        <f t="shared" si="50"/>
        <v>14.153846153846153</v>
      </c>
      <c r="H63" s="38">
        <v>31907</v>
      </c>
      <c r="I63" s="38">
        <v>32266</v>
      </c>
      <c r="J63" s="35">
        <f t="shared" si="51"/>
        <v>359</v>
      </c>
      <c r="K63" s="50">
        <f t="shared" si="52"/>
        <v>46</v>
      </c>
      <c r="L63" s="46">
        <f t="shared" si="53"/>
        <v>12.813370473537605</v>
      </c>
      <c r="M63" s="48">
        <v>27490</v>
      </c>
      <c r="N63" s="47">
        <f t="shared" si="54"/>
        <v>1264540</v>
      </c>
      <c r="R63" s="76">
        <f t="shared" si="47"/>
        <v>0</v>
      </c>
    </row>
    <row r="64" spans="1:18" ht="16">
      <c r="A64" s="33">
        <v>46159</v>
      </c>
      <c r="B64" s="44" t="s">
        <v>18</v>
      </c>
      <c r="C64" s="35">
        <v>159332</v>
      </c>
      <c r="D64" s="35">
        <v>159628</v>
      </c>
      <c r="E64" s="11">
        <f t="shared" si="49"/>
        <v>296</v>
      </c>
      <c r="F64" s="45">
        <v>40</v>
      </c>
      <c r="G64" s="13">
        <f t="shared" si="50"/>
        <v>13.513513513513514</v>
      </c>
      <c r="H64" s="38">
        <v>32266</v>
      </c>
      <c r="I64" s="38">
        <v>32673</v>
      </c>
      <c r="J64" s="35">
        <f t="shared" si="51"/>
        <v>407</v>
      </c>
      <c r="K64" s="50">
        <f t="shared" si="52"/>
        <v>40</v>
      </c>
      <c r="L64" s="46">
        <f t="shared" si="53"/>
        <v>9.8280098280098276</v>
      </c>
      <c r="M64" s="48">
        <v>27220</v>
      </c>
      <c r="N64" s="47">
        <f t="shared" si="54"/>
        <v>1088800</v>
      </c>
      <c r="R64" s="76">
        <f t="shared" si="47"/>
        <v>0</v>
      </c>
    </row>
    <row r="65" spans="1:18" ht="16">
      <c r="A65" s="33">
        <v>46162</v>
      </c>
      <c r="B65" s="44" t="s">
        <v>18</v>
      </c>
      <c r="C65" s="35">
        <v>159628</v>
      </c>
      <c r="D65" s="35">
        <v>159958</v>
      </c>
      <c r="E65" s="11">
        <f t="shared" si="49"/>
        <v>330</v>
      </c>
      <c r="F65" s="45">
        <v>46</v>
      </c>
      <c r="G65" s="13">
        <f t="shared" si="50"/>
        <v>13.939393939393941</v>
      </c>
      <c r="H65" s="38">
        <v>32673</v>
      </c>
      <c r="I65" s="38">
        <v>32952</v>
      </c>
      <c r="J65" s="35">
        <f t="shared" si="51"/>
        <v>279</v>
      </c>
      <c r="K65" s="50">
        <f t="shared" si="52"/>
        <v>46</v>
      </c>
      <c r="L65" s="46">
        <f t="shared" si="53"/>
        <v>16.487455197132618</v>
      </c>
      <c r="M65" s="48">
        <v>27220</v>
      </c>
      <c r="N65" s="47">
        <f t="shared" si="54"/>
        <v>1252120</v>
      </c>
    </row>
    <row r="66" spans="1:18" ht="16">
      <c r="A66" s="33">
        <v>46167</v>
      </c>
      <c r="B66" s="44" t="s">
        <v>18</v>
      </c>
      <c r="C66" s="35">
        <v>159958</v>
      </c>
      <c r="D66" s="35">
        <v>160214</v>
      </c>
      <c r="E66" s="11">
        <f t="shared" si="49"/>
        <v>256</v>
      </c>
      <c r="F66" s="45">
        <v>40</v>
      </c>
      <c r="G66" s="13">
        <f t="shared" si="50"/>
        <v>15.625</v>
      </c>
      <c r="H66" s="38">
        <v>32952</v>
      </c>
      <c r="I66" s="38">
        <v>33247</v>
      </c>
      <c r="J66" s="35">
        <f t="shared" si="51"/>
        <v>295</v>
      </c>
      <c r="K66" s="50">
        <f t="shared" si="52"/>
        <v>40</v>
      </c>
      <c r="L66" s="46">
        <f t="shared" si="53"/>
        <v>13.559322033898304</v>
      </c>
      <c r="M66" s="48">
        <v>28760</v>
      </c>
      <c r="N66" s="47">
        <f t="shared" si="54"/>
        <v>1150400</v>
      </c>
      <c r="R66" s="76">
        <f t="shared" ref="R66:R128" si="55">Q66</f>
        <v>0</v>
      </c>
    </row>
    <row r="67" spans="1:18" ht="16">
      <c r="A67" s="33">
        <v>46170</v>
      </c>
      <c r="B67" s="44" t="s">
        <v>18</v>
      </c>
      <c r="C67" s="35">
        <v>160214</v>
      </c>
      <c r="D67" s="35">
        <v>160559</v>
      </c>
      <c r="E67" s="11">
        <f t="shared" si="49"/>
        <v>345</v>
      </c>
      <c r="F67" s="45">
        <v>50</v>
      </c>
      <c r="G67" s="13">
        <f t="shared" si="50"/>
        <v>14.492753623188406</v>
      </c>
      <c r="H67" s="38">
        <v>33247</v>
      </c>
      <c r="I67" s="38">
        <v>33654</v>
      </c>
      <c r="J67" s="35">
        <f t="shared" si="51"/>
        <v>407</v>
      </c>
      <c r="K67" s="50">
        <f t="shared" si="52"/>
        <v>50</v>
      </c>
      <c r="L67" s="46">
        <f t="shared" si="53"/>
        <v>12.285012285012286</v>
      </c>
      <c r="M67" s="48">
        <v>28760</v>
      </c>
      <c r="N67" s="47">
        <f t="shared" si="54"/>
        <v>1438000</v>
      </c>
      <c r="R67" s="76">
        <f t="shared" si="55"/>
        <v>0</v>
      </c>
    </row>
    <row r="68" spans="1:18" ht="16">
      <c r="A68" s="33"/>
      <c r="B68" s="44" t="s">
        <v>18</v>
      </c>
      <c r="C68" s="35"/>
      <c r="D68" s="35"/>
      <c r="E68" s="51">
        <f t="shared" si="49"/>
        <v>0</v>
      </c>
      <c r="F68" s="45"/>
      <c r="G68" s="13" t="e">
        <f t="shared" si="50"/>
        <v>#DIV/0!</v>
      </c>
      <c r="H68" s="38"/>
      <c r="I68" s="38"/>
      <c r="J68" s="35">
        <f t="shared" si="51"/>
        <v>0</v>
      </c>
      <c r="K68" s="50">
        <f t="shared" si="52"/>
        <v>0</v>
      </c>
      <c r="L68" s="46" t="e">
        <f t="shared" si="53"/>
        <v>#DIV/0!</v>
      </c>
      <c r="M68" s="48"/>
      <c r="N68" s="47">
        <f t="shared" si="54"/>
        <v>0</v>
      </c>
      <c r="R68" s="76">
        <f t="shared" si="55"/>
        <v>0</v>
      </c>
    </row>
    <row r="69" spans="1:18" ht="16">
      <c r="A69" s="43"/>
      <c r="B69" s="49" t="s">
        <v>18</v>
      </c>
      <c r="C69" s="35"/>
      <c r="D69" s="50"/>
      <c r="E69" s="51">
        <f t="shared" si="49"/>
        <v>0</v>
      </c>
      <c r="F69" s="45"/>
      <c r="G69" s="13" t="e">
        <f t="shared" si="50"/>
        <v>#DIV/0!</v>
      </c>
      <c r="H69" s="38"/>
      <c r="I69" s="38"/>
      <c r="J69" s="35">
        <f t="shared" si="51"/>
        <v>0</v>
      </c>
      <c r="K69" s="50">
        <f t="shared" si="52"/>
        <v>0</v>
      </c>
      <c r="L69" s="46" t="e">
        <f t="shared" si="53"/>
        <v>#DIV/0!</v>
      </c>
      <c r="M69" s="48"/>
      <c r="N69" s="47">
        <f t="shared" si="54"/>
        <v>0</v>
      </c>
      <c r="R69" s="76">
        <f t="shared" si="55"/>
        <v>0</v>
      </c>
    </row>
    <row r="70" spans="1:18" ht="16">
      <c r="A70" s="33"/>
      <c r="B70" s="44" t="s">
        <v>18</v>
      </c>
      <c r="C70" s="12"/>
      <c r="D70" s="53"/>
      <c r="E70" s="24">
        <f t="shared" si="49"/>
        <v>0</v>
      </c>
      <c r="F70" s="45"/>
      <c r="G70" s="54" t="e">
        <f t="shared" si="50"/>
        <v>#DIV/0!</v>
      </c>
      <c r="H70" s="53"/>
      <c r="I70" s="55"/>
      <c r="J70" s="53">
        <f t="shared" si="51"/>
        <v>0</v>
      </c>
      <c r="K70" s="50">
        <f t="shared" si="52"/>
        <v>0</v>
      </c>
      <c r="L70" s="73" t="e">
        <f t="shared" si="53"/>
        <v>#DIV/0!</v>
      </c>
      <c r="M70" s="48"/>
      <c r="N70" s="57">
        <f t="shared" si="54"/>
        <v>0</v>
      </c>
      <c r="R70" s="76">
        <f t="shared" si="55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6">SUM(E62:E70)</f>
        <v>1823</v>
      </c>
      <c r="F71" s="59">
        <f t="shared" si="56"/>
        <v>269</v>
      </c>
      <c r="G71" s="61" t="e">
        <f>AVERAGE(G62:G70)</f>
        <v>#DIV/0!</v>
      </c>
      <c r="H71" s="59"/>
      <c r="I71" s="62"/>
      <c r="J71" s="59">
        <f t="shared" ref="J71:K71" si="57">SUM(J62:J70)</f>
        <v>2045</v>
      </c>
      <c r="K71" s="59">
        <f t="shared" si="57"/>
        <v>269</v>
      </c>
      <c r="L71" s="61" t="e">
        <f>AVERAGE(L62:L70)</f>
        <v>#DIV/0!</v>
      </c>
      <c r="M71" s="64"/>
      <c r="N71" s="65">
        <f>SUM(N62:N70)</f>
        <v>7517850</v>
      </c>
      <c r="R71" s="76">
        <f t="shared" si="55"/>
        <v>0</v>
      </c>
    </row>
    <row r="72" spans="1:18" ht="16">
      <c r="A72" s="66">
        <v>46149</v>
      </c>
      <c r="B72" s="34" t="s">
        <v>20</v>
      </c>
      <c r="C72" s="53">
        <v>405391</v>
      </c>
      <c r="D72" s="35">
        <v>405946</v>
      </c>
      <c r="E72" s="36">
        <f t="shared" ref="E72:E79" si="58">D72-C72</f>
        <v>555</v>
      </c>
      <c r="F72" s="37">
        <v>65</v>
      </c>
      <c r="G72" s="13">
        <f t="shared" ref="G72:G79" si="59">(F72/E72)*100</f>
        <v>11.711711711711711</v>
      </c>
      <c r="H72" s="55">
        <v>37340</v>
      </c>
      <c r="I72" s="38">
        <v>37889</v>
      </c>
      <c r="J72" s="39">
        <f t="shared" ref="J72:J79" si="60">I72-H72</f>
        <v>549</v>
      </c>
      <c r="K72" s="77">
        <f t="shared" ref="K72:K79" si="61">F72</f>
        <v>65</v>
      </c>
      <c r="L72" s="67">
        <f t="shared" ref="L72:L79" si="62">(K72/J72)*100</f>
        <v>11.839708561020036</v>
      </c>
      <c r="M72" s="68">
        <v>28170</v>
      </c>
      <c r="N72" s="42">
        <f t="shared" ref="N72:N79" si="63">F72*M72</f>
        <v>1831050</v>
      </c>
      <c r="R72" s="76">
        <f t="shared" si="55"/>
        <v>0</v>
      </c>
    </row>
    <row r="73" spans="1:18" ht="16">
      <c r="A73" s="33">
        <v>46154</v>
      </c>
      <c r="B73" s="44" t="s">
        <v>20</v>
      </c>
      <c r="C73" s="35">
        <v>405946</v>
      </c>
      <c r="D73" s="35">
        <v>406467</v>
      </c>
      <c r="E73" s="11">
        <f t="shared" si="58"/>
        <v>521</v>
      </c>
      <c r="F73" s="45">
        <v>62</v>
      </c>
      <c r="G73" s="13">
        <f t="shared" si="59"/>
        <v>11.900191938579654</v>
      </c>
      <c r="H73" s="38">
        <v>37889</v>
      </c>
      <c r="I73" s="83">
        <v>38401</v>
      </c>
      <c r="J73" s="35">
        <f t="shared" si="60"/>
        <v>512</v>
      </c>
      <c r="K73" s="50">
        <f t="shared" si="61"/>
        <v>62</v>
      </c>
      <c r="L73" s="46">
        <f t="shared" si="62"/>
        <v>12.109375</v>
      </c>
      <c r="M73" s="48">
        <v>27490</v>
      </c>
      <c r="N73" s="47">
        <f t="shared" si="63"/>
        <v>1704380</v>
      </c>
      <c r="R73" s="76">
        <f t="shared" si="55"/>
        <v>0</v>
      </c>
    </row>
    <row r="74" spans="1:18" ht="16">
      <c r="A74" s="33">
        <v>46161</v>
      </c>
      <c r="B74" s="44" t="s">
        <v>20</v>
      </c>
      <c r="C74" s="35">
        <v>406467</v>
      </c>
      <c r="D74" s="35">
        <v>407067</v>
      </c>
      <c r="E74" s="11">
        <f t="shared" si="58"/>
        <v>600</v>
      </c>
      <c r="F74" s="45">
        <v>69</v>
      </c>
      <c r="G74" s="13">
        <f t="shared" si="59"/>
        <v>11.5</v>
      </c>
      <c r="H74" s="83">
        <v>38401</v>
      </c>
      <c r="I74" s="38">
        <v>38991</v>
      </c>
      <c r="J74" s="35">
        <f t="shared" si="60"/>
        <v>590</v>
      </c>
      <c r="K74" s="50">
        <f t="shared" si="61"/>
        <v>69</v>
      </c>
      <c r="L74" s="46">
        <f t="shared" si="62"/>
        <v>11.694915254237289</v>
      </c>
      <c r="M74" s="48">
        <v>27220</v>
      </c>
      <c r="N74" s="47">
        <f t="shared" si="63"/>
        <v>1878180</v>
      </c>
      <c r="R74" s="76">
        <f t="shared" si="55"/>
        <v>0</v>
      </c>
    </row>
    <row r="75" spans="1:18" ht="16">
      <c r="A75" s="33">
        <v>46168</v>
      </c>
      <c r="B75" s="44" t="s">
        <v>20</v>
      </c>
      <c r="C75" s="35">
        <v>407067</v>
      </c>
      <c r="D75" s="35">
        <v>407538</v>
      </c>
      <c r="E75" s="11">
        <f t="shared" si="58"/>
        <v>471</v>
      </c>
      <c r="F75" s="45">
        <v>58</v>
      </c>
      <c r="G75" s="13">
        <f t="shared" si="59"/>
        <v>12.314225053078557</v>
      </c>
      <c r="H75" s="38">
        <v>38991</v>
      </c>
      <c r="I75" s="38">
        <v>39450</v>
      </c>
      <c r="J75" s="35">
        <f t="shared" si="60"/>
        <v>459</v>
      </c>
      <c r="K75" s="50">
        <f t="shared" si="61"/>
        <v>58</v>
      </c>
      <c r="L75" s="46">
        <f t="shared" si="62"/>
        <v>12.636165577342048</v>
      </c>
      <c r="M75" s="48">
        <v>28760</v>
      </c>
      <c r="N75" s="47">
        <f t="shared" si="63"/>
        <v>1668080</v>
      </c>
      <c r="R75" s="76">
        <f t="shared" si="55"/>
        <v>0</v>
      </c>
    </row>
    <row r="76" spans="1:18" ht="16">
      <c r="A76" s="33"/>
      <c r="B76" s="44" t="s">
        <v>20</v>
      </c>
      <c r="C76" s="35"/>
      <c r="D76" s="35"/>
      <c r="E76" s="11">
        <f t="shared" si="58"/>
        <v>0</v>
      </c>
      <c r="F76" s="45"/>
      <c r="G76" s="13" t="e">
        <f t="shared" si="59"/>
        <v>#DIV/0!</v>
      </c>
      <c r="H76" s="38"/>
      <c r="I76" s="38"/>
      <c r="J76" s="35">
        <f t="shared" si="60"/>
        <v>0</v>
      </c>
      <c r="K76" s="50">
        <f t="shared" si="61"/>
        <v>0</v>
      </c>
      <c r="L76" s="46" t="e">
        <f t="shared" si="62"/>
        <v>#DIV/0!</v>
      </c>
      <c r="M76" s="48"/>
      <c r="N76" s="47">
        <f t="shared" si="63"/>
        <v>0</v>
      </c>
      <c r="R76" s="76">
        <f t="shared" si="55"/>
        <v>0</v>
      </c>
    </row>
    <row r="77" spans="1:18" ht="16">
      <c r="A77" s="33"/>
      <c r="B77" s="44" t="s">
        <v>20</v>
      </c>
      <c r="C77" s="35"/>
      <c r="D77" s="35"/>
      <c r="E77" s="11">
        <f t="shared" si="58"/>
        <v>0</v>
      </c>
      <c r="F77" s="84"/>
      <c r="G77" s="13" t="e">
        <f t="shared" si="59"/>
        <v>#DIV/0!</v>
      </c>
      <c r="H77" s="38"/>
      <c r="I77" s="38"/>
      <c r="J77" s="35">
        <f t="shared" si="60"/>
        <v>0</v>
      </c>
      <c r="K77" s="50">
        <f t="shared" si="61"/>
        <v>0</v>
      </c>
      <c r="L77" s="46" t="e">
        <f t="shared" si="62"/>
        <v>#DIV/0!</v>
      </c>
      <c r="M77" s="48"/>
      <c r="N77" s="47">
        <f t="shared" si="63"/>
        <v>0</v>
      </c>
      <c r="R77" s="76">
        <f t="shared" si="55"/>
        <v>0</v>
      </c>
    </row>
    <row r="78" spans="1:18" ht="16">
      <c r="A78" s="33"/>
      <c r="B78" s="44" t="s">
        <v>20</v>
      </c>
      <c r="C78" s="35"/>
      <c r="D78" s="53"/>
      <c r="E78" s="24">
        <f t="shared" si="58"/>
        <v>0</v>
      </c>
      <c r="F78" s="45"/>
      <c r="G78" s="54" t="e">
        <f t="shared" si="59"/>
        <v>#DIV/0!</v>
      </c>
      <c r="H78" s="38"/>
      <c r="I78" s="55"/>
      <c r="J78" s="53">
        <f t="shared" si="60"/>
        <v>0</v>
      </c>
      <c r="K78" s="50">
        <f t="shared" si="61"/>
        <v>0</v>
      </c>
      <c r="L78" s="73" t="e">
        <f t="shared" si="62"/>
        <v>#DIV/0!</v>
      </c>
      <c r="M78" s="56"/>
      <c r="N78" s="57">
        <f t="shared" si="63"/>
        <v>0</v>
      </c>
      <c r="R78" s="76">
        <f t="shared" si="55"/>
        <v>0</v>
      </c>
    </row>
    <row r="79" spans="1:18" ht="16">
      <c r="A79" s="33"/>
      <c r="B79" s="44" t="s">
        <v>20</v>
      </c>
      <c r="C79" s="53"/>
      <c r="D79" s="53"/>
      <c r="E79" s="24">
        <f t="shared" si="58"/>
        <v>0</v>
      </c>
      <c r="F79" s="45"/>
      <c r="G79" s="54" t="e">
        <f t="shared" si="59"/>
        <v>#DIV/0!</v>
      </c>
      <c r="H79" s="55"/>
      <c r="I79" s="55"/>
      <c r="J79" s="53">
        <f t="shared" si="60"/>
        <v>0</v>
      </c>
      <c r="K79" s="50">
        <f t="shared" si="61"/>
        <v>0</v>
      </c>
      <c r="L79" s="73" t="e">
        <f t="shared" si="62"/>
        <v>#DIV/0!</v>
      </c>
      <c r="M79" s="56"/>
      <c r="N79" s="57">
        <f t="shared" si="63"/>
        <v>0</v>
      </c>
      <c r="R79" s="76">
        <f t="shared" si="55"/>
        <v>0</v>
      </c>
    </row>
    <row r="80" spans="1:18" ht="16">
      <c r="A80" s="59"/>
      <c r="B80" s="60"/>
      <c r="C80" s="59"/>
      <c r="D80" s="59" t="s">
        <v>19</v>
      </c>
      <c r="E80" s="59">
        <f>SUM(E72:E78)</f>
        <v>2147</v>
      </c>
      <c r="F80" s="37"/>
      <c r="G80" s="61" t="e">
        <f>AVERAGE(G72:G78)</f>
        <v>#DIV/0!</v>
      </c>
      <c r="H80" s="59"/>
      <c r="I80" s="62"/>
      <c r="J80" s="59">
        <f>SUM(J72:J78)</f>
        <v>2110</v>
      </c>
      <c r="K80" s="59">
        <f>SUM(K73:K78)</f>
        <v>189</v>
      </c>
      <c r="L80" s="61" t="e">
        <f>AVERAGE(L72:L78)</f>
        <v>#DIV/0!</v>
      </c>
      <c r="M80" s="64"/>
      <c r="N80" s="65">
        <f>SUM(N72:N79)</f>
        <v>7081690</v>
      </c>
      <c r="R80" s="76">
        <f t="shared" si="55"/>
        <v>0</v>
      </c>
    </row>
    <row r="81" spans="1:18" ht="16">
      <c r="A81" s="85">
        <v>46146</v>
      </c>
      <c r="B81" s="34" t="s">
        <v>21</v>
      </c>
      <c r="C81" s="35">
        <v>387477</v>
      </c>
      <c r="D81" s="35">
        <v>387916</v>
      </c>
      <c r="E81" s="36">
        <f t="shared" ref="E81:E87" si="64">D81-C81</f>
        <v>439</v>
      </c>
      <c r="F81" s="37">
        <v>66</v>
      </c>
      <c r="G81" s="13">
        <f t="shared" ref="G81:G87" si="65">(F81/E81)*100</f>
        <v>15.034168564920272</v>
      </c>
      <c r="H81" s="38">
        <v>30778</v>
      </c>
      <c r="I81" s="38">
        <v>31191</v>
      </c>
      <c r="J81" s="39">
        <f t="shared" ref="J81:J87" si="66">I81-H81</f>
        <v>413</v>
      </c>
      <c r="K81" s="77">
        <f t="shared" ref="K81:K87" si="67">F81</f>
        <v>66</v>
      </c>
      <c r="L81" s="67">
        <f t="shared" ref="L81:L87" si="68">(K81/J81)*100</f>
        <v>15.980629539951574</v>
      </c>
      <c r="M81" s="68">
        <v>28170</v>
      </c>
      <c r="N81" s="42">
        <f t="shared" ref="N81:N87" si="69">F81*M81</f>
        <v>1859220</v>
      </c>
      <c r="R81" s="76">
        <f t="shared" si="55"/>
        <v>0</v>
      </c>
    </row>
    <row r="82" spans="1:18" ht="16">
      <c r="A82" s="86">
        <v>46150</v>
      </c>
      <c r="B82" s="44" t="s">
        <v>21</v>
      </c>
      <c r="C82" s="35">
        <v>387916</v>
      </c>
      <c r="D82" s="35">
        <v>388303</v>
      </c>
      <c r="E82" s="11">
        <f t="shared" si="64"/>
        <v>387</v>
      </c>
      <c r="F82" s="45">
        <v>55</v>
      </c>
      <c r="G82" s="13">
        <f t="shared" si="65"/>
        <v>14.211886304909561</v>
      </c>
      <c r="H82" s="38">
        <v>31191</v>
      </c>
      <c r="I82" s="38">
        <v>31583</v>
      </c>
      <c r="J82" s="35">
        <f t="shared" si="66"/>
        <v>392</v>
      </c>
      <c r="K82" s="50">
        <f t="shared" si="67"/>
        <v>55</v>
      </c>
      <c r="L82" s="46">
        <f t="shared" si="68"/>
        <v>14.030612244897958</v>
      </c>
      <c r="M82" s="68">
        <v>27490</v>
      </c>
      <c r="N82" s="47">
        <f t="shared" si="69"/>
        <v>1511950</v>
      </c>
      <c r="R82" s="76">
        <f t="shared" si="55"/>
        <v>0</v>
      </c>
    </row>
    <row r="83" spans="1:18" ht="16">
      <c r="A83" s="86">
        <v>46155</v>
      </c>
      <c r="B83" s="44" t="s">
        <v>21</v>
      </c>
      <c r="C83" s="35">
        <v>388303</v>
      </c>
      <c r="D83" s="35">
        <v>388752</v>
      </c>
      <c r="E83" s="11">
        <f t="shared" si="64"/>
        <v>449</v>
      </c>
      <c r="F83" s="45">
        <v>62</v>
      </c>
      <c r="G83" s="13">
        <f t="shared" si="65"/>
        <v>13.808463251670378</v>
      </c>
      <c r="H83" s="38">
        <v>31583</v>
      </c>
      <c r="I83" s="38">
        <v>32030</v>
      </c>
      <c r="J83" s="35">
        <f t="shared" si="66"/>
        <v>447</v>
      </c>
      <c r="K83" s="50">
        <f t="shared" si="67"/>
        <v>62</v>
      </c>
      <c r="L83" s="46">
        <f t="shared" si="68"/>
        <v>13.870246085011187</v>
      </c>
      <c r="M83" s="68">
        <v>27490</v>
      </c>
      <c r="N83" s="47">
        <f t="shared" si="69"/>
        <v>1704380</v>
      </c>
      <c r="R83" s="76">
        <f t="shared" si="55"/>
        <v>0</v>
      </c>
    </row>
    <row r="84" spans="1:18" ht="16">
      <c r="A84" s="86">
        <v>46162</v>
      </c>
      <c r="B84" s="44" t="s">
        <v>21</v>
      </c>
      <c r="C84" s="35">
        <v>388752</v>
      </c>
      <c r="D84" s="35">
        <v>389088</v>
      </c>
      <c r="E84" s="11">
        <f t="shared" si="64"/>
        <v>336</v>
      </c>
      <c r="F84" s="45">
        <v>55</v>
      </c>
      <c r="G84" s="13">
        <f t="shared" si="65"/>
        <v>16.36904761904762</v>
      </c>
      <c r="H84" s="38">
        <v>32030</v>
      </c>
      <c r="I84" s="38">
        <v>32398</v>
      </c>
      <c r="J84" s="35">
        <f t="shared" si="66"/>
        <v>368</v>
      </c>
      <c r="K84" s="50">
        <f t="shared" si="67"/>
        <v>55</v>
      </c>
      <c r="L84" s="46">
        <f t="shared" si="68"/>
        <v>14.945652173913043</v>
      </c>
      <c r="M84" s="48">
        <v>27220</v>
      </c>
      <c r="N84" s="47">
        <f t="shared" si="69"/>
        <v>1497100</v>
      </c>
      <c r="R84" s="76">
        <f t="shared" si="55"/>
        <v>0</v>
      </c>
    </row>
    <row r="85" spans="1:18" ht="16">
      <c r="A85" s="33">
        <v>46169</v>
      </c>
      <c r="B85" s="44" t="s">
        <v>21</v>
      </c>
      <c r="C85" s="35">
        <v>389088</v>
      </c>
      <c r="D85" s="35">
        <v>389494</v>
      </c>
      <c r="E85" s="11">
        <f t="shared" si="64"/>
        <v>406</v>
      </c>
      <c r="F85" s="45">
        <v>65</v>
      </c>
      <c r="G85" s="13">
        <f t="shared" si="65"/>
        <v>16.009852216748769</v>
      </c>
      <c r="H85" s="38">
        <v>32398</v>
      </c>
      <c r="I85" s="38">
        <v>32800</v>
      </c>
      <c r="J85" s="35">
        <f t="shared" si="66"/>
        <v>402</v>
      </c>
      <c r="K85" s="50">
        <f t="shared" si="67"/>
        <v>65</v>
      </c>
      <c r="L85" s="46">
        <f t="shared" si="68"/>
        <v>16.169154228855724</v>
      </c>
      <c r="M85" s="48">
        <v>28760</v>
      </c>
      <c r="N85" s="47">
        <f t="shared" si="69"/>
        <v>1869400</v>
      </c>
      <c r="R85" s="76">
        <f t="shared" si="55"/>
        <v>0</v>
      </c>
    </row>
    <row r="86" spans="1:18" ht="16">
      <c r="A86" s="86"/>
      <c r="B86" s="44" t="s">
        <v>37</v>
      </c>
      <c r="C86" s="35"/>
      <c r="D86" s="35"/>
      <c r="E86" s="11">
        <f t="shared" si="64"/>
        <v>0</v>
      </c>
      <c r="F86" s="45"/>
      <c r="G86" s="13" t="e">
        <f t="shared" si="65"/>
        <v>#DIV/0!</v>
      </c>
      <c r="H86" s="35"/>
      <c r="I86" s="38"/>
      <c r="J86" s="35">
        <f t="shared" si="66"/>
        <v>0</v>
      </c>
      <c r="K86" s="50">
        <f t="shared" si="67"/>
        <v>0</v>
      </c>
      <c r="L86" s="46" t="e">
        <f t="shared" si="68"/>
        <v>#DIV/0!</v>
      </c>
      <c r="M86" s="48"/>
      <c r="N86" s="47">
        <f t="shared" si="69"/>
        <v>0</v>
      </c>
      <c r="R86" s="76">
        <f t="shared" si="55"/>
        <v>0</v>
      </c>
    </row>
    <row r="87" spans="1:18" ht="16">
      <c r="A87" s="87"/>
      <c r="B87" s="44" t="s">
        <v>37</v>
      </c>
      <c r="C87" s="53"/>
      <c r="D87" s="53"/>
      <c r="E87" s="24">
        <f t="shared" si="64"/>
        <v>0</v>
      </c>
      <c r="F87" s="45"/>
      <c r="G87" s="54" t="e">
        <f t="shared" si="65"/>
        <v>#DIV/0!</v>
      </c>
      <c r="H87" s="53"/>
      <c r="I87" s="55"/>
      <c r="J87" s="53">
        <f t="shared" si="66"/>
        <v>0</v>
      </c>
      <c r="K87" s="50">
        <f t="shared" si="67"/>
        <v>0</v>
      </c>
      <c r="L87" s="73" t="e">
        <f t="shared" si="68"/>
        <v>#DIV/0!</v>
      </c>
      <c r="M87" s="56"/>
      <c r="N87" s="57">
        <f t="shared" si="69"/>
        <v>0</v>
      </c>
      <c r="R87" s="76">
        <f t="shared" si="55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2017</v>
      </c>
      <c r="F88" s="37"/>
      <c r="G88" s="61" t="e">
        <f>AVERAGE(G81:G87)</f>
        <v>#DIV/0!</v>
      </c>
      <c r="H88" s="59"/>
      <c r="I88" s="62"/>
      <c r="J88" s="59">
        <f t="shared" ref="J88:K88" si="70">SUM(J81:J87)</f>
        <v>2022</v>
      </c>
      <c r="K88" s="59">
        <f t="shared" si="70"/>
        <v>303</v>
      </c>
      <c r="L88" s="61" t="e">
        <f>AVERAGE(L81:L87)</f>
        <v>#DIV/0!</v>
      </c>
      <c r="M88" s="64"/>
      <c r="N88" s="65">
        <f>SUM(N81:N87)</f>
        <v>8442050</v>
      </c>
      <c r="R88" s="76">
        <f t="shared" si="55"/>
        <v>0</v>
      </c>
    </row>
    <row r="89" spans="1:18" ht="16">
      <c r="A89" s="33">
        <v>46147</v>
      </c>
      <c r="B89" s="82" t="s">
        <v>22</v>
      </c>
      <c r="C89" s="35">
        <v>221408</v>
      </c>
      <c r="D89" s="35">
        <v>221848</v>
      </c>
      <c r="E89" s="36">
        <f t="shared" ref="E89:E96" si="71">D89-C89</f>
        <v>440</v>
      </c>
      <c r="F89" s="37">
        <v>50</v>
      </c>
      <c r="G89" s="13">
        <f t="shared" ref="G89:G96" si="72">(F89/E89)*100</f>
        <v>11.363636363636363</v>
      </c>
      <c r="H89" s="38">
        <v>30506</v>
      </c>
      <c r="I89" s="38">
        <v>30890</v>
      </c>
      <c r="J89" s="39">
        <f t="shared" ref="J89:J96" si="73">I89-H89</f>
        <v>384</v>
      </c>
      <c r="K89" s="77">
        <f t="shared" ref="K89:K96" si="74">F89</f>
        <v>50</v>
      </c>
      <c r="L89" s="67">
        <f t="shared" ref="L89:L96" si="75">(K89/J89)*100</f>
        <v>13.020833333333334</v>
      </c>
      <c r="M89" s="68">
        <v>28170</v>
      </c>
      <c r="N89" s="42">
        <f t="shared" ref="N89:N96" si="76">F89*M89</f>
        <v>1408500</v>
      </c>
      <c r="R89" s="76">
        <f t="shared" si="55"/>
        <v>0</v>
      </c>
    </row>
    <row r="90" spans="1:18" ht="16">
      <c r="A90" s="33">
        <v>46153</v>
      </c>
      <c r="B90" s="44" t="s">
        <v>22</v>
      </c>
      <c r="C90" s="35">
        <v>221848</v>
      </c>
      <c r="D90" s="35">
        <v>222357</v>
      </c>
      <c r="E90" s="11">
        <f t="shared" si="71"/>
        <v>509</v>
      </c>
      <c r="F90" s="45">
        <v>68</v>
      </c>
      <c r="G90" s="13">
        <f t="shared" si="72"/>
        <v>13.359528487229863</v>
      </c>
      <c r="H90" s="38">
        <v>30890</v>
      </c>
      <c r="I90" s="38">
        <v>31341</v>
      </c>
      <c r="J90" s="35">
        <f t="shared" si="73"/>
        <v>451</v>
      </c>
      <c r="K90" s="50">
        <f t="shared" si="74"/>
        <v>68</v>
      </c>
      <c r="L90" s="46">
        <f t="shared" si="75"/>
        <v>15.077605321507761</v>
      </c>
      <c r="M90" s="48">
        <v>27490</v>
      </c>
      <c r="N90" s="47">
        <f t="shared" si="76"/>
        <v>1869320</v>
      </c>
      <c r="R90" s="76">
        <f t="shared" si="55"/>
        <v>0</v>
      </c>
    </row>
    <row r="91" spans="1:18" ht="16">
      <c r="A91" s="33">
        <v>46161</v>
      </c>
      <c r="B91" s="44" t="s">
        <v>22</v>
      </c>
      <c r="C91" s="35">
        <v>222357</v>
      </c>
      <c r="D91" s="35">
        <v>222822</v>
      </c>
      <c r="E91" s="11">
        <f t="shared" si="71"/>
        <v>465</v>
      </c>
      <c r="F91" s="45">
        <v>60</v>
      </c>
      <c r="G91" s="13">
        <f t="shared" si="72"/>
        <v>12.903225806451612</v>
      </c>
      <c r="H91" s="38">
        <v>31341</v>
      </c>
      <c r="I91" s="38">
        <v>31871</v>
      </c>
      <c r="J91" s="35">
        <f t="shared" si="73"/>
        <v>530</v>
      </c>
      <c r="K91" s="50">
        <f t="shared" si="74"/>
        <v>60</v>
      </c>
      <c r="L91" s="46">
        <f t="shared" si="75"/>
        <v>11.320754716981133</v>
      </c>
      <c r="M91" s="48">
        <v>27220</v>
      </c>
      <c r="N91" s="47">
        <f t="shared" si="76"/>
        <v>1633200</v>
      </c>
      <c r="R91" s="76">
        <f t="shared" si="55"/>
        <v>0</v>
      </c>
    </row>
    <row r="92" spans="1:18" ht="16">
      <c r="A92" s="33">
        <v>46167</v>
      </c>
      <c r="B92" s="44" t="s">
        <v>22</v>
      </c>
      <c r="C92" s="35">
        <v>222822</v>
      </c>
      <c r="D92" s="35">
        <v>223297</v>
      </c>
      <c r="E92" s="11">
        <f t="shared" si="71"/>
        <v>475</v>
      </c>
      <c r="F92" s="45">
        <v>63</v>
      </c>
      <c r="G92" s="13">
        <f t="shared" si="72"/>
        <v>13.263157894736842</v>
      </c>
      <c r="H92" s="38">
        <v>31871</v>
      </c>
      <c r="I92" s="38">
        <v>32316</v>
      </c>
      <c r="J92" s="35">
        <f t="shared" si="73"/>
        <v>445</v>
      </c>
      <c r="K92" s="50">
        <f t="shared" si="74"/>
        <v>63</v>
      </c>
      <c r="L92" s="46">
        <f t="shared" si="75"/>
        <v>14.157303370786517</v>
      </c>
      <c r="M92" s="48">
        <v>28760</v>
      </c>
      <c r="N92" s="47">
        <f t="shared" si="76"/>
        <v>1811880</v>
      </c>
      <c r="R92" s="76">
        <f t="shared" si="55"/>
        <v>0</v>
      </c>
    </row>
    <row r="93" spans="1:18" ht="16">
      <c r="A93" s="33">
        <v>46172</v>
      </c>
      <c r="B93" s="44" t="s">
        <v>22</v>
      </c>
      <c r="C93" s="35">
        <v>223297</v>
      </c>
      <c r="D93" s="35">
        <v>223828</v>
      </c>
      <c r="E93" s="11">
        <f t="shared" si="71"/>
        <v>531</v>
      </c>
      <c r="F93" s="45">
        <v>70</v>
      </c>
      <c r="G93" s="13">
        <f t="shared" si="72"/>
        <v>13.182674199623351</v>
      </c>
      <c r="H93" s="38">
        <v>32316</v>
      </c>
      <c r="I93" s="38">
        <v>32775</v>
      </c>
      <c r="J93" s="35">
        <f t="shared" si="73"/>
        <v>459</v>
      </c>
      <c r="K93" s="50">
        <f t="shared" si="74"/>
        <v>70</v>
      </c>
      <c r="L93" s="46">
        <f t="shared" si="75"/>
        <v>15.250544662309368</v>
      </c>
      <c r="M93" s="48">
        <v>27650</v>
      </c>
      <c r="N93" s="47">
        <f t="shared" si="76"/>
        <v>1935500</v>
      </c>
      <c r="R93" s="76">
        <f t="shared" si="55"/>
        <v>0</v>
      </c>
    </row>
    <row r="94" spans="1:18" ht="16">
      <c r="A94" s="86"/>
      <c r="B94" s="44" t="s">
        <v>22</v>
      </c>
      <c r="C94" s="35"/>
      <c r="D94" s="35"/>
      <c r="E94" s="11">
        <f t="shared" si="71"/>
        <v>0</v>
      </c>
      <c r="F94" s="45"/>
      <c r="G94" s="13" t="e">
        <f t="shared" si="72"/>
        <v>#DIV/0!</v>
      </c>
      <c r="H94" s="38"/>
      <c r="I94" s="38"/>
      <c r="J94" s="35">
        <f t="shared" si="73"/>
        <v>0</v>
      </c>
      <c r="K94" s="50">
        <f t="shared" si="74"/>
        <v>0</v>
      </c>
      <c r="L94" s="46" t="e">
        <f t="shared" si="75"/>
        <v>#DIV/0!</v>
      </c>
      <c r="M94" s="48"/>
      <c r="N94" s="47">
        <f t="shared" si="76"/>
        <v>0</v>
      </c>
      <c r="R94" s="76">
        <f t="shared" si="55"/>
        <v>0</v>
      </c>
    </row>
    <row r="95" spans="1:18" ht="16">
      <c r="A95" s="88"/>
      <c r="B95" s="44" t="s">
        <v>22</v>
      </c>
      <c r="C95" s="35"/>
      <c r="D95" s="53"/>
      <c r="E95" s="24">
        <f t="shared" si="71"/>
        <v>0</v>
      </c>
      <c r="F95" s="45"/>
      <c r="G95" s="54" t="e">
        <f t="shared" si="72"/>
        <v>#DIV/0!</v>
      </c>
      <c r="H95" s="38"/>
      <c r="I95" s="55"/>
      <c r="J95" s="53">
        <f t="shared" si="73"/>
        <v>0</v>
      </c>
      <c r="K95" s="50">
        <f t="shared" si="74"/>
        <v>0</v>
      </c>
      <c r="L95" s="73" t="e">
        <f t="shared" si="75"/>
        <v>#DIV/0!</v>
      </c>
      <c r="M95" s="56"/>
      <c r="N95" s="57">
        <f t="shared" si="76"/>
        <v>0</v>
      </c>
      <c r="R95" s="76">
        <f t="shared" si="55"/>
        <v>0</v>
      </c>
    </row>
    <row r="96" spans="1:18" ht="16">
      <c r="A96" s="88"/>
      <c r="B96" s="44" t="s">
        <v>22</v>
      </c>
      <c r="C96" s="53"/>
      <c r="D96" s="53"/>
      <c r="E96" s="24">
        <f t="shared" si="71"/>
        <v>0</v>
      </c>
      <c r="F96" s="45"/>
      <c r="G96" s="54" t="e">
        <f t="shared" si="72"/>
        <v>#DIV/0!</v>
      </c>
      <c r="H96" s="55"/>
      <c r="I96" s="55"/>
      <c r="J96" s="53">
        <f t="shared" si="73"/>
        <v>0</v>
      </c>
      <c r="K96" s="50">
        <f t="shared" si="74"/>
        <v>0</v>
      </c>
      <c r="L96" s="73" t="e">
        <f t="shared" si="75"/>
        <v>#DIV/0!</v>
      </c>
      <c r="M96" s="56"/>
      <c r="N96" s="57">
        <f t="shared" si="76"/>
        <v>0</v>
      </c>
      <c r="R96" s="76">
        <f t="shared" si="55"/>
        <v>0</v>
      </c>
    </row>
    <row r="97" spans="1:18" ht="16">
      <c r="A97" s="59"/>
      <c r="B97" s="60"/>
      <c r="C97" s="59"/>
      <c r="D97" s="59" t="s">
        <v>19</v>
      </c>
      <c r="E97" s="59">
        <f>SUM(E89:E95)</f>
        <v>2420</v>
      </c>
      <c r="F97" s="59">
        <f>SUM(F88:F95)</f>
        <v>311</v>
      </c>
      <c r="G97" s="61" t="e">
        <f>AVERAGE(G89:G95)</f>
        <v>#DIV/0!</v>
      </c>
      <c r="H97" s="59"/>
      <c r="I97" s="62"/>
      <c r="J97" s="59">
        <f t="shared" ref="J97:K97" si="77">SUM(J89:J95)</f>
        <v>2269</v>
      </c>
      <c r="K97" s="59">
        <f t="shared" si="77"/>
        <v>311</v>
      </c>
      <c r="L97" s="61" t="e">
        <f>AVERAGE(L89:L95)</f>
        <v>#DIV/0!</v>
      </c>
      <c r="M97" s="64"/>
      <c r="N97" s="65">
        <f>SUM(N89:N96)</f>
        <v>8658400</v>
      </c>
      <c r="R97" s="76">
        <f t="shared" si="55"/>
        <v>0</v>
      </c>
    </row>
    <row r="98" spans="1:18" ht="16">
      <c r="A98" s="89">
        <v>46149</v>
      </c>
      <c r="B98" s="90" t="s">
        <v>38</v>
      </c>
      <c r="C98" s="91">
        <v>177438</v>
      </c>
      <c r="D98" s="35">
        <v>177965</v>
      </c>
      <c r="E98" s="36">
        <f t="shared" ref="E98:E103" si="78">D98-C98</f>
        <v>527</v>
      </c>
      <c r="F98" s="37">
        <v>64</v>
      </c>
      <c r="G98" s="13">
        <f t="shared" ref="G98:G103" si="79">(F98/E98)*100</f>
        <v>12.144212523719165</v>
      </c>
      <c r="H98" s="38">
        <v>32807</v>
      </c>
      <c r="I98" s="38">
        <v>33311</v>
      </c>
      <c r="J98" s="39">
        <f t="shared" ref="J98:J103" si="80">I98-H98</f>
        <v>504</v>
      </c>
      <c r="K98" s="77">
        <f t="shared" ref="K98:K103" si="81">F98</f>
        <v>64</v>
      </c>
      <c r="L98" s="67">
        <f t="shared" ref="L98:L103" si="82">(K98/J98)*100</f>
        <v>12.698412698412698</v>
      </c>
      <c r="M98" s="68">
        <v>27490</v>
      </c>
      <c r="N98" s="42">
        <f t="shared" ref="N98:N103" si="83">F98*M98</f>
        <v>1759360</v>
      </c>
      <c r="R98" s="76">
        <f t="shared" si="55"/>
        <v>0</v>
      </c>
    </row>
    <row r="99" spans="1:18" ht="16">
      <c r="A99" s="80">
        <v>46155</v>
      </c>
      <c r="B99" s="44" t="s">
        <v>38</v>
      </c>
      <c r="C99" s="35">
        <v>177965</v>
      </c>
      <c r="D99" s="35">
        <v>178500</v>
      </c>
      <c r="E99" s="11">
        <f t="shared" si="78"/>
        <v>535</v>
      </c>
      <c r="F99" s="45">
        <v>66</v>
      </c>
      <c r="G99" s="13">
        <f t="shared" si="79"/>
        <v>12.33644859813084</v>
      </c>
      <c r="H99" s="38">
        <v>33311</v>
      </c>
      <c r="I99" s="38">
        <v>33863</v>
      </c>
      <c r="J99" s="35">
        <f t="shared" si="80"/>
        <v>552</v>
      </c>
      <c r="K99" s="50">
        <f t="shared" si="81"/>
        <v>66</v>
      </c>
      <c r="L99" s="46">
        <f t="shared" si="82"/>
        <v>11.956521739130435</v>
      </c>
      <c r="M99" s="68">
        <v>27490</v>
      </c>
      <c r="N99" s="47">
        <f t="shared" si="83"/>
        <v>1814340</v>
      </c>
      <c r="R99" s="76">
        <f t="shared" si="55"/>
        <v>0</v>
      </c>
    </row>
    <row r="100" spans="1:18" ht="16">
      <c r="A100" s="80">
        <v>46162</v>
      </c>
      <c r="B100" s="44" t="s">
        <v>38</v>
      </c>
      <c r="C100" s="35">
        <v>178500</v>
      </c>
      <c r="D100" s="35">
        <v>179010</v>
      </c>
      <c r="E100" s="11">
        <f t="shared" si="78"/>
        <v>510</v>
      </c>
      <c r="F100" s="45">
        <v>71</v>
      </c>
      <c r="G100" s="13">
        <f t="shared" si="79"/>
        <v>13.921568627450981</v>
      </c>
      <c r="H100" s="38">
        <v>33863</v>
      </c>
      <c r="I100" s="38">
        <v>34400</v>
      </c>
      <c r="J100" s="35">
        <f t="shared" si="80"/>
        <v>537</v>
      </c>
      <c r="K100" s="50">
        <f t="shared" si="81"/>
        <v>71</v>
      </c>
      <c r="L100" s="46">
        <f t="shared" si="82"/>
        <v>13.221601489757914</v>
      </c>
      <c r="M100" s="48">
        <v>27220</v>
      </c>
      <c r="N100" s="47">
        <f t="shared" si="83"/>
        <v>1932620</v>
      </c>
      <c r="R100" s="76">
        <f t="shared" si="55"/>
        <v>0</v>
      </c>
    </row>
    <row r="101" spans="1:18" ht="16">
      <c r="A101" s="80">
        <v>46170</v>
      </c>
      <c r="B101" s="44" t="s">
        <v>38</v>
      </c>
      <c r="C101" s="35">
        <v>179010</v>
      </c>
      <c r="D101" s="35">
        <v>179531</v>
      </c>
      <c r="E101" s="11">
        <f t="shared" si="78"/>
        <v>521</v>
      </c>
      <c r="F101" s="45">
        <v>63</v>
      </c>
      <c r="G101" s="13">
        <f t="shared" si="79"/>
        <v>12.092130518234164</v>
      </c>
      <c r="H101" s="38">
        <v>34400</v>
      </c>
      <c r="I101" s="38">
        <v>34892</v>
      </c>
      <c r="J101" s="35">
        <f t="shared" si="80"/>
        <v>492</v>
      </c>
      <c r="K101" s="50">
        <f t="shared" si="81"/>
        <v>63</v>
      </c>
      <c r="L101" s="46">
        <f t="shared" si="82"/>
        <v>12.804878048780488</v>
      </c>
      <c r="M101" s="48">
        <v>28760</v>
      </c>
      <c r="N101" s="47">
        <f t="shared" si="83"/>
        <v>1811880</v>
      </c>
      <c r="R101" s="76">
        <f t="shared" si="55"/>
        <v>0</v>
      </c>
    </row>
    <row r="102" spans="1:18" ht="16">
      <c r="A102" s="80"/>
      <c r="B102" s="44" t="s">
        <v>38</v>
      </c>
      <c r="C102" s="35"/>
      <c r="D102" s="91"/>
      <c r="E102" s="11">
        <f t="shared" si="78"/>
        <v>0</v>
      </c>
      <c r="F102" s="45"/>
      <c r="G102" s="13" t="e">
        <f t="shared" si="79"/>
        <v>#DIV/0!</v>
      </c>
      <c r="H102" s="38"/>
      <c r="I102" s="38"/>
      <c r="J102" s="35">
        <f t="shared" si="80"/>
        <v>0</v>
      </c>
      <c r="K102" s="50">
        <f t="shared" si="81"/>
        <v>0</v>
      </c>
      <c r="L102" s="46" t="e">
        <f t="shared" si="82"/>
        <v>#DIV/0!</v>
      </c>
      <c r="M102" s="48"/>
      <c r="N102" s="47">
        <f t="shared" si="83"/>
        <v>0</v>
      </c>
      <c r="R102" s="76">
        <f t="shared" si="55"/>
        <v>0</v>
      </c>
    </row>
    <row r="103" spans="1:18" ht="16">
      <c r="A103" s="92"/>
      <c r="B103" s="93" t="s">
        <v>38</v>
      </c>
      <c r="C103" s="94"/>
      <c r="D103" s="95"/>
      <c r="E103" s="11">
        <f t="shared" si="78"/>
        <v>0</v>
      </c>
      <c r="F103" s="45"/>
      <c r="G103" s="96" t="e">
        <f t="shared" si="79"/>
        <v>#DIV/0!</v>
      </c>
      <c r="H103" s="97"/>
      <c r="I103" s="98"/>
      <c r="J103" s="97">
        <f t="shared" si="80"/>
        <v>0</v>
      </c>
      <c r="K103" s="50">
        <f t="shared" si="81"/>
        <v>0</v>
      </c>
      <c r="L103" s="99" t="e">
        <f t="shared" si="82"/>
        <v>#DIV/0!</v>
      </c>
      <c r="M103" s="100"/>
      <c r="N103" s="101">
        <f t="shared" si="83"/>
        <v>0</v>
      </c>
      <c r="R103" s="76">
        <f t="shared" si="55"/>
        <v>0</v>
      </c>
    </row>
    <row r="104" spans="1:18" ht="16">
      <c r="A104" s="102"/>
      <c r="B104" s="103"/>
      <c r="C104" s="104"/>
      <c r="D104" s="105" t="s">
        <v>19</v>
      </c>
      <c r="E104" s="106">
        <f>SUM(E98:E103)</f>
        <v>2093</v>
      </c>
      <c r="F104" s="59">
        <f>SUM(F95:F103)</f>
        <v>575</v>
      </c>
      <c r="G104" s="107" t="e">
        <f>AVERAGE(G98:G103)</f>
        <v>#DIV/0!</v>
      </c>
      <c r="H104" s="104"/>
      <c r="I104" s="108"/>
      <c r="J104" s="105">
        <f t="shared" ref="J104:K104" si="84">SUM(J98:J103)</f>
        <v>2085</v>
      </c>
      <c r="K104" s="105">
        <f t="shared" si="84"/>
        <v>264</v>
      </c>
      <c r="L104" s="109" t="e">
        <f>AVERAGE(L98:L103)</f>
        <v>#DIV/0!</v>
      </c>
      <c r="M104" s="110"/>
      <c r="N104" s="111">
        <f>SUM(N98:N103)</f>
        <v>7318200</v>
      </c>
      <c r="R104" s="76">
        <f t="shared" si="55"/>
        <v>0</v>
      </c>
    </row>
    <row r="105" spans="1:18" ht="16">
      <c r="A105" s="112">
        <v>46149</v>
      </c>
      <c r="B105" s="113" t="s">
        <v>39</v>
      </c>
      <c r="C105" s="35">
        <v>130976</v>
      </c>
      <c r="D105" s="35">
        <v>131531</v>
      </c>
      <c r="E105" s="36">
        <f t="shared" ref="E105:E111" si="85">D105-C105</f>
        <v>555</v>
      </c>
      <c r="F105" s="37">
        <v>67</v>
      </c>
      <c r="G105" s="114">
        <f t="shared" ref="G105:G111" si="86">(F105/E105)*100</f>
        <v>12.072072072072073</v>
      </c>
      <c r="H105" s="38">
        <v>35213</v>
      </c>
      <c r="I105" s="35">
        <v>35665</v>
      </c>
      <c r="J105" s="83">
        <f t="shared" ref="J105:J111" si="87">I105-H105</f>
        <v>452</v>
      </c>
      <c r="K105" s="77">
        <f t="shared" ref="K105:K111" si="88">F105</f>
        <v>67</v>
      </c>
      <c r="L105" s="115">
        <f t="shared" ref="L105:L111" si="89">(K105/J105)*100</f>
        <v>14.823008849557523</v>
      </c>
      <c r="M105" s="116">
        <v>28170</v>
      </c>
      <c r="N105" s="47">
        <f t="shared" ref="N105:N111" si="90">F105*M105</f>
        <v>1887390</v>
      </c>
      <c r="R105" s="76">
        <f t="shared" si="55"/>
        <v>0</v>
      </c>
    </row>
    <row r="106" spans="1:18" ht="16">
      <c r="A106" s="117">
        <v>46155</v>
      </c>
      <c r="B106" s="44" t="s">
        <v>39</v>
      </c>
      <c r="C106" s="35">
        <v>131531</v>
      </c>
      <c r="D106" s="35">
        <v>132056</v>
      </c>
      <c r="E106" s="11">
        <f t="shared" si="85"/>
        <v>525</v>
      </c>
      <c r="F106" s="45">
        <v>62</v>
      </c>
      <c r="G106" s="13">
        <f t="shared" si="86"/>
        <v>11.80952380952381</v>
      </c>
      <c r="H106" s="35">
        <v>35665</v>
      </c>
      <c r="I106" s="12">
        <v>36329</v>
      </c>
      <c r="J106" s="35">
        <f t="shared" si="87"/>
        <v>664</v>
      </c>
      <c r="K106" s="77">
        <f t="shared" si="88"/>
        <v>62</v>
      </c>
      <c r="L106" s="46">
        <f t="shared" si="89"/>
        <v>9.3373493975903603</v>
      </c>
      <c r="M106" s="48">
        <v>27490</v>
      </c>
      <c r="N106" s="47">
        <f t="shared" si="90"/>
        <v>1704380</v>
      </c>
      <c r="R106" s="76">
        <f t="shared" si="55"/>
        <v>0</v>
      </c>
    </row>
    <row r="107" spans="1:18" ht="16">
      <c r="A107" s="117">
        <v>46160</v>
      </c>
      <c r="B107" s="44" t="s">
        <v>39</v>
      </c>
      <c r="C107" s="35">
        <v>132056</v>
      </c>
      <c r="D107" s="35">
        <v>132500</v>
      </c>
      <c r="E107" s="11">
        <f t="shared" si="85"/>
        <v>444</v>
      </c>
      <c r="F107" s="45">
        <v>50</v>
      </c>
      <c r="G107" s="13">
        <f t="shared" si="86"/>
        <v>11.261261261261261</v>
      </c>
      <c r="H107" s="12">
        <v>36329</v>
      </c>
      <c r="I107" s="35">
        <v>36622</v>
      </c>
      <c r="J107" s="35">
        <f t="shared" si="87"/>
        <v>293</v>
      </c>
      <c r="K107" s="77">
        <f t="shared" si="88"/>
        <v>50</v>
      </c>
      <c r="L107" s="46">
        <f t="shared" si="89"/>
        <v>17.064846416382252</v>
      </c>
      <c r="M107" s="48">
        <v>27220</v>
      </c>
      <c r="N107" s="47">
        <f t="shared" si="90"/>
        <v>1361000</v>
      </c>
      <c r="P107" s="78"/>
      <c r="R107" s="76">
        <f t="shared" si="55"/>
        <v>0</v>
      </c>
    </row>
    <row r="108" spans="1:18" ht="16">
      <c r="A108" s="117">
        <v>46167</v>
      </c>
      <c r="B108" s="44" t="s">
        <v>39</v>
      </c>
      <c r="C108" s="35">
        <v>132500</v>
      </c>
      <c r="D108" s="35">
        <v>132971</v>
      </c>
      <c r="E108" s="11">
        <f t="shared" si="85"/>
        <v>471</v>
      </c>
      <c r="F108" s="45">
        <v>50</v>
      </c>
      <c r="G108" s="13">
        <f t="shared" si="86"/>
        <v>10.615711252653929</v>
      </c>
      <c r="H108" s="35">
        <v>36622</v>
      </c>
      <c r="I108" s="35">
        <v>37127</v>
      </c>
      <c r="J108" s="35">
        <f t="shared" si="87"/>
        <v>505</v>
      </c>
      <c r="K108" s="50">
        <f t="shared" si="88"/>
        <v>50</v>
      </c>
      <c r="L108" s="46">
        <f t="shared" si="89"/>
        <v>9.9009900990099009</v>
      </c>
      <c r="M108" s="48">
        <v>28760</v>
      </c>
      <c r="N108" s="47">
        <f t="shared" si="90"/>
        <v>1438000</v>
      </c>
      <c r="R108" s="76">
        <f t="shared" si="55"/>
        <v>0</v>
      </c>
    </row>
    <row r="109" spans="1:18" ht="16">
      <c r="A109" s="33">
        <v>46172</v>
      </c>
      <c r="B109" s="44" t="s">
        <v>39</v>
      </c>
      <c r="C109" s="35">
        <v>132971</v>
      </c>
      <c r="D109" s="35">
        <v>133547</v>
      </c>
      <c r="E109" s="11">
        <f t="shared" si="85"/>
        <v>576</v>
      </c>
      <c r="F109" s="45">
        <v>63</v>
      </c>
      <c r="G109" s="13">
        <f t="shared" si="86"/>
        <v>10.9375</v>
      </c>
      <c r="H109" s="35">
        <v>37127</v>
      </c>
      <c r="I109" s="38">
        <v>37622</v>
      </c>
      <c r="J109" s="35">
        <f t="shared" si="87"/>
        <v>495</v>
      </c>
      <c r="K109" s="50">
        <f t="shared" si="88"/>
        <v>63</v>
      </c>
      <c r="L109" s="46">
        <f t="shared" si="89"/>
        <v>12.727272727272727</v>
      </c>
      <c r="M109" s="48">
        <v>27650</v>
      </c>
      <c r="N109" s="47">
        <f t="shared" si="90"/>
        <v>1741950</v>
      </c>
      <c r="R109" s="76">
        <f t="shared" si="55"/>
        <v>0</v>
      </c>
    </row>
    <row r="110" spans="1:18" ht="16">
      <c r="A110" s="33"/>
      <c r="B110" s="44" t="s">
        <v>39</v>
      </c>
      <c r="C110" s="35"/>
      <c r="D110" s="35"/>
      <c r="E110" s="11">
        <f t="shared" si="85"/>
        <v>0</v>
      </c>
      <c r="F110" s="45"/>
      <c r="G110" s="13" t="e">
        <f t="shared" si="86"/>
        <v>#DIV/0!</v>
      </c>
      <c r="H110" s="38"/>
      <c r="I110" s="38"/>
      <c r="J110" s="35">
        <f t="shared" si="87"/>
        <v>0</v>
      </c>
      <c r="K110" s="50">
        <f t="shared" si="88"/>
        <v>0</v>
      </c>
      <c r="L110" s="46" t="e">
        <f t="shared" si="89"/>
        <v>#DIV/0!</v>
      </c>
      <c r="M110" s="48"/>
      <c r="N110" s="47">
        <f t="shared" si="90"/>
        <v>0</v>
      </c>
      <c r="R110" s="76">
        <f t="shared" si="55"/>
        <v>0</v>
      </c>
    </row>
    <row r="111" spans="1:18" ht="16">
      <c r="A111" s="33"/>
      <c r="B111" s="44" t="s">
        <v>39</v>
      </c>
      <c r="C111" s="35"/>
      <c r="D111" s="53"/>
      <c r="E111" s="24">
        <f t="shared" si="85"/>
        <v>0</v>
      </c>
      <c r="F111" s="45"/>
      <c r="G111" s="54" t="e">
        <f t="shared" si="86"/>
        <v>#DIV/0!</v>
      </c>
      <c r="H111" s="38"/>
      <c r="I111" s="55"/>
      <c r="J111" s="53">
        <f t="shared" si="87"/>
        <v>0</v>
      </c>
      <c r="K111" s="50">
        <f t="shared" si="88"/>
        <v>0</v>
      </c>
      <c r="L111" s="73" t="e">
        <f t="shared" si="89"/>
        <v>#DIV/0!</v>
      </c>
      <c r="M111" s="56"/>
      <c r="N111" s="47">
        <f t="shared" si="90"/>
        <v>0</v>
      </c>
      <c r="R111" s="76">
        <f t="shared" si="55"/>
        <v>0</v>
      </c>
    </row>
    <row r="112" spans="1:18" ht="16">
      <c r="A112" s="59"/>
      <c r="B112" s="60"/>
      <c r="C112" s="59"/>
      <c r="D112" s="59" t="s">
        <v>19</v>
      </c>
      <c r="E112" s="59">
        <f>SUM(E98:E111)</f>
        <v>6757</v>
      </c>
      <c r="F112" s="59">
        <f>SUM(F104:F111)</f>
        <v>867</v>
      </c>
      <c r="G112" s="61" t="e">
        <f>AVERAGE(G98:G111)</f>
        <v>#DIV/0!</v>
      </c>
      <c r="H112" s="59"/>
      <c r="I112" s="62"/>
      <c r="J112" s="59">
        <f t="shared" ref="J112:K112" si="91">SUM(J98:J111)</f>
        <v>6579</v>
      </c>
      <c r="K112" s="59">
        <f t="shared" si="91"/>
        <v>820</v>
      </c>
      <c r="L112" s="61" t="e">
        <f>AVERAGE(L98:L111)</f>
        <v>#DIV/0!</v>
      </c>
      <c r="M112" s="64"/>
      <c r="N112" s="65">
        <f>SUM(N105:N111)</f>
        <v>8132720</v>
      </c>
      <c r="R112" s="76">
        <f t="shared" si="55"/>
        <v>0</v>
      </c>
    </row>
    <row r="113" spans="1:18" ht="16">
      <c r="A113" s="66">
        <v>46150</v>
      </c>
      <c r="B113" s="90" t="s">
        <v>40</v>
      </c>
      <c r="C113" s="35">
        <v>126905</v>
      </c>
      <c r="D113" s="12">
        <v>127479</v>
      </c>
      <c r="E113" s="36">
        <f t="shared" ref="E113:E119" si="92">D113-C113</f>
        <v>574</v>
      </c>
      <c r="F113" s="37">
        <v>71</v>
      </c>
      <c r="G113" s="13">
        <f t="shared" ref="G113:G119" si="93">(F113/E113)*100</f>
        <v>12.369337979094077</v>
      </c>
      <c r="H113" s="38">
        <v>124883</v>
      </c>
      <c r="I113" s="38">
        <v>125576</v>
      </c>
      <c r="J113" s="39">
        <f t="shared" ref="J113:J119" si="94">I113-H113</f>
        <v>693</v>
      </c>
      <c r="K113" s="77">
        <f t="shared" ref="K113:K119" si="95">F113</f>
        <v>71</v>
      </c>
      <c r="L113" s="67">
        <f t="shared" ref="L113:L119" si="96">(K113/J113)*100</f>
        <v>10.245310245310245</v>
      </c>
      <c r="M113" s="68">
        <v>27490</v>
      </c>
      <c r="N113" s="42">
        <f t="shared" ref="N113:N119" si="97">F113*M113</f>
        <v>1951790</v>
      </c>
      <c r="R113" s="76">
        <f t="shared" si="55"/>
        <v>0</v>
      </c>
    </row>
    <row r="114" spans="1:18" ht="16">
      <c r="A114" s="43">
        <v>46155</v>
      </c>
      <c r="B114" s="49" t="s">
        <v>40</v>
      </c>
      <c r="C114" s="12">
        <v>127479</v>
      </c>
      <c r="D114" s="10">
        <v>128088</v>
      </c>
      <c r="E114" s="51">
        <f t="shared" si="92"/>
        <v>609</v>
      </c>
      <c r="F114" s="52">
        <v>72</v>
      </c>
      <c r="G114" s="13">
        <f t="shared" si="93"/>
        <v>11.822660098522167</v>
      </c>
      <c r="H114" s="38">
        <v>125576</v>
      </c>
      <c r="I114" s="10">
        <v>126088</v>
      </c>
      <c r="J114" s="35">
        <f t="shared" si="94"/>
        <v>512</v>
      </c>
      <c r="K114" s="50">
        <f t="shared" si="95"/>
        <v>72</v>
      </c>
      <c r="L114" s="46">
        <f t="shared" si="96"/>
        <v>14.0625</v>
      </c>
      <c r="M114" s="68">
        <v>27490</v>
      </c>
      <c r="N114" s="47">
        <f t="shared" si="97"/>
        <v>1979280</v>
      </c>
      <c r="R114" s="76">
        <f t="shared" si="55"/>
        <v>0</v>
      </c>
    </row>
    <row r="115" spans="1:18" ht="16">
      <c r="A115" s="33">
        <v>46161</v>
      </c>
      <c r="B115" s="44" t="s">
        <v>40</v>
      </c>
      <c r="C115" s="10">
        <v>128088</v>
      </c>
      <c r="D115" s="12">
        <v>128638</v>
      </c>
      <c r="E115" s="11">
        <f t="shared" si="92"/>
        <v>550</v>
      </c>
      <c r="F115" s="45">
        <v>67</v>
      </c>
      <c r="G115" s="13">
        <f t="shared" si="93"/>
        <v>12.181818181818182</v>
      </c>
      <c r="H115" s="10">
        <v>126088</v>
      </c>
      <c r="I115" s="38">
        <v>126551</v>
      </c>
      <c r="J115" s="35">
        <f t="shared" si="94"/>
        <v>463</v>
      </c>
      <c r="K115" s="50">
        <f t="shared" si="95"/>
        <v>67</v>
      </c>
      <c r="L115" s="46">
        <f t="shared" si="96"/>
        <v>14.47084233261339</v>
      </c>
      <c r="M115" s="48">
        <v>27220</v>
      </c>
      <c r="N115" s="47">
        <f t="shared" si="97"/>
        <v>1823740</v>
      </c>
      <c r="R115" s="76">
        <f t="shared" si="55"/>
        <v>0</v>
      </c>
    </row>
    <row r="116" spans="1:18" ht="16">
      <c r="A116" s="33">
        <v>46168</v>
      </c>
      <c r="B116" s="44" t="s">
        <v>40</v>
      </c>
      <c r="C116" s="12">
        <v>128638</v>
      </c>
      <c r="D116" s="12">
        <v>129218</v>
      </c>
      <c r="E116" s="11">
        <f t="shared" si="92"/>
        <v>580</v>
      </c>
      <c r="F116" s="45">
        <v>71</v>
      </c>
      <c r="G116" s="13">
        <f t="shared" si="93"/>
        <v>12.241379310344827</v>
      </c>
      <c r="H116" s="38">
        <v>126551</v>
      </c>
      <c r="I116" s="38">
        <v>127096</v>
      </c>
      <c r="J116" s="35">
        <f t="shared" si="94"/>
        <v>545</v>
      </c>
      <c r="K116" s="50">
        <f t="shared" si="95"/>
        <v>71</v>
      </c>
      <c r="L116" s="46">
        <f t="shared" si="96"/>
        <v>13.027522935779817</v>
      </c>
      <c r="M116" s="48">
        <v>28760</v>
      </c>
      <c r="N116" s="47">
        <f t="shared" si="97"/>
        <v>2041960</v>
      </c>
      <c r="R116" s="76">
        <f t="shared" si="55"/>
        <v>0</v>
      </c>
    </row>
    <row r="117" spans="1:18" ht="16">
      <c r="A117" s="33"/>
      <c r="B117" s="44" t="s">
        <v>40</v>
      </c>
      <c r="C117" s="12"/>
      <c r="D117" s="35"/>
      <c r="E117" s="11">
        <f t="shared" si="92"/>
        <v>0</v>
      </c>
      <c r="F117" s="45"/>
      <c r="G117" s="13" t="e">
        <f t="shared" si="93"/>
        <v>#DIV/0!</v>
      </c>
      <c r="H117" s="38"/>
      <c r="I117" s="38"/>
      <c r="J117" s="35">
        <f t="shared" si="94"/>
        <v>0</v>
      </c>
      <c r="K117" s="50">
        <f t="shared" si="95"/>
        <v>0</v>
      </c>
      <c r="L117" s="46" t="e">
        <f t="shared" si="96"/>
        <v>#DIV/0!</v>
      </c>
      <c r="M117" s="48"/>
      <c r="N117" s="47">
        <f t="shared" si="97"/>
        <v>0</v>
      </c>
      <c r="R117" s="76">
        <f t="shared" si="55"/>
        <v>0</v>
      </c>
    </row>
    <row r="118" spans="1:18" ht="16">
      <c r="A118" s="33"/>
      <c r="B118" s="44" t="s">
        <v>40</v>
      </c>
      <c r="C118" s="35"/>
      <c r="D118" s="35"/>
      <c r="E118" s="11">
        <f t="shared" si="92"/>
        <v>0</v>
      </c>
      <c r="F118" s="45"/>
      <c r="G118" s="13" t="e">
        <f t="shared" si="93"/>
        <v>#DIV/0!</v>
      </c>
      <c r="H118" s="38"/>
      <c r="I118" s="38"/>
      <c r="J118" s="35">
        <f t="shared" si="94"/>
        <v>0</v>
      </c>
      <c r="K118" s="50">
        <f t="shared" si="95"/>
        <v>0</v>
      </c>
      <c r="L118" s="46" t="e">
        <f t="shared" si="96"/>
        <v>#DIV/0!</v>
      </c>
      <c r="M118" s="48"/>
      <c r="N118" s="47">
        <f t="shared" si="97"/>
        <v>0</v>
      </c>
      <c r="R118" s="76">
        <f t="shared" si="55"/>
        <v>0</v>
      </c>
    </row>
    <row r="119" spans="1:18" ht="16">
      <c r="A119" s="87"/>
      <c r="B119" s="44" t="s">
        <v>40</v>
      </c>
      <c r="C119" s="53"/>
      <c r="D119" s="53"/>
      <c r="E119" s="24">
        <f t="shared" si="92"/>
        <v>0</v>
      </c>
      <c r="F119" s="45"/>
      <c r="G119" s="54" t="e">
        <f t="shared" si="93"/>
        <v>#DIV/0!</v>
      </c>
      <c r="H119" s="53"/>
      <c r="I119" s="55"/>
      <c r="J119" s="53">
        <f t="shared" si="94"/>
        <v>0</v>
      </c>
      <c r="K119" s="50">
        <f t="shared" si="95"/>
        <v>0</v>
      </c>
      <c r="L119" s="73" t="e">
        <f t="shared" si="96"/>
        <v>#DIV/0!</v>
      </c>
      <c r="M119" s="56"/>
      <c r="N119" s="57">
        <f t="shared" si="97"/>
        <v>0</v>
      </c>
      <c r="R119" s="76">
        <f t="shared" si="55"/>
        <v>0</v>
      </c>
    </row>
    <row r="120" spans="1:18" ht="16">
      <c r="A120" s="59"/>
      <c r="B120" s="60"/>
      <c r="C120" s="59"/>
      <c r="D120" s="59" t="s">
        <v>19</v>
      </c>
      <c r="E120" s="59">
        <f>SUM(E113:E119)</f>
        <v>2313</v>
      </c>
      <c r="F120" s="37"/>
      <c r="G120" s="61" t="e">
        <f>AVERAGE(G113:G119)</f>
        <v>#DIV/0!</v>
      </c>
      <c r="H120" s="59"/>
      <c r="I120" s="62"/>
      <c r="J120" s="59">
        <f t="shared" ref="J120:K120" si="98">SUM(J113:J119)</f>
        <v>2213</v>
      </c>
      <c r="K120" s="59">
        <f t="shared" si="98"/>
        <v>281</v>
      </c>
      <c r="L120" s="61" t="e">
        <f>AVERAGE(L113:L119)</f>
        <v>#DIV/0!</v>
      </c>
      <c r="M120" s="64"/>
      <c r="N120" s="65">
        <f>SUM(N113:N119)</f>
        <v>7796770</v>
      </c>
      <c r="R120" s="76">
        <f t="shared" si="55"/>
        <v>0</v>
      </c>
    </row>
    <row r="121" spans="1:18" ht="16">
      <c r="A121" s="66">
        <v>46150</v>
      </c>
      <c r="B121" s="90" t="s">
        <v>41</v>
      </c>
      <c r="C121" s="35">
        <v>179863</v>
      </c>
      <c r="D121" s="35">
        <v>180409</v>
      </c>
      <c r="E121" s="36">
        <f t="shared" ref="E121:E127" si="99">D121-C121</f>
        <v>546</v>
      </c>
      <c r="F121" s="37">
        <v>69</v>
      </c>
      <c r="G121" s="13">
        <f t="shared" ref="G121:G127" si="100">(F121/E121)*100</f>
        <v>12.637362637362637</v>
      </c>
      <c r="H121" s="38">
        <v>23486</v>
      </c>
      <c r="I121" s="38">
        <v>24073</v>
      </c>
      <c r="J121" s="39">
        <f t="shared" ref="J121:J127" si="101">I121-H121</f>
        <v>587</v>
      </c>
      <c r="K121" s="77">
        <f t="shared" ref="K121:K127" si="102">F121</f>
        <v>69</v>
      </c>
      <c r="L121" s="67">
        <f t="shared" ref="L121:L127" si="103">(K121/J121)*100</f>
        <v>11.754684838160136</v>
      </c>
      <c r="M121" s="41">
        <v>27490</v>
      </c>
      <c r="N121" s="42">
        <f t="shared" ref="N121:N127" si="104">F121*M121</f>
        <v>1896810</v>
      </c>
      <c r="R121" s="76">
        <f t="shared" si="55"/>
        <v>0</v>
      </c>
    </row>
    <row r="122" spans="1:18" ht="16">
      <c r="A122" s="118">
        <v>46158</v>
      </c>
      <c r="B122" s="119" t="s">
        <v>41</v>
      </c>
      <c r="C122" s="35">
        <v>180409</v>
      </c>
      <c r="D122" s="51">
        <v>181023</v>
      </c>
      <c r="E122" s="51">
        <f t="shared" si="99"/>
        <v>614</v>
      </c>
      <c r="F122" s="120">
        <v>70</v>
      </c>
      <c r="G122" s="13">
        <f t="shared" si="100"/>
        <v>11.400651465798045</v>
      </c>
      <c r="H122" s="38">
        <v>24073</v>
      </c>
      <c r="I122" s="38">
        <v>24628</v>
      </c>
      <c r="J122" s="35">
        <f t="shared" si="101"/>
        <v>555</v>
      </c>
      <c r="K122" s="50">
        <f t="shared" si="102"/>
        <v>70</v>
      </c>
      <c r="L122" s="46">
        <f t="shared" si="103"/>
        <v>12.612612612612612</v>
      </c>
      <c r="M122" s="48">
        <v>27220</v>
      </c>
      <c r="N122" s="121">
        <f t="shared" si="104"/>
        <v>1905400</v>
      </c>
      <c r="R122" s="76">
        <f t="shared" si="55"/>
        <v>0</v>
      </c>
    </row>
    <row r="123" spans="1:18" ht="16">
      <c r="A123" s="118">
        <v>46172</v>
      </c>
      <c r="B123" s="119" t="s">
        <v>41</v>
      </c>
      <c r="C123" s="51">
        <v>181023</v>
      </c>
      <c r="D123" s="51">
        <v>182290</v>
      </c>
      <c r="E123" s="51">
        <f t="shared" si="99"/>
        <v>1267</v>
      </c>
      <c r="F123" s="120">
        <v>66</v>
      </c>
      <c r="G123" s="13">
        <f t="shared" si="100"/>
        <v>5.2091554853985791</v>
      </c>
      <c r="H123" s="38">
        <v>24628</v>
      </c>
      <c r="I123" s="35">
        <v>25936</v>
      </c>
      <c r="J123" s="35">
        <f t="shared" si="101"/>
        <v>1308</v>
      </c>
      <c r="K123" s="50">
        <f t="shared" si="102"/>
        <v>66</v>
      </c>
      <c r="L123" s="46">
        <f t="shared" si="103"/>
        <v>5.0458715596330279</v>
      </c>
      <c r="M123" s="48">
        <v>27650</v>
      </c>
      <c r="N123" s="121">
        <f t="shared" si="104"/>
        <v>1824900</v>
      </c>
      <c r="R123" s="76">
        <f t="shared" si="55"/>
        <v>0</v>
      </c>
    </row>
    <row r="124" spans="1:18" ht="16">
      <c r="A124" s="33">
        <v>46166</v>
      </c>
      <c r="B124" s="44" t="s">
        <v>41</v>
      </c>
      <c r="C124" s="51"/>
      <c r="D124" s="35"/>
      <c r="E124" s="11">
        <f t="shared" si="99"/>
        <v>0</v>
      </c>
      <c r="F124" s="45">
        <v>67</v>
      </c>
      <c r="G124" s="13" t="e">
        <f t="shared" si="100"/>
        <v>#DIV/0!</v>
      </c>
      <c r="H124" s="35"/>
      <c r="I124" s="38"/>
      <c r="J124" s="35">
        <f t="shared" si="101"/>
        <v>0</v>
      </c>
      <c r="K124" s="50">
        <f t="shared" si="102"/>
        <v>67</v>
      </c>
      <c r="L124" s="46" t="e">
        <f t="shared" si="103"/>
        <v>#DIV/0!</v>
      </c>
      <c r="M124" s="48">
        <v>28760</v>
      </c>
      <c r="N124" s="121">
        <f t="shared" si="104"/>
        <v>1926920</v>
      </c>
      <c r="R124" s="76">
        <f t="shared" si="55"/>
        <v>0</v>
      </c>
    </row>
    <row r="125" spans="1:18" ht="16">
      <c r="A125" s="33"/>
      <c r="B125" s="49" t="s">
        <v>41</v>
      </c>
      <c r="C125" s="35"/>
      <c r="D125" s="50"/>
      <c r="E125" s="11">
        <f t="shared" si="99"/>
        <v>0</v>
      </c>
      <c r="F125" s="45"/>
      <c r="G125" s="13" t="e">
        <f t="shared" si="100"/>
        <v>#DIV/0!</v>
      </c>
      <c r="H125" s="38"/>
      <c r="I125" s="38"/>
      <c r="J125" s="35">
        <f t="shared" si="101"/>
        <v>0</v>
      </c>
      <c r="K125" s="50">
        <f t="shared" si="102"/>
        <v>0</v>
      </c>
      <c r="L125" s="46" t="e">
        <f t="shared" si="103"/>
        <v>#DIV/0!</v>
      </c>
      <c r="M125" s="48"/>
      <c r="N125" s="121">
        <f t="shared" si="104"/>
        <v>0</v>
      </c>
      <c r="R125" s="76">
        <f t="shared" si="55"/>
        <v>0</v>
      </c>
    </row>
    <row r="126" spans="1:18" ht="16">
      <c r="A126" s="122"/>
      <c r="B126" s="44" t="s">
        <v>41</v>
      </c>
      <c r="C126" s="35"/>
      <c r="D126" s="35"/>
      <c r="E126" s="11">
        <f t="shared" si="99"/>
        <v>0</v>
      </c>
      <c r="F126" s="45"/>
      <c r="G126" s="13" t="e">
        <f t="shared" si="100"/>
        <v>#DIV/0!</v>
      </c>
      <c r="H126" s="35"/>
      <c r="I126" s="38"/>
      <c r="J126" s="35">
        <f t="shared" si="101"/>
        <v>0</v>
      </c>
      <c r="K126" s="50">
        <f t="shared" si="102"/>
        <v>0</v>
      </c>
      <c r="L126" s="46" t="e">
        <f t="shared" si="103"/>
        <v>#DIV/0!</v>
      </c>
      <c r="M126" s="48"/>
      <c r="N126" s="121">
        <f t="shared" si="104"/>
        <v>0</v>
      </c>
      <c r="R126" s="76">
        <f t="shared" si="55"/>
        <v>0</v>
      </c>
    </row>
    <row r="127" spans="1:18" ht="16">
      <c r="A127" s="87"/>
      <c r="B127" s="44" t="s">
        <v>41</v>
      </c>
      <c r="C127" s="53"/>
      <c r="D127" s="53"/>
      <c r="E127" s="24">
        <f t="shared" si="99"/>
        <v>0</v>
      </c>
      <c r="F127" s="45"/>
      <c r="G127" s="54" t="e">
        <f t="shared" si="100"/>
        <v>#DIV/0!</v>
      </c>
      <c r="H127" s="53"/>
      <c r="I127" s="55"/>
      <c r="J127" s="53">
        <f t="shared" si="101"/>
        <v>0</v>
      </c>
      <c r="K127" s="50">
        <f t="shared" si="102"/>
        <v>0</v>
      </c>
      <c r="L127" s="73" t="e">
        <f t="shared" si="103"/>
        <v>#DIV/0!</v>
      </c>
      <c r="M127" s="56"/>
      <c r="N127" s="123">
        <f t="shared" si="104"/>
        <v>0</v>
      </c>
      <c r="R127" s="76">
        <f t="shared" si="55"/>
        <v>0</v>
      </c>
    </row>
    <row r="128" spans="1:18" ht="16">
      <c r="A128" s="59"/>
      <c r="B128" s="60"/>
      <c r="C128" s="59"/>
      <c r="D128" s="59" t="s">
        <v>19</v>
      </c>
      <c r="E128" s="59">
        <f>SUM(E121:E127)</f>
        <v>2427</v>
      </c>
      <c r="F128" s="59">
        <f>SUM(F120:F127)</f>
        <v>272</v>
      </c>
      <c r="G128" s="61" t="e">
        <f>AVERAGE(G121:G127)</f>
        <v>#DIV/0!</v>
      </c>
      <c r="H128" s="59"/>
      <c r="I128" s="62"/>
      <c r="J128" s="59">
        <f t="shared" ref="J128:K128" si="105">SUM(J121:J127)</f>
        <v>2450</v>
      </c>
      <c r="K128" s="59">
        <f t="shared" si="105"/>
        <v>272</v>
      </c>
      <c r="L128" s="61" t="e">
        <f>AVERAGE(L121:L127)</f>
        <v>#DIV/0!</v>
      </c>
      <c r="M128" s="64"/>
      <c r="N128" s="65">
        <f>SUM(N121:N127)</f>
        <v>7554030</v>
      </c>
      <c r="R128" s="76">
        <f t="shared" si="55"/>
        <v>0</v>
      </c>
    </row>
    <row r="129" spans="1:18" ht="16">
      <c r="A129" s="66">
        <v>46149</v>
      </c>
      <c r="B129" s="90" t="s">
        <v>42</v>
      </c>
      <c r="C129" s="35">
        <v>149384</v>
      </c>
      <c r="D129" s="35">
        <v>149981</v>
      </c>
      <c r="E129" s="36">
        <f t="shared" ref="E129:E135" si="106">D129-C129</f>
        <v>597</v>
      </c>
      <c r="F129" s="37">
        <v>65</v>
      </c>
      <c r="G129" s="13">
        <f t="shared" ref="G129:G135" si="107">(F129/E129)*100</f>
        <v>10.887772194304858</v>
      </c>
      <c r="H129" s="35"/>
      <c r="I129" s="38"/>
      <c r="J129" s="39">
        <f t="shared" ref="J129:J135" si="108">I129-H129</f>
        <v>0</v>
      </c>
      <c r="K129" s="77">
        <f t="shared" ref="K129:K135" si="109">F129</f>
        <v>65</v>
      </c>
      <c r="L129" s="67" t="e">
        <f t="shared" ref="L129:L135" si="110">(K129/J129)*100</f>
        <v>#DIV/0!</v>
      </c>
      <c r="M129" s="41">
        <v>28170</v>
      </c>
      <c r="N129" s="42">
        <f t="shared" ref="N129:N135" si="111">F129*M129</f>
        <v>1831050</v>
      </c>
    </row>
    <row r="130" spans="1:18" ht="16">
      <c r="A130" s="118">
        <v>46163</v>
      </c>
      <c r="B130" s="90" t="s">
        <v>42</v>
      </c>
      <c r="C130" s="35">
        <v>149981</v>
      </c>
      <c r="D130" s="51">
        <v>151062</v>
      </c>
      <c r="E130" s="51">
        <f t="shared" si="106"/>
        <v>1081</v>
      </c>
      <c r="F130" s="120">
        <v>53</v>
      </c>
      <c r="G130" s="13">
        <f t="shared" si="107"/>
        <v>4.9028677150786306</v>
      </c>
      <c r="H130" s="38"/>
      <c r="I130" s="38"/>
      <c r="J130" s="35">
        <f t="shared" si="108"/>
        <v>0</v>
      </c>
      <c r="K130" s="50">
        <f t="shared" si="109"/>
        <v>53</v>
      </c>
      <c r="L130" s="46" t="e">
        <f t="shared" si="110"/>
        <v>#DIV/0!</v>
      </c>
      <c r="M130" s="48">
        <v>27220</v>
      </c>
      <c r="N130" s="121">
        <f t="shared" si="111"/>
        <v>1442660</v>
      </c>
    </row>
    <row r="131" spans="1:18" ht="16">
      <c r="A131" s="118">
        <v>46157</v>
      </c>
      <c r="B131" s="90" t="s">
        <v>42</v>
      </c>
      <c r="C131" s="51"/>
      <c r="D131" s="51"/>
      <c r="E131" s="51">
        <f t="shared" si="106"/>
        <v>0</v>
      </c>
      <c r="F131" s="120">
        <v>72</v>
      </c>
      <c r="G131" s="13" t="e">
        <f t="shared" si="107"/>
        <v>#DIV/0!</v>
      </c>
      <c r="H131" s="38"/>
      <c r="I131" s="35"/>
      <c r="J131" s="35">
        <f t="shared" si="108"/>
        <v>0</v>
      </c>
      <c r="K131" s="50">
        <f t="shared" si="109"/>
        <v>72</v>
      </c>
      <c r="L131" s="46" t="e">
        <f t="shared" si="110"/>
        <v>#DIV/0!</v>
      </c>
      <c r="M131" s="48">
        <v>27220</v>
      </c>
      <c r="N131" s="121">
        <f t="shared" si="111"/>
        <v>1959840</v>
      </c>
    </row>
    <row r="132" spans="1:18" ht="16">
      <c r="A132" s="33">
        <v>46170</v>
      </c>
      <c r="B132" s="90" t="s">
        <v>42</v>
      </c>
      <c r="C132" s="51"/>
      <c r="D132" s="35"/>
      <c r="E132" s="11">
        <f t="shared" si="106"/>
        <v>0</v>
      </c>
      <c r="F132" s="45">
        <v>65</v>
      </c>
      <c r="G132" s="13" t="e">
        <f t="shared" si="107"/>
        <v>#DIV/0!</v>
      </c>
      <c r="H132" s="35"/>
      <c r="I132" s="38"/>
      <c r="J132" s="35">
        <f t="shared" si="108"/>
        <v>0</v>
      </c>
      <c r="K132" s="50">
        <f t="shared" si="109"/>
        <v>65</v>
      </c>
      <c r="L132" s="46" t="e">
        <f t="shared" si="110"/>
        <v>#DIV/0!</v>
      </c>
      <c r="M132" s="48">
        <v>27650</v>
      </c>
      <c r="N132" s="121">
        <f t="shared" si="111"/>
        <v>1797250</v>
      </c>
    </row>
    <row r="133" spans="1:18" ht="16">
      <c r="A133" s="124"/>
      <c r="B133" s="90" t="s">
        <v>42</v>
      </c>
      <c r="C133" s="50"/>
      <c r="D133" s="50"/>
      <c r="E133" s="11">
        <f t="shared" si="106"/>
        <v>0</v>
      </c>
      <c r="F133" s="45"/>
      <c r="G133" s="13" t="e">
        <f t="shared" si="107"/>
        <v>#DIV/0!</v>
      </c>
      <c r="H133" s="35"/>
      <c r="I133" s="38"/>
      <c r="J133" s="35">
        <f t="shared" si="108"/>
        <v>0</v>
      </c>
      <c r="K133" s="50">
        <f t="shared" si="109"/>
        <v>0</v>
      </c>
      <c r="L133" s="46" t="e">
        <f t="shared" si="110"/>
        <v>#DIV/0!</v>
      </c>
      <c r="M133" s="48"/>
      <c r="N133" s="121">
        <f t="shared" si="111"/>
        <v>0</v>
      </c>
    </row>
    <row r="134" spans="1:18" ht="16">
      <c r="A134" s="122"/>
      <c r="B134" s="90" t="s">
        <v>42</v>
      </c>
      <c r="C134" s="35"/>
      <c r="D134" s="35"/>
      <c r="E134" s="11">
        <f t="shared" si="106"/>
        <v>0</v>
      </c>
      <c r="F134" s="45"/>
      <c r="G134" s="13" t="e">
        <f t="shared" si="107"/>
        <v>#DIV/0!</v>
      </c>
      <c r="H134" s="35"/>
      <c r="I134" s="38"/>
      <c r="J134" s="35">
        <f t="shared" si="108"/>
        <v>0</v>
      </c>
      <c r="K134" s="50">
        <f t="shared" si="109"/>
        <v>0</v>
      </c>
      <c r="L134" s="46" t="e">
        <f t="shared" si="110"/>
        <v>#DIV/0!</v>
      </c>
      <c r="M134" s="48"/>
      <c r="N134" s="121">
        <f t="shared" si="111"/>
        <v>0</v>
      </c>
    </row>
    <row r="135" spans="1:18" ht="16">
      <c r="A135" s="87"/>
      <c r="B135" s="90" t="s">
        <v>42</v>
      </c>
      <c r="C135" s="53"/>
      <c r="D135" s="53"/>
      <c r="E135" s="24">
        <f t="shared" si="106"/>
        <v>0</v>
      </c>
      <c r="F135" s="45"/>
      <c r="G135" s="54" t="e">
        <f t="shared" si="107"/>
        <v>#DIV/0!</v>
      </c>
      <c r="H135" s="53"/>
      <c r="I135" s="55"/>
      <c r="J135" s="53">
        <f t="shared" si="108"/>
        <v>0</v>
      </c>
      <c r="K135" s="50">
        <f t="shared" si="109"/>
        <v>0</v>
      </c>
      <c r="L135" s="73" t="e">
        <f t="shared" si="110"/>
        <v>#DIV/0!</v>
      </c>
      <c r="M135" s="56"/>
      <c r="N135" s="123">
        <f t="shared" si="111"/>
        <v>0</v>
      </c>
    </row>
    <row r="136" spans="1:18" ht="16">
      <c r="A136" s="59"/>
      <c r="B136" s="60"/>
      <c r="C136" s="59"/>
      <c r="D136" s="59" t="s">
        <v>19</v>
      </c>
      <c r="E136" s="59">
        <f>SUM(E129:E135)</f>
        <v>1678</v>
      </c>
      <c r="F136" s="59">
        <f>SUM(F128:F135)</f>
        <v>527</v>
      </c>
      <c r="G136" s="61" t="e">
        <f>AVERAGE(G129:G135)</f>
        <v>#DIV/0!</v>
      </c>
      <c r="H136" s="59"/>
      <c r="I136" s="62"/>
      <c r="J136" s="59">
        <f t="shared" ref="J136:K136" si="112">SUM(J129:J135)</f>
        <v>0</v>
      </c>
      <c r="K136" s="59">
        <f t="shared" si="112"/>
        <v>255</v>
      </c>
      <c r="L136" s="61" t="e">
        <f>AVERAGE(L129:L135)</f>
        <v>#DIV/0!</v>
      </c>
      <c r="M136" s="64"/>
      <c r="N136" s="65">
        <f>SUM(N129:N135)</f>
        <v>7030800</v>
      </c>
    </row>
    <row r="137" spans="1:18" ht="16">
      <c r="A137" s="66">
        <v>46151</v>
      </c>
      <c r="B137" s="90" t="s">
        <v>27</v>
      </c>
      <c r="C137" s="83"/>
      <c r="D137" s="12"/>
      <c r="E137" s="36">
        <f t="shared" ref="E137:E147" si="113">D137-C137</f>
        <v>0</v>
      </c>
      <c r="F137" s="37">
        <v>63</v>
      </c>
      <c r="G137" s="13" t="e">
        <f t="shared" ref="G137:G147" si="114">(F137/E137)*100</f>
        <v>#DIV/0!</v>
      </c>
      <c r="H137" s="125"/>
      <c r="I137" s="126"/>
      <c r="J137" s="39">
        <f t="shared" ref="J137:J147" si="115">I137-H137</f>
        <v>0</v>
      </c>
      <c r="K137" s="50">
        <f t="shared" ref="K137:K141" si="116">F137</f>
        <v>63</v>
      </c>
      <c r="L137" s="67" t="e">
        <f t="shared" ref="L137:L147" si="117">(K137/J137)*100</f>
        <v>#DIV/0!</v>
      </c>
      <c r="M137" s="68">
        <v>27490</v>
      </c>
      <c r="N137" s="121">
        <f t="shared" ref="N137:N142" si="118">F137*M137</f>
        <v>1731870</v>
      </c>
      <c r="R137" s="76">
        <f t="shared" ref="R137:R144" si="119">Q137</f>
        <v>0</v>
      </c>
    </row>
    <row r="138" spans="1:18" ht="16">
      <c r="A138" s="33">
        <v>46155</v>
      </c>
      <c r="B138" s="44" t="s">
        <v>27</v>
      </c>
      <c r="C138" s="35"/>
      <c r="D138" s="12"/>
      <c r="E138" s="11">
        <f t="shared" si="113"/>
        <v>0</v>
      </c>
      <c r="F138" s="45">
        <v>56</v>
      </c>
      <c r="G138" s="13" t="e">
        <f t="shared" si="114"/>
        <v>#DIV/0!</v>
      </c>
      <c r="H138" s="38"/>
      <c r="I138" s="38"/>
      <c r="J138" s="35">
        <f t="shared" si="115"/>
        <v>0</v>
      </c>
      <c r="K138" s="50">
        <f t="shared" si="116"/>
        <v>56</v>
      </c>
      <c r="L138" s="46" t="e">
        <f t="shared" si="117"/>
        <v>#DIV/0!</v>
      </c>
      <c r="M138" s="48">
        <v>27490</v>
      </c>
      <c r="N138" s="121">
        <f t="shared" si="118"/>
        <v>1539440</v>
      </c>
      <c r="R138" s="76">
        <f t="shared" si="119"/>
        <v>0</v>
      </c>
    </row>
    <row r="139" spans="1:18" ht="16">
      <c r="A139" s="33">
        <v>46160</v>
      </c>
      <c r="B139" s="44" t="s">
        <v>27</v>
      </c>
      <c r="C139" s="35"/>
      <c r="D139" s="35"/>
      <c r="E139" s="11">
        <f t="shared" si="113"/>
        <v>0</v>
      </c>
      <c r="F139" s="45">
        <v>63</v>
      </c>
      <c r="G139" s="13" t="e">
        <f t="shared" si="114"/>
        <v>#DIV/0!</v>
      </c>
      <c r="H139" s="35"/>
      <c r="I139" s="38"/>
      <c r="J139" s="35">
        <f t="shared" si="115"/>
        <v>0</v>
      </c>
      <c r="K139" s="50">
        <f t="shared" si="116"/>
        <v>63</v>
      </c>
      <c r="L139" s="46" t="e">
        <f t="shared" si="117"/>
        <v>#DIV/0!</v>
      </c>
      <c r="M139" s="48">
        <v>27220</v>
      </c>
      <c r="N139" s="121">
        <f t="shared" si="118"/>
        <v>1714860</v>
      </c>
      <c r="R139" s="76">
        <f t="shared" si="119"/>
        <v>0</v>
      </c>
    </row>
    <row r="140" spans="1:18" ht="16">
      <c r="A140" s="33">
        <v>46163</v>
      </c>
      <c r="B140" s="44" t="s">
        <v>27</v>
      </c>
      <c r="C140" s="35"/>
      <c r="D140" s="35"/>
      <c r="E140" s="11">
        <f t="shared" si="113"/>
        <v>0</v>
      </c>
      <c r="F140" s="45">
        <v>65</v>
      </c>
      <c r="G140" s="13" t="e">
        <f t="shared" si="114"/>
        <v>#DIV/0!</v>
      </c>
      <c r="H140" s="35"/>
      <c r="I140" s="38"/>
      <c r="J140" s="35">
        <f t="shared" si="115"/>
        <v>0</v>
      </c>
      <c r="K140" s="50">
        <f t="shared" si="116"/>
        <v>65</v>
      </c>
      <c r="L140" s="46" t="e">
        <f t="shared" si="117"/>
        <v>#DIV/0!</v>
      </c>
      <c r="M140" s="48">
        <v>28760</v>
      </c>
      <c r="N140" s="121">
        <f t="shared" si="118"/>
        <v>1869400</v>
      </c>
      <c r="R140" s="76">
        <f t="shared" si="119"/>
        <v>0</v>
      </c>
    </row>
    <row r="141" spans="1:18" ht="16">
      <c r="A141" s="33">
        <v>46169</v>
      </c>
      <c r="B141" s="44" t="s">
        <v>27</v>
      </c>
      <c r="C141" s="35"/>
      <c r="D141" s="35"/>
      <c r="E141" s="11">
        <f t="shared" si="113"/>
        <v>0</v>
      </c>
      <c r="F141" s="45">
        <v>60</v>
      </c>
      <c r="G141" s="13" t="e">
        <f t="shared" si="114"/>
        <v>#DIV/0!</v>
      </c>
      <c r="H141" s="35"/>
      <c r="I141" s="38"/>
      <c r="J141" s="35">
        <f t="shared" si="115"/>
        <v>0</v>
      </c>
      <c r="K141" s="50">
        <f t="shared" si="116"/>
        <v>60</v>
      </c>
      <c r="L141" s="46" t="e">
        <f t="shared" si="117"/>
        <v>#DIV/0!</v>
      </c>
      <c r="M141" s="48">
        <v>28760</v>
      </c>
      <c r="N141" s="121">
        <f t="shared" si="118"/>
        <v>1725600</v>
      </c>
      <c r="R141" s="76">
        <f t="shared" si="119"/>
        <v>0</v>
      </c>
    </row>
    <row r="142" spans="1:18" ht="16">
      <c r="A142" s="33">
        <v>46173</v>
      </c>
      <c r="B142" s="44" t="s">
        <v>27</v>
      </c>
      <c r="C142" s="35"/>
      <c r="D142" s="35"/>
      <c r="E142" s="11">
        <f t="shared" si="113"/>
        <v>0</v>
      </c>
      <c r="F142" s="45">
        <v>20</v>
      </c>
      <c r="G142" s="13" t="e">
        <f t="shared" si="114"/>
        <v>#DIV/0!</v>
      </c>
      <c r="H142" s="35"/>
      <c r="I142" s="38"/>
      <c r="J142" s="35">
        <f t="shared" si="115"/>
        <v>0</v>
      </c>
      <c r="K142" s="50"/>
      <c r="L142" s="46" t="e">
        <f t="shared" si="117"/>
        <v>#DIV/0!</v>
      </c>
      <c r="M142" s="48">
        <v>27650</v>
      </c>
      <c r="N142" s="121">
        <f t="shared" si="118"/>
        <v>553000</v>
      </c>
      <c r="R142" s="76">
        <f t="shared" si="119"/>
        <v>0</v>
      </c>
    </row>
    <row r="143" spans="1:18" ht="16">
      <c r="A143" s="7"/>
      <c r="B143" s="8" t="s">
        <v>27</v>
      </c>
      <c r="C143" s="12"/>
      <c r="D143" s="12"/>
      <c r="E143" s="11">
        <f t="shared" si="113"/>
        <v>0</v>
      </c>
      <c r="F143" s="12"/>
      <c r="G143" s="13" t="e">
        <f t="shared" si="114"/>
        <v>#DIV/0!</v>
      </c>
      <c r="H143" s="12"/>
      <c r="I143" s="15"/>
      <c r="J143" s="12">
        <f t="shared" si="115"/>
        <v>0</v>
      </c>
      <c r="K143" s="10"/>
      <c r="L143" s="16" t="e">
        <f t="shared" si="117"/>
        <v>#DIV/0!</v>
      </c>
      <c r="M143" s="17"/>
      <c r="N143" s="17"/>
      <c r="R143" s="76">
        <f t="shared" si="119"/>
        <v>0</v>
      </c>
    </row>
    <row r="144" spans="1:18" ht="16">
      <c r="A144" s="7"/>
      <c r="B144" s="8" t="s">
        <v>27</v>
      </c>
      <c r="C144" s="12"/>
      <c r="D144" s="12"/>
      <c r="E144" s="11">
        <f t="shared" si="113"/>
        <v>0</v>
      </c>
      <c r="F144" s="12"/>
      <c r="G144" s="13" t="e">
        <f t="shared" si="114"/>
        <v>#DIV/0!</v>
      </c>
      <c r="H144" s="12"/>
      <c r="I144" s="15"/>
      <c r="J144" s="12">
        <f t="shared" si="115"/>
        <v>0</v>
      </c>
      <c r="K144" s="10"/>
      <c r="L144" s="16" t="e">
        <f t="shared" si="117"/>
        <v>#DIV/0!</v>
      </c>
      <c r="M144" s="17"/>
      <c r="N144" s="17"/>
      <c r="R144" s="76">
        <f t="shared" si="119"/>
        <v>0</v>
      </c>
    </row>
    <row r="145" spans="1:18" ht="16">
      <c r="A145" s="7"/>
      <c r="B145" s="8" t="s">
        <v>27</v>
      </c>
      <c r="C145" s="12"/>
      <c r="D145" s="12"/>
      <c r="E145" s="11">
        <f t="shared" si="113"/>
        <v>0</v>
      </c>
      <c r="F145" s="12"/>
      <c r="G145" s="13" t="e">
        <f t="shared" si="114"/>
        <v>#DIV/0!</v>
      </c>
      <c r="H145" s="12"/>
      <c r="I145" s="15"/>
      <c r="J145" s="12">
        <f t="shared" si="115"/>
        <v>0</v>
      </c>
      <c r="K145" s="10"/>
      <c r="L145" s="16" t="e">
        <f t="shared" si="117"/>
        <v>#DIV/0!</v>
      </c>
      <c r="M145" s="17"/>
      <c r="N145" s="17"/>
    </row>
    <row r="146" spans="1:18" ht="16">
      <c r="A146" s="7"/>
      <c r="B146" s="8" t="s">
        <v>27</v>
      </c>
      <c r="C146" s="12"/>
      <c r="D146" s="12"/>
      <c r="E146" s="11">
        <f t="shared" si="113"/>
        <v>0</v>
      </c>
      <c r="F146" s="12"/>
      <c r="G146" s="13" t="e">
        <f t="shared" si="114"/>
        <v>#DIV/0!</v>
      </c>
      <c r="H146" s="12"/>
      <c r="I146" s="15"/>
      <c r="J146" s="12">
        <f t="shared" si="115"/>
        <v>0</v>
      </c>
      <c r="K146" s="10"/>
      <c r="L146" s="16" t="e">
        <f t="shared" si="117"/>
        <v>#DIV/0!</v>
      </c>
      <c r="M146" s="17"/>
      <c r="N146" s="17"/>
    </row>
    <row r="147" spans="1:18" ht="16">
      <c r="A147" s="7"/>
      <c r="B147" s="8" t="s">
        <v>27</v>
      </c>
      <c r="C147" s="12"/>
      <c r="D147" s="12"/>
      <c r="E147" s="11">
        <f t="shared" si="113"/>
        <v>0</v>
      </c>
      <c r="F147" s="12"/>
      <c r="G147" s="13" t="e">
        <f t="shared" si="114"/>
        <v>#DIV/0!</v>
      </c>
      <c r="H147" s="12"/>
      <c r="I147" s="15"/>
      <c r="J147" s="12">
        <f t="shared" si="115"/>
        <v>0</v>
      </c>
      <c r="K147" s="10"/>
      <c r="L147" s="16" t="e">
        <f t="shared" si="117"/>
        <v>#DIV/0!</v>
      </c>
      <c r="M147" s="17"/>
      <c r="N147" s="17"/>
    </row>
    <row r="148" spans="1:18" ht="16">
      <c r="A148" s="63"/>
      <c r="B148" s="127"/>
      <c r="C148" s="63"/>
      <c r="D148" s="63" t="s">
        <v>19</v>
      </c>
      <c r="E148" s="63">
        <f t="shared" ref="E148:F148" si="120">SUM(E137:E144)</f>
        <v>0</v>
      </c>
      <c r="F148" s="63">
        <f t="shared" si="120"/>
        <v>327</v>
      </c>
      <c r="G148" s="128" t="e">
        <f>AVERAGE(G137:G144)</f>
        <v>#DIV/0!</v>
      </c>
      <c r="H148" s="63"/>
      <c r="I148" s="129"/>
      <c r="J148" s="63">
        <f t="shared" ref="J148:K148" si="121">SUM(J137:J144)</f>
        <v>0</v>
      </c>
      <c r="K148" s="63">
        <f t="shared" si="121"/>
        <v>307</v>
      </c>
      <c r="L148" s="128" t="e">
        <f>AVERAGE(L137:L144)</f>
        <v>#DIV/0!</v>
      </c>
      <c r="M148" s="130"/>
      <c r="N148" s="131">
        <f>SUM(N137:N147)</f>
        <v>9134170</v>
      </c>
      <c r="R148" s="76">
        <f t="shared" ref="R148:R175" si="122">Q148</f>
        <v>0</v>
      </c>
    </row>
    <row r="149" spans="1:18" ht="16">
      <c r="A149" s="66">
        <v>46152</v>
      </c>
      <c r="B149" s="90" t="s">
        <v>28</v>
      </c>
      <c r="C149" s="83"/>
      <c r="D149" s="12"/>
      <c r="E149" s="36">
        <f t="shared" ref="E149:E156" si="123">D149-C149</f>
        <v>0</v>
      </c>
      <c r="F149" s="37">
        <v>70</v>
      </c>
      <c r="G149" s="13" t="e">
        <f t="shared" ref="G149:G156" si="124">(F149/E149)*100</f>
        <v>#DIV/0!</v>
      </c>
      <c r="H149" s="125"/>
      <c r="I149" s="126"/>
      <c r="J149" s="39">
        <f t="shared" ref="J149:J156" si="125">I149-H149</f>
        <v>0</v>
      </c>
      <c r="K149" s="77">
        <v>70</v>
      </c>
      <c r="L149" s="67" t="e">
        <f t="shared" ref="L149:L156" si="126">(K149/J149)*100</f>
        <v>#DIV/0!</v>
      </c>
      <c r="M149" s="68">
        <v>27490</v>
      </c>
      <c r="N149" s="47">
        <f t="shared" ref="N149:N154" si="127">M149*K149</f>
        <v>1924300</v>
      </c>
      <c r="R149" s="76">
        <f t="shared" si="122"/>
        <v>0</v>
      </c>
    </row>
    <row r="150" spans="1:18" ht="16">
      <c r="A150" s="33">
        <v>46161</v>
      </c>
      <c r="B150" s="90" t="s">
        <v>28</v>
      </c>
      <c r="C150" s="35"/>
      <c r="D150" s="12"/>
      <c r="E150" s="11">
        <f t="shared" si="123"/>
        <v>0</v>
      </c>
      <c r="F150" s="45">
        <v>65</v>
      </c>
      <c r="G150" s="13" t="e">
        <f t="shared" si="124"/>
        <v>#DIV/0!</v>
      </c>
      <c r="H150" s="38"/>
      <c r="I150" s="38"/>
      <c r="J150" s="35">
        <f t="shared" si="125"/>
        <v>0</v>
      </c>
      <c r="K150" s="45">
        <v>65</v>
      </c>
      <c r="L150" s="67" t="e">
        <f t="shared" si="126"/>
        <v>#DIV/0!</v>
      </c>
      <c r="M150" s="48">
        <v>27220</v>
      </c>
      <c r="N150" s="47">
        <f t="shared" si="127"/>
        <v>1769300</v>
      </c>
      <c r="R150" s="76">
        <f t="shared" si="122"/>
        <v>0</v>
      </c>
    </row>
    <row r="151" spans="1:18" ht="16">
      <c r="A151" s="33">
        <v>46171</v>
      </c>
      <c r="B151" s="90" t="s">
        <v>28</v>
      </c>
      <c r="C151" s="35"/>
      <c r="D151" s="35"/>
      <c r="E151" s="11">
        <f t="shared" si="123"/>
        <v>0</v>
      </c>
      <c r="F151" s="45">
        <v>60</v>
      </c>
      <c r="G151" s="13" t="e">
        <f t="shared" si="124"/>
        <v>#DIV/0!</v>
      </c>
      <c r="H151" s="35"/>
      <c r="I151" s="38"/>
      <c r="J151" s="35">
        <f t="shared" si="125"/>
        <v>0</v>
      </c>
      <c r="K151" s="45">
        <v>60</v>
      </c>
      <c r="L151" s="46" t="e">
        <f t="shared" si="126"/>
        <v>#DIV/0!</v>
      </c>
      <c r="M151" s="48">
        <v>27650</v>
      </c>
      <c r="N151" s="47">
        <f t="shared" si="127"/>
        <v>1659000</v>
      </c>
      <c r="R151" s="76">
        <f t="shared" si="122"/>
        <v>0</v>
      </c>
    </row>
    <row r="152" spans="1:18" ht="16">
      <c r="A152" s="33"/>
      <c r="B152" s="90" t="s">
        <v>28</v>
      </c>
      <c r="C152" s="35"/>
      <c r="D152" s="35"/>
      <c r="E152" s="11">
        <f t="shared" si="123"/>
        <v>0</v>
      </c>
      <c r="F152" s="45"/>
      <c r="G152" s="13" t="e">
        <f t="shared" si="124"/>
        <v>#DIV/0!</v>
      </c>
      <c r="H152" s="35"/>
      <c r="I152" s="38"/>
      <c r="J152" s="35">
        <f t="shared" si="125"/>
        <v>0</v>
      </c>
      <c r="K152" s="50"/>
      <c r="L152" s="46" t="e">
        <f t="shared" si="126"/>
        <v>#DIV/0!</v>
      </c>
      <c r="M152" s="48"/>
      <c r="N152" s="47">
        <f t="shared" si="127"/>
        <v>0</v>
      </c>
      <c r="R152" s="76">
        <f t="shared" si="122"/>
        <v>0</v>
      </c>
    </row>
    <row r="153" spans="1:18" ht="16">
      <c r="A153" s="33"/>
      <c r="B153" s="90" t="s">
        <v>28</v>
      </c>
      <c r="C153" s="35"/>
      <c r="D153" s="35"/>
      <c r="E153" s="11">
        <f t="shared" si="123"/>
        <v>0</v>
      </c>
      <c r="F153" s="45"/>
      <c r="G153" s="13" t="e">
        <f t="shared" si="124"/>
        <v>#DIV/0!</v>
      </c>
      <c r="H153" s="35"/>
      <c r="I153" s="38"/>
      <c r="J153" s="35">
        <f t="shared" si="125"/>
        <v>0</v>
      </c>
      <c r="K153" s="50"/>
      <c r="L153" s="46" t="e">
        <f t="shared" si="126"/>
        <v>#DIV/0!</v>
      </c>
      <c r="M153" s="48"/>
      <c r="N153" s="47">
        <f t="shared" si="127"/>
        <v>0</v>
      </c>
      <c r="R153" s="76">
        <f t="shared" si="122"/>
        <v>0</v>
      </c>
    </row>
    <row r="154" spans="1:18" ht="16">
      <c r="A154" s="33"/>
      <c r="B154" s="90" t="s">
        <v>28</v>
      </c>
      <c r="C154" s="35"/>
      <c r="D154" s="35"/>
      <c r="E154" s="11">
        <f t="shared" si="123"/>
        <v>0</v>
      </c>
      <c r="F154" s="45"/>
      <c r="G154" s="13" t="e">
        <f t="shared" si="124"/>
        <v>#DIV/0!</v>
      </c>
      <c r="H154" s="35"/>
      <c r="I154" s="38"/>
      <c r="J154" s="35">
        <f t="shared" si="125"/>
        <v>0</v>
      </c>
      <c r="K154" s="50"/>
      <c r="L154" s="46" t="e">
        <f t="shared" si="126"/>
        <v>#DIV/0!</v>
      </c>
      <c r="M154" s="48"/>
      <c r="N154" s="47">
        <f t="shared" si="127"/>
        <v>0</v>
      </c>
      <c r="R154" s="76">
        <f t="shared" si="122"/>
        <v>0</v>
      </c>
    </row>
    <row r="155" spans="1:18" ht="16">
      <c r="A155" s="33"/>
      <c r="B155" s="90" t="s">
        <v>28</v>
      </c>
      <c r="C155" s="35"/>
      <c r="D155" s="35"/>
      <c r="E155" s="11">
        <f t="shared" si="123"/>
        <v>0</v>
      </c>
      <c r="F155" s="45"/>
      <c r="G155" s="13" t="e">
        <f t="shared" si="124"/>
        <v>#DIV/0!</v>
      </c>
      <c r="H155" s="35"/>
      <c r="I155" s="38"/>
      <c r="J155" s="35">
        <f t="shared" si="125"/>
        <v>0</v>
      </c>
      <c r="K155" s="50">
        <f t="shared" ref="K155:K156" si="128">F155</f>
        <v>0</v>
      </c>
      <c r="L155" s="46" t="e">
        <f t="shared" si="126"/>
        <v>#DIV/0!</v>
      </c>
      <c r="M155" s="48"/>
      <c r="N155" s="47">
        <f>F155*M155</f>
        <v>0</v>
      </c>
      <c r="R155" s="76">
        <f t="shared" si="122"/>
        <v>0</v>
      </c>
    </row>
    <row r="156" spans="1:18" ht="16">
      <c r="A156" s="88"/>
      <c r="B156" s="90" t="s">
        <v>28</v>
      </c>
      <c r="C156" s="53"/>
      <c r="D156" s="53"/>
      <c r="E156" s="24">
        <f t="shared" si="123"/>
        <v>0</v>
      </c>
      <c r="F156" s="45"/>
      <c r="G156" s="54" t="e">
        <f t="shared" si="124"/>
        <v>#DIV/0!</v>
      </c>
      <c r="H156" s="53"/>
      <c r="I156" s="55"/>
      <c r="J156" s="53">
        <f t="shared" si="125"/>
        <v>0</v>
      </c>
      <c r="K156" s="50">
        <f t="shared" si="128"/>
        <v>0</v>
      </c>
      <c r="L156" s="73" t="e">
        <f t="shared" si="126"/>
        <v>#DIV/0!</v>
      </c>
      <c r="M156" s="56"/>
      <c r="N156" s="47">
        <f>M156*K156</f>
        <v>0</v>
      </c>
      <c r="R156" s="76">
        <f t="shared" si="122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29">SUM(E149:E156)</f>
        <v>0</v>
      </c>
      <c r="F157" s="59">
        <f t="shared" si="129"/>
        <v>195</v>
      </c>
      <c r="G157" s="61" t="e">
        <f>AVERAGE(G149:G156)</f>
        <v>#DIV/0!</v>
      </c>
      <c r="H157" s="59"/>
      <c r="I157" s="62"/>
      <c r="J157" s="59">
        <f t="shared" ref="J157:K157" si="130">SUM(J149:J156)</f>
        <v>0</v>
      </c>
      <c r="K157" s="59">
        <f t="shared" si="130"/>
        <v>195</v>
      </c>
      <c r="L157" s="61" t="e">
        <f>AVERAGE(L149:L156)</f>
        <v>#DIV/0!</v>
      </c>
      <c r="M157" s="64"/>
      <c r="N157" s="132">
        <f>SUM(N149:N156)</f>
        <v>5352600</v>
      </c>
      <c r="R157" s="76">
        <f t="shared" si="122"/>
        <v>0</v>
      </c>
    </row>
    <row r="158" spans="1:18" ht="16">
      <c r="A158" s="85"/>
      <c r="B158" s="90" t="s">
        <v>43</v>
      </c>
      <c r="C158" s="83"/>
      <c r="D158" s="12"/>
      <c r="E158" s="36">
        <f t="shared" ref="E158:E165" si="131">D158-C158</f>
        <v>0</v>
      </c>
      <c r="F158" s="37"/>
      <c r="G158" s="13" t="e">
        <f t="shared" ref="G158:G165" si="132">(F158/E158)*100</f>
        <v>#DIV/0!</v>
      </c>
      <c r="H158" s="125"/>
      <c r="I158" s="126"/>
      <c r="J158" s="39">
        <f t="shared" ref="J158:J165" si="133">I158-H158</f>
        <v>0</v>
      </c>
      <c r="K158" s="50">
        <f t="shared" ref="K158:K160" si="134">F158</f>
        <v>0</v>
      </c>
      <c r="L158" s="67" t="e">
        <f t="shared" ref="L158:L165" si="135">(K158/J158)*100</f>
        <v>#DIV/0!</v>
      </c>
      <c r="M158" s="68"/>
      <c r="N158" s="47"/>
      <c r="R158" s="76">
        <f t="shared" si="122"/>
        <v>0</v>
      </c>
    </row>
    <row r="159" spans="1:18" ht="16">
      <c r="A159" s="33"/>
      <c r="B159" s="44" t="s">
        <v>43</v>
      </c>
      <c r="C159" s="35"/>
      <c r="D159" s="12"/>
      <c r="E159" s="11">
        <f t="shared" si="131"/>
        <v>0</v>
      </c>
      <c r="F159" s="45"/>
      <c r="G159" s="13" t="e">
        <f t="shared" si="132"/>
        <v>#DIV/0!</v>
      </c>
      <c r="H159" s="38"/>
      <c r="I159" s="38"/>
      <c r="J159" s="35">
        <f t="shared" si="133"/>
        <v>0</v>
      </c>
      <c r="K159" s="50">
        <f t="shared" si="134"/>
        <v>0</v>
      </c>
      <c r="L159" s="46" t="e">
        <f t="shared" si="135"/>
        <v>#DIV/0!</v>
      </c>
      <c r="M159" s="48"/>
      <c r="N159" s="47"/>
      <c r="R159" s="76">
        <f t="shared" si="122"/>
        <v>0</v>
      </c>
    </row>
    <row r="160" spans="1:18" ht="16">
      <c r="A160" s="33"/>
      <c r="B160" s="44" t="s">
        <v>43</v>
      </c>
      <c r="C160" s="35"/>
      <c r="D160" s="35"/>
      <c r="E160" s="11">
        <f t="shared" si="131"/>
        <v>0</v>
      </c>
      <c r="F160" s="45"/>
      <c r="G160" s="13" t="e">
        <f t="shared" si="132"/>
        <v>#DIV/0!</v>
      </c>
      <c r="H160" s="35"/>
      <c r="I160" s="38"/>
      <c r="J160" s="35">
        <f t="shared" si="133"/>
        <v>0</v>
      </c>
      <c r="K160" s="50">
        <f t="shared" si="134"/>
        <v>0</v>
      </c>
      <c r="L160" s="46" t="e">
        <f t="shared" si="135"/>
        <v>#DIV/0!</v>
      </c>
      <c r="M160" s="48"/>
      <c r="N160" s="47"/>
      <c r="R160" s="76">
        <f t="shared" si="122"/>
        <v>0</v>
      </c>
    </row>
    <row r="161" spans="1:18" ht="16">
      <c r="A161" s="33"/>
      <c r="B161" s="44" t="s">
        <v>43</v>
      </c>
      <c r="C161" s="35"/>
      <c r="D161" s="35"/>
      <c r="E161" s="11">
        <f t="shared" si="131"/>
        <v>0</v>
      </c>
      <c r="F161" s="45"/>
      <c r="G161" s="13" t="e">
        <f t="shared" si="132"/>
        <v>#DIV/0!</v>
      </c>
      <c r="H161" s="35"/>
      <c r="I161" s="38"/>
      <c r="J161" s="35">
        <f t="shared" si="133"/>
        <v>0</v>
      </c>
      <c r="K161" s="50"/>
      <c r="L161" s="46" t="e">
        <f t="shared" si="135"/>
        <v>#DIV/0!</v>
      </c>
      <c r="M161" s="48"/>
      <c r="N161" s="47"/>
      <c r="R161" s="76">
        <f t="shared" si="122"/>
        <v>0</v>
      </c>
    </row>
    <row r="162" spans="1:18" ht="16">
      <c r="A162" s="33"/>
      <c r="B162" s="44" t="s">
        <v>43</v>
      </c>
      <c r="C162" s="35"/>
      <c r="D162" s="35"/>
      <c r="E162" s="11">
        <f t="shared" si="131"/>
        <v>0</v>
      </c>
      <c r="F162" s="45"/>
      <c r="G162" s="13" t="e">
        <f t="shared" si="132"/>
        <v>#DIV/0!</v>
      </c>
      <c r="H162" s="35"/>
      <c r="I162" s="38"/>
      <c r="J162" s="35">
        <f t="shared" si="133"/>
        <v>0</v>
      </c>
      <c r="K162" s="50"/>
      <c r="L162" s="46" t="e">
        <f t="shared" si="135"/>
        <v>#DIV/0!</v>
      </c>
      <c r="M162" s="48"/>
      <c r="N162" s="47"/>
      <c r="R162" s="76">
        <f t="shared" si="122"/>
        <v>0</v>
      </c>
    </row>
    <row r="163" spans="1:18" ht="16">
      <c r="A163" s="33"/>
      <c r="B163" s="44" t="s">
        <v>43</v>
      </c>
      <c r="C163" s="35"/>
      <c r="D163" s="35"/>
      <c r="E163" s="11">
        <f t="shared" si="131"/>
        <v>0</v>
      </c>
      <c r="F163" s="45"/>
      <c r="G163" s="13" t="e">
        <f t="shared" si="132"/>
        <v>#DIV/0!</v>
      </c>
      <c r="H163" s="35"/>
      <c r="I163" s="38"/>
      <c r="J163" s="35">
        <f t="shared" si="133"/>
        <v>0</v>
      </c>
      <c r="K163" s="50">
        <f t="shared" ref="K163:K165" si="136">F163</f>
        <v>0</v>
      </c>
      <c r="L163" s="46" t="e">
        <f t="shared" si="135"/>
        <v>#DIV/0!</v>
      </c>
      <c r="M163" s="48"/>
      <c r="N163" s="47">
        <f t="shared" ref="N163:N164" si="137">F163*M163</f>
        <v>0</v>
      </c>
      <c r="R163" s="76">
        <f t="shared" si="122"/>
        <v>0</v>
      </c>
    </row>
    <row r="164" spans="1:18" ht="16">
      <c r="A164" s="33"/>
      <c r="B164" s="44" t="s">
        <v>43</v>
      </c>
      <c r="C164" s="35"/>
      <c r="D164" s="35"/>
      <c r="E164" s="11">
        <f t="shared" si="131"/>
        <v>0</v>
      </c>
      <c r="F164" s="45"/>
      <c r="G164" s="13" t="e">
        <f t="shared" si="132"/>
        <v>#DIV/0!</v>
      </c>
      <c r="H164" s="35"/>
      <c r="I164" s="38"/>
      <c r="J164" s="35">
        <f t="shared" si="133"/>
        <v>0</v>
      </c>
      <c r="K164" s="50">
        <f t="shared" si="136"/>
        <v>0</v>
      </c>
      <c r="L164" s="46" t="e">
        <f t="shared" si="135"/>
        <v>#DIV/0!</v>
      </c>
      <c r="M164" s="48"/>
      <c r="N164" s="47">
        <f t="shared" si="137"/>
        <v>0</v>
      </c>
      <c r="R164" s="76">
        <f t="shared" si="122"/>
        <v>0</v>
      </c>
    </row>
    <row r="165" spans="1:18" ht="16">
      <c r="A165" s="88"/>
      <c r="B165" s="44" t="s">
        <v>43</v>
      </c>
      <c r="C165" s="53"/>
      <c r="D165" s="53"/>
      <c r="E165" s="24">
        <f t="shared" si="131"/>
        <v>0</v>
      </c>
      <c r="F165" s="45"/>
      <c r="G165" s="54" t="e">
        <f t="shared" si="132"/>
        <v>#DIV/0!</v>
      </c>
      <c r="H165" s="53"/>
      <c r="I165" s="55"/>
      <c r="J165" s="53">
        <f t="shared" si="133"/>
        <v>0</v>
      </c>
      <c r="K165" s="50">
        <f t="shared" si="136"/>
        <v>0</v>
      </c>
      <c r="L165" s="73" t="e">
        <f t="shared" si="135"/>
        <v>#DIV/0!</v>
      </c>
      <c r="M165" s="48"/>
      <c r="N165" s="47">
        <f>M165*K165</f>
        <v>0</v>
      </c>
      <c r="R165" s="76">
        <f t="shared" si="122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8">SUM(J158:J165)</f>
        <v>0</v>
      </c>
      <c r="K166" s="59">
        <f t="shared" si="138"/>
        <v>0</v>
      </c>
      <c r="L166" s="61" t="e">
        <f>AVERAGE(L158:L165)</f>
        <v>#DIV/0!</v>
      </c>
      <c r="M166" s="68"/>
      <c r="N166" s="132">
        <f>SUM(N158:N165)</f>
        <v>0</v>
      </c>
      <c r="R166" s="76">
        <f t="shared" si="122"/>
        <v>0</v>
      </c>
    </row>
    <row r="167" spans="1:18" ht="16">
      <c r="A167" s="66">
        <v>46155</v>
      </c>
      <c r="B167" s="90" t="s">
        <v>30</v>
      </c>
      <c r="C167" s="83"/>
      <c r="D167" s="12"/>
      <c r="E167" s="36">
        <f t="shared" ref="E167:E174" si="139">D167-C167</f>
        <v>0</v>
      </c>
      <c r="F167" s="37">
        <v>77</v>
      </c>
      <c r="G167" s="13" t="e">
        <f t="shared" ref="G167:G174" si="140">(F167/E167)*100</f>
        <v>#DIV/0!</v>
      </c>
      <c r="H167" s="125"/>
      <c r="I167" s="126"/>
      <c r="J167" s="39">
        <f t="shared" ref="J167:J174" si="141">I167-H167</f>
        <v>0</v>
      </c>
      <c r="K167" s="50">
        <f t="shared" ref="K167:K174" si="142">F167</f>
        <v>77</v>
      </c>
      <c r="L167" s="67" t="e">
        <f t="shared" ref="L167:L174" si="143">(K167/J167)*100</f>
        <v>#DIV/0!</v>
      </c>
      <c r="M167" s="68">
        <v>27490</v>
      </c>
      <c r="N167" s="47">
        <f t="shared" ref="N167:N169" si="144">F167*M167</f>
        <v>2116730</v>
      </c>
      <c r="R167" s="76">
        <f t="shared" si="122"/>
        <v>0</v>
      </c>
    </row>
    <row r="168" spans="1:18" ht="16">
      <c r="A168" s="66">
        <v>46164</v>
      </c>
      <c r="B168" s="44" t="s">
        <v>30</v>
      </c>
      <c r="C168" s="35"/>
      <c r="D168" s="12"/>
      <c r="E168" s="11">
        <f t="shared" si="139"/>
        <v>0</v>
      </c>
      <c r="F168" s="45">
        <v>72</v>
      </c>
      <c r="G168" s="13" t="e">
        <f t="shared" si="140"/>
        <v>#DIV/0!</v>
      </c>
      <c r="H168" s="38"/>
      <c r="I168" s="38"/>
      <c r="J168" s="35">
        <f t="shared" si="141"/>
        <v>0</v>
      </c>
      <c r="K168" s="50">
        <f t="shared" si="142"/>
        <v>72</v>
      </c>
      <c r="L168" s="46" t="e">
        <f t="shared" si="143"/>
        <v>#DIV/0!</v>
      </c>
      <c r="M168" s="48">
        <v>28760</v>
      </c>
      <c r="N168" s="47">
        <f t="shared" si="144"/>
        <v>2070720</v>
      </c>
      <c r="R168" s="76">
        <f t="shared" si="122"/>
        <v>0</v>
      </c>
    </row>
    <row r="169" spans="1:18" ht="16">
      <c r="A169" s="33">
        <v>46170</v>
      </c>
      <c r="B169" s="44" t="s">
        <v>30</v>
      </c>
      <c r="C169" s="35"/>
      <c r="D169" s="35"/>
      <c r="E169" s="11">
        <f t="shared" si="139"/>
        <v>0</v>
      </c>
      <c r="F169" s="45">
        <v>76</v>
      </c>
      <c r="G169" s="13" t="e">
        <f t="shared" si="140"/>
        <v>#DIV/0!</v>
      </c>
      <c r="H169" s="35"/>
      <c r="I169" s="38"/>
      <c r="J169" s="35">
        <f t="shared" si="141"/>
        <v>0</v>
      </c>
      <c r="K169" s="50">
        <f t="shared" si="142"/>
        <v>76</v>
      </c>
      <c r="L169" s="46" t="e">
        <f t="shared" si="143"/>
        <v>#DIV/0!</v>
      </c>
      <c r="M169" s="48">
        <v>28760</v>
      </c>
      <c r="N169" s="47">
        <f t="shared" si="144"/>
        <v>2185760</v>
      </c>
      <c r="R169" s="76">
        <f t="shared" si="122"/>
        <v>0</v>
      </c>
    </row>
    <row r="170" spans="1:18" ht="16">
      <c r="A170" s="33"/>
      <c r="B170" s="44" t="s">
        <v>30</v>
      </c>
      <c r="C170" s="35"/>
      <c r="D170" s="35"/>
      <c r="E170" s="11">
        <f t="shared" si="139"/>
        <v>0</v>
      </c>
      <c r="F170" s="45"/>
      <c r="G170" s="13" t="e">
        <f t="shared" si="140"/>
        <v>#DIV/0!</v>
      </c>
      <c r="H170" s="35"/>
      <c r="I170" s="38"/>
      <c r="J170" s="35">
        <f t="shared" si="141"/>
        <v>0</v>
      </c>
      <c r="K170" s="50">
        <f t="shared" si="142"/>
        <v>0</v>
      </c>
      <c r="L170" s="46" t="e">
        <f t="shared" si="143"/>
        <v>#DIV/0!</v>
      </c>
      <c r="M170" s="48"/>
      <c r="N170" s="47"/>
      <c r="R170" s="76">
        <f t="shared" si="122"/>
        <v>0</v>
      </c>
    </row>
    <row r="171" spans="1:18" ht="16">
      <c r="A171" s="33"/>
      <c r="B171" s="44" t="s">
        <v>30</v>
      </c>
      <c r="C171" s="35"/>
      <c r="D171" s="35"/>
      <c r="E171" s="11">
        <f t="shared" si="139"/>
        <v>0</v>
      </c>
      <c r="F171" s="45"/>
      <c r="G171" s="13" t="e">
        <f t="shared" si="140"/>
        <v>#DIV/0!</v>
      </c>
      <c r="H171" s="35"/>
      <c r="I171" s="38"/>
      <c r="J171" s="35">
        <f t="shared" si="141"/>
        <v>0</v>
      </c>
      <c r="K171" s="50">
        <f t="shared" si="142"/>
        <v>0</v>
      </c>
      <c r="L171" s="46" t="e">
        <f t="shared" si="143"/>
        <v>#DIV/0!</v>
      </c>
      <c r="M171" s="48"/>
      <c r="N171" s="47"/>
      <c r="R171" s="76">
        <f t="shared" si="122"/>
        <v>0</v>
      </c>
    </row>
    <row r="172" spans="1:18" ht="16">
      <c r="A172" s="33"/>
      <c r="B172" s="44" t="s">
        <v>30</v>
      </c>
      <c r="C172" s="35"/>
      <c r="D172" s="35"/>
      <c r="E172" s="11">
        <f t="shared" si="139"/>
        <v>0</v>
      </c>
      <c r="F172" s="45"/>
      <c r="G172" s="13" t="e">
        <f t="shared" si="140"/>
        <v>#DIV/0!</v>
      </c>
      <c r="H172" s="35"/>
      <c r="I172" s="38"/>
      <c r="J172" s="35">
        <f t="shared" si="141"/>
        <v>0</v>
      </c>
      <c r="K172" s="50">
        <f t="shared" si="142"/>
        <v>0</v>
      </c>
      <c r="L172" s="46" t="e">
        <f t="shared" si="143"/>
        <v>#DIV/0!</v>
      </c>
      <c r="M172" s="48"/>
      <c r="N172" s="47">
        <f t="shared" ref="N172:N173" si="145">F172*M172</f>
        <v>0</v>
      </c>
      <c r="R172" s="76">
        <f t="shared" si="122"/>
        <v>0</v>
      </c>
    </row>
    <row r="173" spans="1:18" ht="16">
      <c r="A173" s="33"/>
      <c r="B173" s="44" t="s">
        <v>30</v>
      </c>
      <c r="C173" s="35"/>
      <c r="D173" s="35"/>
      <c r="E173" s="11">
        <f t="shared" si="139"/>
        <v>0</v>
      </c>
      <c r="F173" s="45"/>
      <c r="G173" s="13" t="e">
        <f t="shared" si="140"/>
        <v>#DIV/0!</v>
      </c>
      <c r="H173" s="35"/>
      <c r="I173" s="38"/>
      <c r="J173" s="35">
        <f t="shared" si="141"/>
        <v>0</v>
      </c>
      <c r="K173" s="50">
        <f t="shared" si="142"/>
        <v>0</v>
      </c>
      <c r="L173" s="73" t="e">
        <f t="shared" si="143"/>
        <v>#DIV/0!</v>
      </c>
      <c r="M173" s="48"/>
      <c r="N173" s="47">
        <f t="shared" si="145"/>
        <v>0</v>
      </c>
      <c r="R173" s="76">
        <f t="shared" si="122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39"/>
        <v>0</v>
      </c>
      <c r="F174" s="37"/>
      <c r="G174" s="54" t="e">
        <f t="shared" si="140"/>
        <v>#DIV/0!</v>
      </c>
      <c r="H174" s="134"/>
      <c r="I174" s="135"/>
      <c r="J174" s="134">
        <f t="shared" si="141"/>
        <v>0</v>
      </c>
      <c r="K174" s="50">
        <f t="shared" si="142"/>
        <v>0</v>
      </c>
      <c r="L174" s="136" t="e">
        <f t="shared" si="143"/>
        <v>#DIV/0!</v>
      </c>
      <c r="M174" s="137"/>
      <c r="N174" s="47">
        <f>M174*K174</f>
        <v>0</v>
      </c>
      <c r="R174" s="76">
        <f t="shared" si="122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6">SUM(E167:E174)</f>
        <v>0</v>
      </c>
      <c r="F175" s="59">
        <f t="shared" si="146"/>
        <v>225</v>
      </c>
      <c r="G175" s="61" t="e">
        <f>AVERAGE(G167:G174)</f>
        <v>#DIV/0!</v>
      </c>
      <c r="H175" s="59"/>
      <c r="I175" s="62"/>
      <c r="J175" s="59">
        <f t="shared" ref="J175:K175" si="147">SUM(J167:J174)</f>
        <v>0</v>
      </c>
      <c r="K175" s="59">
        <f t="shared" si="147"/>
        <v>225</v>
      </c>
      <c r="L175" s="61" t="e">
        <f>AVERAGE(L167:L174)</f>
        <v>#DIV/0!</v>
      </c>
      <c r="M175" s="64"/>
      <c r="N175" s="65">
        <f>SUM(N167:N174)</f>
        <v>6373210</v>
      </c>
      <c r="R175" s="76">
        <f t="shared" si="122"/>
        <v>0</v>
      </c>
    </row>
    <row r="176" spans="1:18" ht="16">
      <c r="A176" s="138">
        <v>46147</v>
      </c>
      <c r="B176" s="90" t="s">
        <v>44</v>
      </c>
      <c r="C176" s="83"/>
      <c r="D176" s="12"/>
      <c r="E176" s="11">
        <f t="shared" ref="E176:E183" si="148">D176-C176</f>
        <v>0</v>
      </c>
      <c r="F176" s="37">
        <v>80</v>
      </c>
      <c r="G176" s="13" t="e">
        <f t="shared" ref="G176:G183" si="149">(F176/E176)*100</f>
        <v>#DIV/0!</v>
      </c>
      <c r="H176" s="125"/>
      <c r="I176" s="126"/>
      <c r="J176" s="39">
        <f t="shared" ref="J176:J183" si="150">I176-H176</f>
        <v>0</v>
      </c>
      <c r="K176" s="50">
        <f t="shared" ref="K176:K183" si="151">F176</f>
        <v>80</v>
      </c>
      <c r="L176" s="67" t="e">
        <f t="shared" ref="L176:L183" si="152">(K176/J176)*100</f>
        <v>#DIV/0!</v>
      </c>
      <c r="M176" s="68">
        <v>28170</v>
      </c>
      <c r="N176" s="47">
        <f t="shared" ref="N176:N179" si="153">F176*M176</f>
        <v>2253600</v>
      </c>
    </row>
    <row r="177" spans="1:14" ht="16">
      <c r="A177" s="33">
        <v>46156</v>
      </c>
      <c r="B177" s="90" t="s">
        <v>44</v>
      </c>
      <c r="C177" s="35"/>
      <c r="D177" s="12"/>
      <c r="E177" s="11">
        <f t="shared" si="148"/>
        <v>0</v>
      </c>
      <c r="F177" s="45">
        <v>75</v>
      </c>
      <c r="G177" s="13" t="e">
        <f t="shared" si="149"/>
        <v>#DIV/0!</v>
      </c>
      <c r="H177" s="38"/>
      <c r="I177" s="38"/>
      <c r="J177" s="35">
        <f t="shared" si="150"/>
        <v>0</v>
      </c>
      <c r="K177" s="50">
        <f t="shared" si="151"/>
        <v>75</v>
      </c>
      <c r="L177" s="46" t="e">
        <f t="shared" si="152"/>
        <v>#DIV/0!</v>
      </c>
      <c r="M177" s="68">
        <v>27490</v>
      </c>
      <c r="N177" s="47">
        <f t="shared" si="153"/>
        <v>2061750</v>
      </c>
    </row>
    <row r="178" spans="1:14" ht="16">
      <c r="A178" s="33">
        <v>46163</v>
      </c>
      <c r="B178" s="90" t="s">
        <v>44</v>
      </c>
      <c r="C178" s="35"/>
      <c r="D178" s="35"/>
      <c r="E178" s="11">
        <f t="shared" si="148"/>
        <v>0</v>
      </c>
      <c r="F178" s="45">
        <v>70</v>
      </c>
      <c r="G178" s="13" t="e">
        <f t="shared" si="149"/>
        <v>#DIV/0!</v>
      </c>
      <c r="H178" s="35"/>
      <c r="I178" s="38"/>
      <c r="J178" s="35">
        <f t="shared" si="150"/>
        <v>0</v>
      </c>
      <c r="K178" s="50">
        <f t="shared" si="151"/>
        <v>70</v>
      </c>
      <c r="L178" s="46" t="e">
        <f t="shared" si="152"/>
        <v>#DIV/0!</v>
      </c>
      <c r="M178" s="68">
        <v>27220</v>
      </c>
      <c r="N178" s="47">
        <f t="shared" si="153"/>
        <v>1905400</v>
      </c>
    </row>
    <row r="179" spans="1:14" ht="16">
      <c r="A179" s="33">
        <v>46167</v>
      </c>
      <c r="B179" s="90" t="s">
        <v>44</v>
      </c>
      <c r="C179" s="35"/>
      <c r="D179" s="35"/>
      <c r="E179" s="11">
        <f t="shared" si="148"/>
        <v>0</v>
      </c>
      <c r="F179" s="45">
        <v>80</v>
      </c>
      <c r="G179" s="13" t="e">
        <f t="shared" si="149"/>
        <v>#DIV/0!</v>
      </c>
      <c r="H179" s="35"/>
      <c r="I179" s="38"/>
      <c r="J179" s="35">
        <f t="shared" si="150"/>
        <v>0</v>
      </c>
      <c r="K179" s="50">
        <f t="shared" si="151"/>
        <v>80</v>
      </c>
      <c r="L179" s="46" t="e">
        <f t="shared" si="152"/>
        <v>#DIV/0!</v>
      </c>
      <c r="M179" s="68">
        <v>28760</v>
      </c>
      <c r="N179" s="47">
        <f t="shared" si="153"/>
        <v>2300800</v>
      </c>
    </row>
    <row r="180" spans="1:14" ht="16">
      <c r="A180" s="33"/>
      <c r="B180" s="90" t="s">
        <v>44</v>
      </c>
      <c r="C180" s="35"/>
      <c r="D180" s="35"/>
      <c r="E180" s="11">
        <f t="shared" si="148"/>
        <v>0</v>
      </c>
      <c r="F180" s="45"/>
      <c r="G180" s="13" t="e">
        <f t="shared" si="149"/>
        <v>#DIV/0!</v>
      </c>
      <c r="H180" s="35"/>
      <c r="I180" s="38"/>
      <c r="J180" s="35">
        <f t="shared" si="150"/>
        <v>0</v>
      </c>
      <c r="K180" s="50">
        <f t="shared" si="151"/>
        <v>0</v>
      </c>
      <c r="L180" s="46" t="e">
        <f t="shared" si="152"/>
        <v>#DIV/0!</v>
      </c>
      <c r="M180" s="68"/>
      <c r="N180" s="121"/>
    </row>
    <row r="181" spans="1:14" ht="16">
      <c r="A181" s="33"/>
      <c r="B181" s="90" t="s">
        <v>44</v>
      </c>
      <c r="C181" s="35"/>
      <c r="D181" s="35"/>
      <c r="E181" s="11">
        <f t="shared" si="148"/>
        <v>0</v>
      </c>
      <c r="F181" s="45"/>
      <c r="G181" s="13" t="e">
        <f t="shared" si="149"/>
        <v>#DIV/0!</v>
      </c>
      <c r="H181" s="35"/>
      <c r="I181" s="38"/>
      <c r="J181" s="35">
        <f t="shared" si="150"/>
        <v>0</v>
      </c>
      <c r="K181" s="50">
        <f t="shared" si="151"/>
        <v>0</v>
      </c>
      <c r="L181" s="46" t="e">
        <f t="shared" si="152"/>
        <v>#DIV/0!</v>
      </c>
      <c r="M181" s="68"/>
      <c r="N181" s="121">
        <f t="shared" ref="N181:N183" si="154">M181*K181</f>
        <v>0</v>
      </c>
    </row>
    <row r="182" spans="1:14" ht="16">
      <c r="A182" s="33"/>
      <c r="B182" s="90" t="s">
        <v>44</v>
      </c>
      <c r="C182" s="35"/>
      <c r="D182" s="35"/>
      <c r="E182" s="11">
        <f t="shared" si="148"/>
        <v>0</v>
      </c>
      <c r="F182" s="45"/>
      <c r="G182" s="13" t="e">
        <f t="shared" si="149"/>
        <v>#DIV/0!</v>
      </c>
      <c r="H182" s="35"/>
      <c r="I182" s="38"/>
      <c r="J182" s="35">
        <f t="shared" si="150"/>
        <v>0</v>
      </c>
      <c r="K182" s="50">
        <f t="shared" si="151"/>
        <v>0</v>
      </c>
      <c r="L182" s="46" t="e">
        <f t="shared" si="152"/>
        <v>#DIV/0!</v>
      </c>
      <c r="M182" s="48"/>
      <c r="N182" s="121">
        <f t="shared" si="154"/>
        <v>0</v>
      </c>
    </row>
    <row r="183" spans="1:14" ht="16">
      <c r="A183" s="88"/>
      <c r="B183" s="90" t="s">
        <v>44</v>
      </c>
      <c r="C183" s="53"/>
      <c r="D183" s="53"/>
      <c r="E183" s="24">
        <f t="shared" si="148"/>
        <v>0</v>
      </c>
      <c r="F183" s="45"/>
      <c r="G183" s="54" t="e">
        <f t="shared" si="149"/>
        <v>#DIV/0!</v>
      </c>
      <c r="H183" s="53"/>
      <c r="I183" s="55"/>
      <c r="J183" s="53">
        <f t="shared" si="150"/>
        <v>0</v>
      </c>
      <c r="K183" s="50">
        <f t="shared" si="151"/>
        <v>0</v>
      </c>
      <c r="L183" s="73" t="e">
        <f t="shared" si="152"/>
        <v>#DIV/0!</v>
      </c>
      <c r="M183" s="56"/>
      <c r="N183" s="47">
        <f t="shared" si="154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5">SUM(E176:E183)</f>
        <v>0</v>
      </c>
      <c r="F184" s="59">
        <f t="shared" si="155"/>
        <v>305</v>
      </c>
      <c r="G184" s="61" t="e">
        <f>AVERAGE(G176:G183)</f>
        <v>#DIV/0!</v>
      </c>
      <c r="H184" s="59"/>
      <c r="I184" s="62"/>
      <c r="J184" s="59">
        <f t="shared" ref="J184:K184" si="156">SUM(J176:J183)</f>
        <v>0</v>
      </c>
      <c r="K184" s="59">
        <f t="shared" si="156"/>
        <v>305</v>
      </c>
      <c r="L184" s="61" t="e">
        <f>AVERAGE(L176:L183)</f>
        <v>#DIV/0!</v>
      </c>
      <c r="M184" s="64"/>
      <c r="N184" s="65">
        <f>SUM(N176:N183)</f>
        <v>8521550</v>
      </c>
    </row>
    <row r="185" spans="1:14" ht="16">
      <c r="A185" s="139">
        <v>46149</v>
      </c>
      <c r="B185" s="140" t="s">
        <v>32</v>
      </c>
      <c r="C185" s="83"/>
      <c r="D185" s="12"/>
      <c r="E185" s="36">
        <f t="shared" ref="E185:E192" si="157">D185-C185</f>
        <v>0</v>
      </c>
      <c r="F185" s="37">
        <v>55</v>
      </c>
      <c r="G185" s="13" t="e">
        <f t="shared" ref="G185:G192" si="158">(F185/E185)*100</f>
        <v>#DIV/0!</v>
      </c>
      <c r="H185" s="125"/>
      <c r="I185" s="126"/>
      <c r="J185" s="39">
        <f t="shared" ref="J185:J192" si="159">I185-H185</f>
        <v>0</v>
      </c>
      <c r="K185" s="50">
        <f t="shared" ref="K185:K189" si="160">F185</f>
        <v>55</v>
      </c>
      <c r="L185" s="136" t="e">
        <f t="shared" ref="L185:L192" si="161">(K185/J185)*100</f>
        <v>#DIV/0!</v>
      </c>
      <c r="M185" s="68">
        <v>28170</v>
      </c>
      <c r="N185" s="121">
        <f t="shared" ref="N185:N188" si="162">M185*K185</f>
        <v>1549350</v>
      </c>
    </row>
    <row r="186" spans="1:14" ht="16">
      <c r="A186" s="138">
        <v>46155</v>
      </c>
      <c r="B186" s="140" t="s">
        <v>32</v>
      </c>
      <c r="C186" s="83"/>
      <c r="D186" s="12"/>
      <c r="E186" s="36">
        <f t="shared" si="157"/>
        <v>0</v>
      </c>
      <c r="F186" s="45">
        <v>84</v>
      </c>
      <c r="G186" s="13" t="e">
        <f t="shared" si="158"/>
        <v>#DIV/0!</v>
      </c>
      <c r="H186" s="38"/>
      <c r="I186" s="38"/>
      <c r="J186" s="35">
        <f t="shared" si="159"/>
        <v>0</v>
      </c>
      <c r="K186" s="50">
        <f t="shared" si="160"/>
        <v>84</v>
      </c>
      <c r="L186" s="136" t="e">
        <f t="shared" si="161"/>
        <v>#DIV/0!</v>
      </c>
      <c r="M186" s="116">
        <v>27490</v>
      </c>
      <c r="N186" s="121">
        <f t="shared" si="162"/>
        <v>2309160</v>
      </c>
    </row>
    <row r="187" spans="1:14" ht="16">
      <c r="A187" s="138">
        <v>46161</v>
      </c>
      <c r="B187" s="140" t="s">
        <v>32</v>
      </c>
      <c r="C187" s="83"/>
      <c r="D187" s="83"/>
      <c r="E187" s="11">
        <f t="shared" si="157"/>
        <v>0</v>
      </c>
      <c r="F187" s="141">
        <v>81</v>
      </c>
      <c r="G187" s="13" t="e">
        <f t="shared" si="158"/>
        <v>#DIV/0!</v>
      </c>
      <c r="H187" s="35"/>
      <c r="I187" s="38"/>
      <c r="J187" s="35">
        <f t="shared" si="159"/>
        <v>0</v>
      </c>
      <c r="K187" s="50">
        <f t="shared" si="160"/>
        <v>81</v>
      </c>
      <c r="L187" s="136" t="e">
        <f t="shared" si="161"/>
        <v>#DIV/0!</v>
      </c>
      <c r="M187" s="116">
        <v>27220</v>
      </c>
      <c r="N187" s="121">
        <f t="shared" si="162"/>
        <v>2204820</v>
      </c>
    </row>
    <row r="188" spans="1:14" ht="16">
      <c r="A188" s="138">
        <v>46168</v>
      </c>
      <c r="B188" s="140" t="s">
        <v>32</v>
      </c>
      <c r="C188" s="83"/>
      <c r="D188" s="83"/>
      <c r="E188" s="11">
        <f t="shared" si="157"/>
        <v>0</v>
      </c>
      <c r="F188" s="141">
        <v>88</v>
      </c>
      <c r="G188" s="13" t="e">
        <f t="shared" si="158"/>
        <v>#DIV/0!</v>
      </c>
      <c r="H188" s="35"/>
      <c r="I188" s="38"/>
      <c r="J188" s="35">
        <f t="shared" si="159"/>
        <v>0</v>
      </c>
      <c r="K188" s="50">
        <f t="shared" si="160"/>
        <v>88</v>
      </c>
      <c r="L188" s="136" t="e">
        <f t="shared" si="161"/>
        <v>#DIV/0!</v>
      </c>
      <c r="M188" s="116">
        <v>28760</v>
      </c>
      <c r="N188" s="121">
        <f t="shared" si="162"/>
        <v>2530880</v>
      </c>
    </row>
    <row r="189" spans="1:14" ht="16">
      <c r="A189" s="138"/>
      <c r="B189" s="140" t="s">
        <v>32</v>
      </c>
      <c r="C189" s="83"/>
      <c r="D189" s="83"/>
      <c r="E189" s="11">
        <f t="shared" si="157"/>
        <v>0</v>
      </c>
      <c r="F189" s="141"/>
      <c r="G189" s="13" t="e">
        <f t="shared" si="158"/>
        <v>#DIV/0!</v>
      </c>
      <c r="H189" s="35"/>
      <c r="I189" s="38"/>
      <c r="J189" s="35">
        <f t="shared" si="159"/>
        <v>0</v>
      </c>
      <c r="K189" s="50">
        <f t="shared" si="160"/>
        <v>0</v>
      </c>
      <c r="L189" s="136" t="e">
        <f t="shared" si="161"/>
        <v>#DIV/0!</v>
      </c>
      <c r="M189" s="116"/>
      <c r="N189" s="121"/>
    </row>
    <row r="190" spans="1:14" ht="16">
      <c r="A190" s="138"/>
      <c r="B190" s="140" t="s">
        <v>32</v>
      </c>
      <c r="C190" s="83"/>
      <c r="D190" s="83"/>
      <c r="E190" s="11">
        <f t="shared" si="157"/>
        <v>0</v>
      </c>
      <c r="F190" s="141"/>
      <c r="G190" s="13" t="e">
        <f t="shared" si="158"/>
        <v>#DIV/0!</v>
      </c>
      <c r="H190" s="35"/>
      <c r="I190" s="38"/>
      <c r="J190" s="35">
        <f t="shared" si="159"/>
        <v>0</v>
      </c>
      <c r="K190" s="50"/>
      <c r="L190" s="136" t="e">
        <f t="shared" si="161"/>
        <v>#DIV/0!</v>
      </c>
      <c r="M190" s="116"/>
      <c r="N190" s="121">
        <f t="shared" ref="N190:N192" si="163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7"/>
        <v>0</v>
      </c>
      <c r="F191" s="141"/>
      <c r="G191" s="13" t="e">
        <f t="shared" si="158"/>
        <v>#DIV/0!</v>
      </c>
      <c r="H191" s="83"/>
      <c r="I191" s="125"/>
      <c r="J191" s="83">
        <f t="shared" si="159"/>
        <v>0</v>
      </c>
      <c r="K191" s="50"/>
      <c r="L191" s="136" t="e">
        <f t="shared" si="161"/>
        <v>#DIV/0!</v>
      </c>
      <c r="M191" s="116"/>
      <c r="N191" s="121">
        <f t="shared" si="163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7"/>
        <v>0</v>
      </c>
      <c r="F192" s="143"/>
      <c r="G192" s="54" t="e">
        <f t="shared" si="158"/>
        <v>#DIV/0!</v>
      </c>
      <c r="H192" s="134"/>
      <c r="I192" s="135"/>
      <c r="J192" s="134">
        <f t="shared" si="159"/>
        <v>0</v>
      </c>
      <c r="K192" s="50"/>
      <c r="L192" s="136" t="e">
        <f t="shared" si="161"/>
        <v>#DIV/0!</v>
      </c>
      <c r="M192" s="137"/>
      <c r="N192" s="47">
        <f t="shared" si="163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4">SUM(E185:E192)</f>
        <v>0</v>
      </c>
      <c r="F193" s="59">
        <f t="shared" si="164"/>
        <v>308</v>
      </c>
      <c r="G193" s="61" t="e">
        <f>AVERAGE(G185:G192)</f>
        <v>#DIV/0!</v>
      </c>
      <c r="H193" s="59"/>
      <c r="I193" s="62"/>
      <c r="J193" s="59">
        <f t="shared" ref="J193:K193" si="165">SUM(J185:J192)</f>
        <v>0</v>
      </c>
      <c r="K193" s="59">
        <f t="shared" si="165"/>
        <v>308</v>
      </c>
      <c r="L193" s="61" t="e">
        <f>AVERAGE(L185:L192)</f>
        <v>#DIV/0!</v>
      </c>
      <c r="M193" s="64"/>
      <c r="N193" s="65">
        <f>SUM(N185:N192)</f>
        <v>8594210</v>
      </c>
    </row>
    <row r="194" spans="1:18" ht="16">
      <c r="A194" s="139">
        <v>46156</v>
      </c>
      <c r="B194" s="144" t="s">
        <v>33</v>
      </c>
      <c r="C194" s="83"/>
      <c r="D194" s="145"/>
      <c r="E194" s="36">
        <f t="shared" ref="E194:E200" si="166">D194-C194</f>
        <v>0</v>
      </c>
      <c r="F194" s="37">
        <v>70</v>
      </c>
      <c r="G194" s="114" t="e">
        <f t="shared" ref="G194:G200" si="167">(F194/E194)*100</f>
        <v>#DIV/0!</v>
      </c>
      <c r="H194" s="125"/>
      <c r="I194" s="126"/>
      <c r="J194" s="39">
        <f t="shared" ref="J194:J200" si="168">I194-H194</f>
        <v>0</v>
      </c>
      <c r="K194" s="50">
        <f t="shared" ref="K194:K200" si="169">F194</f>
        <v>70</v>
      </c>
      <c r="L194" s="146" t="e">
        <f t="shared" ref="L194:L200" si="170">(K194/J194)*100</f>
        <v>#DIV/0!</v>
      </c>
      <c r="M194" s="68">
        <v>27490</v>
      </c>
      <c r="N194" s="47">
        <f t="shared" ref="N194:N196" si="171">F194*M194</f>
        <v>1924300</v>
      </c>
      <c r="R194" s="76">
        <f t="shared" ref="R194:R200" si="172">Q194</f>
        <v>0</v>
      </c>
    </row>
    <row r="195" spans="1:18" ht="16">
      <c r="A195" s="138">
        <v>46161</v>
      </c>
      <c r="B195" s="140" t="s">
        <v>33</v>
      </c>
      <c r="C195" s="83"/>
      <c r="D195" s="12"/>
      <c r="E195" s="36">
        <f t="shared" si="166"/>
        <v>0</v>
      </c>
      <c r="F195" s="45">
        <v>70</v>
      </c>
      <c r="G195" s="13" t="e">
        <f t="shared" si="167"/>
        <v>#DIV/0!</v>
      </c>
      <c r="H195" s="38"/>
      <c r="I195" s="38"/>
      <c r="J195" s="35">
        <f t="shared" si="168"/>
        <v>0</v>
      </c>
      <c r="K195" s="50">
        <f t="shared" si="169"/>
        <v>70</v>
      </c>
      <c r="L195" s="136" t="e">
        <f t="shared" si="170"/>
        <v>#DIV/0!</v>
      </c>
      <c r="M195" s="116">
        <v>27220</v>
      </c>
      <c r="N195" s="47">
        <f t="shared" si="171"/>
        <v>1905400</v>
      </c>
      <c r="R195" s="76">
        <f t="shared" si="172"/>
        <v>0</v>
      </c>
    </row>
    <row r="196" spans="1:18" ht="16">
      <c r="A196" s="138">
        <v>46167</v>
      </c>
      <c r="B196" s="140" t="s">
        <v>33</v>
      </c>
      <c r="C196" s="83"/>
      <c r="D196" s="83"/>
      <c r="E196" s="11">
        <f t="shared" si="166"/>
        <v>0</v>
      </c>
      <c r="F196" s="141">
        <v>75</v>
      </c>
      <c r="G196" s="13" t="e">
        <f t="shared" si="167"/>
        <v>#DIV/0!</v>
      </c>
      <c r="H196" s="35"/>
      <c r="I196" s="38"/>
      <c r="J196" s="35">
        <f t="shared" si="168"/>
        <v>0</v>
      </c>
      <c r="K196" s="50">
        <f t="shared" si="169"/>
        <v>75</v>
      </c>
      <c r="L196" s="136" t="e">
        <f t="shared" si="170"/>
        <v>#DIV/0!</v>
      </c>
      <c r="M196" s="116">
        <v>28760</v>
      </c>
      <c r="N196" s="47">
        <f t="shared" si="171"/>
        <v>2157000</v>
      </c>
      <c r="R196" s="76">
        <f t="shared" si="172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6"/>
        <v>0</v>
      </c>
      <c r="F197" s="141"/>
      <c r="G197" s="13" t="e">
        <f t="shared" si="167"/>
        <v>#DIV/0!</v>
      </c>
      <c r="H197" s="35"/>
      <c r="I197" s="38"/>
      <c r="J197" s="35">
        <f t="shared" si="168"/>
        <v>0</v>
      </c>
      <c r="K197" s="50">
        <f t="shared" si="169"/>
        <v>0</v>
      </c>
      <c r="L197" s="136" t="e">
        <f t="shared" si="170"/>
        <v>#DIV/0!</v>
      </c>
      <c r="M197" s="116"/>
      <c r="N197" s="121"/>
      <c r="R197" s="76">
        <f t="shared" si="172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6"/>
        <v>0</v>
      </c>
      <c r="F198" s="141"/>
      <c r="G198" s="13" t="e">
        <f t="shared" si="167"/>
        <v>#DIV/0!</v>
      </c>
      <c r="H198" s="35"/>
      <c r="I198" s="38"/>
      <c r="J198" s="35">
        <f t="shared" si="168"/>
        <v>0</v>
      </c>
      <c r="K198" s="50">
        <f t="shared" si="169"/>
        <v>0</v>
      </c>
      <c r="L198" s="136" t="e">
        <f t="shared" si="170"/>
        <v>#DIV/0!</v>
      </c>
      <c r="M198" s="116"/>
      <c r="N198" s="121">
        <f t="shared" ref="N198:N200" si="173">M198*K198</f>
        <v>0</v>
      </c>
      <c r="R198" s="76">
        <f t="shared" si="172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6"/>
        <v>0</v>
      </c>
      <c r="F199" s="141"/>
      <c r="G199" s="13" t="e">
        <f t="shared" si="167"/>
        <v>#DIV/0!</v>
      </c>
      <c r="H199" s="35"/>
      <c r="I199" s="38"/>
      <c r="J199" s="35">
        <f t="shared" si="168"/>
        <v>0</v>
      </c>
      <c r="K199" s="50">
        <f t="shared" si="169"/>
        <v>0</v>
      </c>
      <c r="L199" s="136" t="e">
        <f t="shared" si="170"/>
        <v>#DIV/0!</v>
      </c>
      <c r="M199" s="116"/>
      <c r="N199" s="121">
        <f t="shared" si="173"/>
        <v>0</v>
      </c>
      <c r="R199" s="76">
        <f t="shared" si="172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6"/>
        <v>0</v>
      </c>
      <c r="F200" s="141"/>
      <c r="G200" s="13" t="e">
        <f t="shared" si="167"/>
        <v>#DIV/0!</v>
      </c>
      <c r="H200" s="83"/>
      <c r="I200" s="125"/>
      <c r="J200" s="83">
        <f t="shared" si="168"/>
        <v>0</v>
      </c>
      <c r="K200" s="50">
        <f t="shared" si="169"/>
        <v>0</v>
      </c>
      <c r="L200" s="136" t="e">
        <f t="shared" si="170"/>
        <v>#DIV/0!</v>
      </c>
      <c r="M200" s="116"/>
      <c r="N200" s="121">
        <f t="shared" si="173"/>
        <v>0</v>
      </c>
      <c r="R200" s="76">
        <f t="shared" si="172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74">SUM(E188:E200)</f>
        <v>0</v>
      </c>
      <c r="F201" s="59">
        <f t="shared" si="174"/>
        <v>611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215</v>
      </c>
      <c r="L201" s="61" t="e">
        <f>AVERAGE(L188:L200)</f>
        <v>#DIV/0!</v>
      </c>
      <c r="M201" s="64"/>
      <c r="N201" s="132">
        <f>SUM(N194:N200)</f>
        <v>5986700</v>
      </c>
    </row>
    <row r="202" spans="1:18" ht="16">
      <c r="A202" s="138">
        <v>46151</v>
      </c>
      <c r="B202" s="140" t="s">
        <v>34</v>
      </c>
      <c r="C202" s="83"/>
      <c r="D202" s="145"/>
      <c r="E202" s="36">
        <f t="shared" ref="E202:E208" si="175">D202-C202</f>
        <v>0</v>
      </c>
      <c r="F202" s="37">
        <v>67</v>
      </c>
      <c r="G202" s="114" t="e">
        <f t="shared" ref="G202:G208" si="176">(F202/E202)*100</f>
        <v>#DIV/0!</v>
      </c>
      <c r="H202" s="125"/>
      <c r="I202" s="126"/>
      <c r="J202" s="39">
        <f t="shared" ref="J202:J208" si="177">I202-H202</f>
        <v>0</v>
      </c>
      <c r="K202" s="50">
        <f t="shared" ref="K202:K208" si="178">F202</f>
        <v>67</v>
      </c>
      <c r="L202" s="146" t="e">
        <f t="shared" ref="L202:L208" si="179">(K202/J202)*100</f>
        <v>#DIV/0!</v>
      </c>
      <c r="M202" s="68">
        <v>27490</v>
      </c>
      <c r="N202" s="121">
        <f t="shared" ref="N202:N204" si="180">M202*K202</f>
        <v>1841830</v>
      </c>
    </row>
    <row r="203" spans="1:18" ht="16">
      <c r="A203" s="138">
        <v>46163</v>
      </c>
      <c r="B203" s="140" t="s">
        <v>34</v>
      </c>
      <c r="C203" s="83"/>
      <c r="D203" s="12"/>
      <c r="E203" s="36">
        <f t="shared" si="175"/>
        <v>0</v>
      </c>
      <c r="F203" s="45">
        <v>44</v>
      </c>
      <c r="G203" s="13" t="e">
        <f t="shared" si="176"/>
        <v>#DIV/0!</v>
      </c>
      <c r="H203" s="38"/>
      <c r="I203" s="38"/>
      <c r="J203" s="35">
        <f t="shared" si="177"/>
        <v>0</v>
      </c>
      <c r="K203" s="50">
        <f t="shared" si="178"/>
        <v>44</v>
      </c>
      <c r="L203" s="136" t="e">
        <f t="shared" si="179"/>
        <v>#DIV/0!</v>
      </c>
      <c r="M203" s="116">
        <v>27220</v>
      </c>
      <c r="N203" s="121">
        <f t="shared" si="180"/>
        <v>1197680</v>
      </c>
    </row>
    <row r="204" spans="1:18" ht="16">
      <c r="A204" s="138">
        <v>46160</v>
      </c>
      <c r="B204" s="140" t="s">
        <v>34</v>
      </c>
      <c r="C204" s="83"/>
      <c r="D204" s="83"/>
      <c r="E204" s="11">
        <f t="shared" si="175"/>
        <v>0</v>
      </c>
      <c r="F204" s="141">
        <v>62</v>
      </c>
      <c r="G204" s="13" t="e">
        <f t="shared" si="176"/>
        <v>#DIV/0!</v>
      </c>
      <c r="H204" s="35"/>
      <c r="I204" s="38"/>
      <c r="J204" s="35">
        <f t="shared" si="177"/>
        <v>0</v>
      </c>
      <c r="K204" s="50">
        <f t="shared" si="178"/>
        <v>62</v>
      </c>
      <c r="L204" s="136" t="e">
        <f t="shared" si="179"/>
        <v>#DIV/0!</v>
      </c>
      <c r="M204" s="116">
        <v>27220</v>
      </c>
      <c r="N204" s="121">
        <f t="shared" si="180"/>
        <v>1687640</v>
      </c>
    </row>
    <row r="205" spans="1:18" ht="16">
      <c r="A205" s="138"/>
      <c r="B205" s="140" t="s">
        <v>34</v>
      </c>
      <c r="C205" s="83"/>
      <c r="D205" s="83"/>
      <c r="E205" s="11">
        <f t="shared" si="175"/>
        <v>0</v>
      </c>
      <c r="F205" s="141"/>
      <c r="G205" s="13" t="e">
        <f t="shared" si="176"/>
        <v>#DIV/0!</v>
      </c>
      <c r="H205" s="35"/>
      <c r="I205" s="38"/>
      <c r="J205" s="35">
        <f t="shared" si="177"/>
        <v>0</v>
      </c>
      <c r="K205" s="50">
        <f t="shared" si="178"/>
        <v>0</v>
      </c>
      <c r="L205" s="136" t="e">
        <f t="shared" si="179"/>
        <v>#DIV/0!</v>
      </c>
      <c r="M205" s="116"/>
      <c r="N205" s="121"/>
    </row>
    <row r="206" spans="1:18" ht="16">
      <c r="A206" s="138"/>
      <c r="B206" s="140" t="s">
        <v>34</v>
      </c>
      <c r="C206" s="83"/>
      <c r="D206" s="83"/>
      <c r="E206" s="11">
        <f t="shared" si="175"/>
        <v>0</v>
      </c>
      <c r="F206" s="141"/>
      <c r="G206" s="13" t="e">
        <f t="shared" si="176"/>
        <v>#DIV/0!</v>
      </c>
      <c r="H206" s="35"/>
      <c r="I206" s="38"/>
      <c r="J206" s="35">
        <f t="shared" si="177"/>
        <v>0</v>
      </c>
      <c r="K206" s="50">
        <f t="shared" si="178"/>
        <v>0</v>
      </c>
      <c r="L206" s="136" t="e">
        <f t="shared" si="179"/>
        <v>#DIV/0!</v>
      </c>
      <c r="M206" s="116"/>
      <c r="N206" s="121">
        <f t="shared" ref="N206:N208" si="181">M206*K206</f>
        <v>0</v>
      </c>
    </row>
    <row r="207" spans="1:18" ht="16">
      <c r="A207" s="138"/>
      <c r="B207" s="140" t="s">
        <v>34</v>
      </c>
      <c r="C207" s="83"/>
      <c r="D207" s="83"/>
      <c r="E207" s="11">
        <f t="shared" si="175"/>
        <v>0</v>
      </c>
      <c r="F207" s="141"/>
      <c r="G207" s="13" t="e">
        <f t="shared" si="176"/>
        <v>#DIV/0!</v>
      </c>
      <c r="H207" s="35"/>
      <c r="I207" s="38"/>
      <c r="J207" s="35">
        <f t="shared" si="177"/>
        <v>0</v>
      </c>
      <c r="K207" s="50">
        <f t="shared" si="178"/>
        <v>0</v>
      </c>
      <c r="L207" s="136" t="e">
        <f t="shared" si="179"/>
        <v>#DIV/0!</v>
      </c>
      <c r="M207" s="116"/>
      <c r="N207" s="121">
        <f t="shared" si="181"/>
        <v>0</v>
      </c>
    </row>
    <row r="208" spans="1:18" ht="16">
      <c r="A208" s="138"/>
      <c r="B208" s="140" t="s">
        <v>34</v>
      </c>
      <c r="C208" s="83"/>
      <c r="D208" s="83"/>
      <c r="E208" s="11">
        <f t="shared" si="175"/>
        <v>0</v>
      </c>
      <c r="F208" s="141"/>
      <c r="G208" s="13" t="e">
        <f t="shared" si="176"/>
        <v>#DIV/0!</v>
      </c>
      <c r="H208" s="83"/>
      <c r="I208" s="125"/>
      <c r="J208" s="83">
        <f t="shared" si="177"/>
        <v>0</v>
      </c>
      <c r="K208" s="50">
        <f t="shared" si="178"/>
        <v>0</v>
      </c>
      <c r="L208" s="136" t="e">
        <f t="shared" si="179"/>
        <v>#DIV/0!</v>
      </c>
      <c r="M208" s="116"/>
      <c r="N208" s="121">
        <f t="shared" si="181"/>
        <v>0</v>
      </c>
      <c r="R208" s="76">
        <f>Q208</f>
        <v>0</v>
      </c>
    </row>
    <row r="209" spans="1:18" ht="16">
      <c r="A209" s="138"/>
      <c r="B209" s="60"/>
      <c r="C209" s="59"/>
      <c r="D209" s="59" t="s">
        <v>19</v>
      </c>
      <c r="E209" s="59">
        <f t="shared" ref="E209:F209" si="182">SUM(E194:E208)</f>
        <v>0</v>
      </c>
      <c r="F209" s="59">
        <f t="shared" si="182"/>
        <v>999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173</v>
      </c>
      <c r="L209" s="61" t="e">
        <f>AVERAGE(L194:L208)</f>
        <v>#DIV/0!</v>
      </c>
      <c r="M209" s="64"/>
      <c r="N209" s="132">
        <f>SUM(N202:N208)</f>
        <v>4727150</v>
      </c>
    </row>
    <row r="210" spans="1:18" ht="16">
      <c r="A210" s="138">
        <v>46156</v>
      </c>
      <c r="B210" s="140" t="s">
        <v>36</v>
      </c>
      <c r="C210" s="83"/>
      <c r="D210" s="145"/>
      <c r="E210" s="36">
        <f t="shared" ref="E210:E216" si="183">D210-C210</f>
        <v>0</v>
      </c>
      <c r="F210" s="37">
        <v>78</v>
      </c>
      <c r="G210" s="114" t="e">
        <f t="shared" ref="G210:G216" si="184">(F210/E210)*100</f>
        <v>#DIV/0!</v>
      </c>
      <c r="H210" s="125"/>
      <c r="I210" s="126"/>
      <c r="J210" s="39">
        <f t="shared" ref="J210:J216" si="185">I210-H210</f>
        <v>0</v>
      </c>
      <c r="K210" s="50">
        <f t="shared" ref="K210:K216" si="186">F210</f>
        <v>78</v>
      </c>
      <c r="L210" s="146" t="e">
        <f t="shared" ref="L210:L216" si="187">(K210/J210)*100</f>
        <v>#DIV/0!</v>
      </c>
      <c r="M210" s="68">
        <v>27490</v>
      </c>
      <c r="N210" s="47">
        <f t="shared" ref="N210:N212" si="188">F210*M210</f>
        <v>2144220</v>
      </c>
    </row>
    <row r="211" spans="1:18" ht="16">
      <c r="A211" s="138">
        <v>46163</v>
      </c>
      <c r="B211" s="140" t="s">
        <v>36</v>
      </c>
      <c r="C211" s="83"/>
      <c r="D211" s="12"/>
      <c r="E211" s="36">
        <f t="shared" si="183"/>
        <v>0</v>
      </c>
      <c r="F211" s="45">
        <v>60</v>
      </c>
      <c r="G211" s="13" t="e">
        <f t="shared" si="184"/>
        <v>#DIV/0!</v>
      </c>
      <c r="H211" s="38"/>
      <c r="I211" s="38"/>
      <c r="J211" s="35">
        <f t="shared" si="185"/>
        <v>0</v>
      </c>
      <c r="K211" s="50">
        <f t="shared" si="186"/>
        <v>60</v>
      </c>
      <c r="L211" s="136" t="e">
        <f t="shared" si="187"/>
        <v>#DIV/0!</v>
      </c>
      <c r="M211" s="116">
        <v>27220</v>
      </c>
      <c r="N211" s="47">
        <f t="shared" si="188"/>
        <v>1633200</v>
      </c>
    </row>
    <row r="212" spans="1:18" ht="16">
      <c r="A212" s="138">
        <v>46171</v>
      </c>
      <c r="B212" s="140" t="s">
        <v>36</v>
      </c>
      <c r="C212" s="83"/>
      <c r="D212" s="83"/>
      <c r="E212" s="11">
        <f t="shared" si="183"/>
        <v>0</v>
      </c>
      <c r="F212" s="141">
        <v>73</v>
      </c>
      <c r="G212" s="13" t="e">
        <f t="shared" si="184"/>
        <v>#DIV/0!</v>
      </c>
      <c r="H212" s="35"/>
      <c r="I212" s="38"/>
      <c r="J212" s="35">
        <f t="shared" si="185"/>
        <v>0</v>
      </c>
      <c r="K212" s="50">
        <f t="shared" si="186"/>
        <v>73</v>
      </c>
      <c r="L212" s="136" t="e">
        <f t="shared" si="187"/>
        <v>#DIV/0!</v>
      </c>
      <c r="M212" s="116">
        <v>27650</v>
      </c>
      <c r="N212" s="47">
        <f t="shared" si="188"/>
        <v>2018450</v>
      </c>
    </row>
    <row r="213" spans="1:18" ht="16">
      <c r="A213" s="138"/>
      <c r="B213" s="140" t="s">
        <v>36</v>
      </c>
      <c r="C213" s="83"/>
      <c r="D213" s="83"/>
      <c r="E213" s="11">
        <f t="shared" si="183"/>
        <v>0</v>
      </c>
      <c r="F213" s="141"/>
      <c r="G213" s="13" t="e">
        <f t="shared" si="184"/>
        <v>#DIV/0!</v>
      </c>
      <c r="H213" s="35"/>
      <c r="I213" s="38"/>
      <c r="J213" s="35">
        <f t="shared" si="185"/>
        <v>0</v>
      </c>
      <c r="K213" s="50">
        <f t="shared" si="186"/>
        <v>0</v>
      </c>
      <c r="L213" s="136" t="e">
        <f t="shared" si="187"/>
        <v>#DIV/0!</v>
      </c>
      <c r="M213" s="116"/>
      <c r="N213" s="121"/>
    </row>
    <row r="214" spans="1:18" ht="16">
      <c r="A214" s="138"/>
      <c r="B214" s="140" t="s">
        <v>36</v>
      </c>
      <c r="C214" s="83"/>
      <c r="D214" s="83"/>
      <c r="E214" s="11">
        <f t="shared" si="183"/>
        <v>0</v>
      </c>
      <c r="F214" s="141"/>
      <c r="G214" s="13" t="e">
        <f t="shared" si="184"/>
        <v>#DIV/0!</v>
      </c>
      <c r="H214" s="35"/>
      <c r="I214" s="38"/>
      <c r="J214" s="35">
        <f t="shared" si="185"/>
        <v>0</v>
      </c>
      <c r="K214" s="50">
        <f t="shared" si="186"/>
        <v>0</v>
      </c>
      <c r="L214" s="136" t="e">
        <f t="shared" si="187"/>
        <v>#DIV/0!</v>
      </c>
      <c r="M214" s="116"/>
      <c r="N214" s="121">
        <f t="shared" ref="N214:N216" si="189">M214*K214</f>
        <v>0</v>
      </c>
    </row>
    <row r="215" spans="1:18" ht="16">
      <c r="A215" s="138"/>
      <c r="B215" s="140" t="s">
        <v>36</v>
      </c>
      <c r="C215" s="83"/>
      <c r="D215" s="83"/>
      <c r="E215" s="11">
        <f t="shared" si="183"/>
        <v>0</v>
      </c>
      <c r="F215" s="141"/>
      <c r="G215" s="13" t="e">
        <f t="shared" si="184"/>
        <v>#DIV/0!</v>
      </c>
      <c r="H215" s="35"/>
      <c r="I215" s="38"/>
      <c r="J215" s="35">
        <f t="shared" si="185"/>
        <v>0</v>
      </c>
      <c r="K215" s="50">
        <f t="shared" si="186"/>
        <v>0</v>
      </c>
      <c r="L215" s="136" t="e">
        <f t="shared" si="187"/>
        <v>#DIV/0!</v>
      </c>
      <c r="M215" s="116"/>
      <c r="N215" s="121">
        <f t="shared" si="189"/>
        <v>0</v>
      </c>
    </row>
    <row r="216" spans="1:18" ht="16">
      <c r="A216" s="138"/>
      <c r="B216" s="140" t="s">
        <v>36</v>
      </c>
      <c r="C216" s="83"/>
      <c r="D216" s="83"/>
      <c r="E216" s="11">
        <f t="shared" si="183"/>
        <v>0</v>
      </c>
      <c r="F216" s="141"/>
      <c r="G216" s="13" t="e">
        <f t="shared" si="184"/>
        <v>#DIV/0!</v>
      </c>
      <c r="H216" s="83"/>
      <c r="I216" s="125"/>
      <c r="J216" s="83">
        <f t="shared" si="185"/>
        <v>0</v>
      </c>
      <c r="K216" s="50">
        <f t="shared" si="186"/>
        <v>0</v>
      </c>
      <c r="L216" s="136" t="e">
        <f t="shared" si="187"/>
        <v>#DIV/0!</v>
      </c>
      <c r="M216" s="116"/>
      <c r="N216" s="121">
        <f t="shared" si="189"/>
        <v>0</v>
      </c>
    </row>
    <row r="217" spans="1:18" ht="16">
      <c r="A217" s="138"/>
      <c r="B217" s="60"/>
      <c r="C217" s="59"/>
      <c r="D217" s="59" t="s">
        <v>19</v>
      </c>
      <c r="E217" s="59">
        <f t="shared" ref="E217:F217" si="190">SUM(E202:E216)</f>
        <v>0</v>
      </c>
      <c r="F217" s="59">
        <f t="shared" si="190"/>
        <v>1383</v>
      </c>
      <c r="G217" s="61" t="e">
        <f>AVERAGE(G202:G216)</f>
        <v>#DIV/0!</v>
      </c>
      <c r="H217" s="59"/>
      <c r="I217" s="62"/>
      <c r="J217" s="59">
        <f>SUM(J202:J216)</f>
        <v>0</v>
      </c>
      <c r="K217" s="59">
        <f>SUM(K210:K216)</f>
        <v>211</v>
      </c>
      <c r="L217" s="61" t="e">
        <f>AVERAGE(L202:L216)</f>
        <v>#DIV/0!</v>
      </c>
      <c r="M217" s="64"/>
      <c r="N217" s="132">
        <f>SUM(N210:N216)</f>
        <v>5795870</v>
      </c>
    </row>
    <row r="218" spans="1:18" ht="18">
      <c r="A218" s="138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8"/>
      <c r="N218" s="149">
        <f>SUM(N3:N217)/2</f>
        <v>167325838.51999998</v>
      </c>
      <c r="R218" s="76">
        <f>Q218</f>
        <v>0</v>
      </c>
    </row>
    <row r="219" spans="1:18" ht="14">
      <c r="A219" s="138"/>
      <c r="G219" s="150"/>
      <c r="L219" s="150"/>
      <c r="N219" s="151"/>
    </row>
    <row r="220" spans="1:18" ht="31.5" customHeight="1">
      <c r="A220" s="138"/>
      <c r="D220" s="152" t="s">
        <v>45</v>
      </c>
      <c r="E220" s="153"/>
      <c r="G220" s="150"/>
      <c r="L220" s="150"/>
      <c r="N220" s="151"/>
    </row>
    <row r="221" spans="1:18" ht="16">
      <c r="A221" s="138"/>
      <c r="B221" s="154" t="s">
        <v>2</v>
      </c>
      <c r="C221" s="148"/>
      <c r="D221" s="148" t="s">
        <v>4</v>
      </c>
      <c r="E221" s="148" t="s">
        <v>5</v>
      </c>
      <c r="F221" s="148" t="s">
        <v>6</v>
      </c>
      <c r="G221" s="155" t="s">
        <v>7</v>
      </c>
      <c r="H221" s="156" t="s">
        <v>8</v>
      </c>
      <c r="I221" s="157" t="s">
        <v>8</v>
      </c>
      <c r="J221" s="148" t="s">
        <v>5</v>
      </c>
      <c r="K221" s="148" t="s">
        <v>6</v>
      </c>
      <c r="L221" s="155" t="s">
        <v>7</v>
      </c>
      <c r="M221" s="148"/>
      <c r="N221" s="158" t="s">
        <v>10</v>
      </c>
      <c r="O221" s="18">
        <v>1</v>
      </c>
      <c r="P221" s="159" t="s">
        <v>46</v>
      </c>
      <c r="Q221" s="160">
        <f>N227</f>
        <v>19650171.800000001</v>
      </c>
      <c r="R221" s="20">
        <f t="shared" ref="R221:R235" si="191">Q221</f>
        <v>19650171.800000001</v>
      </c>
    </row>
    <row r="222" spans="1:18" ht="16">
      <c r="A222" s="138">
        <v>46158</v>
      </c>
      <c r="B222" s="161" t="s">
        <v>46</v>
      </c>
      <c r="C222" s="12"/>
      <c r="D222" s="12"/>
      <c r="E222" s="11">
        <f t="shared" ref="E222:E226" si="192">D222-C222</f>
        <v>0</v>
      </c>
      <c r="F222" s="35">
        <v>365.54</v>
      </c>
      <c r="G222" s="13" t="e">
        <f t="shared" ref="G222:G226" si="193">(F222/E222)*100</f>
        <v>#DIV/0!</v>
      </c>
      <c r="H222" s="38">
        <v>417489</v>
      </c>
      <c r="I222" s="126">
        <v>418574</v>
      </c>
      <c r="J222" s="39">
        <f t="shared" ref="J222:J226" si="194">I222-H222</f>
        <v>1085</v>
      </c>
      <c r="K222" s="35">
        <v>365.54</v>
      </c>
      <c r="L222" s="67">
        <f t="shared" ref="L222:L226" si="195">(K222/J222)*100</f>
        <v>33.690322580645166</v>
      </c>
      <c r="M222" s="68">
        <v>27220</v>
      </c>
      <c r="N222" s="47">
        <f t="shared" ref="N222:N226" si="196">M222*K222</f>
        <v>9949998.8000000007</v>
      </c>
      <c r="O222" s="18">
        <v>2</v>
      </c>
      <c r="P222" s="159" t="s">
        <v>47</v>
      </c>
      <c r="Q222" s="160">
        <f>N234</f>
        <v>17699551.300000001</v>
      </c>
      <c r="R222" s="20">
        <f t="shared" si="191"/>
        <v>17699551.300000001</v>
      </c>
    </row>
    <row r="223" spans="1:18" ht="16">
      <c r="A223" s="138">
        <v>46172</v>
      </c>
      <c r="B223" s="162" t="s">
        <v>46</v>
      </c>
      <c r="C223" s="12"/>
      <c r="D223" s="12"/>
      <c r="E223" s="11">
        <f t="shared" si="192"/>
        <v>0</v>
      </c>
      <c r="F223" s="45">
        <v>350.82</v>
      </c>
      <c r="G223" s="13" t="e">
        <f t="shared" si="193"/>
        <v>#DIV/0!</v>
      </c>
      <c r="H223" s="126">
        <v>418574</v>
      </c>
      <c r="I223" s="126">
        <v>419520</v>
      </c>
      <c r="J223" s="35">
        <f t="shared" si="194"/>
        <v>946</v>
      </c>
      <c r="K223" s="50">
        <f t="shared" ref="K223:K226" si="197">F223</f>
        <v>350.82</v>
      </c>
      <c r="L223" s="46">
        <f t="shared" si="195"/>
        <v>37.084566596194499</v>
      </c>
      <c r="M223" s="68">
        <v>27650</v>
      </c>
      <c r="N223" s="47">
        <f t="shared" si="196"/>
        <v>9700173</v>
      </c>
      <c r="O223" s="18">
        <v>3</v>
      </c>
      <c r="P223" s="159" t="s">
        <v>48</v>
      </c>
      <c r="Q223" s="160">
        <f>N240</f>
        <v>19000732.100000001</v>
      </c>
      <c r="R223" s="20">
        <f t="shared" si="191"/>
        <v>19000732.100000001</v>
      </c>
    </row>
    <row r="224" spans="1:18" ht="16">
      <c r="A224" s="138"/>
      <c r="B224" s="162" t="s">
        <v>46</v>
      </c>
      <c r="C224" s="12"/>
      <c r="D224" s="35"/>
      <c r="E224" s="11">
        <f t="shared" si="192"/>
        <v>0</v>
      </c>
      <c r="F224" s="45"/>
      <c r="G224" s="13" t="e">
        <f t="shared" si="193"/>
        <v>#DIV/0!</v>
      </c>
      <c r="H224" s="35"/>
      <c r="I224" s="38"/>
      <c r="J224" s="35">
        <f t="shared" si="194"/>
        <v>0</v>
      </c>
      <c r="K224" s="35">
        <f t="shared" si="197"/>
        <v>0</v>
      </c>
      <c r="L224" s="46" t="e">
        <f t="shared" si="195"/>
        <v>#DIV/0!</v>
      </c>
      <c r="M224" s="48"/>
      <c r="N224" s="47">
        <f t="shared" si="196"/>
        <v>0</v>
      </c>
      <c r="O224" s="18">
        <v>4</v>
      </c>
      <c r="P224" s="159" t="s">
        <v>49</v>
      </c>
      <c r="Q224" s="160">
        <f>N246</f>
        <v>6900349.1999999993</v>
      </c>
      <c r="R224" s="20">
        <f t="shared" si="191"/>
        <v>6900349.1999999993</v>
      </c>
    </row>
    <row r="225" spans="1:18" ht="16">
      <c r="A225" s="138"/>
      <c r="B225" s="162" t="s">
        <v>46</v>
      </c>
      <c r="C225" s="35"/>
      <c r="D225" s="35"/>
      <c r="E225" s="11">
        <f t="shared" si="192"/>
        <v>0</v>
      </c>
      <c r="F225" s="45"/>
      <c r="G225" s="13" t="e">
        <f t="shared" si="193"/>
        <v>#DIV/0!</v>
      </c>
      <c r="H225" s="35"/>
      <c r="I225" s="38"/>
      <c r="J225" s="35">
        <f t="shared" si="194"/>
        <v>0</v>
      </c>
      <c r="K225" s="35">
        <f t="shared" si="197"/>
        <v>0</v>
      </c>
      <c r="L225" s="46" t="e">
        <f t="shared" si="195"/>
        <v>#DIV/0!</v>
      </c>
      <c r="M225" s="48"/>
      <c r="N225" s="47">
        <f t="shared" si="196"/>
        <v>0</v>
      </c>
      <c r="O225" s="18">
        <v>5</v>
      </c>
      <c r="P225" s="159" t="s">
        <v>50</v>
      </c>
      <c r="Q225" s="160">
        <f>N252</f>
        <v>12000703.300000001</v>
      </c>
      <c r="R225" s="20">
        <f t="shared" si="191"/>
        <v>12000703.300000001</v>
      </c>
    </row>
    <row r="226" spans="1:18" ht="16">
      <c r="A226" s="138"/>
      <c r="B226" s="162" t="s">
        <v>46</v>
      </c>
      <c r="C226" s="35"/>
      <c r="D226" s="35"/>
      <c r="E226" s="11">
        <f t="shared" si="192"/>
        <v>0</v>
      </c>
      <c r="F226" s="45"/>
      <c r="G226" s="13" t="e">
        <f t="shared" si="193"/>
        <v>#DIV/0!</v>
      </c>
      <c r="H226" s="35"/>
      <c r="I226" s="38"/>
      <c r="J226" s="35">
        <f t="shared" si="194"/>
        <v>0</v>
      </c>
      <c r="K226" s="35">
        <f t="shared" si="197"/>
        <v>0</v>
      </c>
      <c r="L226" s="73" t="e">
        <f t="shared" si="195"/>
        <v>#DIV/0!</v>
      </c>
      <c r="M226" s="48"/>
      <c r="N226" s="47">
        <f t="shared" si="196"/>
        <v>0</v>
      </c>
      <c r="O226" s="18">
        <v>6</v>
      </c>
      <c r="P226" s="159" t="s">
        <v>51</v>
      </c>
      <c r="Q226" s="160">
        <f>N259</f>
        <v>19914147.199999999</v>
      </c>
      <c r="R226" s="20">
        <f t="shared" si="191"/>
        <v>19914147.199999999</v>
      </c>
    </row>
    <row r="227" spans="1:18" ht="16">
      <c r="A227" s="138"/>
      <c r="B227" s="60"/>
      <c r="C227" s="59"/>
      <c r="D227" s="59" t="s">
        <v>19</v>
      </c>
      <c r="E227" s="59">
        <f t="shared" ref="E227:F227" si="198">SUM(E222:E226)</f>
        <v>0</v>
      </c>
      <c r="F227" s="59">
        <f t="shared" si="198"/>
        <v>716.36</v>
      </c>
      <c r="G227" s="61" t="e">
        <f>AVERAGE(G222:G226)</f>
        <v>#DIV/0!</v>
      </c>
      <c r="H227" s="59"/>
      <c r="I227" s="62"/>
      <c r="J227" s="59">
        <f t="shared" ref="J227:K227" si="199">SUM(J222:J226)</f>
        <v>2031</v>
      </c>
      <c r="K227" s="59">
        <f t="shared" si="199"/>
        <v>716.36</v>
      </c>
      <c r="L227" s="61" t="e">
        <f>AVERAGE(L222:L226)</f>
        <v>#DIV/0!</v>
      </c>
      <c r="M227" s="64"/>
      <c r="N227" s="65">
        <f>SUM(N222:N226)</f>
        <v>19650171.800000001</v>
      </c>
      <c r="O227" s="18">
        <v>7</v>
      </c>
      <c r="P227" s="163" t="s">
        <v>52</v>
      </c>
      <c r="Q227" s="160">
        <f>N293</f>
        <v>25190867.899999999</v>
      </c>
      <c r="R227" s="20">
        <f t="shared" si="191"/>
        <v>25190867.899999999</v>
      </c>
    </row>
    <row r="228" spans="1:18" ht="16">
      <c r="A228" s="138">
        <v>46153</v>
      </c>
      <c r="B228" s="164" t="s">
        <v>53</v>
      </c>
      <c r="C228" s="83">
        <v>514281</v>
      </c>
      <c r="D228" s="83">
        <v>514907</v>
      </c>
      <c r="E228" s="11">
        <f t="shared" ref="E228:E233" si="200">D228-C228</f>
        <v>626</v>
      </c>
      <c r="F228" s="141">
        <v>225.53</v>
      </c>
      <c r="G228" s="13">
        <f t="shared" ref="G228:G233" si="201">(F228/E228)*100</f>
        <v>36.027156549520768</v>
      </c>
      <c r="H228" s="125">
        <v>513799</v>
      </c>
      <c r="I228" s="125">
        <v>514386</v>
      </c>
      <c r="J228" s="83">
        <f t="shared" ref="J228:J233" si="202">I228-H228</f>
        <v>587</v>
      </c>
      <c r="K228" s="83">
        <f t="shared" ref="K228:K233" si="203">F228</f>
        <v>225.53</v>
      </c>
      <c r="L228" s="136">
        <f t="shared" ref="L228:L233" si="204">(K228/J228)*100</f>
        <v>38.420783645655874</v>
      </c>
      <c r="M228" s="116">
        <v>27490</v>
      </c>
      <c r="N228" s="42">
        <f t="shared" ref="N228:N231" si="205">F228*M228</f>
        <v>6199819.7000000002</v>
      </c>
      <c r="O228" s="18">
        <v>8</v>
      </c>
      <c r="P228" s="165" t="s">
        <v>54</v>
      </c>
      <c r="Q228" s="160">
        <f>N277</f>
        <v>31500000</v>
      </c>
      <c r="R228" s="20">
        <f t="shared" si="191"/>
        <v>31500000</v>
      </c>
    </row>
    <row r="229" spans="1:18" ht="16">
      <c r="A229" s="138">
        <v>46163</v>
      </c>
      <c r="B229" s="164" t="s">
        <v>53</v>
      </c>
      <c r="C229" s="83">
        <v>514907</v>
      </c>
      <c r="D229" s="83">
        <v>515484</v>
      </c>
      <c r="E229" s="11">
        <f t="shared" si="200"/>
        <v>577</v>
      </c>
      <c r="F229" s="141">
        <v>183.68</v>
      </c>
      <c r="G229" s="13">
        <f t="shared" si="201"/>
        <v>31.833622183708837</v>
      </c>
      <c r="H229" s="125">
        <v>514386</v>
      </c>
      <c r="I229" s="125">
        <v>514942</v>
      </c>
      <c r="J229" s="83">
        <f t="shared" si="202"/>
        <v>556</v>
      </c>
      <c r="K229" s="83">
        <f t="shared" si="203"/>
        <v>183.68</v>
      </c>
      <c r="L229" s="136">
        <f t="shared" si="204"/>
        <v>33.035971223021583</v>
      </c>
      <c r="M229" s="116">
        <v>27220</v>
      </c>
      <c r="N229" s="47">
        <f t="shared" si="205"/>
        <v>4999769.6000000006</v>
      </c>
      <c r="O229" s="18">
        <v>9</v>
      </c>
      <c r="P229" s="166" t="s">
        <v>55</v>
      </c>
      <c r="Q229" s="160">
        <f>N286</f>
        <v>18000000</v>
      </c>
      <c r="R229" s="20">
        <f t="shared" si="191"/>
        <v>18000000</v>
      </c>
    </row>
    <row r="230" spans="1:18" ht="16">
      <c r="A230" s="138">
        <v>46171</v>
      </c>
      <c r="B230" s="164" t="s">
        <v>53</v>
      </c>
      <c r="C230" s="83">
        <v>515484</v>
      </c>
      <c r="D230" s="83">
        <v>516137</v>
      </c>
      <c r="E230" s="11">
        <f t="shared" si="200"/>
        <v>653</v>
      </c>
      <c r="F230" s="141">
        <v>235.08</v>
      </c>
      <c r="G230" s="13">
        <f t="shared" si="201"/>
        <v>36.000000000000007</v>
      </c>
      <c r="H230" s="125">
        <v>514942</v>
      </c>
      <c r="I230" s="125">
        <v>515575</v>
      </c>
      <c r="J230" s="83">
        <f t="shared" si="202"/>
        <v>633</v>
      </c>
      <c r="K230" s="83">
        <f t="shared" si="203"/>
        <v>235.08</v>
      </c>
      <c r="L230" s="136">
        <f t="shared" si="204"/>
        <v>37.137440758293835</v>
      </c>
      <c r="M230" s="116">
        <v>27650</v>
      </c>
      <c r="N230" s="47">
        <f t="shared" si="205"/>
        <v>6499962</v>
      </c>
      <c r="O230" s="18">
        <v>10</v>
      </c>
      <c r="P230" s="167" t="s">
        <v>56</v>
      </c>
      <c r="Q230" s="160">
        <f>N268</f>
        <v>24500000</v>
      </c>
      <c r="R230" s="20">
        <f t="shared" si="191"/>
        <v>24500000</v>
      </c>
    </row>
    <row r="231" spans="1:18" ht="16">
      <c r="A231" s="138"/>
      <c r="B231" s="164" t="s">
        <v>53</v>
      </c>
      <c r="C231" s="83"/>
      <c r="D231" s="83"/>
      <c r="E231" s="11">
        <f t="shared" si="200"/>
        <v>0</v>
      </c>
      <c r="F231" s="141"/>
      <c r="G231" s="13" t="e">
        <f t="shared" si="201"/>
        <v>#DIV/0!</v>
      </c>
      <c r="H231" s="125"/>
      <c r="I231" s="125"/>
      <c r="J231" s="83">
        <f t="shared" si="202"/>
        <v>0</v>
      </c>
      <c r="K231" s="83">
        <f t="shared" si="203"/>
        <v>0</v>
      </c>
      <c r="L231" s="136" t="e">
        <f t="shared" si="204"/>
        <v>#DIV/0!</v>
      </c>
      <c r="M231" s="116"/>
      <c r="N231" s="47">
        <f t="shared" si="205"/>
        <v>0</v>
      </c>
      <c r="O231" s="18">
        <v>11</v>
      </c>
      <c r="P231" s="168" t="s">
        <v>57</v>
      </c>
      <c r="Q231" s="169">
        <f>N302</f>
        <v>22276598.100000001</v>
      </c>
      <c r="R231" s="20">
        <f t="shared" si="191"/>
        <v>22276598.100000001</v>
      </c>
    </row>
    <row r="232" spans="1:18" ht="16">
      <c r="A232" s="138"/>
      <c r="B232" s="164" t="s">
        <v>53</v>
      </c>
      <c r="C232" s="83"/>
      <c r="D232" s="83"/>
      <c r="E232" s="11">
        <f t="shared" si="200"/>
        <v>0</v>
      </c>
      <c r="F232" s="141"/>
      <c r="G232" s="13" t="e">
        <f t="shared" si="201"/>
        <v>#DIV/0!</v>
      </c>
      <c r="H232" s="125"/>
      <c r="I232" s="125"/>
      <c r="J232" s="83">
        <f t="shared" si="202"/>
        <v>0</v>
      </c>
      <c r="K232" s="83">
        <f t="shared" si="203"/>
        <v>0</v>
      </c>
      <c r="L232" s="136" t="e">
        <f t="shared" si="204"/>
        <v>#DIV/0!</v>
      </c>
      <c r="M232" s="116"/>
      <c r="N232" s="47">
        <f t="shared" ref="N232:N233" si="206">M232*K232</f>
        <v>0</v>
      </c>
      <c r="O232" s="18">
        <v>12</v>
      </c>
      <c r="P232" s="168" t="s">
        <v>58</v>
      </c>
      <c r="Q232" s="169">
        <f>N312</f>
        <v>18599703.699999999</v>
      </c>
      <c r="R232" s="20">
        <f t="shared" si="191"/>
        <v>18599703.699999999</v>
      </c>
    </row>
    <row r="233" spans="1:18" ht="16">
      <c r="A233" s="138"/>
      <c r="B233" s="164" t="s">
        <v>53</v>
      </c>
      <c r="C233" s="83"/>
      <c r="D233" s="83"/>
      <c r="E233" s="11">
        <f t="shared" si="200"/>
        <v>0</v>
      </c>
      <c r="F233" s="141"/>
      <c r="G233" s="13" t="e">
        <f t="shared" si="201"/>
        <v>#DIV/0!</v>
      </c>
      <c r="H233" s="125"/>
      <c r="I233" s="125"/>
      <c r="J233" s="83">
        <f t="shared" si="202"/>
        <v>0</v>
      </c>
      <c r="K233" s="83">
        <f t="shared" si="203"/>
        <v>0</v>
      </c>
      <c r="L233" s="136" t="e">
        <f t="shared" si="204"/>
        <v>#DIV/0!</v>
      </c>
      <c r="M233" s="116"/>
      <c r="N233" s="47">
        <f t="shared" si="206"/>
        <v>0</v>
      </c>
      <c r="O233" s="18">
        <v>13</v>
      </c>
      <c r="P233" s="170" t="s">
        <v>59</v>
      </c>
      <c r="Q233" s="169">
        <f>N319</f>
        <v>11200000</v>
      </c>
      <c r="R233" s="20">
        <f t="shared" si="191"/>
        <v>11200000</v>
      </c>
    </row>
    <row r="234" spans="1:18" ht="16">
      <c r="A234" s="138"/>
      <c r="B234" s="60"/>
      <c r="C234" s="59"/>
      <c r="D234" s="59" t="s">
        <v>19</v>
      </c>
      <c r="E234" s="59">
        <f>SUM(E228:E232)</f>
        <v>1856</v>
      </c>
      <c r="F234" s="59">
        <f>SUM(F228:F233)</f>
        <v>644.29000000000008</v>
      </c>
      <c r="G234" s="61" t="e">
        <f>AVERAGE(G228:G232)</f>
        <v>#DIV/0!</v>
      </c>
      <c r="H234" s="59"/>
      <c r="I234" s="62"/>
      <c r="J234" s="59">
        <f t="shared" ref="J234:K234" si="207">SUM(J228:J232)</f>
        <v>1776</v>
      </c>
      <c r="K234" s="59">
        <f t="shared" si="207"/>
        <v>644.29000000000008</v>
      </c>
      <c r="L234" s="61" t="e">
        <f>AVERAGE(L228:L232)</f>
        <v>#DIV/0!</v>
      </c>
      <c r="M234" s="64"/>
      <c r="N234" s="65">
        <f>SUM(N228:N233)</f>
        <v>17699551.300000001</v>
      </c>
      <c r="O234" s="18">
        <v>14</v>
      </c>
      <c r="P234" s="159" t="s">
        <v>60</v>
      </c>
      <c r="Q234" s="20">
        <f>N329</f>
        <v>22150256.300000001</v>
      </c>
      <c r="R234" s="20">
        <f t="shared" si="191"/>
        <v>22150256.300000001</v>
      </c>
    </row>
    <row r="235" spans="1:18" ht="16">
      <c r="A235" s="138">
        <v>46148</v>
      </c>
      <c r="B235" s="164" t="s">
        <v>48</v>
      </c>
      <c r="C235" s="12"/>
      <c r="D235" s="12"/>
      <c r="E235" s="36">
        <f t="shared" ref="E235:E239" si="208">D235-C235</f>
        <v>0</v>
      </c>
      <c r="F235" s="141">
        <v>212.99</v>
      </c>
      <c r="G235" s="13" t="e">
        <f t="shared" ref="G235:G239" si="209">(F235/E235)*100</f>
        <v>#DIV/0!</v>
      </c>
      <c r="H235" s="125">
        <v>7915</v>
      </c>
      <c r="I235" s="126">
        <v>8197</v>
      </c>
      <c r="J235" s="39">
        <f t="shared" ref="J235:J239" si="210">I235-H235</f>
        <v>282</v>
      </c>
      <c r="K235" s="39"/>
      <c r="L235" s="136">
        <f t="shared" ref="L235:L239" si="211">(K235/J235)*100</f>
        <v>0</v>
      </c>
      <c r="M235" s="68">
        <v>28170</v>
      </c>
      <c r="N235" s="121">
        <f t="shared" ref="N235:N239" si="212">F235*M235</f>
        <v>5999928.2999999998</v>
      </c>
      <c r="O235" s="18">
        <v>15</v>
      </c>
      <c r="P235" s="159" t="s">
        <v>61</v>
      </c>
      <c r="Q235" s="20">
        <f>N336</f>
        <v>6340082.3999999994</v>
      </c>
      <c r="R235" s="20">
        <f t="shared" si="191"/>
        <v>6340082.3999999994</v>
      </c>
    </row>
    <row r="236" spans="1:18" ht="16">
      <c r="A236" s="138">
        <v>46161</v>
      </c>
      <c r="B236" s="164" t="s">
        <v>48</v>
      </c>
      <c r="C236" s="12"/>
      <c r="D236" s="12"/>
      <c r="E236" s="11">
        <f t="shared" si="208"/>
        <v>0</v>
      </c>
      <c r="F236" s="141">
        <v>220.44</v>
      </c>
      <c r="G236" s="13" t="e">
        <f t="shared" si="209"/>
        <v>#DIV/0!</v>
      </c>
      <c r="H236" s="126">
        <v>8197</v>
      </c>
      <c r="I236" s="125">
        <v>8472</v>
      </c>
      <c r="J236" s="83">
        <f t="shared" si="210"/>
        <v>275</v>
      </c>
      <c r="K236" s="35"/>
      <c r="L236" s="136">
        <f t="shared" si="211"/>
        <v>0</v>
      </c>
      <c r="M236" s="116">
        <v>27220</v>
      </c>
      <c r="N236" s="121">
        <f t="shared" si="212"/>
        <v>6000376.7999999998</v>
      </c>
      <c r="O236" s="18"/>
      <c r="P236" s="171"/>
      <c r="Q236" s="18"/>
      <c r="R236" s="18"/>
    </row>
    <row r="237" spans="1:18" ht="16">
      <c r="A237" s="138">
        <v>46172</v>
      </c>
      <c r="B237" s="164" t="s">
        <v>48</v>
      </c>
      <c r="C237" s="83"/>
      <c r="D237" s="83"/>
      <c r="E237" s="11">
        <f t="shared" si="208"/>
        <v>0</v>
      </c>
      <c r="F237" s="141">
        <v>253.18</v>
      </c>
      <c r="G237" s="13" t="e">
        <f t="shared" si="209"/>
        <v>#DIV/0!</v>
      </c>
      <c r="H237" s="125">
        <v>8472</v>
      </c>
      <c r="I237" s="125">
        <v>8808</v>
      </c>
      <c r="J237" s="83">
        <f t="shared" si="210"/>
        <v>336</v>
      </c>
      <c r="K237" s="35"/>
      <c r="L237" s="136">
        <f t="shared" si="211"/>
        <v>0</v>
      </c>
      <c r="M237" s="116">
        <v>27650</v>
      </c>
      <c r="N237" s="121">
        <f t="shared" si="212"/>
        <v>7000427</v>
      </c>
      <c r="P237" s="75" t="s">
        <v>19</v>
      </c>
      <c r="Q237" s="20">
        <f>SUM(Q221:Q236)</f>
        <v>274923163.29999995</v>
      </c>
    </row>
    <row r="238" spans="1:18" ht="16">
      <c r="A238" s="138"/>
      <c r="B238" s="164" t="s">
        <v>48</v>
      </c>
      <c r="C238" s="83"/>
      <c r="D238" s="83"/>
      <c r="E238" s="11">
        <f t="shared" si="208"/>
        <v>0</v>
      </c>
      <c r="F238" s="141"/>
      <c r="G238" s="13" t="e">
        <f t="shared" si="209"/>
        <v>#DIV/0!</v>
      </c>
      <c r="H238" s="83"/>
      <c r="I238" s="125"/>
      <c r="J238" s="83">
        <f t="shared" si="210"/>
        <v>0</v>
      </c>
      <c r="K238" s="35"/>
      <c r="L238" s="136" t="e">
        <f t="shared" si="211"/>
        <v>#DIV/0!</v>
      </c>
      <c r="M238" s="116"/>
      <c r="N238" s="121">
        <f t="shared" si="212"/>
        <v>0</v>
      </c>
    </row>
    <row r="239" spans="1:18" ht="16">
      <c r="A239" s="138"/>
      <c r="B239" s="164" t="s">
        <v>48</v>
      </c>
      <c r="C239" s="83"/>
      <c r="D239" s="83"/>
      <c r="E239" s="11">
        <f t="shared" si="208"/>
        <v>0</v>
      </c>
      <c r="F239" s="141"/>
      <c r="G239" s="13" t="e">
        <f t="shared" si="209"/>
        <v>#DIV/0!</v>
      </c>
      <c r="H239" s="83"/>
      <c r="I239" s="125"/>
      <c r="J239" s="83">
        <f t="shared" si="210"/>
        <v>0</v>
      </c>
      <c r="K239" s="35"/>
      <c r="L239" s="136" t="e">
        <f t="shared" si="211"/>
        <v>#DIV/0!</v>
      </c>
      <c r="M239" s="116"/>
      <c r="N239" s="121">
        <f t="shared" si="212"/>
        <v>0</v>
      </c>
    </row>
    <row r="240" spans="1:18" ht="16">
      <c r="A240" s="138"/>
      <c r="B240" s="60"/>
      <c r="C240" s="59"/>
      <c r="D240" s="59" t="s">
        <v>19</v>
      </c>
      <c r="E240" s="59">
        <f t="shared" ref="E240:F240" si="213">SUM(E235:E239)</f>
        <v>0</v>
      </c>
      <c r="F240" s="59">
        <f t="shared" si="213"/>
        <v>686.61</v>
      </c>
      <c r="G240" s="61" t="e">
        <f>AVERAGE(G235:G239)</f>
        <v>#DIV/0!</v>
      </c>
      <c r="H240" s="59"/>
      <c r="I240" s="62"/>
      <c r="J240" s="59">
        <f t="shared" ref="J240:K240" si="214">SUM(J235:J239)</f>
        <v>893</v>
      </c>
      <c r="K240" s="59">
        <f t="shared" si="214"/>
        <v>0</v>
      </c>
      <c r="L240" s="61" t="e">
        <f>AVERAGE(L235:L239)</f>
        <v>#DIV/0!</v>
      </c>
      <c r="M240" s="64"/>
      <c r="N240" s="65">
        <f>SUM(N235:N239)</f>
        <v>19000732.100000001</v>
      </c>
    </row>
    <row r="241" spans="1:14" ht="16">
      <c r="A241" s="138">
        <v>46149</v>
      </c>
      <c r="B241" s="140" t="s">
        <v>49</v>
      </c>
      <c r="C241" s="83"/>
      <c r="D241" s="12"/>
      <c r="E241" s="36">
        <f t="shared" ref="E241:E245" si="215">D241-C241</f>
        <v>0</v>
      </c>
      <c r="F241" s="37">
        <v>127.32</v>
      </c>
      <c r="G241" s="13" t="e">
        <f t="shared" ref="G241:G245" si="216">(F241/E241)*100</f>
        <v>#DIV/0!</v>
      </c>
      <c r="H241" s="83"/>
      <c r="I241" s="126"/>
      <c r="J241" s="39">
        <f t="shared" ref="J241:J245" si="217">I241-H241</f>
        <v>0</v>
      </c>
      <c r="K241" s="39">
        <f t="shared" ref="K241:K245" si="218">F241</f>
        <v>127.32</v>
      </c>
      <c r="L241" s="46" t="e">
        <f t="shared" ref="L241:L245" si="219">(K241/J241)*100</f>
        <v>#DIV/0!</v>
      </c>
      <c r="M241" s="68">
        <v>27490</v>
      </c>
      <c r="N241" s="121">
        <f t="shared" ref="N241:N244" si="220">M241*K241</f>
        <v>3500026.8</v>
      </c>
    </row>
    <row r="242" spans="1:14" ht="16">
      <c r="A242" s="138">
        <v>46163</v>
      </c>
      <c r="B242" s="140" t="s">
        <v>49</v>
      </c>
      <c r="C242" s="12"/>
      <c r="D242" s="83"/>
      <c r="E242" s="11">
        <f t="shared" si="215"/>
        <v>0</v>
      </c>
      <c r="F242" s="141">
        <v>124.92</v>
      </c>
      <c r="G242" s="13" t="e">
        <f t="shared" si="216"/>
        <v>#DIV/0!</v>
      </c>
      <c r="H242" s="83"/>
      <c r="I242" s="125"/>
      <c r="J242" s="83">
        <f t="shared" si="217"/>
        <v>0</v>
      </c>
      <c r="K242" s="83">
        <f t="shared" si="218"/>
        <v>124.92</v>
      </c>
      <c r="L242" s="136" t="e">
        <f t="shared" si="219"/>
        <v>#DIV/0!</v>
      </c>
      <c r="M242" s="116">
        <v>27220</v>
      </c>
      <c r="N242" s="121">
        <f t="shared" si="220"/>
        <v>3400322.4</v>
      </c>
    </row>
    <row r="243" spans="1:14" ht="16">
      <c r="A243" s="138"/>
      <c r="B243" s="140" t="s">
        <v>49</v>
      </c>
      <c r="C243" s="83"/>
      <c r="D243" s="83"/>
      <c r="E243" s="11">
        <f t="shared" si="215"/>
        <v>0</v>
      </c>
      <c r="F243" s="141"/>
      <c r="G243" s="13" t="e">
        <f t="shared" si="216"/>
        <v>#DIV/0!</v>
      </c>
      <c r="H243" s="83"/>
      <c r="I243" s="125"/>
      <c r="J243" s="83">
        <f t="shared" si="217"/>
        <v>0</v>
      </c>
      <c r="K243" s="83">
        <f t="shared" si="218"/>
        <v>0</v>
      </c>
      <c r="L243" s="136" t="e">
        <f t="shared" si="219"/>
        <v>#DIV/0!</v>
      </c>
      <c r="M243" s="116"/>
      <c r="N243" s="121">
        <f t="shared" si="220"/>
        <v>0</v>
      </c>
    </row>
    <row r="244" spans="1:14" ht="16">
      <c r="A244" s="138"/>
      <c r="B244" s="140" t="s">
        <v>49</v>
      </c>
      <c r="C244" s="83"/>
      <c r="D244" s="83"/>
      <c r="E244" s="11">
        <f t="shared" si="215"/>
        <v>0</v>
      </c>
      <c r="F244" s="141"/>
      <c r="G244" s="13" t="e">
        <f t="shared" si="216"/>
        <v>#DIV/0!</v>
      </c>
      <c r="H244" s="83"/>
      <c r="I244" s="125"/>
      <c r="J244" s="83">
        <f t="shared" si="217"/>
        <v>0</v>
      </c>
      <c r="K244" s="83">
        <f t="shared" si="218"/>
        <v>0</v>
      </c>
      <c r="L244" s="136" t="e">
        <f t="shared" si="219"/>
        <v>#DIV/0!</v>
      </c>
      <c r="M244" s="116"/>
      <c r="N244" s="121">
        <f t="shared" si="220"/>
        <v>0</v>
      </c>
    </row>
    <row r="245" spans="1:14" ht="16">
      <c r="A245" s="138"/>
      <c r="B245" s="140" t="s">
        <v>49</v>
      </c>
      <c r="C245" s="83"/>
      <c r="D245" s="83"/>
      <c r="E245" s="11">
        <f t="shared" si="215"/>
        <v>0</v>
      </c>
      <c r="F245" s="141"/>
      <c r="G245" s="13" t="e">
        <f t="shared" si="216"/>
        <v>#DIV/0!</v>
      </c>
      <c r="H245" s="83"/>
      <c r="I245" s="125"/>
      <c r="J245" s="83">
        <f t="shared" si="217"/>
        <v>0</v>
      </c>
      <c r="K245" s="83">
        <f t="shared" si="218"/>
        <v>0</v>
      </c>
      <c r="L245" s="136" t="e">
        <f t="shared" si="219"/>
        <v>#DIV/0!</v>
      </c>
      <c r="M245" s="116"/>
      <c r="N245" s="121">
        <f>F245*M245</f>
        <v>0</v>
      </c>
    </row>
    <row r="246" spans="1:14" ht="16">
      <c r="A246" s="138"/>
      <c r="B246" s="60"/>
      <c r="C246" s="59"/>
      <c r="D246" s="59" t="s">
        <v>19</v>
      </c>
      <c r="E246" s="59">
        <f t="shared" ref="E246:F246" si="221">SUM(E241:E245)</f>
        <v>0</v>
      </c>
      <c r="F246" s="59">
        <f t="shared" si="221"/>
        <v>252.24</v>
      </c>
      <c r="G246" s="61" t="e">
        <f>AVERAGE(G241:G245)</f>
        <v>#DIV/0!</v>
      </c>
      <c r="H246" s="59"/>
      <c r="I246" s="62"/>
      <c r="J246" s="59">
        <f t="shared" ref="J246:K246" si="222">SUM(J241:J245)</f>
        <v>0</v>
      </c>
      <c r="K246" s="59">
        <f t="shared" si="222"/>
        <v>252.24</v>
      </c>
      <c r="L246" s="61" t="e">
        <f>AVERAGE(L241:L245)</f>
        <v>#DIV/0!</v>
      </c>
      <c r="M246" s="64"/>
      <c r="N246" s="65">
        <f>SUM(N241:N245)</f>
        <v>6900349.1999999993</v>
      </c>
    </row>
    <row r="247" spans="1:14" ht="16">
      <c r="A247" s="138">
        <v>46158</v>
      </c>
      <c r="B247" s="140" t="s">
        <v>50</v>
      </c>
      <c r="C247" s="83"/>
      <c r="D247" s="12"/>
      <c r="E247" s="36"/>
      <c r="F247" s="37">
        <v>220.44</v>
      </c>
      <c r="G247" s="13" t="e">
        <f t="shared" ref="G247:G251" si="223">(F247/E247)*100</f>
        <v>#DIV/0!</v>
      </c>
      <c r="H247" s="83"/>
      <c r="I247" s="126"/>
      <c r="J247" s="83">
        <f t="shared" ref="J247:J251" si="224">I247-H247</f>
        <v>0</v>
      </c>
      <c r="K247" s="83">
        <f t="shared" ref="K247:K251" si="225">F247</f>
        <v>220.44</v>
      </c>
      <c r="L247" s="136" t="e">
        <f t="shared" ref="L247:L251" si="226">(K247/J247)*100</f>
        <v>#DIV/0!</v>
      </c>
      <c r="M247" s="68">
        <v>27220</v>
      </c>
      <c r="N247" s="47">
        <f>F247*M247</f>
        <v>6000376.7999999998</v>
      </c>
    </row>
    <row r="248" spans="1:14" ht="16">
      <c r="A248" s="138">
        <v>46172</v>
      </c>
      <c r="B248" s="140" t="s">
        <v>50</v>
      </c>
      <c r="C248" s="83"/>
      <c r="D248" s="83"/>
      <c r="E248" s="11">
        <f t="shared" ref="E248:E251" si="227">D248-C248</f>
        <v>0</v>
      </c>
      <c r="F248" s="141">
        <v>217.01</v>
      </c>
      <c r="G248" s="13" t="e">
        <f t="shared" si="223"/>
        <v>#DIV/0!</v>
      </c>
      <c r="H248" s="83"/>
      <c r="I248" s="125"/>
      <c r="J248" s="83">
        <f t="shared" si="224"/>
        <v>0</v>
      </c>
      <c r="K248" s="83">
        <f t="shared" si="225"/>
        <v>217.01</v>
      </c>
      <c r="L248" s="136" t="e">
        <f t="shared" si="226"/>
        <v>#DIV/0!</v>
      </c>
      <c r="M248" s="116">
        <v>27650</v>
      </c>
      <c r="N248" s="47">
        <f>M248*K248</f>
        <v>6000326.5</v>
      </c>
    </row>
    <row r="249" spans="1:14" ht="16">
      <c r="A249" s="138"/>
      <c r="B249" s="140" t="s">
        <v>50</v>
      </c>
      <c r="C249" s="83"/>
      <c r="D249" s="83"/>
      <c r="E249" s="11">
        <f t="shared" si="227"/>
        <v>0</v>
      </c>
      <c r="F249" s="141"/>
      <c r="G249" s="13" t="e">
        <f t="shared" si="223"/>
        <v>#DIV/0!</v>
      </c>
      <c r="H249" s="83"/>
      <c r="I249" s="125"/>
      <c r="J249" s="83">
        <f t="shared" si="224"/>
        <v>0</v>
      </c>
      <c r="K249" s="83">
        <f t="shared" si="225"/>
        <v>0</v>
      </c>
      <c r="L249" s="136" t="e">
        <f t="shared" si="226"/>
        <v>#DIV/0!</v>
      </c>
      <c r="M249" s="116"/>
      <c r="N249" s="47">
        <f t="shared" ref="N249:N251" si="228">F249*M249</f>
        <v>0</v>
      </c>
    </row>
    <row r="250" spans="1:14" ht="16">
      <c r="A250" s="138"/>
      <c r="B250" s="140" t="s">
        <v>50</v>
      </c>
      <c r="C250" s="83"/>
      <c r="D250" s="83"/>
      <c r="E250" s="11">
        <f t="shared" si="227"/>
        <v>0</v>
      </c>
      <c r="F250" s="141"/>
      <c r="G250" s="13" t="e">
        <f t="shared" si="223"/>
        <v>#DIV/0!</v>
      </c>
      <c r="H250" s="83"/>
      <c r="I250" s="125"/>
      <c r="J250" s="83">
        <f t="shared" si="224"/>
        <v>0</v>
      </c>
      <c r="K250" s="83">
        <f t="shared" si="225"/>
        <v>0</v>
      </c>
      <c r="L250" s="136" t="e">
        <f t="shared" si="226"/>
        <v>#DIV/0!</v>
      </c>
      <c r="M250" s="116"/>
      <c r="N250" s="47">
        <f t="shared" si="228"/>
        <v>0</v>
      </c>
    </row>
    <row r="251" spans="1:14" ht="16">
      <c r="A251" s="138"/>
      <c r="B251" s="140" t="s">
        <v>50</v>
      </c>
      <c r="C251" s="83"/>
      <c r="D251" s="83"/>
      <c r="E251" s="11">
        <f t="shared" si="227"/>
        <v>0</v>
      </c>
      <c r="F251" s="141"/>
      <c r="G251" s="13" t="e">
        <f t="shared" si="223"/>
        <v>#DIV/0!</v>
      </c>
      <c r="H251" s="83"/>
      <c r="I251" s="125"/>
      <c r="J251" s="83">
        <f t="shared" si="224"/>
        <v>0</v>
      </c>
      <c r="K251" s="83">
        <f t="shared" si="225"/>
        <v>0</v>
      </c>
      <c r="L251" s="136" t="e">
        <f t="shared" si="226"/>
        <v>#DIV/0!</v>
      </c>
      <c r="M251" s="116"/>
      <c r="N251" s="47">
        <f t="shared" si="228"/>
        <v>0</v>
      </c>
    </row>
    <row r="252" spans="1:14" ht="16">
      <c r="A252" s="138"/>
      <c r="B252" s="60"/>
      <c r="C252" s="59"/>
      <c r="D252" s="59" t="s">
        <v>19</v>
      </c>
      <c r="E252" s="59">
        <f t="shared" ref="E252:F252" si="229">SUM(E247:E251)</f>
        <v>0</v>
      </c>
      <c r="F252" s="59">
        <f t="shared" si="229"/>
        <v>437.45</v>
      </c>
      <c r="G252" s="61" t="e">
        <f>AVERAGE(G247:G251)</f>
        <v>#DIV/0!</v>
      </c>
      <c r="H252" s="59"/>
      <c r="I252" s="62"/>
      <c r="J252" s="59">
        <f t="shared" ref="J252:K252" si="230">SUM(J247:J251)</f>
        <v>0</v>
      </c>
      <c r="K252" s="59">
        <f t="shared" si="230"/>
        <v>437.45</v>
      </c>
      <c r="L252" s="61" t="e">
        <f>AVERAGE(L247:L251)</f>
        <v>#DIV/0!</v>
      </c>
      <c r="M252" s="64"/>
      <c r="N252" s="65">
        <f>SUM(N247:N251)</f>
        <v>12000703.300000001</v>
      </c>
    </row>
    <row r="253" spans="1:14" ht="16">
      <c r="A253" s="138">
        <v>46147</v>
      </c>
      <c r="B253" s="164" t="s">
        <v>51</v>
      </c>
      <c r="C253" s="83">
        <v>308843</v>
      </c>
      <c r="D253" s="83">
        <v>309201</v>
      </c>
      <c r="E253" s="11">
        <f t="shared" ref="E253:E258" si="231">D253-C253</f>
        <v>358</v>
      </c>
      <c r="F253" s="37">
        <v>94.07</v>
      </c>
      <c r="G253" s="13">
        <f t="shared" ref="G253:G258" si="232">(F253/E253)*100</f>
        <v>26.276536312849156</v>
      </c>
      <c r="H253" s="125">
        <v>22882</v>
      </c>
      <c r="I253" s="125">
        <v>23355</v>
      </c>
      <c r="J253" s="39">
        <f t="shared" ref="J253:J258" si="233">I253-H253</f>
        <v>473</v>
      </c>
      <c r="K253" s="39">
        <f t="shared" ref="K253:K258" si="234">F253</f>
        <v>94.07</v>
      </c>
      <c r="L253" s="136">
        <f t="shared" ref="L253:L258" si="235">(K253/J253)*100</f>
        <v>19.88794926004228</v>
      </c>
      <c r="M253" s="68">
        <v>28170</v>
      </c>
      <c r="N253" s="47">
        <f t="shared" ref="N253:N256" si="236">F253*M253</f>
        <v>2649951.9</v>
      </c>
    </row>
    <row r="254" spans="1:14" ht="16">
      <c r="A254" s="138">
        <v>46150</v>
      </c>
      <c r="B254" s="164" t="s">
        <v>51</v>
      </c>
      <c r="C254" s="83">
        <v>309201</v>
      </c>
      <c r="D254" s="83">
        <v>309652</v>
      </c>
      <c r="E254" s="11">
        <f t="shared" si="231"/>
        <v>451</v>
      </c>
      <c r="F254" s="141">
        <v>101.87</v>
      </c>
      <c r="G254" s="13">
        <f t="shared" si="232"/>
        <v>22.58758314855876</v>
      </c>
      <c r="H254" s="125">
        <v>23355</v>
      </c>
      <c r="I254" s="83">
        <v>23724</v>
      </c>
      <c r="J254" s="83">
        <f t="shared" si="233"/>
        <v>369</v>
      </c>
      <c r="K254" s="83">
        <f t="shared" si="234"/>
        <v>101.87</v>
      </c>
      <c r="L254" s="136">
        <f t="shared" si="235"/>
        <v>27.607046070460704</v>
      </c>
      <c r="M254" s="116">
        <v>27490</v>
      </c>
      <c r="N254" s="47">
        <f t="shared" si="236"/>
        <v>2800406.3000000003</v>
      </c>
    </row>
    <row r="255" spans="1:14" ht="16">
      <c r="A255" s="138">
        <v>46155</v>
      </c>
      <c r="B255" s="164" t="s">
        <v>51</v>
      </c>
      <c r="C255" s="83">
        <v>309652</v>
      </c>
      <c r="D255" s="83">
        <v>310003</v>
      </c>
      <c r="E255" s="11">
        <f t="shared" si="231"/>
        <v>351</v>
      </c>
      <c r="F255" s="141">
        <v>134.62</v>
      </c>
      <c r="G255" s="13">
        <f t="shared" si="232"/>
        <v>38.353276353276357</v>
      </c>
      <c r="H255" s="83">
        <v>23724</v>
      </c>
      <c r="I255" s="125">
        <v>23962</v>
      </c>
      <c r="J255" s="83">
        <f t="shared" si="233"/>
        <v>238</v>
      </c>
      <c r="K255" s="83">
        <f t="shared" si="234"/>
        <v>134.62</v>
      </c>
      <c r="L255" s="136">
        <f t="shared" si="235"/>
        <v>56.563025210084042</v>
      </c>
      <c r="M255" s="116">
        <v>27490</v>
      </c>
      <c r="N255" s="47">
        <f t="shared" si="236"/>
        <v>3700703.8000000003</v>
      </c>
    </row>
    <row r="256" spans="1:14" ht="16">
      <c r="A256" s="138">
        <v>46161</v>
      </c>
      <c r="B256" s="164" t="s">
        <v>51</v>
      </c>
      <c r="C256" s="83">
        <v>310003</v>
      </c>
      <c r="D256" s="83">
        <v>310518</v>
      </c>
      <c r="E256" s="11">
        <f t="shared" si="231"/>
        <v>515</v>
      </c>
      <c r="F256" s="141">
        <v>150</v>
      </c>
      <c r="G256" s="13">
        <f t="shared" si="232"/>
        <v>29.126213592233007</v>
      </c>
      <c r="H256" s="125">
        <v>23962</v>
      </c>
      <c r="I256" s="125">
        <v>24518</v>
      </c>
      <c r="J256" s="83">
        <f t="shared" si="233"/>
        <v>556</v>
      </c>
      <c r="K256" s="83">
        <f t="shared" si="234"/>
        <v>150</v>
      </c>
      <c r="L256" s="136">
        <f t="shared" si="235"/>
        <v>26.978417266187048</v>
      </c>
      <c r="M256" s="116">
        <v>27220</v>
      </c>
      <c r="N256" s="47">
        <f t="shared" si="236"/>
        <v>4083000</v>
      </c>
    </row>
    <row r="257" spans="1:14" ht="16">
      <c r="A257" s="138">
        <v>46165</v>
      </c>
      <c r="B257" s="164" t="s">
        <v>51</v>
      </c>
      <c r="C257" s="83">
        <v>310518</v>
      </c>
      <c r="D257" s="83">
        <v>310941</v>
      </c>
      <c r="E257" s="11">
        <f t="shared" si="231"/>
        <v>423</v>
      </c>
      <c r="F257" s="141">
        <v>103.27</v>
      </c>
      <c r="G257" s="13">
        <f t="shared" si="232"/>
        <v>24.41371158392435</v>
      </c>
      <c r="H257" s="125">
        <v>24518</v>
      </c>
      <c r="I257" s="125">
        <v>24952</v>
      </c>
      <c r="J257" s="83">
        <f t="shared" si="233"/>
        <v>434</v>
      </c>
      <c r="K257" s="83">
        <f t="shared" si="234"/>
        <v>103.27</v>
      </c>
      <c r="L257" s="136">
        <f t="shared" si="235"/>
        <v>23.794930875576036</v>
      </c>
      <c r="M257" s="116">
        <v>28760</v>
      </c>
      <c r="N257" s="47">
        <f t="shared" ref="N257:N258" si="237">M257*K257</f>
        <v>2970045.1999999997</v>
      </c>
    </row>
    <row r="258" spans="1:14" ht="16">
      <c r="A258" s="138">
        <v>46170</v>
      </c>
      <c r="B258" s="164" t="s">
        <v>51</v>
      </c>
      <c r="C258" s="83">
        <v>310941</v>
      </c>
      <c r="D258" s="83">
        <v>311365</v>
      </c>
      <c r="E258" s="11">
        <f t="shared" si="231"/>
        <v>424</v>
      </c>
      <c r="F258" s="141">
        <v>129</v>
      </c>
      <c r="G258" s="13">
        <f t="shared" si="232"/>
        <v>30.424528301886795</v>
      </c>
      <c r="H258" s="125">
        <v>24952</v>
      </c>
      <c r="I258" s="125">
        <v>25353</v>
      </c>
      <c r="J258" s="83">
        <f t="shared" si="233"/>
        <v>401</v>
      </c>
      <c r="K258" s="83">
        <f t="shared" si="234"/>
        <v>129</v>
      </c>
      <c r="L258" s="136">
        <f t="shared" si="235"/>
        <v>32.169576059850371</v>
      </c>
      <c r="M258" s="116">
        <v>28760</v>
      </c>
      <c r="N258" s="47">
        <f t="shared" si="237"/>
        <v>3710040</v>
      </c>
    </row>
    <row r="259" spans="1:14" ht="16">
      <c r="A259" s="138"/>
      <c r="B259" s="60"/>
      <c r="C259" s="59"/>
      <c r="D259" s="59" t="s">
        <v>19</v>
      </c>
      <c r="E259" s="59">
        <f>SUM(E253:E257)</f>
        <v>2098</v>
      </c>
      <c r="F259" s="59">
        <f>SUM(F253:F258)</f>
        <v>712.83</v>
      </c>
      <c r="G259" s="61">
        <f>AVERAGE(G253:G257)</f>
        <v>28.15146419816832</v>
      </c>
      <c r="H259" s="59"/>
      <c r="I259" s="62"/>
      <c r="J259" s="59">
        <f t="shared" ref="J259:K259" si="238">SUM(J253:J257)</f>
        <v>2070</v>
      </c>
      <c r="K259" s="59">
        <f t="shared" si="238"/>
        <v>583.83000000000004</v>
      </c>
      <c r="L259" s="61">
        <f>AVERAGE(L253:L257)</f>
        <v>30.966273736470022</v>
      </c>
      <c r="M259" s="64"/>
      <c r="N259" s="65">
        <f>SUM(N253:N258)</f>
        <v>19914147.199999999</v>
      </c>
    </row>
    <row r="260" spans="1:14" ht="16">
      <c r="A260" s="138">
        <v>46148</v>
      </c>
      <c r="B260" s="172" t="s">
        <v>62</v>
      </c>
      <c r="C260" s="83"/>
      <c r="D260" s="12"/>
      <c r="E260" s="36">
        <f t="shared" ref="E260:E267" si="239">D260-C260</f>
        <v>0</v>
      </c>
      <c r="F260" s="37"/>
      <c r="G260" s="13" t="e">
        <f t="shared" ref="G260:G267" si="240">(F260/E260)*100</f>
        <v>#DIV/0!</v>
      </c>
      <c r="H260" s="83"/>
      <c r="I260" s="126"/>
      <c r="J260" s="39">
        <f t="shared" ref="J260:J267" si="241">I260-H260</f>
        <v>0</v>
      </c>
      <c r="K260" s="39">
        <f t="shared" ref="K260:K267" si="242">F260</f>
        <v>0</v>
      </c>
      <c r="L260" s="136" t="e">
        <f t="shared" ref="L260:L267" si="243">(K260/J260)*100</f>
        <v>#DIV/0!</v>
      </c>
      <c r="M260" s="68"/>
      <c r="N260" s="121">
        <v>13500000</v>
      </c>
    </row>
    <row r="261" spans="1:14" ht="16">
      <c r="A261" s="138">
        <v>46163</v>
      </c>
      <c r="B261" s="172" t="s">
        <v>62</v>
      </c>
      <c r="C261" s="83"/>
      <c r="D261" s="83"/>
      <c r="E261" s="11">
        <f t="shared" si="239"/>
        <v>0</v>
      </c>
      <c r="F261" s="141"/>
      <c r="G261" s="13" t="e">
        <f t="shared" si="240"/>
        <v>#DIV/0!</v>
      </c>
      <c r="H261" s="83"/>
      <c r="I261" s="125"/>
      <c r="J261" s="83">
        <f t="shared" si="241"/>
        <v>0</v>
      </c>
      <c r="K261" s="83">
        <f t="shared" si="242"/>
        <v>0</v>
      </c>
      <c r="L261" s="136" t="e">
        <f t="shared" si="243"/>
        <v>#DIV/0!</v>
      </c>
      <c r="M261" s="116"/>
      <c r="N261" s="121">
        <v>8000000</v>
      </c>
    </row>
    <row r="262" spans="1:14" ht="16">
      <c r="A262" s="138">
        <v>46171</v>
      </c>
      <c r="B262" s="172" t="s">
        <v>62</v>
      </c>
      <c r="C262" s="83"/>
      <c r="D262" s="83"/>
      <c r="E262" s="11">
        <f t="shared" si="239"/>
        <v>0</v>
      </c>
      <c r="F262" s="141"/>
      <c r="G262" s="13" t="e">
        <f t="shared" si="240"/>
        <v>#DIV/0!</v>
      </c>
      <c r="H262" s="83"/>
      <c r="I262" s="125"/>
      <c r="J262" s="83">
        <f t="shared" si="241"/>
        <v>0</v>
      </c>
      <c r="K262" s="83">
        <f t="shared" si="242"/>
        <v>0</v>
      </c>
      <c r="L262" s="136" t="e">
        <f t="shared" si="243"/>
        <v>#DIV/0!</v>
      </c>
      <c r="M262" s="116"/>
      <c r="N262" s="121">
        <v>3000000</v>
      </c>
    </row>
    <row r="263" spans="1:14" ht="16">
      <c r="A263" s="138"/>
      <c r="B263" s="172" t="s">
        <v>62</v>
      </c>
      <c r="C263" s="83"/>
      <c r="D263" s="83"/>
      <c r="E263" s="11">
        <f t="shared" si="239"/>
        <v>0</v>
      </c>
      <c r="F263" s="141"/>
      <c r="G263" s="13" t="e">
        <f t="shared" si="240"/>
        <v>#DIV/0!</v>
      </c>
      <c r="H263" s="83"/>
      <c r="I263" s="125"/>
      <c r="J263" s="83">
        <f t="shared" si="241"/>
        <v>0</v>
      </c>
      <c r="K263" s="83">
        <f t="shared" si="242"/>
        <v>0</v>
      </c>
      <c r="L263" s="136" t="e">
        <f t="shared" si="243"/>
        <v>#DIV/0!</v>
      </c>
      <c r="M263" s="116"/>
      <c r="N263" s="121"/>
    </row>
    <row r="264" spans="1:14" ht="16">
      <c r="A264" s="138"/>
      <c r="B264" s="172" t="s">
        <v>62</v>
      </c>
      <c r="C264" s="83"/>
      <c r="D264" s="83"/>
      <c r="E264" s="11">
        <f t="shared" si="239"/>
        <v>0</v>
      </c>
      <c r="F264" s="141"/>
      <c r="G264" s="13" t="e">
        <f t="shared" si="240"/>
        <v>#DIV/0!</v>
      </c>
      <c r="H264" s="83"/>
      <c r="I264" s="125"/>
      <c r="J264" s="83">
        <f t="shared" si="241"/>
        <v>0</v>
      </c>
      <c r="K264" s="83">
        <f t="shared" si="242"/>
        <v>0</v>
      </c>
      <c r="L264" s="136" t="e">
        <f t="shared" si="243"/>
        <v>#DIV/0!</v>
      </c>
      <c r="M264" s="116"/>
      <c r="N264" s="121"/>
    </row>
    <row r="265" spans="1:14" ht="16">
      <c r="A265" s="138"/>
      <c r="B265" s="172" t="s">
        <v>62</v>
      </c>
      <c r="C265" s="83"/>
      <c r="D265" s="83"/>
      <c r="E265" s="11">
        <f t="shared" si="239"/>
        <v>0</v>
      </c>
      <c r="F265" s="141"/>
      <c r="G265" s="13" t="e">
        <f t="shared" si="240"/>
        <v>#DIV/0!</v>
      </c>
      <c r="H265" s="83"/>
      <c r="I265" s="125"/>
      <c r="J265" s="83">
        <f t="shared" si="241"/>
        <v>0</v>
      </c>
      <c r="K265" s="83">
        <f t="shared" si="242"/>
        <v>0</v>
      </c>
      <c r="L265" s="136" t="e">
        <f t="shared" si="243"/>
        <v>#DIV/0!</v>
      </c>
      <c r="M265" s="116"/>
      <c r="N265" s="121"/>
    </row>
    <row r="266" spans="1:14" ht="16">
      <c r="A266" s="138"/>
      <c r="B266" s="172" t="s">
        <v>62</v>
      </c>
      <c r="C266" s="83"/>
      <c r="D266" s="83"/>
      <c r="E266" s="11">
        <f t="shared" si="239"/>
        <v>0</v>
      </c>
      <c r="F266" s="141"/>
      <c r="G266" s="13" t="e">
        <f t="shared" si="240"/>
        <v>#DIV/0!</v>
      </c>
      <c r="H266" s="83"/>
      <c r="I266" s="125"/>
      <c r="J266" s="83">
        <f t="shared" si="241"/>
        <v>0</v>
      </c>
      <c r="K266" s="83">
        <f t="shared" si="242"/>
        <v>0</v>
      </c>
      <c r="L266" s="136" t="e">
        <f t="shared" si="243"/>
        <v>#DIV/0!</v>
      </c>
      <c r="M266" s="116"/>
      <c r="N266" s="121"/>
    </row>
    <row r="267" spans="1:14" ht="16">
      <c r="A267" s="138"/>
      <c r="B267" s="172" t="s">
        <v>62</v>
      </c>
      <c r="C267" s="83"/>
      <c r="D267" s="83"/>
      <c r="E267" s="11">
        <f t="shared" si="239"/>
        <v>0</v>
      </c>
      <c r="F267" s="141"/>
      <c r="G267" s="13" t="e">
        <f t="shared" si="240"/>
        <v>#DIV/0!</v>
      </c>
      <c r="H267" s="83"/>
      <c r="I267" s="125"/>
      <c r="J267" s="83">
        <f t="shared" si="241"/>
        <v>0</v>
      </c>
      <c r="K267" s="83">
        <f t="shared" si="242"/>
        <v>0</v>
      </c>
      <c r="L267" s="136" t="e">
        <f t="shared" si="243"/>
        <v>#DIV/0!</v>
      </c>
      <c r="M267" s="116"/>
      <c r="N267" s="121"/>
    </row>
    <row r="268" spans="1:14" ht="16">
      <c r="A268" s="59"/>
      <c r="B268" s="60"/>
      <c r="C268" s="59"/>
      <c r="D268" s="59"/>
      <c r="E268" s="59">
        <f t="shared" ref="E268:F268" si="244">SUM(E260:E264)</f>
        <v>0</v>
      </c>
      <c r="F268" s="59">
        <f t="shared" si="244"/>
        <v>0</v>
      </c>
      <c r="G268" s="61" t="e">
        <f>AVERAGE(G260:G264)</f>
        <v>#DIV/0!</v>
      </c>
      <c r="H268" s="59"/>
      <c r="I268" s="62"/>
      <c r="J268" s="59">
        <f t="shared" ref="J268:K268" si="245">SUM(J260:J264)</f>
        <v>0</v>
      </c>
      <c r="K268" s="59">
        <f t="shared" si="245"/>
        <v>0</v>
      </c>
      <c r="L268" s="61" t="e">
        <f>AVERAGE(L260:L264)</f>
        <v>#DIV/0!</v>
      </c>
      <c r="M268" s="64"/>
      <c r="N268" s="65">
        <f>SUM(N260:N267)</f>
        <v>24500000</v>
      </c>
    </row>
    <row r="269" spans="1:14" ht="16">
      <c r="A269" s="66">
        <v>46146</v>
      </c>
      <c r="B269" s="140" t="s">
        <v>54</v>
      </c>
      <c r="C269" s="83"/>
      <c r="D269" s="12"/>
      <c r="E269" s="36">
        <f t="shared" ref="E269:E274" si="246">D269-C269</f>
        <v>0</v>
      </c>
      <c r="F269" s="37"/>
      <c r="G269" s="13" t="e">
        <f t="shared" ref="G269:G274" si="247">(F269/E269)*100</f>
        <v>#DIV/0!</v>
      </c>
      <c r="H269" s="83"/>
      <c r="I269" s="126"/>
      <c r="J269" s="39">
        <f t="shared" ref="J269:J276" si="248">I269-H269</f>
        <v>0</v>
      </c>
      <c r="K269" s="39"/>
      <c r="L269" s="136" t="e">
        <f t="shared" ref="L269:L276" si="249">(K269/J269)*100</f>
        <v>#DIV/0!</v>
      </c>
      <c r="M269" s="68"/>
      <c r="N269" s="47">
        <v>5000000</v>
      </c>
    </row>
    <row r="270" spans="1:14" ht="16">
      <c r="A270" s="33">
        <v>46151</v>
      </c>
      <c r="B270" s="140" t="s">
        <v>54</v>
      </c>
      <c r="C270" s="83"/>
      <c r="D270" s="83"/>
      <c r="E270" s="11">
        <f t="shared" si="246"/>
        <v>0</v>
      </c>
      <c r="F270" s="141"/>
      <c r="G270" s="13" t="e">
        <f t="shared" si="247"/>
        <v>#DIV/0!</v>
      </c>
      <c r="H270" s="83"/>
      <c r="I270" s="125"/>
      <c r="J270" s="83">
        <f t="shared" si="248"/>
        <v>0</v>
      </c>
      <c r="K270" s="83">
        <f t="shared" ref="K270:K276" si="250">F270</f>
        <v>0</v>
      </c>
      <c r="L270" s="136" t="e">
        <f t="shared" si="249"/>
        <v>#DIV/0!</v>
      </c>
      <c r="M270" s="116"/>
      <c r="N270" s="47">
        <v>5000000</v>
      </c>
    </row>
    <row r="271" spans="1:14" ht="16">
      <c r="A271" s="33">
        <v>46155</v>
      </c>
      <c r="B271" s="140" t="s">
        <v>54</v>
      </c>
      <c r="C271" s="83"/>
      <c r="D271" s="83"/>
      <c r="E271" s="11">
        <f t="shared" si="246"/>
        <v>0</v>
      </c>
      <c r="F271" s="141"/>
      <c r="G271" s="13" t="e">
        <f t="shared" si="247"/>
        <v>#DIV/0!</v>
      </c>
      <c r="H271" s="83"/>
      <c r="I271" s="125"/>
      <c r="J271" s="83">
        <f t="shared" si="248"/>
        <v>0</v>
      </c>
      <c r="K271" s="83">
        <f t="shared" si="250"/>
        <v>0</v>
      </c>
      <c r="L271" s="136" t="e">
        <f t="shared" si="249"/>
        <v>#DIV/0!</v>
      </c>
      <c r="M271" s="116"/>
      <c r="N271" s="47">
        <v>5000000</v>
      </c>
    </row>
    <row r="272" spans="1:14" ht="16">
      <c r="A272" s="33">
        <v>46160</v>
      </c>
      <c r="B272" s="140" t="s">
        <v>54</v>
      </c>
      <c r="C272" s="83"/>
      <c r="D272" s="83"/>
      <c r="E272" s="11">
        <f t="shared" si="246"/>
        <v>0</v>
      </c>
      <c r="F272" s="141"/>
      <c r="G272" s="13" t="e">
        <f t="shared" si="247"/>
        <v>#DIV/0!</v>
      </c>
      <c r="H272" s="83"/>
      <c r="I272" s="125"/>
      <c r="J272" s="83">
        <f t="shared" si="248"/>
        <v>0</v>
      </c>
      <c r="K272" s="83">
        <f t="shared" si="250"/>
        <v>0</v>
      </c>
      <c r="L272" s="136" t="e">
        <f t="shared" si="249"/>
        <v>#DIV/0!</v>
      </c>
      <c r="M272" s="116"/>
      <c r="N272" s="47">
        <v>5000000</v>
      </c>
    </row>
    <row r="273" spans="1:14" ht="16">
      <c r="A273" s="33">
        <v>46163</v>
      </c>
      <c r="B273" s="140" t="s">
        <v>54</v>
      </c>
      <c r="C273" s="83"/>
      <c r="D273" s="83"/>
      <c r="E273" s="11">
        <f t="shared" si="246"/>
        <v>0</v>
      </c>
      <c r="F273" s="141"/>
      <c r="G273" s="13" t="e">
        <f t="shared" si="247"/>
        <v>#DIV/0!</v>
      </c>
      <c r="H273" s="83"/>
      <c r="I273" s="125"/>
      <c r="J273" s="83">
        <f t="shared" si="248"/>
        <v>0</v>
      </c>
      <c r="K273" s="83">
        <f t="shared" si="250"/>
        <v>0</v>
      </c>
      <c r="L273" s="136" t="e">
        <f t="shared" si="249"/>
        <v>#DIV/0!</v>
      </c>
      <c r="M273" s="116"/>
      <c r="N273" s="47">
        <v>11500000</v>
      </c>
    </row>
    <row r="274" spans="1:14" ht="16">
      <c r="A274" s="33"/>
      <c r="B274" s="140" t="s">
        <v>54</v>
      </c>
      <c r="C274" s="83"/>
      <c r="D274" s="83"/>
      <c r="E274" s="11">
        <f t="shared" si="246"/>
        <v>0</v>
      </c>
      <c r="F274" s="141"/>
      <c r="G274" s="13" t="e">
        <f t="shared" si="247"/>
        <v>#DIV/0!</v>
      </c>
      <c r="H274" s="83"/>
      <c r="I274" s="125"/>
      <c r="J274" s="83">
        <f t="shared" si="248"/>
        <v>0</v>
      </c>
      <c r="K274" s="83">
        <f t="shared" si="250"/>
        <v>0</v>
      </c>
      <c r="L274" s="136" t="e">
        <f t="shared" si="249"/>
        <v>#DIV/0!</v>
      </c>
      <c r="M274" s="116"/>
      <c r="N274" s="47"/>
    </row>
    <row r="275" spans="1:14" ht="16">
      <c r="A275" s="33"/>
      <c r="B275" s="140" t="s">
        <v>54</v>
      </c>
      <c r="C275" s="83"/>
      <c r="D275" s="83"/>
      <c r="E275" s="11"/>
      <c r="F275" s="141"/>
      <c r="G275" s="13"/>
      <c r="H275" s="83"/>
      <c r="I275" s="125"/>
      <c r="J275" s="83">
        <f t="shared" si="248"/>
        <v>0</v>
      </c>
      <c r="K275" s="83">
        <f t="shared" si="250"/>
        <v>0</v>
      </c>
      <c r="L275" s="136" t="e">
        <f t="shared" si="249"/>
        <v>#DIV/0!</v>
      </c>
      <c r="M275" s="116"/>
      <c r="N275" s="47"/>
    </row>
    <row r="276" spans="1:14" ht="16">
      <c r="A276" s="33"/>
      <c r="B276" s="140" t="s">
        <v>54</v>
      </c>
      <c r="C276" s="83"/>
      <c r="D276" s="83"/>
      <c r="E276" s="11">
        <f>D276-C276</f>
        <v>0</v>
      </c>
      <c r="F276" s="141"/>
      <c r="G276" s="13" t="e">
        <f>(F276/E276)*100</f>
        <v>#DIV/0!</v>
      </c>
      <c r="H276" s="83"/>
      <c r="I276" s="125"/>
      <c r="J276" s="83">
        <f t="shared" si="248"/>
        <v>0</v>
      </c>
      <c r="K276" s="83">
        <f t="shared" si="250"/>
        <v>0</v>
      </c>
      <c r="L276" s="136" t="e">
        <f t="shared" si="249"/>
        <v>#DIV/0!</v>
      </c>
      <c r="M276" s="116"/>
      <c r="N276" s="47">
        <f>M276*F276</f>
        <v>0</v>
      </c>
    </row>
    <row r="277" spans="1:14" ht="16">
      <c r="A277" s="66"/>
      <c r="B277" s="60"/>
      <c r="C277" s="59"/>
      <c r="D277" s="59" t="s">
        <v>19</v>
      </c>
      <c r="E277" s="59">
        <f t="shared" ref="E277:F277" si="251">SUM(E269:E276)</f>
        <v>0</v>
      </c>
      <c r="F277" s="59">
        <f t="shared" si="251"/>
        <v>0</v>
      </c>
      <c r="G277" s="61" t="e">
        <f>AVERAGE(G269:G276)</f>
        <v>#DIV/0!</v>
      </c>
      <c r="H277" s="59"/>
      <c r="I277" s="62"/>
      <c r="J277" s="59">
        <f t="shared" ref="J277:K277" si="252">SUM(J269:J276)</f>
        <v>0</v>
      </c>
      <c r="K277" s="59">
        <f t="shared" si="252"/>
        <v>0</v>
      </c>
      <c r="L277" s="61" t="e">
        <f>AVERAGE(L269:L276)</f>
        <v>#DIV/0!</v>
      </c>
      <c r="M277" s="64"/>
      <c r="N277" s="65">
        <f>SUM(N269:N276)</f>
        <v>31500000</v>
      </c>
    </row>
    <row r="278" spans="1:14" ht="14">
      <c r="A278" s="66">
        <v>46150</v>
      </c>
      <c r="B278" s="173" t="s">
        <v>55</v>
      </c>
      <c r="C278" s="83"/>
      <c r="D278" s="12"/>
      <c r="E278" s="36">
        <f t="shared" ref="E278:E285" si="253">D278-C278</f>
        <v>0</v>
      </c>
      <c r="F278" s="37"/>
      <c r="G278" s="13" t="e">
        <f t="shared" ref="G278:G285" si="254">(F278/E278)*100</f>
        <v>#DIV/0!</v>
      </c>
      <c r="H278" s="83"/>
      <c r="I278" s="126"/>
      <c r="J278" s="39">
        <f t="shared" ref="J278:J285" si="255">I278-H278</f>
        <v>0</v>
      </c>
      <c r="K278" s="39">
        <f t="shared" ref="K278:K280" si="256">F278</f>
        <v>0</v>
      </c>
      <c r="L278" s="67" t="e">
        <f t="shared" ref="L278:L285" si="257">(K278/J278)*100</f>
        <v>#DIV/0!</v>
      </c>
      <c r="M278" s="68"/>
      <c r="N278" s="47">
        <v>1000000</v>
      </c>
    </row>
    <row r="279" spans="1:14" ht="14">
      <c r="A279" s="33">
        <v>46150</v>
      </c>
      <c r="B279" s="173" t="s">
        <v>55</v>
      </c>
      <c r="C279" s="83"/>
      <c r="D279" s="83"/>
      <c r="E279" s="11">
        <f t="shared" si="253"/>
        <v>0</v>
      </c>
      <c r="F279" s="141"/>
      <c r="G279" s="13" t="e">
        <f t="shared" si="254"/>
        <v>#DIV/0!</v>
      </c>
      <c r="H279" s="83"/>
      <c r="I279" s="125"/>
      <c r="J279" s="35">
        <f t="shared" si="255"/>
        <v>0</v>
      </c>
      <c r="K279" s="35">
        <f t="shared" si="256"/>
        <v>0</v>
      </c>
      <c r="L279" s="46" t="e">
        <f t="shared" si="257"/>
        <v>#DIV/0!</v>
      </c>
      <c r="M279" s="116"/>
      <c r="N279" s="47">
        <v>4000000</v>
      </c>
    </row>
    <row r="280" spans="1:14" ht="14">
      <c r="A280" s="33">
        <v>46157</v>
      </c>
      <c r="B280" s="173" t="s">
        <v>55</v>
      </c>
      <c r="C280" s="83"/>
      <c r="D280" s="12"/>
      <c r="E280" s="36">
        <f t="shared" si="253"/>
        <v>0</v>
      </c>
      <c r="F280" s="37"/>
      <c r="G280" s="13" t="e">
        <f t="shared" si="254"/>
        <v>#DIV/0!</v>
      </c>
      <c r="H280" s="83"/>
      <c r="I280" s="126"/>
      <c r="J280" s="39">
        <f t="shared" si="255"/>
        <v>0</v>
      </c>
      <c r="K280" s="39">
        <f t="shared" si="256"/>
        <v>0</v>
      </c>
      <c r="L280" s="67" t="e">
        <f t="shared" si="257"/>
        <v>#DIV/0!</v>
      </c>
      <c r="M280" s="68"/>
      <c r="N280" s="47">
        <v>7000000</v>
      </c>
    </row>
    <row r="281" spans="1:14" ht="14">
      <c r="A281" s="33">
        <v>46165</v>
      </c>
      <c r="B281" s="173" t="s">
        <v>55</v>
      </c>
      <c r="C281" s="83"/>
      <c r="D281" s="83"/>
      <c r="E281" s="11">
        <f t="shared" si="253"/>
        <v>0</v>
      </c>
      <c r="F281" s="141"/>
      <c r="G281" s="13" t="e">
        <f t="shared" si="254"/>
        <v>#DIV/0!</v>
      </c>
      <c r="H281" s="83"/>
      <c r="I281" s="125"/>
      <c r="J281" s="35">
        <f t="shared" si="255"/>
        <v>0</v>
      </c>
      <c r="K281" s="35"/>
      <c r="L281" s="46" t="e">
        <f t="shared" si="257"/>
        <v>#DIV/0!</v>
      </c>
      <c r="M281" s="116"/>
      <c r="N281" s="47">
        <v>6000000</v>
      </c>
    </row>
    <row r="282" spans="1:14" ht="18.75" customHeight="1">
      <c r="A282" s="33"/>
      <c r="B282" s="173" t="s">
        <v>55</v>
      </c>
      <c r="C282" s="83"/>
      <c r="D282" s="83"/>
      <c r="E282" s="11">
        <f t="shared" si="253"/>
        <v>0</v>
      </c>
      <c r="F282" s="141"/>
      <c r="G282" s="13" t="e">
        <f t="shared" si="254"/>
        <v>#DIV/0!</v>
      </c>
      <c r="H282" s="83"/>
      <c r="I282" s="125"/>
      <c r="J282" s="35">
        <f t="shared" si="255"/>
        <v>0</v>
      </c>
      <c r="K282" s="35">
        <f t="shared" ref="K282:K285" si="258">F282</f>
        <v>0</v>
      </c>
      <c r="L282" s="73" t="e">
        <f t="shared" si="257"/>
        <v>#DIV/0!</v>
      </c>
      <c r="M282" s="116"/>
      <c r="N282" s="47"/>
    </row>
    <row r="283" spans="1:14" ht="14">
      <c r="A283" s="33"/>
      <c r="B283" s="173" t="s">
        <v>55</v>
      </c>
      <c r="C283" s="83"/>
      <c r="D283" s="83"/>
      <c r="E283" s="11">
        <f t="shared" si="253"/>
        <v>0</v>
      </c>
      <c r="F283" s="141"/>
      <c r="G283" s="13" t="e">
        <f t="shared" si="254"/>
        <v>#DIV/0!</v>
      </c>
      <c r="H283" s="83"/>
      <c r="I283" s="125"/>
      <c r="J283" s="83">
        <f t="shared" si="255"/>
        <v>0</v>
      </c>
      <c r="K283" s="83">
        <f t="shared" si="258"/>
        <v>0</v>
      </c>
      <c r="L283" s="136" t="e">
        <f t="shared" si="257"/>
        <v>#DIV/0!</v>
      </c>
      <c r="M283" s="116"/>
      <c r="N283" s="47"/>
    </row>
    <row r="284" spans="1:14" ht="14">
      <c r="A284" s="33"/>
      <c r="B284" s="173" t="s">
        <v>55</v>
      </c>
      <c r="C284" s="83"/>
      <c r="D284" s="83"/>
      <c r="E284" s="11">
        <f t="shared" si="253"/>
        <v>0</v>
      </c>
      <c r="F284" s="141"/>
      <c r="G284" s="13" t="e">
        <f t="shared" si="254"/>
        <v>#DIV/0!</v>
      </c>
      <c r="H284" s="83"/>
      <c r="I284" s="125"/>
      <c r="J284" s="83">
        <f t="shared" si="255"/>
        <v>0</v>
      </c>
      <c r="K284" s="83">
        <f t="shared" si="258"/>
        <v>0</v>
      </c>
      <c r="L284" s="136" t="e">
        <f t="shared" si="257"/>
        <v>#DIV/0!</v>
      </c>
      <c r="M284" s="116"/>
      <c r="N284" s="47"/>
    </row>
    <row r="285" spans="1:14" ht="14">
      <c r="A285" s="33"/>
      <c r="B285" s="173" t="s">
        <v>55</v>
      </c>
      <c r="C285" s="83"/>
      <c r="D285" s="83"/>
      <c r="E285" s="11">
        <f t="shared" si="253"/>
        <v>0</v>
      </c>
      <c r="F285" s="141"/>
      <c r="G285" s="13" t="e">
        <f t="shared" si="254"/>
        <v>#DIV/0!</v>
      </c>
      <c r="H285" s="83"/>
      <c r="I285" s="125"/>
      <c r="J285" s="83">
        <f t="shared" si="255"/>
        <v>0</v>
      </c>
      <c r="K285" s="83">
        <f t="shared" si="258"/>
        <v>0</v>
      </c>
      <c r="L285" s="136" t="e">
        <f t="shared" si="257"/>
        <v>#DIV/0!</v>
      </c>
      <c r="M285" s="116"/>
      <c r="N285" s="47"/>
    </row>
    <row r="286" spans="1:14" ht="16">
      <c r="A286" s="66"/>
      <c r="B286" s="60"/>
      <c r="C286" s="59"/>
      <c r="D286" s="59" t="s">
        <v>19</v>
      </c>
      <c r="E286" s="59">
        <f t="shared" ref="E286:F286" si="259">SUM(E278:E283)</f>
        <v>0</v>
      </c>
      <c r="F286" s="59">
        <f t="shared" si="259"/>
        <v>0</v>
      </c>
      <c r="G286" s="61" t="e">
        <f>AVERAGE(G278:G283)</f>
        <v>#DIV/0!</v>
      </c>
      <c r="H286" s="59"/>
      <c r="I286" s="62"/>
      <c r="J286" s="59">
        <f t="shared" ref="J286:K286" si="260">SUM(J278:J283)</f>
        <v>0</v>
      </c>
      <c r="K286" s="59">
        <f t="shared" si="260"/>
        <v>0</v>
      </c>
      <c r="L286" s="61" t="e">
        <f>AVERAGE(L278:L283)</f>
        <v>#DIV/0!</v>
      </c>
      <c r="M286" s="64"/>
      <c r="N286" s="65">
        <f>SUM(N278:N285)</f>
        <v>18000000</v>
      </c>
    </row>
    <row r="287" spans="1:14" ht="16">
      <c r="A287" s="66">
        <v>46149</v>
      </c>
      <c r="B287" s="174" t="s">
        <v>63</v>
      </c>
      <c r="C287" s="83"/>
      <c r="D287" s="83"/>
      <c r="E287" s="36">
        <f t="shared" ref="E287:E292" si="261">D287-C287</f>
        <v>0</v>
      </c>
      <c r="F287" s="37">
        <v>170</v>
      </c>
      <c r="G287" s="13" t="e">
        <f t="shared" ref="G287:G292" si="262">(F287/E287)*100</f>
        <v>#DIV/0!</v>
      </c>
      <c r="H287" s="83"/>
      <c r="I287" s="83"/>
      <c r="J287" s="39">
        <f t="shared" ref="J287:J292" si="263">I287-H287</f>
        <v>0</v>
      </c>
      <c r="K287" s="39">
        <f t="shared" ref="K287:K292" si="264">F287</f>
        <v>170</v>
      </c>
      <c r="L287" s="136" t="e">
        <f t="shared" ref="L287:L292" si="265">(K287/J287)*100</f>
        <v>#DIV/0!</v>
      </c>
      <c r="M287" s="68">
        <v>28170</v>
      </c>
      <c r="N287" s="47">
        <f t="shared" ref="N287:N292" si="266">M287*F287</f>
        <v>4788900</v>
      </c>
    </row>
    <row r="288" spans="1:14" ht="16">
      <c r="A288" s="66">
        <v>46149</v>
      </c>
      <c r="B288" s="174" t="s">
        <v>63</v>
      </c>
      <c r="C288" s="83"/>
      <c r="D288" s="12"/>
      <c r="E288" s="11">
        <f t="shared" si="261"/>
        <v>0</v>
      </c>
      <c r="F288" s="141">
        <v>134.9</v>
      </c>
      <c r="G288" s="13" t="e">
        <f t="shared" si="262"/>
        <v>#DIV/0!</v>
      </c>
      <c r="H288" s="83"/>
      <c r="I288" s="83"/>
      <c r="J288" s="39">
        <f t="shared" si="263"/>
        <v>0</v>
      </c>
      <c r="K288" s="35">
        <f t="shared" si="264"/>
        <v>134.9</v>
      </c>
      <c r="L288" s="136" t="e">
        <f t="shared" si="265"/>
        <v>#DIV/0!</v>
      </c>
      <c r="M288" s="68">
        <v>28170</v>
      </c>
      <c r="N288" s="47">
        <f t="shared" si="266"/>
        <v>3800133</v>
      </c>
    </row>
    <row r="289" spans="1:14" ht="16">
      <c r="A289" s="33">
        <v>46161</v>
      </c>
      <c r="B289" s="174" t="s">
        <v>63</v>
      </c>
      <c r="C289" s="12"/>
      <c r="D289" s="83"/>
      <c r="E289" s="11">
        <f t="shared" si="261"/>
        <v>0</v>
      </c>
      <c r="F289" s="141">
        <v>304.92</v>
      </c>
      <c r="G289" s="13" t="e">
        <f t="shared" si="262"/>
        <v>#DIV/0!</v>
      </c>
      <c r="H289" s="83"/>
      <c r="I289" s="83">
        <v>158040</v>
      </c>
      <c r="J289" s="83">
        <f t="shared" si="263"/>
        <v>158040</v>
      </c>
      <c r="K289" s="35">
        <f t="shared" si="264"/>
        <v>304.92</v>
      </c>
      <c r="L289" s="136">
        <f t="shared" si="265"/>
        <v>0.19293849658314352</v>
      </c>
      <c r="M289" s="116">
        <v>27220</v>
      </c>
      <c r="N289" s="47">
        <f t="shared" si="266"/>
        <v>8299922.4000000004</v>
      </c>
    </row>
    <row r="290" spans="1:14" ht="16">
      <c r="A290" s="33">
        <v>46171</v>
      </c>
      <c r="B290" s="174" t="s">
        <v>63</v>
      </c>
      <c r="C290" s="83"/>
      <c r="D290" s="83"/>
      <c r="E290" s="11">
        <f t="shared" si="261"/>
        <v>0</v>
      </c>
      <c r="F290" s="141">
        <v>300.25</v>
      </c>
      <c r="G290" s="13" t="e">
        <f t="shared" si="262"/>
        <v>#DIV/0!</v>
      </c>
      <c r="H290" s="83"/>
      <c r="I290" s="83"/>
      <c r="J290" s="83">
        <f t="shared" si="263"/>
        <v>0</v>
      </c>
      <c r="K290" s="35">
        <f t="shared" si="264"/>
        <v>300.25</v>
      </c>
      <c r="L290" s="136" t="e">
        <f t="shared" si="265"/>
        <v>#DIV/0!</v>
      </c>
      <c r="M290" s="116">
        <v>27650</v>
      </c>
      <c r="N290" s="47">
        <f t="shared" si="266"/>
        <v>8301912.5</v>
      </c>
    </row>
    <row r="291" spans="1:14" ht="16">
      <c r="A291" s="33"/>
      <c r="B291" s="174" t="s">
        <v>63</v>
      </c>
      <c r="C291" s="35"/>
      <c r="D291" s="83"/>
      <c r="E291" s="11">
        <f t="shared" si="261"/>
        <v>0</v>
      </c>
      <c r="F291" s="141"/>
      <c r="G291" s="13" t="e">
        <f t="shared" si="262"/>
        <v>#DIV/0!</v>
      </c>
      <c r="H291" s="83"/>
      <c r="I291" s="125"/>
      <c r="J291" s="83">
        <f t="shared" si="263"/>
        <v>0</v>
      </c>
      <c r="K291" s="35">
        <f t="shared" si="264"/>
        <v>0</v>
      </c>
      <c r="L291" s="136" t="e">
        <f t="shared" si="265"/>
        <v>#DIV/0!</v>
      </c>
      <c r="M291" s="116"/>
      <c r="N291" s="47">
        <f t="shared" si="266"/>
        <v>0</v>
      </c>
    </row>
    <row r="292" spans="1:14" ht="16">
      <c r="A292" s="138"/>
      <c r="B292" s="174" t="s">
        <v>63</v>
      </c>
      <c r="C292" s="83"/>
      <c r="D292" s="83"/>
      <c r="E292" s="11">
        <f t="shared" si="261"/>
        <v>0</v>
      </c>
      <c r="F292" s="141"/>
      <c r="G292" s="13" t="e">
        <f t="shared" si="262"/>
        <v>#DIV/0!</v>
      </c>
      <c r="H292" s="83"/>
      <c r="I292" s="125"/>
      <c r="J292" s="83">
        <f t="shared" si="263"/>
        <v>0</v>
      </c>
      <c r="K292" s="35">
        <f t="shared" si="264"/>
        <v>0</v>
      </c>
      <c r="L292" s="136" t="e">
        <f t="shared" si="265"/>
        <v>#DIV/0!</v>
      </c>
      <c r="M292" s="116"/>
      <c r="N292" s="47">
        <f t="shared" si="266"/>
        <v>0</v>
      </c>
    </row>
    <row r="293" spans="1:14" ht="16">
      <c r="A293" s="59"/>
      <c r="B293" s="60"/>
      <c r="C293" s="59"/>
      <c r="D293" s="59" t="s">
        <v>19</v>
      </c>
      <c r="E293" s="59">
        <f t="shared" ref="E293:F293" si="267">SUM(E287:E292)</f>
        <v>0</v>
      </c>
      <c r="F293" s="59">
        <f t="shared" si="267"/>
        <v>910.06999999999994</v>
      </c>
      <c r="G293" s="61" t="e">
        <f>AVERAGE(G287:G292)</f>
        <v>#DIV/0!</v>
      </c>
      <c r="H293" s="59"/>
      <c r="I293" s="62"/>
      <c r="J293" s="59">
        <f t="shared" ref="J293:K293" si="268">SUM(J287:J292)</f>
        <v>158040</v>
      </c>
      <c r="K293" s="59">
        <f t="shared" si="268"/>
        <v>910.06999999999994</v>
      </c>
      <c r="L293" s="61" t="e">
        <f>AVERAGE(L287:L292)</f>
        <v>#DIV/0!</v>
      </c>
      <c r="M293" s="64"/>
      <c r="N293" s="65">
        <f>SUM(N287:N292)</f>
        <v>25190867.899999999</v>
      </c>
    </row>
    <row r="294" spans="1:14" ht="16">
      <c r="A294" s="66">
        <v>46149</v>
      </c>
      <c r="B294" s="174" t="s">
        <v>57</v>
      </c>
      <c r="C294" s="83">
        <v>12096</v>
      </c>
      <c r="D294" s="83">
        <v>12631</v>
      </c>
      <c r="E294" s="11">
        <f t="shared" ref="E294:E301" si="269">D294-C294</f>
        <v>535</v>
      </c>
      <c r="F294" s="37">
        <v>173.94</v>
      </c>
      <c r="G294" s="13">
        <f t="shared" ref="G294:G301" si="270">(F294/E294)*100</f>
        <v>32.512149532710275</v>
      </c>
      <c r="H294" s="125"/>
      <c r="I294" s="125">
        <v>6918</v>
      </c>
      <c r="J294" s="39">
        <f t="shared" ref="J294:J301" si="271">I294-H294</f>
        <v>6918</v>
      </c>
      <c r="K294" s="39">
        <f t="shared" ref="K294:K301" si="272">F294</f>
        <v>173.94</v>
      </c>
      <c r="L294" s="136">
        <f t="shared" ref="L294:L301" si="273">(K294/J294)*100</f>
        <v>2.5143104943625327</v>
      </c>
      <c r="M294" s="68">
        <v>28170</v>
      </c>
      <c r="N294" s="47">
        <f t="shared" ref="N294:N301" si="274">M294*F294</f>
        <v>4899889.8</v>
      </c>
    </row>
    <row r="295" spans="1:14" ht="16">
      <c r="A295" s="66">
        <v>46155</v>
      </c>
      <c r="B295" s="174" t="s">
        <v>57</v>
      </c>
      <c r="C295" s="83">
        <v>12631</v>
      </c>
      <c r="D295" s="12">
        <v>13148</v>
      </c>
      <c r="E295" s="11">
        <f t="shared" si="269"/>
        <v>517</v>
      </c>
      <c r="F295" s="141">
        <v>170.99</v>
      </c>
      <c r="G295" s="13">
        <f t="shared" si="270"/>
        <v>33.073500967117994</v>
      </c>
      <c r="H295" s="125">
        <v>6918</v>
      </c>
      <c r="I295" s="125">
        <v>7441</v>
      </c>
      <c r="J295" s="83">
        <f t="shared" si="271"/>
        <v>523</v>
      </c>
      <c r="K295" s="39">
        <f t="shared" si="272"/>
        <v>170.99</v>
      </c>
      <c r="L295" s="136">
        <f t="shared" si="273"/>
        <v>32.694072657743789</v>
      </c>
      <c r="M295" s="68">
        <v>27490</v>
      </c>
      <c r="N295" s="47">
        <f t="shared" si="274"/>
        <v>4700515.1000000006</v>
      </c>
    </row>
    <row r="296" spans="1:14" ht="16">
      <c r="A296" s="33">
        <v>46162</v>
      </c>
      <c r="B296" s="174" t="s">
        <v>57</v>
      </c>
      <c r="C296" s="12">
        <v>13148</v>
      </c>
      <c r="D296" s="83">
        <v>13640</v>
      </c>
      <c r="E296" s="11">
        <f t="shared" si="269"/>
        <v>492</v>
      </c>
      <c r="F296" s="141">
        <v>154.30000000000001</v>
      </c>
      <c r="G296" s="13">
        <f t="shared" si="270"/>
        <v>31.361788617886184</v>
      </c>
      <c r="H296" s="125">
        <v>7441</v>
      </c>
      <c r="I296" s="125">
        <v>7899</v>
      </c>
      <c r="J296" s="83">
        <f t="shared" si="271"/>
        <v>458</v>
      </c>
      <c r="K296" s="35">
        <f t="shared" si="272"/>
        <v>154.30000000000001</v>
      </c>
      <c r="L296" s="136">
        <f t="shared" si="273"/>
        <v>33.689956331877731</v>
      </c>
      <c r="M296" s="68">
        <v>27220</v>
      </c>
      <c r="N296" s="47">
        <f t="shared" si="274"/>
        <v>4200046</v>
      </c>
    </row>
    <row r="297" spans="1:14" ht="16">
      <c r="A297" s="33">
        <v>46165</v>
      </c>
      <c r="B297" s="174" t="s">
        <v>57</v>
      </c>
      <c r="C297" s="83">
        <v>13640</v>
      </c>
      <c r="D297" s="83">
        <v>13978</v>
      </c>
      <c r="E297" s="11">
        <f t="shared" si="269"/>
        <v>338</v>
      </c>
      <c r="F297" s="141">
        <v>104.32</v>
      </c>
      <c r="G297" s="13">
        <f t="shared" si="270"/>
        <v>30.863905325443785</v>
      </c>
      <c r="H297" s="125">
        <v>7899</v>
      </c>
      <c r="I297" s="125">
        <v>8147</v>
      </c>
      <c r="J297" s="83">
        <f t="shared" si="271"/>
        <v>248</v>
      </c>
      <c r="K297" s="35">
        <f t="shared" si="272"/>
        <v>104.32</v>
      </c>
      <c r="L297" s="136">
        <f t="shared" si="273"/>
        <v>42.064516129032256</v>
      </c>
      <c r="M297" s="116">
        <v>28760</v>
      </c>
      <c r="N297" s="47">
        <f t="shared" si="274"/>
        <v>3000243.1999999997</v>
      </c>
    </row>
    <row r="298" spans="1:14" ht="16">
      <c r="A298" s="33">
        <v>46170</v>
      </c>
      <c r="B298" s="174" t="s">
        <v>57</v>
      </c>
      <c r="C298" s="83">
        <v>13978</v>
      </c>
      <c r="D298" s="83">
        <v>14630</v>
      </c>
      <c r="E298" s="11">
        <f t="shared" si="269"/>
        <v>652</v>
      </c>
      <c r="F298" s="141">
        <v>190.4</v>
      </c>
      <c r="G298" s="13">
        <f t="shared" si="270"/>
        <v>29.202453987730063</v>
      </c>
      <c r="H298" s="125"/>
      <c r="I298" s="125">
        <v>7</v>
      </c>
      <c r="J298" s="83">
        <f t="shared" si="271"/>
        <v>7</v>
      </c>
      <c r="K298" s="35">
        <f t="shared" si="272"/>
        <v>190.4</v>
      </c>
      <c r="L298" s="136">
        <f t="shared" si="273"/>
        <v>2720</v>
      </c>
      <c r="M298" s="116">
        <v>28760</v>
      </c>
      <c r="N298" s="47">
        <f t="shared" si="274"/>
        <v>5475904</v>
      </c>
    </row>
    <row r="299" spans="1:14" ht="16">
      <c r="A299" s="138"/>
      <c r="B299" s="174" t="s">
        <v>57</v>
      </c>
      <c r="C299" s="83"/>
      <c r="D299" s="83"/>
      <c r="E299" s="11">
        <f t="shared" si="269"/>
        <v>0</v>
      </c>
      <c r="F299" s="141"/>
      <c r="G299" s="13" t="e">
        <f t="shared" si="270"/>
        <v>#DIV/0!</v>
      </c>
      <c r="H299" s="125"/>
      <c r="I299" s="125"/>
      <c r="J299" s="83">
        <f t="shared" si="271"/>
        <v>0</v>
      </c>
      <c r="K299" s="35">
        <f t="shared" si="272"/>
        <v>0</v>
      </c>
      <c r="L299" s="136" t="e">
        <f t="shared" si="273"/>
        <v>#DIV/0!</v>
      </c>
      <c r="M299" s="116"/>
      <c r="N299" s="47">
        <f t="shared" si="274"/>
        <v>0</v>
      </c>
    </row>
    <row r="300" spans="1:14" ht="16">
      <c r="A300" s="138"/>
      <c r="B300" s="174" t="s">
        <v>57</v>
      </c>
      <c r="C300" s="83"/>
      <c r="D300" s="83"/>
      <c r="E300" s="11">
        <f t="shared" si="269"/>
        <v>0</v>
      </c>
      <c r="F300" s="141"/>
      <c r="G300" s="13" t="e">
        <f t="shared" si="270"/>
        <v>#DIV/0!</v>
      </c>
      <c r="H300" s="125"/>
      <c r="I300" s="125"/>
      <c r="J300" s="83">
        <f t="shared" si="271"/>
        <v>0</v>
      </c>
      <c r="K300" s="35">
        <f t="shared" si="272"/>
        <v>0</v>
      </c>
      <c r="L300" s="136" t="e">
        <f t="shared" si="273"/>
        <v>#DIV/0!</v>
      </c>
      <c r="M300" s="116"/>
      <c r="N300" s="47">
        <f t="shared" si="274"/>
        <v>0</v>
      </c>
    </row>
    <row r="301" spans="1:14" ht="16">
      <c r="A301" s="138"/>
      <c r="B301" s="174" t="s">
        <v>57</v>
      </c>
      <c r="C301" s="83"/>
      <c r="D301" s="83"/>
      <c r="E301" s="11">
        <f t="shared" si="269"/>
        <v>0</v>
      </c>
      <c r="F301" s="141"/>
      <c r="G301" s="13" t="e">
        <f t="shared" si="270"/>
        <v>#DIV/0!</v>
      </c>
      <c r="H301" s="125"/>
      <c r="I301" s="125"/>
      <c r="J301" s="83">
        <f t="shared" si="271"/>
        <v>0</v>
      </c>
      <c r="K301" s="35">
        <f t="shared" si="272"/>
        <v>0</v>
      </c>
      <c r="L301" s="136" t="e">
        <f t="shared" si="273"/>
        <v>#DIV/0!</v>
      </c>
      <c r="M301" s="116"/>
      <c r="N301" s="47">
        <f t="shared" si="274"/>
        <v>0</v>
      </c>
    </row>
    <row r="302" spans="1:14" ht="16">
      <c r="A302" s="59"/>
      <c r="B302" s="60"/>
      <c r="C302" s="59"/>
      <c r="D302" s="59" t="s">
        <v>19</v>
      </c>
      <c r="E302" s="59">
        <f>SUM(E294:E299)</f>
        <v>2534</v>
      </c>
      <c r="F302" s="59">
        <f>SUM(F294:F301)</f>
        <v>793.94999999999993</v>
      </c>
      <c r="G302" s="61" t="e">
        <f>AVERAGE(G294:G299)</f>
        <v>#DIV/0!</v>
      </c>
      <c r="H302" s="59"/>
      <c r="I302" s="62"/>
      <c r="J302" s="59">
        <f t="shared" ref="J302:K302" si="275">SUM(J294:J299)</f>
        <v>8154</v>
      </c>
      <c r="K302" s="59">
        <f t="shared" si="275"/>
        <v>793.94999999999993</v>
      </c>
      <c r="L302" s="61" t="e">
        <f>AVERAGE(L294:L299)</f>
        <v>#DIV/0!</v>
      </c>
      <c r="M302" s="64"/>
      <c r="N302" s="65">
        <f>SUM(N294:N301)</f>
        <v>22276598.100000001</v>
      </c>
    </row>
    <row r="303" spans="1:14" ht="16">
      <c r="A303" s="66">
        <v>46149</v>
      </c>
      <c r="B303" s="174" t="s">
        <v>58</v>
      </c>
      <c r="C303" s="83">
        <v>12372</v>
      </c>
      <c r="D303" s="83">
        <v>12873</v>
      </c>
      <c r="E303" s="11">
        <f t="shared" ref="E303:E311" si="276">D303-C303</f>
        <v>501</v>
      </c>
      <c r="F303" s="37">
        <v>177.49</v>
      </c>
      <c r="G303" s="13">
        <f t="shared" ref="G303:G311" si="277">(F303/E303)*100</f>
        <v>35.427145708582835</v>
      </c>
      <c r="H303" s="125">
        <v>12100</v>
      </c>
      <c r="I303" s="125">
        <v>12650</v>
      </c>
      <c r="J303" s="83">
        <f t="shared" ref="J303:J311" si="278">I303-H303</f>
        <v>550</v>
      </c>
      <c r="K303" s="39">
        <f t="shared" ref="K303:K311" si="279">F303</f>
        <v>177.49</v>
      </c>
      <c r="L303" s="136">
        <f t="shared" ref="L303:L311" si="280">(K303/J303)*100</f>
        <v>32.270909090909093</v>
      </c>
      <c r="M303" s="68">
        <v>28170</v>
      </c>
      <c r="N303" s="47">
        <f t="shared" ref="N303:N311" si="281">M303*F303</f>
        <v>4999893.3</v>
      </c>
    </row>
    <row r="304" spans="1:14" ht="16">
      <c r="A304" s="33">
        <v>46157</v>
      </c>
      <c r="B304" s="174" t="s">
        <v>58</v>
      </c>
      <c r="C304" s="83">
        <v>12873</v>
      </c>
      <c r="D304" s="12">
        <v>13350</v>
      </c>
      <c r="E304" s="11">
        <f t="shared" si="276"/>
        <v>477</v>
      </c>
      <c r="F304" s="141">
        <v>146.94999999999999</v>
      </c>
      <c r="G304" s="13">
        <f t="shared" si="277"/>
        <v>30.807127882599577</v>
      </c>
      <c r="H304" s="125">
        <v>12650</v>
      </c>
      <c r="I304" s="125">
        <v>13090</v>
      </c>
      <c r="J304" s="83">
        <f t="shared" si="278"/>
        <v>440</v>
      </c>
      <c r="K304" s="35">
        <f t="shared" si="279"/>
        <v>146.94999999999999</v>
      </c>
      <c r="L304" s="136">
        <f t="shared" si="280"/>
        <v>33.397727272727266</v>
      </c>
      <c r="M304" s="68">
        <v>27220</v>
      </c>
      <c r="N304" s="47">
        <f t="shared" si="281"/>
        <v>3999978.9999999995</v>
      </c>
    </row>
    <row r="305" spans="1:14" ht="16">
      <c r="A305" s="33">
        <v>46163</v>
      </c>
      <c r="B305" s="174" t="s">
        <v>58</v>
      </c>
      <c r="C305" s="12">
        <v>13350</v>
      </c>
      <c r="D305" s="83">
        <v>13920</v>
      </c>
      <c r="E305" s="11">
        <f t="shared" si="276"/>
        <v>570</v>
      </c>
      <c r="F305" s="141">
        <v>180.01</v>
      </c>
      <c r="G305" s="13">
        <f t="shared" si="277"/>
        <v>31.580701754385963</v>
      </c>
      <c r="H305" s="125">
        <v>13090</v>
      </c>
      <c r="I305" s="125">
        <v>13669</v>
      </c>
      <c r="J305" s="83">
        <f t="shared" si="278"/>
        <v>579</v>
      </c>
      <c r="K305" s="35">
        <f t="shared" si="279"/>
        <v>180.01</v>
      </c>
      <c r="L305" s="136">
        <f t="shared" si="280"/>
        <v>31.089810017271159</v>
      </c>
      <c r="M305" s="116">
        <v>27220</v>
      </c>
      <c r="N305" s="47">
        <f t="shared" si="281"/>
        <v>4899872.2</v>
      </c>
    </row>
    <row r="306" spans="1:14" ht="16">
      <c r="A306" s="33">
        <v>46170</v>
      </c>
      <c r="B306" s="174" t="s">
        <v>58</v>
      </c>
      <c r="C306" s="83">
        <v>13920</v>
      </c>
      <c r="D306" s="83">
        <v>14375</v>
      </c>
      <c r="E306" s="11">
        <f t="shared" si="276"/>
        <v>455</v>
      </c>
      <c r="F306" s="141">
        <v>163.41999999999999</v>
      </c>
      <c r="G306" s="13">
        <f t="shared" si="277"/>
        <v>35.916483516483517</v>
      </c>
      <c r="H306" s="125">
        <v>13669</v>
      </c>
      <c r="I306" s="125">
        <v>14128</v>
      </c>
      <c r="J306" s="83">
        <f t="shared" si="278"/>
        <v>459</v>
      </c>
      <c r="K306" s="35">
        <f t="shared" si="279"/>
        <v>163.41999999999999</v>
      </c>
      <c r="L306" s="136">
        <f t="shared" si="280"/>
        <v>35.603485838779953</v>
      </c>
      <c r="M306" s="116">
        <v>28760</v>
      </c>
      <c r="N306" s="47">
        <f t="shared" si="281"/>
        <v>4699959.1999999993</v>
      </c>
    </row>
    <row r="307" spans="1:14" ht="16">
      <c r="A307" s="33"/>
      <c r="B307" s="174" t="s">
        <v>58</v>
      </c>
      <c r="C307" s="83"/>
      <c r="D307" s="83"/>
      <c r="E307" s="11">
        <f t="shared" si="276"/>
        <v>0</v>
      </c>
      <c r="F307" s="141"/>
      <c r="G307" s="13" t="e">
        <f t="shared" si="277"/>
        <v>#DIV/0!</v>
      </c>
      <c r="H307" s="125"/>
      <c r="I307" s="125"/>
      <c r="J307" s="83">
        <f t="shared" si="278"/>
        <v>0</v>
      </c>
      <c r="K307" s="35">
        <f t="shared" si="279"/>
        <v>0</v>
      </c>
      <c r="L307" s="136" t="e">
        <f t="shared" si="280"/>
        <v>#DIV/0!</v>
      </c>
      <c r="M307" s="116"/>
      <c r="N307" s="47">
        <f t="shared" si="281"/>
        <v>0</v>
      </c>
    </row>
    <row r="308" spans="1:14" ht="16">
      <c r="A308" s="138"/>
      <c r="B308" s="174" t="s">
        <v>58</v>
      </c>
      <c r="C308" s="83"/>
      <c r="D308" s="83"/>
      <c r="E308" s="11">
        <f t="shared" si="276"/>
        <v>0</v>
      </c>
      <c r="F308" s="141"/>
      <c r="G308" s="13" t="e">
        <f t="shared" si="277"/>
        <v>#DIV/0!</v>
      </c>
      <c r="H308" s="125"/>
      <c r="I308" s="125"/>
      <c r="J308" s="83">
        <f t="shared" si="278"/>
        <v>0</v>
      </c>
      <c r="K308" s="35">
        <f t="shared" si="279"/>
        <v>0</v>
      </c>
      <c r="L308" s="136" t="e">
        <f t="shared" si="280"/>
        <v>#DIV/0!</v>
      </c>
      <c r="M308" s="116"/>
      <c r="N308" s="47">
        <f t="shared" si="281"/>
        <v>0</v>
      </c>
    </row>
    <row r="309" spans="1:14" ht="16">
      <c r="A309" s="138"/>
      <c r="B309" s="174" t="s">
        <v>58</v>
      </c>
      <c r="C309" s="83"/>
      <c r="D309" s="83"/>
      <c r="E309" s="11">
        <f t="shared" si="276"/>
        <v>0</v>
      </c>
      <c r="F309" s="141"/>
      <c r="G309" s="13" t="e">
        <f t="shared" si="277"/>
        <v>#DIV/0!</v>
      </c>
      <c r="H309" s="125"/>
      <c r="I309" s="125"/>
      <c r="J309" s="83">
        <f t="shared" si="278"/>
        <v>0</v>
      </c>
      <c r="K309" s="35">
        <f t="shared" si="279"/>
        <v>0</v>
      </c>
      <c r="L309" s="136" t="e">
        <f t="shared" si="280"/>
        <v>#DIV/0!</v>
      </c>
      <c r="M309" s="116"/>
      <c r="N309" s="47">
        <f t="shared" si="281"/>
        <v>0</v>
      </c>
    </row>
    <row r="310" spans="1:14" ht="16">
      <c r="A310" s="138"/>
      <c r="B310" s="174" t="s">
        <v>58</v>
      </c>
      <c r="C310" s="83"/>
      <c r="D310" s="83"/>
      <c r="E310" s="11">
        <f t="shared" si="276"/>
        <v>0</v>
      </c>
      <c r="F310" s="141"/>
      <c r="G310" s="13" t="e">
        <f t="shared" si="277"/>
        <v>#DIV/0!</v>
      </c>
      <c r="H310" s="125"/>
      <c r="I310" s="125"/>
      <c r="J310" s="83">
        <f t="shared" si="278"/>
        <v>0</v>
      </c>
      <c r="K310" s="35">
        <f t="shared" si="279"/>
        <v>0</v>
      </c>
      <c r="L310" s="136" t="e">
        <f t="shared" si="280"/>
        <v>#DIV/0!</v>
      </c>
      <c r="M310" s="116"/>
      <c r="N310" s="47">
        <f t="shared" si="281"/>
        <v>0</v>
      </c>
    </row>
    <row r="311" spans="1:14" ht="16">
      <c r="A311" s="138"/>
      <c r="B311" s="174" t="s">
        <v>58</v>
      </c>
      <c r="C311" s="83"/>
      <c r="D311" s="83"/>
      <c r="E311" s="11">
        <f t="shared" si="276"/>
        <v>0</v>
      </c>
      <c r="F311" s="141"/>
      <c r="G311" s="13" t="e">
        <f t="shared" si="277"/>
        <v>#DIV/0!</v>
      </c>
      <c r="H311" s="125"/>
      <c r="I311" s="125"/>
      <c r="J311" s="83">
        <f t="shared" si="278"/>
        <v>0</v>
      </c>
      <c r="K311" s="35">
        <f t="shared" si="279"/>
        <v>0</v>
      </c>
      <c r="L311" s="136" t="e">
        <f t="shared" si="280"/>
        <v>#DIV/0!</v>
      </c>
      <c r="M311" s="116"/>
      <c r="N311" s="47">
        <f t="shared" si="281"/>
        <v>0</v>
      </c>
    </row>
    <row r="312" spans="1:14" ht="16">
      <c r="A312" s="59"/>
      <c r="B312" s="60"/>
      <c r="C312" s="59"/>
      <c r="D312" s="59" t="s">
        <v>19</v>
      </c>
      <c r="E312" s="59">
        <f>SUM(E303:E308)</f>
        <v>2003</v>
      </c>
      <c r="F312" s="59">
        <f>SUM(F303:F309)</f>
        <v>667.87</v>
      </c>
      <c r="G312" s="61" t="e">
        <f>AVERAGE(G303:G308)</f>
        <v>#DIV/0!</v>
      </c>
      <c r="H312" s="59"/>
      <c r="I312" s="62"/>
      <c r="J312" s="59">
        <f t="shared" ref="J312:K312" si="282">SUM(J303:J308)</f>
        <v>2028</v>
      </c>
      <c r="K312" s="59">
        <f t="shared" si="282"/>
        <v>667.87</v>
      </c>
      <c r="L312" s="61" t="e">
        <f>AVERAGE(L303:L308)</f>
        <v>#DIV/0!</v>
      </c>
      <c r="M312" s="64"/>
      <c r="N312" s="65">
        <f>SUM(N303:N311)</f>
        <v>18599703.699999999</v>
      </c>
    </row>
    <row r="313" spans="1:14" ht="16">
      <c r="A313" s="66">
        <v>46144</v>
      </c>
      <c r="B313" s="175" t="s">
        <v>59</v>
      </c>
      <c r="C313" s="83"/>
      <c r="D313" s="83"/>
      <c r="E313" s="11">
        <f t="shared" ref="E313:E318" si="283">D313-C313</f>
        <v>0</v>
      </c>
      <c r="F313" s="37"/>
      <c r="G313" s="13" t="e">
        <f t="shared" ref="G313:G318" si="284">(F313/E313)*100</f>
        <v>#DIV/0!</v>
      </c>
      <c r="H313" s="125"/>
      <c r="I313" s="125"/>
      <c r="J313" s="39">
        <f t="shared" ref="J313:J318" si="285">I313-H313</f>
        <v>0</v>
      </c>
      <c r="K313" s="39">
        <f t="shared" ref="K313:K318" si="286">F313</f>
        <v>0</v>
      </c>
      <c r="L313" s="136" t="e">
        <f t="shared" ref="L313:L318" si="287">(K313/J313)*100</f>
        <v>#DIV/0!</v>
      </c>
      <c r="M313" s="68"/>
      <c r="N313" s="47">
        <v>6000000</v>
      </c>
    </row>
    <row r="314" spans="1:14" ht="16">
      <c r="A314" s="33">
        <v>46163</v>
      </c>
      <c r="B314" s="176" t="s">
        <v>59</v>
      </c>
      <c r="C314" s="83"/>
      <c r="D314" s="12"/>
      <c r="E314" s="11">
        <f t="shared" si="283"/>
        <v>0</v>
      </c>
      <c r="F314" s="141"/>
      <c r="G314" s="13" t="e">
        <f t="shared" si="284"/>
        <v>#DIV/0!</v>
      </c>
      <c r="H314" s="125"/>
      <c r="I314" s="125"/>
      <c r="J314" s="83">
        <f t="shared" si="285"/>
        <v>0</v>
      </c>
      <c r="K314" s="35">
        <f t="shared" si="286"/>
        <v>0</v>
      </c>
      <c r="L314" s="136" t="e">
        <f t="shared" si="287"/>
        <v>#DIV/0!</v>
      </c>
      <c r="M314" s="68"/>
      <c r="N314" s="47">
        <v>5200000</v>
      </c>
    </row>
    <row r="315" spans="1:14" ht="16">
      <c r="A315" s="33"/>
      <c r="B315" s="176" t="s">
        <v>59</v>
      </c>
      <c r="C315" s="12"/>
      <c r="D315" s="83"/>
      <c r="E315" s="11">
        <f t="shared" si="283"/>
        <v>0</v>
      </c>
      <c r="F315" s="141"/>
      <c r="G315" s="13" t="e">
        <f t="shared" si="284"/>
        <v>#DIV/0!</v>
      </c>
      <c r="H315" s="125"/>
      <c r="I315" s="125"/>
      <c r="J315" s="83">
        <f t="shared" si="285"/>
        <v>0</v>
      </c>
      <c r="K315" s="35">
        <f t="shared" si="286"/>
        <v>0</v>
      </c>
      <c r="L315" s="136" t="e">
        <f t="shared" si="287"/>
        <v>#DIV/0!</v>
      </c>
      <c r="M315" s="116"/>
      <c r="N315" s="47">
        <f t="shared" ref="N315:N318" si="288">M315*F315</f>
        <v>0</v>
      </c>
    </row>
    <row r="316" spans="1:14" ht="16">
      <c r="A316" s="33"/>
      <c r="B316" s="176" t="s">
        <v>59</v>
      </c>
      <c r="C316" s="83"/>
      <c r="D316" s="83"/>
      <c r="E316" s="11">
        <f t="shared" si="283"/>
        <v>0</v>
      </c>
      <c r="F316" s="141"/>
      <c r="G316" s="13" t="e">
        <f t="shared" si="284"/>
        <v>#DIV/0!</v>
      </c>
      <c r="H316" s="125"/>
      <c r="I316" s="125"/>
      <c r="J316" s="83">
        <f t="shared" si="285"/>
        <v>0</v>
      </c>
      <c r="K316" s="35">
        <f t="shared" si="286"/>
        <v>0</v>
      </c>
      <c r="L316" s="136" t="e">
        <f t="shared" si="287"/>
        <v>#DIV/0!</v>
      </c>
      <c r="M316" s="116"/>
      <c r="N316" s="47">
        <f t="shared" si="288"/>
        <v>0</v>
      </c>
    </row>
    <row r="317" spans="1:14" ht="16">
      <c r="A317" s="33"/>
      <c r="B317" s="176" t="s">
        <v>59</v>
      </c>
      <c r="C317" s="35"/>
      <c r="D317" s="83"/>
      <c r="E317" s="11">
        <f t="shared" si="283"/>
        <v>0</v>
      </c>
      <c r="F317" s="141"/>
      <c r="G317" s="13" t="e">
        <f t="shared" si="284"/>
        <v>#DIV/0!</v>
      </c>
      <c r="H317" s="83"/>
      <c r="I317" s="125"/>
      <c r="J317" s="83">
        <f t="shared" si="285"/>
        <v>0</v>
      </c>
      <c r="K317" s="35">
        <f t="shared" si="286"/>
        <v>0</v>
      </c>
      <c r="L317" s="136" t="e">
        <f t="shared" si="287"/>
        <v>#DIV/0!</v>
      </c>
      <c r="M317" s="116"/>
      <c r="N317" s="47">
        <f t="shared" si="288"/>
        <v>0</v>
      </c>
    </row>
    <row r="318" spans="1:14" ht="16">
      <c r="A318" s="138"/>
      <c r="B318" s="177" t="s">
        <v>59</v>
      </c>
      <c r="C318" s="83"/>
      <c r="D318" s="83"/>
      <c r="E318" s="11">
        <f t="shared" si="283"/>
        <v>0</v>
      </c>
      <c r="F318" s="141"/>
      <c r="G318" s="13" t="e">
        <f t="shared" si="284"/>
        <v>#DIV/0!</v>
      </c>
      <c r="H318" s="83"/>
      <c r="I318" s="125"/>
      <c r="J318" s="83">
        <f t="shared" si="285"/>
        <v>0</v>
      </c>
      <c r="K318" s="35">
        <f t="shared" si="286"/>
        <v>0</v>
      </c>
      <c r="L318" s="136" t="e">
        <f t="shared" si="287"/>
        <v>#DIV/0!</v>
      </c>
      <c r="M318" s="116"/>
      <c r="N318" s="47">
        <f t="shared" si="288"/>
        <v>0</v>
      </c>
    </row>
    <row r="319" spans="1:14" ht="16">
      <c r="A319" s="59"/>
      <c r="B319" s="127"/>
      <c r="C319" s="59"/>
      <c r="D319" s="59" t="s">
        <v>19</v>
      </c>
      <c r="E319" s="59">
        <f t="shared" ref="E319:F319" si="289">SUM(E313:E318)</f>
        <v>0</v>
      </c>
      <c r="F319" s="59">
        <f t="shared" si="289"/>
        <v>0</v>
      </c>
      <c r="G319" s="61" t="e">
        <f>AVERAGE(G313:G318)</f>
        <v>#DIV/0!</v>
      </c>
      <c r="H319" s="59"/>
      <c r="I319" s="62"/>
      <c r="J319" s="59">
        <f t="shared" ref="J319:K319" si="290">SUM(J313:J318)</f>
        <v>0</v>
      </c>
      <c r="K319" s="59">
        <f t="shared" si="290"/>
        <v>0</v>
      </c>
      <c r="L319" s="61" t="e">
        <f>AVERAGE(L313:L318)</f>
        <v>#DIV/0!</v>
      </c>
      <c r="M319" s="64"/>
      <c r="N319" s="65">
        <f>SUM(N313:N318)</f>
        <v>11200000</v>
      </c>
    </row>
    <row r="320" spans="1:14" ht="16">
      <c r="A320" s="66">
        <v>46149</v>
      </c>
      <c r="B320" s="174" t="s">
        <v>60</v>
      </c>
      <c r="C320" s="83">
        <v>12801</v>
      </c>
      <c r="D320" s="83">
        <v>13042</v>
      </c>
      <c r="E320" s="11">
        <f t="shared" ref="E320:E328" si="291">D320-C320</f>
        <v>241</v>
      </c>
      <c r="F320" s="37">
        <v>67.459999999999994</v>
      </c>
      <c r="G320" s="13">
        <f t="shared" ref="G320:G328" si="292">(F320/E320)*100</f>
        <v>27.991701244813278</v>
      </c>
      <c r="H320" s="125"/>
      <c r="I320" s="125"/>
      <c r="J320" s="39">
        <f t="shared" ref="J320:J328" si="293">I320-H320</f>
        <v>0</v>
      </c>
      <c r="K320" s="39">
        <f t="shared" ref="K320:K328" si="294">F320</f>
        <v>67.459999999999994</v>
      </c>
      <c r="L320" s="136" t="e">
        <f t="shared" ref="L320:L328" si="295">(K320/J320)*100</f>
        <v>#DIV/0!</v>
      </c>
      <c r="M320" s="68">
        <v>28170</v>
      </c>
      <c r="N320" s="47">
        <f t="shared" ref="N320:N328" si="296">M320*F320</f>
        <v>1900348.1999999997</v>
      </c>
    </row>
    <row r="321" spans="1:18" ht="16">
      <c r="A321" s="33">
        <v>46154</v>
      </c>
      <c r="B321" s="174" t="s">
        <v>60</v>
      </c>
      <c r="C321" s="83">
        <v>13042</v>
      </c>
      <c r="D321" s="12">
        <v>14004</v>
      </c>
      <c r="E321" s="11">
        <f t="shared" si="291"/>
        <v>962</v>
      </c>
      <c r="F321" s="141">
        <v>236.45</v>
      </c>
      <c r="G321" s="13">
        <f t="shared" si="292"/>
        <v>24.579002079002077</v>
      </c>
      <c r="H321" s="125"/>
      <c r="I321" s="125"/>
      <c r="J321" s="83">
        <f t="shared" si="293"/>
        <v>0</v>
      </c>
      <c r="K321" s="35">
        <f t="shared" si="294"/>
        <v>236.45</v>
      </c>
      <c r="L321" s="136" t="e">
        <f t="shared" si="295"/>
        <v>#DIV/0!</v>
      </c>
      <c r="M321" s="68">
        <v>27490</v>
      </c>
      <c r="N321" s="47">
        <f t="shared" si="296"/>
        <v>6500010.5</v>
      </c>
    </row>
    <row r="322" spans="1:18" ht="16">
      <c r="A322" s="33">
        <v>46163</v>
      </c>
      <c r="B322" s="174" t="s">
        <v>60</v>
      </c>
      <c r="C322" s="12">
        <v>14004</v>
      </c>
      <c r="D322" s="83">
        <v>14950</v>
      </c>
      <c r="E322" s="11">
        <f t="shared" si="291"/>
        <v>946</v>
      </c>
      <c r="F322" s="141">
        <v>253.49</v>
      </c>
      <c r="G322" s="13">
        <f t="shared" si="292"/>
        <v>26.795983086680764</v>
      </c>
      <c r="H322" s="125"/>
      <c r="I322" s="125"/>
      <c r="J322" s="83">
        <f t="shared" si="293"/>
        <v>0</v>
      </c>
      <c r="K322" s="35">
        <f t="shared" si="294"/>
        <v>253.49</v>
      </c>
      <c r="L322" s="136" t="e">
        <f t="shared" si="295"/>
        <v>#DIV/0!</v>
      </c>
      <c r="M322" s="116">
        <v>27220</v>
      </c>
      <c r="N322" s="47">
        <f t="shared" si="296"/>
        <v>6899997.7999999998</v>
      </c>
    </row>
    <row r="323" spans="1:18" ht="16">
      <c r="A323" s="33">
        <v>46165</v>
      </c>
      <c r="B323" s="174" t="s">
        <v>60</v>
      </c>
      <c r="C323" s="83">
        <v>14950</v>
      </c>
      <c r="D323" s="83">
        <v>15074</v>
      </c>
      <c r="E323" s="11">
        <f t="shared" si="291"/>
        <v>124</v>
      </c>
      <c r="F323" s="141">
        <v>33.03</v>
      </c>
      <c r="G323" s="178">
        <f t="shared" si="292"/>
        <v>26.637096774193548</v>
      </c>
      <c r="H323" s="125"/>
      <c r="I323" s="125"/>
      <c r="J323" s="83">
        <f t="shared" si="293"/>
        <v>0</v>
      </c>
      <c r="K323" s="35">
        <f t="shared" si="294"/>
        <v>33.03</v>
      </c>
      <c r="L323" s="136" t="e">
        <f t="shared" si="295"/>
        <v>#DIV/0!</v>
      </c>
      <c r="M323" s="116">
        <v>28760</v>
      </c>
      <c r="N323" s="47">
        <f t="shared" si="296"/>
        <v>949942.8</v>
      </c>
    </row>
    <row r="324" spans="1:18" ht="16">
      <c r="A324" s="33">
        <v>46171</v>
      </c>
      <c r="B324" s="174" t="s">
        <v>60</v>
      </c>
      <c r="C324" s="83">
        <v>15074</v>
      </c>
      <c r="D324" s="83">
        <v>15945</v>
      </c>
      <c r="E324" s="11">
        <f t="shared" si="291"/>
        <v>871</v>
      </c>
      <c r="F324" s="141">
        <v>213.38</v>
      </c>
      <c r="G324" s="13">
        <f t="shared" si="292"/>
        <v>24.498277841561421</v>
      </c>
      <c r="H324" s="83"/>
      <c r="I324" s="125"/>
      <c r="J324" s="83">
        <f t="shared" si="293"/>
        <v>0</v>
      </c>
      <c r="K324" s="35">
        <f t="shared" si="294"/>
        <v>213.38</v>
      </c>
      <c r="L324" s="136" t="e">
        <f t="shared" si="295"/>
        <v>#DIV/0!</v>
      </c>
      <c r="M324" s="116">
        <v>27650</v>
      </c>
      <c r="N324" s="47">
        <f t="shared" si="296"/>
        <v>5899957</v>
      </c>
    </row>
    <row r="325" spans="1:18" ht="16">
      <c r="A325" s="138"/>
      <c r="B325" s="174" t="s">
        <v>60</v>
      </c>
      <c r="C325" s="83"/>
      <c r="D325" s="83"/>
      <c r="E325" s="11">
        <f t="shared" si="291"/>
        <v>0</v>
      </c>
      <c r="F325" s="141"/>
      <c r="G325" s="13" t="e">
        <f t="shared" si="292"/>
        <v>#DIV/0!</v>
      </c>
      <c r="H325" s="83"/>
      <c r="I325" s="125"/>
      <c r="J325" s="83">
        <f t="shared" si="293"/>
        <v>0</v>
      </c>
      <c r="K325" s="35">
        <f t="shared" si="294"/>
        <v>0</v>
      </c>
      <c r="L325" s="136" t="e">
        <f t="shared" si="295"/>
        <v>#DIV/0!</v>
      </c>
      <c r="M325" s="116"/>
      <c r="N325" s="47">
        <f t="shared" si="296"/>
        <v>0</v>
      </c>
      <c r="R325" s="76">
        <v>75</v>
      </c>
    </row>
    <row r="326" spans="1:18" ht="16">
      <c r="A326" s="138"/>
      <c r="B326" s="174" t="s">
        <v>60</v>
      </c>
      <c r="C326" s="83"/>
      <c r="D326" s="83"/>
      <c r="E326" s="11">
        <f t="shared" si="291"/>
        <v>0</v>
      </c>
      <c r="F326" s="141"/>
      <c r="G326" s="13" t="e">
        <f t="shared" si="292"/>
        <v>#DIV/0!</v>
      </c>
      <c r="H326" s="83"/>
      <c r="I326" s="125"/>
      <c r="J326" s="83">
        <f t="shared" si="293"/>
        <v>0</v>
      </c>
      <c r="K326" s="35">
        <f t="shared" si="294"/>
        <v>0</v>
      </c>
      <c r="L326" s="136" t="e">
        <f t="shared" si="295"/>
        <v>#DIV/0!</v>
      </c>
      <c r="M326" s="116"/>
      <c r="N326" s="47">
        <f t="shared" si="296"/>
        <v>0</v>
      </c>
    </row>
    <row r="327" spans="1:18" ht="16">
      <c r="A327" s="138"/>
      <c r="B327" s="174" t="s">
        <v>60</v>
      </c>
      <c r="C327" s="83"/>
      <c r="D327" s="83"/>
      <c r="E327" s="11">
        <f t="shared" si="291"/>
        <v>0</v>
      </c>
      <c r="F327" s="141"/>
      <c r="G327" s="13" t="e">
        <f t="shared" si="292"/>
        <v>#DIV/0!</v>
      </c>
      <c r="H327" s="83"/>
      <c r="I327" s="125"/>
      <c r="J327" s="83">
        <f t="shared" si="293"/>
        <v>0</v>
      </c>
      <c r="K327" s="35">
        <f t="shared" si="294"/>
        <v>0</v>
      </c>
      <c r="L327" s="136" t="e">
        <f t="shared" si="295"/>
        <v>#DIV/0!</v>
      </c>
      <c r="M327" s="116"/>
      <c r="N327" s="47">
        <f t="shared" si="296"/>
        <v>0</v>
      </c>
    </row>
    <row r="328" spans="1:18" ht="16">
      <c r="A328" s="138"/>
      <c r="B328" s="174" t="s">
        <v>60</v>
      </c>
      <c r="C328" s="83"/>
      <c r="D328" s="83"/>
      <c r="E328" s="11">
        <f t="shared" si="291"/>
        <v>0</v>
      </c>
      <c r="F328" s="141"/>
      <c r="G328" s="13" t="e">
        <f t="shared" si="292"/>
        <v>#DIV/0!</v>
      </c>
      <c r="H328" s="83"/>
      <c r="I328" s="125"/>
      <c r="J328" s="83">
        <f t="shared" si="293"/>
        <v>0</v>
      </c>
      <c r="K328" s="35">
        <f t="shared" si="294"/>
        <v>0</v>
      </c>
      <c r="L328" s="136" t="e">
        <f t="shared" si="295"/>
        <v>#DIV/0!</v>
      </c>
      <c r="M328" s="116"/>
      <c r="N328" s="47">
        <f t="shared" si="296"/>
        <v>0</v>
      </c>
    </row>
    <row r="329" spans="1:18" ht="16">
      <c r="A329" s="59"/>
      <c r="B329" s="60"/>
      <c r="C329" s="59"/>
      <c r="D329" s="59" t="s">
        <v>19</v>
      </c>
      <c r="E329" s="59">
        <f>SUM(E320:E325)</f>
        <v>3144</v>
      </c>
      <c r="F329" s="59">
        <f>SUM(F320:F328)</f>
        <v>803.81</v>
      </c>
      <c r="G329" s="61" t="e">
        <f>AVERAGE(G320:G325)</f>
        <v>#DIV/0!</v>
      </c>
      <c r="H329" s="59"/>
      <c r="I329" s="62"/>
      <c r="J329" s="59">
        <f t="shared" ref="J329:K329" si="297">SUM(J320:J325)</f>
        <v>0</v>
      </c>
      <c r="K329" s="59">
        <f t="shared" si="297"/>
        <v>803.81</v>
      </c>
      <c r="L329" s="61" t="e">
        <f>AVERAGE(L320:L325)</f>
        <v>#DIV/0!</v>
      </c>
      <c r="M329" s="64"/>
      <c r="N329" s="65">
        <f>SUM(N320:N328)</f>
        <v>22150256.300000001</v>
      </c>
    </row>
    <row r="330" spans="1:18" ht="16">
      <c r="A330" s="66">
        <v>46162</v>
      </c>
      <c r="B330" s="174" t="s">
        <v>61</v>
      </c>
      <c r="C330" s="83"/>
      <c r="D330" s="83"/>
      <c r="E330" s="11">
        <f t="shared" ref="E330:E335" si="298">D330-C330</f>
        <v>0</v>
      </c>
      <c r="F330" s="37">
        <v>232.92</v>
      </c>
      <c r="G330" s="13" t="e">
        <f t="shared" ref="G330:G335" si="299">(F330/E330)*100</f>
        <v>#DIV/0!</v>
      </c>
      <c r="H330" s="125"/>
      <c r="I330" s="125"/>
      <c r="J330" s="39">
        <f t="shared" ref="J330:J335" si="300">I330-H330</f>
        <v>0</v>
      </c>
      <c r="K330" s="39">
        <f t="shared" ref="K330:K335" si="301">F330</f>
        <v>232.92</v>
      </c>
      <c r="L330" s="136" t="e">
        <f t="shared" ref="L330:L335" si="302">(K330/J330)*100</f>
        <v>#DIV/0!</v>
      </c>
      <c r="M330" s="68">
        <v>27220</v>
      </c>
      <c r="N330" s="47">
        <f t="shared" ref="N330:N335" si="303">M330*F330</f>
        <v>6340082.3999999994</v>
      </c>
    </row>
    <row r="331" spans="1:18" ht="16">
      <c r="A331" s="33"/>
      <c r="B331" s="174" t="s">
        <v>61</v>
      </c>
      <c r="C331" s="83"/>
      <c r="D331" s="12"/>
      <c r="E331" s="11">
        <f t="shared" si="298"/>
        <v>0</v>
      </c>
      <c r="F331" s="141"/>
      <c r="G331" s="13" t="e">
        <f t="shared" si="299"/>
        <v>#DIV/0!</v>
      </c>
      <c r="H331" s="125"/>
      <c r="I331" s="125"/>
      <c r="J331" s="83">
        <f t="shared" si="300"/>
        <v>0</v>
      </c>
      <c r="K331" s="35">
        <f t="shared" si="301"/>
        <v>0</v>
      </c>
      <c r="L331" s="136" t="e">
        <f t="shared" si="302"/>
        <v>#DIV/0!</v>
      </c>
      <c r="M331" s="68"/>
      <c r="N331" s="47">
        <f t="shared" si="303"/>
        <v>0</v>
      </c>
    </row>
    <row r="332" spans="1:18" ht="16">
      <c r="A332" s="33"/>
      <c r="B332" s="174" t="s">
        <v>61</v>
      </c>
      <c r="C332" s="12"/>
      <c r="D332" s="83"/>
      <c r="E332" s="11">
        <f t="shared" si="298"/>
        <v>0</v>
      </c>
      <c r="F332" s="141"/>
      <c r="G332" s="13" t="e">
        <f t="shared" si="299"/>
        <v>#DIV/0!</v>
      </c>
      <c r="H332" s="125"/>
      <c r="I332" s="125"/>
      <c r="J332" s="83">
        <f t="shared" si="300"/>
        <v>0</v>
      </c>
      <c r="K332" s="35">
        <f t="shared" si="301"/>
        <v>0</v>
      </c>
      <c r="L332" s="136" t="e">
        <f t="shared" si="302"/>
        <v>#DIV/0!</v>
      </c>
      <c r="M332" s="116"/>
      <c r="N332" s="47">
        <f t="shared" si="303"/>
        <v>0</v>
      </c>
    </row>
    <row r="333" spans="1:18" ht="16">
      <c r="A333" s="33"/>
      <c r="B333" s="174" t="s">
        <v>61</v>
      </c>
      <c r="C333" s="83"/>
      <c r="D333" s="83"/>
      <c r="E333" s="11">
        <f t="shared" si="298"/>
        <v>0</v>
      </c>
      <c r="F333" s="141"/>
      <c r="G333" s="13" t="e">
        <f t="shared" si="299"/>
        <v>#DIV/0!</v>
      </c>
      <c r="H333" s="125"/>
      <c r="I333" s="125"/>
      <c r="J333" s="83">
        <f t="shared" si="300"/>
        <v>0</v>
      </c>
      <c r="K333" s="35">
        <f t="shared" si="301"/>
        <v>0</v>
      </c>
      <c r="L333" s="136" t="e">
        <f t="shared" si="302"/>
        <v>#DIV/0!</v>
      </c>
      <c r="M333" s="116"/>
      <c r="N333" s="47">
        <f t="shared" si="303"/>
        <v>0</v>
      </c>
    </row>
    <row r="334" spans="1:18" ht="16">
      <c r="A334" s="33"/>
      <c r="B334" s="174" t="s">
        <v>61</v>
      </c>
      <c r="C334" s="35"/>
      <c r="D334" s="83"/>
      <c r="E334" s="11">
        <f t="shared" si="298"/>
        <v>0</v>
      </c>
      <c r="F334" s="141"/>
      <c r="G334" s="13" t="e">
        <f t="shared" si="299"/>
        <v>#DIV/0!</v>
      </c>
      <c r="H334" s="83"/>
      <c r="I334" s="125"/>
      <c r="J334" s="83">
        <f t="shared" si="300"/>
        <v>0</v>
      </c>
      <c r="K334" s="35">
        <f t="shared" si="301"/>
        <v>0</v>
      </c>
      <c r="L334" s="136" t="e">
        <f t="shared" si="302"/>
        <v>#DIV/0!</v>
      </c>
      <c r="M334" s="116"/>
      <c r="N334" s="47">
        <f t="shared" si="303"/>
        <v>0</v>
      </c>
    </row>
    <row r="335" spans="1:18" ht="16">
      <c r="A335" s="138"/>
      <c r="B335" s="174" t="s">
        <v>61</v>
      </c>
      <c r="C335" s="83"/>
      <c r="D335" s="83"/>
      <c r="E335" s="11">
        <f t="shared" si="298"/>
        <v>0</v>
      </c>
      <c r="F335" s="141"/>
      <c r="G335" s="13" t="e">
        <f t="shared" si="299"/>
        <v>#DIV/0!</v>
      </c>
      <c r="H335" s="83"/>
      <c r="I335" s="125"/>
      <c r="J335" s="83">
        <f t="shared" si="300"/>
        <v>0</v>
      </c>
      <c r="K335" s="35">
        <f t="shared" si="301"/>
        <v>0</v>
      </c>
      <c r="L335" s="136" t="e">
        <f t="shared" si="302"/>
        <v>#DIV/0!</v>
      </c>
      <c r="M335" s="116"/>
      <c r="N335" s="47">
        <f t="shared" si="303"/>
        <v>0</v>
      </c>
    </row>
    <row r="336" spans="1:18" ht="16">
      <c r="A336" s="59"/>
      <c r="B336" s="60"/>
      <c r="C336" s="59"/>
      <c r="D336" s="59" t="s">
        <v>19</v>
      </c>
      <c r="E336" s="59">
        <f t="shared" ref="E336:F336" si="304">SUM(E330:E335)</f>
        <v>0</v>
      </c>
      <c r="F336" s="59">
        <f t="shared" si="304"/>
        <v>232.92</v>
      </c>
      <c r="G336" s="61" t="e">
        <f>AVERAGE(G330:G335)</f>
        <v>#DIV/0!</v>
      </c>
      <c r="H336" s="59"/>
      <c r="I336" s="62"/>
      <c r="J336" s="59">
        <f t="shared" ref="J336:K336" si="305">SUM(J330:J335)</f>
        <v>0</v>
      </c>
      <c r="K336" s="59">
        <f t="shared" si="305"/>
        <v>232.92</v>
      </c>
      <c r="L336" s="61" t="e">
        <f>AVERAGE(L330:L335)</f>
        <v>#DIV/0!</v>
      </c>
      <c r="M336" s="64"/>
      <c r="N336" s="65">
        <f>SUM(N330:N335)</f>
        <v>6340082.3999999994</v>
      </c>
    </row>
    <row r="337" spans="1:14" ht="14">
      <c r="A337" s="354" t="s">
        <v>64</v>
      </c>
      <c r="B337" s="355"/>
      <c r="C337" s="355"/>
      <c r="D337" s="355"/>
      <c r="E337" s="355"/>
      <c r="F337" s="355"/>
      <c r="G337" s="355"/>
      <c r="H337" s="355"/>
      <c r="I337" s="355"/>
      <c r="J337" s="355"/>
      <c r="K337" s="355"/>
      <c r="L337" s="356"/>
      <c r="M337" s="64"/>
      <c r="N337" s="65">
        <f>SUM(N222:N336)/2</f>
        <v>274923163.30000001</v>
      </c>
    </row>
    <row r="338" spans="1:14" ht="13">
      <c r="G338" s="150"/>
      <c r="L338" s="150"/>
      <c r="N338" s="151"/>
    </row>
    <row r="339" spans="1:14" ht="13">
      <c r="G339" s="150"/>
      <c r="L339" s="150"/>
      <c r="N339" s="151"/>
    </row>
    <row r="340" spans="1:14" ht="13">
      <c r="G340" s="150"/>
      <c r="L340" s="150"/>
      <c r="N340" s="151"/>
    </row>
    <row r="341" spans="1:14" ht="13">
      <c r="G341" s="150"/>
      <c r="L341" s="150"/>
      <c r="N341" s="151"/>
    </row>
    <row r="342" spans="1:14" ht="13">
      <c r="G342" s="150"/>
      <c r="L342" s="150"/>
      <c r="N342" s="151"/>
    </row>
    <row r="343" spans="1:14" ht="13">
      <c r="G343" s="150"/>
      <c r="L343" s="150"/>
      <c r="N343" s="151"/>
    </row>
    <row r="344" spans="1:14" ht="13">
      <c r="G344" s="150"/>
      <c r="L344" s="150"/>
      <c r="N344" s="151"/>
    </row>
    <row r="345" spans="1:14" ht="13">
      <c r="G345" s="150"/>
      <c r="L345" s="150"/>
      <c r="N345" s="151"/>
    </row>
    <row r="346" spans="1:14" ht="13">
      <c r="G346" s="150"/>
      <c r="L346" s="150"/>
      <c r="N346" s="151"/>
    </row>
    <row r="347" spans="1:14" ht="13">
      <c r="G347" s="150"/>
      <c r="L347" s="150"/>
      <c r="N347" s="151"/>
    </row>
    <row r="348" spans="1:14" ht="13">
      <c r="G348" s="150"/>
      <c r="L348" s="150"/>
      <c r="N348" s="151"/>
    </row>
    <row r="349" spans="1:14" ht="13">
      <c r="G349" s="150"/>
      <c r="L349" s="150"/>
      <c r="N349" s="151"/>
    </row>
    <row r="350" spans="1:14" ht="13">
      <c r="G350" s="150"/>
      <c r="L350" s="150"/>
      <c r="N350" s="151"/>
    </row>
    <row r="351" spans="1:14" ht="13">
      <c r="G351" s="150"/>
      <c r="L351" s="150"/>
      <c r="N351" s="151"/>
    </row>
    <row r="352" spans="1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  <row r="1139" spans="7:14" ht="13">
      <c r="G1139" s="150"/>
      <c r="L1139" s="150"/>
      <c r="N1139" s="151"/>
    </row>
    <row r="1140" spans="7:14" ht="13">
      <c r="G1140" s="150"/>
      <c r="L1140" s="150"/>
      <c r="N1140" s="151"/>
    </row>
    <row r="1141" spans="7:14" ht="13">
      <c r="G1141" s="150"/>
      <c r="L1141" s="150"/>
      <c r="N1141" s="151"/>
    </row>
    <row r="1142" spans="7:14" ht="13">
      <c r="G1142" s="150"/>
      <c r="L1142" s="150"/>
      <c r="N1142" s="151"/>
    </row>
    <row r="1143" spans="7:14" ht="13">
      <c r="G1143" s="150"/>
      <c r="L1143" s="150"/>
      <c r="N1143" s="151"/>
    </row>
    <row r="1144" spans="7:14" ht="13">
      <c r="G1144" s="150"/>
      <c r="L1144" s="150"/>
      <c r="N1144" s="151"/>
    </row>
    <row r="1145" spans="7:14" ht="13">
      <c r="G1145" s="150"/>
      <c r="L1145" s="150"/>
      <c r="N1145" s="151"/>
    </row>
    <row r="1146" spans="7:14" ht="13">
      <c r="G1146" s="150"/>
      <c r="L1146" s="150"/>
      <c r="N1146" s="151"/>
    </row>
    <row r="1147" spans="7:14" ht="13">
      <c r="G1147" s="150"/>
      <c r="L1147" s="150"/>
      <c r="N1147" s="151"/>
    </row>
    <row r="1148" spans="7:14" ht="13">
      <c r="G1148" s="150"/>
      <c r="L1148" s="150"/>
      <c r="N1148" s="151"/>
    </row>
    <row r="1149" spans="7:14" ht="13">
      <c r="G1149" s="150"/>
      <c r="L1149" s="150"/>
      <c r="N1149" s="151"/>
    </row>
    <row r="1150" spans="7:14" ht="13">
      <c r="G1150" s="150"/>
      <c r="L1150" s="150"/>
      <c r="N1150" s="151"/>
    </row>
    <row r="1151" spans="7:14" ht="13">
      <c r="G1151" s="150"/>
      <c r="L1151" s="150"/>
      <c r="N1151" s="151"/>
    </row>
    <row r="1152" spans="7:14" ht="13">
      <c r="G1152" s="150"/>
      <c r="L1152" s="150"/>
      <c r="N1152" s="151"/>
    </row>
    <row r="1153" spans="7:14" ht="13">
      <c r="G1153" s="150"/>
      <c r="L1153" s="150"/>
      <c r="N1153" s="151"/>
    </row>
    <row r="1154" spans="7:14" ht="13">
      <c r="G1154" s="150"/>
      <c r="L1154" s="150"/>
      <c r="N1154" s="151"/>
    </row>
    <row r="1155" spans="7:14" ht="13">
      <c r="G1155" s="150"/>
      <c r="L1155" s="150"/>
      <c r="N1155" s="151"/>
    </row>
  </sheetData>
  <mergeCells count="2">
    <mergeCell ref="A1:N1"/>
    <mergeCell ref="A337:L3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71"/>
  <sheetViews>
    <sheetView tabSelected="1" workbookViewId="0">
      <pane ySplit="2" topLeftCell="A335" activePane="bottomLeft" state="frozen"/>
      <selection pane="bottomLeft" activeCell="D348" sqref="D348"/>
    </sheetView>
  </sheetViews>
  <sheetFormatPr baseColWidth="10" defaultColWidth="12.6640625" defaultRowHeight="15.75" customHeight="1"/>
  <cols>
    <col min="14" max="14" width="14.6640625" customWidth="1"/>
  </cols>
  <sheetData>
    <row r="1" spans="1:19" ht="18">
      <c r="A1" s="352" t="s">
        <v>65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9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9" ht="16">
      <c r="A3" s="7">
        <v>46174</v>
      </c>
      <c r="B3" s="8" t="s">
        <v>11</v>
      </c>
      <c r="C3" s="10">
        <v>207818</v>
      </c>
      <c r="D3" s="10">
        <v>208138</v>
      </c>
      <c r="E3" s="11">
        <f t="shared" ref="E3:E10" si="0">D3-C3</f>
        <v>320</v>
      </c>
      <c r="F3" s="12">
        <v>40</v>
      </c>
      <c r="G3" s="13">
        <f t="shared" ref="G3:G10" si="1">(F3/E3)*100</f>
        <v>12.5</v>
      </c>
      <c r="H3" s="15">
        <v>37899</v>
      </c>
      <c r="I3" s="15">
        <v>38249</v>
      </c>
      <c r="J3" s="12">
        <f t="shared" ref="J3:J10" si="2">I3-H3</f>
        <v>350</v>
      </c>
      <c r="K3" s="10">
        <f t="shared" ref="K3:K10" si="3">F3</f>
        <v>40</v>
      </c>
      <c r="L3" s="16">
        <f t="shared" ref="L3:L10" si="4">(K3/J3)*100</f>
        <v>11.428571428571429</v>
      </c>
      <c r="M3" s="17">
        <v>27650</v>
      </c>
      <c r="N3" s="17">
        <f t="shared" ref="N3:N10" si="5">F3*M3</f>
        <v>1106000</v>
      </c>
    </row>
    <row r="4" spans="1:19" ht="16">
      <c r="A4" s="7">
        <v>46179</v>
      </c>
      <c r="B4" s="8" t="s">
        <v>11</v>
      </c>
      <c r="C4" s="10">
        <v>208138</v>
      </c>
      <c r="D4" s="10">
        <v>208431</v>
      </c>
      <c r="E4" s="11">
        <f t="shared" si="0"/>
        <v>293</v>
      </c>
      <c r="F4" s="12">
        <v>40</v>
      </c>
      <c r="G4" s="13">
        <f t="shared" si="1"/>
        <v>13.651877133105803</v>
      </c>
      <c r="H4" s="15">
        <v>38249</v>
      </c>
      <c r="I4" s="15">
        <v>38621</v>
      </c>
      <c r="J4" s="12">
        <f t="shared" si="2"/>
        <v>372</v>
      </c>
      <c r="K4" s="10">
        <f t="shared" si="3"/>
        <v>40</v>
      </c>
      <c r="L4" s="16">
        <f t="shared" si="4"/>
        <v>10.75268817204301</v>
      </c>
      <c r="M4" s="17">
        <v>26860</v>
      </c>
      <c r="N4" s="17">
        <f t="shared" si="5"/>
        <v>1074400</v>
      </c>
      <c r="O4" s="18">
        <v>1</v>
      </c>
      <c r="P4" s="19" t="s">
        <v>12</v>
      </c>
      <c r="Q4" s="20">
        <f>N19</f>
        <v>5627750</v>
      </c>
      <c r="R4" s="20">
        <f t="shared" ref="R4:R15" si="6">Q4</f>
        <v>5627750</v>
      </c>
      <c r="S4" s="351" t="s">
        <v>109</v>
      </c>
    </row>
    <row r="5" spans="1:19" ht="16">
      <c r="A5" s="7">
        <v>46183</v>
      </c>
      <c r="B5" s="8" t="s">
        <v>11</v>
      </c>
      <c r="C5" s="10">
        <v>208431</v>
      </c>
      <c r="D5" s="10">
        <v>208752</v>
      </c>
      <c r="E5" s="11">
        <f t="shared" si="0"/>
        <v>321</v>
      </c>
      <c r="F5" s="10">
        <v>40</v>
      </c>
      <c r="G5" s="13">
        <f t="shared" si="1"/>
        <v>12.461059190031152</v>
      </c>
      <c r="H5" s="15">
        <v>38621</v>
      </c>
      <c r="I5" s="15">
        <v>38958</v>
      </c>
      <c r="J5" s="12">
        <f t="shared" si="2"/>
        <v>337</v>
      </c>
      <c r="K5" s="10">
        <f t="shared" si="3"/>
        <v>40</v>
      </c>
      <c r="L5" s="16">
        <f t="shared" si="4"/>
        <v>11.869436201780417</v>
      </c>
      <c r="M5" s="17">
        <v>26860</v>
      </c>
      <c r="N5" s="17">
        <f t="shared" si="5"/>
        <v>1074400</v>
      </c>
      <c r="O5" s="18">
        <v>2</v>
      </c>
      <c r="P5" s="19" t="s">
        <v>13</v>
      </c>
      <c r="Q5" s="20">
        <f>N29</f>
        <v>2071380</v>
      </c>
      <c r="R5" s="20">
        <f t="shared" si="6"/>
        <v>2071380</v>
      </c>
      <c r="S5" s="351" t="s">
        <v>109</v>
      </c>
    </row>
    <row r="6" spans="1:19" ht="16">
      <c r="A6" s="7">
        <v>46188</v>
      </c>
      <c r="B6" s="8" t="s">
        <v>11</v>
      </c>
      <c r="C6" s="10">
        <v>208752</v>
      </c>
      <c r="D6" s="10">
        <v>209052</v>
      </c>
      <c r="E6" s="11">
        <f t="shared" si="0"/>
        <v>300</v>
      </c>
      <c r="F6" s="10">
        <v>40</v>
      </c>
      <c r="G6" s="13">
        <f t="shared" si="1"/>
        <v>13.333333333333334</v>
      </c>
      <c r="H6" s="15">
        <v>38958</v>
      </c>
      <c r="I6" s="15">
        <v>39259</v>
      </c>
      <c r="J6" s="12">
        <f t="shared" si="2"/>
        <v>301</v>
      </c>
      <c r="K6" s="10">
        <f t="shared" si="3"/>
        <v>40</v>
      </c>
      <c r="L6" s="16">
        <f t="shared" si="4"/>
        <v>13.2890365448505</v>
      </c>
      <c r="M6" s="17">
        <v>25870</v>
      </c>
      <c r="N6" s="17">
        <f t="shared" si="5"/>
        <v>1034800</v>
      </c>
      <c r="O6" s="18">
        <v>3</v>
      </c>
      <c r="P6" s="19" t="s">
        <v>14</v>
      </c>
      <c r="Q6" s="20">
        <f>N38</f>
        <v>4914700</v>
      </c>
      <c r="R6" s="20">
        <f t="shared" si="6"/>
        <v>4914700</v>
      </c>
      <c r="S6" s="351" t="s">
        <v>109</v>
      </c>
    </row>
    <row r="7" spans="1:19" ht="16">
      <c r="A7" s="7">
        <v>46191</v>
      </c>
      <c r="B7" s="8" t="s">
        <v>11</v>
      </c>
      <c r="C7" s="10">
        <v>209052</v>
      </c>
      <c r="D7" s="10">
        <v>209371</v>
      </c>
      <c r="E7" s="11">
        <f t="shared" si="0"/>
        <v>319</v>
      </c>
      <c r="F7" s="10">
        <v>40</v>
      </c>
      <c r="G7" s="13">
        <f t="shared" si="1"/>
        <v>12.539184952978054</v>
      </c>
      <c r="H7" s="15">
        <v>39259</v>
      </c>
      <c r="I7" s="15">
        <v>39642</v>
      </c>
      <c r="J7" s="12">
        <f t="shared" si="2"/>
        <v>383</v>
      </c>
      <c r="K7" s="10">
        <f t="shared" si="3"/>
        <v>40</v>
      </c>
      <c r="L7" s="16">
        <f t="shared" si="4"/>
        <v>10.443864229765012</v>
      </c>
      <c r="M7" s="17">
        <v>25870</v>
      </c>
      <c r="N7" s="17">
        <f t="shared" si="5"/>
        <v>1034800</v>
      </c>
      <c r="O7" s="18">
        <v>4</v>
      </c>
      <c r="P7" s="19" t="s">
        <v>15</v>
      </c>
      <c r="Q7" s="20">
        <f>N49</f>
        <v>5618870</v>
      </c>
      <c r="R7" s="20">
        <f t="shared" si="6"/>
        <v>5618870</v>
      </c>
      <c r="S7" s="351" t="s">
        <v>109</v>
      </c>
    </row>
    <row r="8" spans="1:19" ht="16">
      <c r="A8" s="7"/>
      <c r="B8" s="8" t="s">
        <v>11</v>
      </c>
      <c r="C8" s="10"/>
      <c r="D8" s="10"/>
      <c r="E8" s="11">
        <f t="shared" si="0"/>
        <v>0</v>
      </c>
      <c r="F8" s="10"/>
      <c r="G8" s="13" t="e">
        <f t="shared" si="1"/>
        <v>#DIV/0!</v>
      </c>
      <c r="H8" s="15"/>
      <c r="I8" s="15"/>
      <c r="J8" s="12">
        <f t="shared" si="2"/>
        <v>0</v>
      </c>
      <c r="K8" s="10">
        <f t="shared" si="3"/>
        <v>0</v>
      </c>
      <c r="L8" s="16" t="e">
        <f t="shared" si="4"/>
        <v>#DIV/0!</v>
      </c>
      <c r="M8" s="21"/>
      <c r="N8" s="17">
        <f t="shared" si="5"/>
        <v>0</v>
      </c>
      <c r="O8" s="18">
        <v>5</v>
      </c>
      <c r="P8" s="19" t="s">
        <v>16</v>
      </c>
      <c r="Q8" s="20">
        <f>N61</f>
        <v>4445620</v>
      </c>
      <c r="R8" s="20">
        <f t="shared" si="6"/>
        <v>4445620</v>
      </c>
      <c r="S8" s="351" t="s">
        <v>109</v>
      </c>
    </row>
    <row r="9" spans="1:19" ht="16">
      <c r="A9" s="7"/>
      <c r="B9" s="8" t="s">
        <v>11</v>
      </c>
      <c r="C9" s="10"/>
      <c r="D9" s="10"/>
      <c r="E9" s="11">
        <f t="shared" si="0"/>
        <v>0</v>
      </c>
      <c r="F9" s="10"/>
      <c r="G9" s="13" t="e">
        <f t="shared" si="1"/>
        <v>#DIV/0!</v>
      </c>
      <c r="H9" s="15"/>
      <c r="I9" s="15"/>
      <c r="J9" s="12">
        <f t="shared" si="2"/>
        <v>0</v>
      </c>
      <c r="K9" s="10">
        <f t="shared" si="3"/>
        <v>0</v>
      </c>
      <c r="L9" s="16" t="e">
        <f t="shared" si="4"/>
        <v>#DIV/0!</v>
      </c>
      <c r="M9" s="21"/>
      <c r="N9" s="17">
        <f t="shared" si="5"/>
        <v>0</v>
      </c>
      <c r="O9" s="18">
        <v>6</v>
      </c>
      <c r="P9" s="19" t="s">
        <v>17</v>
      </c>
      <c r="Q9" s="20">
        <f>N11</f>
        <v>5324400</v>
      </c>
      <c r="R9" s="20">
        <f t="shared" si="6"/>
        <v>5324400</v>
      </c>
      <c r="S9" s="351" t="s">
        <v>109</v>
      </c>
    </row>
    <row r="10" spans="1:19" ht="16">
      <c r="A10" s="22"/>
      <c r="B10" s="23" t="s">
        <v>11</v>
      </c>
      <c r="C10" s="10"/>
      <c r="D10" s="9"/>
      <c r="E10" s="24">
        <f t="shared" si="0"/>
        <v>0</v>
      </c>
      <c r="F10" s="9"/>
      <c r="G10" s="13" t="e">
        <f t="shared" si="1"/>
        <v>#DIV/0!</v>
      </c>
      <c r="H10" s="15"/>
      <c r="I10" s="14"/>
      <c r="J10" s="25">
        <f t="shared" si="2"/>
        <v>0</v>
      </c>
      <c r="K10" s="9">
        <f t="shared" si="3"/>
        <v>0</v>
      </c>
      <c r="L10" s="26" t="e">
        <f t="shared" si="4"/>
        <v>#DIV/0!</v>
      </c>
      <c r="M10" s="21"/>
      <c r="N10" s="27">
        <f t="shared" si="5"/>
        <v>0</v>
      </c>
      <c r="O10" s="18">
        <v>7</v>
      </c>
      <c r="P10" s="19" t="s">
        <v>18</v>
      </c>
      <c r="Q10" s="20">
        <f>N71</f>
        <v>5602970</v>
      </c>
      <c r="R10" s="20">
        <f t="shared" si="6"/>
        <v>5602970</v>
      </c>
      <c r="S10" s="351" t="s">
        <v>109</v>
      </c>
    </row>
    <row r="11" spans="1:19" ht="16">
      <c r="A11" s="28"/>
      <c r="B11" s="28"/>
      <c r="C11" s="28"/>
      <c r="D11" s="28" t="s">
        <v>19</v>
      </c>
      <c r="E11" s="28">
        <f t="shared" ref="E11:F11" si="7">SUM(E3:E10)</f>
        <v>1553</v>
      </c>
      <c r="F11" s="28">
        <f t="shared" si="7"/>
        <v>200</v>
      </c>
      <c r="G11" s="29" t="e">
        <f>G3:G10</f>
        <v>#VALUE!</v>
      </c>
      <c r="H11" s="28"/>
      <c r="I11" s="30"/>
      <c r="J11" s="28">
        <f t="shared" ref="J11:K11" si="8">SUM(J3:J10)</f>
        <v>1743</v>
      </c>
      <c r="K11" s="31">
        <f t="shared" si="8"/>
        <v>200</v>
      </c>
      <c r="L11" s="29" t="e">
        <f>AVERAGE(L3:L10)</f>
        <v>#DIV/0!</v>
      </c>
      <c r="M11" s="28"/>
      <c r="N11" s="32">
        <f>SUM(N3:N10)</f>
        <v>5324400</v>
      </c>
      <c r="O11" s="18">
        <v>8</v>
      </c>
      <c r="P11" s="19" t="s">
        <v>20</v>
      </c>
      <c r="Q11" s="20">
        <f>N80</f>
        <v>6998510</v>
      </c>
      <c r="R11" s="20">
        <f t="shared" si="6"/>
        <v>6998510</v>
      </c>
      <c r="S11" s="351" t="s">
        <v>109</v>
      </c>
    </row>
    <row r="12" spans="1:19" ht="16">
      <c r="A12" s="33">
        <v>46176</v>
      </c>
      <c r="B12" s="34" t="s">
        <v>12</v>
      </c>
      <c r="C12" s="35">
        <v>170073</v>
      </c>
      <c r="D12" s="35">
        <v>170438</v>
      </c>
      <c r="E12" s="36">
        <f t="shared" ref="E12:E18" si="9">D12-C12</f>
        <v>365</v>
      </c>
      <c r="F12" s="37">
        <v>45</v>
      </c>
      <c r="G12" s="13">
        <f t="shared" ref="G12:G18" si="10">(F12/E12)*100</f>
        <v>12.328767123287671</v>
      </c>
      <c r="H12" s="38">
        <v>37845</v>
      </c>
      <c r="I12" s="38">
        <v>38216</v>
      </c>
      <c r="J12" s="39">
        <f t="shared" ref="J12:J18" si="11">I12-H12</f>
        <v>371</v>
      </c>
      <c r="K12" s="10">
        <f t="shared" ref="K12:K18" si="12">F12</f>
        <v>45</v>
      </c>
      <c r="L12" s="40">
        <f t="shared" ref="L12:L18" si="13">(K12/J12)*100</f>
        <v>12.129380053908356</v>
      </c>
      <c r="M12" s="41">
        <v>27650</v>
      </c>
      <c r="N12" s="42">
        <f t="shared" ref="N12:N18" si="14">F12*M12</f>
        <v>1244250</v>
      </c>
      <c r="O12" s="18">
        <v>9</v>
      </c>
      <c r="P12" s="19" t="s">
        <v>21</v>
      </c>
      <c r="Q12" s="20">
        <f>N88</f>
        <v>6431520</v>
      </c>
      <c r="R12" s="20">
        <f t="shared" si="6"/>
        <v>6431520</v>
      </c>
      <c r="S12" s="351" t="s">
        <v>109</v>
      </c>
    </row>
    <row r="13" spans="1:19" ht="16">
      <c r="A13" s="43">
        <v>46181</v>
      </c>
      <c r="B13" s="44" t="s">
        <v>12</v>
      </c>
      <c r="C13" s="35">
        <v>170438</v>
      </c>
      <c r="D13" s="35">
        <v>170798</v>
      </c>
      <c r="E13" s="11">
        <f t="shared" si="9"/>
        <v>360</v>
      </c>
      <c r="F13" s="45">
        <v>50</v>
      </c>
      <c r="G13" s="13">
        <f t="shared" si="10"/>
        <v>13.888888888888889</v>
      </c>
      <c r="H13" s="38">
        <v>38216</v>
      </c>
      <c r="I13" s="38">
        <v>38598</v>
      </c>
      <c r="J13" s="35">
        <f t="shared" si="11"/>
        <v>382</v>
      </c>
      <c r="K13" s="10">
        <f t="shared" si="12"/>
        <v>50</v>
      </c>
      <c r="L13" s="46">
        <f t="shared" si="13"/>
        <v>13.089005235602095</v>
      </c>
      <c r="M13" s="41">
        <v>26860</v>
      </c>
      <c r="N13" s="47">
        <f t="shared" si="14"/>
        <v>1343000</v>
      </c>
      <c r="O13" s="18">
        <v>10</v>
      </c>
      <c r="P13" s="19" t="s">
        <v>22</v>
      </c>
      <c r="Q13" s="20">
        <f>N97</f>
        <v>5578280</v>
      </c>
      <c r="R13" s="20">
        <f t="shared" si="6"/>
        <v>5578280</v>
      </c>
      <c r="S13" s="351" t="s">
        <v>109</v>
      </c>
    </row>
    <row r="14" spans="1:19" ht="16">
      <c r="A14" s="43">
        <v>46184</v>
      </c>
      <c r="B14" s="44" t="s">
        <v>12</v>
      </c>
      <c r="C14" s="35">
        <v>170798</v>
      </c>
      <c r="D14" s="35">
        <v>171084</v>
      </c>
      <c r="E14" s="11">
        <f t="shared" si="9"/>
        <v>286</v>
      </c>
      <c r="F14" s="45">
        <v>30</v>
      </c>
      <c r="G14" s="13">
        <f t="shared" si="10"/>
        <v>10.48951048951049</v>
      </c>
      <c r="H14" s="38">
        <v>38598</v>
      </c>
      <c r="I14" s="38">
        <v>38997</v>
      </c>
      <c r="J14" s="35">
        <f t="shared" si="11"/>
        <v>399</v>
      </c>
      <c r="K14" s="10">
        <f t="shared" si="12"/>
        <v>30</v>
      </c>
      <c r="L14" s="46">
        <f t="shared" si="13"/>
        <v>7.518796992481203</v>
      </c>
      <c r="M14" s="41">
        <v>26860</v>
      </c>
      <c r="N14" s="47">
        <f t="shared" si="14"/>
        <v>805800</v>
      </c>
      <c r="O14" s="18">
        <v>11</v>
      </c>
      <c r="P14" s="19" t="s">
        <v>23</v>
      </c>
      <c r="Q14" s="20">
        <f>N104</f>
        <v>5298550</v>
      </c>
      <c r="R14" s="20">
        <f t="shared" si="6"/>
        <v>5298550</v>
      </c>
      <c r="S14" s="351" t="s">
        <v>109</v>
      </c>
    </row>
    <row r="15" spans="1:19" ht="16">
      <c r="A15" s="43">
        <v>46189</v>
      </c>
      <c r="B15" s="49" t="s">
        <v>12</v>
      </c>
      <c r="C15" s="35">
        <v>171084</v>
      </c>
      <c r="D15" s="50">
        <v>171459</v>
      </c>
      <c r="E15" s="51">
        <f t="shared" si="9"/>
        <v>375</v>
      </c>
      <c r="F15" s="52">
        <v>50</v>
      </c>
      <c r="G15" s="13">
        <f t="shared" si="10"/>
        <v>13.333333333333334</v>
      </c>
      <c r="H15" s="38">
        <v>38997</v>
      </c>
      <c r="I15" s="38">
        <v>39303</v>
      </c>
      <c r="J15" s="35">
        <f t="shared" si="11"/>
        <v>306</v>
      </c>
      <c r="K15" s="10">
        <f t="shared" si="12"/>
        <v>50</v>
      </c>
      <c r="L15" s="46">
        <f t="shared" si="13"/>
        <v>16.33986928104575</v>
      </c>
      <c r="M15" s="48">
        <v>25870</v>
      </c>
      <c r="N15" s="47">
        <f t="shared" si="14"/>
        <v>1293500</v>
      </c>
      <c r="O15" s="18">
        <v>12</v>
      </c>
      <c r="P15" s="19" t="s">
        <v>24</v>
      </c>
      <c r="Q15" s="20">
        <f>N112</f>
        <v>4299760</v>
      </c>
      <c r="R15" s="20">
        <f t="shared" si="6"/>
        <v>4299760</v>
      </c>
      <c r="S15" s="351" t="s">
        <v>109</v>
      </c>
    </row>
    <row r="16" spans="1:19" ht="16">
      <c r="A16" s="43">
        <v>46192</v>
      </c>
      <c r="B16" s="44" t="s">
        <v>12</v>
      </c>
      <c r="C16" s="50">
        <v>171459</v>
      </c>
      <c r="D16" s="35">
        <v>171782</v>
      </c>
      <c r="E16" s="11">
        <f t="shared" si="9"/>
        <v>323</v>
      </c>
      <c r="F16" s="45">
        <v>40</v>
      </c>
      <c r="G16" s="13">
        <f t="shared" si="10"/>
        <v>12.383900928792571</v>
      </c>
      <c r="H16" s="38">
        <v>39303</v>
      </c>
      <c r="I16" s="38">
        <v>39763</v>
      </c>
      <c r="J16" s="35">
        <f t="shared" si="11"/>
        <v>460</v>
      </c>
      <c r="K16" s="10">
        <f t="shared" si="12"/>
        <v>40</v>
      </c>
      <c r="L16" s="46">
        <f t="shared" si="13"/>
        <v>8.695652173913043</v>
      </c>
      <c r="M16" s="48">
        <v>23530</v>
      </c>
      <c r="N16" s="47">
        <f t="shared" si="14"/>
        <v>941200</v>
      </c>
      <c r="O16" s="18">
        <v>13</v>
      </c>
      <c r="P16" s="19" t="s">
        <v>25</v>
      </c>
      <c r="Q16" s="20">
        <f>N120</f>
        <v>6960570</v>
      </c>
      <c r="R16" s="20">
        <f>N120</f>
        <v>6960570</v>
      </c>
      <c r="S16" s="351" t="s">
        <v>109</v>
      </c>
    </row>
    <row r="17" spans="1:19" ht="16">
      <c r="A17" s="43"/>
      <c r="B17" s="44" t="s">
        <v>12</v>
      </c>
      <c r="C17" s="35"/>
      <c r="D17" s="35"/>
      <c r="E17" s="11">
        <f t="shared" si="9"/>
        <v>0</v>
      </c>
      <c r="F17" s="45"/>
      <c r="G17" s="13" t="e">
        <f t="shared" si="10"/>
        <v>#DIV/0!</v>
      </c>
      <c r="H17" s="38"/>
      <c r="I17" s="38"/>
      <c r="J17" s="35">
        <f t="shared" si="11"/>
        <v>0</v>
      </c>
      <c r="K17" s="10">
        <f t="shared" si="12"/>
        <v>0</v>
      </c>
      <c r="L17" s="46" t="e">
        <f t="shared" si="13"/>
        <v>#DIV/0!</v>
      </c>
      <c r="M17" s="48"/>
      <c r="N17" s="47">
        <f t="shared" si="14"/>
        <v>0</v>
      </c>
      <c r="O17" s="18">
        <v>14</v>
      </c>
      <c r="P17" s="19" t="s">
        <v>26</v>
      </c>
      <c r="Q17" s="20">
        <f>N128</f>
        <v>3691100</v>
      </c>
      <c r="R17" s="20">
        <f t="shared" ref="R17:R29" si="15">Q17</f>
        <v>3691100</v>
      </c>
      <c r="S17" s="351" t="s">
        <v>109</v>
      </c>
    </row>
    <row r="18" spans="1:19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0</v>
      </c>
      <c r="R18" s="20">
        <f t="shared" si="15"/>
        <v>0</v>
      </c>
    </row>
    <row r="19" spans="1:19" ht="16">
      <c r="A19" s="59"/>
      <c r="B19" s="60"/>
      <c r="C19" s="59"/>
      <c r="D19" s="59" t="s">
        <v>19</v>
      </c>
      <c r="E19" s="59">
        <f>SUM(E12:E18)</f>
        <v>1709</v>
      </c>
      <c r="F19" s="59">
        <f>SUM(F11:F18)</f>
        <v>415</v>
      </c>
      <c r="G19" s="61" t="e">
        <f>AVERAGE(G12:G18)</f>
        <v>#DIV/0!</v>
      </c>
      <c r="H19" s="59"/>
      <c r="I19" s="62"/>
      <c r="J19" s="59">
        <f t="shared" ref="J19:K19" si="17">SUM(J12:J18)</f>
        <v>1918</v>
      </c>
      <c r="K19" s="63">
        <f t="shared" si="17"/>
        <v>215</v>
      </c>
      <c r="L19" s="61" t="e">
        <f>AVERAGE(L12:L18)</f>
        <v>#DIV/0!</v>
      </c>
      <c r="M19" s="64"/>
      <c r="N19" s="65">
        <f>SUM(N12:N18)</f>
        <v>5627750</v>
      </c>
      <c r="O19" s="18">
        <f t="shared" si="16"/>
        <v>16</v>
      </c>
      <c r="P19" s="58" t="s">
        <v>28</v>
      </c>
      <c r="Q19" s="20">
        <f>N157</f>
        <v>0</v>
      </c>
      <c r="R19" s="20">
        <f t="shared" si="15"/>
        <v>0</v>
      </c>
    </row>
    <row r="20" spans="1:19" ht="16">
      <c r="A20" s="66">
        <v>46176</v>
      </c>
      <c r="B20" s="34" t="s">
        <v>13</v>
      </c>
      <c r="C20" s="35">
        <v>188668</v>
      </c>
      <c r="D20" s="35">
        <v>188946</v>
      </c>
      <c r="E20" s="11">
        <f t="shared" ref="E20:E28" si="18">D20-C20</f>
        <v>278</v>
      </c>
      <c r="F20" s="37">
        <v>38</v>
      </c>
      <c r="G20" s="13">
        <f t="shared" ref="G20:G28" si="19">(F20/E20)*100</f>
        <v>13.669064748201439</v>
      </c>
      <c r="H20" s="35">
        <v>40983</v>
      </c>
      <c r="I20" s="35">
        <v>41278</v>
      </c>
      <c r="J20" s="39">
        <f t="shared" ref="J20:J28" si="20">I20-H20</f>
        <v>295</v>
      </c>
      <c r="K20" s="39">
        <f t="shared" ref="K20:K28" si="21">F20</f>
        <v>38</v>
      </c>
      <c r="L20" s="67">
        <f t="shared" ref="L20:L28" si="22">(K20/J20)*100</f>
        <v>12.881355932203389</v>
      </c>
      <c r="M20" s="68">
        <v>27650</v>
      </c>
      <c r="N20" s="42">
        <f t="shared" ref="N20:N28" si="23">F20*M20</f>
        <v>1050700</v>
      </c>
      <c r="O20" s="18">
        <f t="shared" si="16"/>
        <v>17</v>
      </c>
      <c r="P20" s="58" t="s">
        <v>29</v>
      </c>
      <c r="Q20" s="20">
        <f>N166</f>
        <v>0</v>
      </c>
      <c r="R20" s="20">
        <f t="shared" si="15"/>
        <v>0</v>
      </c>
    </row>
    <row r="21" spans="1:19" ht="16">
      <c r="A21" s="66">
        <v>46179</v>
      </c>
      <c r="B21" s="44" t="s">
        <v>13</v>
      </c>
      <c r="C21" s="35">
        <v>188946</v>
      </c>
      <c r="D21" s="35">
        <v>189214</v>
      </c>
      <c r="E21" s="11">
        <f t="shared" si="18"/>
        <v>268</v>
      </c>
      <c r="F21" s="37">
        <v>38</v>
      </c>
      <c r="G21" s="13">
        <f t="shared" si="19"/>
        <v>14.17910447761194</v>
      </c>
      <c r="H21" s="35">
        <v>41278</v>
      </c>
      <c r="I21" s="35">
        <v>41575</v>
      </c>
      <c r="J21" s="35">
        <f t="shared" si="20"/>
        <v>297</v>
      </c>
      <c r="K21" s="35">
        <f t="shared" si="21"/>
        <v>38</v>
      </c>
      <c r="L21" s="46">
        <f t="shared" si="22"/>
        <v>12.794612794612794</v>
      </c>
      <c r="M21" s="68">
        <v>26860</v>
      </c>
      <c r="N21" s="47">
        <f t="shared" si="23"/>
        <v>1020680</v>
      </c>
      <c r="O21" s="18">
        <f t="shared" si="16"/>
        <v>18</v>
      </c>
      <c r="P21" s="58" t="s">
        <v>30</v>
      </c>
      <c r="Q21" s="20">
        <f>N175</f>
        <v>0</v>
      </c>
      <c r="R21" s="20">
        <f t="shared" si="15"/>
        <v>0</v>
      </c>
    </row>
    <row r="22" spans="1:19" ht="16">
      <c r="A22" s="33"/>
      <c r="B22" s="44" t="s">
        <v>13</v>
      </c>
      <c r="C22" s="35"/>
      <c r="D22" s="35"/>
      <c r="E22" s="11">
        <f t="shared" si="18"/>
        <v>0</v>
      </c>
      <c r="F22" s="45"/>
      <c r="G22" s="13" t="e">
        <f t="shared" si="19"/>
        <v>#DIV/0!</v>
      </c>
      <c r="H22" s="35"/>
      <c r="I22" s="35"/>
      <c r="J22" s="35">
        <f t="shared" si="20"/>
        <v>0</v>
      </c>
      <c r="K22" s="35">
        <f t="shared" si="21"/>
        <v>0</v>
      </c>
      <c r="L22" s="46" t="e">
        <f t="shared" si="22"/>
        <v>#DIV/0!</v>
      </c>
      <c r="M22" s="68"/>
      <c r="N22" s="47">
        <f t="shared" si="23"/>
        <v>0</v>
      </c>
      <c r="O22" s="18">
        <f t="shared" si="16"/>
        <v>19</v>
      </c>
      <c r="P22" s="58" t="s">
        <v>31</v>
      </c>
      <c r="Q22" s="20">
        <f>N184</f>
        <v>0</v>
      </c>
      <c r="R22" s="20">
        <f t="shared" si="15"/>
        <v>0</v>
      </c>
    </row>
    <row r="23" spans="1:19" ht="16">
      <c r="A23" s="33"/>
      <c r="B23" s="44" t="s">
        <v>13</v>
      </c>
      <c r="C23" s="35"/>
      <c r="D23" s="35"/>
      <c r="E23" s="11">
        <f t="shared" si="18"/>
        <v>0</v>
      </c>
      <c r="F23" s="45"/>
      <c r="G23" s="13" t="e">
        <f t="shared" si="19"/>
        <v>#DIV/0!</v>
      </c>
      <c r="H23" s="35"/>
      <c r="I23" s="35"/>
      <c r="J23" s="35">
        <f t="shared" si="20"/>
        <v>0</v>
      </c>
      <c r="K23" s="50">
        <f t="shared" si="21"/>
        <v>0</v>
      </c>
      <c r="L23" s="46" t="e">
        <f t="shared" si="22"/>
        <v>#DIV/0!</v>
      </c>
      <c r="M23" s="48"/>
      <c r="N23" s="47">
        <f t="shared" si="23"/>
        <v>0</v>
      </c>
      <c r="O23" s="18">
        <f t="shared" si="16"/>
        <v>20</v>
      </c>
      <c r="P23" s="58" t="s">
        <v>32</v>
      </c>
      <c r="Q23" s="20">
        <f>N193</f>
        <v>0</v>
      </c>
      <c r="R23" s="20">
        <f t="shared" si="15"/>
        <v>0</v>
      </c>
    </row>
    <row r="24" spans="1:19" ht="16">
      <c r="A24" s="33"/>
      <c r="B24" s="44" t="s">
        <v>13</v>
      </c>
      <c r="C24" s="35"/>
      <c r="D24" s="35"/>
      <c r="E24" s="11">
        <f t="shared" si="18"/>
        <v>0</v>
      </c>
      <c r="F24" s="45"/>
      <c r="G24" s="13" t="e">
        <f t="shared" si="19"/>
        <v>#DIV/0!</v>
      </c>
      <c r="H24" s="35"/>
      <c r="I24" s="35"/>
      <c r="J24" s="35">
        <f t="shared" si="20"/>
        <v>0</v>
      </c>
      <c r="K24" s="50">
        <f t="shared" si="21"/>
        <v>0</v>
      </c>
      <c r="L24" s="46" t="e">
        <f t="shared" si="22"/>
        <v>#DIV/0!</v>
      </c>
      <c r="M24" s="48"/>
      <c r="N24" s="47">
        <f t="shared" si="23"/>
        <v>0</v>
      </c>
      <c r="O24" s="18">
        <f t="shared" si="16"/>
        <v>21</v>
      </c>
      <c r="P24" s="58" t="s">
        <v>33</v>
      </c>
      <c r="Q24" s="20">
        <f>N201</f>
        <v>0</v>
      </c>
      <c r="R24" s="20">
        <f t="shared" si="15"/>
        <v>0</v>
      </c>
    </row>
    <row r="25" spans="1:19" ht="16">
      <c r="A25" s="33"/>
      <c r="B25" s="44" t="s">
        <v>13</v>
      </c>
      <c r="C25" s="35"/>
      <c r="D25" s="35"/>
      <c r="E25" s="11">
        <f t="shared" si="18"/>
        <v>0</v>
      </c>
      <c r="F25" s="45"/>
      <c r="G25" s="13" t="e">
        <f t="shared" si="19"/>
        <v>#DIV/0!</v>
      </c>
      <c r="H25" s="35"/>
      <c r="I25" s="35"/>
      <c r="J25" s="35">
        <f t="shared" si="20"/>
        <v>0</v>
      </c>
      <c r="K25" s="50">
        <f t="shared" si="21"/>
        <v>0</v>
      </c>
      <c r="L25" s="46" t="e">
        <f t="shared" si="22"/>
        <v>#DIV/0!</v>
      </c>
      <c r="M25" s="48"/>
      <c r="N25" s="47">
        <f t="shared" si="23"/>
        <v>0</v>
      </c>
      <c r="O25" s="18">
        <f t="shared" si="16"/>
        <v>22</v>
      </c>
      <c r="P25" s="58" t="s">
        <v>34</v>
      </c>
      <c r="Q25" s="20">
        <f>N209</f>
        <v>0</v>
      </c>
      <c r="R25" s="20">
        <f t="shared" si="15"/>
        <v>0</v>
      </c>
    </row>
    <row r="26" spans="1:19" ht="16">
      <c r="A26" s="33"/>
      <c r="B26" s="44" t="s">
        <v>13</v>
      </c>
      <c r="C26" s="35"/>
      <c r="D26" s="35"/>
      <c r="E26" s="11">
        <f t="shared" si="18"/>
        <v>0</v>
      </c>
      <c r="F26" s="45"/>
      <c r="G26" s="13" t="e">
        <f t="shared" si="19"/>
        <v>#DIV/0!</v>
      </c>
      <c r="H26" s="35"/>
      <c r="I26" s="35"/>
      <c r="J26" s="35">
        <f t="shared" si="20"/>
        <v>0</v>
      </c>
      <c r="K26" s="50">
        <f t="shared" si="21"/>
        <v>0</v>
      </c>
      <c r="L26" s="46" t="e">
        <f t="shared" si="22"/>
        <v>#DIV/0!</v>
      </c>
      <c r="M26" s="48"/>
      <c r="N26" s="47">
        <f t="shared" si="23"/>
        <v>0</v>
      </c>
      <c r="O26" s="18">
        <f t="shared" si="16"/>
        <v>23</v>
      </c>
      <c r="P26" s="69" t="s">
        <v>35</v>
      </c>
      <c r="Q26" s="20">
        <f>N136</f>
        <v>5645550</v>
      </c>
      <c r="R26" s="20">
        <f t="shared" si="15"/>
        <v>5645550</v>
      </c>
      <c r="S26" s="351" t="s">
        <v>109</v>
      </c>
    </row>
    <row r="27" spans="1:19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18">
        <f t="shared" si="16"/>
        <v>24</v>
      </c>
      <c r="P27" s="165" t="s">
        <v>66</v>
      </c>
      <c r="Q27" s="20">
        <f>N217</f>
        <v>0</v>
      </c>
      <c r="R27" s="20">
        <f t="shared" si="15"/>
        <v>0</v>
      </c>
    </row>
    <row r="28" spans="1:19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0" t="s">
        <v>67</v>
      </c>
      <c r="Q28" s="20">
        <f>N225</f>
        <v>0</v>
      </c>
      <c r="R28" s="20">
        <f t="shared" si="15"/>
        <v>0</v>
      </c>
    </row>
    <row r="29" spans="1:19" ht="16">
      <c r="A29" s="59"/>
      <c r="B29" s="60"/>
      <c r="C29" s="59"/>
      <c r="D29" s="59" t="s">
        <v>19</v>
      </c>
      <c r="E29" s="59">
        <f>SUM(E20:E26)</f>
        <v>546</v>
      </c>
      <c r="F29" s="59">
        <f>SUM(F20:F28)</f>
        <v>76</v>
      </c>
      <c r="G29" s="61" t="e">
        <f>AVERAGE(G20:G26)</f>
        <v>#DIV/0!</v>
      </c>
      <c r="H29" s="59"/>
      <c r="I29" s="62"/>
      <c r="J29" s="59">
        <f t="shared" ref="J29:K29" si="24">SUM(J20:J26)</f>
        <v>592</v>
      </c>
      <c r="K29" s="59">
        <f t="shared" si="24"/>
        <v>76</v>
      </c>
      <c r="L29" s="61" t="e">
        <f>AVERAGE(L20:L26)</f>
        <v>#DIV/0!</v>
      </c>
      <c r="M29" s="64"/>
      <c r="N29" s="65">
        <f>SUM(N20:N28)</f>
        <v>2071380</v>
      </c>
      <c r="O29" s="18">
        <v>25</v>
      </c>
      <c r="P29" s="165" t="s">
        <v>68</v>
      </c>
      <c r="Q29" s="20">
        <f>N233</f>
        <v>0</v>
      </c>
      <c r="R29" s="20">
        <f t="shared" si="15"/>
        <v>0</v>
      </c>
    </row>
    <row r="30" spans="1:19" ht="16">
      <c r="A30" s="66">
        <v>46177</v>
      </c>
      <c r="B30" s="34" t="s">
        <v>14</v>
      </c>
      <c r="C30" s="35">
        <v>191607</v>
      </c>
      <c r="D30" s="53">
        <v>191820</v>
      </c>
      <c r="E30" s="36">
        <f t="shared" ref="E30:E37" si="25">D30-C30</f>
        <v>213</v>
      </c>
      <c r="F30" s="37">
        <v>30</v>
      </c>
      <c r="G30" s="13">
        <f t="shared" ref="G30:G37" si="26">(F30/E30)*100</f>
        <v>14.084507042253522</v>
      </c>
      <c r="H30" s="38">
        <v>32732</v>
      </c>
      <c r="I30" s="55">
        <v>32965</v>
      </c>
      <c r="J30" s="39">
        <f t="shared" ref="J30:J37" si="27">I30-H30</f>
        <v>233</v>
      </c>
      <c r="K30" s="50">
        <f t="shared" ref="K30:K37" si="28">F30</f>
        <v>30</v>
      </c>
      <c r="L30" s="67">
        <f t="shared" ref="L30:L37" si="29">(K30/J30)*100</f>
        <v>12.875536480686694</v>
      </c>
      <c r="M30" s="68">
        <v>27650</v>
      </c>
      <c r="N30" s="42">
        <f t="shared" ref="N30:N37" si="30">F30*M30</f>
        <v>829500</v>
      </c>
      <c r="Q30" s="181">
        <f t="shared" ref="Q30:R30" si="31">SUM(Q4:Q29)</f>
        <v>78509530</v>
      </c>
      <c r="R30" s="181">
        <f t="shared" si="31"/>
        <v>78509530</v>
      </c>
    </row>
    <row r="31" spans="1:19" ht="16">
      <c r="A31" s="33">
        <v>46181</v>
      </c>
      <c r="B31" s="44" t="s">
        <v>14</v>
      </c>
      <c r="C31" s="53">
        <v>191820</v>
      </c>
      <c r="D31" s="35">
        <v>192133</v>
      </c>
      <c r="E31" s="11">
        <f t="shared" si="25"/>
        <v>313</v>
      </c>
      <c r="F31" s="45">
        <v>40</v>
      </c>
      <c r="G31" s="13">
        <f t="shared" si="26"/>
        <v>12.779552715654951</v>
      </c>
      <c r="H31" s="55">
        <v>32965</v>
      </c>
      <c r="I31" s="38">
        <v>33314</v>
      </c>
      <c r="J31" s="35">
        <f t="shared" si="27"/>
        <v>349</v>
      </c>
      <c r="K31" s="50">
        <f t="shared" si="28"/>
        <v>40</v>
      </c>
      <c r="L31" s="46">
        <f t="shared" si="29"/>
        <v>11.461318051575931</v>
      </c>
      <c r="M31" s="68">
        <v>26860</v>
      </c>
      <c r="N31" s="47">
        <f t="shared" si="30"/>
        <v>1074400</v>
      </c>
      <c r="R31" s="76">
        <f t="shared" ref="R31:R44" si="32">Q31</f>
        <v>0</v>
      </c>
    </row>
    <row r="32" spans="1:19" ht="16">
      <c r="A32" s="33">
        <v>46184</v>
      </c>
      <c r="B32" s="34" t="s">
        <v>14</v>
      </c>
      <c r="C32" s="35">
        <v>192133</v>
      </c>
      <c r="D32" s="35">
        <v>192471</v>
      </c>
      <c r="E32" s="11">
        <f t="shared" si="25"/>
        <v>338</v>
      </c>
      <c r="F32" s="45">
        <v>40</v>
      </c>
      <c r="G32" s="13">
        <f t="shared" si="26"/>
        <v>11.834319526627219</v>
      </c>
      <c r="H32" s="38">
        <v>33314</v>
      </c>
      <c r="I32" s="38">
        <v>33968</v>
      </c>
      <c r="J32" s="35">
        <f t="shared" si="27"/>
        <v>654</v>
      </c>
      <c r="K32" s="50">
        <f t="shared" si="28"/>
        <v>40</v>
      </c>
      <c r="L32" s="46">
        <f t="shared" si="29"/>
        <v>6.1162079510703364</v>
      </c>
      <c r="M32" s="68">
        <v>25870</v>
      </c>
      <c r="N32" s="47">
        <f t="shared" si="30"/>
        <v>1034800</v>
      </c>
      <c r="R32" s="76">
        <f t="shared" si="32"/>
        <v>0</v>
      </c>
    </row>
    <row r="33" spans="1:18" ht="16">
      <c r="A33" s="33">
        <v>46188</v>
      </c>
      <c r="B33" s="44" t="s">
        <v>14</v>
      </c>
      <c r="C33" s="35">
        <v>192471</v>
      </c>
      <c r="D33" s="35">
        <v>192798</v>
      </c>
      <c r="E33" s="11">
        <f t="shared" si="25"/>
        <v>327</v>
      </c>
      <c r="F33" s="45">
        <v>40</v>
      </c>
      <c r="G33" s="13">
        <f t="shared" si="26"/>
        <v>12.232415902140673</v>
      </c>
      <c r="H33" s="38">
        <v>33968</v>
      </c>
      <c r="I33" s="38">
        <v>34062</v>
      </c>
      <c r="J33" s="35">
        <f t="shared" si="27"/>
        <v>94</v>
      </c>
      <c r="K33" s="50">
        <f t="shared" si="28"/>
        <v>40</v>
      </c>
      <c r="L33" s="46">
        <f t="shared" si="29"/>
        <v>42.553191489361701</v>
      </c>
      <c r="M33" s="68">
        <v>25870</v>
      </c>
      <c r="N33" s="47">
        <f t="shared" si="30"/>
        <v>1034800</v>
      </c>
      <c r="R33" s="76">
        <f t="shared" si="32"/>
        <v>0</v>
      </c>
    </row>
    <row r="34" spans="1:18" ht="16">
      <c r="A34" s="33">
        <v>46192</v>
      </c>
      <c r="B34" s="44" t="s">
        <v>14</v>
      </c>
      <c r="C34" s="35">
        <v>192798</v>
      </c>
      <c r="D34" s="35">
        <v>193107</v>
      </c>
      <c r="E34" s="11">
        <f t="shared" si="25"/>
        <v>309</v>
      </c>
      <c r="F34" s="45">
        <v>40</v>
      </c>
      <c r="G34" s="13">
        <f t="shared" si="26"/>
        <v>12.944983818770226</v>
      </c>
      <c r="H34" s="38">
        <v>34062</v>
      </c>
      <c r="I34" s="38">
        <v>34420</v>
      </c>
      <c r="J34" s="35">
        <f t="shared" si="27"/>
        <v>358</v>
      </c>
      <c r="K34" s="50">
        <f t="shared" si="28"/>
        <v>40</v>
      </c>
      <c r="L34" s="46">
        <f t="shared" si="29"/>
        <v>11.173184357541899</v>
      </c>
      <c r="M34" s="68">
        <v>23530</v>
      </c>
      <c r="N34" s="47">
        <f t="shared" si="30"/>
        <v>941200</v>
      </c>
      <c r="R34" s="76">
        <f t="shared" si="32"/>
        <v>0</v>
      </c>
    </row>
    <row r="35" spans="1:18" ht="16">
      <c r="A35" s="33"/>
      <c r="B35" s="44" t="s">
        <v>14</v>
      </c>
      <c r="C35" s="35"/>
      <c r="D35" s="35"/>
      <c r="E35" s="11">
        <f t="shared" si="25"/>
        <v>0</v>
      </c>
      <c r="F35" s="45"/>
      <c r="G35" s="13" t="e">
        <f t="shared" si="26"/>
        <v>#DIV/0!</v>
      </c>
      <c r="H35" s="38"/>
      <c r="I35" s="38"/>
      <c r="J35" s="35">
        <f t="shared" si="27"/>
        <v>0</v>
      </c>
      <c r="K35" s="50">
        <f t="shared" si="28"/>
        <v>0</v>
      </c>
      <c r="L35" s="46" t="e">
        <f t="shared" si="29"/>
        <v>#DIV/0!</v>
      </c>
      <c r="M35" s="48"/>
      <c r="N35" s="47">
        <f t="shared" si="30"/>
        <v>0</v>
      </c>
      <c r="R35" s="76">
        <f t="shared" si="32"/>
        <v>0</v>
      </c>
    </row>
    <row r="36" spans="1:18" ht="16">
      <c r="A36" s="33"/>
      <c r="B36" s="44" t="s">
        <v>14</v>
      </c>
      <c r="C36" s="35"/>
      <c r="D36" s="35"/>
      <c r="E36" s="11">
        <f t="shared" si="25"/>
        <v>0</v>
      </c>
      <c r="F36" s="45"/>
      <c r="G36" s="13" t="e">
        <f t="shared" si="26"/>
        <v>#DIV/0!</v>
      </c>
      <c r="H36" s="38"/>
      <c r="I36" s="38"/>
      <c r="J36" s="35">
        <f t="shared" si="27"/>
        <v>0</v>
      </c>
      <c r="K36" s="50">
        <f t="shared" si="28"/>
        <v>0</v>
      </c>
      <c r="L36" s="46" t="e">
        <f t="shared" si="29"/>
        <v>#DIV/0!</v>
      </c>
      <c r="M36" s="48"/>
      <c r="N36" s="47">
        <f t="shared" si="30"/>
        <v>0</v>
      </c>
      <c r="R36" s="76">
        <f t="shared" si="32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2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1500</v>
      </c>
      <c r="F38" s="37"/>
      <c r="G38" s="61" t="e">
        <f>AVERAGE(G30:G37)</f>
        <v>#DIV/0!</v>
      </c>
      <c r="H38" s="59"/>
      <c r="I38" s="62"/>
      <c r="J38" s="59">
        <f t="shared" ref="J38:K38" si="33">SUM(J30:J37)</f>
        <v>1688</v>
      </c>
      <c r="K38" s="59">
        <f t="shared" si="33"/>
        <v>190</v>
      </c>
      <c r="L38" s="61" t="e">
        <f>AVERAGE(L30:L37)</f>
        <v>#DIV/0!</v>
      </c>
      <c r="M38" s="64"/>
      <c r="N38" s="65">
        <f>SUM(N30:N37)</f>
        <v>4914700</v>
      </c>
      <c r="R38" s="76">
        <f t="shared" si="32"/>
        <v>0</v>
      </c>
    </row>
    <row r="39" spans="1:18" ht="16">
      <c r="A39" s="66">
        <v>46177</v>
      </c>
      <c r="B39" s="34" t="s">
        <v>15</v>
      </c>
      <c r="C39" s="35">
        <v>180475</v>
      </c>
      <c r="D39" s="35">
        <v>180810</v>
      </c>
      <c r="E39" s="36">
        <f t="shared" ref="E39:E48" si="34">D39-C39</f>
        <v>335</v>
      </c>
      <c r="F39" s="37">
        <v>38</v>
      </c>
      <c r="G39" s="13">
        <f t="shared" ref="G39:G48" si="35">(F39/E39)*100</f>
        <v>11.343283582089553</v>
      </c>
      <c r="H39" s="38">
        <v>39584</v>
      </c>
      <c r="I39" s="38">
        <v>39919</v>
      </c>
      <c r="J39" s="39">
        <f t="shared" ref="J39:J48" si="36">I39-H39</f>
        <v>335</v>
      </c>
      <c r="K39" s="77">
        <f t="shared" ref="K39:K48" si="37">F39</f>
        <v>38</v>
      </c>
      <c r="L39" s="67">
        <f t="shared" ref="L39:L48" si="38">(K39/J39)*100</f>
        <v>11.343283582089553</v>
      </c>
      <c r="M39" s="53">
        <v>26860</v>
      </c>
      <c r="N39" s="42">
        <f t="shared" ref="N39:N48" si="39">F39*M39</f>
        <v>1020680</v>
      </c>
      <c r="R39" s="76">
        <f t="shared" si="32"/>
        <v>0</v>
      </c>
    </row>
    <row r="40" spans="1:18" ht="16">
      <c r="A40" s="33">
        <v>46181</v>
      </c>
      <c r="B40" s="44" t="s">
        <v>15</v>
      </c>
      <c r="C40" s="35">
        <v>180810</v>
      </c>
      <c r="D40" s="35">
        <v>181235</v>
      </c>
      <c r="E40" s="11">
        <f t="shared" si="34"/>
        <v>425</v>
      </c>
      <c r="F40" s="45">
        <v>45</v>
      </c>
      <c r="G40" s="13">
        <f t="shared" si="35"/>
        <v>10.588235294117647</v>
      </c>
      <c r="H40" s="38">
        <v>39919</v>
      </c>
      <c r="I40" s="35">
        <v>40347</v>
      </c>
      <c r="J40" s="35">
        <f t="shared" si="36"/>
        <v>428</v>
      </c>
      <c r="K40" s="50">
        <f t="shared" si="37"/>
        <v>45</v>
      </c>
      <c r="L40" s="46">
        <f t="shared" si="38"/>
        <v>10.514018691588785</v>
      </c>
      <c r="M40" s="53">
        <v>26860</v>
      </c>
      <c r="N40" s="47">
        <f t="shared" si="39"/>
        <v>1208700</v>
      </c>
      <c r="P40" s="78"/>
      <c r="R40" s="76">
        <f t="shared" si="32"/>
        <v>0</v>
      </c>
    </row>
    <row r="41" spans="1:18" ht="16">
      <c r="A41" s="33">
        <v>46184</v>
      </c>
      <c r="B41" s="44" t="s">
        <v>15</v>
      </c>
      <c r="C41" s="35">
        <v>181235</v>
      </c>
      <c r="D41" s="35">
        <v>181518</v>
      </c>
      <c r="E41" s="11">
        <f t="shared" si="34"/>
        <v>283</v>
      </c>
      <c r="F41" s="45">
        <v>39</v>
      </c>
      <c r="G41" s="13">
        <f t="shared" si="35"/>
        <v>13.780918727915195</v>
      </c>
      <c r="H41" s="35">
        <v>40347</v>
      </c>
      <c r="I41" s="35">
        <v>40894</v>
      </c>
      <c r="J41" s="35">
        <f t="shared" si="36"/>
        <v>547</v>
      </c>
      <c r="K41" s="35">
        <f t="shared" si="37"/>
        <v>39</v>
      </c>
      <c r="L41" s="46">
        <f t="shared" si="38"/>
        <v>7.1297989031078606</v>
      </c>
      <c r="M41" s="53">
        <v>25870</v>
      </c>
      <c r="N41" s="47">
        <f t="shared" si="39"/>
        <v>1008930</v>
      </c>
      <c r="R41" s="76">
        <f t="shared" si="32"/>
        <v>0</v>
      </c>
    </row>
    <row r="42" spans="1:18" ht="16">
      <c r="A42" s="33">
        <v>46190</v>
      </c>
      <c r="B42" s="44" t="s">
        <v>15</v>
      </c>
      <c r="C42" s="35">
        <v>181518</v>
      </c>
      <c r="D42" s="35">
        <v>181919</v>
      </c>
      <c r="E42" s="11">
        <f t="shared" si="34"/>
        <v>401</v>
      </c>
      <c r="F42" s="45">
        <v>52</v>
      </c>
      <c r="G42" s="13">
        <f t="shared" si="35"/>
        <v>12.967581047381547</v>
      </c>
      <c r="H42" s="35">
        <v>40894</v>
      </c>
      <c r="I42" s="38">
        <v>41043</v>
      </c>
      <c r="J42" s="35">
        <f t="shared" si="36"/>
        <v>149</v>
      </c>
      <c r="K42" s="50">
        <f t="shared" si="37"/>
        <v>52</v>
      </c>
      <c r="L42" s="46">
        <f t="shared" si="38"/>
        <v>34.899328859060404</v>
      </c>
      <c r="M42" s="53">
        <v>25870</v>
      </c>
      <c r="N42" s="47">
        <f t="shared" si="39"/>
        <v>1345240</v>
      </c>
      <c r="R42" s="76">
        <f t="shared" si="32"/>
        <v>0</v>
      </c>
    </row>
    <row r="43" spans="1:18" ht="16">
      <c r="A43" s="33">
        <v>46193</v>
      </c>
      <c r="B43" s="44" t="s">
        <v>15</v>
      </c>
      <c r="C43" s="35">
        <v>181919</v>
      </c>
      <c r="D43" s="35">
        <v>182292</v>
      </c>
      <c r="E43" s="11">
        <f t="shared" si="34"/>
        <v>373</v>
      </c>
      <c r="F43" s="45">
        <v>44</v>
      </c>
      <c r="G43" s="13">
        <f t="shared" si="35"/>
        <v>11.796246648793565</v>
      </c>
      <c r="H43" s="38">
        <v>41043</v>
      </c>
      <c r="I43" s="38">
        <v>41418</v>
      </c>
      <c r="J43" s="35">
        <f t="shared" si="36"/>
        <v>375</v>
      </c>
      <c r="K43" s="50">
        <f t="shared" si="37"/>
        <v>44</v>
      </c>
      <c r="L43" s="46">
        <f t="shared" si="38"/>
        <v>11.733333333333333</v>
      </c>
      <c r="M43" s="53">
        <v>23530</v>
      </c>
      <c r="N43" s="47">
        <f t="shared" si="39"/>
        <v>1035320</v>
      </c>
      <c r="R43" s="76">
        <f t="shared" si="32"/>
        <v>0</v>
      </c>
    </row>
    <row r="44" spans="1:18" ht="16">
      <c r="A44" s="33"/>
      <c r="B44" s="44" t="s">
        <v>15</v>
      </c>
      <c r="C44" s="35"/>
      <c r="D44" s="35"/>
      <c r="E44" s="11">
        <f t="shared" si="34"/>
        <v>0</v>
      </c>
      <c r="F44" s="45"/>
      <c r="G44" s="13" t="e">
        <f t="shared" si="35"/>
        <v>#DIV/0!</v>
      </c>
      <c r="H44" s="38"/>
      <c r="I44" s="38"/>
      <c r="J44" s="35">
        <f t="shared" si="36"/>
        <v>0</v>
      </c>
      <c r="K44" s="50">
        <f t="shared" si="37"/>
        <v>0</v>
      </c>
      <c r="L44" s="46" t="e">
        <f t="shared" si="38"/>
        <v>#DIV/0!</v>
      </c>
      <c r="M44" s="48"/>
      <c r="N44" s="47">
        <f t="shared" si="39"/>
        <v>0</v>
      </c>
      <c r="R44" s="76">
        <f t="shared" si="32"/>
        <v>0</v>
      </c>
    </row>
    <row r="45" spans="1:18" ht="16">
      <c r="A45" s="33"/>
      <c r="B45" s="44" t="s">
        <v>15</v>
      </c>
      <c r="C45" s="35"/>
      <c r="D45" s="35"/>
      <c r="E45" s="11">
        <f t="shared" si="34"/>
        <v>0</v>
      </c>
      <c r="F45" s="45"/>
      <c r="G45" s="13" t="e">
        <f t="shared" si="35"/>
        <v>#DIV/0!</v>
      </c>
      <c r="H45" s="38"/>
      <c r="I45" s="38"/>
      <c r="J45" s="35">
        <f t="shared" si="36"/>
        <v>0</v>
      </c>
      <c r="K45" s="50">
        <f t="shared" si="37"/>
        <v>0</v>
      </c>
      <c r="L45" s="46" t="e">
        <f t="shared" si="38"/>
        <v>#DIV/0!</v>
      </c>
      <c r="M45" s="48"/>
      <c r="N45" s="47">
        <f t="shared" si="39"/>
        <v>0</v>
      </c>
    </row>
    <row r="46" spans="1:18" ht="16">
      <c r="A46" s="33"/>
      <c r="B46" s="44" t="s">
        <v>15</v>
      </c>
      <c r="C46" s="35"/>
      <c r="D46" s="35"/>
      <c r="E46" s="11">
        <f t="shared" si="34"/>
        <v>0</v>
      </c>
      <c r="F46" s="45"/>
      <c r="G46" s="13" t="e">
        <f t="shared" si="35"/>
        <v>#DIV/0!</v>
      </c>
      <c r="H46" s="38"/>
      <c r="I46" s="38"/>
      <c r="J46" s="35">
        <f t="shared" si="36"/>
        <v>0</v>
      </c>
      <c r="K46" s="50">
        <f t="shared" si="37"/>
        <v>0</v>
      </c>
      <c r="L46" s="46" t="e">
        <f t="shared" si="38"/>
        <v>#DIV/0!</v>
      </c>
      <c r="M46" s="48"/>
      <c r="N46" s="47">
        <f t="shared" si="39"/>
        <v>0</v>
      </c>
    </row>
    <row r="47" spans="1:18" ht="16">
      <c r="A47" s="33"/>
      <c r="B47" s="79" t="s">
        <v>15</v>
      </c>
      <c r="C47" s="35"/>
      <c r="D47" s="53"/>
      <c r="E47" s="24">
        <f t="shared" si="34"/>
        <v>0</v>
      </c>
      <c r="F47" s="45"/>
      <c r="G47" s="54" t="e">
        <f t="shared" si="35"/>
        <v>#DIV/0!</v>
      </c>
      <c r="H47" s="38"/>
      <c r="I47" s="55"/>
      <c r="J47" s="53">
        <f t="shared" si="36"/>
        <v>0</v>
      </c>
      <c r="K47" s="50">
        <f t="shared" si="37"/>
        <v>0</v>
      </c>
      <c r="L47" s="73" t="e">
        <f t="shared" si="38"/>
        <v>#DIV/0!</v>
      </c>
      <c r="M47" s="48"/>
      <c r="N47" s="57">
        <f t="shared" si="39"/>
        <v>0</v>
      </c>
      <c r="R47" s="76">
        <f t="shared" ref="R47:R57" si="40">Q47</f>
        <v>0</v>
      </c>
    </row>
    <row r="48" spans="1:18" ht="16">
      <c r="A48" s="33"/>
      <c r="B48" s="79" t="s">
        <v>15</v>
      </c>
      <c r="C48" s="53"/>
      <c r="D48" s="53"/>
      <c r="E48" s="24">
        <f t="shared" si="34"/>
        <v>0</v>
      </c>
      <c r="F48" s="45"/>
      <c r="G48" s="54" t="e">
        <f t="shared" si="35"/>
        <v>#DIV/0!</v>
      </c>
      <c r="H48" s="55"/>
      <c r="I48" s="55"/>
      <c r="J48" s="53">
        <f t="shared" si="36"/>
        <v>0</v>
      </c>
      <c r="K48" s="50">
        <f t="shared" si="37"/>
        <v>0</v>
      </c>
      <c r="L48" s="73" t="e">
        <f t="shared" si="38"/>
        <v>#DIV/0!</v>
      </c>
      <c r="M48" s="48"/>
      <c r="N48" s="57">
        <f t="shared" si="39"/>
        <v>0</v>
      </c>
      <c r="R48" s="76">
        <f t="shared" si="40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1817</v>
      </c>
      <c r="F49" s="59">
        <f>SUM(F39:F48)</f>
        <v>218</v>
      </c>
      <c r="G49" s="61" t="e">
        <f>AVERAGE(G39:G47)</f>
        <v>#DIV/0!</v>
      </c>
      <c r="H49" s="59"/>
      <c r="I49" s="62"/>
      <c r="J49" s="59">
        <f t="shared" ref="J49:K49" si="41">SUM(J39:J47)</f>
        <v>1834</v>
      </c>
      <c r="K49" s="59">
        <f t="shared" si="41"/>
        <v>218</v>
      </c>
      <c r="L49" s="61" t="e">
        <f>AVERAGE(L39:L47)</f>
        <v>#DIV/0!</v>
      </c>
      <c r="M49" s="64"/>
      <c r="N49" s="65">
        <f>SUM(N39:N48)</f>
        <v>5618870</v>
      </c>
      <c r="R49" s="76">
        <f t="shared" si="40"/>
        <v>0</v>
      </c>
    </row>
    <row r="50" spans="1:18" ht="16">
      <c r="A50" s="66">
        <v>46183</v>
      </c>
      <c r="B50" s="34" t="s">
        <v>16</v>
      </c>
      <c r="C50" s="35">
        <v>158072</v>
      </c>
      <c r="D50" s="35">
        <v>158838</v>
      </c>
      <c r="E50" s="36">
        <f t="shared" ref="E50:E60" si="42">D50-C50</f>
        <v>766</v>
      </c>
      <c r="F50" s="37">
        <v>57</v>
      </c>
      <c r="G50" s="13">
        <f t="shared" ref="G50:G60" si="43">(F50/E50)*100</f>
        <v>7.4412532637075719</v>
      </c>
      <c r="H50" s="38">
        <v>43816</v>
      </c>
      <c r="I50" s="38">
        <v>44655</v>
      </c>
      <c r="J50" s="39">
        <f t="shared" ref="J50:J60" si="44">I50-H50</f>
        <v>839</v>
      </c>
      <c r="K50" s="77">
        <f t="shared" ref="K50:K60" si="45">F50</f>
        <v>57</v>
      </c>
      <c r="L50" s="67">
        <f t="shared" ref="L50:L60" si="46">(K50/J50)*100</f>
        <v>6.7938021454112043</v>
      </c>
      <c r="M50" s="68">
        <v>26860</v>
      </c>
      <c r="N50" s="42">
        <f t="shared" ref="N50:N60" si="47">F50*M50</f>
        <v>1531020</v>
      </c>
      <c r="R50" s="76">
        <f t="shared" si="40"/>
        <v>0</v>
      </c>
    </row>
    <row r="51" spans="1:18" ht="16">
      <c r="A51" s="66">
        <v>46188</v>
      </c>
      <c r="B51" s="44" t="s">
        <v>16</v>
      </c>
      <c r="C51" s="35">
        <v>158838</v>
      </c>
      <c r="D51" s="35">
        <v>159235</v>
      </c>
      <c r="E51" s="11">
        <f t="shared" si="42"/>
        <v>397</v>
      </c>
      <c r="F51" s="45">
        <v>59</v>
      </c>
      <c r="G51" s="13">
        <f t="shared" si="43"/>
        <v>14.86146095717884</v>
      </c>
      <c r="H51" s="38">
        <v>44655</v>
      </c>
      <c r="I51" s="38">
        <v>45073</v>
      </c>
      <c r="J51" s="35">
        <f t="shared" si="44"/>
        <v>418</v>
      </c>
      <c r="K51" s="50">
        <f t="shared" si="45"/>
        <v>59</v>
      </c>
      <c r="L51" s="46">
        <f t="shared" si="46"/>
        <v>14.114832535885165</v>
      </c>
      <c r="M51" s="48">
        <v>25870</v>
      </c>
      <c r="N51" s="47">
        <f t="shared" si="47"/>
        <v>1526330</v>
      </c>
      <c r="R51" s="76">
        <f t="shared" si="40"/>
        <v>0</v>
      </c>
    </row>
    <row r="52" spans="1:18" ht="16">
      <c r="A52" s="80">
        <v>46192</v>
      </c>
      <c r="B52" s="44" t="s">
        <v>16</v>
      </c>
      <c r="C52" s="35">
        <v>159235</v>
      </c>
      <c r="D52" s="35">
        <v>159644</v>
      </c>
      <c r="E52" s="11">
        <f t="shared" si="42"/>
        <v>409</v>
      </c>
      <c r="F52" s="45">
        <v>59</v>
      </c>
      <c r="G52" s="13">
        <f t="shared" si="43"/>
        <v>14.425427872860636</v>
      </c>
      <c r="H52" s="38">
        <v>45073</v>
      </c>
      <c r="I52" s="38">
        <v>45514</v>
      </c>
      <c r="J52" s="35">
        <f t="shared" si="44"/>
        <v>441</v>
      </c>
      <c r="K52" s="50">
        <f t="shared" si="45"/>
        <v>59</v>
      </c>
      <c r="L52" s="46">
        <f t="shared" si="46"/>
        <v>13.378684807256235</v>
      </c>
      <c r="M52" s="48">
        <v>23530</v>
      </c>
      <c r="N52" s="47">
        <f t="shared" si="47"/>
        <v>1388270</v>
      </c>
      <c r="R52" s="76">
        <f t="shared" si="40"/>
        <v>0</v>
      </c>
    </row>
    <row r="53" spans="1:18" ht="16">
      <c r="A53" s="80"/>
      <c r="B53" s="44" t="s">
        <v>16</v>
      </c>
      <c r="C53" s="35"/>
      <c r="D53" s="35"/>
      <c r="E53" s="11">
        <f t="shared" si="42"/>
        <v>0</v>
      </c>
      <c r="F53" s="45"/>
      <c r="G53" s="13" t="e">
        <f t="shared" si="43"/>
        <v>#DIV/0!</v>
      </c>
      <c r="H53" s="38"/>
      <c r="I53" s="38"/>
      <c r="J53" s="35">
        <f t="shared" si="44"/>
        <v>0</v>
      </c>
      <c r="K53" s="50">
        <f t="shared" si="45"/>
        <v>0</v>
      </c>
      <c r="L53" s="46" t="e">
        <f t="shared" si="46"/>
        <v>#DIV/0!</v>
      </c>
      <c r="M53" s="48"/>
      <c r="N53" s="47">
        <f t="shared" si="47"/>
        <v>0</v>
      </c>
      <c r="R53" s="76">
        <f t="shared" si="40"/>
        <v>0</v>
      </c>
    </row>
    <row r="54" spans="1:18" ht="16">
      <c r="A54" s="80"/>
      <c r="B54" s="44" t="s">
        <v>16</v>
      </c>
      <c r="C54" s="35"/>
      <c r="D54" s="35"/>
      <c r="E54" s="11">
        <f t="shared" si="42"/>
        <v>0</v>
      </c>
      <c r="F54" s="45"/>
      <c r="G54" s="13" t="e">
        <f t="shared" si="43"/>
        <v>#DIV/0!</v>
      </c>
      <c r="H54" s="38"/>
      <c r="I54" s="38"/>
      <c r="J54" s="35">
        <f t="shared" si="44"/>
        <v>0</v>
      </c>
      <c r="K54" s="50">
        <f t="shared" si="45"/>
        <v>0</v>
      </c>
      <c r="L54" s="46" t="e">
        <f t="shared" si="46"/>
        <v>#DIV/0!</v>
      </c>
      <c r="M54" s="48"/>
      <c r="N54" s="47">
        <f t="shared" si="47"/>
        <v>0</v>
      </c>
      <c r="P54" s="78"/>
      <c r="R54" s="76">
        <f t="shared" si="40"/>
        <v>0</v>
      </c>
    </row>
    <row r="55" spans="1:18" ht="16">
      <c r="A55" s="80"/>
      <c r="B55" s="44" t="s">
        <v>16</v>
      </c>
      <c r="C55" s="35"/>
      <c r="D55" s="35"/>
      <c r="E55" s="11">
        <f t="shared" si="42"/>
        <v>0</v>
      </c>
      <c r="F55" s="45"/>
      <c r="G55" s="13" t="e">
        <f t="shared" si="43"/>
        <v>#DIV/0!</v>
      </c>
      <c r="H55" s="38"/>
      <c r="I55" s="38"/>
      <c r="J55" s="35">
        <f t="shared" si="44"/>
        <v>0</v>
      </c>
      <c r="K55" s="50">
        <f t="shared" si="45"/>
        <v>0</v>
      </c>
      <c r="L55" s="46" t="e">
        <f t="shared" si="46"/>
        <v>#DIV/0!</v>
      </c>
      <c r="M55" s="48"/>
      <c r="N55" s="47">
        <f t="shared" si="47"/>
        <v>0</v>
      </c>
      <c r="R55" s="76">
        <f t="shared" si="40"/>
        <v>0</v>
      </c>
    </row>
    <row r="56" spans="1:18" ht="16">
      <c r="A56" s="80"/>
      <c r="B56" s="44" t="s">
        <v>16</v>
      </c>
      <c r="C56" s="35"/>
      <c r="D56" s="35"/>
      <c r="E56" s="11">
        <f t="shared" si="42"/>
        <v>0</v>
      </c>
      <c r="F56" s="45"/>
      <c r="G56" s="13" t="e">
        <f t="shared" si="43"/>
        <v>#DIV/0!</v>
      </c>
      <c r="H56" s="38"/>
      <c r="I56" s="38"/>
      <c r="J56" s="35">
        <f t="shared" si="44"/>
        <v>0</v>
      </c>
      <c r="K56" s="50">
        <f t="shared" si="45"/>
        <v>0</v>
      </c>
      <c r="L56" s="46" t="e">
        <f t="shared" si="46"/>
        <v>#DIV/0!</v>
      </c>
      <c r="M56" s="48"/>
      <c r="N56" s="47">
        <f t="shared" si="47"/>
        <v>0</v>
      </c>
      <c r="R56" s="76">
        <f t="shared" si="40"/>
        <v>0</v>
      </c>
    </row>
    <row r="57" spans="1:18" ht="16">
      <c r="A57" s="80"/>
      <c r="B57" s="44" t="s">
        <v>16</v>
      </c>
      <c r="C57" s="35"/>
      <c r="D57" s="35"/>
      <c r="E57" s="11">
        <f t="shared" si="42"/>
        <v>0</v>
      </c>
      <c r="F57" s="45"/>
      <c r="G57" s="13" t="e">
        <f t="shared" si="43"/>
        <v>#DIV/0!</v>
      </c>
      <c r="H57" s="38"/>
      <c r="I57" s="38"/>
      <c r="J57" s="35">
        <f t="shared" si="44"/>
        <v>0</v>
      </c>
      <c r="K57" s="50">
        <f t="shared" si="45"/>
        <v>0</v>
      </c>
      <c r="L57" s="46" t="e">
        <f t="shared" si="46"/>
        <v>#DIV/0!</v>
      </c>
      <c r="M57" s="48"/>
      <c r="N57" s="47">
        <f t="shared" si="47"/>
        <v>0</v>
      </c>
      <c r="R57" s="76">
        <f t="shared" si="40"/>
        <v>0</v>
      </c>
    </row>
    <row r="58" spans="1:18" ht="16">
      <c r="A58" s="80"/>
      <c r="B58" s="44" t="s">
        <v>16</v>
      </c>
      <c r="C58" s="35"/>
      <c r="D58" s="35"/>
      <c r="E58" s="11">
        <f t="shared" si="42"/>
        <v>0</v>
      </c>
      <c r="F58" s="45"/>
      <c r="G58" s="13" t="e">
        <f t="shared" si="43"/>
        <v>#DIV/0!</v>
      </c>
      <c r="H58" s="38"/>
      <c r="I58" s="38"/>
      <c r="J58" s="35">
        <f t="shared" si="44"/>
        <v>0</v>
      </c>
      <c r="K58" s="50">
        <f t="shared" si="45"/>
        <v>0</v>
      </c>
      <c r="L58" s="46" t="e">
        <f t="shared" si="46"/>
        <v>#DIV/0!</v>
      </c>
      <c r="M58" s="48"/>
      <c r="N58" s="47">
        <f t="shared" si="47"/>
        <v>0</v>
      </c>
    </row>
    <row r="59" spans="1:18" ht="16">
      <c r="A59" s="80"/>
      <c r="B59" s="44" t="s">
        <v>16</v>
      </c>
      <c r="C59" s="35"/>
      <c r="D59" s="35"/>
      <c r="E59" s="11">
        <f t="shared" si="42"/>
        <v>0</v>
      </c>
      <c r="F59" s="45"/>
      <c r="G59" s="13" t="e">
        <f t="shared" si="43"/>
        <v>#DIV/0!</v>
      </c>
      <c r="H59" s="38"/>
      <c r="I59" s="38"/>
      <c r="J59" s="35">
        <f t="shared" si="44"/>
        <v>0</v>
      </c>
      <c r="K59" s="50">
        <f t="shared" si="45"/>
        <v>0</v>
      </c>
      <c r="L59" s="46" t="e">
        <f t="shared" si="46"/>
        <v>#DIV/0!</v>
      </c>
      <c r="M59" s="48"/>
      <c r="N59" s="47">
        <f t="shared" si="47"/>
        <v>0</v>
      </c>
      <c r="R59" s="76">
        <f t="shared" ref="R59:R64" si="48">Q59</f>
        <v>0</v>
      </c>
    </row>
    <row r="60" spans="1:18" ht="16">
      <c r="A60" s="80"/>
      <c r="B60" s="44" t="s">
        <v>16</v>
      </c>
      <c r="C60" s="53"/>
      <c r="D60" s="53"/>
      <c r="E60" s="24">
        <f t="shared" si="42"/>
        <v>0</v>
      </c>
      <c r="F60" s="45"/>
      <c r="G60" s="54" t="e">
        <f t="shared" si="43"/>
        <v>#DIV/0!</v>
      </c>
      <c r="H60" s="53"/>
      <c r="I60" s="55"/>
      <c r="J60" s="53">
        <f t="shared" si="44"/>
        <v>0</v>
      </c>
      <c r="K60" s="50">
        <f t="shared" si="45"/>
        <v>0</v>
      </c>
      <c r="L60" s="73" t="e">
        <f t="shared" si="46"/>
        <v>#DIV/0!</v>
      </c>
      <c r="M60" s="48"/>
      <c r="N60" s="57">
        <f t="shared" si="47"/>
        <v>0</v>
      </c>
      <c r="R60" s="76">
        <f t="shared" si="48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1572</v>
      </c>
      <c r="F61" s="37"/>
      <c r="G61" s="61" t="e">
        <f>AVERAGE(G50:G60)</f>
        <v>#DIV/0!</v>
      </c>
      <c r="H61" s="59"/>
      <c r="I61" s="62"/>
      <c r="J61" s="59">
        <f t="shared" ref="J61:K61" si="49">SUM(J50:J60)</f>
        <v>1698</v>
      </c>
      <c r="K61" s="59">
        <f t="shared" si="49"/>
        <v>175</v>
      </c>
      <c r="L61" s="61" t="e">
        <f>AVERAGE(L50:L60)</f>
        <v>#DIV/0!</v>
      </c>
      <c r="M61" s="64"/>
      <c r="N61" s="65">
        <f>SUM(N50:N60)</f>
        <v>4445620</v>
      </c>
      <c r="R61" s="76">
        <f t="shared" si="48"/>
        <v>0</v>
      </c>
    </row>
    <row r="62" spans="1:18" ht="16">
      <c r="A62" s="66">
        <v>46176</v>
      </c>
      <c r="B62" s="82" t="s">
        <v>18</v>
      </c>
      <c r="C62" s="35">
        <v>160559</v>
      </c>
      <c r="D62" s="50">
        <v>160835</v>
      </c>
      <c r="E62" s="36">
        <f t="shared" ref="E62:E70" si="50">D62-C62</f>
        <v>276</v>
      </c>
      <c r="F62" s="37">
        <v>42</v>
      </c>
      <c r="G62" s="13">
        <f t="shared" ref="G62:G70" si="51">(F62/E62)*100</f>
        <v>15.217391304347828</v>
      </c>
      <c r="H62" s="38">
        <v>33654</v>
      </c>
      <c r="I62" s="38">
        <v>33962</v>
      </c>
      <c r="J62" s="39">
        <f t="shared" ref="J62:J70" si="52">I62-H62</f>
        <v>308</v>
      </c>
      <c r="K62" s="77">
        <f t="shared" ref="K62:K70" si="53">F62</f>
        <v>42</v>
      </c>
      <c r="L62" s="67">
        <f t="shared" ref="L62:L70" si="54">(K62/J62)*100</f>
        <v>13.636363636363635</v>
      </c>
      <c r="M62" s="68">
        <v>27650</v>
      </c>
      <c r="N62" s="42">
        <f t="shared" ref="N62:N70" si="55">F62*M62</f>
        <v>1161300</v>
      </c>
      <c r="R62" s="76">
        <f t="shared" si="48"/>
        <v>0</v>
      </c>
    </row>
    <row r="63" spans="1:18" ht="16">
      <c r="A63" s="33">
        <v>46179</v>
      </c>
      <c r="B63" s="44" t="s">
        <v>18</v>
      </c>
      <c r="C63" s="50">
        <v>160835</v>
      </c>
      <c r="D63" s="35">
        <v>161196</v>
      </c>
      <c r="E63" s="11">
        <f t="shared" si="50"/>
        <v>361</v>
      </c>
      <c r="F63" s="45">
        <v>40</v>
      </c>
      <c r="G63" s="13">
        <f t="shared" si="51"/>
        <v>11.080332409972298</v>
      </c>
      <c r="H63" s="38">
        <v>33962</v>
      </c>
      <c r="I63" s="38">
        <v>34325</v>
      </c>
      <c r="J63" s="35">
        <f t="shared" si="52"/>
        <v>363</v>
      </c>
      <c r="K63" s="50">
        <f t="shared" si="53"/>
        <v>40</v>
      </c>
      <c r="L63" s="46">
        <f t="shared" si="54"/>
        <v>11.019283746556475</v>
      </c>
      <c r="M63" s="48">
        <v>26860</v>
      </c>
      <c r="N63" s="47">
        <f t="shared" si="55"/>
        <v>1074400</v>
      </c>
      <c r="R63" s="76">
        <f t="shared" si="48"/>
        <v>0</v>
      </c>
    </row>
    <row r="64" spans="1:18" ht="16">
      <c r="A64" s="33">
        <v>46183</v>
      </c>
      <c r="B64" s="44" t="s">
        <v>18</v>
      </c>
      <c r="C64" s="35">
        <v>161196</v>
      </c>
      <c r="D64" s="35">
        <v>161486</v>
      </c>
      <c r="E64" s="11">
        <f t="shared" si="50"/>
        <v>290</v>
      </c>
      <c r="F64" s="45">
        <v>44</v>
      </c>
      <c r="G64" s="13">
        <f t="shared" si="51"/>
        <v>15.172413793103448</v>
      </c>
      <c r="H64" s="38">
        <v>34325</v>
      </c>
      <c r="I64" s="38">
        <v>34638</v>
      </c>
      <c r="J64" s="35">
        <f t="shared" si="52"/>
        <v>313</v>
      </c>
      <c r="K64" s="50">
        <f t="shared" si="53"/>
        <v>44</v>
      </c>
      <c r="L64" s="46">
        <f t="shared" si="54"/>
        <v>14.057507987220447</v>
      </c>
      <c r="M64" s="48">
        <v>26860</v>
      </c>
      <c r="N64" s="47">
        <f t="shared" si="55"/>
        <v>1181840</v>
      </c>
      <c r="R64" s="76">
        <f t="shared" si="48"/>
        <v>0</v>
      </c>
    </row>
    <row r="65" spans="1:18" ht="16">
      <c r="A65" s="33">
        <v>46188</v>
      </c>
      <c r="B65" s="44" t="s">
        <v>18</v>
      </c>
      <c r="C65" s="35">
        <v>161486</v>
      </c>
      <c r="D65" s="35">
        <v>161757</v>
      </c>
      <c r="E65" s="11">
        <f t="shared" si="50"/>
        <v>271</v>
      </c>
      <c r="F65" s="45">
        <v>39</v>
      </c>
      <c r="G65" s="13">
        <f t="shared" si="51"/>
        <v>14.391143911439114</v>
      </c>
      <c r="H65" s="38">
        <v>34638</v>
      </c>
      <c r="I65" s="38">
        <v>35041</v>
      </c>
      <c r="J65" s="35">
        <f t="shared" si="52"/>
        <v>403</v>
      </c>
      <c r="K65" s="50">
        <f t="shared" si="53"/>
        <v>39</v>
      </c>
      <c r="L65" s="46">
        <f t="shared" si="54"/>
        <v>9.67741935483871</v>
      </c>
      <c r="M65" s="48">
        <v>25870</v>
      </c>
      <c r="N65" s="47">
        <f t="shared" si="55"/>
        <v>1008930</v>
      </c>
    </row>
    <row r="66" spans="1:18" ht="16">
      <c r="A66" s="33">
        <v>46192</v>
      </c>
      <c r="B66" s="44" t="s">
        <v>18</v>
      </c>
      <c r="C66" s="35">
        <v>161757</v>
      </c>
      <c r="D66" s="35">
        <v>162157</v>
      </c>
      <c r="E66" s="11">
        <f t="shared" si="50"/>
        <v>400</v>
      </c>
      <c r="F66" s="45">
        <v>50</v>
      </c>
      <c r="G66" s="13">
        <f t="shared" si="51"/>
        <v>12.5</v>
      </c>
      <c r="H66" s="38">
        <v>35041</v>
      </c>
      <c r="I66" s="38">
        <v>35496</v>
      </c>
      <c r="J66" s="35">
        <f t="shared" si="52"/>
        <v>455</v>
      </c>
      <c r="K66" s="50">
        <f t="shared" si="53"/>
        <v>50</v>
      </c>
      <c r="L66" s="46">
        <f t="shared" si="54"/>
        <v>10.989010989010989</v>
      </c>
      <c r="M66" s="48">
        <v>23530</v>
      </c>
      <c r="N66" s="47">
        <f t="shared" si="55"/>
        <v>1176500</v>
      </c>
      <c r="R66" s="76">
        <f t="shared" ref="R66:R128" si="56">Q66</f>
        <v>0</v>
      </c>
    </row>
    <row r="67" spans="1:18" ht="16">
      <c r="A67" s="33"/>
      <c r="B67" s="44" t="s">
        <v>18</v>
      </c>
      <c r="C67" s="35"/>
      <c r="D67" s="35"/>
      <c r="E67" s="11">
        <f t="shared" si="50"/>
        <v>0</v>
      </c>
      <c r="F67" s="45"/>
      <c r="G67" s="13" t="e">
        <f t="shared" si="51"/>
        <v>#DIV/0!</v>
      </c>
      <c r="H67" s="38"/>
      <c r="I67" s="38"/>
      <c r="J67" s="35">
        <f t="shared" si="52"/>
        <v>0</v>
      </c>
      <c r="K67" s="50">
        <f t="shared" si="53"/>
        <v>0</v>
      </c>
      <c r="L67" s="46" t="e">
        <f t="shared" si="54"/>
        <v>#DIV/0!</v>
      </c>
      <c r="M67" s="48"/>
      <c r="N67" s="47">
        <f t="shared" si="55"/>
        <v>0</v>
      </c>
      <c r="R67" s="76">
        <f t="shared" si="56"/>
        <v>0</v>
      </c>
    </row>
    <row r="68" spans="1:18" ht="16">
      <c r="A68" s="33"/>
      <c r="B68" s="44" t="s">
        <v>18</v>
      </c>
      <c r="C68" s="35"/>
      <c r="D68" s="35"/>
      <c r="E68" s="51">
        <f t="shared" si="50"/>
        <v>0</v>
      </c>
      <c r="F68" s="45"/>
      <c r="G68" s="13" t="e">
        <f t="shared" si="51"/>
        <v>#DIV/0!</v>
      </c>
      <c r="H68" s="38"/>
      <c r="I68" s="38"/>
      <c r="J68" s="35">
        <f t="shared" si="52"/>
        <v>0</v>
      </c>
      <c r="K68" s="50">
        <f t="shared" si="53"/>
        <v>0</v>
      </c>
      <c r="L68" s="46" t="e">
        <f t="shared" si="54"/>
        <v>#DIV/0!</v>
      </c>
      <c r="M68" s="48"/>
      <c r="N68" s="47">
        <f t="shared" si="55"/>
        <v>0</v>
      </c>
      <c r="R68" s="76">
        <f t="shared" si="56"/>
        <v>0</v>
      </c>
    </row>
    <row r="69" spans="1:18" ht="16">
      <c r="A69" s="43"/>
      <c r="B69" s="49" t="s">
        <v>18</v>
      </c>
      <c r="C69" s="35"/>
      <c r="D69" s="50"/>
      <c r="E69" s="51">
        <f t="shared" si="50"/>
        <v>0</v>
      </c>
      <c r="F69" s="45"/>
      <c r="G69" s="13" t="e">
        <f t="shared" si="51"/>
        <v>#DIV/0!</v>
      </c>
      <c r="H69" s="38"/>
      <c r="I69" s="38"/>
      <c r="J69" s="35">
        <f t="shared" si="52"/>
        <v>0</v>
      </c>
      <c r="K69" s="50">
        <f t="shared" si="53"/>
        <v>0</v>
      </c>
      <c r="L69" s="46" t="e">
        <f t="shared" si="54"/>
        <v>#DIV/0!</v>
      </c>
      <c r="M69" s="48"/>
      <c r="N69" s="47">
        <f t="shared" si="55"/>
        <v>0</v>
      </c>
      <c r="R69" s="76">
        <f t="shared" si="56"/>
        <v>0</v>
      </c>
    </row>
    <row r="70" spans="1:18" ht="16">
      <c r="A70" s="33"/>
      <c r="B70" s="44" t="s">
        <v>18</v>
      </c>
      <c r="C70" s="12"/>
      <c r="D70" s="53"/>
      <c r="E70" s="24">
        <f t="shared" si="50"/>
        <v>0</v>
      </c>
      <c r="F70" s="45"/>
      <c r="G70" s="54" t="e">
        <f t="shared" si="51"/>
        <v>#DIV/0!</v>
      </c>
      <c r="H70" s="53"/>
      <c r="I70" s="55"/>
      <c r="J70" s="53">
        <f t="shared" si="52"/>
        <v>0</v>
      </c>
      <c r="K70" s="50">
        <f t="shared" si="53"/>
        <v>0</v>
      </c>
      <c r="L70" s="73" t="e">
        <f t="shared" si="54"/>
        <v>#DIV/0!</v>
      </c>
      <c r="M70" s="48"/>
      <c r="N70" s="57">
        <f t="shared" si="55"/>
        <v>0</v>
      </c>
      <c r="R70" s="76">
        <f t="shared" si="56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7">SUM(E62:E70)</f>
        <v>1598</v>
      </c>
      <c r="F71" s="59">
        <f t="shared" si="57"/>
        <v>215</v>
      </c>
      <c r="G71" s="61" t="e">
        <f>AVERAGE(G62:G70)</f>
        <v>#DIV/0!</v>
      </c>
      <c r="H71" s="59"/>
      <c r="I71" s="62"/>
      <c r="J71" s="59">
        <f t="shared" ref="J71:K71" si="58">SUM(J62:J70)</f>
        <v>1842</v>
      </c>
      <c r="K71" s="59">
        <f t="shared" si="58"/>
        <v>215</v>
      </c>
      <c r="L71" s="61" t="e">
        <f>AVERAGE(L62:L70)</f>
        <v>#DIV/0!</v>
      </c>
      <c r="M71" s="64"/>
      <c r="N71" s="65">
        <f>SUM(N62:N70)</f>
        <v>5602970</v>
      </c>
      <c r="R71" s="76">
        <f t="shared" si="56"/>
        <v>0</v>
      </c>
    </row>
    <row r="72" spans="1:18" ht="16">
      <c r="A72" s="66">
        <v>46174</v>
      </c>
      <c r="B72" s="34" t="s">
        <v>20</v>
      </c>
      <c r="C72" s="35">
        <v>407538</v>
      </c>
      <c r="D72" s="35">
        <v>408149</v>
      </c>
      <c r="E72" s="36">
        <f t="shared" ref="E72:E79" si="59">D72-C72</f>
        <v>611</v>
      </c>
      <c r="F72" s="37">
        <v>71</v>
      </c>
      <c r="G72" s="13">
        <f t="shared" ref="G72:G79" si="60">(F72/E72)*100</f>
        <v>11.620294599018004</v>
      </c>
      <c r="H72" s="38">
        <v>39450</v>
      </c>
      <c r="I72" s="38">
        <v>40051</v>
      </c>
      <c r="J72" s="39">
        <f t="shared" ref="J72:J79" si="61">I72-H72</f>
        <v>601</v>
      </c>
      <c r="K72" s="77">
        <f t="shared" ref="K72:K79" si="62">F72</f>
        <v>71</v>
      </c>
      <c r="L72" s="67">
        <f t="shared" ref="L72:L79" si="63">(K72/J72)*100</f>
        <v>11.813643926788686</v>
      </c>
      <c r="M72" s="68">
        <v>27650</v>
      </c>
      <c r="N72" s="42">
        <f t="shared" ref="N72:N79" si="64">F72*M72</f>
        <v>1963150</v>
      </c>
      <c r="R72" s="76">
        <f t="shared" si="56"/>
        <v>0</v>
      </c>
    </row>
    <row r="73" spans="1:18" ht="16">
      <c r="A73" s="33">
        <v>46179</v>
      </c>
      <c r="B73" s="44" t="s">
        <v>20</v>
      </c>
      <c r="C73" s="35">
        <v>408149</v>
      </c>
      <c r="D73" s="35">
        <v>408669</v>
      </c>
      <c r="E73" s="11">
        <f t="shared" si="59"/>
        <v>520</v>
      </c>
      <c r="F73" s="45">
        <v>61</v>
      </c>
      <c r="G73" s="13">
        <f t="shared" si="60"/>
        <v>11.73076923076923</v>
      </c>
      <c r="H73" s="38">
        <v>40051</v>
      </c>
      <c r="I73" s="83">
        <v>40566</v>
      </c>
      <c r="J73" s="35">
        <f t="shared" si="61"/>
        <v>515</v>
      </c>
      <c r="K73" s="50">
        <f t="shared" si="62"/>
        <v>61</v>
      </c>
      <c r="L73" s="46">
        <f t="shared" si="63"/>
        <v>11.844660194174757</v>
      </c>
      <c r="M73" s="48">
        <v>26860</v>
      </c>
      <c r="N73" s="47">
        <f t="shared" si="64"/>
        <v>1638460</v>
      </c>
      <c r="R73" s="76">
        <f t="shared" si="56"/>
        <v>0</v>
      </c>
    </row>
    <row r="74" spans="1:18" ht="16">
      <c r="A74" s="33">
        <v>46186</v>
      </c>
      <c r="B74" s="44" t="s">
        <v>20</v>
      </c>
      <c r="C74" s="35">
        <v>408669</v>
      </c>
      <c r="D74" s="35">
        <v>409170</v>
      </c>
      <c r="E74" s="11">
        <f t="shared" si="59"/>
        <v>501</v>
      </c>
      <c r="F74" s="45">
        <v>64</v>
      </c>
      <c r="G74" s="13">
        <f t="shared" si="60"/>
        <v>12.774451097804389</v>
      </c>
      <c r="H74" s="83">
        <v>40566</v>
      </c>
      <c r="I74" s="38">
        <v>41058</v>
      </c>
      <c r="J74" s="35">
        <f t="shared" si="61"/>
        <v>492</v>
      </c>
      <c r="K74" s="50">
        <f t="shared" si="62"/>
        <v>64</v>
      </c>
      <c r="L74" s="46">
        <f t="shared" si="63"/>
        <v>13.008130081300814</v>
      </c>
      <c r="M74" s="48">
        <v>25870</v>
      </c>
      <c r="N74" s="47">
        <f t="shared" si="64"/>
        <v>1655680</v>
      </c>
      <c r="R74" s="76">
        <f t="shared" si="56"/>
        <v>0</v>
      </c>
    </row>
    <row r="75" spans="1:18" ht="16">
      <c r="A75" s="33">
        <v>46193</v>
      </c>
      <c r="B75" s="44" t="s">
        <v>20</v>
      </c>
      <c r="C75" s="35">
        <v>409170</v>
      </c>
      <c r="D75" s="35">
        <v>409777</v>
      </c>
      <c r="E75" s="11">
        <f t="shared" si="59"/>
        <v>607</v>
      </c>
      <c r="F75" s="45">
        <v>74</v>
      </c>
      <c r="G75" s="13">
        <f t="shared" si="60"/>
        <v>12.191103789126853</v>
      </c>
      <c r="H75" s="38">
        <v>41058</v>
      </c>
      <c r="I75" s="38">
        <v>41648</v>
      </c>
      <c r="J75" s="35">
        <f t="shared" si="61"/>
        <v>590</v>
      </c>
      <c r="K75" s="50">
        <f t="shared" si="62"/>
        <v>74</v>
      </c>
      <c r="L75" s="46">
        <f t="shared" si="63"/>
        <v>12.542372881355931</v>
      </c>
      <c r="M75" s="48">
        <v>23530</v>
      </c>
      <c r="N75" s="47">
        <f t="shared" si="64"/>
        <v>1741220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45"/>
      <c r="G76" s="13" t="e">
        <f t="shared" si="60"/>
        <v>#DIV/0!</v>
      </c>
      <c r="H76" s="38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33"/>
      <c r="B77" s="44" t="s">
        <v>20</v>
      </c>
      <c r="C77" s="35"/>
      <c r="D77" s="35"/>
      <c r="E77" s="11">
        <f t="shared" si="59"/>
        <v>0</v>
      </c>
      <c r="F77" s="84"/>
      <c r="G77" s="13" t="e">
        <f t="shared" si="60"/>
        <v>#DIV/0!</v>
      </c>
      <c r="H77" s="38"/>
      <c r="I77" s="38"/>
      <c r="J77" s="35">
        <f t="shared" si="61"/>
        <v>0</v>
      </c>
      <c r="K77" s="50">
        <f t="shared" si="62"/>
        <v>0</v>
      </c>
      <c r="L77" s="46" t="e">
        <f t="shared" si="63"/>
        <v>#DIV/0!</v>
      </c>
      <c r="M77" s="48"/>
      <c r="N77" s="47">
        <f t="shared" si="64"/>
        <v>0</v>
      </c>
      <c r="R77" s="76">
        <f t="shared" si="56"/>
        <v>0</v>
      </c>
    </row>
    <row r="78" spans="1:18" ht="16">
      <c r="A78" s="33"/>
      <c r="B78" s="44" t="s">
        <v>20</v>
      </c>
      <c r="C78" s="35"/>
      <c r="D78" s="53"/>
      <c r="E78" s="24">
        <f t="shared" si="59"/>
        <v>0</v>
      </c>
      <c r="F78" s="45"/>
      <c r="G78" s="54" t="e">
        <f t="shared" si="60"/>
        <v>#DIV/0!</v>
      </c>
      <c r="H78" s="38"/>
      <c r="I78" s="55"/>
      <c r="J78" s="53">
        <f t="shared" si="61"/>
        <v>0</v>
      </c>
      <c r="K78" s="50">
        <f t="shared" si="62"/>
        <v>0</v>
      </c>
      <c r="L78" s="73" t="e">
        <f t="shared" si="63"/>
        <v>#DIV/0!</v>
      </c>
      <c r="M78" s="56"/>
      <c r="N78" s="57">
        <f t="shared" si="64"/>
        <v>0</v>
      </c>
      <c r="R78" s="76">
        <f t="shared" si="56"/>
        <v>0</v>
      </c>
    </row>
    <row r="79" spans="1:18" ht="16">
      <c r="A79" s="33"/>
      <c r="B79" s="44" t="s">
        <v>20</v>
      </c>
      <c r="C79" s="53"/>
      <c r="D79" s="53"/>
      <c r="E79" s="24">
        <f t="shared" si="59"/>
        <v>0</v>
      </c>
      <c r="F79" s="45"/>
      <c r="G79" s="54" t="e">
        <f t="shared" si="60"/>
        <v>#DIV/0!</v>
      </c>
      <c r="H79" s="55"/>
      <c r="I79" s="55"/>
      <c r="J79" s="53">
        <f t="shared" si="61"/>
        <v>0</v>
      </c>
      <c r="K79" s="50">
        <f t="shared" si="62"/>
        <v>0</v>
      </c>
      <c r="L79" s="73" t="e">
        <f t="shared" si="63"/>
        <v>#DIV/0!</v>
      </c>
      <c r="M79" s="56"/>
      <c r="N79" s="57">
        <f t="shared" si="64"/>
        <v>0</v>
      </c>
      <c r="R79" s="76">
        <f t="shared" si="56"/>
        <v>0</v>
      </c>
    </row>
    <row r="80" spans="1:18" ht="16">
      <c r="A80" s="59"/>
      <c r="B80" s="60"/>
      <c r="C80" s="59"/>
      <c r="D80" s="59" t="s">
        <v>19</v>
      </c>
      <c r="E80" s="59">
        <f>SUM(E72:E78)</f>
        <v>2239</v>
      </c>
      <c r="F80" s="37"/>
      <c r="G80" s="61" t="e">
        <f>AVERAGE(G72:G78)</f>
        <v>#DIV/0!</v>
      </c>
      <c r="H80" s="59"/>
      <c r="I80" s="62"/>
      <c r="J80" s="59">
        <f>SUM(J72:J78)</f>
        <v>2198</v>
      </c>
      <c r="K80" s="59">
        <f>SUM(K73:K78)</f>
        <v>199</v>
      </c>
      <c r="L80" s="61" t="e">
        <f>AVERAGE(L72:L78)</f>
        <v>#DIV/0!</v>
      </c>
      <c r="M80" s="64"/>
      <c r="N80" s="65">
        <f>SUM(N72:N79)</f>
        <v>6998510</v>
      </c>
      <c r="R80" s="76">
        <f t="shared" si="56"/>
        <v>0</v>
      </c>
    </row>
    <row r="81" spans="1:18" ht="16">
      <c r="A81" s="85">
        <v>46174</v>
      </c>
      <c r="B81" s="34" t="s">
        <v>21</v>
      </c>
      <c r="C81" s="35">
        <v>389494</v>
      </c>
      <c r="D81" s="35">
        <v>389926</v>
      </c>
      <c r="E81" s="36">
        <f t="shared" ref="E81:E87" si="65">D81-C81</f>
        <v>432</v>
      </c>
      <c r="F81" s="37">
        <v>65</v>
      </c>
      <c r="G81" s="13">
        <f t="shared" ref="G81:G87" si="66">(F81/E81)*100</f>
        <v>15.046296296296296</v>
      </c>
      <c r="H81" s="38">
        <v>32800</v>
      </c>
      <c r="I81" s="38">
        <v>33007</v>
      </c>
      <c r="J81" s="39">
        <f t="shared" ref="J81:J87" si="67">I81-H81</f>
        <v>207</v>
      </c>
      <c r="K81" s="77">
        <f t="shared" ref="K81:K87" si="68">F81</f>
        <v>65</v>
      </c>
      <c r="L81" s="67">
        <f t="shared" ref="L81:L87" si="69">(K81/J81)*100</f>
        <v>31.40096618357488</v>
      </c>
      <c r="M81" s="68">
        <v>27650</v>
      </c>
      <c r="N81" s="42">
        <f t="shared" ref="N81:N87" si="70">F81*M81</f>
        <v>1797250</v>
      </c>
      <c r="R81" s="76">
        <f t="shared" si="56"/>
        <v>0</v>
      </c>
    </row>
    <row r="82" spans="1:18" ht="16">
      <c r="A82" s="85">
        <v>46182</v>
      </c>
      <c r="B82" s="44" t="s">
        <v>21</v>
      </c>
      <c r="C82" s="35">
        <v>389926</v>
      </c>
      <c r="D82" s="35">
        <v>390346</v>
      </c>
      <c r="E82" s="11">
        <f t="shared" si="65"/>
        <v>420</v>
      </c>
      <c r="F82" s="45">
        <v>67</v>
      </c>
      <c r="G82" s="13">
        <f t="shared" si="66"/>
        <v>15.952380952380951</v>
      </c>
      <c r="H82" s="38">
        <v>33007</v>
      </c>
      <c r="I82" s="38">
        <v>33400</v>
      </c>
      <c r="J82" s="35">
        <f t="shared" si="67"/>
        <v>393</v>
      </c>
      <c r="K82" s="50">
        <f t="shared" si="68"/>
        <v>67</v>
      </c>
      <c r="L82" s="46">
        <f t="shared" si="69"/>
        <v>17.048346055979643</v>
      </c>
      <c r="M82" s="68">
        <v>26860</v>
      </c>
      <c r="N82" s="47">
        <f t="shared" si="70"/>
        <v>1799620</v>
      </c>
      <c r="R82" s="76">
        <f t="shared" si="56"/>
        <v>0</v>
      </c>
    </row>
    <row r="83" spans="1:18" ht="16">
      <c r="A83" s="86">
        <v>46186</v>
      </c>
      <c r="B83" s="44" t="s">
        <v>21</v>
      </c>
      <c r="C83" s="35">
        <v>390346</v>
      </c>
      <c r="D83" s="35">
        <v>390706</v>
      </c>
      <c r="E83" s="11">
        <f t="shared" si="65"/>
        <v>360</v>
      </c>
      <c r="F83" s="45">
        <v>55</v>
      </c>
      <c r="G83" s="13">
        <f t="shared" si="66"/>
        <v>15.277777777777779</v>
      </c>
      <c r="H83" s="38">
        <v>33400</v>
      </c>
      <c r="I83" s="38">
        <v>33791</v>
      </c>
      <c r="J83" s="35">
        <f t="shared" si="67"/>
        <v>391</v>
      </c>
      <c r="K83" s="50">
        <f t="shared" si="68"/>
        <v>55</v>
      </c>
      <c r="L83" s="46">
        <f t="shared" si="69"/>
        <v>14.066496163682865</v>
      </c>
      <c r="M83" s="68">
        <v>25870</v>
      </c>
      <c r="N83" s="47">
        <f t="shared" si="70"/>
        <v>1422850</v>
      </c>
      <c r="R83" s="76">
        <f t="shared" si="56"/>
        <v>0</v>
      </c>
    </row>
    <row r="84" spans="1:18" ht="16">
      <c r="A84" s="86">
        <v>46192</v>
      </c>
      <c r="B84" s="44" t="s">
        <v>21</v>
      </c>
      <c r="C84" s="35">
        <v>390706</v>
      </c>
      <c r="D84" s="35">
        <v>391132</v>
      </c>
      <c r="E84" s="11">
        <f t="shared" si="65"/>
        <v>426</v>
      </c>
      <c r="F84" s="45">
        <v>60</v>
      </c>
      <c r="G84" s="13">
        <f t="shared" si="66"/>
        <v>14.084507042253522</v>
      </c>
      <c r="H84" s="38">
        <v>33791</v>
      </c>
      <c r="I84" s="38">
        <v>34183</v>
      </c>
      <c r="J84" s="35">
        <f t="shared" si="67"/>
        <v>392</v>
      </c>
      <c r="K84" s="50">
        <f t="shared" si="68"/>
        <v>60</v>
      </c>
      <c r="L84" s="46">
        <f t="shared" si="69"/>
        <v>15.306122448979592</v>
      </c>
      <c r="M84" s="48">
        <v>23530</v>
      </c>
      <c r="N84" s="47">
        <f t="shared" si="70"/>
        <v>1411800</v>
      </c>
      <c r="R84" s="76">
        <f t="shared" si="56"/>
        <v>0</v>
      </c>
    </row>
    <row r="85" spans="1:18" ht="16">
      <c r="A85" s="33"/>
      <c r="B85" s="44" t="s">
        <v>21</v>
      </c>
      <c r="C85" s="35"/>
      <c r="D85" s="35"/>
      <c r="E85" s="11">
        <f t="shared" si="65"/>
        <v>0</v>
      </c>
      <c r="F85" s="45"/>
      <c r="G85" s="13" t="e">
        <f t="shared" si="66"/>
        <v>#DIV/0!</v>
      </c>
      <c r="H85" s="38"/>
      <c r="I85" s="38"/>
      <c r="J85" s="35">
        <f t="shared" si="67"/>
        <v>0</v>
      </c>
      <c r="K85" s="50">
        <f t="shared" si="68"/>
        <v>0</v>
      </c>
      <c r="L85" s="46" t="e">
        <f t="shared" si="69"/>
        <v>#DIV/0!</v>
      </c>
      <c r="M85" s="48"/>
      <c r="N85" s="47">
        <f t="shared" si="70"/>
        <v>0</v>
      </c>
      <c r="R85" s="76">
        <f t="shared" si="56"/>
        <v>0</v>
      </c>
    </row>
    <row r="86" spans="1:18" ht="16">
      <c r="A86" s="86"/>
      <c r="B86" s="44" t="s">
        <v>37</v>
      </c>
      <c r="C86" s="35"/>
      <c r="D86" s="35"/>
      <c r="E86" s="11">
        <f t="shared" si="65"/>
        <v>0</v>
      </c>
      <c r="F86" s="45"/>
      <c r="G86" s="13" t="e">
        <f t="shared" si="66"/>
        <v>#DIV/0!</v>
      </c>
      <c r="H86" s="35"/>
      <c r="I86" s="38"/>
      <c r="J86" s="35">
        <f t="shared" si="67"/>
        <v>0</v>
      </c>
      <c r="K86" s="50">
        <f t="shared" si="68"/>
        <v>0</v>
      </c>
      <c r="L86" s="46" t="e">
        <f t="shared" si="69"/>
        <v>#DIV/0!</v>
      </c>
      <c r="M86" s="48"/>
      <c r="N86" s="47">
        <f t="shared" si="70"/>
        <v>0</v>
      </c>
      <c r="R86" s="76">
        <f t="shared" si="56"/>
        <v>0</v>
      </c>
    </row>
    <row r="87" spans="1:18" ht="16">
      <c r="A87" s="87"/>
      <c r="B87" s="44" t="s">
        <v>37</v>
      </c>
      <c r="C87" s="53"/>
      <c r="D87" s="53"/>
      <c r="E87" s="24">
        <f t="shared" si="65"/>
        <v>0</v>
      </c>
      <c r="F87" s="45"/>
      <c r="G87" s="54" t="e">
        <f t="shared" si="66"/>
        <v>#DIV/0!</v>
      </c>
      <c r="H87" s="53"/>
      <c r="I87" s="55"/>
      <c r="J87" s="53">
        <f t="shared" si="67"/>
        <v>0</v>
      </c>
      <c r="K87" s="50">
        <f t="shared" si="68"/>
        <v>0</v>
      </c>
      <c r="L87" s="73" t="e">
        <f t="shared" si="69"/>
        <v>#DIV/0!</v>
      </c>
      <c r="M87" s="56"/>
      <c r="N87" s="57">
        <f t="shared" si="70"/>
        <v>0</v>
      </c>
      <c r="R87" s="76">
        <f t="shared" si="56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1638</v>
      </c>
      <c r="F88" s="37"/>
      <c r="G88" s="61" t="e">
        <f>AVERAGE(G81:G87)</f>
        <v>#DIV/0!</v>
      </c>
      <c r="H88" s="59"/>
      <c r="I88" s="62"/>
      <c r="J88" s="59">
        <f t="shared" ref="J88:K88" si="71">SUM(J81:J87)</f>
        <v>1383</v>
      </c>
      <c r="K88" s="59">
        <f t="shared" si="71"/>
        <v>247</v>
      </c>
      <c r="L88" s="61" t="e">
        <f>AVERAGE(L81:L87)</f>
        <v>#DIV/0!</v>
      </c>
      <c r="M88" s="64"/>
      <c r="N88" s="65">
        <f>SUM(N81:N87)</f>
        <v>6431520</v>
      </c>
      <c r="R88" s="76">
        <f t="shared" si="56"/>
        <v>0</v>
      </c>
    </row>
    <row r="89" spans="1:18" ht="16">
      <c r="A89" s="33">
        <v>46178</v>
      </c>
      <c r="B89" s="82" t="s">
        <v>22</v>
      </c>
      <c r="C89" s="35">
        <v>223828</v>
      </c>
      <c r="D89" s="35">
        <v>224178</v>
      </c>
      <c r="E89" s="36">
        <f t="shared" ref="E89:E96" si="72">D89-C89</f>
        <v>350</v>
      </c>
      <c r="F89" s="37">
        <v>48</v>
      </c>
      <c r="G89" s="13">
        <f t="shared" ref="G89:G96" si="73">(F89/E89)*100</f>
        <v>13.714285714285715</v>
      </c>
      <c r="H89" s="38">
        <v>32775</v>
      </c>
      <c r="I89" s="38">
        <v>33112</v>
      </c>
      <c r="J89" s="39">
        <f t="shared" ref="J89:J96" si="74">I89-H89</f>
        <v>337</v>
      </c>
      <c r="K89" s="77">
        <f t="shared" ref="K89:K96" si="75">F89</f>
        <v>48</v>
      </c>
      <c r="L89" s="67">
        <f t="shared" ref="L89:L96" si="76">(K89/J89)*100</f>
        <v>14.243323442136498</v>
      </c>
      <c r="M89" s="68">
        <v>26860</v>
      </c>
      <c r="N89" s="42">
        <f t="shared" ref="N89:N96" si="77">F89*M89</f>
        <v>1289280</v>
      </c>
      <c r="R89" s="76">
        <f t="shared" si="56"/>
        <v>0</v>
      </c>
    </row>
    <row r="90" spans="1:18" ht="16">
      <c r="A90" s="33">
        <v>46182</v>
      </c>
      <c r="B90" s="44" t="s">
        <v>22</v>
      </c>
      <c r="C90" s="35">
        <v>224178</v>
      </c>
      <c r="D90" s="35">
        <v>224511</v>
      </c>
      <c r="E90" s="11">
        <f t="shared" si="72"/>
        <v>333</v>
      </c>
      <c r="F90" s="45">
        <v>46</v>
      </c>
      <c r="G90" s="13">
        <f t="shared" si="73"/>
        <v>13.813813813813812</v>
      </c>
      <c r="H90" s="38">
        <v>33112</v>
      </c>
      <c r="I90" s="38">
        <v>33439</v>
      </c>
      <c r="J90" s="35">
        <f t="shared" si="74"/>
        <v>327</v>
      </c>
      <c r="K90" s="50">
        <f t="shared" si="75"/>
        <v>46</v>
      </c>
      <c r="L90" s="46">
        <f t="shared" si="76"/>
        <v>14.067278287461773</v>
      </c>
      <c r="M90" s="68">
        <v>26860</v>
      </c>
      <c r="N90" s="47">
        <f t="shared" si="77"/>
        <v>1235560</v>
      </c>
      <c r="R90" s="76">
        <f t="shared" si="56"/>
        <v>0</v>
      </c>
    </row>
    <row r="91" spans="1:18" ht="16">
      <c r="A91" s="33">
        <v>46188</v>
      </c>
      <c r="B91" s="44" t="s">
        <v>22</v>
      </c>
      <c r="C91" s="35">
        <v>224511</v>
      </c>
      <c r="D91" s="35">
        <v>224912</v>
      </c>
      <c r="E91" s="11">
        <f t="shared" si="72"/>
        <v>401</v>
      </c>
      <c r="F91" s="45">
        <v>58</v>
      </c>
      <c r="G91" s="13">
        <f t="shared" si="73"/>
        <v>14.463840399002494</v>
      </c>
      <c r="H91" s="38">
        <v>33439</v>
      </c>
      <c r="I91" s="38">
        <v>33845</v>
      </c>
      <c r="J91" s="35">
        <f t="shared" si="74"/>
        <v>406</v>
      </c>
      <c r="K91" s="50">
        <f t="shared" si="75"/>
        <v>58</v>
      </c>
      <c r="L91" s="46">
        <f t="shared" si="76"/>
        <v>14.285714285714285</v>
      </c>
      <c r="M91" s="48">
        <v>25870</v>
      </c>
      <c r="N91" s="47">
        <f t="shared" si="77"/>
        <v>1500460</v>
      </c>
      <c r="R91" s="76">
        <f t="shared" si="56"/>
        <v>0</v>
      </c>
    </row>
    <row r="92" spans="1:18" ht="16">
      <c r="A92" s="33">
        <v>46191</v>
      </c>
      <c r="B92" s="44" t="s">
        <v>22</v>
      </c>
      <c r="C92" s="35">
        <v>224912</v>
      </c>
      <c r="D92" s="35">
        <v>225337</v>
      </c>
      <c r="E92" s="11">
        <f t="shared" si="72"/>
        <v>425</v>
      </c>
      <c r="F92" s="45">
        <v>66</v>
      </c>
      <c r="G92" s="13">
        <f t="shared" si="73"/>
        <v>15.529411764705884</v>
      </c>
      <c r="H92" s="38">
        <v>33845</v>
      </c>
      <c r="I92" s="38">
        <v>34240</v>
      </c>
      <c r="J92" s="35">
        <f t="shared" si="74"/>
        <v>395</v>
      </c>
      <c r="K92" s="50">
        <f t="shared" si="75"/>
        <v>66</v>
      </c>
      <c r="L92" s="46">
        <f t="shared" si="76"/>
        <v>16.708860759493671</v>
      </c>
      <c r="M92" s="48">
        <v>23530</v>
      </c>
      <c r="N92" s="47">
        <f t="shared" si="77"/>
        <v>1552980</v>
      </c>
      <c r="R92" s="76">
        <f t="shared" si="56"/>
        <v>0</v>
      </c>
    </row>
    <row r="93" spans="1:18" ht="16">
      <c r="A93" s="33"/>
      <c r="B93" s="44" t="s">
        <v>22</v>
      </c>
      <c r="C93" s="35"/>
      <c r="D93" s="35"/>
      <c r="E93" s="11">
        <f t="shared" si="72"/>
        <v>0</v>
      </c>
      <c r="F93" s="45"/>
      <c r="G93" s="13" t="e">
        <f t="shared" si="73"/>
        <v>#DIV/0!</v>
      </c>
      <c r="H93" s="38"/>
      <c r="I93" s="38"/>
      <c r="J93" s="35">
        <f t="shared" si="74"/>
        <v>0</v>
      </c>
      <c r="K93" s="50">
        <f t="shared" si="75"/>
        <v>0</v>
      </c>
      <c r="L93" s="46" t="e">
        <f t="shared" si="76"/>
        <v>#DIV/0!</v>
      </c>
      <c r="M93" s="48"/>
      <c r="N93" s="47">
        <f t="shared" si="77"/>
        <v>0</v>
      </c>
      <c r="R93" s="76">
        <f t="shared" si="56"/>
        <v>0</v>
      </c>
    </row>
    <row r="94" spans="1:18" ht="16">
      <c r="A94" s="86"/>
      <c r="B94" s="44" t="s">
        <v>22</v>
      </c>
      <c r="C94" s="35"/>
      <c r="D94" s="35"/>
      <c r="E94" s="11">
        <f t="shared" si="72"/>
        <v>0</v>
      </c>
      <c r="F94" s="45"/>
      <c r="G94" s="13" t="e">
        <f t="shared" si="73"/>
        <v>#DIV/0!</v>
      </c>
      <c r="H94" s="38"/>
      <c r="I94" s="38"/>
      <c r="J94" s="35">
        <f t="shared" si="74"/>
        <v>0</v>
      </c>
      <c r="K94" s="50">
        <f t="shared" si="75"/>
        <v>0</v>
      </c>
      <c r="L94" s="46" t="e">
        <f t="shared" si="76"/>
        <v>#DIV/0!</v>
      </c>
      <c r="M94" s="48"/>
      <c r="N94" s="47">
        <f t="shared" si="77"/>
        <v>0</v>
      </c>
      <c r="R94" s="76">
        <f t="shared" si="56"/>
        <v>0</v>
      </c>
    </row>
    <row r="95" spans="1:18" ht="16">
      <c r="A95" s="88"/>
      <c r="B95" s="44" t="s">
        <v>22</v>
      </c>
      <c r="C95" s="35"/>
      <c r="D95" s="53"/>
      <c r="E95" s="24">
        <f t="shared" si="72"/>
        <v>0</v>
      </c>
      <c r="F95" s="45"/>
      <c r="G95" s="54" t="e">
        <f t="shared" si="73"/>
        <v>#DIV/0!</v>
      </c>
      <c r="H95" s="38"/>
      <c r="I95" s="55"/>
      <c r="J95" s="53">
        <f t="shared" si="74"/>
        <v>0</v>
      </c>
      <c r="K95" s="50">
        <f t="shared" si="75"/>
        <v>0</v>
      </c>
      <c r="L95" s="73" t="e">
        <f t="shared" si="76"/>
        <v>#DIV/0!</v>
      </c>
      <c r="M95" s="56"/>
      <c r="N95" s="57">
        <f t="shared" si="77"/>
        <v>0</v>
      </c>
      <c r="R95" s="76">
        <f t="shared" si="56"/>
        <v>0</v>
      </c>
    </row>
    <row r="96" spans="1:18" ht="16">
      <c r="A96" s="88"/>
      <c r="B96" s="44" t="s">
        <v>22</v>
      </c>
      <c r="C96" s="53"/>
      <c r="D96" s="53"/>
      <c r="E96" s="24">
        <f t="shared" si="72"/>
        <v>0</v>
      </c>
      <c r="F96" s="45"/>
      <c r="G96" s="54" t="e">
        <f t="shared" si="73"/>
        <v>#DIV/0!</v>
      </c>
      <c r="H96" s="55"/>
      <c r="I96" s="55"/>
      <c r="J96" s="53">
        <f t="shared" si="74"/>
        <v>0</v>
      </c>
      <c r="K96" s="50">
        <f t="shared" si="75"/>
        <v>0</v>
      </c>
      <c r="L96" s="73" t="e">
        <f t="shared" si="76"/>
        <v>#DIV/0!</v>
      </c>
      <c r="M96" s="56"/>
      <c r="N96" s="57">
        <f t="shared" si="77"/>
        <v>0</v>
      </c>
      <c r="R96" s="76">
        <f t="shared" si="56"/>
        <v>0</v>
      </c>
    </row>
    <row r="97" spans="1:18" ht="16">
      <c r="A97" s="59"/>
      <c r="B97" s="60"/>
      <c r="C97" s="59"/>
      <c r="D97" s="59" t="s">
        <v>19</v>
      </c>
      <c r="E97" s="59">
        <f>SUM(E89:E95)</f>
        <v>1509</v>
      </c>
      <c r="F97" s="59">
        <f>SUM(F88:F95)</f>
        <v>218</v>
      </c>
      <c r="G97" s="61" t="e">
        <f>AVERAGE(G89:G95)</f>
        <v>#DIV/0!</v>
      </c>
      <c r="H97" s="59"/>
      <c r="I97" s="62"/>
      <c r="J97" s="59">
        <f t="shared" ref="J97:K97" si="78">SUM(J89:J95)</f>
        <v>1465</v>
      </c>
      <c r="K97" s="59">
        <f t="shared" si="78"/>
        <v>218</v>
      </c>
      <c r="L97" s="61" t="e">
        <f>AVERAGE(L89:L95)</f>
        <v>#DIV/0!</v>
      </c>
      <c r="M97" s="64"/>
      <c r="N97" s="65">
        <f>SUM(N89:N96)</f>
        <v>5578280</v>
      </c>
      <c r="R97" s="76">
        <f t="shared" si="56"/>
        <v>0</v>
      </c>
    </row>
    <row r="98" spans="1:18" ht="16">
      <c r="A98" s="89">
        <v>46176</v>
      </c>
      <c r="B98" s="90" t="s">
        <v>38</v>
      </c>
      <c r="C98" s="35">
        <v>179531</v>
      </c>
      <c r="D98" s="35">
        <v>180063</v>
      </c>
      <c r="E98" s="36">
        <f t="shared" ref="E98:E103" si="79">D98-C98</f>
        <v>532</v>
      </c>
      <c r="F98" s="37">
        <v>64</v>
      </c>
      <c r="G98" s="13">
        <f t="shared" ref="G98:G103" si="80">(F98/E98)*100</f>
        <v>12.030075187969924</v>
      </c>
      <c r="H98" s="38">
        <v>34892</v>
      </c>
      <c r="I98" s="38">
        <v>35416</v>
      </c>
      <c r="J98" s="39">
        <f t="shared" ref="J98:J103" si="81">I98-H98</f>
        <v>524</v>
      </c>
      <c r="K98" s="77">
        <f t="shared" ref="K98:K103" si="82">F98</f>
        <v>64</v>
      </c>
      <c r="L98" s="67">
        <f t="shared" ref="L98:L103" si="83">(K98/J98)*100</f>
        <v>12.213740458015266</v>
      </c>
      <c r="M98" s="68">
        <v>27650</v>
      </c>
      <c r="N98" s="42">
        <f t="shared" ref="N98:N103" si="84">F98*M98</f>
        <v>1769600</v>
      </c>
      <c r="R98" s="76">
        <f t="shared" si="56"/>
        <v>0</v>
      </c>
    </row>
    <row r="99" spans="1:18" ht="16">
      <c r="A99" s="80">
        <v>46182</v>
      </c>
      <c r="B99" s="44" t="s">
        <v>38</v>
      </c>
      <c r="C99" s="35">
        <v>180063</v>
      </c>
      <c r="D99" s="35">
        <v>180559</v>
      </c>
      <c r="E99" s="11">
        <f t="shared" si="79"/>
        <v>496</v>
      </c>
      <c r="F99" s="45">
        <v>63</v>
      </c>
      <c r="G99" s="13">
        <f t="shared" si="80"/>
        <v>12.701612903225806</v>
      </c>
      <c r="H99" s="38">
        <v>35416</v>
      </c>
      <c r="I99" s="38">
        <v>35874</v>
      </c>
      <c r="J99" s="35">
        <f t="shared" si="81"/>
        <v>458</v>
      </c>
      <c r="K99" s="50">
        <f t="shared" si="82"/>
        <v>63</v>
      </c>
      <c r="L99" s="46">
        <f t="shared" si="83"/>
        <v>13.755458515283841</v>
      </c>
      <c r="M99" s="68">
        <v>26860</v>
      </c>
      <c r="N99" s="47">
        <f t="shared" si="84"/>
        <v>1692180</v>
      </c>
      <c r="R99" s="76">
        <f t="shared" si="56"/>
        <v>0</v>
      </c>
    </row>
    <row r="100" spans="1:18" ht="16">
      <c r="A100" s="80">
        <v>46190</v>
      </c>
      <c r="B100" s="44" t="s">
        <v>38</v>
      </c>
      <c r="C100" s="35">
        <v>180559</v>
      </c>
      <c r="D100" s="35">
        <v>181090</v>
      </c>
      <c r="E100" s="11">
        <f t="shared" si="79"/>
        <v>531</v>
      </c>
      <c r="F100" s="45">
        <v>71</v>
      </c>
      <c r="G100" s="13">
        <f t="shared" si="80"/>
        <v>13.370998116760829</v>
      </c>
      <c r="H100" s="38">
        <v>35874</v>
      </c>
      <c r="I100" s="38">
        <v>36492</v>
      </c>
      <c r="J100" s="35">
        <f t="shared" si="81"/>
        <v>618</v>
      </c>
      <c r="K100" s="50">
        <f t="shared" si="82"/>
        <v>71</v>
      </c>
      <c r="L100" s="46">
        <f t="shared" si="83"/>
        <v>11.488673139158575</v>
      </c>
      <c r="M100" s="48">
        <v>25870</v>
      </c>
      <c r="N100" s="47">
        <f t="shared" si="84"/>
        <v>1836770</v>
      </c>
      <c r="R100" s="76">
        <f t="shared" si="56"/>
        <v>0</v>
      </c>
    </row>
    <row r="101" spans="1:18" ht="16">
      <c r="A101" s="80"/>
      <c r="B101" s="44" t="s">
        <v>38</v>
      </c>
      <c r="C101" s="35"/>
      <c r="D101" s="35"/>
      <c r="E101" s="11">
        <f t="shared" si="79"/>
        <v>0</v>
      </c>
      <c r="F101" s="45"/>
      <c r="G101" s="13" t="e">
        <f t="shared" si="80"/>
        <v>#DIV/0!</v>
      </c>
      <c r="H101" s="38"/>
      <c r="I101" s="38"/>
      <c r="J101" s="35">
        <f t="shared" si="81"/>
        <v>0</v>
      </c>
      <c r="K101" s="50">
        <f t="shared" si="82"/>
        <v>0</v>
      </c>
      <c r="L101" s="46" t="e">
        <f t="shared" si="83"/>
        <v>#DIV/0!</v>
      </c>
      <c r="M101" s="48"/>
      <c r="N101" s="47">
        <f t="shared" si="84"/>
        <v>0</v>
      </c>
      <c r="R101" s="76">
        <f t="shared" si="56"/>
        <v>0</v>
      </c>
    </row>
    <row r="102" spans="1:18" ht="16">
      <c r="A102" s="80"/>
      <c r="B102" s="44" t="s">
        <v>38</v>
      </c>
      <c r="C102" s="35"/>
      <c r="D102" s="91"/>
      <c r="E102" s="11">
        <f t="shared" si="79"/>
        <v>0</v>
      </c>
      <c r="F102" s="45"/>
      <c r="G102" s="13" t="e">
        <f t="shared" si="80"/>
        <v>#DIV/0!</v>
      </c>
      <c r="H102" s="38"/>
      <c r="I102" s="38"/>
      <c r="J102" s="35">
        <f t="shared" si="81"/>
        <v>0</v>
      </c>
      <c r="K102" s="50">
        <f t="shared" si="82"/>
        <v>0</v>
      </c>
      <c r="L102" s="46" t="e">
        <f t="shared" si="83"/>
        <v>#DIV/0!</v>
      </c>
      <c r="M102" s="48"/>
      <c r="N102" s="47">
        <f t="shared" si="84"/>
        <v>0</v>
      </c>
      <c r="R102" s="76">
        <f t="shared" si="56"/>
        <v>0</v>
      </c>
    </row>
    <row r="103" spans="1:18" ht="16">
      <c r="A103" s="92"/>
      <c r="B103" s="93" t="s">
        <v>38</v>
      </c>
      <c r="C103" s="94"/>
      <c r="D103" s="95"/>
      <c r="E103" s="11">
        <f t="shared" si="79"/>
        <v>0</v>
      </c>
      <c r="F103" s="45"/>
      <c r="G103" s="96" t="e">
        <f t="shared" si="80"/>
        <v>#DIV/0!</v>
      </c>
      <c r="H103" s="97"/>
      <c r="I103" s="98"/>
      <c r="J103" s="97">
        <f t="shared" si="81"/>
        <v>0</v>
      </c>
      <c r="K103" s="50">
        <f t="shared" si="82"/>
        <v>0</v>
      </c>
      <c r="L103" s="99" t="e">
        <f t="shared" si="83"/>
        <v>#DIV/0!</v>
      </c>
      <c r="M103" s="100"/>
      <c r="N103" s="101">
        <f t="shared" si="84"/>
        <v>0</v>
      </c>
      <c r="R103" s="76">
        <f t="shared" si="56"/>
        <v>0</v>
      </c>
    </row>
    <row r="104" spans="1:18" ht="16">
      <c r="A104" s="102"/>
      <c r="B104" s="103"/>
      <c r="C104" s="104"/>
      <c r="D104" s="105" t="s">
        <v>19</v>
      </c>
      <c r="E104" s="106">
        <f>SUM(E98:E103)</f>
        <v>1559</v>
      </c>
      <c r="F104" s="59">
        <f>SUM(F95:F103)</f>
        <v>416</v>
      </c>
      <c r="G104" s="107" t="e">
        <f>AVERAGE(G98:G103)</f>
        <v>#DIV/0!</v>
      </c>
      <c r="H104" s="104"/>
      <c r="I104" s="108"/>
      <c r="J104" s="105">
        <f t="shared" ref="J104:K104" si="85">SUM(J98:J103)</f>
        <v>1600</v>
      </c>
      <c r="K104" s="105">
        <f t="shared" si="85"/>
        <v>198</v>
      </c>
      <c r="L104" s="109" t="e">
        <f>AVERAGE(L98:L103)</f>
        <v>#DIV/0!</v>
      </c>
      <c r="M104" s="110"/>
      <c r="N104" s="111">
        <f>SUM(N98:N103)</f>
        <v>5298550</v>
      </c>
      <c r="R104" s="76">
        <f t="shared" si="56"/>
        <v>0</v>
      </c>
    </row>
    <row r="105" spans="1:18" ht="16">
      <c r="A105" s="112">
        <v>46179</v>
      </c>
      <c r="B105" s="113" t="s">
        <v>39</v>
      </c>
      <c r="C105" s="35">
        <v>133547</v>
      </c>
      <c r="D105" s="35">
        <v>134049</v>
      </c>
      <c r="E105" s="36">
        <f t="shared" ref="E105:E111" si="86">D105-C105</f>
        <v>502</v>
      </c>
      <c r="F105" s="37">
        <v>57</v>
      </c>
      <c r="G105" s="114">
        <f t="shared" ref="G105:G111" si="87">(F105/E105)*100</f>
        <v>11.354581673306772</v>
      </c>
      <c r="H105" s="38">
        <v>37622</v>
      </c>
      <c r="I105" s="35">
        <v>38125</v>
      </c>
      <c r="J105" s="83">
        <f t="shared" ref="J105:J111" si="88">I105-H105</f>
        <v>503</v>
      </c>
      <c r="K105" s="77">
        <f t="shared" ref="K105:K111" si="89">F105</f>
        <v>57</v>
      </c>
      <c r="L105" s="115">
        <f t="shared" ref="L105:L111" si="90">(K105/J105)*100</f>
        <v>11.332007952286283</v>
      </c>
      <c r="M105" s="116">
        <v>26860</v>
      </c>
      <c r="N105" s="47">
        <f t="shared" ref="N105:N111" si="91">F105*M105</f>
        <v>1531020</v>
      </c>
      <c r="R105" s="76">
        <f t="shared" si="56"/>
        <v>0</v>
      </c>
    </row>
    <row r="106" spans="1:18" ht="16">
      <c r="A106" s="117">
        <v>46188</v>
      </c>
      <c r="B106" s="44" t="s">
        <v>39</v>
      </c>
      <c r="C106" s="35">
        <v>134049</v>
      </c>
      <c r="D106" s="35">
        <v>134540</v>
      </c>
      <c r="E106" s="11">
        <f t="shared" si="86"/>
        <v>491</v>
      </c>
      <c r="F106" s="45">
        <v>57</v>
      </c>
      <c r="G106" s="13">
        <f t="shared" si="87"/>
        <v>11.608961303462321</v>
      </c>
      <c r="H106" s="35">
        <v>38125</v>
      </c>
      <c r="I106" s="12">
        <v>38635</v>
      </c>
      <c r="J106" s="35">
        <f t="shared" si="88"/>
        <v>510</v>
      </c>
      <c r="K106" s="77">
        <f t="shared" si="89"/>
        <v>57</v>
      </c>
      <c r="L106" s="46">
        <f t="shared" si="90"/>
        <v>11.176470588235295</v>
      </c>
      <c r="M106" s="48">
        <v>25870</v>
      </c>
      <c r="N106" s="47">
        <f t="shared" si="91"/>
        <v>1474590</v>
      </c>
      <c r="R106" s="76">
        <f t="shared" si="56"/>
        <v>0</v>
      </c>
    </row>
    <row r="107" spans="1:18" ht="16">
      <c r="A107" s="117">
        <v>46192</v>
      </c>
      <c r="B107" s="44" t="s">
        <v>39</v>
      </c>
      <c r="C107" s="35">
        <v>134540</v>
      </c>
      <c r="D107" s="35">
        <v>135026</v>
      </c>
      <c r="E107" s="11">
        <f t="shared" si="86"/>
        <v>486</v>
      </c>
      <c r="F107" s="45">
        <v>55</v>
      </c>
      <c r="G107" s="13">
        <f t="shared" si="87"/>
        <v>11.316872427983538</v>
      </c>
      <c r="H107" s="12">
        <v>38635</v>
      </c>
      <c r="I107" s="35">
        <v>39161</v>
      </c>
      <c r="J107" s="35">
        <f t="shared" si="88"/>
        <v>526</v>
      </c>
      <c r="K107" s="77">
        <f t="shared" si="89"/>
        <v>55</v>
      </c>
      <c r="L107" s="46">
        <f t="shared" si="90"/>
        <v>10.456273764258556</v>
      </c>
      <c r="M107" s="48">
        <v>23530</v>
      </c>
      <c r="N107" s="47">
        <f t="shared" si="91"/>
        <v>1294150</v>
      </c>
      <c r="P107" s="78"/>
      <c r="R107" s="76">
        <f t="shared" si="56"/>
        <v>0</v>
      </c>
    </row>
    <row r="108" spans="1:18" ht="16">
      <c r="A108" s="117"/>
      <c r="B108" s="44" t="s">
        <v>39</v>
      </c>
      <c r="C108" s="35"/>
      <c r="D108" s="35"/>
      <c r="E108" s="11">
        <f t="shared" si="86"/>
        <v>0</v>
      </c>
      <c r="F108" s="45"/>
      <c r="G108" s="13" t="e">
        <f t="shared" si="87"/>
        <v>#DIV/0!</v>
      </c>
      <c r="H108" s="35"/>
      <c r="I108" s="35"/>
      <c r="J108" s="35">
        <f t="shared" si="88"/>
        <v>0</v>
      </c>
      <c r="K108" s="50">
        <f t="shared" si="89"/>
        <v>0</v>
      </c>
      <c r="L108" s="46" t="e">
        <f t="shared" si="90"/>
        <v>#DIV/0!</v>
      </c>
      <c r="M108" s="48"/>
      <c r="N108" s="47">
        <f t="shared" si="91"/>
        <v>0</v>
      </c>
      <c r="R108" s="76">
        <f t="shared" si="56"/>
        <v>0</v>
      </c>
    </row>
    <row r="109" spans="1:18" ht="16">
      <c r="A109" s="33"/>
      <c r="B109" s="44" t="s">
        <v>39</v>
      </c>
      <c r="C109" s="35"/>
      <c r="D109" s="35"/>
      <c r="E109" s="11">
        <f t="shared" si="86"/>
        <v>0</v>
      </c>
      <c r="F109" s="45"/>
      <c r="G109" s="13" t="e">
        <f t="shared" si="87"/>
        <v>#DIV/0!</v>
      </c>
      <c r="H109" s="35"/>
      <c r="I109" s="38"/>
      <c r="J109" s="35">
        <f t="shared" si="88"/>
        <v>0</v>
      </c>
      <c r="K109" s="50">
        <f t="shared" si="89"/>
        <v>0</v>
      </c>
      <c r="L109" s="46" t="e">
        <f t="shared" si="90"/>
        <v>#DIV/0!</v>
      </c>
      <c r="M109" s="48"/>
      <c r="N109" s="47">
        <f t="shared" si="91"/>
        <v>0</v>
      </c>
      <c r="R109" s="76">
        <f t="shared" si="56"/>
        <v>0</v>
      </c>
    </row>
    <row r="110" spans="1:18" ht="16">
      <c r="A110" s="33"/>
      <c r="B110" s="44" t="s">
        <v>39</v>
      </c>
      <c r="C110" s="35"/>
      <c r="D110" s="35"/>
      <c r="E110" s="11">
        <f t="shared" si="86"/>
        <v>0</v>
      </c>
      <c r="F110" s="45"/>
      <c r="G110" s="13" t="e">
        <f t="shared" si="87"/>
        <v>#DIV/0!</v>
      </c>
      <c r="H110" s="38"/>
      <c r="I110" s="38"/>
      <c r="J110" s="35">
        <f t="shared" si="88"/>
        <v>0</v>
      </c>
      <c r="K110" s="50">
        <f t="shared" si="89"/>
        <v>0</v>
      </c>
      <c r="L110" s="46" t="e">
        <f t="shared" si="90"/>
        <v>#DIV/0!</v>
      </c>
      <c r="M110" s="48"/>
      <c r="N110" s="47">
        <f t="shared" si="91"/>
        <v>0</v>
      </c>
      <c r="R110" s="76">
        <f t="shared" si="56"/>
        <v>0</v>
      </c>
    </row>
    <row r="111" spans="1:18" ht="16">
      <c r="A111" s="33"/>
      <c r="B111" s="44" t="s">
        <v>39</v>
      </c>
      <c r="C111" s="35"/>
      <c r="D111" s="53"/>
      <c r="E111" s="24">
        <f t="shared" si="86"/>
        <v>0</v>
      </c>
      <c r="F111" s="45"/>
      <c r="G111" s="54" t="e">
        <f t="shared" si="87"/>
        <v>#DIV/0!</v>
      </c>
      <c r="H111" s="38"/>
      <c r="I111" s="55"/>
      <c r="J111" s="53">
        <f t="shared" si="88"/>
        <v>0</v>
      </c>
      <c r="K111" s="50">
        <f t="shared" si="89"/>
        <v>0</v>
      </c>
      <c r="L111" s="73" t="e">
        <f t="shared" si="90"/>
        <v>#DIV/0!</v>
      </c>
      <c r="M111" s="56"/>
      <c r="N111" s="47">
        <f t="shared" si="91"/>
        <v>0</v>
      </c>
      <c r="R111" s="76">
        <f t="shared" si="56"/>
        <v>0</v>
      </c>
    </row>
    <row r="112" spans="1:18" ht="16">
      <c r="A112" s="59"/>
      <c r="B112" s="60"/>
      <c r="C112" s="59"/>
      <c r="D112" s="59" t="s">
        <v>19</v>
      </c>
      <c r="E112" s="59">
        <f>SUM(E98:E111)</f>
        <v>4597</v>
      </c>
      <c r="F112" s="59">
        <f>SUM(F104:F111)</f>
        <v>585</v>
      </c>
      <c r="G112" s="61" t="e">
        <f>AVERAGE(G98:G111)</f>
        <v>#DIV/0!</v>
      </c>
      <c r="H112" s="59"/>
      <c r="I112" s="62"/>
      <c r="J112" s="59">
        <f t="shared" ref="J112:K112" si="92">SUM(J98:J111)</f>
        <v>4739</v>
      </c>
      <c r="K112" s="59">
        <f t="shared" si="92"/>
        <v>565</v>
      </c>
      <c r="L112" s="61" t="e">
        <f>AVERAGE(L98:L111)</f>
        <v>#DIV/0!</v>
      </c>
      <c r="M112" s="64"/>
      <c r="N112" s="65">
        <f>SUM(N105:N111)</f>
        <v>4299760</v>
      </c>
      <c r="R112" s="76">
        <f t="shared" si="56"/>
        <v>0</v>
      </c>
    </row>
    <row r="113" spans="1:18" ht="16">
      <c r="A113" s="66">
        <v>46175</v>
      </c>
      <c r="B113" s="90" t="s">
        <v>40</v>
      </c>
      <c r="C113" s="12">
        <v>129218</v>
      </c>
      <c r="D113" s="12">
        <v>129694</v>
      </c>
      <c r="E113" s="36">
        <f t="shared" ref="E113:E119" si="93">D113-C113</f>
        <v>476</v>
      </c>
      <c r="F113" s="37">
        <v>60</v>
      </c>
      <c r="G113" s="13">
        <f t="shared" ref="G113:G119" si="94">(F113/E113)*100</f>
        <v>12.605042016806722</v>
      </c>
      <c r="H113" s="38">
        <v>127096</v>
      </c>
      <c r="I113" s="38">
        <v>127598</v>
      </c>
      <c r="J113" s="39">
        <f t="shared" ref="J113:J119" si="95">I113-H113</f>
        <v>502</v>
      </c>
      <c r="K113" s="77"/>
      <c r="L113" s="67">
        <f t="shared" ref="L113:L119" si="96">(K113/J113)*100</f>
        <v>0</v>
      </c>
      <c r="M113" s="68">
        <v>27650</v>
      </c>
      <c r="N113" s="42">
        <f t="shared" ref="N113:N119" si="97">F113*M113</f>
        <v>1659000</v>
      </c>
      <c r="R113" s="76">
        <f t="shared" si="56"/>
        <v>0</v>
      </c>
    </row>
    <row r="114" spans="1:18" ht="16">
      <c r="A114" s="43">
        <v>46180</v>
      </c>
      <c r="B114" s="49" t="s">
        <v>40</v>
      </c>
      <c r="C114" s="12">
        <v>129694</v>
      </c>
      <c r="D114" s="10">
        <v>130201</v>
      </c>
      <c r="E114" s="51">
        <f t="shared" si="93"/>
        <v>507</v>
      </c>
      <c r="F114" s="52">
        <v>59</v>
      </c>
      <c r="G114" s="13">
        <f t="shared" si="94"/>
        <v>11.637080867850099</v>
      </c>
      <c r="H114" s="38">
        <v>127598</v>
      </c>
      <c r="I114" s="10">
        <v>128053</v>
      </c>
      <c r="J114" s="35">
        <f t="shared" si="95"/>
        <v>455</v>
      </c>
      <c r="K114" s="50"/>
      <c r="L114" s="46">
        <f t="shared" si="96"/>
        <v>0</v>
      </c>
      <c r="M114" s="68">
        <v>26860</v>
      </c>
      <c r="N114" s="47">
        <f t="shared" si="97"/>
        <v>1584740</v>
      </c>
      <c r="R114" s="76">
        <f t="shared" si="56"/>
        <v>0</v>
      </c>
    </row>
    <row r="115" spans="1:18" ht="16">
      <c r="A115" s="33">
        <v>46184</v>
      </c>
      <c r="B115" s="44" t="s">
        <v>40</v>
      </c>
      <c r="C115" s="10">
        <v>130201</v>
      </c>
      <c r="D115" s="12">
        <v>130781</v>
      </c>
      <c r="E115" s="11">
        <f t="shared" si="93"/>
        <v>580</v>
      </c>
      <c r="F115" s="45">
        <v>70</v>
      </c>
      <c r="G115" s="13">
        <f t="shared" si="94"/>
        <v>12.068965517241379</v>
      </c>
      <c r="H115" s="10">
        <v>128053</v>
      </c>
      <c r="I115" s="38">
        <v>128758</v>
      </c>
      <c r="J115" s="35">
        <f t="shared" si="95"/>
        <v>705</v>
      </c>
      <c r="K115" s="50"/>
      <c r="L115" s="46">
        <f t="shared" si="96"/>
        <v>0</v>
      </c>
      <c r="M115" s="48">
        <v>25870</v>
      </c>
      <c r="N115" s="47">
        <f t="shared" si="97"/>
        <v>1810900</v>
      </c>
      <c r="R115" s="76">
        <f t="shared" si="56"/>
        <v>0</v>
      </c>
    </row>
    <row r="116" spans="1:18" ht="16">
      <c r="A116" s="33">
        <v>46192</v>
      </c>
      <c r="B116" s="44" t="s">
        <v>40</v>
      </c>
      <c r="C116" s="12">
        <v>130781</v>
      </c>
      <c r="D116" s="12">
        <v>131460</v>
      </c>
      <c r="E116" s="11">
        <f t="shared" si="93"/>
        <v>679</v>
      </c>
      <c r="F116" s="45">
        <v>81</v>
      </c>
      <c r="G116" s="13">
        <f t="shared" si="94"/>
        <v>11.929307805596466</v>
      </c>
      <c r="H116" s="38">
        <v>128758</v>
      </c>
      <c r="I116" s="38">
        <v>129263</v>
      </c>
      <c r="J116" s="35">
        <f t="shared" si="95"/>
        <v>505</v>
      </c>
      <c r="K116" s="50"/>
      <c r="L116" s="46">
        <f t="shared" si="96"/>
        <v>0</v>
      </c>
      <c r="M116" s="48">
        <v>23530</v>
      </c>
      <c r="N116" s="47">
        <f t="shared" si="97"/>
        <v>1905930</v>
      </c>
      <c r="R116" s="76">
        <f t="shared" si="56"/>
        <v>0</v>
      </c>
    </row>
    <row r="117" spans="1:18" ht="16">
      <c r="A117" s="33"/>
      <c r="B117" s="44" t="s">
        <v>40</v>
      </c>
      <c r="C117" s="12"/>
      <c r="D117" s="35"/>
      <c r="E117" s="11">
        <f t="shared" si="93"/>
        <v>0</v>
      </c>
      <c r="F117" s="45"/>
      <c r="G117" s="13" t="e">
        <f t="shared" si="94"/>
        <v>#DIV/0!</v>
      </c>
      <c r="H117" s="38"/>
      <c r="I117" s="38"/>
      <c r="J117" s="35">
        <f t="shared" si="95"/>
        <v>0</v>
      </c>
      <c r="K117" s="50">
        <f t="shared" ref="K117:K119" si="98">F117</f>
        <v>0</v>
      </c>
      <c r="L117" s="46" t="e">
        <f t="shared" si="96"/>
        <v>#DIV/0!</v>
      </c>
      <c r="M117" s="48"/>
      <c r="N117" s="47">
        <f t="shared" si="97"/>
        <v>0</v>
      </c>
      <c r="R117" s="76">
        <f t="shared" si="56"/>
        <v>0</v>
      </c>
    </row>
    <row r="118" spans="1:18" ht="16">
      <c r="A118" s="33"/>
      <c r="B118" s="44" t="s">
        <v>40</v>
      </c>
      <c r="C118" s="35"/>
      <c r="D118" s="35"/>
      <c r="E118" s="11">
        <f t="shared" si="93"/>
        <v>0</v>
      </c>
      <c r="F118" s="45"/>
      <c r="G118" s="13" t="e">
        <f t="shared" si="94"/>
        <v>#DIV/0!</v>
      </c>
      <c r="H118" s="38"/>
      <c r="I118" s="38"/>
      <c r="J118" s="35">
        <f t="shared" si="95"/>
        <v>0</v>
      </c>
      <c r="K118" s="50">
        <f t="shared" si="98"/>
        <v>0</v>
      </c>
      <c r="L118" s="46" t="e">
        <f t="shared" si="96"/>
        <v>#DIV/0!</v>
      </c>
      <c r="M118" s="48"/>
      <c r="N118" s="47">
        <f t="shared" si="97"/>
        <v>0</v>
      </c>
      <c r="R118" s="76">
        <f t="shared" si="56"/>
        <v>0</v>
      </c>
    </row>
    <row r="119" spans="1:18" ht="16">
      <c r="A119" s="87"/>
      <c r="B119" s="44" t="s">
        <v>40</v>
      </c>
      <c r="C119" s="53"/>
      <c r="D119" s="53"/>
      <c r="E119" s="24">
        <f t="shared" si="93"/>
        <v>0</v>
      </c>
      <c r="F119" s="45"/>
      <c r="G119" s="54" t="e">
        <f t="shared" si="94"/>
        <v>#DIV/0!</v>
      </c>
      <c r="H119" s="53"/>
      <c r="I119" s="55"/>
      <c r="J119" s="53">
        <f t="shared" si="95"/>
        <v>0</v>
      </c>
      <c r="K119" s="50">
        <f t="shared" si="98"/>
        <v>0</v>
      </c>
      <c r="L119" s="73" t="e">
        <f t="shared" si="96"/>
        <v>#DIV/0!</v>
      </c>
      <c r="M119" s="56"/>
      <c r="N119" s="57">
        <f t="shared" si="97"/>
        <v>0</v>
      </c>
      <c r="R119" s="76">
        <f t="shared" si="56"/>
        <v>0</v>
      </c>
    </row>
    <row r="120" spans="1:18" ht="16">
      <c r="A120" s="59"/>
      <c r="B120" s="60"/>
      <c r="C120" s="59"/>
      <c r="D120" s="59" t="s">
        <v>19</v>
      </c>
      <c r="E120" s="59">
        <f>SUM(E113:E119)</f>
        <v>2242</v>
      </c>
      <c r="F120" s="37"/>
      <c r="G120" s="61" t="e">
        <f>AVERAGE(G113:G119)</f>
        <v>#DIV/0!</v>
      </c>
      <c r="H120" s="59"/>
      <c r="I120" s="62"/>
      <c r="J120" s="59">
        <f t="shared" ref="J120:K120" si="99">SUM(J113:J119)</f>
        <v>2167</v>
      </c>
      <c r="K120" s="59">
        <f t="shared" si="99"/>
        <v>0</v>
      </c>
      <c r="L120" s="61" t="e">
        <f>AVERAGE(L113:L119)</f>
        <v>#DIV/0!</v>
      </c>
      <c r="M120" s="64"/>
      <c r="N120" s="65">
        <f>SUM(N113:N119)</f>
        <v>6960570</v>
      </c>
      <c r="R120" s="76">
        <f t="shared" si="56"/>
        <v>0</v>
      </c>
    </row>
    <row r="121" spans="1:18" ht="16">
      <c r="A121" s="66">
        <v>46179</v>
      </c>
      <c r="B121" s="90" t="s">
        <v>41</v>
      </c>
      <c r="C121" s="51">
        <v>182290</v>
      </c>
      <c r="D121" s="35">
        <v>182951</v>
      </c>
      <c r="E121" s="36">
        <f t="shared" ref="E121:E127" si="100">D121-C121</f>
        <v>661</v>
      </c>
      <c r="F121" s="37">
        <v>70</v>
      </c>
      <c r="G121" s="13">
        <f t="shared" ref="G121:G127" si="101">(F121/E121)*100</f>
        <v>10.59001512859304</v>
      </c>
      <c r="H121" s="35">
        <v>25936</v>
      </c>
      <c r="I121" s="38">
        <v>26579</v>
      </c>
      <c r="J121" s="39">
        <f t="shared" ref="J121:J127" si="102">I121-H121</f>
        <v>643</v>
      </c>
      <c r="K121" s="77">
        <f t="shared" ref="K121:K127" si="103">F121</f>
        <v>70</v>
      </c>
      <c r="L121" s="67">
        <f t="shared" ref="L121:L127" si="104">(K121/J121)*100</f>
        <v>10.886469673405911</v>
      </c>
      <c r="M121" s="41">
        <v>26860</v>
      </c>
      <c r="N121" s="42">
        <f t="shared" ref="N121:N127" si="105">F121*M121</f>
        <v>1880200</v>
      </c>
      <c r="R121" s="76">
        <f t="shared" si="56"/>
        <v>0</v>
      </c>
    </row>
    <row r="122" spans="1:18" ht="16">
      <c r="A122" s="118">
        <v>46188</v>
      </c>
      <c r="B122" s="119" t="s">
        <v>41</v>
      </c>
      <c r="C122" s="35">
        <v>182951</v>
      </c>
      <c r="D122" s="51">
        <v>183577</v>
      </c>
      <c r="E122" s="51">
        <f t="shared" si="100"/>
        <v>626</v>
      </c>
      <c r="F122" s="120">
        <v>70</v>
      </c>
      <c r="G122" s="13">
        <f t="shared" si="101"/>
        <v>11.182108626198083</v>
      </c>
      <c r="H122" s="38">
        <v>26579</v>
      </c>
      <c r="I122" s="38">
        <v>27143</v>
      </c>
      <c r="J122" s="35">
        <f t="shared" si="102"/>
        <v>564</v>
      </c>
      <c r="K122" s="50">
        <f t="shared" si="103"/>
        <v>70</v>
      </c>
      <c r="L122" s="46">
        <f t="shared" si="104"/>
        <v>12.411347517730496</v>
      </c>
      <c r="M122" s="48">
        <v>25870</v>
      </c>
      <c r="N122" s="121">
        <f t="shared" si="105"/>
        <v>1810900</v>
      </c>
      <c r="R122" s="76">
        <f t="shared" si="56"/>
        <v>0</v>
      </c>
    </row>
    <row r="123" spans="1:18" ht="16">
      <c r="A123" s="118"/>
      <c r="B123" s="119" t="s">
        <v>41</v>
      </c>
      <c r="C123" s="51"/>
      <c r="D123" s="51"/>
      <c r="E123" s="51">
        <f t="shared" si="100"/>
        <v>0</v>
      </c>
      <c r="F123" s="120"/>
      <c r="G123" s="13" t="e">
        <f t="shared" si="101"/>
        <v>#DIV/0!</v>
      </c>
      <c r="H123" s="38"/>
      <c r="I123" s="35"/>
      <c r="J123" s="35">
        <f t="shared" si="102"/>
        <v>0</v>
      </c>
      <c r="K123" s="50">
        <f t="shared" si="103"/>
        <v>0</v>
      </c>
      <c r="L123" s="46" t="e">
        <f t="shared" si="104"/>
        <v>#DIV/0!</v>
      </c>
      <c r="M123" s="48"/>
      <c r="N123" s="121">
        <f t="shared" si="105"/>
        <v>0</v>
      </c>
      <c r="R123" s="76">
        <f t="shared" si="56"/>
        <v>0</v>
      </c>
    </row>
    <row r="124" spans="1:18" ht="16">
      <c r="A124" s="33"/>
      <c r="B124" s="44" t="s">
        <v>41</v>
      </c>
      <c r="C124" s="51"/>
      <c r="D124" s="35"/>
      <c r="E124" s="11">
        <f t="shared" si="100"/>
        <v>0</v>
      </c>
      <c r="F124" s="45"/>
      <c r="G124" s="13" t="e">
        <f t="shared" si="101"/>
        <v>#DIV/0!</v>
      </c>
      <c r="H124" s="35"/>
      <c r="I124" s="38"/>
      <c r="J124" s="35">
        <f t="shared" si="102"/>
        <v>0</v>
      </c>
      <c r="K124" s="50">
        <f t="shared" si="103"/>
        <v>0</v>
      </c>
      <c r="L124" s="46" t="e">
        <f t="shared" si="104"/>
        <v>#DIV/0!</v>
      </c>
      <c r="M124" s="48"/>
      <c r="N124" s="121">
        <f t="shared" si="105"/>
        <v>0</v>
      </c>
      <c r="R124" s="76">
        <f t="shared" si="56"/>
        <v>0</v>
      </c>
    </row>
    <row r="125" spans="1:18" ht="16">
      <c r="A125" s="33"/>
      <c r="B125" s="49" t="s">
        <v>41</v>
      </c>
      <c r="C125" s="35"/>
      <c r="D125" s="50"/>
      <c r="E125" s="11">
        <f t="shared" si="100"/>
        <v>0</v>
      </c>
      <c r="F125" s="45"/>
      <c r="G125" s="13" t="e">
        <f t="shared" si="101"/>
        <v>#DIV/0!</v>
      </c>
      <c r="H125" s="38"/>
      <c r="I125" s="38"/>
      <c r="J125" s="35">
        <f t="shared" si="102"/>
        <v>0</v>
      </c>
      <c r="K125" s="50">
        <f t="shared" si="103"/>
        <v>0</v>
      </c>
      <c r="L125" s="46" t="e">
        <f t="shared" si="104"/>
        <v>#DIV/0!</v>
      </c>
      <c r="M125" s="48"/>
      <c r="N125" s="121">
        <f t="shared" si="105"/>
        <v>0</v>
      </c>
      <c r="R125" s="76">
        <f t="shared" si="56"/>
        <v>0</v>
      </c>
    </row>
    <row r="126" spans="1:18" ht="16">
      <c r="A126" s="122"/>
      <c r="B126" s="44" t="s">
        <v>41</v>
      </c>
      <c r="C126" s="35"/>
      <c r="D126" s="35"/>
      <c r="E126" s="11">
        <f t="shared" si="100"/>
        <v>0</v>
      </c>
      <c r="F126" s="45"/>
      <c r="G126" s="13" t="e">
        <f t="shared" si="101"/>
        <v>#DIV/0!</v>
      </c>
      <c r="H126" s="35"/>
      <c r="I126" s="38"/>
      <c r="J126" s="35">
        <f t="shared" si="102"/>
        <v>0</v>
      </c>
      <c r="K126" s="50">
        <f t="shared" si="103"/>
        <v>0</v>
      </c>
      <c r="L126" s="46" t="e">
        <f t="shared" si="104"/>
        <v>#DIV/0!</v>
      </c>
      <c r="M126" s="48"/>
      <c r="N126" s="121">
        <f t="shared" si="105"/>
        <v>0</v>
      </c>
      <c r="R126" s="76">
        <f t="shared" si="56"/>
        <v>0</v>
      </c>
    </row>
    <row r="127" spans="1:18" ht="16">
      <c r="A127" s="87"/>
      <c r="B127" s="44" t="s">
        <v>41</v>
      </c>
      <c r="C127" s="53"/>
      <c r="D127" s="53"/>
      <c r="E127" s="24">
        <f t="shared" si="100"/>
        <v>0</v>
      </c>
      <c r="F127" s="45"/>
      <c r="G127" s="54" t="e">
        <f t="shared" si="101"/>
        <v>#DIV/0!</v>
      </c>
      <c r="H127" s="53"/>
      <c r="I127" s="55"/>
      <c r="J127" s="53">
        <f t="shared" si="102"/>
        <v>0</v>
      </c>
      <c r="K127" s="50">
        <f t="shared" si="103"/>
        <v>0</v>
      </c>
      <c r="L127" s="73" t="e">
        <f t="shared" si="104"/>
        <v>#DIV/0!</v>
      </c>
      <c r="M127" s="56"/>
      <c r="N127" s="123">
        <f t="shared" si="105"/>
        <v>0</v>
      </c>
      <c r="R127" s="76">
        <f t="shared" si="56"/>
        <v>0</v>
      </c>
    </row>
    <row r="128" spans="1:18" ht="16">
      <c r="A128" s="59"/>
      <c r="B128" s="60"/>
      <c r="C128" s="59"/>
      <c r="D128" s="59" t="s">
        <v>19</v>
      </c>
      <c r="E128" s="59">
        <f>SUM(E121:E127)</f>
        <v>1287</v>
      </c>
      <c r="F128" s="59">
        <f>SUM(F120:F127)</f>
        <v>140</v>
      </c>
      <c r="G128" s="61" t="e">
        <f>AVERAGE(G121:G127)</f>
        <v>#DIV/0!</v>
      </c>
      <c r="H128" s="59"/>
      <c r="I128" s="62"/>
      <c r="J128" s="59">
        <f t="shared" ref="J128:K128" si="106">SUM(J121:J127)</f>
        <v>1207</v>
      </c>
      <c r="K128" s="59">
        <f t="shared" si="106"/>
        <v>140</v>
      </c>
      <c r="L128" s="61" t="e">
        <f>AVERAGE(L121:L127)</f>
        <v>#DIV/0!</v>
      </c>
      <c r="M128" s="64"/>
      <c r="N128" s="65">
        <f>SUM(N121:N127)</f>
        <v>3691100</v>
      </c>
      <c r="R128" s="76">
        <f t="shared" si="56"/>
        <v>0</v>
      </c>
    </row>
    <row r="129" spans="1:18" ht="16">
      <c r="A129" s="66">
        <v>46176</v>
      </c>
      <c r="B129" s="90" t="s">
        <v>42</v>
      </c>
      <c r="C129" s="51">
        <v>151655</v>
      </c>
      <c r="D129" s="35">
        <v>152190</v>
      </c>
      <c r="E129" s="36">
        <f t="shared" ref="E129:E135" si="107">D129-C129</f>
        <v>535</v>
      </c>
      <c r="F129" s="37">
        <v>65</v>
      </c>
      <c r="G129" s="13">
        <f t="shared" ref="G129:G135" si="108">(F129/E129)*100</f>
        <v>12.149532710280374</v>
      </c>
      <c r="H129" s="35"/>
      <c r="I129" s="38"/>
      <c r="J129" s="39">
        <f t="shared" ref="J129:J135" si="109">I129-H129</f>
        <v>0</v>
      </c>
      <c r="K129" s="77">
        <f t="shared" ref="K129:K135" si="110">F129</f>
        <v>65</v>
      </c>
      <c r="L129" s="67" t="e">
        <f t="shared" ref="L129:L135" si="111">(K129/J129)*100</f>
        <v>#DIV/0!</v>
      </c>
      <c r="M129" s="41">
        <v>27650</v>
      </c>
      <c r="N129" s="42">
        <f t="shared" ref="N129:N135" si="112">F129*M129</f>
        <v>1797250</v>
      </c>
    </row>
    <row r="130" spans="1:18" ht="16">
      <c r="A130" s="66">
        <v>46182</v>
      </c>
      <c r="B130" s="90" t="s">
        <v>42</v>
      </c>
      <c r="C130" s="35">
        <v>152190</v>
      </c>
      <c r="D130" s="51">
        <v>152834</v>
      </c>
      <c r="E130" s="51">
        <f t="shared" si="107"/>
        <v>644</v>
      </c>
      <c r="F130" s="120">
        <v>72</v>
      </c>
      <c r="G130" s="13">
        <f t="shared" si="108"/>
        <v>11.180124223602485</v>
      </c>
      <c r="H130" s="38"/>
      <c r="I130" s="38"/>
      <c r="J130" s="35">
        <f t="shared" si="109"/>
        <v>0</v>
      </c>
      <c r="K130" s="50">
        <f t="shared" si="110"/>
        <v>72</v>
      </c>
      <c r="L130" s="46" t="e">
        <f t="shared" si="111"/>
        <v>#DIV/0!</v>
      </c>
      <c r="M130" s="48">
        <v>26860</v>
      </c>
      <c r="N130" s="121">
        <f t="shared" si="112"/>
        <v>1933920</v>
      </c>
    </row>
    <row r="131" spans="1:18" ht="16">
      <c r="A131" s="118">
        <v>46190</v>
      </c>
      <c r="B131" s="90" t="s">
        <v>42</v>
      </c>
      <c r="C131" s="51">
        <v>152834</v>
      </c>
      <c r="D131" s="51">
        <v>153484</v>
      </c>
      <c r="E131" s="51">
        <f t="shared" si="107"/>
        <v>650</v>
      </c>
      <c r="F131" s="120">
        <v>74</v>
      </c>
      <c r="G131" s="13">
        <f t="shared" si="108"/>
        <v>11.384615384615385</v>
      </c>
      <c r="H131" s="38"/>
      <c r="I131" s="35"/>
      <c r="J131" s="35">
        <f t="shared" si="109"/>
        <v>0</v>
      </c>
      <c r="K131" s="50">
        <f t="shared" si="110"/>
        <v>74</v>
      </c>
      <c r="L131" s="46" t="e">
        <f t="shared" si="111"/>
        <v>#DIV/0!</v>
      </c>
      <c r="M131" s="48">
        <v>25870</v>
      </c>
      <c r="N131" s="121">
        <f t="shared" si="112"/>
        <v>1914380</v>
      </c>
    </row>
    <row r="132" spans="1:18" ht="16">
      <c r="A132" s="33"/>
      <c r="B132" s="90" t="s">
        <v>42</v>
      </c>
      <c r="C132" s="51"/>
      <c r="D132" s="35"/>
      <c r="E132" s="11">
        <f t="shared" si="107"/>
        <v>0</v>
      </c>
      <c r="F132" s="45"/>
      <c r="G132" s="13" t="e">
        <f t="shared" si="108"/>
        <v>#DIV/0!</v>
      </c>
      <c r="H132" s="35"/>
      <c r="I132" s="38"/>
      <c r="J132" s="35">
        <f t="shared" si="109"/>
        <v>0</v>
      </c>
      <c r="K132" s="50">
        <f t="shared" si="110"/>
        <v>0</v>
      </c>
      <c r="L132" s="46" t="e">
        <f t="shared" si="111"/>
        <v>#DIV/0!</v>
      </c>
      <c r="M132" s="48"/>
      <c r="N132" s="121">
        <f t="shared" si="112"/>
        <v>0</v>
      </c>
    </row>
    <row r="133" spans="1:18" ht="16">
      <c r="A133" s="124"/>
      <c r="B133" s="90" t="s">
        <v>42</v>
      </c>
      <c r="C133" s="50"/>
      <c r="D133" s="50"/>
      <c r="E133" s="11">
        <f t="shared" si="107"/>
        <v>0</v>
      </c>
      <c r="F133" s="45"/>
      <c r="G133" s="13" t="e">
        <f t="shared" si="108"/>
        <v>#DIV/0!</v>
      </c>
      <c r="H133" s="35"/>
      <c r="I133" s="38"/>
      <c r="J133" s="35">
        <f t="shared" si="109"/>
        <v>0</v>
      </c>
      <c r="K133" s="50">
        <f t="shared" si="110"/>
        <v>0</v>
      </c>
      <c r="L133" s="46" t="e">
        <f t="shared" si="111"/>
        <v>#DIV/0!</v>
      </c>
      <c r="M133" s="48"/>
      <c r="N133" s="121">
        <f t="shared" si="112"/>
        <v>0</v>
      </c>
    </row>
    <row r="134" spans="1:18" ht="16">
      <c r="A134" s="122"/>
      <c r="B134" s="90" t="s">
        <v>42</v>
      </c>
      <c r="C134" s="35"/>
      <c r="D134" s="35"/>
      <c r="E134" s="11">
        <f t="shared" si="107"/>
        <v>0</v>
      </c>
      <c r="F134" s="45"/>
      <c r="G134" s="13" t="e">
        <f t="shared" si="108"/>
        <v>#DIV/0!</v>
      </c>
      <c r="H134" s="35"/>
      <c r="I134" s="38"/>
      <c r="J134" s="35">
        <f t="shared" si="109"/>
        <v>0</v>
      </c>
      <c r="K134" s="50">
        <f t="shared" si="110"/>
        <v>0</v>
      </c>
      <c r="L134" s="46" t="e">
        <f t="shared" si="111"/>
        <v>#DIV/0!</v>
      </c>
      <c r="M134" s="48"/>
      <c r="N134" s="121">
        <f t="shared" si="112"/>
        <v>0</v>
      </c>
    </row>
    <row r="135" spans="1:18" ht="16">
      <c r="A135" s="87"/>
      <c r="B135" s="90" t="s">
        <v>42</v>
      </c>
      <c r="C135" s="53"/>
      <c r="D135" s="53"/>
      <c r="E135" s="24">
        <f t="shared" si="107"/>
        <v>0</v>
      </c>
      <c r="F135" s="45"/>
      <c r="G135" s="54" t="e">
        <f t="shared" si="108"/>
        <v>#DIV/0!</v>
      </c>
      <c r="H135" s="53"/>
      <c r="I135" s="55"/>
      <c r="J135" s="53">
        <f t="shared" si="109"/>
        <v>0</v>
      </c>
      <c r="K135" s="50">
        <f t="shared" si="110"/>
        <v>0</v>
      </c>
      <c r="L135" s="73" t="e">
        <f t="shared" si="111"/>
        <v>#DIV/0!</v>
      </c>
      <c r="M135" s="56"/>
      <c r="N135" s="123">
        <f t="shared" si="112"/>
        <v>0</v>
      </c>
    </row>
    <row r="136" spans="1:18" ht="16">
      <c r="A136" s="59"/>
      <c r="B136" s="60"/>
      <c r="C136" s="59"/>
      <c r="D136" s="59" t="s">
        <v>19</v>
      </c>
      <c r="E136" s="59">
        <f>SUM(E129:E135)</f>
        <v>1829</v>
      </c>
      <c r="F136" s="59">
        <f>SUM(F128:F135)</f>
        <v>351</v>
      </c>
      <c r="G136" s="61" t="e">
        <f>AVERAGE(G129:G135)</f>
        <v>#DIV/0!</v>
      </c>
      <c r="H136" s="59"/>
      <c r="I136" s="62"/>
      <c r="J136" s="59">
        <f t="shared" ref="J136:K136" si="113">SUM(J129:J135)</f>
        <v>0</v>
      </c>
      <c r="K136" s="59">
        <f t="shared" si="113"/>
        <v>211</v>
      </c>
      <c r="L136" s="61" t="e">
        <f>AVERAGE(L129:L135)</f>
        <v>#DIV/0!</v>
      </c>
      <c r="M136" s="64"/>
      <c r="N136" s="65">
        <f>SUM(N129:N135)</f>
        <v>5645550</v>
      </c>
    </row>
    <row r="137" spans="1:18" ht="16">
      <c r="A137" s="66"/>
      <c r="B137" s="90" t="s">
        <v>27</v>
      </c>
      <c r="C137" s="83"/>
      <c r="D137" s="12"/>
      <c r="E137" s="36">
        <f t="shared" ref="E137:E147" si="114">D137-C137</f>
        <v>0</v>
      </c>
      <c r="F137" s="37"/>
      <c r="G137" s="13" t="e">
        <f t="shared" ref="G137:G147" si="115">(F137/E137)*100</f>
        <v>#DIV/0!</v>
      </c>
      <c r="H137" s="125"/>
      <c r="I137" s="126"/>
      <c r="J137" s="39">
        <f t="shared" ref="J137:J147" si="116">I137-H137</f>
        <v>0</v>
      </c>
      <c r="K137" s="50">
        <f t="shared" ref="K137:K141" si="117">F137</f>
        <v>0</v>
      </c>
      <c r="L137" s="67" t="e">
        <f t="shared" ref="L137:L147" si="118">(K137/J137)*100</f>
        <v>#DIV/0!</v>
      </c>
      <c r="M137" s="68"/>
      <c r="N137" s="121">
        <f t="shared" ref="N137:N140" si="119">F137*M137</f>
        <v>0</v>
      </c>
      <c r="R137" s="76">
        <f t="shared" ref="R137:R144" si="120">Q137</f>
        <v>0</v>
      </c>
    </row>
    <row r="138" spans="1:18" ht="16">
      <c r="A138" s="33"/>
      <c r="B138" s="44" t="s">
        <v>27</v>
      </c>
      <c r="C138" s="35"/>
      <c r="D138" s="12"/>
      <c r="E138" s="11">
        <f t="shared" si="114"/>
        <v>0</v>
      </c>
      <c r="F138" s="45"/>
      <c r="G138" s="13" t="e">
        <f t="shared" si="115"/>
        <v>#DIV/0!</v>
      </c>
      <c r="H138" s="38"/>
      <c r="I138" s="38"/>
      <c r="J138" s="35">
        <f t="shared" si="116"/>
        <v>0</v>
      </c>
      <c r="K138" s="50">
        <f t="shared" si="117"/>
        <v>0</v>
      </c>
      <c r="L138" s="46" t="e">
        <f t="shared" si="118"/>
        <v>#DIV/0!</v>
      </c>
      <c r="M138" s="48"/>
      <c r="N138" s="121">
        <f t="shared" si="119"/>
        <v>0</v>
      </c>
      <c r="R138" s="76">
        <f t="shared" si="120"/>
        <v>0</v>
      </c>
    </row>
    <row r="139" spans="1:18" ht="16">
      <c r="A139" s="33"/>
      <c r="B139" s="44" t="s">
        <v>27</v>
      </c>
      <c r="C139" s="35"/>
      <c r="D139" s="35"/>
      <c r="E139" s="11">
        <f t="shared" si="114"/>
        <v>0</v>
      </c>
      <c r="F139" s="45"/>
      <c r="G139" s="13" t="e">
        <f t="shared" si="115"/>
        <v>#DIV/0!</v>
      </c>
      <c r="H139" s="35"/>
      <c r="I139" s="38"/>
      <c r="J139" s="35">
        <f t="shared" si="116"/>
        <v>0</v>
      </c>
      <c r="K139" s="50">
        <f t="shared" si="117"/>
        <v>0</v>
      </c>
      <c r="L139" s="46" t="e">
        <f t="shared" si="118"/>
        <v>#DIV/0!</v>
      </c>
      <c r="M139" s="48"/>
      <c r="N139" s="121">
        <f t="shared" si="119"/>
        <v>0</v>
      </c>
      <c r="R139" s="76">
        <f t="shared" si="120"/>
        <v>0</v>
      </c>
    </row>
    <row r="140" spans="1:18" ht="16">
      <c r="A140" s="33"/>
      <c r="B140" s="44" t="s">
        <v>27</v>
      </c>
      <c r="C140" s="35"/>
      <c r="D140" s="35"/>
      <c r="E140" s="11">
        <f t="shared" si="114"/>
        <v>0</v>
      </c>
      <c r="F140" s="45"/>
      <c r="G140" s="13" t="e">
        <f t="shared" si="115"/>
        <v>#DIV/0!</v>
      </c>
      <c r="H140" s="35"/>
      <c r="I140" s="38"/>
      <c r="J140" s="35">
        <f t="shared" si="116"/>
        <v>0</v>
      </c>
      <c r="K140" s="50">
        <f t="shared" si="117"/>
        <v>0</v>
      </c>
      <c r="L140" s="46" t="e">
        <f t="shared" si="118"/>
        <v>#DIV/0!</v>
      </c>
      <c r="M140" s="48"/>
      <c r="N140" s="121">
        <f t="shared" si="119"/>
        <v>0</v>
      </c>
      <c r="R140" s="76">
        <f t="shared" si="120"/>
        <v>0</v>
      </c>
    </row>
    <row r="141" spans="1:18" ht="16">
      <c r="A141" s="33"/>
      <c r="B141" s="44" t="s">
        <v>27</v>
      </c>
      <c r="C141" s="35"/>
      <c r="D141" s="35"/>
      <c r="E141" s="11">
        <f t="shared" si="114"/>
        <v>0</v>
      </c>
      <c r="F141" s="45"/>
      <c r="G141" s="13" t="e">
        <f t="shared" si="115"/>
        <v>#DIV/0!</v>
      </c>
      <c r="H141" s="35"/>
      <c r="I141" s="38"/>
      <c r="J141" s="35">
        <f t="shared" si="116"/>
        <v>0</v>
      </c>
      <c r="K141" s="50">
        <f t="shared" si="117"/>
        <v>0</v>
      </c>
      <c r="L141" s="46" t="e">
        <f t="shared" si="118"/>
        <v>#DIV/0!</v>
      </c>
      <c r="M141" s="48"/>
      <c r="N141" s="47"/>
      <c r="R141" s="76">
        <f t="shared" si="120"/>
        <v>0</v>
      </c>
    </row>
    <row r="142" spans="1:18" ht="16">
      <c r="A142" s="33"/>
      <c r="B142" s="44" t="s">
        <v>27</v>
      </c>
      <c r="C142" s="35"/>
      <c r="D142" s="35"/>
      <c r="E142" s="11">
        <f t="shared" si="114"/>
        <v>0</v>
      </c>
      <c r="F142" s="45"/>
      <c r="G142" s="13" t="e">
        <f t="shared" si="115"/>
        <v>#DIV/0!</v>
      </c>
      <c r="H142" s="35"/>
      <c r="I142" s="38"/>
      <c r="J142" s="35">
        <f t="shared" si="116"/>
        <v>0</v>
      </c>
      <c r="K142" s="50"/>
      <c r="L142" s="46" t="e">
        <f t="shared" si="118"/>
        <v>#DIV/0!</v>
      </c>
      <c r="M142" s="48"/>
      <c r="N142" s="47"/>
      <c r="R142" s="76">
        <f t="shared" si="120"/>
        <v>0</v>
      </c>
    </row>
    <row r="143" spans="1:18" ht="16">
      <c r="A143" s="7"/>
      <c r="B143" s="8" t="s">
        <v>27</v>
      </c>
      <c r="C143" s="12"/>
      <c r="D143" s="12"/>
      <c r="E143" s="11">
        <f t="shared" si="114"/>
        <v>0</v>
      </c>
      <c r="F143" s="12"/>
      <c r="G143" s="13" t="e">
        <f t="shared" si="115"/>
        <v>#DIV/0!</v>
      </c>
      <c r="H143" s="12"/>
      <c r="I143" s="15"/>
      <c r="J143" s="12">
        <f t="shared" si="116"/>
        <v>0</v>
      </c>
      <c r="K143" s="10"/>
      <c r="L143" s="16" t="e">
        <f t="shared" si="118"/>
        <v>#DIV/0!</v>
      </c>
      <c r="M143" s="17"/>
      <c r="N143" s="17"/>
      <c r="R143" s="76">
        <f t="shared" si="120"/>
        <v>0</v>
      </c>
    </row>
    <row r="144" spans="1:18" ht="16">
      <c r="A144" s="7"/>
      <c r="B144" s="8" t="s">
        <v>27</v>
      </c>
      <c r="C144" s="12"/>
      <c r="D144" s="12"/>
      <c r="E144" s="11">
        <f t="shared" si="114"/>
        <v>0</v>
      </c>
      <c r="F144" s="12"/>
      <c r="G144" s="13" t="e">
        <f t="shared" si="115"/>
        <v>#DIV/0!</v>
      </c>
      <c r="H144" s="12"/>
      <c r="I144" s="15"/>
      <c r="J144" s="12">
        <f t="shared" si="116"/>
        <v>0</v>
      </c>
      <c r="K144" s="10"/>
      <c r="L144" s="16" t="e">
        <f t="shared" si="118"/>
        <v>#DIV/0!</v>
      </c>
      <c r="M144" s="17"/>
      <c r="N144" s="17"/>
      <c r="R144" s="76">
        <f t="shared" si="120"/>
        <v>0</v>
      </c>
    </row>
    <row r="145" spans="1:18" ht="16">
      <c r="A145" s="7"/>
      <c r="B145" s="8" t="s">
        <v>27</v>
      </c>
      <c r="C145" s="12"/>
      <c r="D145" s="12"/>
      <c r="E145" s="11">
        <f t="shared" si="114"/>
        <v>0</v>
      </c>
      <c r="F145" s="12"/>
      <c r="G145" s="13" t="e">
        <f t="shared" si="115"/>
        <v>#DIV/0!</v>
      </c>
      <c r="H145" s="12"/>
      <c r="I145" s="15"/>
      <c r="J145" s="12">
        <f t="shared" si="116"/>
        <v>0</v>
      </c>
      <c r="K145" s="10"/>
      <c r="L145" s="16" t="e">
        <f t="shared" si="118"/>
        <v>#DIV/0!</v>
      </c>
      <c r="M145" s="17"/>
      <c r="N145" s="17"/>
    </row>
    <row r="146" spans="1:18" ht="16">
      <c r="A146" s="7"/>
      <c r="B146" s="8" t="s">
        <v>27</v>
      </c>
      <c r="C146" s="12"/>
      <c r="D146" s="12"/>
      <c r="E146" s="11">
        <f t="shared" si="114"/>
        <v>0</v>
      </c>
      <c r="F146" s="12"/>
      <c r="G146" s="13" t="e">
        <f t="shared" si="115"/>
        <v>#DIV/0!</v>
      </c>
      <c r="H146" s="12"/>
      <c r="I146" s="15"/>
      <c r="J146" s="12">
        <f t="shared" si="116"/>
        <v>0</v>
      </c>
      <c r="K146" s="10"/>
      <c r="L146" s="16" t="e">
        <f t="shared" si="118"/>
        <v>#DIV/0!</v>
      </c>
      <c r="M146" s="17"/>
      <c r="N146" s="17"/>
    </row>
    <row r="147" spans="1:18" ht="16">
      <c r="A147" s="7"/>
      <c r="B147" s="8" t="s">
        <v>27</v>
      </c>
      <c r="C147" s="12"/>
      <c r="D147" s="12"/>
      <c r="E147" s="11">
        <f t="shared" si="114"/>
        <v>0</v>
      </c>
      <c r="F147" s="12"/>
      <c r="G147" s="13" t="e">
        <f t="shared" si="115"/>
        <v>#DIV/0!</v>
      </c>
      <c r="H147" s="12"/>
      <c r="I147" s="15"/>
      <c r="J147" s="12">
        <f t="shared" si="116"/>
        <v>0</v>
      </c>
      <c r="K147" s="10"/>
      <c r="L147" s="16" t="e">
        <f t="shared" si="118"/>
        <v>#DIV/0!</v>
      </c>
      <c r="M147" s="17"/>
      <c r="N147" s="17"/>
    </row>
    <row r="148" spans="1:18" ht="16">
      <c r="A148" s="63"/>
      <c r="B148" s="127"/>
      <c r="C148" s="63"/>
      <c r="D148" s="63" t="s">
        <v>19</v>
      </c>
      <c r="E148" s="63">
        <f t="shared" ref="E148:F148" si="121">SUM(E137:E144)</f>
        <v>0</v>
      </c>
      <c r="F148" s="63">
        <f t="shared" si="121"/>
        <v>0</v>
      </c>
      <c r="G148" s="128" t="e">
        <f>AVERAGE(G137:G144)</f>
        <v>#DIV/0!</v>
      </c>
      <c r="H148" s="63"/>
      <c r="I148" s="129"/>
      <c r="J148" s="63">
        <f t="shared" ref="J148:K148" si="122">SUM(J137:J144)</f>
        <v>0</v>
      </c>
      <c r="K148" s="63">
        <f t="shared" si="122"/>
        <v>0</v>
      </c>
      <c r="L148" s="128" t="e">
        <f>AVERAGE(L137:L144)</f>
        <v>#DIV/0!</v>
      </c>
      <c r="M148" s="130"/>
      <c r="N148" s="131">
        <f>SUM(N137:N147)</f>
        <v>0</v>
      </c>
      <c r="R148" s="76">
        <f t="shared" ref="R148:R175" si="123">Q148</f>
        <v>0</v>
      </c>
    </row>
    <row r="149" spans="1:18" ht="16">
      <c r="A149" s="66"/>
      <c r="B149" s="90" t="s">
        <v>28</v>
      </c>
      <c r="C149" s="83"/>
      <c r="D149" s="12"/>
      <c r="E149" s="36">
        <f t="shared" ref="E149:E156" si="124">D149-C149</f>
        <v>0</v>
      </c>
      <c r="F149" s="37">
        <v>70</v>
      </c>
      <c r="G149" s="13" t="e">
        <f t="shared" ref="G149:G156" si="125">(F149/E149)*100</f>
        <v>#DIV/0!</v>
      </c>
      <c r="H149" s="125"/>
      <c r="I149" s="126"/>
      <c r="J149" s="39">
        <f t="shared" ref="J149:J156" si="126">I149-H149</f>
        <v>0</v>
      </c>
      <c r="K149" s="77"/>
      <c r="L149" s="67" t="e">
        <f t="shared" ref="L149:L156" si="127">(K149/J149)*100</f>
        <v>#DIV/0!</v>
      </c>
      <c r="M149" s="68"/>
      <c r="N149" s="47">
        <f t="shared" ref="N149:N154" si="128">M149*K149</f>
        <v>0</v>
      </c>
      <c r="R149" s="76">
        <f t="shared" si="123"/>
        <v>0</v>
      </c>
    </row>
    <row r="150" spans="1:18" ht="16">
      <c r="A150" s="33"/>
      <c r="B150" s="90" t="s">
        <v>28</v>
      </c>
      <c r="C150" s="35"/>
      <c r="D150" s="12"/>
      <c r="E150" s="11">
        <f t="shared" si="124"/>
        <v>0</v>
      </c>
      <c r="F150" s="45">
        <v>65</v>
      </c>
      <c r="G150" s="13" t="e">
        <f t="shared" si="125"/>
        <v>#DIV/0!</v>
      </c>
      <c r="H150" s="38"/>
      <c r="I150" s="38"/>
      <c r="J150" s="35">
        <f t="shared" si="126"/>
        <v>0</v>
      </c>
      <c r="K150" s="45"/>
      <c r="L150" s="67" t="e">
        <f t="shared" si="127"/>
        <v>#DIV/0!</v>
      </c>
      <c r="M150" s="48"/>
      <c r="N150" s="47">
        <f t="shared" si="128"/>
        <v>0</v>
      </c>
      <c r="R150" s="76">
        <f t="shared" si="123"/>
        <v>0</v>
      </c>
    </row>
    <row r="151" spans="1:18" ht="16">
      <c r="A151" s="33"/>
      <c r="B151" s="90" t="s">
        <v>28</v>
      </c>
      <c r="C151" s="35"/>
      <c r="D151" s="35"/>
      <c r="E151" s="11">
        <f t="shared" si="124"/>
        <v>0</v>
      </c>
      <c r="F151" s="45"/>
      <c r="G151" s="13" t="e">
        <f t="shared" si="125"/>
        <v>#DIV/0!</v>
      </c>
      <c r="H151" s="35"/>
      <c r="I151" s="38"/>
      <c r="J151" s="35">
        <f t="shared" si="126"/>
        <v>0</v>
      </c>
      <c r="K151" s="50"/>
      <c r="L151" s="46" t="e">
        <f t="shared" si="127"/>
        <v>#DIV/0!</v>
      </c>
      <c r="M151" s="48"/>
      <c r="N151" s="47">
        <f t="shared" si="128"/>
        <v>0</v>
      </c>
      <c r="R151" s="76">
        <f t="shared" si="123"/>
        <v>0</v>
      </c>
    </row>
    <row r="152" spans="1:18" ht="16">
      <c r="A152" s="33"/>
      <c r="B152" s="90" t="s">
        <v>28</v>
      </c>
      <c r="C152" s="35"/>
      <c r="D152" s="35"/>
      <c r="E152" s="11">
        <f t="shared" si="124"/>
        <v>0</v>
      </c>
      <c r="F152" s="45"/>
      <c r="G152" s="13" t="e">
        <f t="shared" si="125"/>
        <v>#DIV/0!</v>
      </c>
      <c r="H152" s="35"/>
      <c r="I152" s="38"/>
      <c r="J152" s="35">
        <f t="shared" si="126"/>
        <v>0</v>
      </c>
      <c r="K152" s="50"/>
      <c r="L152" s="46" t="e">
        <f t="shared" si="127"/>
        <v>#DIV/0!</v>
      </c>
      <c r="M152" s="48"/>
      <c r="N152" s="47">
        <f t="shared" si="128"/>
        <v>0</v>
      </c>
      <c r="R152" s="76">
        <f t="shared" si="123"/>
        <v>0</v>
      </c>
    </row>
    <row r="153" spans="1:18" ht="16">
      <c r="A153" s="33"/>
      <c r="B153" s="90" t="s">
        <v>28</v>
      </c>
      <c r="C153" s="35"/>
      <c r="D153" s="35"/>
      <c r="E153" s="11">
        <f t="shared" si="124"/>
        <v>0</v>
      </c>
      <c r="F153" s="45"/>
      <c r="G153" s="13" t="e">
        <f t="shared" si="125"/>
        <v>#DIV/0!</v>
      </c>
      <c r="H153" s="35"/>
      <c r="I153" s="38"/>
      <c r="J153" s="35">
        <f t="shared" si="126"/>
        <v>0</v>
      </c>
      <c r="K153" s="50"/>
      <c r="L153" s="46" t="e">
        <f t="shared" si="127"/>
        <v>#DIV/0!</v>
      </c>
      <c r="M153" s="48"/>
      <c r="N153" s="47">
        <f t="shared" si="128"/>
        <v>0</v>
      </c>
      <c r="R153" s="76">
        <f t="shared" si="123"/>
        <v>0</v>
      </c>
    </row>
    <row r="154" spans="1:18" ht="16">
      <c r="A154" s="33"/>
      <c r="B154" s="90" t="s">
        <v>28</v>
      </c>
      <c r="C154" s="35"/>
      <c r="D154" s="35"/>
      <c r="E154" s="11">
        <f t="shared" si="124"/>
        <v>0</v>
      </c>
      <c r="F154" s="45"/>
      <c r="G154" s="13" t="e">
        <f t="shared" si="125"/>
        <v>#DIV/0!</v>
      </c>
      <c r="H154" s="35"/>
      <c r="I154" s="38"/>
      <c r="J154" s="35">
        <f t="shared" si="126"/>
        <v>0</v>
      </c>
      <c r="K154" s="50"/>
      <c r="L154" s="46" t="e">
        <f t="shared" si="127"/>
        <v>#DIV/0!</v>
      </c>
      <c r="M154" s="48"/>
      <c r="N154" s="47">
        <f t="shared" si="128"/>
        <v>0</v>
      </c>
      <c r="R154" s="76">
        <f t="shared" si="123"/>
        <v>0</v>
      </c>
    </row>
    <row r="155" spans="1:18" ht="16">
      <c r="A155" s="33"/>
      <c r="B155" s="90" t="s">
        <v>28</v>
      </c>
      <c r="C155" s="35"/>
      <c r="D155" s="35"/>
      <c r="E155" s="11">
        <f t="shared" si="124"/>
        <v>0</v>
      </c>
      <c r="F155" s="45"/>
      <c r="G155" s="13" t="e">
        <f t="shared" si="125"/>
        <v>#DIV/0!</v>
      </c>
      <c r="H155" s="35"/>
      <c r="I155" s="38"/>
      <c r="J155" s="35">
        <f t="shared" si="126"/>
        <v>0</v>
      </c>
      <c r="K155" s="50">
        <f t="shared" ref="K155:K156" si="129">F155</f>
        <v>0</v>
      </c>
      <c r="L155" s="46" t="e">
        <f t="shared" si="127"/>
        <v>#DIV/0!</v>
      </c>
      <c r="M155" s="48"/>
      <c r="N155" s="47">
        <f>F155*M155</f>
        <v>0</v>
      </c>
      <c r="R155" s="76">
        <f t="shared" si="123"/>
        <v>0</v>
      </c>
    </row>
    <row r="156" spans="1:18" ht="16">
      <c r="A156" s="88"/>
      <c r="B156" s="90" t="s">
        <v>28</v>
      </c>
      <c r="C156" s="53"/>
      <c r="D156" s="53"/>
      <c r="E156" s="24">
        <f t="shared" si="124"/>
        <v>0</v>
      </c>
      <c r="F156" s="45"/>
      <c r="G156" s="54" t="e">
        <f t="shared" si="125"/>
        <v>#DIV/0!</v>
      </c>
      <c r="H156" s="53"/>
      <c r="I156" s="55"/>
      <c r="J156" s="53">
        <f t="shared" si="126"/>
        <v>0</v>
      </c>
      <c r="K156" s="50">
        <f t="shared" si="129"/>
        <v>0</v>
      </c>
      <c r="L156" s="73" t="e">
        <f t="shared" si="127"/>
        <v>#DIV/0!</v>
      </c>
      <c r="M156" s="56"/>
      <c r="N156" s="47">
        <f>M156*K156</f>
        <v>0</v>
      </c>
      <c r="R156" s="76">
        <f t="shared" si="123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30">SUM(E149:E156)</f>
        <v>0</v>
      </c>
      <c r="F157" s="59">
        <f t="shared" si="130"/>
        <v>135</v>
      </c>
      <c r="G157" s="61" t="e">
        <f>AVERAGE(G149:G156)</f>
        <v>#DIV/0!</v>
      </c>
      <c r="H157" s="59"/>
      <c r="I157" s="62"/>
      <c r="J157" s="59">
        <f t="shared" ref="J157:K157" si="131">SUM(J149:J156)</f>
        <v>0</v>
      </c>
      <c r="K157" s="59">
        <f t="shared" si="131"/>
        <v>0</v>
      </c>
      <c r="L157" s="61" t="e">
        <f>AVERAGE(L149:L156)</f>
        <v>#DIV/0!</v>
      </c>
      <c r="M157" s="64"/>
      <c r="N157" s="132">
        <f>SUM(N149:N156)</f>
        <v>0</v>
      </c>
      <c r="R157" s="76">
        <f t="shared" si="123"/>
        <v>0</v>
      </c>
    </row>
    <row r="158" spans="1:18" ht="16">
      <c r="A158" s="85"/>
      <c r="B158" s="90" t="s">
        <v>43</v>
      </c>
      <c r="C158" s="83"/>
      <c r="D158" s="12"/>
      <c r="E158" s="36">
        <f t="shared" ref="E158:E165" si="132">D158-C158</f>
        <v>0</v>
      </c>
      <c r="F158" s="37"/>
      <c r="G158" s="13" t="e">
        <f t="shared" ref="G158:G165" si="133">(F158/E158)*100</f>
        <v>#DIV/0!</v>
      </c>
      <c r="H158" s="125"/>
      <c r="I158" s="126"/>
      <c r="J158" s="39">
        <f t="shared" ref="J158:J165" si="134">I158-H158</f>
        <v>0</v>
      </c>
      <c r="K158" s="50">
        <f t="shared" ref="K158:K160" si="135">F158</f>
        <v>0</v>
      </c>
      <c r="L158" s="67" t="e">
        <f t="shared" ref="L158:L165" si="136">(K158/J158)*100</f>
        <v>#DIV/0!</v>
      </c>
      <c r="M158" s="68"/>
      <c r="N158" s="47"/>
      <c r="R158" s="76">
        <f t="shared" si="123"/>
        <v>0</v>
      </c>
    </row>
    <row r="159" spans="1:18" ht="16">
      <c r="A159" s="33"/>
      <c r="B159" s="44" t="s">
        <v>43</v>
      </c>
      <c r="C159" s="35"/>
      <c r="D159" s="12"/>
      <c r="E159" s="11">
        <f t="shared" si="132"/>
        <v>0</v>
      </c>
      <c r="F159" s="45"/>
      <c r="G159" s="13" t="e">
        <f t="shared" si="133"/>
        <v>#DIV/0!</v>
      </c>
      <c r="H159" s="38"/>
      <c r="I159" s="38"/>
      <c r="J159" s="35">
        <f t="shared" si="134"/>
        <v>0</v>
      </c>
      <c r="K159" s="50">
        <f t="shared" si="135"/>
        <v>0</v>
      </c>
      <c r="L159" s="46" t="e">
        <f t="shared" si="136"/>
        <v>#DIV/0!</v>
      </c>
      <c r="M159" s="48"/>
      <c r="N159" s="47"/>
      <c r="R159" s="76">
        <f t="shared" si="123"/>
        <v>0</v>
      </c>
    </row>
    <row r="160" spans="1:18" ht="16">
      <c r="A160" s="33"/>
      <c r="B160" s="44" t="s">
        <v>43</v>
      </c>
      <c r="C160" s="35"/>
      <c r="D160" s="35"/>
      <c r="E160" s="11">
        <f t="shared" si="132"/>
        <v>0</v>
      </c>
      <c r="F160" s="45"/>
      <c r="G160" s="13" t="e">
        <f t="shared" si="133"/>
        <v>#DIV/0!</v>
      </c>
      <c r="H160" s="35"/>
      <c r="I160" s="38"/>
      <c r="J160" s="35">
        <f t="shared" si="134"/>
        <v>0</v>
      </c>
      <c r="K160" s="50">
        <f t="shared" si="135"/>
        <v>0</v>
      </c>
      <c r="L160" s="46" t="e">
        <f t="shared" si="136"/>
        <v>#DIV/0!</v>
      </c>
      <c r="M160" s="48"/>
      <c r="N160" s="47"/>
      <c r="R160" s="76">
        <f t="shared" si="123"/>
        <v>0</v>
      </c>
    </row>
    <row r="161" spans="1:18" ht="16">
      <c r="A161" s="33"/>
      <c r="B161" s="44" t="s">
        <v>43</v>
      </c>
      <c r="C161" s="35"/>
      <c r="D161" s="35"/>
      <c r="E161" s="11">
        <f t="shared" si="132"/>
        <v>0</v>
      </c>
      <c r="F161" s="45"/>
      <c r="G161" s="13" t="e">
        <f t="shared" si="133"/>
        <v>#DIV/0!</v>
      </c>
      <c r="H161" s="35"/>
      <c r="I161" s="38"/>
      <c r="J161" s="35">
        <f t="shared" si="134"/>
        <v>0</v>
      </c>
      <c r="K161" s="50"/>
      <c r="L161" s="46" t="e">
        <f t="shared" si="136"/>
        <v>#DIV/0!</v>
      </c>
      <c r="M161" s="48"/>
      <c r="N161" s="47"/>
      <c r="R161" s="76">
        <f t="shared" si="123"/>
        <v>0</v>
      </c>
    </row>
    <row r="162" spans="1:18" ht="16">
      <c r="A162" s="33"/>
      <c r="B162" s="44" t="s">
        <v>43</v>
      </c>
      <c r="C162" s="35"/>
      <c r="D162" s="35"/>
      <c r="E162" s="11">
        <f t="shared" si="132"/>
        <v>0</v>
      </c>
      <c r="F162" s="45"/>
      <c r="G162" s="13" t="e">
        <f t="shared" si="133"/>
        <v>#DIV/0!</v>
      </c>
      <c r="H162" s="35"/>
      <c r="I162" s="38"/>
      <c r="J162" s="35">
        <f t="shared" si="134"/>
        <v>0</v>
      </c>
      <c r="K162" s="50"/>
      <c r="L162" s="46" t="e">
        <f t="shared" si="136"/>
        <v>#DIV/0!</v>
      </c>
      <c r="M162" s="48"/>
      <c r="N162" s="47"/>
      <c r="R162" s="76">
        <f t="shared" si="123"/>
        <v>0</v>
      </c>
    </row>
    <row r="163" spans="1:18" ht="16">
      <c r="A163" s="33"/>
      <c r="B163" s="44" t="s">
        <v>43</v>
      </c>
      <c r="C163" s="35"/>
      <c r="D163" s="35"/>
      <c r="E163" s="11">
        <f t="shared" si="132"/>
        <v>0</v>
      </c>
      <c r="F163" s="45"/>
      <c r="G163" s="13" t="e">
        <f t="shared" si="133"/>
        <v>#DIV/0!</v>
      </c>
      <c r="H163" s="35"/>
      <c r="I163" s="38"/>
      <c r="J163" s="35">
        <f t="shared" si="134"/>
        <v>0</v>
      </c>
      <c r="K163" s="50">
        <f t="shared" ref="K163:K165" si="137">F163</f>
        <v>0</v>
      </c>
      <c r="L163" s="46" t="e">
        <f t="shared" si="136"/>
        <v>#DIV/0!</v>
      </c>
      <c r="M163" s="48"/>
      <c r="N163" s="47">
        <f t="shared" ref="N163:N164" si="138">F163*M163</f>
        <v>0</v>
      </c>
      <c r="R163" s="76">
        <f t="shared" si="123"/>
        <v>0</v>
      </c>
    </row>
    <row r="164" spans="1:18" ht="16">
      <c r="A164" s="33"/>
      <c r="B164" s="44" t="s">
        <v>43</v>
      </c>
      <c r="C164" s="35"/>
      <c r="D164" s="35"/>
      <c r="E164" s="11">
        <f t="shared" si="132"/>
        <v>0</v>
      </c>
      <c r="F164" s="45"/>
      <c r="G164" s="13" t="e">
        <f t="shared" si="133"/>
        <v>#DIV/0!</v>
      </c>
      <c r="H164" s="35"/>
      <c r="I164" s="38"/>
      <c r="J164" s="35">
        <f t="shared" si="134"/>
        <v>0</v>
      </c>
      <c r="K164" s="50">
        <f t="shared" si="137"/>
        <v>0</v>
      </c>
      <c r="L164" s="46" t="e">
        <f t="shared" si="136"/>
        <v>#DIV/0!</v>
      </c>
      <c r="M164" s="48"/>
      <c r="N164" s="47">
        <f t="shared" si="138"/>
        <v>0</v>
      </c>
      <c r="R164" s="76">
        <f t="shared" si="123"/>
        <v>0</v>
      </c>
    </row>
    <row r="165" spans="1:18" ht="16">
      <c r="A165" s="88"/>
      <c r="B165" s="44" t="s">
        <v>43</v>
      </c>
      <c r="C165" s="53"/>
      <c r="D165" s="53"/>
      <c r="E165" s="24">
        <f t="shared" si="132"/>
        <v>0</v>
      </c>
      <c r="F165" s="45"/>
      <c r="G165" s="54" t="e">
        <f t="shared" si="133"/>
        <v>#DIV/0!</v>
      </c>
      <c r="H165" s="53"/>
      <c r="I165" s="55"/>
      <c r="J165" s="53">
        <f t="shared" si="134"/>
        <v>0</v>
      </c>
      <c r="K165" s="50">
        <f t="shared" si="137"/>
        <v>0</v>
      </c>
      <c r="L165" s="73" t="e">
        <f t="shared" si="136"/>
        <v>#DIV/0!</v>
      </c>
      <c r="M165" s="48"/>
      <c r="N165" s="47">
        <f>M165*K165</f>
        <v>0</v>
      </c>
      <c r="R165" s="76">
        <f t="shared" si="123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9">SUM(J158:J165)</f>
        <v>0</v>
      </c>
      <c r="K166" s="59">
        <f t="shared" si="139"/>
        <v>0</v>
      </c>
      <c r="L166" s="61" t="e">
        <f>AVERAGE(L158:L165)</f>
        <v>#DIV/0!</v>
      </c>
      <c r="M166" s="68"/>
      <c r="N166" s="132">
        <f>SUM(N158:N165)</f>
        <v>0</v>
      </c>
      <c r="R166" s="76">
        <f t="shared" si="123"/>
        <v>0</v>
      </c>
    </row>
    <row r="167" spans="1:18" ht="16">
      <c r="A167" s="66"/>
      <c r="B167" s="90" t="s">
        <v>30</v>
      </c>
      <c r="C167" s="83"/>
      <c r="D167" s="12"/>
      <c r="E167" s="36">
        <f t="shared" ref="E167:E174" si="140">D167-C167</f>
        <v>0</v>
      </c>
      <c r="F167" s="37"/>
      <c r="G167" s="13" t="e">
        <f t="shared" ref="G167:G174" si="141">(F167/E167)*100</f>
        <v>#DIV/0!</v>
      </c>
      <c r="H167" s="125"/>
      <c r="I167" s="126"/>
      <c r="J167" s="39">
        <f t="shared" ref="J167:J174" si="142">I167-H167</f>
        <v>0</v>
      </c>
      <c r="K167" s="50">
        <f t="shared" ref="K167:K174" si="143">F167</f>
        <v>0</v>
      </c>
      <c r="L167" s="67" t="e">
        <f t="shared" ref="L167:L174" si="144">(K167/J167)*100</f>
        <v>#DIV/0!</v>
      </c>
      <c r="M167" s="68"/>
      <c r="N167" s="47">
        <f>F167*M167</f>
        <v>0</v>
      </c>
      <c r="R167" s="76">
        <f t="shared" si="123"/>
        <v>0</v>
      </c>
    </row>
    <row r="168" spans="1:18" ht="16">
      <c r="A168" s="66"/>
      <c r="B168" s="44" t="s">
        <v>30</v>
      </c>
      <c r="C168" s="35"/>
      <c r="D168" s="12"/>
      <c r="E168" s="11">
        <f t="shared" si="140"/>
        <v>0</v>
      </c>
      <c r="F168" s="45"/>
      <c r="G168" s="13" t="e">
        <f t="shared" si="141"/>
        <v>#DIV/0!</v>
      </c>
      <c r="H168" s="38"/>
      <c r="I168" s="38"/>
      <c r="J168" s="35">
        <f t="shared" si="142"/>
        <v>0</v>
      </c>
      <c r="K168" s="50">
        <f t="shared" si="143"/>
        <v>0</v>
      </c>
      <c r="L168" s="46" t="e">
        <f t="shared" si="144"/>
        <v>#DIV/0!</v>
      </c>
      <c r="M168" s="48"/>
      <c r="N168" s="47"/>
      <c r="R168" s="76">
        <f t="shared" si="123"/>
        <v>0</v>
      </c>
    </row>
    <row r="169" spans="1:18" ht="16">
      <c r="A169" s="33"/>
      <c r="B169" s="44" t="s">
        <v>30</v>
      </c>
      <c r="C169" s="35"/>
      <c r="D169" s="35"/>
      <c r="E169" s="11">
        <f t="shared" si="140"/>
        <v>0</v>
      </c>
      <c r="F169" s="45"/>
      <c r="G169" s="13" t="e">
        <f t="shared" si="141"/>
        <v>#DIV/0!</v>
      </c>
      <c r="H169" s="35"/>
      <c r="I169" s="38"/>
      <c r="J169" s="35">
        <f t="shared" si="142"/>
        <v>0</v>
      </c>
      <c r="K169" s="50">
        <f t="shared" si="143"/>
        <v>0</v>
      </c>
      <c r="L169" s="46" t="e">
        <f t="shared" si="144"/>
        <v>#DIV/0!</v>
      </c>
      <c r="M169" s="48"/>
      <c r="N169" s="47"/>
      <c r="R169" s="76">
        <f t="shared" si="123"/>
        <v>0</v>
      </c>
    </row>
    <row r="170" spans="1:18" ht="16">
      <c r="A170" s="33"/>
      <c r="B170" s="44" t="s">
        <v>30</v>
      </c>
      <c r="C170" s="35"/>
      <c r="D170" s="35"/>
      <c r="E170" s="11">
        <f t="shared" si="140"/>
        <v>0</v>
      </c>
      <c r="F170" s="45"/>
      <c r="G170" s="13" t="e">
        <f t="shared" si="141"/>
        <v>#DIV/0!</v>
      </c>
      <c r="H170" s="35"/>
      <c r="I170" s="38"/>
      <c r="J170" s="35">
        <f t="shared" si="142"/>
        <v>0</v>
      </c>
      <c r="K170" s="50">
        <f t="shared" si="143"/>
        <v>0</v>
      </c>
      <c r="L170" s="46" t="e">
        <f t="shared" si="144"/>
        <v>#DIV/0!</v>
      </c>
      <c r="M170" s="48"/>
      <c r="N170" s="47"/>
      <c r="R170" s="76">
        <f t="shared" si="123"/>
        <v>0</v>
      </c>
    </row>
    <row r="171" spans="1:18" ht="16">
      <c r="A171" s="33"/>
      <c r="B171" s="44" t="s">
        <v>30</v>
      </c>
      <c r="C171" s="35"/>
      <c r="D171" s="35"/>
      <c r="E171" s="11">
        <f t="shared" si="140"/>
        <v>0</v>
      </c>
      <c r="F171" s="45"/>
      <c r="G171" s="13" t="e">
        <f t="shared" si="141"/>
        <v>#DIV/0!</v>
      </c>
      <c r="H171" s="35"/>
      <c r="I171" s="38"/>
      <c r="J171" s="35">
        <f t="shared" si="142"/>
        <v>0</v>
      </c>
      <c r="K171" s="50">
        <f t="shared" si="143"/>
        <v>0</v>
      </c>
      <c r="L171" s="46" t="e">
        <f t="shared" si="144"/>
        <v>#DIV/0!</v>
      </c>
      <c r="M171" s="48"/>
      <c r="N171" s="47"/>
      <c r="R171" s="76">
        <f t="shared" si="123"/>
        <v>0</v>
      </c>
    </row>
    <row r="172" spans="1:18" ht="16">
      <c r="A172" s="33"/>
      <c r="B172" s="44" t="s">
        <v>30</v>
      </c>
      <c r="C172" s="35"/>
      <c r="D172" s="35"/>
      <c r="E172" s="11">
        <f t="shared" si="140"/>
        <v>0</v>
      </c>
      <c r="F172" s="45"/>
      <c r="G172" s="13" t="e">
        <f t="shared" si="141"/>
        <v>#DIV/0!</v>
      </c>
      <c r="H172" s="35"/>
      <c r="I172" s="38"/>
      <c r="J172" s="35">
        <f t="shared" si="142"/>
        <v>0</v>
      </c>
      <c r="K172" s="50">
        <f t="shared" si="143"/>
        <v>0</v>
      </c>
      <c r="L172" s="46" t="e">
        <f t="shared" si="144"/>
        <v>#DIV/0!</v>
      </c>
      <c r="M172" s="48"/>
      <c r="N172" s="47">
        <f t="shared" ref="N172:N173" si="145">F172*M172</f>
        <v>0</v>
      </c>
      <c r="R172" s="76">
        <f t="shared" si="123"/>
        <v>0</v>
      </c>
    </row>
    <row r="173" spans="1:18" ht="16">
      <c r="A173" s="33"/>
      <c r="B173" s="44" t="s">
        <v>30</v>
      </c>
      <c r="C173" s="35"/>
      <c r="D173" s="35"/>
      <c r="E173" s="11">
        <f t="shared" si="140"/>
        <v>0</v>
      </c>
      <c r="F173" s="45"/>
      <c r="G173" s="13" t="e">
        <f t="shared" si="141"/>
        <v>#DIV/0!</v>
      </c>
      <c r="H173" s="35"/>
      <c r="I173" s="38"/>
      <c r="J173" s="35">
        <f t="shared" si="142"/>
        <v>0</v>
      </c>
      <c r="K173" s="50">
        <f t="shared" si="143"/>
        <v>0</v>
      </c>
      <c r="L173" s="73" t="e">
        <f t="shared" si="144"/>
        <v>#DIV/0!</v>
      </c>
      <c r="M173" s="48"/>
      <c r="N173" s="47">
        <f t="shared" si="145"/>
        <v>0</v>
      </c>
      <c r="R173" s="76">
        <f t="shared" si="123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40"/>
        <v>0</v>
      </c>
      <c r="F174" s="37"/>
      <c r="G174" s="54" t="e">
        <f t="shared" si="141"/>
        <v>#DIV/0!</v>
      </c>
      <c r="H174" s="134"/>
      <c r="I174" s="135"/>
      <c r="J174" s="134">
        <f t="shared" si="142"/>
        <v>0</v>
      </c>
      <c r="K174" s="50">
        <f t="shared" si="143"/>
        <v>0</v>
      </c>
      <c r="L174" s="136" t="e">
        <f t="shared" si="144"/>
        <v>#DIV/0!</v>
      </c>
      <c r="M174" s="137"/>
      <c r="N174" s="47">
        <f>M174*K174</f>
        <v>0</v>
      </c>
      <c r="R174" s="76">
        <f t="shared" si="123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6">SUM(E167:E174)</f>
        <v>0</v>
      </c>
      <c r="F175" s="59">
        <f t="shared" si="146"/>
        <v>0</v>
      </c>
      <c r="G175" s="61" t="e">
        <f>AVERAGE(G167:G174)</f>
        <v>#DIV/0!</v>
      </c>
      <c r="H175" s="59"/>
      <c r="I175" s="62"/>
      <c r="J175" s="59">
        <f t="shared" ref="J175:K175" si="147">SUM(J167:J174)</f>
        <v>0</v>
      </c>
      <c r="K175" s="59">
        <f t="shared" si="147"/>
        <v>0</v>
      </c>
      <c r="L175" s="61" t="e">
        <f>AVERAGE(L167:L174)</f>
        <v>#DIV/0!</v>
      </c>
      <c r="M175" s="64"/>
      <c r="N175" s="65">
        <f>SUM(N167:N174)</f>
        <v>0</v>
      </c>
      <c r="R175" s="76">
        <f t="shared" si="123"/>
        <v>0</v>
      </c>
    </row>
    <row r="176" spans="1:18" ht="16">
      <c r="A176" s="138"/>
      <c r="B176" s="90" t="s">
        <v>44</v>
      </c>
      <c r="C176" s="83"/>
      <c r="D176" s="12"/>
      <c r="E176" s="11">
        <f t="shared" ref="E176:E183" si="148">D176-C176</f>
        <v>0</v>
      </c>
      <c r="F176" s="37"/>
      <c r="G176" s="13" t="e">
        <f t="shared" ref="G176:G183" si="149">(F176/E176)*100</f>
        <v>#DIV/0!</v>
      </c>
      <c r="H176" s="125"/>
      <c r="I176" s="126"/>
      <c r="J176" s="39">
        <f t="shared" ref="J176:J183" si="150">I176-H176</f>
        <v>0</v>
      </c>
      <c r="K176" s="50">
        <f t="shared" ref="K176:K183" si="151">F176</f>
        <v>0</v>
      </c>
      <c r="L176" s="67" t="e">
        <f t="shared" ref="L176:L183" si="152">(K176/J176)*100</f>
        <v>#DIV/0!</v>
      </c>
      <c r="M176" s="68"/>
      <c r="N176" s="47">
        <f t="shared" ref="N176:N178" si="153">F176*M176</f>
        <v>0</v>
      </c>
    </row>
    <row r="177" spans="1:14" ht="16">
      <c r="A177" s="33"/>
      <c r="B177" s="90" t="s">
        <v>44</v>
      </c>
      <c r="C177" s="35"/>
      <c r="D177" s="12"/>
      <c r="E177" s="11">
        <f t="shared" si="148"/>
        <v>0</v>
      </c>
      <c r="F177" s="45"/>
      <c r="G177" s="13" t="e">
        <f t="shared" si="149"/>
        <v>#DIV/0!</v>
      </c>
      <c r="H177" s="38"/>
      <c r="I177" s="38"/>
      <c r="J177" s="35">
        <f t="shared" si="150"/>
        <v>0</v>
      </c>
      <c r="K177" s="50">
        <f t="shared" si="151"/>
        <v>0</v>
      </c>
      <c r="L177" s="46" t="e">
        <f t="shared" si="152"/>
        <v>#DIV/0!</v>
      </c>
      <c r="M177" s="68"/>
      <c r="N177" s="47">
        <f t="shared" si="153"/>
        <v>0</v>
      </c>
    </row>
    <row r="178" spans="1:14" ht="16">
      <c r="A178" s="33"/>
      <c r="B178" s="90" t="s">
        <v>44</v>
      </c>
      <c r="C178" s="35"/>
      <c r="D178" s="35"/>
      <c r="E178" s="11">
        <f t="shared" si="148"/>
        <v>0</v>
      </c>
      <c r="F178" s="45"/>
      <c r="G178" s="13" t="e">
        <f t="shared" si="149"/>
        <v>#DIV/0!</v>
      </c>
      <c r="H178" s="35"/>
      <c r="I178" s="38"/>
      <c r="J178" s="35">
        <f t="shared" si="150"/>
        <v>0</v>
      </c>
      <c r="K178" s="50">
        <f t="shared" si="151"/>
        <v>0</v>
      </c>
      <c r="L178" s="46" t="e">
        <f t="shared" si="152"/>
        <v>#DIV/0!</v>
      </c>
      <c r="M178" s="68"/>
      <c r="N178" s="47">
        <f t="shared" si="153"/>
        <v>0</v>
      </c>
    </row>
    <row r="179" spans="1:14" ht="16">
      <c r="A179" s="33"/>
      <c r="B179" s="90" t="s">
        <v>44</v>
      </c>
      <c r="C179" s="35"/>
      <c r="D179" s="35"/>
      <c r="E179" s="11">
        <f t="shared" si="148"/>
        <v>0</v>
      </c>
      <c r="F179" s="45"/>
      <c r="G179" s="13" t="e">
        <f t="shared" si="149"/>
        <v>#DIV/0!</v>
      </c>
      <c r="H179" s="35"/>
      <c r="I179" s="38"/>
      <c r="J179" s="35">
        <f t="shared" si="150"/>
        <v>0</v>
      </c>
      <c r="K179" s="50">
        <f t="shared" si="151"/>
        <v>0</v>
      </c>
      <c r="L179" s="46" t="e">
        <f t="shared" si="152"/>
        <v>#DIV/0!</v>
      </c>
      <c r="M179" s="68"/>
      <c r="N179" s="121"/>
    </row>
    <row r="180" spans="1:14" ht="16">
      <c r="A180" s="33"/>
      <c r="B180" s="90" t="s">
        <v>44</v>
      </c>
      <c r="C180" s="35"/>
      <c r="D180" s="35"/>
      <c r="E180" s="11">
        <f t="shared" si="148"/>
        <v>0</v>
      </c>
      <c r="F180" s="45"/>
      <c r="G180" s="13" t="e">
        <f t="shared" si="149"/>
        <v>#DIV/0!</v>
      </c>
      <c r="H180" s="35"/>
      <c r="I180" s="38"/>
      <c r="J180" s="35">
        <f t="shared" si="150"/>
        <v>0</v>
      </c>
      <c r="K180" s="50">
        <f t="shared" si="151"/>
        <v>0</v>
      </c>
      <c r="L180" s="46" t="e">
        <f t="shared" si="152"/>
        <v>#DIV/0!</v>
      </c>
      <c r="M180" s="68"/>
      <c r="N180" s="121"/>
    </row>
    <row r="181" spans="1:14" ht="16">
      <c r="A181" s="33"/>
      <c r="B181" s="90" t="s">
        <v>44</v>
      </c>
      <c r="C181" s="35"/>
      <c r="D181" s="35"/>
      <c r="E181" s="11">
        <f t="shared" si="148"/>
        <v>0</v>
      </c>
      <c r="F181" s="45"/>
      <c r="G181" s="13" t="e">
        <f t="shared" si="149"/>
        <v>#DIV/0!</v>
      </c>
      <c r="H181" s="35"/>
      <c r="I181" s="38"/>
      <c r="J181" s="35">
        <f t="shared" si="150"/>
        <v>0</v>
      </c>
      <c r="K181" s="50">
        <f t="shared" si="151"/>
        <v>0</v>
      </c>
      <c r="L181" s="46" t="e">
        <f t="shared" si="152"/>
        <v>#DIV/0!</v>
      </c>
      <c r="M181" s="68"/>
      <c r="N181" s="121">
        <f t="shared" ref="N181:N183" si="154">M181*K181</f>
        <v>0</v>
      </c>
    </row>
    <row r="182" spans="1:14" ht="16">
      <c r="A182" s="33"/>
      <c r="B182" s="90" t="s">
        <v>44</v>
      </c>
      <c r="C182" s="35"/>
      <c r="D182" s="35"/>
      <c r="E182" s="11">
        <f t="shared" si="148"/>
        <v>0</v>
      </c>
      <c r="F182" s="45"/>
      <c r="G182" s="13" t="e">
        <f t="shared" si="149"/>
        <v>#DIV/0!</v>
      </c>
      <c r="H182" s="35"/>
      <c r="I182" s="38"/>
      <c r="J182" s="35">
        <f t="shared" si="150"/>
        <v>0</v>
      </c>
      <c r="K182" s="50">
        <f t="shared" si="151"/>
        <v>0</v>
      </c>
      <c r="L182" s="46" t="e">
        <f t="shared" si="152"/>
        <v>#DIV/0!</v>
      </c>
      <c r="M182" s="48"/>
      <c r="N182" s="121">
        <f t="shared" si="154"/>
        <v>0</v>
      </c>
    </row>
    <row r="183" spans="1:14" ht="16">
      <c r="A183" s="88"/>
      <c r="B183" s="90" t="s">
        <v>44</v>
      </c>
      <c r="C183" s="53"/>
      <c r="D183" s="53"/>
      <c r="E183" s="24">
        <f t="shared" si="148"/>
        <v>0</v>
      </c>
      <c r="F183" s="45"/>
      <c r="G183" s="54" t="e">
        <f t="shared" si="149"/>
        <v>#DIV/0!</v>
      </c>
      <c r="H183" s="53"/>
      <c r="I183" s="55"/>
      <c r="J183" s="53">
        <f t="shared" si="150"/>
        <v>0</v>
      </c>
      <c r="K183" s="50">
        <f t="shared" si="151"/>
        <v>0</v>
      </c>
      <c r="L183" s="73" t="e">
        <f t="shared" si="152"/>
        <v>#DIV/0!</v>
      </c>
      <c r="M183" s="56"/>
      <c r="N183" s="47">
        <f t="shared" si="154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5">SUM(E176:E183)</f>
        <v>0</v>
      </c>
      <c r="F184" s="59">
        <f t="shared" si="155"/>
        <v>0</v>
      </c>
      <c r="G184" s="61" t="e">
        <f>AVERAGE(G176:G183)</f>
        <v>#DIV/0!</v>
      </c>
      <c r="H184" s="59"/>
      <c r="I184" s="62"/>
      <c r="J184" s="59">
        <f t="shared" ref="J184:K184" si="156">SUM(J176:J183)</f>
        <v>0</v>
      </c>
      <c r="K184" s="59">
        <f t="shared" si="156"/>
        <v>0</v>
      </c>
      <c r="L184" s="61" t="e">
        <f>AVERAGE(L176:L183)</f>
        <v>#DIV/0!</v>
      </c>
      <c r="M184" s="64"/>
      <c r="N184" s="65">
        <f>SUM(N176:N183)</f>
        <v>0</v>
      </c>
    </row>
    <row r="185" spans="1:14" ht="16">
      <c r="A185" s="139"/>
      <c r="B185" s="140" t="s">
        <v>32</v>
      </c>
      <c r="C185" s="83"/>
      <c r="D185" s="12"/>
      <c r="E185" s="36">
        <f t="shared" ref="E185:E192" si="157">D185-C185</f>
        <v>0</v>
      </c>
      <c r="F185" s="37">
        <v>55</v>
      </c>
      <c r="G185" s="13" t="e">
        <f t="shared" ref="G185:G192" si="158">(F185/E185)*100</f>
        <v>#DIV/0!</v>
      </c>
      <c r="H185" s="125"/>
      <c r="I185" s="126"/>
      <c r="J185" s="39">
        <f t="shared" ref="J185:J192" si="159">I185-H185</f>
        <v>0</v>
      </c>
      <c r="K185" s="50"/>
      <c r="L185" s="136" t="e">
        <f t="shared" ref="L185:L192" si="160">(K185/J185)*100</f>
        <v>#DIV/0!</v>
      </c>
      <c r="M185" s="68"/>
      <c r="N185" s="121">
        <f t="shared" ref="N185:N187" si="161">M185*K185</f>
        <v>0</v>
      </c>
    </row>
    <row r="186" spans="1:14" ht="16">
      <c r="A186" s="138"/>
      <c r="B186" s="140" t="s">
        <v>32</v>
      </c>
      <c r="C186" s="83"/>
      <c r="D186" s="12"/>
      <c r="E186" s="36">
        <f t="shared" si="157"/>
        <v>0</v>
      </c>
      <c r="F186" s="45">
        <v>84</v>
      </c>
      <c r="G186" s="13" t="e">
        <f t="shared" si="158"/>
        <v>#DIV/0!</v>
      </c>
      <c r="H186" s="38"/>
      <c r="I186" s="38"/>
      <c r="J186" s="35">
        <f t="shared" si="159"/>
        <v>0</v>
      </c>
      <c r="K186" s="50"/>
      <c r="L186" s="136" t="e">
        <f t="shared" si="160"/>
        <v>#DIV/0!</v>
      </c>
      <c r="M186" s="116"/>
      <c r="N186" s="121">
        <f t="shared" si="161"/>
        <v>0</v>
      </c>
    </row>
    <row r="187" spans="1:14" ht="16">
      <c r="A187" s="138"/>
      <c r="B187" s="140" t="s">
        <v>32</v>
      </c>
      <c r="C187" s="83"/>
      <c r="D187" s="83"/>
      <c r="E187" s="11">
        <f t="shared" si="157"/>
        <v>0</v>
      </c>
      <c r="F187" s="141">
        <v>81</v>
      </c>
      <c r="G187" s="13" t="e">
        <f t="shared" si="158"/>
        <v>#DIV/0!</v>
      </c>
      <c r="H187" s="35"/>
      <c r="I187" s="38"/>
      <c r="J187" s="35">
        <f t="shared" si="159"/>
        <v>0</v>
      </c>
      <c r="K187" s="50"/>
      <c r="L187" s="136" t="e">
        <f t="shared" si="160"/>
        <v>#DIV/0!</v>
      </c>
      <c r="M187" s="116"/>
      <c r="N187" s="121">
        <f t="shared" si="161"/>
        <v>0</v>
      </c>
    </row>
    <row r="188" spans="1:14" ht="16">
      <c r="A188" s="138"/>
      <c r="B188" s="140" t="s">
        <v>32</v>
      </c>
      <c r="C188" s="83"/>
      <c r="D188" s="83"/>
      <c r="E188" s="11">
        <f t="shared" si="157"/>
        <v>0</v>
      </c>
      <c r="F188" s="141"/>
      <c r="G188" s="13" t="e">
        <f t="shared" si="158"/>
        <v>#DIV/0!</v>
      </c>
      <c r="H188" s="35"/>
      <c r="I188" s="38"/>
      <c r="J188" s="35">
        <f t="shared" si="159"/>
        <v>0</v>
      </c>
      <c r="K188" s="50">
        <f t="shared" ref="K188:K189" si="162">F188</f>
        <v>0</v>
      </c>
      <c r="L188" s="136" t="e">
        <f t="shared" si="160"/>
        <v>#DIV/0!</v>
      </c>
      <c r="M188" s="116"/>
      <c r="N188" s="121"/>
    </row>
    <row r="189" spans="1:14" ht="16">
      <c r="A189" s="138"/>
      <c r="B189" s="140" t="s">
        <v>32</v>
      </c>
      <c r="C189" s="83"/>
      <c r="D189" s="83"/>
      <c r="E189" s="11">
        <f t="shared" si="157"/>
        <v>0</v>
      </c>
      <c r="F189" s="141"/>
      <c r="G189" s="13" t="e">
        <f t="shared" si="158"/>
        <v>#DIV/0!</v>
      </c>
      <c r="H189" s="35"/>
      <c r="I189" s="38"/>
      <c r="J189" s="35">
        <f t="shared" si="159"/>
        <v>0</v>
      </c>
      <c r="K189" s="50">
        <f t="shared" si="162"/>
        <v>0</v>
      </c>
      <c r="L189" s="136" t="e">
        <f t="shared" si="160"/>
        <v>#DIV/0!</v>
      </c>
      <c r="M189" s="116"/>
      <c r="N189" s="121"/>
    </row>
    <row r="190" spans="1:14" ht="16">
      <c r="A190" s="138"/>
      <c r="B190" s="140" t="s">
        <v>32</v>
      </c>
      <c r="C190" s="83"/>
      <c r="D190" s="83"/>
      <c r="E190" s="11">
        <f t="shared" si="157"/>
        <v>0</v>
      </c>
      <c r="F190" s="141"/>
      <c r="G190" s="13" t="e">
        <f t="shared" si="158"/>
        <v>#DIV/0!</v>
      </c>
      <c r="H190" s="35"/>
      <c r="I190" s="38"/>
      <c r="J190" s="35">
        <f t="shared" si="159"/>
        <v>0</v>
      </c>
      <c r="K190" s="50"/>
      <c r="L190" s="136" t="e">
        <f t="shared" si="160"/>
        <v>#DIV/0!</v>
      </c>
      <c r="M190" s="116"/>
      <c r="N190" s="121">
        <f t="shared" ref="N190:N192" si="163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7"/>
        <v>0</v>
      </c>
      <c r="F191" s="141"/>
      <c r="G191" s="13" t="e">
        <f t="shared" si="158"/>
        <v>#DIV/0!</v>
      </c>
      <c r="H191" s="83"/>
      <c r="I191" s="125"/>
      <c r="J191" s="83">
        <f t="shared" si="159"/>
        <v>0</v>
      </c>
      <c r="K191" s="50"/>
      <c r="L191" s="136" t="e">
        <f t="shared" si="160"/>
        <v>#DIV/0!</v>
      </c>
      <c r="M191" s="116"/>
      <c r="N191" s="121">
        <f t="shared" si="163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7"/>
        <v>0</v>
      </c>
      <c r="F192" s="143"/>
      <c r="G192" s="54" t="e">
        <f t="shared" si="158"/>
        <v>#DIV/0!</v>
      </c>
      <c r="H192" s="134"/>
      <c r="I192" s="135"/>
      <c r="J192" s="134">
        <f t="shared" si="159"/>
        <v>0</v>
      </c>
      <c r="K192" s="50"/>
      <c r="L192" s="136" t="e">
        <f t="shared" si="160"/>
        <v>#DIV/0!</v>
      </c>
      <c r="M192" s="137"/>
      <c r="N192" s="47">
        <f t="shared" si="163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4">SUM(E185:E192)</f>
        <v>0</v>
      </c>
      <c r="F193" s="59">
        <f t="shared" si="164"/>
        <v>220</v>
      </c>
      <c r="G193" s="61" t="e">
        <f>AVERAGE(G185:G192)</f>
        <v>#DIV/0!</v>
      </c>
      <c r="H193" s="59"/>
      <c r="I193" s="62"/>
      <c r="J193" s="59">
        <f t="shared" ref="J193:K193" si="165">SUM(J185:J192)</f>
        <v>0</v>
      </c>
      <c r="K193" s="59">
        <f t="shared" si="165"/>
        <v>0</v>
      </c>
      <c r="L193" s="61" t="e">
        <f>AVERAGE(L185:L192)</f>
        <v>#DIV/0!</v>
      </c>
      <c r="M193" s="64"/>
      <c r="N193" s="65">
        <f>SUM(N185:N192)</f>
        <v>0</v>
      </c>
    </row>
    <row r="194" spans="1:18" ht="16">
      <c r="A194" s="139"/>
      <c r="B194" s="144" t="s">
        <v>33</v>
      </c>
      <c r="C194" s="83"/>
      <c r="D194" s="145"/>
      <c r="E194" s="36">
        <f t="shared" ref="E194:E200" si="166">D194-C194</f>
        <v>0</v>
      </c>
      <c r="F194" s="37"/>
      <c r="G194" s="114" t="e">
        <f t="shared" ref="G194:G200" si="167">(F194/E194)*100</f>
        <v>#DIV/0!</v>
      </c>
      <c r="H194" s="125"/>
      <c r="I194" s="126"/>
      <c r="J194" s="39">
        <f t="shared" ref="J194:J200" si="168">I194-H194</f>
        <v>0</v>
      </c>
      <c r="K194" s="50">
        <f t="shared" ref="K194:K200" si="169">F194</f>
        <v>0</v>
      </c>
      <c r="L194" s="146" t="e">
        <f t="shared" ref="L194:L200" si="170">(K194/J194)*100</f>
        <v>#DIV/0!</v>
      </c>
      <c r="M194" s="68"/>
      <c r="N194" s="47">
        <f t="shared" ref="N194:N195" si="171">F194*M194</f>
        <v>0</v>
      </c>
      <c r="R194" s="76">
        <f t="shared" ref="R194:R200" si="172">Q194</f>
        <v>0</v>
      </c>
    </row>
    <row r="195" spans="1:18" ht="16">
      <c r="A195" s="138"/>
      <c r="B195" s="140" t="s">
        <v>33</v>
      </c>
      <c r="C195" s="83"/>
      <c r="D195" s="12"/>
      <c r="E195" s="36">
        <f t="shared" si="166"/>
        <v>0</v>
      </c>
      <c r="F195" s="45"/>
      <c r="G195" s="13" t="e">
        <f t="shared" si="167"/>
        <v>#DIV/0!</v>
      </c>
      <c r="H195" s="38"/>
      <c r="I195" s="38"/>
      <c r="J195" s="35">
        <f t="shared" si="168"/>
        <v>0</v>
      </c>
      <c r="K195" s="50">
        <f t="shared" si="169"/>
        <v>0</v>
      </c>
      <c r="L195" s="136" t="e">
        <f t="shared" si="170"/>
        <v>#DIV/0!</v>
      </c>
      <c r="M195" s="116"/>
      <c r="N195" s="47">
        <f t="shared" si="171"/>
        <v>0</v>
      </c>
      <c r="R195" s="76">
        <f t="shared" si="172"/>
        <v>0</v>
      </c>
    </row>
    <row r="196" spans="1:18" ht="16">
      <c r="A196" s="138"/>
      <c r="B196" s="140" t="s">
        <v>33</v>
      </c>
      <c r="C196" s="83"/>
      <c r="D196" s="83"/>
      <c r="E196" s="11">
        <f t="shared" si="166"/>
        <v>0</v>
      </c>
      <c r="F196" s="141"/>
      <c r="G196" s="13" t="e">
        <f t="shared" si="167"/>
        <v>#DIV/0!</v>
      </c>
      <c r="H196" s="35"/>
      <c r="I196" s="38"/>
      <c r="J196" s="35">
        <f t="shared" si="168"/>
        <v>0</v>
      </c>
      <c r="K196" s="50">
        <f t="shared" si="169"/>
        <v>0</v>
      </c>
      <c r="L196" s="136" t="e">
        <f t="shared" si="170"/>
        <v>#DIV/0!</v>
      </c>
      <c r="M196" s="116"/>
      <c r="N196" s="121"/>
      <c r="R196" s="76">
        <f t="shared" si="172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6"/>
        <v>0</v>
      </c>
      <c r="F197" s="141"/>
      <c r="G197" s="13" t="e">
        <f t="shared" si="167"/>
        <v>#DIV/0!</v>
      </c>
      <c r="H197" s="35"/>
      <c r="I197" s="38"/>
      <c r="J197" s="35">
        <f t="shared" si="168"/>
        <v>0</v>
      </c>
      <c r="K197" s="50">
        <f t="shared" si="169"/>
        <v>0</v>
      </c>
      <c r="L197" s="136" t="e">
        <f t="shared" si="170"/>
        <v>#DIV/0!</v>
      </c>
      <c r="M197" s="116"/>
      <c r="N197" s="121"/>
      <c r="R197" s="76">
        <f t="shared" si="172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6"/>
        <v>0</v>
      </c>
      <c r="F198" s="141"/>
      <c r="G198" s="13" t="e">
        <f t="shared" si="167"/>
        <v>#DIV/0!</v>
      </c>
      <c r="H198" s="35"/>
      <c r="I198" s="38"/>
      <c r="J198" s="35">
        <f t="shared" si="168"/>
        <v>0</v>
      </c>
      <c r="K198" s="50">
        <f t="shared" si="169"/>
        <v>0</v>
      </c>
      <c r="L198" s="136" t="e">
        <f t="shared" si="170"/>
        <v>#DIV/0!</v>
      </c>
      <c r="M198" s="116"/>
      <c r="N198" s="121">
        <f t="shared" ref="N198:N200" si="173">M198*K198</f>
        <v>0</v>
      </c>
      <c r="R198" s="76">
        <f t="shared" si="172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6"/>
        <v>0</v>
      </c>
      <c r="F199" s="141"/>
      <c r="G199" s="13" t="e">
        <f t="shared" si="167"/>
        <v>#DIV/0!</v>
      </c>
      <c r="H199" s="35"/>
      <c r="I199" s="38"/>
      <c r="J199" s="35">
        <f t="shared" si="168"/>
        <v>0</v>
      </c>
      <c r="K199" s="50">
        <f t="shared" si="169"/>
        <v>0</v>
      </c>
      <c r="L199" s="136" t="e">
        <f t="shared" si="170"/>
        <v>#DIV/0!</v>
      </c>
      <c r="M199" s="116"/>
      <c r="N199" s="121">
        <f t="shared" si="173"/>
        <v>0</v>
      </c>
      <c r="R199" s="76">
        <f t="shared" si="172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6"/>
        <v>0</v>
      </c>
      <c r="F200" s="141"/>
      <c r="G200" s="13" t="e">
        <f t="shared" si="167"/>
        <v>#DIV/0!</v>
      </c>
      <c r="H200" s="83"/>
      <c r="I200" s="125"/>
      <c r="J200" s="83">
        <f t="shared" si="168"/>
        <v>0</v>
      </c>
      <c r="K200" s="50">
        <f t="shared" si="169"/>
        <v>0</v>
      </c>
      <c r="L200" s="136" t="e">
        <f t="shared" si="170"/>
        <v>#DIV/0!</v>
      </c>
      <c r="M200" s="116"/>
      <c r="N200" s="121">
        <f t="shared" si="173"/>
        <v>0</v>
      </c>
      <c r="R200" s="76">
        <f t="shared" si="172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74">SUM(E188:E200)</f>
        <v>0</v>
      </c>
      <c r="F201" s="59">
        <f t="shared" si="174"/>
        <v>220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0</v>
      </c>
      <c r="L201" s="61" t="e">
        <f>AVERAGE(L188:L200)</f>
        <v>#DIV/0!</v>
      </c>
      <c r="M201" s="64"/>
      <c r="N201" s="132">
        <f>SUM(N194:N200)</f>
        <v>0</v>
      </c>
    </row>
    <row r="202" spans="1:18" ht="16">
      <c r="A202" s="138"/>
      <c r="B202" s="140" t="s">
        <v>34</v>
      </c>
      <c r="C202" s="83"/>
      <c r="D202" s="145"/>
      <c r="E202" s="36">
        <f t="shared" ref="E202:E208" si="175">D202-C202</f>
        <v>0</v>
      </c>
      <c r="F202" s="37"/>
      <c r="G202" s="114" t="e">
        <f t="shared" ref="G202:G208" si="176">(F202/E202)*100</f>
        <v>#DIV/0!</v>
      </c>
      <c r="H202" s="125"/>
      <c r="I202" s="126"/>
      <c r="J202" s="39">
        <f t="shared" ref="J202:J208" si="177">I202-H202</f>
        <v>0</v>
      </c>
      <c r="K202" s="50">
        <f t="shared" ref="K202:K208" si="178">F202</f>
        <v>0</v>
      </c>
      <c r="L202" s="146" t="e">
        <f t="shared" ref="L202:L208" si="179">(K202/J202)*100</f>
        <v>#DIV/0!</v>
      </c>
      <c r="M202" s="68"/>
      <c r="N202" s="121">
        <f t="shared" ref="N202:N204" si="180">M202*K202</f>
        <v>0</v>
      </c>
    </row>
    <row r="203" spans="1:18" ht="16">
      <c r="A203" s="138"/>
      <c r="B203" s="140" t="s">
        <v>34</v>
      </c>
      <c r="C203" s="83"/>
      <c r="D203" s="12"/>
      <c r="E203" s="36">
        <f t="shared" si="175"/>
        <v>0</v>
      </c>
      <c r="F203" s="45"/>
      <c r="G203" s="13" t="e">
        <f t="shared" si="176"/>
        <v>#DIV/0!</v>
      </c>
      <c r="H203" s="38"/>
      <c r="I203" s="38"/>
      <c r="J203" s="35">
        <f t="shared" si="177"/>
        <v>0</v>
      </c>
      <c r="K203" s="50">
        <f t="shared" si="178"/>
        <v>0</v>
      </c>
      <c r="L203" s="136" t="e">
        <f t="shared" si="179"/>
        <v>#DIV/0!</v>
      </c>
      <c r="M203" s="116"/>
      <c r="N203" s="121">
        <f t="shared" si="180"/>
        <v>0</v>
      </c>
    </row>
    <row r="204" spans="1:18" ht="16">
      <c r="A204" s="138"/>
      <c r="B204" s="140" t="s">
        <v>34</v>
      </c>
      <c r="C204" s="83"/>
      <c r="D204" s="83"/>
      <c r="E204" s="11">
        <f t="shared" si="175"/>
        <v>0</v>
      </c>
      <c r="F204" s="141"/>
      <c r="G204" s="13" t="e">
        <f t="shared" si="176"/>
        <v>#DIV/0!</v>
      </c>
      <c r="H204" s="35"/>
      <c r="I204" s="38"/>
      <c r="J204" s="35">
        <f t="shared" si="177"/>
        <v>0</v>
      </c>
      <c r="K204" s="50">
        <f t="shared" si="178"/>
        <v>0</v>
      </c>
      <c r="L204" s="136" t="e">
        <f t="shared" si="179"/>
        <v>#DIV/0!</v>
      </c>
      <c r="M204" s="116"/>
      <c r="N204" s="121">
        <f t="shared" si="180"/>
        <v>0</v>
      </c>
    </row>
    <row r="205" spans="1:18" ht="16">
      <c r="A205" s="138"/>
      <c r="B205" s="140" t="s">
        <v>34</v>
      </c>
      <c r="C205" s="83"/>
      <c r="D205" s="83"/>
      <c r="E205" s="11">
        <f t="shared" si="175"/>
        <v>0</v>
      </c>
      <c r="F205" s="141"/>
      <c r="G205" s="13" t="e">
        <f t="shared" si="176"/>
        <v>#DIV/0!</v>
      </c>
      <c r="H205" s="35"/>
      <c r="I205" s="38"/>
      <c r="J205" s="35">
        <f t="shared" si="177"/>
        <v>0</v>
      </c>
      <c r="K205" s="50">
        <f t="shared" si="178"/>
        <v>0</v>
      </c>
      <c r="L205" s="136" t="e">
        <f t="shared" si="179"/>
        <v>#DIV/0!</v>
      </c>
      <c r="M205" s="116"/>
      <c r="N205" s="121"/>
    </row>
    <row r="206" spans="1:18" ht="16">
      <c r="A206" s="138"/>
      <c r="B206" s="140" t="s">
        <v>34</v>
      </c>
      <c r="C206" s="83"/>
      <c r="D206" s="83"/>
      <c r="E206" s="11">
        <f t="shared" si="175"/>
        <v>0</v>
      </c>
      <c r="F206" s="141"/>
      <c r="G206" s="13" t="e">
        <f t="shared" si="176"/>
        <v>#DIV/0!</v>
      </c>
      <c r="H206" s="35"/>
      <c r="I206" s="38"/>
      <c r="J206" s="35">
        <f t="shared" si="177"/>
        <v>0</v>
      </c>
      <c r="K206" s="50">
        <f t="shared" si="178"/>
        <v>0</v>
      </c>
      <c r="L206" s="136" t="e">
        <f t="shared" si="179"/>
        <v>#DIV/0!</v>
      </c>
      <c r="M206" s="116"/>
      <c r="N206" s="121">
        <f t="shared" ref="N206:N208" si="181">M206*K206</f>
        <v>0</v>
      </c>
    </row>
    <row r="207" spans="1:18" ht="16">
      <c r="A207" s="138"/>
      <c r="B207" s="140" t="s">
        <v>34</v>
      </c>
      <c r="C207" s="83"/>
      <c r="D207" s="83"/>
      <c r="E207" s="11">
        <f t="shared" si="175"/>
        <v>0</v>
      </c>
      <c r="F207" s="141"/>
      <c r="G207" s="13" t="e">
        <f t="shared" si="176"/>
        <v>#DIV/0!</v>
      </c>
      <c r="H207" s="35"/>
      <c r="I207" s="38"/>
      <c r="J207" s="35">
        <f t="shared" si="177"/>
        <v>0</v>
      </c>
      <c r="K207" s="50">
        <f t="shared" si="178"/>
        <v>0</v>
      </c>
      <c r="L207" s="136" t="e">
        <f t="shared" si="179"/>
        <v>#DIV/0!</v>
      </c>
      <c r="M207" s="116"/>
      <c r="N207" s="121">
        <f t="shared" si="181"/>
        <v>0</v>
      </c>
    </row>
    <row r="208" spans="1:18" ht="16">
      <c r="A208" s="138"/>
      <c r="B208" s="140" t="s">
        <v>34</v>
      </c>
      <c r="C208" s="83"/>
      <c r="D208" s="83"/>
      <c r="E208" s="11">
        <f t="shared" si="175"/>
        <v>0</v>
      </c>
      <c r="F208" s="141"/>
      <c r="G208" s="13" t="e">
        <f t="shared" si="176"/>
        <v>#DIV/0!</v>
      </c>
      <c r="H208" s="83"/>
      <c r="I208" s="125"/>
      <c r="J208" s="83">
        <f t="shared" si="177"/>
        <v>0</v>
      </c>
      <c r="K208" s="50">
        <f t="shared" si="178"/>
        <v>0</v>
      </c>
      <c r="L208" s="136" t="e">
        <f t="shared" si="179"/>
        <v>#DIV/0!</v>
      </c>
      <c r="M208" s="116"/>
      <c r="N208" s="121">
        <f t="shared" si="181"/>
        <v>0</v>
      </c>
      <c r="R208" s="76">
        <f>Q208</f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182">SUM(E194:E208)</f>
        <v>0</v>
      </c>
      <c r="F209" s="59">
        <f t="shared" si="182"/>
        <v>220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0</v>
      </c>
      <c r="L209" s="61" t="e">
        <f>AVERAGE(L194:L208)</f>
        <v>#DIV/0!</v>
      </c>
      <c r="M209" s="64"/>
      <c r="N209" s="132">
        <f>SUM(N202:N208)</f>
        <v>0</v>
      </c>
    </row>
    <row r="210" spans="1:14" ht="16">
      <c r="A210" s="138"/>
      <c r="B210" s="140" t="s">
        <v>36</v>
      </c>
      <c r="C210" s="83"/>
      <c r="D210" s="145"/>
      <c r="E210" s="36">
        <f t="shared" ref="E210:E216" si="183">D210-C210</f>
        <v>0</v>
      </c>
      <c r="F210" s="37"/>
      <c r="G210" s="114" t="e">
        <f t="shared" ref="G210:G216" si="184">(F210/E210)*100</f>
        <v>#DIV/0!</v>
      </c>
      <c r="H210" s="125"/>
      <c r="I210" s="126"/>
      <c r="J210" s="39">
        <f t="shared" ref="J210:J216" si="185">I210-H210</f>
        <v>0</v>
      </c>
      <c r="K210" s="50">
        <f t="shared" ref="K210:K216" si="186">F210</f>
        <v>0</v>
      </c>
      <c r="L210" s="146" t="e">
        <f t="shared" ref="L210:L216" si="187">(K210/J210)*100</f>
        <v>#DIV/0!</v>
      </c>
      <c r="M210" s="68"/>
      <c r="N210" s="47">
        <f t="shared" ref="N210:N213" si="188">F210*M210</f>
        <v>0</v>
      </c>
    </row>
    <row r="211" spans="1:14" ht="16">
      <c r="A211" s="138"/>
      <c r="B211" s="140" t="s">
        <v>36</v>
      </c>
      <c r="C211" s="83"/>
      <c r="D211" s="12"/>
      <c r="E211" s="36">
        <f t="shared" si="183"/>
        <v>0</v>
      </c>
      <c r="F211" s="45"/>
      <c r="G211" s="13" t="e">
        <f t="shared" si="184"/>
        <v>#DIV/0!</v>
      </c>
      <c r="H211" s="38"/>
      <c r="I211" s="38"/>
      <c r="J211" s="35">
        <f t="shared" si="185"/>
        <v>0</v>
      </c>
      <c r="K211" s="50">
        <f t="shared" si="186"/>
        <v>0</v>
      </c>
      <c r="L211" s="136" t="e">
        <f t="shared" si="187"/>
        <v>#DIV/0!</v>
      </c>
      <c r="M211" s="116"/>
      <c r="N211" s="47">
        <f t="shared" si="188"/>
        <v>0</v>
      </c>
    </row>
    <row r="212" spans="1:14" ht="16">
      <c r="A212" s="138"/>
      <c r="B212" s="140" t="s">
        <v>36</v>
      </c>
      <c r="C212" s="83"/>
      <c r="D212" s="83"/>
      <c r="E212" s="11">
        <f t="shared" si="183"/>
        <v>0</v>
      </c>
      <c r="F212" s="141"/>
      <c r="G212" s="13" t="e">
        <f t="shared" si="184"/>
        <v>#DIV/0!</v>
      </c>
      <c r="H212" s="35"/>
      <c r="I212" s="38"/>
      <c r="J212" s="35">
        <f t="shared" si="185"/>
        <v>0</v>
      </c>
      <c r="K212" s="50">
        <f t="shared" si="186"/>
        <v>0</v>
      </c>
      <c r="L212" s="136" t="e">
        <f t="shared" si="187"/>
        <v>#DIV/0!</v>
      </c>
      <c r="M212" s="116"/>
      <c r="N212" s="47">
        <f t="shared" si="188"/>
        <v>0</v>
      </c>
    </row>
    <row r="213" spans="1:14" ht="16">
      <c r="A213" s="138"/>
      <c r="B213" s="140" t="s">
        <v>36</v>
      </c>
      <c r="C213" s="83"/>
      <c r="D213" s="83"/>
      <c r="E213" s="11">
        <f t="shared" si="183"/>
        <v>0</v>
      </c>
      <c r="F213" s="141"/>
      <c r="G213" s="13" t="e">
        <f t="shared" si="184"/>
        <v>#DIV/0!</v>
      </c>
      <c r="H213" s="35"/>
      <c r="I213" s="38"/>
      <c r="J213" s="35">
        <f t="shared" si="185"/>
        <v>0</v>
      </c>
      <c r="K213" s="50">
        <f t="shared" si="186"/>
        <v>0</v>
      </c>
      <c r="L213" s="136" t="e">
        <f t="shared" si="187"/>
        <v>#DIV/0!</v>
      </c>
      <c r="M213" s="116"/>
      <c r="N213" s="47">
        <f t="shared" si="188"/>
        <v>0</v>
      </c>
    </row>
    <row r="214" spans="1:14" ht="16">
      <c r="A214" s="138"/>
      <c r="B214" s="140" t="s">
        <v>36</v>
      </c>
      <c r="C214" s="83"/>
      <c r="D214" s="83"/>
      <c r="E214" s="11">
        <f t="shared" si="183"/>
        <v>0</v>
      </c>
      <c r="F214" s="141"/>
      <c r="G214" s="13" t="e">
        <f t="shared" si="184"/>
        <v>#DIV/0!</v>
      </c>
      <c r="H214" s="35"/>
      <c r="I214" s="38"/>
      <c r="J214" s="35">
        <f t="shared" si="185"/>
        <v>0</v>
      </c>
      <c r="K214" s="50">
        <f t="shared" si="186"/>
        <v>0</v>
      </c>
      <c r="L214" s="136" t="e">
        <f t="shared" si="187"/>
        <v>#DIV/0!</v>
      </c>
      <c r="M214" s="116"/>
      <c r="N214" s="121">
        <f t="shared" ref="N214:N216" si="189">M214*K214</f>
        <v>0</v>
      </c>
    </row>
    <row r="215" spans="1:14" ht="16">
      <c r="A215" s="138"/>
      <c r="B215" s="140" t="s">
        <v>36</v>
      </c>
      <c r="C215" s="83"/>
      <c r="D215" s="83"/>
      <c r="E215" s="11">
        <f t="shared" si="183"/>
        <v>0</v>
      </c>
      <c r="F215" s="141"/>
      <c r="G215" s="13" t="e">
        <f t="shared" si="184"/>
        <v>#DIV/0!</v>
      </c>
      <c r="H215" s="35"/>
      <c r="I215" s="38"/>
      <c r="J215" s="35">
        <f t="shared" si="185"/>
        <v>0</v>
      </c>
      <c r="K215" s="50">
        <f t="shared" si="186"/>
        <v>0</v>
      </c>
      <c r="L215" s="136" t="e">
        <f t="shared" si="187"/>
        <v>#DIV/0!</v>
      </c>
      <c r="M215" s="116"/>
      <c r="N215" s="121">
        <f t="shared" si="189"/>
        <v>0</v>
      </c>
    </row>
    <row r="216" spans="1:14" ht="16">
      <c r="A216" s="138"/>
      <c r="B216" s="140" t="s">
        <v>36</v>
      </c>
      <c r="C216" s="83"/>
      <c r="D216" s="83"/>
      <c r="E216" s="11">
        <f t="shared" si="183"/>
        <v>0</v>
      </c>
      <c r="F216" s="141"/>
      <c r="G216" s="13" t="e">
        <f t="shared" si="184"/>
        <v>#DIV/0!</v>
      </c>
      <c r="H216" s="83"/>
      <c r="I216" s="125"/>
      <c r="J216" s="83">
        <f t="shared" si="185"/>
        <v>0</v>
      </c>
      <c r="K216" s="50">
        <f t="shared" si="186"/>
        <v>0</v>
      </c>
      <c r="L216" s="136" t="e">
        <f t="shared" si="187"/>
        <v>#DIV/0!</v>
      </c>
      <c r="M216" s="116"/>
      <c r="N216" s="121">
        <f t="shared" si="189"/>
        <v>0</v>
      </c>
    </row>
    <row r="217" spans="1:14" ht="16">
      <c r="A217" s="138"/>
      <c r="B217" s="60"/>
      <c r="C217" s="59"/>
      <c r="D217" s="59" t="s">
        <v>19</v>
      </c>
      <c r="E217" s="59">
        <f t="shared" ref="E217:F217" si="190">SUM(E202:E216)</f>
        <v>0</v>
      </c>
      <c r="F217" s="59">
        <f t="shared" si="190"/>
        <v>220</v>
      </c>
      <c r="G217" s="61" t="e">
        <f>AVERAGE(G202:G216)</f>
        <v>#DIV/0!</v>
      </c>
      <c r="H217" s="59"/>
      <c r="I217" s="62"/>
      <c r="J217" s="59">
        <f>SUM(J202:J216)</f>
        <v>0</v>
      </c>
      <c r="K217" s="59">
        <f>SUM(K210:K216)</f>
        <v>0</v>
      </c>
      <c r="L217" s="61" t="e">
        <f>AVERAGE(L202:L216)</f>
        <v>#DIV/0!</v>
      </c>
      <c r="M217" s="64"/>
      <c r="N217" s="132">
        <f>SUM(N210:N216)</f>
        <v>0</v>
      </c>
    </row>
    <row r="218" spans="1:14" ht="16">
      <c r="A218" s="138"/>
      <c r="B218" s="140" t="s">
        <v>67</v>
      </c>
      <c r="C218" s="83"/>
      <c r="D218" s="145"/>
      <c r="E218" s="36">
        <f t="shared" ref="E218:E224" si="191">D218-C218</f>
        <v>0</v>
      </c>
      <c r="F218" s="37"/>
      <c r="G218" s="114" t="e">
        <f t="shared" ref="G218:G224" si="192">(F218/E218)*100</f>
        <v>#DIV/0!</v>
      </c>
      <c r="H218" s="125"/>
      <c r="I218" s="126"/>
      <c r="J218" s="39">
        <f t="shared" ref="J218:J224" si="193">I218-H218</f>
        <v>0</v>
      </c>
      <c r="K218" s="50">
        <f t="shared" ref="K218:K224" si="194">F218</f>
        <v>0</v>
      </c>
      <c r="L218" s="146" t="e">
        <f t="shared" ref="L218:L224" si="195">(K218/J218)*100</f>
        <v>#DIV/0!</v>
      </c>
      <c r="M218" s="68"/>
      <c r="N218" s="47">
        <f t="shared" ref="N218:N221" si="196">F218*M218</f>
        <v>0</v>
      </c>
    </row>
    <row r="219" spans="1:14" ht="16">
      <c r="A219" s="138"/>
      <c r="B219" s="140" t="s">
        <v>67</v>
      </c>
      <c r="C219" s="83"/>
      <c r="D219" s="12"/>
      <c r="E219" s="36">
        <f t="shared" si="191"/>
        <v>0</v>
      </c>
      <c r="F219" s="45"/>
      <c r="G219" s="13" t="e">
        <f t="shared" si="192"/>
        <v>#DIV/0!</v>
      </c>
      <c r="H219" s="38"/>
      <c r="I219" s="38"/>
      <c r="J219" s="35">
        <f t="shared" si="193"/>
        <v>0</v>
      </c>
      <c r="K219" s="50">
        <f t="shared" si="194"/>
        <v>0</v>
      </c>
      <c r="L219" s="136" t="e">
        <f t="shared" si="195"/>
        <v>#DIV/0!</v>
      </c>
      <c r="M219" s="116"/>
      <c r="N219" s="47">
        <f t="shared" si="196"/>
        <v>0</v>
      </c>
    </row>
    <row r="220" spans="1:14" ht="16">
      <c r="A220" s="138"/>
      <c r="B220" s="140" t="s">
        <v>67</v>
      </c>
      <c r="C220" s="83"/>
      <c r="D220" s="83"/>
      <c r="E220" s="11">
        <f t="shared" si="191"/>
        <v>0</v>
      </c>
      <c r="F220" s="141"/>
      <c r="G220" s="13" t="e">
        <f t="shared" si="192"/>
        <v>#DIV/0!</v>
      </c>
      <c r="H220" s="35"/>
      <c r="I220" s="38"/>
      <c r="J220" s="35">
        <f t="shared" si="193"/>
        <v>0</v>
      </c>
      <c r="K220" s="50">
        <f t="shared" si="194"/>
        <v>0</v>
      </c>
      <c r="L220" s="136" t="e">
        <f t="shared" si="195"/>
        <v>#DIV/0!</v>
      </c>
      <c r="M220" s="116"/>
      <c r="N220" s="47">
        <f t="shared" si="196"/>
        <v>0</v>
      </c>
    </row>
    <row r="221" spans="1:14" ht="16">
      <c r="A221" s="138"/>
      <c r="B221" s="140" t="s">
        <v>67</v>
      </c>
      <c r="C221" s="83"/>
      <c r="D221" s="83"/>
      <c r="E221" s="11">
        <f t="shared" si="191"/>
        <v>0</v>
      </c>
      <c r="F221" s="141"/>
      <c r="G221" s="13" t="e">
        <f t="shared" si="192"/>
        <v>#DIV/0!</v>
      </c>
      <c r="H221" s="35"/>
      <c r="I221" s="38"/>
      <c r="J221" s="35">
        <f t="shared" si="193"/>
        <v>0</v>
      </c>
      <c r="K221" s="50">
        <f t="shared" si="194"/>
        <v>0</v>
      </c>
      <c r="L221" s="136" t="e">
        <f t="shared" si="195"/>
        <v>#DIV/0!</v>
      </c>
      <c r="M221" s="116"/>
      <c r="N221" s="47">
        <f t="shared" si="196"/>
        <v>0</v>
      </c>
    </row>
    <row r="222" spans="1:14" ht="16">
      <c r="A222" s="138"/>
      <c r="B222" s="140" t="s">
        <v>67</v>
      </c>
      <c r="C222" s="83"/>
      <c r="D222" s="83"/>
      <c r="E222" s="11">
        <f t="shared" si="191"/>
        <v>0</v>
      </c>
      <c r="F222" s="141"/>
      <c r="G222" s="13" t="e">
        <f t="shared" si="192"/>
        <v>#DIV/0!</v>
      </c>
      <c r="H222" s="35"/>
      <c r="I222" s="38"/>
      <c r="J222" s="35">
        <f t="shared" si="193"/>
        <v>0</v>
      </c>
      <c r="K222" s="50">
        <f t="shared" si="194"/>
        <v>0</v>
      </c>
      <c r="L222" s="136" t="e">
        <f t="shared" si="195"/>
        <v>#DIV/0!</v>
      </c>
      <c r="M222" s="116"/>
      <c r="N222" s="121">
        <f t="shared" ref="N222:N224" si="197">M222*K222</f>
        <v>0</v>
      </c>
    </row>
    <row r="223" spans="1:14" ht="16">
      <c r="A223" s="138"/>
      <c r="B223" s="140" t="s">
        <v>67</v>
      </c>
      <c r="C223" s="83"/>
      <c r="D223" s="83"/>
      <c r="E223" s="11">
        <f t="shared" si="191"/>
        <v>0</v>
      </c>
      <c r="F223" s="141"/>
      <c r="G223" s="13" t="e">
        <f t="shared" si="192"/>
        <v>#DIV/0!</v>
      </c>
      <c r="H223" s="35"/>
      <c r="I223" s="38"/>
      <c r="J223" s="35">
        <f t="shared" si="193"/>
        <v>0</v>
      </c>
      <c r="K223" s="50">
        <f t="shared" si="194"/>
        <v>0</v>
      </c>
      <c r="L223" s="136" t="e">
        <f t="shared" si="195"/>
        <v>#DIV/0!</v>
      </c>
      <c r="M223" s="116"/>
      <c r="N223" s="121">
        <f t="shared" si="197"/>
        <v>0</v>
      </c>
    </row>
    <row r="224" spans="1:14" ht="16">
      <c r="A224" s="138"/>
      <c r="B224" s="140" t="s">
        <v>67</v>
      </c>
      <c r="C224" s="83"/>
      <c r="D224" s="83"/>
      <c r="E224" s="11">
        <f t="shared" si="191"/>
        <v>0</v>
      </c>
      <c r="F224" s="141"/>
      <c r="G224" s="13" t="e">
        <f t="shared" si="192"/>
        <v>#DIV/0!</v>
      </c>
      <c r="H224" s="83"/>
      <c r="I224" s="125"/>
      <c r="J224" s="83">
        <f t="shared" si="193"/>
        <v>0</v>
      </c>
      <c r="K224" s="50">
        <f t="shared" si="194"/>
        <v>0</v>
      </c>
      <c r="L224" s="136" t="e">
        <f t="shared" si="195"/>
        <v>#DIV/0!</v>
      </c>
      <c r="M224" s="116"/>
      <c r="N224" s="121">
        <f t="shared" si="197"/>
        <v>0</v>
      </c>
    </row>
    <row r="225" spans="1:19" ht="16">
      <c r="A225" s="138"/>
      <c r="B225" s="60"/>
      <c r="C225" s="59"/>
      <c r="D225" s="59" t="s">
        <v>19</v>
      </c>
      <c r="E225" s="59">
        <f t="shared" ref="E225:F225" si="198">SUM(E210:E224)</f>
        <v>0</v>
      </c>
      <c r="F225" s="59">
        <f t="shared" si="198"/>
        <v>220</v>
      </c>
      <c r="G225" s="61" t="e">
        <f>AVERAGE(G210:G224)</f>
        <v>#DIV/0!</v>
      </c>
      <c r="H225" s="59"/>
      <c r="I225" s="62"/>
      <c r="J225" s="59">
        <f>SUM(J210:J224)</f>
        <v>0</v>
      </c>
      <c r="K225" s="59">
        <f>SUM(K218:K224)</f>
        <v>0</v>
      </c>
      <c r="L225" s="61" t="e">
        <f>AVERAGE(L210:L224)</f>
        <v>#DIV/0!</v>
      </c>
      <c r="M225" s="64"/>
      <c r="N225" s="132">
        <f>SUM(N218:N224)</f>
        <v>0</v>
      </c>
    </row>
    <row r="226" spans="1:19" ht="16">
      <c r="A226" s="182"/>
      <c r="B226" s="183" t="s">
        <v>68</v>
      </c>
      <c r="C226" s="184"/>
      <c r="D226" s="185"/>
      <c r="E226" s="36">
        <f t="shared" ref="E226:E232" si="199">D226-C226</f>
        <v>0</v>
      </c>
      <c r="F226" s="186"/>
      <c r="G226" s="114" t="e">
        <f t="shared" ref="G226:G232" si="200">(F226/E226)*100</f>
        <v>#DIV/0!</v>
      </c>
      <c r="H226" s="187"/>
      <c r="I226" s="188"/>
      <c r="J226" s="189">
        <f t="shared" ref="J226:J232" si="201">I226-H226</f>
        <v>0</v>
      </c>
      <c r="K226" s="190">
        <f t="shared" ref="K226:K232" si="202">F226</f>
        <v>0</v>
      </c>
      <c r="L226" s="191" t="e">
        <f t="shared" ref="L226:L232" si="203">(K226/J226)*100</f>
        <v>#DIV/0!</v>
      </c>
      <c r="M226" s="192"/>
      <c r="N226" s="193">
        <f t="shared" ref="N226:N229" si="204">F226*M226</f>
        <v>0</v>
      </c>
    </row>
    <row r="227" spans="1:19" ht="16">
      <c r="A227" s="182"/>
      <c r="B227" s="183" t="s">
        <v>68</v>
      </c>
      <c r="C227" s="184"/>
      <c r="D227" s="194"/>
      <c r="E227" s="36">
        <f t="shared" si="199"/>
        <v>0</v>
      </c>
      <c r="F227" s="195"/>
      <c r="G227" s="13" t="e">
        <f t="shared" si="200"/>
        <v>#DIV/0!</v>
      </c>
      <c r="H227" s="196"/>
      <c r="I227" s="196"/>
      <c r="J227" s="197">
        <f t="shared" si="201"/>
        <v>0</v>
      </c>
      <c r="K227" s="190">
        <f t="shared" si="202"/>
        <v>0</v>
      </c>
      <c r="L227" s="198" t="e">
        <f t="shared" si="203"/>
        <v>#DIV/0!</v>
      </c>
      <c r="M227" s="199"/>
      <c r="N227" s="193">
        <f t="shared" si="204"/>
        <v>0</v>
      </c>
    </row>
    <row r="228" spans="1:19" ht="16">
      <c r="A228" s="182"/>
      <c r="B228" s="183" t="s">
        <v>68</v>
      </c>
      <c r="C228" s="184"/>
      <c r="D228" s="184"/>
      <c r="E228" s="11">
        <f t="shared" si="199"/>
        <v>0</v>
      </c>
      <c r="F228" s="200"/>
      <c r="G228" s="13" t="e">
        <f t="shared" si="200"/>
        <v>#DIV/0!</v>
      </c>
      <c r="H228" s="190"/>
      <c r="I228" s="196"/>
      <c r="J228" s="197">
        <f t="shared" si="201"/>
        <v>0</v>
      </c>
      <c r="K228" s="190">
        <f t="shared" si="202"/>
        <v>0</v>
      </c>
      <c r="L228" s="198" t="e">
        <f t="shared" si="203"/>
        <v>#DIV/0!</v>
      </c>
      <c r="M228" s="199"/>
      <c r="N228" s="193">
        <f t="shared" si="204"/>
        <v>0</v>
      </c>
    </row>
    <row r="229" spans="1:19" ht="16">
      <c r="A229" s="182"/>
      <c r="B229" s="183" t="s">
        <v>68</v>
      </c>
      <c r="C229" s="184"/>
      <c r="D229" s="184"/>
      <c r="E229" s="11">
        <f t="shared" si="199"/>
        <v>0</v>
      </c>
      <c r="F229" s="200"/>
      <c r="G229" s="13" t="e">
        <f t="shared" si="200"/>
        <v>#DIV/0!</v>
      </c>
      <c r="H229" s="190"/>
      <c r="I229" s="196"/>
      <c r="J229" s="197">
        <f t="shared" si="201"/>
        <v>0</v>
      </c>
      <c r="K229" s="190">
        <f t="shared" si="202"/>
        <v>0</v>
      </c>
      <c r="L229" s="198" t="e">
        <f t="shared" si="203"/>
        <v>#DIV/0!</v>
      </c>
      <c r="M229" s="199"/>
      <c r="N229" s="193">
        <f t="shared" si="204"/>
        <v>0</v>
      </c>
    </row>
    <row r="230" spans="1:19" ht="16">
      <c r="A230" s="182"/>
      <c r="B230" s="183" t="s">
        <v>68</v>
      </c>
      <c r="C230" s="184"/>
      <c r="D230" s="184"/>
      <c r="E230" s="11">
        <f t="shared" si="199"/>
        <v>0</v>
      </c>
      <c r="F230" s="200"/>
      <c r="G230" s="13" t="e">
        <f t="shared" si="200"/>
        <v>#DIV/0!</v>
      </c>
      <c r="H230" s="190"/>
      <c r="I230" s="196"/>
      <c r="J230" s="197">
        <f t="shared" si="201"/>
        <v>0</v>
      </c>
      <c r="K230" s="190">
        <f t="shared" si="202"/>
        <v>0</v>
      </c>
      <c r="L230" s="198" t="e">
        <f t="shared" si="203"/>
        <v>#DIV/0!</v>
      </c>
      <c r="M230" s="199"/>
      <c r="N230" s="201">
        <f t="shared" ref="N230:N232" si="205">M230*K230</f>
        <v>0</v>
      </c>
    </row>
    <row r="231" spans="1:19" ht="16">
      <c r="A231" s="182"/>
      <c r="B231" s="183" t="s">
        <v>68</v>
      </c>
      <c r="C231" s="184"/>
      <c r="D231" s="184"/>
      <c r="E231" s="11">
        <f t="shared" si="199"/>
        <v>0</v>
      </c>
      <c r="F231" s="200"/>
      <c r="G231" s="13" t="e">
        <f t="shared" si="200"/>
        <v>#DIV/0!</v>
      </c>
      <c r="H231" s="190"/>
      <c r="I231" s="196"/>
      <c r="J231" s="197">
        <f t="shared" si="201"/>
        <v>0</v>
      </c>
      <c r="K231" s="190">
        <f t="shared" si="202"/>
        <v>0</v>
      </c>
      <c r="L231" s="198" t="e">
        <f t="shared" si="203"/>
        <v>#DIV/0!</v>
      </c>
      <c r="M231" s="199"/>
      <c r="N231" s="201">
        <f t="shared" si="205"/>
        <v>0</v>
      </c>
    </row>
    <row r="232" spans="1:19" ht="16">
      <c r="A232" s="182"/>
      <c r="B232" s="183" t="s">
        <v>68</v>
      </c>
      <c r="C232" s="184"/>
      <c r="D232" s="184"/>
      <c r="E232" s="11">
        <f t="shared" si="199"/>
        <v>0</v>
      </c>
      <c r="F232" s="200"/>
      <c r="G232" s="13" t="e">
        <f t="shared" si="200"/>
        <v>#DIV/0!</v>
      </c>
      <c r="H232" s="184"/>
      <c r="I232" s="187"/>
      <c r="J232" s="202">
        <f t="shared" si="201"/>
        <v>0</v>
      </c>
      <c r="K232" s="190">
        <f t="shared" si="202"/>
        <v>0</v>
      </c>
      <c r="L232" s="198" t="e">
        <f t="shared" si="203"/>
        <v>#DIV/0!</v>
      </c>
      <c r="M232" s="199"/>
      <c r="N232" s="201">
        <f t="shared" si="205"/>
        <v>0</v>
      </c>
    </row>
    <row r="233" spans="1:19" ht="14">
      <c r="A233" s="182"/>
      <c r="B233" s="203"/>
      <c r="C233" s="203"/>
      <c r="D233" s="204" t="s">
        <v>19</v>
      </c>
      <c r="E233" s="204">
        <f t="shared" ref="E233:F233" si="206">SUM(E218:E232)</f>
        <v>0</v>
      </c>
      <c r="F233" s="204">
        <f t="shared" si="206"/>
        <v>220</v>
      </c>
      <c r="G233" s="205" t="e">
        <f>AVERAGE(G218:G232)</f>
        <v>#DIV/0!</v>
      </c>
      <c r="H233" s="203"/>
      <c r="I233" s="206"/>
      <c r="J233" s="204">
        <f>SUM(J218:J232)</f>
        <v>0</v>
      </c>
      <c r="K233" s="204">
        <f>SUM(K226:K232)</f>
        <v>0</v>
      </c>
      <c r="L233" s="205" t="e">
        <f>AVERAGE(L218:L232)</f>
        <v>#DIV/0!</v>
      </c>
      <c r="M233" s="203"/>
      <c r="N233" s="132">
        <f>SUM(N226:N232)</f>
        <v>0</v>
      </c>
    </row>
    <row r="234" spans="1:19" ht="18">
      <c r="A234" s="138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8"/>
      <c r="N234" s="149">
        <f>SUM(N3:N233)/2</f>
        <v>78509530</v>
      </c>
      <c r="R234" s="76">
        <f>Q234</f>
        <v>0</v>
      </c>
    </row>
    <row r="235" spans="1:19" ht="14">
      <c r="A235" s="138"/>
      <c r="G235" s="150"/>
      <c r="L235" s="150"/>
      <c r="N235" s="151"/>
    </row>
    <row r="236" spans="1:19" ht="31.5" customHeight="1">
      <c r="A236" s="138"/>
      <c r="D236" s="152" t="s">
        <v>45</v>
      </c>
      <c r="E236" s="153"/>
      <c r="G236" s="150"/>
      <c r="L236" s="150"/>
      <c r="N236" s="151"/>
    </row>
    <row r="237" spans="1:19" ht="17" thickBot="1">
      <c r="A237" s="138"/>
      <c r="B237" s="154" t="s">
        <v>2</v>
      </c>
      <c r="C237" s="148"/>
      <c r="D237" s="148" t="s">
        <v>4</v>
      </c>
      <c r="E237" s="148" t="s">
        <v>5</v>
      </c>
      <c r="F237" s="148" t="s">
        <v>6</v>
      </c>
      <c r="G237" s="155" t="s">
        <v>7</v>
      </c>
      <c r="H237" s="156" t="s">
        <v>8</v>
      </c>
      <c r="I237" s="157" t="s">
        <v>8</v>
      </c>
      <c r="J237" s="148" t="s">
        <v>5</v>
      </c>
      <c r="K237" s="148" t="s">
        <v>6</v>
      </c>
      <c r="L237" s="155" t="s">
        <v>7</v>
      </c>
      <c r="M237" s="148"/>
      <c r="N237" s="158" t="s">
        <v>10</v>
      </c>
      <c r="O237" s="18">
        <v>1</v>
      </c>
      <c r="P237" s="159" t="s">
        <v>46</v>
      </c>
      <c r="Q237" s="160">
        <f>N243</f>
        <v>8999914.2999999989</v>
      </c>
      <c r="R237" s="20">
        <f t="shared" ref="R237:R251" si="207">Q237</f>
        <v>8999914.2999999989</v>
      </c>
      <c r="S237" s="351" t="s">
        <v>110</v>
      </c>
    </row>
    <row r="238" spans="1:19" ht="17" thickBot="1">
      <c r="A238" s="138">
        <v>46185</v>
      </c>
      <c r="B238" s="161" t="s">
        <v>46</v>
      </c>
      <c r="C238" s="126">
        <v>419520</v>
      </c>
      <c r="D238" s="126">
        <v>420609</v>
      </c>
      <c r="E238" s="11">
        <f t="shared" ref="E238:E242" si="208">D238-C238</f>
        <v>1089</v>
      </c>
      <c r="F238" s="35">
        <v>347.89</v>
      </c>
      <c r="G238" s="13">
        <f t="shared" ref="G238:G242" si="209">(F238/E238)*100</f>
        <v>31.945821854912765</v>
      </c>
      <c r="H238" s="126">
        <v>419520</v>
      </c>
      <c r="I238" s="126">
        <v>420609</v>
      </c>
      <c r="J238" s="39">
        <f t="shared" ref="J238:J242" si="210">I238-H238</f>
        <v>1089</v>
      </c>
      <c r="K238" s="35">
        <v>347.89</v>
      </c>
      <c r="L238" s="67">
        <f t="shared" ref="L238:L242" si="211">(K238/J238)*100</f>
        <v>31.945821854912765</v>
      </c>
      <c r="M238" s="68">
        <v>25870</v>
      </c>
      <c r="N238" s="47">
        <f t="shared" ref="N238:N242" si="212">M238*K238</f>
        <v>8999914.2999999989</v>
      </c>
      <c r="O238" s="18">
        <v>2</v>
      </c>
      <c r="P238" s="159" t="s">
        <v>47</v>
      </c>
      <c r="Q238" s="160">
        <f>N250</f>
        <v>12009690.6</v>
      </c>
      <c r="R238" s="20">
        <f t="shared" si="207"/>
        <v>12009690.6</v>
      </c>
      <c r="S238" s="351" t="s">
        <v>109</v>
      </c>
    </row>
    <row r="239" spans="1:19" ht="16">
      <c r="A239" s="138"/>
      <c r="B239" s="162" t="s">
        <v>46</v>
      </c>
      <c r="C239" s="12"/>
      <c r="D239" s="12"/>
      <c r="E239" s="11">
        <f t="shared" si="208"/>
        <v>0</v>
      </c>
      <c r="F239" s="45"/>
      <c r="G239" s="13" t="e">
        <f t="shared" si="209"/>
        <v>#DIV/0!</v>
      </c>
      <c r="H239" s="126"/>
      <c r="I239" s="126"/>
      <c r="J239" s="35">
        <f t="shared" si="210"/>
        <v>0</v>
      </c>
      <c r="K239" s="50">
        <f t="shared" ref="K239:K242" si="213">F239</f>
        <v>0</v>
      </c>
      <c r="L239" s="46" t="e">
        <f t="shared" si="211"/>
        <v>#DIV/0!</v>
      </c>
      <c r="M239" s="68"/>
      <c r="N239" s="47">
        <f t="shared" si="212"/>
        <v>0</v>
      </c>
      <c r="O239" s="18">
        <v>3</v>
      </c>
      <c r="P239" s="159" t="s">
        <v>48</v>
      </c>
      <c r="Q239" s="160">
        <f>N256</f>
        <v>6999904.5999999996</v>
      </c>
      <c r="R239" s="20">
        <f t="shared" si="207"/>
        <v>6999904.5999999996</v>
      </c>
      <c r="S239" s="351" t="s">
        <v>110</v>
      </c>
    </row>
    <row r="240" spans="1:19" ht="16">
      <c r="A240" s="138"/>
      <c r="B240" s="162" t="s">
        <v>46</v>
      </c>
      <c r="C240" s="12"/>
      <c r="D240" s="35"/>
      <c r="E240" s="11">
        <f t="shared" si="208"/>
        <v>0</v>
      </c>
      <c r="F240" s="45"/>
      <c r="G240" s="13" t="e">
        <f t="shared" si="209"/>
        <v>#DIV/0!</v>
      </c>
      <c r="H240" s="35"/>
      <c r="I240" s="38"/>
      <c r="J240" s="35">
        <f t="shared" si="210"/>
        <v>0</v>
      </c>
      <c r="K240" s="35">
        <f t="shared" si="213"/>
        <v>0</v>
      </c>
      <c r="L240" s="46" t="e">
        <f t="shared" si="211"/>
        <v>#DIV/0!</v>
      </c>
      <c r="M240" s="48"/>
      <c r="N240" s="47">
        <f t="shared" si="212"/>
        <v>0</v>
      </c>
      <c r="O240" s="18">
        <v>4</v>
      </c>
      <c r="P240" s="159" t="s">
        <v>49</v>
      </c>
      <c r="Q240" s="160">
        <f>N262</f>
        <v>6454834.4000000004</v>
      </c>
      <c r="R240" s="20">
        <f t="shared" si="207"/>
        <v>6454834.4000000004</v>
      </c>
      <c r="S240" s="351" t="s">
        <v>110</v>
      </c>
    </row>
    <row r="241" spans="1:19" ht="16">
      <c r="A241" s="138"/>
      <c r="B241" s="162" t="s">
        <v>46</v>
      </c>
      <c r="C241" s="35"/>
      <c r="D241" s="35"/>
      <c r="E241" s="11">
        <f t="shared" si="208"/>
        <v>0</v>
      </c>
      <c r="F241" s="45"/>
      <c r="G241" s="13" t="e">
        <f t="shared" si="209"/>
        <v>#DIV/0!</v>
      </c>
      <c r="H241" s="35"/>
      <c r="I241" s="38"/>
      <c r="J241" s="35">
        <f t="shared" si="210"/>
        <v>0</v>
      </c>
      <c r="K241" s="35">
        <f t="shared" si="213"/>
        <v>0</v>
      </c>
      <c r="L241" s="46" t="e">
        <f t="shared" si="211"/>
        <v>#DIV/0!</v>
      </c>
      <c r="M241" s="48"/>
      <c r="N241" s="47">
        <f t="shared" si="212"/>
        <v>0</v>
      </c>
      <c r="O241" s="18">
        <v>5</v>
      </c>
      <c r="P241" s="159" t="s">
        <v>50</v>
      </c>
      <c r="Q241" s="160">
        <f>N268</f>
        <v>5174000</v>
      </c>
      <c r="R241" s="20">
        <f t="shared" si="207"/>
        <v>5174000</v>
      </c>
      <c r="S241" s="351" t="s">
        <v>110</v>
      </c>
    </row>
    <row r="242" spans="1:19" ht="16">
      <c r="A242" s="138"/>
      <c r="B242" s="162" t="s">
        <v>46</v>
      </c>
      <c r="C242" s="35"/>
      <c r="D242" s="35"/>
      <c r="E242" s="11">
        <f t="shared" si="208"/>
        <v>0</v>
      </c>
      <c r="F242" s="45"/>
      <c r="G242" s="13" t="e">
        <f t="shared" si="209"/>
        <v>#DIV/0!</v>
      </c>
      <c r="H242" s="35"/>
      <c r="I242" s="38"/>
      <c r="J242" s="35">
        <f t="shared" si="210"/>
        <v>0</v>
      </c>
      <c r="K242" s="35">
        <f t="shared" si="213"/>
        <v>0</v>
      </c>
      <c r="L242" s="73" t="e">
        <f t="shared" si="211"/>
        <v>#DIV/0!</v>
      </c>
      <c r="M242" s="48"/>
      <c r="N242" s="47">
        <f t="shared" si="212"/>
        <v>0</v>
      </c>
      <c r="O242" s="18">
        <v>6</v>
      </c>
      <c r="P242" s="159" t="s">
        <v>51</v>
      </c>
      <c r="Q242" s="160">
        <f>N275</f>
        <v>12770135</v>
      </c>
      <c r="R242" s="20">
        <f t="shared" si="207"/>
        <v>12770135</v>
      </c>
      <c r="S242" s="351" t="s">
        <v>109</v>
      </c>
    </row>
    <row r="243" spans="1:19" ht="16">
      <c r="A243" s="138"/>
      <c r="B243" s="60"/>
      <c r="C243" s="59"/>
      <c r="D243" s="59" t="s">
        <v>19</v>
      </c>
      <c r="E243" s="59">
        <f t="shared" ref="E243:F243" si="214">SUM(E238:E242)</f>
        <v>1089</v>
      </c>
      <c r="F243" s="59">
        <f t="shared" si="214"/>
        <v>347.89</v>
      </c>
      <c r="G243" s="61" t="e">
        <f>AVERAGE(G238:G242)</f>
        <v>#DIV/0!</v>
      </c>
      <c r="H243" s="59"/>
      <c r="I243" s="62"/>
      <c r="J243" s="59">
        <f t="shared" ref="J243:K243" si="215">SUM(J238:J242)</f>
        <v>1089</v>
      </c>
      <c r="K243" s="59">
        <f t="shared" si="215"/>
        <v>347.89</v>
      </c>
      <c r="L243" s="61" t="e">
        <f>AVERAGE(L238:L242)</f>
        <v>#DIV/0!</v>
      </c>
      <c r="M243" s="64"/>
      <c r="N243" s="65">
        <f>SUM(N238:N242)</f>
        <v>8999914.2999999989</v>
      </c>
      <c r="O243" s="18">
        <v>7</v>
      </c>
      <c r="P243" s="163" t="s">
        <v>52</v>
      </c>
      <c r="Q243" s="160">
        <f>N309</f>
        <v>7599829.8999999994</v>
      </c>
      <c r="R243" s="20">
        <f t="shared" si="207"/>
        <v>7599829.8999999994</v>
      </c>
      <c r="S243" s="351" t="s">
        <v>111</v>
      </c>
    </row>
    <row r="244" spans="1:19" ht="16">
      <c r="A244" s="138">
        <v>46181</v>
      </c>
      <c r="B244" s="164" t="s">
        <v>53</v>
      </c>
      <c r="C244" s="83">
        <v>516137</v>
      </c>
      <c r="D244" s="83">
        <v>516898</v>
      </c>
      <c r="E244" s="11">
        <f t="shared" ref="E244:E249" si="216">D244-C244</f>
        <v>761</v>
      </c>
      <c r="F244" s="141">
        <v>238.64</v>
      </c>
      <c r="G244" s="13">
        <f t="shared" ref="G244:G249" si="217">(F244/E244)*100</f>
        <v>31.358738501971089</v>
      </c>
      <c r="H244" s="125">
        <v>515575</v>
      </c>
      <c r="I244" s="125">
        <v>516310</v>
      </c>
      <c r="J244" s="83">
        <f t="shared" ref="J244:J249" si="218">I244-H244</f>
        <v>735</v>
      </c>
      <c r="K244" s="83">
        <f t="shared" ref="K244:K249" si="219">F244</f>
        <v>238.64</v>
      </c>
      <c r="L244" s="136">
        <f t="shared" ref="L244:L249" si="220">(K244/J244)*100</f>
        <v>32.468027210884351</v>
      </c>
      <c r="M244" s="116">
        <v>26860</v>
      </c>
      <c r="N244" s="42">
        <f t="shared" ref="N244:N247" si="221">F244*M244</f>
        <v>6409870.3999999994</v>
      </c>
      <c r="O244" s="18">
        <v>8</v>
      </c>
      <c r="P244" s="165" t="s">
        <v>54</v>
      </c>
      <c r="Q244" s="160">
        <f>N293</f>
        <v>0</v>
      </c>
      <c r="R244" s="20">
        <f t="shared" si="207"/>
        <v>0</v>
      </c>
    </row>
    <row r="245" spans="1:19" ht="16">
      <c r="A245" s="138">
        <v>46190</v>
      </c>
      <c r="B245" s="164" t="s">
        <v>53</v>
      </c>
      <c r="C245" s="83">
        <v>516898</v>
      </c>
      <c r="D245" s="83">
        <v>517505</v>
      </c>
      <c r="E245" s="11">
        <f t="shared" si="216"/>
        <v>607</v>
      </c>
      <c r="F245" s="141">
        <v>216.46</v>
      </c>
      <c r="G245" s="13">
        <f t="shared" si="217"/>
        <v>35.660626029654033</v>
      </c>
      <c r="H245" s="125">
        <v>516310</v>
      </c>
      <c r="I245" s="125">
        <v>516897</v>
      </c>
      <c r="J245" s="83">
        <f t="shared" si="218"/>
        <v>587</v>
      </c>
      <c r="K245" s="83">
        <f t="shared" si="219"/>
        <v>216.46</v>
      </c>
      <c r="L245" s="136">
        <f t="shared" si="220"/>
        <v>36.875638841567294</v>
      </c>
      <c r="M245" s="116">
        <v>25870</v>
      </c>
      <c r="N245" s="47">
        <f t="shared" si="221"/>
        <v>5599820.2000000002</v>
      </c>
      <c r="O245" s="18">
        <v>9</v>
      </c>
      <c r="P245" s="165" t="s">
        <v>69</v>
      </c>
      <c r="Q245" s="160">
        <f>N302</f>
        <v>0</v>
      </c>
      <c r="R245" s="20">
        <f t="shared" si="207"/>
        <v>0</v>
      </c>
    </row>
    <row r="246" spans="1:19" ht="16">
      <c r="A246" s="138"/>
      <c r="B246" s="164" t="s">
        <v>53</v>
      </c>
      <c r="C246" s="83"/>
      <c r="D246" s="83"/>
      <c r="E246" s="11">
        <f t="shared" si="216"/>
        <v>0</v>
      </c>
      <c r="F246" s="141"/>
      <c r="G246" s="13" t="e">
        <f t="shared" si="217"/>
        <v>#DIV/0!</v>
      </c>
      <c r="H246" s="125"/>
      <c r="I246" s="125"/>
      <c r="J246" s="83">
        <f t="shared" si="218"/>
        <v>0</v>
      </c>
      <c r="K246" s="83">
        <f t="shared" si="219"/>
        <v>0</v>
      </c>
      <c r="L246" s="136" t="e">
        <f t="shared" si="220"/>
        <v>#DIV/0!</v>
      </c>
      <c r="M246" s="116"/>
      <c r="N246" s="47">
        <f t="shared" si="221"/>
        <v>0</v>
      </c>
      <c r="O246" s="18">
        <v>10</v>
      </c>
      <c r="P246" s="167" t="s">
        <v>56</v>
      </c>
      <c r="Q246" s="160">
        <f>N284</f>
        <v>0</v>
      </c>
      <c r="R246" s="20">
        <f t="shared" si="207"/>
        <v>0</v>
      </c>
    </row>
    <row r="247" spans="1:19" ht="16">
      <c r="A247" s="138"/>
      <c r="B247" s="164" t="s">
        <v>53</v>
      </c>
      <c r="C247" s="83"/>
      <c r="D247" s="83"/>
      <c r="E247" s="11">
        <f t="shared" si="216"/>
        <v>0</v>
      </c>
      <c r="F247" s="141"/>
      <c r="G247" s="13" t="e">
        <f t="shared" si="217"/>
        <v>#DIV/0!</v>
      </c>
      <c r="H247" s="125"/>
      <c r="I247" s="125"/>
      <c r="J247" s="83">
        <f t="shared" si="218"/>
        <v>0</v>
      </c>
      <c r="K247" s="83">
        <f t="shared" si="219"/>
        <v>0</v>
      </c>
      <c r="L247" s="136" t="e">
        <f t="shared" si="220"/>
        <v>#DIV/0!</v>
      </c>
      <c r="M247" s="116"/>
      <c r="N247" s="47">
        <f t="shared" si="221"/>
        <v>0</v>
      </c>
      <c r="O247" s="18">
        <v>11</v>
      </c>
      <c r="P247" s="168" t="s">
        <v>57</v>
      </c>
      <c r="Q247" s="169">
        <f>N318</f>
        <v>9199983.5</v>
      </c>
      <c r="R247" s="20">
        <f t="shared" si="207"/>
        <v>9199983.5</v>
      </c>
      <c r="S247" s="351" t="s">
        <v>109</v>
      </c>
    </row>
    <row r="248" spans="1:19" ht="16">
      <c r="A248" s="138"/>
      <c r="B248" s="164" t="s">
        <v>53</v>
      </c>
      <c r="C248" s="83"/>
      <c r="D248" s="83"/>
      <c r="E248" s="11">
        <f t="shared" si="216"/>
        <v>0</v>
      </c>
      <c r="F248" s="141"/>
      <c r="G248" s="13" t="e">
        <f t="shared" si="217"/>
        <v>#DIV/0!</v>
      </c>
      <c r="H248" s="125"/>
      <c r="I248" s="125"/>
      <c r="J248" s="83">
        <f t="shared" si="218"/>
        <v>0</v>
      </c>
      <c r="K248" s="83">
        <f t="shared" si="219"/>
        <v>0</v>
      </c>
      <c r="L248" s="136" t="e">
        <f t="shared" si="220"/>
        <v>#DIV/0!</v>
      </c>
      <c r="M248" s="116"/>
      <c r="N248" s="47">
        <f t="shared" ref="N248:N249" si="222">M248*K248</f>
        <v>0</v>
      </c>
      <c r="O248" s="18">
        <v>12</v>
      </c>
      <c r="P248" s="168" t="s">
        <v>58</v>
      </c>
      <c r="Q248" s="169">
        <f>N328</f>
        <v>9899893.8000000007</v>
      </c>
      <c r="R248" s="20">
        <f t="shared" si="207"/>
        <v>9899893.8000000007</v>
      </c>
      <c r="S248" s="351" t="s">
        <v>109</v>
      </c>
    </row>
    <row r="249" spans="1:19" ht="16">
      <c r="A249" s="138"/>
      <c r="B249" s="164" t="s">
        <v>53</v>
      </c>
      <c r="C249" s="83"/>
      <c r="D249" s="83"/>
      <c r="E249" s="11">
        <f t="shared" si="216"/>
        <v>0</v>
      </c>
      <c r="F249" s="141"/>
      <c r="G249" s="13" t="e">
        <f t="shared" si="217"/>
        <v>#DIV/0!</v>
      </c>
      <c r="H249" s="125"/>
      <c r="I249" s="125"/>
      <c r="J249" s="83">
        <f t="shared" si="218"/>
        <v>0</v>
      </c>
      <c r="K249" s="83">
        <f t="shared" si="219"/>
        <v>0</v>
      </c>
      <c r="L249" s="136" t="e">
        <f t="shared" si="220"/>
        <v>#DIV/0!</v>
      </c>
      <c r="M249" s="116"/>
      <c r="N249" s="47">
        <f t="shared" si="222"/>
        <v>0</v>
      </c>
      <c r="O249" s="18">
        <v>13</v>
      </c>
      <c r="P249" s="170" t="s">
        <v>70</v>
      </c>
      <c r="Q249" s="169">
        <f>N335</f>
        <v>0</v>
      </c>
      <c r="R249" s="20">
        <f t="shared" si="207"/>
        <v>0</v>
      </c>
    </row>
    <row r="250" spans="1:19" ht="17" thickBot="1">
      <c r="A250" s="138"/>
      <c r="B250" s="60"/>
      <c r="C250" s="59"/>
      <c r="D250" s="59" t="s">
        <v>19</v>
      </c>
      <c r="E250" s="59">
        <f>SUM(E244:E248)</f>
        <v>1368</v>
      </c>
      <c r="F250" s="59">
        <f>SUM(F244:F249)</f>
        <v>455.1</v>
      </c>
      <c r="G250" s="61" t="e">
        <f>AVERAGE(G244:G248)</f>
        <v>#DIV/0!</v>
      </c>
      <c r="H250" s="59"/>
      <c r="I250" s="62"/>
      <c r="J250" s="59">
        <f t="shared" ref="J250:K250" si="223">SUM(J244:J248)</f>
        <v>1322</v>
      </c>
      <c r="K250" s="59">
        <f t="shared" si="223"/>
        <v>455.1</v>
      </c>
      <c r="L250" s="61" t="e">
        <f>AVERAGE(L244:L248)</f>
        <v>#DIV/0!</v>
      </c>
      <c r="M250" s="64"/>
      <c r="N250" s="65">
        <f>SUM(N244:N249)</f>
        <v>12009690.6</v>
      </c>
      <c r="O250" s="18">
        <v>14</v>
      </c>
      <c r="P250" s="159" t="s">
        <v>60</v>
      </c>
      <c r="Q250" s="20">
        <f>N345</f>
        <v>14000953.700000001</v>
      </c>
      <c r="R250" s="20">
        <f t="shared" si="207"/>
        <v>14000953.700000001</v>
      </c>
      <c r="S250" s="351" t="s">
        <v>109</v>
      </c>
    </row>
    <row r="251" spans="1:19" ht="17" thickBot="1">
      <c r="A251" s="138">
        <v>46186</v>
      </c>
      <c r="B251" s="164" t="s">
        <v>48</v>
      </c>
      <c r="C251" s="125">
        <v>8808</v>
      </c>
      <c r="D251" s="126">
        <f>C251+(F251/G244)*100</f>
        <v>9670.8535869929601</v>
      </c>
      <c r="E251" s="36">
        <f t="shared" ref="E251:E255" si="224">D251-C251</f>
        <v>862.85358699296012</v>
      </c>
      <c r="F251" s="141">
        <v>270.58</v>
      </c>
      <c r="G251" s="13">
        <f t="shared" ref="G251:G255" si="225">(F251/E251)*100</f>
        <v>31.358738501971089</v>
      </c>
      <c r="H251" s="125">
        <v>8808</v>
      </c>
      <c r="I251" s="126">
        <f>D251</f>
        <v>9670.8535869929601</v>
      </c>
      <c r="J251" s="39">
        <f t="shared" ref="J251:J255" si="226">I251-H251</f>
        <v>862.85358699296012</v>
      </c>
      <c r="K251" s="141">
        <v>270.58</v>
      </c>
      <c r="L251" s="136">
        <f t="shared" ref="L251:L255" si="227">(K251/J251)*100</f>
        <v>31.358738501971089</v>
      </c>
      <c r="M251" s="68">
        <v>25870</v>
      </c>
      <c r="N251" s="121">
        <f t="shared" ref="N251:N255" si="228">F251*M251</f>
        <v>6999904.5999999996</v>
      </c>
      <c r="O251" s="18">
        <v>15</v>
      </c>
      <c r="P251" s="159" t="s">
        <v>61</v>
      </c>
      <c r="Q251" s="20">
        <f>N352</f>
        <v>11900069.699999999</v>
      </c>
      <c r="R251" s="20">
        <f t="shared" si="207"/>
        <v>11900069.699999999</v>
      </c>
      <c r="S251" s="351" t="s">
        <v>110</v>
      </c>
    </row>
    <row r="252" spans="1:19" ht="16">
      <c r="A252" s="138"/>
      <c r="B252" s="164" t="s">
        <v>48</v>
      </c>
      <c r="C252" s="12"/>
      <c r="D252" s="12"/>
      <c r="E252" s="11">
        <f t="shared" si="224"/>
        <v>0</v>
      </c>
      <c r="F252" s="141"/>
      <c r="G252" s="13" t="e">
        <f t="shared" si="225"/>
        <v>#DIV/0!</v>
      </c>
      <c r="H252" s="126"/>
      <c r="I252" s="125"/>
      <c r="J252" s="83">
        <f t="shared" si="226"/>
        <v>0</v>
      </c>
      <c r="K252" s="35"/>
      <c r="L252" s="136" t="e">
        <f t="shared" si="227"/>
        <v>#DIV/0!</v>
      </c>
      <c r="M252" s="116"/>
      <c r="N252" s="121">
        <f t="shared" si="228"/>
        <v>0</v>
      </c>
      <c r="O252" s="18"/>
      <c r="P252" s="171"/>
      <c r="Q252" s="18"/>
      <c r="R252" s="18"/>
    </row>
    <row r="253" spans="1:19" ht="16">
      <c r="A253" s="138"/>
      <c r="B253" s="164" t="s">
        <v>48</v>
      </c>
      <c r="C253" s="83"/>
      <c r="D253" s="83"/>
      <c r="E253" s="11">
        <f t="shared" si="224"/>
        <v>0</v>
      </c>
      <c r="F253" s="141"/>
      <c r="G253" s="13" t="e">
        <f t="shared" si="225"/>
        <v>#DIV/0!</v>
      </c>
      <c r="H253" s="125"/>
      <c r="I253" s="125"/>
      <c r="J253" s="83">
        <f t="shared" si="226"/>
        <v>0</v>
      </c>
      <c r="K253" s="35"/>
      <c r="L253" s="136" t="e">
        <f t="shared" si="227"/>
        <v>#DIV/0!</v>
      </c>
      <c r="M253" s="116"/>
      <c r="N253" s="121">
        <f t="shared" si="228"/>
        <v>0</v>
      </c>
      <c r="P253" s="75" t="s">
        <v>19</v>
      </c>
      <c r="Q253" s="20">
        <f>SUM(Q237:Q252)</f>
        <v>105009209.5</v>
      </c>
    </row>
    <row r="254" spans="1:19" ht="16">
      <c r="A254" s="138"/>
      <c r="B254" s="164" t="s">
        <v>48</v>
      </c>
      <c r="C254" s="83"/>
      <c r="D254" s="83"/>
      <c r="E254" s="11">
        <f t="shared" si="224"/>
        <v>0</v>
      </c>
      <c r="F254" s="141"/>
      <c r="G254" s="13" t="e">
        <f t="shared" si="225"/>
        <v>#DIV/0!</v>
      </c>
      <c r="H254" s="83"/>
      <c r="I254" s="125"/>
      <c r="J254" s="83">
        <f t="shared" si="226"/>
        <v>0</v>
      </c>
      <c r="K254" s="35"/>
      <c r="L254" s="136" t="e">
        <f t="shared" si="227"/>
        <v>#DIV/0!</v>
      </c>
      <c r="M254" s="116"/>
      <c r="N254" s="121">
        <f t="shared" si="228"/>
        <v>0</v>
      </c>
    </row>
    <row r="255" spans="1:19" ht="16">
      <c r="A255" s="138"/>
      <c r="B255" s="164" t="s">
        <v>48</v>
      </c>
      <c r="C255" s="83"/>
      <c r="D255" s="83"/>
      <c r="E255" s="11">
        <f t="shared" si="224"/>
        <v>0</v>
      </c>
      <c r="F255" s="141"/>
      <c r="G255" s="13" t="e">
        <f t="shared" si="225"/>
        <v>#DIV/0!</v>
      </c>
      <c r="H255" s="83"/>
      <c r="I255" s="125"/>
      <c r="J255" s="83">
        <f t="shared" si="226"/>
        <v>0</v>
      </c>
      <c r="K255" s="35"/>
      <c r="L255" s="136" t="e">
        <f t="shared" si="227"/>
        <v>#DIV/0!</v>
      </c>
      <c r="M255" s="116"/>
      <c r="N255" s="121">
        <f t="shared" si="228"/>
        <v>0</v>
      </c>
    </row>
    <row r="256" spans="1:19" ht="17" thickBot="1">
      <c r="A256" s="138"/>
      <c r="B256" s="60"/>
      <c r="C256" s="59"/>
      <c r="D256" s="59" t="s">
        <v>19</v>
      </c>
      <c r="E256" s="59">
        <f t="shared" ref="E256:F256" si="229">SUM(E251:E255)</f>
        <v>862.85358699296012</v>
      </c>
      <c r="F256" s="59">
        <f t="shared" si="229"/>
        <v>270.58</v>
      </c>
      <c r="G256" s="61" t="e">
        <f>AVERAGE(G251:G255)</f>
        <v>#DIV/0!</v>
      </c>
      <c r="H256" s="59"/>
      <c r="I256" s="62"/>
      <c r="J256" s="59">
        <f t="shared" ref="J256:K256" si="230">SUM(J251:J255)</f>
        <v>862.85358699296012</v>
      </c>
      <c r="K256" s="59">
        <f t="shared" si="230"/>
        <v>270.58</v>
      </c>
      <c r="L256" s="61" t="e">
        <f>AVERAGE(L251:L255)</f>
        <v>#DIV/0!</v>
      </c>
      <c r="M256" s="64"/>
      <c r="N256" s="65">
        <f>SUM(N251:N255)</f>
        <v>6999904.5999999996</v>
      </c>
    </row>
    <row r="257" spans="1:14" ht="16">
      <c r="A257" s="138">
        <v>46174</v>
      </c>
      <c r="B257" s="140" t="s">
        <v>49</v>
      </c>
      <c r="C257" s="83">
        <v>1000</v>
      </c>
      <c r="D257" s="12">
        <f>C257+(F257/G238)*100</f>
        <v>1396.2333496220069</v>
      </c>
      <c r="E257" s="36">
        <f t="shared" ref="E257:E263" si="231">D257-C257</f>
        <v>396.23334962200693</v>
      </c>
      <c r="F257" s="37">
        <v>126.58</v>
      </c>
      <c r="G257" s="13">
        <f t="shared" ref="G257:G261" si="232">(F257/E257)*100</f>
        <v>31.945821854912765</v>
      </c>
      <c r="H257" s="83"/>
      <c r="I257" s="126"/>
      <c r="J257" s="39">
        <f t="shared" ref="J257:J261" si="233">I257-H257</f>
        <v>0</v>
      </c>
      <c r="K257" s="39">
        <f t="shared" ref="K257:K261" si="234">F257</f>
        <v>126.58</v>
      </c>
      <c r="L257" s="46" t="e">
        <f t="shared" ref="L257:L261" si="235">(K257/J257)*100</f>
        <v>#DIV/0!</v>
      </c>
      <c r="M257" s="68">
        <v>27650</v>
      </c>
      <c r="N257" s="121">
        <f t="shared" ref="N257:N260" si="236">M257*K257</f>
        <v>3499937</v>
      </c>
    </row>
    <row r="258" spans="1:14" ht="16">
      <c r="A258" s="138">
        <v>46191</v>
      </c>
      <c r="B258" s="140" t="s">
        <v>49</v>
      </c>
      <c r="C258" s="12">
        <f>D257</f>
        <v>1396.2333496220069</v>
      </c>
      <c r="D258" s="83">
        <f>C258+(F257/G238)*100</f>
        <v>1792.4666992440139</v>
      </c>
      <c r="E258" s="11">
        <f t="shared" si="231"/>
        <v>396.23334962200693</v>
      </c>
      <c r="F258" s="141">
        <v>125.58</v>
      </c>
      <c r="G258" s="13">
        <f t="shared" si="232"/>
        <v>31.693445319481317</v>
      </c>
      <c r="H258" s="83"/>
      <c r="I258" s="125"/>
      <c r="J258" s="83">
        <f t="shared" si="233"/>
        <v>0</v>
      </c>
      <c r="K258" s="83">
        <f t="shared" si="234"/>
        <v>125.58</v>
      </c>
      <c r="L258" s="136" t="e">
        <f t="shared" si="235"/>
        <v>#DIV/0!</v>
      </c>
      <c r="M258" s="116">
        <v>23530</v>
      </c>
      <c r="N258" s="121">
        <f t="shared" si="236"/>
        <v>2954897.4</v>
      </c>
    </row>
    <row r="259" spans="1:14" ht="16">
      <c r="A259" s="138"/>
      <c r="B259" s="140" t="s">
        <v>49</v>
      </c>
      <c r="C259" s="83"/>
      <c r="D259" s="83"/>
      <c r="E259" s="11">
        <f t="shared" si="231"/>
        <v>0</v>
      </c>
      <c r="F259" s="141"/>
      <c r="G259" s="13" t="e">
        <f t="shared" si="232"/>
        <v>#DIV/0!</v>
      </c>
      <c r="H259" s="83"/>
      <c r="I259" s="125"/>
      <c r="J259" s="83">
        <f t="shared" si="233"/>
        <v>0</v>
      </c>
      <c r="K259" s="83">
        <f t="shared" si="234"/>
        <v>0</v>
      </c>
      <c r="L259" s="136" t="e">
        <f t="shared" si="235"/>
        <v>#DIV/0!</v>
      </c>
      <c r="M259" s="116"/>
      <c r="N259" s="121">
        <f t="shared" si="236"/>
        <v>0</v>
      </c>
    </row>
    <row r="260" spans="1:14" ht="16">
      <c r="A260" s="138"/>
      <c r="B260" s="140" t="s">
        <v>49</v>
      </c>
      <c r="C260" s="83"/>
      <c r="D260" s="83"/>
      <c r="E260" s="11">
        <f t="shared" si="231"/>
        <v>0</v>
      </c>
      <c r="F260" s="141"/>
      <c r="G260" s="13" t="e">
        <f t="shared" si="232"/>
        <v>#DIV/0!</v>
      </c>
      <c r="H260" s="83"/>
      <c r="I260" s="125"/>
      <c r="J260" s="83">
        <f t="shared" si="233"/>
        <v>0</v>
      </c>
      <c r="K260" s="83">
        <f t="shared" si="234"/>
        <v>0</v>
      </c>
      <c r="L260" s="136" t="e">
        <f t="shared" si="235"/>
        <v>#DIV/0!</v>
      </c>
      <c r="M260" s="116"/>
      <c r="N260" s="121">
        <f t="shared" si="236"/>
        <v>0</v>
      </c>
    </row>
    <row r="261" spans="1:14" ht="16">
      <c r="A261" s="138"/>
      <c r="B261" s="140" t="s">
        <v>49</v>
      </c>
      <c r="C261" s="83"/>
      <c r="D261" s="83"/>
      <c r="E261" s="11">
        <f t="shared" si="231"/>
        <v>0</v>
      </c>
      <c r="F261" s="141"/>
      <c r="G261" s="13" t="e">
        <f t="shared" si="232"/>
        <v>#DIV/0!</v>
      </c>
      <c r="H261" s="83"/>
      <c r="I261" s="125"/>
      <c r="J261" s="83">
        <f t="shared" si="233"/>
        <v>0</v>
      </c>
      <c r="K261" s="83">
        <f t="shared" si="234"/>
        <v>0</v>
      </c>
      <c r="L261" s="136" t="e">
        <f t="shared" si="235"/>
        <v>#DIV/0!</v>
      </c>
      <c r="M261" s="116"/>
      <c r="N261" s="121">
        <f>F261*M261</f>
        <v>0</v>
      </c>
    </row>
    <row r="262" spans="1:14" ht="16">
      <c r="A262" s="138"/>
      <c r="B262" s="60"/>
      <c r="C262" s="59"/>
      <c r="D262" s="59" t="s">
        <v>19</v>
      </c>
      <c r="E262" s="59">
        <f t="shared" ref="E262:F262" si="237">SUM(E257:E261)</f>
        <v>792.46669924401385</v>
      </c>
      <c r="F262" s="59">
        <f t="shared" si="237"/>
        <v>252.16</v>
      </c>
      <c r="G262" s="61" t="e">
        <f>AVERAGE(G257:G261)</f>
        <v>#DIV/0!</v>
      </c>
      <c r="H262" s="59"/>
      <c r="I262" s="62"/>
      <c r="J262" s="59">
        <f t="shared" ref="J262:K262" si="238">SUM(J257:J261)</f>
        <v>0</v>
      </c>
      <c r="K262" s="59">
        <f t="shared" si="238"/>
        <v>252.16</v>
      </c>
      <c r="L262" s="61" t="e">
        <f>AVERAGE(L257:L261)</f>
        <v>#DIV/0!</v>
      </c>
      <c r="M262" s="64"/>
      <c r="N262" s="65">
        <f>SUM(N257:N261)</f>
        <v>6454834.4000000004</v>
      </c>
    </row>
    <row r="263" spans="1:14" ht="16">
      <c r="A263" s="138">
        <v>46189</v>
      </c>
      <c r="B263" s="140" t="s">
        <v>50</v>
      </c>
      <c r="C263" s="83">
        <v>1000</v>
      </c>
      <c r="D263" s="12">
        <f>C263+(F263/G257)*100</f>
        <v>1626.0599614820776</v>
      </c>
      <c r="E263" s="11">
        <f t="shared" si="231"/>
        <v>626.0599614820776</v>
      </c>
      <c r="F263" s="37">
        <v>200</v>
      </c>
      <c r="G263" s="13">
        <f t="shared" ref="G263:G267" si="239">(F263/E263)*100</f>
        <v>31.945821854912772</v>
      </c>
      <c r="H263" s="83"/>
      <c r="I263" s="126"/>
      <c r="J263" s="83">
        <f t="shared" ref="J263:J267" si="240">I263-H263</f>
        <v>0</v>
      </c>
      <c r="K263" s="83">
        <f t="shared" ref="K263:K267" si="241">F263</f>
        <v>200</v>
      </c>
      <c r="L263" s="136" t="e">
        <f t="shared" ref="L263:L267" si="242">(K263/J263)*100</f>
        <v>#DIV/0!</v>
      </c>
      <c r="M263" s="68">
        <v>25870</v>
      </c>
      <c r="N263" s="47">
        <f>F263*M263</f>
        <v>5174000</v>
      </c>
    </row>
    <row r="264" spans="1:14" ht="16">
      <c r="A264" s="138"/>
      <c r="B264" s="140" t="s">
        <v>50</v>
      </c>
      <c r="C264" s="83"/>
      <c r="D264" s="83"/>
      <c r="E264" s="11">
        <f t="shared" ref="E264:E267" si="243">D264-C264</f>
        <v>0</v>
      </c>
      <c r="F264" s="141"/>
      <c r="G264" s="13" t="e">
        <f t="shared" si="239"/>
        <v>#DIV/0!</v>
      </c>
      <c r="H264" s="83"/>
      <c r="I264" s="125"/>
      <c r="J264" s="83">
        <f t="shared" si="240"/>
        <v>0</v>
      </c>
      <c r="K264" s="83">
        <f t="shared" si="241"/>
        <v>0</v>
      </c>
      <c r="L264" s="136" t="e">
        <f t="shared" si="242"/>
        <v>#DIV/0!</v>
      </c>
      <c r="M264" s="116"/>
      <c r="N264" s="47">
        <f>M264*K264</f>
        <v>0</v>
      </c>
    </row>
    <row r="265" spans="1:14" ht="16">
      <c r="A265" s="138"/>
      <c r="B265" s="140" t="s">
        <v>50</v>
      </c>
      <c r="C265" s="83"/>
      <c r="D265" s="83"/>
      <c r="E265" s="11">
        <f t="shared" si="243"/>
        <v>0</v>
      </c>
      <c r="F265" s="141"/>
      <c r="G265" s="13" t="e">
        <f t="shared" si="239"/>
        <v>#DIV/0!</v>
      </c>
      <c r="H265" s="83"/>
      <c r="I265" s="125"/>
      <c r="J265" s="83">
        <f t="shared" si="240"/>
        <v>0</v>
      </c>
      <c r="K265" s="83">
        <f t="shared" si="241"/>
        <v>0</v>
      </c>
      <c r="L265" s="136" t="e">
        <f t="shared" si="242"/>
        <v>#DIV/0!</v>
      </c>
      <c r="M265" s="116"/>
      <c r="N265" s="47">
        <f t="shared" ref="N265:N267" si="244">F265*M265</f>
        <v>0</v>
      </c>
    </row>
    <row r="266" spans="1:14" ht="16">
      <c r="A266" s="138"/>
      <c r="B266" s="140" t="s">
        <v>50</v>
      </c>
      <c r="C266" s="83"/>
      <c r="D266" s="83"/>
      <c r="E266" s="11">
        <f t="shared" si="243"/>
        <v>0</v>
      </c>
      <c r="F266" s="141"/>
      <c r="G266" s="13" t="e">
        <f t="shared" si="239"/>
        <v>#DIV/0!</v>
      </c>
      <c r="H266" s="83"/>
      <c r="I266" s="125"/>
      <c r="J266" s="83">
        <f t="shared" si="240"/>
        <v>0</v>
      </c>
      <c r="K266" s="83">
        <f t="shared" si="241"/>
        <v>0</v>
      </c>
      <c r="L266" s="136" t="e">
        <f t="shared" si="242"/>
        <v>#DIV/0!</v>
      </c>
      <c r="M266" s="116"/>
      <c r="N266" s="47">
        <f t="shared" si="244"/>
        <v>0</v>
      </c>
    </row>
    <row r="267" spans="1:14" ht="16">
      <c r="A267" s="138"/>
      <c r="B267" s="140" t="s">
        <v>50</v>
      </c>
      <c r="C267" s="83"/>
      <c r="D267" s="83"/>
      <c r="E267" s="11">
        <f t="shared" si="243"/>
        <v>0</v>
      </c>
      <c r="F267" s="141"/>
      <c r="G267" s="13" t="e">
        <f t="shared" si="239"/>
        <v>#DIV/0!</v>
      </c>
      <c r="H267" s="83"/>
      <c r="I267" s="125"/>
      <c r="J267" s="83">
        <f t="shared" si="240"/>
        <v>0</v>
      </c>
      <c r="K267" s="83">
        <f t="shared" si="241"/>
        <v>0</v>
      </c>
      <c r="L267" s="136" t="e">
        <f t="shared" si="242"/>
        <v>#DIV/0!</v>
      </c>
      <c r="M267" s="116"/>
      <c r="N267" s="47">
        <f t="shared" si="244"/>
        <v>0</v>
      </c>
    </row>
    <row r="268" spans="1:14" ht="16">
      <c r="A268" s="138"/>
      <c r="B268" s="60"/>
      <c r="C268" s="59"/>
      <c r="D268" s="59" t="s">
        <v>19</v>
      </c>
      <c r="E268" s="59">
        <f t="shared" ref="E268:F268" si="245">SUM(E263:E267)</f>
        <v>626.0599614820776</v>
      </c>
      <c r="F268" s="59">
        <f t="shared" si="245"/>
        <v>200</v>
      </c>
      <c r="G268" s="61" t="e">
        <f>AVERAGE(G263:G267)</f>
        <v>#DIV/0!</v>
      </c>
      <c r="H268" s="59"/>
      <c r="I268" s="62"/>
      <c r="J268" s="59">
        <f t="shared" ref="J268:K268" si="246">SUM(J263:J267)</f>
        <v>0</v>
      </c>
      <c r="K268" s="59">
        <f t="shared" si="246"/>
        <v>200</v>
      </c>
      <c r="L268" s="61" t="e">
        <f>AVERAGE(L263:L267)</f>
        <v>#DIV/0!</v>
      </c>
      <c r="M268" s="64"/>
      <c r="N268" s="65">
        <f>SUM(N263:N267)</f>
        <v>5174000</v>
      </c>
    </row>
    <row r="269" spans="1:14" ht="16">
      <c r="A269" s="138">
        <v>46174</v>
      </c>
      <c r="B269" s="164" t="s">
        <v>51</v>
      </c>
      <c r="C269" s="83">
        <v>311365</v>
      </c>
      <c r="D269" s="83">
        <v>311741</v>
      </c>
      <c r="E269" s="11">
        <f t="shared" ref="E269:E274" si="247">D269-C269</f>
        <v>376</v>
      </c>
      <c r="F269" s="37">
        <v>115.37</v>
      </c>
      <c r="G269" s="13">
        <f t="shared" ref="G269:G274" si="248">(F269/E269)*100</f>
        <v>30.683510638297872</v>
      </c>
      <c r="H269" s="125">
        <v>25353</v>
      </c>
      <c r="I269" s="125">
        <v>25612</v>
      </c>
      <c r="J269" s="39">
        <f t="shared" ref="J269:J274" si="249">I269-H269</f>
        <v>259</v>
      </c>
      <c r="K269" s="39">
        <f t="shared" ref="K269:K274" si="250">F269</f>
        <v>115.37</v>
      </c>
      <c r="L269" s="136">
        <f t="shared" ref="L269:L274" si="251">(K269/J269)*100</f>
        <v>44.544401544401545</v>
      </c>
      <c r="M269" s="68">
        <v>27650</v>
      </c>
      <c r="N269" s="47">
        <f t="shared" ref="N269:N272" si="252">F269*M269</f>
        <v>3189980.5</v>
      </c>
    </row>
    <row r="270" spans="1:14" ht="16">
      <c r="A270" s="138">
        <v>46179</v>
      </c>
      <c r="B270" s="164" t="s">
        <v>51</v>
      </c>
      <c r="C270" s="83">
        <v>311741</v>
      </c>
      <c r="D270" s="83">
        <v>312232</v>
      </c>
      <c r="E270" s="11">
        <f t="shared" si="247"/>
        <v>491</v>
      </c>
      <c r="F270" s="141">
        <v>145.19999999999999</v>
      </c>
      <c r="G270" s="13">
        <f t="shared" si="248"/>
        <v>29.572301425661912</v>
      </c>
      <c r="H270" s="125">
        <v>25612</v>
      </c>
      <c r="I270" s="83">
        <v>26153</v>
      </c>
      <c r="J270" s="83">
        <f t="shared" si="249"/>
        <v>541</v>
      </c>
      <c r="K270" s="83">
        <f t="shared" si="250"/>
        <v>145.19999999999999</v>
      </c>
      <c r="L270" s="136">
        <f t="shared" si="251"/>
        <v>26.839186691312385</v>
      </c>
      <c r="M270" s="116">
        <v>26860</v>
      </c>
      <c r="N270" s="47">
        <f t="shared" si="252"/>
        <v>3900071.9999999995</v>
      </c>
    </row>
    <row r="271" spans="1:14" ht="16">
      <c r="A271" s="138">
        <v>46183</v>
      </c>
      <c r="B271" s="164" t="s">
        <v>51</v>
      </c>
      <c r="C271" s="83">
        <v>312232</v>
      </c>
      <c r="D271" s="83">
        <v>312562</v>
      </c>
      <c r="E271" s="11">
        <f t="shared" si="247"/>
        <v>330</v>
      </c>
      <c r="F271" s="141">
        <v>103.5</v>
      </c>
      <c r="G271" s="13">
        <f t="shared" si="248"/>
        <v>31.363636363636367</v>
      </c>
      <c r="H271" s="83">
        <v>26153</v>
      </c>
      <c r="I271" s="125">
        <v>26436</v>
      </c>
      <c r="J271" s="83">
        <f t="shared" si="249"/>
        <v>283</v>
      </c>
      <c r="K271" s="83">
        <f t="shared" si="250"/>
        <v>103.5</v>
      </c>
      <c r="L271" s="136">
        <f t="shared" si="251"/>
        <v>36.572438162544167</v>
      </c>
      <c r="M271" s="116">
        <v>26860</v>
      </c>
      <c r="N271" s="47">
        <f t="shared" si="252"/>
        <v>2780010</v>
      </c>
    </row>
    <row r="272" spans="1:14" ht="16">
      <c r="A272" s="138">
        <v>46192</v>
      </c>
      <c r="B272" s="164" t="s">
        <v>51</v>
      </c>
      <c r="C272" s="83">
        <v>312562</v>
      </c>
      <c r="D272" s="83">
        <v>313014</v>
      </c>
      <c r="E272" s="11">
        <f t="shared" si="247"/>
        <v>452</v>
      </c>
      <c r="F272" s="141">
        <v>123.25</v>
      </c>
      <c r="G272" s="13">
        <f t="shared" si="248"/>
        <v>27.267699115044248</v>
      </c>
      <c r="H272" s="125">
        <v>26436</v>
      </c>
      <c r="I272" s="125">
        <v>26867</v>
      </c>
      <c r="J272" s="83">
        <f t="shared" si="249"/>
        <v>431</v>
      </c>
      <c r="K272" s="83">
        <f t="shared" si="250"/>
        <v>123.25</v>
      </c>
      <c r="L272" s="136">
        <f t="shared" si="251"/>
        <v>28.596287703016245</v>
      </c>
      <c r="M272" s="116">
        <v>23530</v>
      </c>
      <c r="N272" s="47">
        <f t="shared" si="252"/>
        <v>2900072.5</v>
      </c>
    </row>
    <row r="273" spans="1:14" ht="16">
      <c r="A273" s="138"/>
      <c r="B273" s="164" t="s">
        <v>51</v>
      </c>
      <c r="C273" s="83"/>
      <c r="D273" s="83"/>
      <c r="E273" s="11">
        <f t="shared" si="247"/>
        <v>0</v>
      </c>
      <c r="F273" s="141"/>
      <c r="G273" s="13" t="e">
        <f t="shared" si="248"/>
        <v>#DIV/0!</v>
      </c>
      <c r="H273" s="125"/>
      <c r="I273" s="125"/>
      <c r="J273" s="83">
        <f t="shared" si="249"/>
        <v>0</v>
      </c>
      <c r="K273" s="83">
        <f t="shared" si="250"/>
        <v>0</v>
      </c>
      <c r="L273" s="136" t="e">
        <f t="shared" si="251"/>
        <v>#DIV/0!</v>
      </c>
      <c r="M273" s="116"/>
      <c r="N273" s="47">
        <f t="shared" ref="N273:N274" si="253">M273*K273</f>
        <v>0</v>
      </c>
    </row>
    <row r="274" spans="1:14" ht="16">
      <c r="A274" s="138"/>
      <c r="B274" s="164" t="s">
        <v>51</v>
      </c>
      <c r="C274" s="83"/>
      <c r="D274" s="83"/>
      <c r="E274" s="11">
        <f t="shared" si="247"/>
        <v>0</v>
      </c>
      <c r="F274" s="141"/>
      <c r="G274" s="13" t="e">
        <f t="shared" si="248"/>
        <v>#DIV/0!</v>
      </c>
      <c r="H274" s="125"/>
      <c r="I274" s="125"/>
      <c r="J274" s="83">
        <f t="shared" si="249"/>
        <v>0</v>
      </c>
      <c r="K274" s="83">
        <f t="shared" si="250"/>
        <v>0</v>
      </c>
      <c r="L274" s="136" t="e">
        <f t="shared" si="251"/>
        <v>#DIV/0!</v>
      </c>
      <c r="M274" s="116"/>
      <c r="N274" s="47">
        <f t="shared" si="253"/>
        <v>0</v>
      </c>
    </row>
    <row r="275" spans="1:14" ht="16">
      <c r="A275" s="138"/>
      <c r="B275" s="60"/>
      <c r="C275" s="59"/>
      <c r="D275" s="59" t="s">
        <v>19</v>
      </c>
      <c r="E275" s="59">
        <f>SUM(E269:E273)</f>
        <v>1649</v>
      </c>
      <c r="F275" s="59">
        <f>SUM(F269:F274)</f>
        <v>487.32</v>
      </c>
      <c r="G275" s="61" t="e">
        <f>AVERAGE(G269:G273)</f>
        <v>#DIV/0!</v>
      </c>
      <c r="H275" s="59"/>
      <c r="I275" s="62"/>
      <c r="J275" s="59">
        <f t="shared" ref="J275:K275" si="254">SUM(J269:J273)</f>
        <v>1514</v>
      </c>
      <c r="K275" s="59">
        <f t="shared" si="254"/>
        <v>487.32</v>
      </c>
      <c r="L275" s="61" t="e">
        <f>AVERAGE(L269:L273)</f>
        <v>#DIV/0!</v>
      </c>
      <c r="M275" s="64"/>
      <c r="N275" s="65">
        <f>SUM(N269:N274)</f>
        <v>12770135</v>
      </c>
    </row>
    <row r="276" spans="1:14" ht="16">
      <c r="A276" s="138"/>
      <c r="B276" s="172" t="s">
        <v>62</v>
      </c>
      <c r="C276" s="83"/>
      <c r="D276" s="12"/>
      <c r="E276" s="36">
        <f t="shared" ref="E276:E283" si="255">D276-C276</f>
        <v>0</v>
      </c>
      <c r="F276" s="37"/>
      <c r="G276" s="13" t="e">
        <f t="shared" ref="G276:G283" si="256">(F276/E276)*100</f>
        <v>#DIV/0!</v>
      </c>
      <c r="H276" s="83"/>
      <c r="I276" s="126"/>
      <c r="J276" s="39">
        <f t="shared" ref="J276:J283" si="257">I276-H276</f>
        <v>0</v>
      </c>
      <c r="K276" s="39">
        <f t="shared" ref="K276:K283" si="258">F276</f>
        <v>0</v>
      </c>
      <c r="L276" s="136" t="e">
        <f t="shared" ref="L276:L283" si="259">(K276/J276)*100</f>
        <v>#DIV/0!</v>
      </c>
      <c r="M276" s="68"/>
      <c r="N276" s="121"/>
    </row>
    <row r="277" spans="1:14" ht="16">
      <c r="A277" s="138"/>
      <c r="B277" s="172" t="s">
        <v>62</v>
      </c>
      <c r="C277" s="83"/>
      <c r="D277" s="83"/>
      <c r="E277" s="11">
        <f t="shared" si="255"/>
        <v>0</v>
      </c>
      <c r="F277" s="141"/>
      <c r="G277" s="13" t="e">
        <f t="shared" si="256"/>
        <v>#DIV/0!</v>
      </c>
      <c r="H277" s="83"/>
      <c r="I277" s="125"/>
      <c r="J277" s="83">
        <f t="shared" si="257"/>
        <v>0</v>
      </c>
      <c r="K277" s="83">
        <f t="shared" si="258"/>
        <v>0</v>
      </c>
      <c r="L277" s="136" t="e">
        <f t="shared" si="259"/>
        <v>#DIV/0!</v>
      </c>
      <c r="M277" s="116"/>
      <c r="N277" s="121"/>
    </row>
    <row r="278" spans="1:14" ht="16">
      <c r="A278" s="138"/>
      <c r="B278" s="172" t="s">
        <v>62</v>
      </c>
      <c r="C278" s="83"/>
      <c r="D278" s="83"/>
      <c r="E278" s="11">
        <f t="shared" si="255"/>
        <v>0</v>
      </c>
      <c r="F278" s="141"/>
      <c r="G278" s="13" t="e">
        <f t="shared" si="256"/>
        <v>#DIV/0!</v>
      </c>
      <c r="H278" s="83"/>
      <c r="I278" s="125"/>
      <c r="J278" s="83">
        <f t="shared" si="257"/>
        <v>0</v>
      </c>
      <c r="K278" s="83">
        <f t="shared" si="258"/>
        <v>0</v>
      </c>
      <c r="L278" s="136" t="e">
        <f t="shared" si="259"/>
        <v>#DIV/0!</v>
      </c>
      <c r="M278" s="116"/>
      <c r="N278" s="121"/>
    </row>
    <row r="279" spans="1:14" ht="16">
      <c r="A279" s="138"/>
      <c r="B279" s="172" t="s">
        <v>62</v>
      </c>
      <c r="C279" s="83"/>
      <c r="D279" s="83"/>
      <c r="E279" s="11">
        <f t="shared" si="255"/>
        <v>0</v>
      </c>
      <c r="F279" s="141"/>
      <c r="G279" s="13" t="e">
        <f t="shared" si="256"/>
        <v>#DIV/0!</v>
      </c>
      <c r="H279" s="83"/>
      <c r="I279" s="125"/>
      <c r="J279" s="83">
        <f t="shared" si="257"/>
        <v>0</v>
      </c>
      <c r="K279" s="83">
        <f t="shared" si="258"/>
        <v>0</v>
      </c>
      <c r="L279" s="136" t="e">
        <f t="shared" si="259"/>
        <v>#DIV/0!</v>
      </c>
      <c r="M279" s="116"/>
      <c r="N279" s="121"/>
    </row>
    <row r="280" spans="1:14" ht="16">
      <c r="A280" s="138"/>
      <c r="B280" s="172" t="s">
        <v>62</v>
      </c>
      <c r="C280" s="83"/>
      <c r="D280" s="83"/>
      <c r="E280" s="11">
        <f t="shared" si="255"/>
        <v>0</v>
      </c>
      <c r="F280" s="141"/>
      <c r="G280" s="13" t="e">
        <f t="shared" si="256"/>
        <v>#DIV/0!</v>
      </c>
      <c r="H280" s="83"/>
      <c r="I280" s="125"/>
      <c r="J280" s="83">
        <f t="shared" si="257"/>
        <v>0</v>
      </c>
      <c r="K280" s="83">
        <f t="shared" si="258"/>
        <v>0</v>
      </c>
      <c r="L280" s="136" t="e">
        <f t="shared" si="259"/>
        <v>#DIV/0!</v>
      </c>
      <c r="M280" s="116"/>
      <c r="N280" s="121"/>
    </row>
    <row r="281" spans="1:14" ht="16">
      <c r="A281" s="138"/>
      <c r="B281" s="172" t="s">
        <v>62</v>
      </c>
      <c r="C281" s="83"/>
      <c r="D281" s="83"/>
      <c r="E281" s="11">
        <f t="shared" si="255"/>
        <v>0</v>
      </c>
      <c r="F281" s="141"/>
      <c r="G281" s="13" t="e">
        <f t="shared" si="256"/>
        <v>#DIV/0!</v>
      </c>
      <c r="H281" s="83"/>
      <c r="I281" s="125"/>
      <c r="J281" s="83">
        <f t="shared" si="257"/>
        <v>0</v>
      </c>
      <c r="K281" s="83">
        <f t="shared" si="258"/>
        <v>0</v>
      </c>
      <c r="L281" s="136" t="e">
        <f t="shared" si="259"/>
        <v>#DIV/0!</v>
      </c>
      <c r="M281" s="116"/>
      <c r="N281" s="121"/>
    </row>
    <row r="282" spans="1:14" ht="16">
      <c r="A282" s="138"/>
      <c r="B282" s="172" t="s">
        <v>62</v>
      </c>
      <c r="C282" s="83"/>
      <c r="D282" s="83"/>
      <c r="E282" s="11">
        <f t="shared" si="255"/>
        <v>0</v>
      </c>
      <c r="F282" s="141"/>
      <c r="G282" s="13" t="e">
        <f t="shared" si="256"/>
        <v>#DIV/0!</v>
      </c>
      <c r="H282" s="83"/>
      <c r="I282" s="125"/>
      <c r="J282" s="83">
        <f t="shared" si="257"/>
        <v>0</v>
      </c>
      <c r="K282" s="83">
        <f t="shared" si="258"/>
        <v>0</v>
      </c>
      <c r="L282" s="136" t="e">
        <f t="shared" si="259"/>
        <v>#DIV/0!</v>
      </c>
      <c r="M282" s="116"/>
      <c r="N282" s="121"/>
    </row>
    <row r="283" spans="1:14" ht="16">
      <c r="A283" s="138"/>
      <c r="B283" s="172" t="s">
        <v>62</v>
      </c>
      <c r="C283" s="83"/>
      <c r="D283" s="83"/>
      <c r="E283" s="11">
        <f t="shared" si="255"/>
        <v>0</v>
      </c>
      <c r="F283" s="141"/>
      <c r="G283" s="13" t="e">
        <f t="shared" si="256"/>
        <v>#DIV/0!</v>
      </c>
      <c r="H283" s="83"/>
      <c r="I283" s="125"/>
      <c r="J283" s="83">
        <f t="shared" si="257"/>
        <v>0</v>
      </c>
      <c r="K283" s="83">
        <f t="shared" si="258"/>
        <v>0</v>
      </c>
      <c r="L283" s="136" t="e">
        <f t="shared" si="259"/>
        <v>#DIV/0!</v>
      </c>
      <c r="M283" s="116"/>
      <c r="N283" s="121"/>
    </row>
    <row r="284" spans="1:14" ht="16">
      <c r="A284" s="59"/>
      <c r="B284" s="60"/>
      <c r="C284" s="59"/>
      <c r="D284" s="59"/>
      <c r="E284" s="59">
        <f t="shared" ref="E284:F284" si="260">SUM(E276:E280)</f>
        <v>0</v>
      </c>
      <c r="F284" s="59">
        <f t="shared" si="260"/>
        <v>0</v>
      </c>
      <c r="G284" s="61" t="e">
        <f>AVERAGE(G276:G280)</f>
        <v>#DIV/0!</v>
      </c>
      <c r="H284" s="59"/>
      <c r="I284" s="62"/>
      <c r="J284" s="59">
        <f t="shared" ref="J284:K284" si="261">SUM(J276:J280)</f>
        <v>0</v>
      </c>
      <c r="K284" s="59">
        <f t="shared" si="261"/>
        <v>0</v>
      </c>
      <c r="L284" s="61" t="e">
        <f>AVERAGE(L276:L280)</f>
        <v>#DIV/0!</v>
      </c>
      <c r="M284" s="64"/>
      <c r="N284" s="65">
        <f>SUM(N276:N283)</f>
        <v>0</v>
      </c>
    </row>
    <row r="285" spans="1:14" ht="16">
      <c r="A285" s="66"/>
      <c r="B285" s="140" t="s">
        <v>54</v>
      </c>
      <c r="C285" s="83"/>
      <c r="D285" s="12"/>
      <c r="E285" s="36">
        <f t="shared" ref="E285:E290" si="262">D285-C285</f>
        <v>0</v>
      </c>
      <c r="F285" s="37"/>
      <c r="G285" s="13" t="e">
        <f t="shared" ref="G285:G290" si="263">(F285/E285)*100</f>
        <v>#DIV/0!</v>
      </c>
      <c r="H285" s="83"/>
      <c r="I285" s="126"/>
      <c r="J285" s="39">
        <f t="shared" ref="J285:J292" si="264">I285-H285</f>
        <v>0</v>
      </c>
      <c r="K285" s="39"/>
      <c r="L285" s="136" t="e">
        <f t="shared" ref="L285:L292" si="265">(K285/J285)*100</f>
        <v>#DIV/0!</v>
      </c>
      <c r="M285" s="68"/>
      <c r="N285" s="47"/>
    </row>
    <row r="286" spans="1:14" ht="16">
      <c r="A286" s="33"/>
      <c r="B286" s="140" t="s">
        <v>54</v>
      </c>
      <c r="C286" s="83"/>
      <c r="D286" s="83"/>
      <c r="E286" s="11">
        <f t="shared" si="262"/>
        <v>0</v>
      </c>
      <c r="F286" s="141"/>
      <c r="G286" s="13" t="e">
        <f t="shared" si="263"/>
        <v>#DIV/0!</v>
      </c>
      <c r="H286" s="83"/>
      <c r="I286" s="125"/>
      <c r="J286" s="83">
        <f t="shared" si="264"/>
        <v>0</v>
      </c>
      <c r="K286" s="83">
        <f t="shared" ref="K286:K292" si="266">F286</f>
        <v>0</v>
      </c>
      <c r="L286" s="136" t="e">
        <f t="shared" si="265"/>
        <v>#DIV/0!</v>
      </c>
      <c r="M286" s="116"/>
      <c r="N286" s="47"/>
    </row>
    <row r="287" spans="1:14" ht="16">
      <c r="A287" s="33"/>
      <c r="B287" s="140" t="s">
        <v>54</v>
      </c>
      <c r="C287" s="83"/>
      <c r="D287" s="83"/>
      <c r="E287" s="11">
        <f t="shared" si="262"/>
        <v>0</v>
      </c>
      <c r="F287" s="141"/>
      <c r="G287" s="13" t="e">
        <f t="shared" si="263"/>
        <v>#DIV/0!</v>
      </c>
      <c r="H287" s="83"/>
      <c r="I287" s="125"/>
      <c r="J287" s="83">
        <f t="shared" si="264"/>
        <v>0</v>
      </c>
      <c r="K287" s="83">
        <f t="shared" si="266"/>
        <v>0</v>
      </c>
      <c r="L287" s="136" t="e">
        <f t="shared" si="265"/>
        <v>#DIV/0!</v>
      </c>
      <c r="M287" s="116"/>
      <c r="N287" s="47"/>
    </row>
    <row r="288" spans="1:14" ht="16">
      <c r="A288" s="33"/>
      <c r="B288" s="140" t="s">
        <v>54</v>
      </c>
      <c r="C288" s="83"/>
      <c r="D288" s="83"/>
      <c r="E288" s="11">
        <f t="shared" si="262"/>
        <v>0</v>
      </c>
      <c r="F288" s="141"/>
      <c r="G288" s="13" t="e">
        <f t="shared" si="263"/>
        <v>#DIV/0!</v>
      </c>
      <c r="H288" s="83"/>
      <c r="I288" s="125"/>
      <c r="J288" s="83">
        <f t="shared" si="264"/>
        <v>0</v>
      </c>
      <c r="K288" s="83">
        <f t="shared" si="266"/>
        <v>0</v>
      </c>
      <c r="L288" s="136" t="e">
        <f t="shared" si="265"/>
        <v>#DIV/0!</v>
      </c>
      <c r="M288" s="116"/>
      <c r="N288" s="47"/>
    </row>
    <row r="289" spans="1:14" ht="16">
      <c r="A289" s="33"/>
      <c r="B289" s="140" t="s">
        <v>54</v>
      </c>
      <c r="C289" s="83"/>
      <c r="D289" s="83"/>
      <c r="E289" s="11">
        <f t="shared" si="262"/>
        <v>0</v>
      </c>
      <c r="F289" s="141"/>
      <c r="G289" s="13" t="e">
        <f t="shared" si="263"/>
        <v>#DIV/0!</v>
      </c>
      <c r="H289" s="83"/>
      <c r="I289" s="125"/>
      <c r="J289" s="83">
        <f t="shared" si="264"/>
        <v>0</v>
      </c>
      <c r="K289" s="83">
        <f t="shared" si="266"/>
        <v>0</v>
      </c>
      <c r="L289" s="136" t="e">
        <f t="shared" si="265"/>
        <v>#DIV/0!</v>
      </c>
      <c r="M289" s="116"/>
      <c r="N289" s="47"/>
    </row>
    <row r="290" spans="1:14" ht="16">
      <c r="A290" s="33"/>
      <c r="B290" s="140" t="s">
        <v>54</v>
      </c>
      <c r="C290" s="83"/>
      <c r="D290" s="83"/>
      <c r="E290" s="11">
        <f t="shared" si="262"/>
        <v>0</v>
      </c>
      <c r="F290" s="141"/>
      <c r="G290" s="13" t="e">
        <f t="shared" si="263"/>
        <v>#DIV/0!</v>
      </c>
      <c r="H290" s="83"/>
      <c r="I290" s="125"/>
      <c r="J290" s="83">
        <f t="shared" si="264"/>
        <v>0</v>
      </c>
      <c r="K290" s="83">
        <f t="shared" si="266"/>
        <v>0</v>
      </c>
      <c r="L290" s="136" t="e">
        <f t="shared" si="265"/>
        <v>#DIV/0!</v>
      </c>
      <c r="M290" s="116"/>
      <c r="N290" s="47"/>
    </row>
    <row r="291" spans="1:14" ht="16">
      <c r="A291" s="33"/>
      <c r="B291" s="140" t="s">
        <v>54</v>
      </c>
      <c r="C291" s="83"/>
      <c r="D291" s="83"/>
      <c r="E291" s="11"/>
      <c r="F291" s="141"/>
      <c r="G291" s="13"/>
      <c r="H291" s="83"/>
      <c r="I291" s="125"/>
      <c r="J291" s="83">
        <f t="shared" si="264"/>
        <v>0</v>
      </c>
      <c r="K291" s="83">
        <f t="shared" si="266"/>
        <v>0</v>
      </c>
      <c r="L291" s="136" t="e">
        <f t="shared" si="265"/>
        <v>#DIV/0!</v>
      </c>
      <c r="M291" s="116"/>
      <c r="N291" s="47"/>
    </row>
    <row r="292" spans="1:14" ht="16">
      <c r="A292" s="33"/>
      <c r="B292" s="140" t="s">
        <v>54</v>
      </c>
      <c r="C292" s="83"/>
      <c r="D292" s="83"/>
      <c r="E292" s="11">
        <f>D292-C292</f>
        <v>0</v>
      </c>
      <c r="F292" s="141"/>
      <c r="G292" s="13" t="e">
        <f>(F292/E292)*100</f>
        <v>#DIV/0!</v>
      </c>
      <c r="H292" s="83"/>
      <c r="I292" s="125"/>
      <c r="J292" s="83">
        <f t="shared" si="264"/>
        <v>0</v>
      </c>
      <c r="K292" s="83">
        <f t="shared" si="266"/>
        <v>0</v>
      </c>
      <c r="L292" s="136" t="e">
        <f t="shared" si="265"/>
        <v>#DIV/0!</v>
      </c>
      <c r="M292" s="116"/>
      <c r="N292" s="47">
        <f>M292*F292</f>
        <v>0</v>
      </c>
    </row>
    <row r="293" spans="1:14" ht="16">
      <c r="A293" s="66"/>
      <c r="B293" s="60"/>
      <c r="C293" s="59"/>
      <c r="D293" s="59" t="s">
        <v>19</v>
      </c>
      <c r="E293" s="59">
        <f t="shared" ref="E293:F293" si="267">SUM(E285:E292)</f>
        <v>0</v>
      </c>
      <c r="F293" s="59">
        <f t="shared" si="267"/>
        <v>0</v>
      </c>
      <c r="G293" s="61" t="e">
        <f>AVERAGE(G285:G292)</f>
        <v>#DIV/0!</v>
      </c>
      <c r="H293" s="59"/>
      <c r="I293" s="62"/>
      <c r="J293" s="59">
        <f t="shared" ref="J293:K293" si="268">SUM(J285:J292)</f>
        <v>0</v>
      </c>
      <c r="K293" s="59">
        <f t="shared" si="268"/>
        <v>0</v>
      </c>
      <c r="L293" s="61" t="e">
        <f>AVERAGE(L285:L292)</f>
        <v>#DIV/0!</v>
      </c>
      <c r="M293" s="64"/>
      <c r="N293" s="65">
        <f>SUM(N285:N292)</f>
        <v>0</v>
      </c>
    </row>
    <row r="294" spans="1:14" ht="16">
      <c r="A294" s="66"/>
      <c r="B294" s="140" t="s">
        <v>69</v>
      </c>
      <c r="C294" s="83"/>
      <c r="D294" s="12"/>
      <c r="E294" s="36">
        <f t="shared" ref="E294:E301" si="269">D294-C294</f>
        <v>0</v>
      </c>
      <c r="F294" s="37"/>
      <c r="G294" s="13" t="e">
        <f t="shared" ref="G294:G301" si="270">(F294/E294)*100</f>
        <v>#DIV/0!</v>
      </c>
      <c r="H294" s="83"/>
      <c r="I294" s="126"/>
      <c r="J294" s="39">
        <f t="shared" ref="J294:J301" si="271">I294-H294</f>
        <v>0</v>
      </c>
      <c r="K294" s="39">
        <f t="shared" ref="K294:K296" si="272">F294</f>
        <v>0</v>
      </c>
      <c r="L294" s="67" t="e">
        <f t="shared" ref="L294:L301" si="273">(K294/J294)*100</f>
        <v>#DIV/0!</v>
      </c>
      <c r="M294" s="68"/>
      <c r="N294" s="47"/>
    </row>
    <row r="295" spans="1:14" ht="16">
      <c r="A295" s="33"/>
      <c r="B295" s="140" t="s">
        <v>69</v>
      </c>
      <c r="C295" s="83"/>
      <c r="D295" s="83"/>
      <c r="E295" s="11">
        <f t="shared" si="269"/>
        <v>0</v>
      </c>
      <c r="F295" s="141"/>
      <c r="G295" s="13" t="e">
        <f t="shared" si="270"/>
        <v>#DIV/0!</v>
      </c>
      <c r="H295" s="83"/>
      <c r="I295" s="125"/>
      <c r="J295" s="35">
        <f t="shared" si="271"/>
        <v>0</v>
      </c>
      <c r="K295" s="35">
        <f t="shared" si="272"/>
        <v>0</v>
      </c>
      <c r="L295" s="46" t="e">
        <f t="shared" si="273"/>
        <v>#DIV/0!</v>
      </c>
      <c r="M295" s="116"/>
      <c r="N295" s="47"/>
    </row>
    <row r="296" spans="1:14" ht="16">
      <c r="A296" s="33"/>
      <c r="B296" s="140" t="s">
        <v>69</v>
      </c>
      <c r="C296" s="83"/>
      <c r="D296" s="12"/>
      <c r="E296" s="36">
        <f t="shared" si="269"/>
        <v>0</v>
      </c>
      <c r="F296" s="37"/>
      <c r="G296" s="13" t="e">
        <f t="shared" si="270"/>
        <v>#DIV/0!</v>
      </c>
      <c r="H296" s="83"/>
      <c r="I296" s="126"/>
      <c r="J296" s="39">
        <f t="shared" si="271"/>
        <v>0</v>
      </c>
      <c r="K296" s="39">
        <f t="shared" si="272"/>
        <v>0</v>
      </c>
      <c r="L296" s="67" t="e">
        <f t="shared" si="273"/>
        <v>#DIV/0!</v>
      </c>
      <c r="M296" s="68"/>
      <c r="N296" s="47"/>
    </row>
    <row r="297" spans="1:14" ht="16">
      <c r="A297" s="33"/>
      <c r="B297" s="140" t="s">
        <v>69</v>
      </c>
      <c r="C297" s="83"/>
      <c r="D297" s="83"/>
      <c r="E297" s="11">
        <f t="shared" si="269"/>
        <v>0</v>
      </c>
      <c r="F297" s="141"/>
      <c r="G297" s="13" t="e">
        <f t="shared" si="270"/>
        <v>#DIV/0!</v>
      </c>
      <c r="H297" s="83"/>
      <c r="I297" s="125"/>
      <c r="J297" s="35">
        <f t="shared" si="271"/>
        <v>0</v>
      </c>
      <c r="K297" s="35"/>
      <c r="L297" s="46" t="e">
        <f t="shared" si="273"/>
        <v>#DIV/0!</v>
      </c>
      <c r="M297" s="116"/>
      <c r="N297" s="47"/>
    </row>
    <row r="298" spans="1:14" ht="18.75" customHeight="1">
      <c r="A298" s="33"/>
      <c r="B298" s="140" t="s">
        <v>69</v>
      </c>
      <c r="C298" s="83"/>
      <c r="D298" s="83"/>
      <c r="E298" s="11">
        <f t="shared" si="269"/>
        <v>0</v>
      </c>
      <c r="F298" s="141"/>
      <c r="G298" s="13" t="e">
        <f t="shared" si="270"/>
        <v>#DIV/0!</v>
      </c>
      <c r="H298" s="83"/>
      <c r="I298" s="125"/>
      <c r="J298" s="35">
        <f t="shared" si="271"/>
        <v>0</v>
      </c>
      <c r="K298" s="35">
        <f t="shared" ref="K298:K301" si="274">F298</f>
        <v>0</v>
      </c>
      <c r="L298" s="73" t="e">
        <f t="shared" si="273"/>
        <v>#DIV/0!</v>
      </c>
      <c r="M298" s="116"/>
      <c r="N298" s="47"/>
    </row>
    <row r="299" spans="1:14" ht="16">
      <c r="A299" s="33"/>
      <c r="B299" s="140" t="s">
        <v>69</v>
      </c>
      <c r="C299" s="83"/>
      <c r="D299" s="83"/>
      <c r="E299" s="11">
        <f t="shared" si="269"/>
        <v>0</v>
      </c>
      <c r="F299" s="141"/>
      <c r="G299" s="13" t="e">
        <f t="shared" si="270"/>
        <v>#DIV/0!</v>
      </c>
      <c r="H299" s="83"/>
      <c r="I299" s="125"/>
      <c r="J299" s="83">
        <f t="shared" si="271"/>
        <v>0</v>
      </c>
      <c r="K299" s="83">
        <f t="shared" si="274"/>
        <v>0</v>
      </c>
      <c r="L299" s="136" t="e">
        <f t="shared" si="273"/>
        <v>#DIV/0!</v>
      </c>
      <c r="M299" s="116"/>
      <c r="N299" s="47"/>
    </row>
    <row r="300" spans="1:14" ht="16">
      <c r="A300" s="33"/>
      <c r="B300" s="140" t="s">
        <v>69</v>
      </c>
      <c r="C300" s="83"/>
      <c r="D300" s="83"/>
      <c r="E300" s="11">
        <f t="shared" si="269"/>
        <v>0</v>
      </c>
      <c r="F300" s="141"/>
      <c r="G300" s="13" t="e">
        <f t="shared" si="270"/>
        <v>#DIV/0!</v>
      </c>
      <c r="H300" s="83"/>
      <c r="I300" s="125"/>
      <c r="J300" s="83">
        <f t="shared" si="271"/>
        <v>0</v>
      </c>
      <c r="K300" s="83">
        <f t="shared" si="274"/>
        <v>0</v>
      </c>
      <c r="L300" s="136" t="e">
        <f t="shared" si="273"/>
        <v>#DIV/0!</v>
      </c>
      <c r="M300" s="116"/>
      <c r="N300" s="47"/>
    </row>
    <row r="301" spans="1:14" ht="16">
      <c r="A301" s="33"/>
      <c r="B301" s="140" t="s">
        <v>69</v>
      </c>
      <c r="C301" s="83"/>
      <c r="D301" s="83"/>
      <c r="E301" s="11">
        <f t="shared" si="269"/>
        <v>0</v>
      </c>
      <c r="F301" s="141"/>
      <c r="G301" s="13" t="e">
        <f t="shared" si="270"/>
        <v>#DIV/0!</v>
      </c>
      <c r="H301" s="83"/>
      <c r="I301" s="125"/>
      <c r="J301" s="83">
        <f t="shared" si="271"/>
        <v>0</v>
      </c>
      <c r="K301" s="83">
        <f t="shared" si="274"/>
        <v>0</v>
      </c>
      <c r="L301" s="136" t="e">
        <f t="shared" si="273"/>
        <v>#DIV/0!</v>
      </c>
      <c r="M301" s="116"/>
      <c r="N301" s="47"/>
    </row>
    <row r="302" spans="1:14" ht="16">
      <c r="A302" s="66"/>
      <c r="B302" s="60"/>
      <c r="C302" s="59"/>
      <c r="D302" s="59" t="s">
        <v>19</v>
      </c>
      <c r="E302" s="59">
        <f t="shared" ref="E302:F302" si="275">SUM(E294:E299)</f>
        <v>0</v>
      </c>
      <c r="F302" s="59">
        <f t="shared" si="275"/>
        <v>0</v>
      </c>
      <c r="G302" s="61" t="e">
        <f>AVERAGE(G294:G299)</f>
        <v>#DIV/0!</v>
      </c>
      <c r="H302" s="59"/>
      <c r="I302" s="62"/>
      <c r="J302" s="59">
        <f t="shared" ref="J302:K302" si="276">SUM(J294:J299)</f>
        <v>0</v>
      </c>
      <c r="K302" s="59">
        <f t="shared" si="276"/>
        <v>0</v>
      </c>
      <c r="L302" s="61" t="e">
        <f>AVERAGE(L294:L299)</f>
        <v>#DIV/0!</v>
      </c>
      <c r="M302" s="64"/>
      <c r="N302" s="65">
        <f>SUM(N294:N301)</f>
        <v>0</v>
      </c>
    </row>
    <row r="303" spans="1:14" ht="16">
      <c r="A303" s="66">
        <v>46185</v>
      </c>
      <c r="B303" s="174" t="s">
        <v>63</v>
      </c>
      <c r="C303" s="83">
        <f>D303-(F303/G271)*100</f>
        <v>159059.3420289855</v>
      </c>
      <c r="D303" s="83">
        <v>159996</v>
      </c>
      <c r="E303" s="36">
        <f t="shared" ref="E303:E308" si="277">D303-C303</f>
        <v>936.65797101450153</v>
      </c>
      <c r="F303" s="37">
        <v>293.77</v>
      </c>
      <c r="G303" s="13">
        <f t="shared" ref="G303:G308" si="278">(F303/E303)*100</f>
        <v>31.363636363636065</v>
      </c>
      <c r="H303" s="83">
        <v>158040</v>
      </c>
      <c r="I303" s="83">
        <v>159750</v>
      </c>
      <c r="J303" s="39">
        <f t="shared" ref="J303:J308" si="279">I303-H303</f>
        <v>1710</v>
      </c>
      <c r="K303" s="39">
        <f t="shared" ref="K303:K308" si="280">F303</f>
        <v>293.77</v>
      </c>
      <c r="L303" s="136">
        <f t="shared" ref="L303:L308" si="281">(K303/J303)*100</f>
        <v>17.179532163742689</v>
      </c>
      <c r="M303" s="68">
        <v>25870</v>
      </c>
      <c r="N303" s="47">
        <f t="shared" ref="N303:N308" si="282">M303*F303</f>
        <v>7599829.8999999994</v>
      </c>
    </row>
    <row r="304" spans="1:14" ht="16">
      <c r="A304" s="66"/>
      <c r="B304" s="174" t="s">
        <v>63</v>
      </c>
      <c r="C304" s="83"/>
      <c r="D304" s="12"/>
      <c r="E304" s="11">
        <f t="shared" si="277"/>
        <v>0</v>
      </c>
      <c r="F304" s="141"/>
      <c r="G304" s="13" t="e">
        <f t="shared" si="278"/>
        <v>#DIV/0!</v>
      </c>
      <c r="H304" s="83"/>
      <c r="I304" s="83"/>
      <c r="J304" s="39">
        <f t="shared" si="279"/>
        <v>0</v>
      </c>
      <c r="K304" s="35">
        <f t="shared" si="280"/>
        <v>0</v>
      </c>
      <c r="L304" s="136" t="e">
        <f t="shared" si="281"/>
        <v>#DIV/0!</v>
      </c>
      <c r="M304" s="68"/>
      <c r="N304" s="47">
        <f t="shared" si="282"/>
        <v>0</v>
      </c>
    </row>
    <row r="305" spans="1:14" ht="16">
      <c r="A305" s="33"/>
      <c r="B305" s="174" t="s">
        <v>63</v>
      </c>
      <c r="C305" s="12"/>
      <c r="D305" s="83"/>
      <c r="E305" s="11">
        <f t="shared" si="277"/>
        <v>0</v>
      </c>
      <c r="F305" s="141"/>
      <c r="G305" s="13" t="e">
        <f t="shared" si="278"/>
        <v>#DIV/0!</v>
      </c>
      <c r="H305" s="83"/>
      <c r="I305" s="83"/>
      <c r="J305" s="83">
        <f t="shared" si="279"/>
        <v>0</v>
      </c>
      <c r="K305" s="35">
        <f t="shared" si="280"/>
        <v>0</v>
      </c>
      <c r="L305" s="136" t="e">
        <f t="shared" si="281"/>
        <v>#DIV/0!</v>
      </c>
      <c r="M305" s="116"/>
      <c r="N305" s="47">
        <f t="shared" si="282"/>
        <v>0</v>
      </c>
    </row>
    <row r="306" spans="1:14" ht="16">
      <c r="A306" s="33"/>
      <c r="B306" s="174" t="s">
        <v>63</v>
      </c>
      <c r="C306" s="83"/>
      <c r="D306" s="83"/>
      <c r="E306" s="11">
        <f t="shared" si="277"/>
        <v>0</v>
      </c>
      <c r="F306" s="141"/>
      <c r="G306" s="13" t="e">
        <f t="shared" si="278"/>
        <v>#DIV/0!</v>
      </c>
      <c r="H306" s="83"/>
      <c r="I306" s="83"/>
      <c r="J306" s="83">
        <f t="shared" si="279"/>
        <v>0</v>
      </c>
      <c r="K306" s="35">
        <f t="shared" si="280"/>
        <v>0</v>
      </c>
      <c r="L306" s="136" t="e">
        <f t="shared" si="281"/>
        <v>#DIV/0!</v>
      </c>
      <c r="M306" s="116"/>
      <c r="N306" s="47">
        <f t="shared" si="282"/>
        <v>0</v>
      </c>
    </row>
    <row r="307" spans="1:14" ht="16">
      <c r="A307" s="33"/>
      <c r="B307" s="174" t="s">
        <v>63</v>
      </c>
      <c r="C307" s="35"/>
      <c r="D307" s="83"/>
      <c r="E307" s="11">
        <f t="shared" si="277"/>
        <v>0</v>
      </c>
      <c r="F307" s="141"/>
      <c r="G307" s="13" t="e">
        <f t="shared" si="278"/>
        <v>#DIV/0!</v>
      </c>
      <c r="H307" s="83"/>
      <c r="I307" s="125"/>
      <c r="J307" s="83">
        <f t="shared" si="279"/>
        <v>0</v>
      </c>
      <c r="K307" s="35">
        <f t="shared" si="280"/>
        <v>0</v>
      </c>
      <c r="L307" s="136" t="e">
        <f t="shared" si="281"/>
        <v>#DIV/0!</v>
      </c>
      <c r="M307" s="116"/>
      <c r="N307" s="47">
        <f t="shared" si="282"/>
        <v>0</v>
      </c>
    </row>
    <row r="308" spans="1:14" ht="16">
      <c r="A308" s="138"/>
      <c r="B308" s="174" t="s">
        <v>63</v>
      </c>
      <c r="C308" s="83"/>
      <c r="D308" s="83"/>
      <c r="E308" s="11">
        <f t="shared" si="277"/>
        <v>0</v>
      </c>
      <c r="F308" s="141"/>
      <c r="G308" s="13" t="e">
        <f t="shared" si="278"/>
        <v>#DIV/0!</v>
      </c>
      <c r="H308" s="83"/>
      <c r="I308" s="125"/>
      <c r="J308" s="83">
        <f t="shared" si="279"/>
        <v>0</v>
      </c>
      <c r="K308" s="35">
        <f t="shared" si="280"/>
        <v>0</v>
      </c>
      <c r="L308" s="136" t="e">
        <f t="shared" si="281"/>
        <v>#DIV/0!</v>
      </c>
      <c r="M308" s="116"/>
      <c r="N308" s="47">
        <f t="shared" si="282"/>
        <v>0</v>
      </c>
    </row>
    <row r="309" spans="1:14" ht="16">
      <c r="A309" s="59"/>
      <c r="B309" s="60"/>
      <c r="C309" s="59"/>
      <c r="D309" s="59" t="s">
        <v>19</v>
      </c>
      <c r="E309" s="59">
        <f t="shared" ref="E309:F309" si="283">SUM(E303:E308)</f>
        <v>936.65797101450153</v>
      </c>
      <c r="F309" s="59">
        <f t="shared" si="283"/>
        <v>293.77</v>
      </c>
      <c r="G309" s="61" t="e">
        <f>AVERAGE(G303:G308)</f>
        <v>#DIV/0!</v>
      </c>
      <c r="H309" s="59"/>
      <c r="I309" s="62"/>
      <c r="J309" s="59">
        <f t="shared" ref="J309:K309" si="284">SUM(J303:J308)</f>
        <v>1710</v>
      </c>
      <c r="K309" s="59">
        <f t="shared" si="284"/>
        <v>293.77</v>
      </c>
      <c r="L309" s="61" t="e">
        <f>AVERAGE(L303:L308)</f>
        <v>#DIV/0!</v>
      </c>
      <c r="M309" s="64"/>
      <c r="N309" s="65">
        <f>SUM(N303:N308)</f>
        <v>7599829.8999999994</v>
      </c>
    </row>
    <row r="310" spans="1:14" ht="16">
      <c r="A310" s="66">
        <v>46179</v>
      </c>
      <c r="B310" s="174" t="s">
        <v>57</v>
      </c>
      <c r="C310" s="83">
        <v>14630</v>
      </c>
      <c r="D310" s="83">
        <v>15216</v>
      </c>
      <c r="E310" s="11">
        <f t="shared" ref="E310:E317" si="285">D310-C310</f>
        <v>586</v>
      </c>
      <c r="F310" s="37">
        <v>186.15</v>
      </c>
      <c r="G310" s="13">
        <f t="shared" ref="G310:G317" si="286">(F310/E310)*100</f>
        <v>31.766211604095563</v>
      </c>
      <c r="H310" s="125">
        <v>7</v>
      </c>
      <c r="I310" s="125">
        <v>600</v>
      </c>
      <c r="J310" s="39">
        <f t="shared" ref="J310:J317" si="287">I310-H310</f>
        <v>593</v>
      </c>
      <c r="K310" s="37">
        <v>186.15</v>
      </c>
      <c r="L310" s="136">
        <f t="shared" ref="L310:L317" si="288">(K310/J310)*100</f>
        <v>31.391231028667793</v>
      </c>
      <c r="M310" s="68">
        <v>26860</v>
      </c>
      <c r="N310" s="47">
        <f t="shared" ref="N310:N317" si="289">M310*F310</f>
        <v>4999989</v>
      </c>
    </row>
    <row r="311" spans="1:14" ht="16">
      <c r="A311" s="66">
        <v>46188</v>
      </c>
      <c r="B311" s="174" t="s">
        <v>57</v>
      </c>
      <c r="C311" s="83">
        <v>15216</v>
      </c>
      <c r="D311" s="12">
        <v>15754</v>
      </c>
      <c r="E311" s="11">
        <f t="shared" si="285"/>
        <v>538</v>
      </c>
      <c r="F311" s="141">
        <v>162.35</v>
      </c>
      <c r="G311" s="13">
        <f t="shared" si="286"/>
        <v>30.176579925650554</v>
      </c>
      <c r="H311" s="125">
        <v>600</v>
      </c>
      <c r="I311" s="125">
        <v>1193</v>
      </c>
      <c r="J311" s="83">
        <f t="shared" si="287"/>
        <v>593</v>
      </c>
      <c r="K311" s="39"/>
      <c r="L311" s="136">
        <f t="shared" si="288"/>
        <v>0</v>
      </c>
      <c r="M311" s="68">
        <v>25870</v>
      </c>
      <c r="N311" s="47">
        <f t="shared" si="289"/>
        <v>4199994.5</v>
      </c>
    </row>
    <row r="312" spans="1:14" ht="16">
      <c r="A312" s="33"/>
      <c r="B312" s="174" t="s">
        <v>57</v>
      </c>
      <c r="C312" s="12"/>
      <c r="D312" s="83"/>
      <c r="E312" s="11">
        <f t="shared" si="285"/>
        <v>0</v>
      </c>
      <c r="F312" s="141"/>
      <c r="G312" s="13" t="e">
        <f t="shared" si="286"/>
        <v>#DIV/0!</v>
      </c>
      <c r="H312" s="125"/>
      <c r="I312" s="125"/>
      <c r="J312" s="83">
        <f t="shared" si="287"/>
        <v>0</v>
      </c>
      <c r="K312" s="35"/>
      <c r="L312" s="136" t="e">
        <f t="shared" si="288"/>
        <v>#DIV/0!</v>
      </c>
      <c r="M312" s="68"/>
      <c r="N312" s="47">
        <f t="shared" si="289"/>
        <v>0</v>
      </c>
    </row>
    <row r="313" spans="1:14" ht="16">
      <c r="A313" s="33"/>
      <c r="B313" s="174" t="s">
        <v>57</v>
      </c>
      <c r="C313" s="83"/>
      <c r="D313" s="83"/>
      <c r="E313" s="11">
        <f t="shared" si="285"/>
        <v>0</v>
      </c>
      <c r="F313" s="141"/>
      <c r="G313" s="13" t="e">
        <f t="shared" si="286"/>
        <v>#DIV/0!</v>
      </c>
      <c r="H313" s="125"/>
      <c r="I313" s="125"/>
      <c r="J313" s="83">
        <f t="shared" si="287"/>
        <v>0</v>
      </c>
      <c r="K313" s="35"/>
      <c r="L313" s="136" t="e">
        <f t="shared" si="288"/>
        <v>#DIV/0!</v>
      </c>
      <c r="M313" s="116"/>
      <c r="N313" s="47">
        <f t="shared" si="289"/>
        <v>0</v>
      </c>
    </row>
    <row r="314" spans="1:14" ht="16">
      <c r="A314" s="33"/>
      <c r="B314" s="174" t="s">
        <v>57</v>
      </c>
      <c r="C314" s="83"/>
      <c r="D314" s="83"/>
      <c r="E314" s="11">
        <f t="shared" si="285"/>
        <v>0</v>
      </c>
      <c r="F314" s="141"/>
      <c r="G314" s="13" t="e">
        <f t="shared" si="286"/>
        <v>#DIV/0!</v>
      </c>
      <c r="H314" s="125"/>
      <c r="I314" s="125"/>
      <c r="J314" s="83">
        <f t="shared" si="287"/>
        <v>0</v>
      </c>
      <c r="K314" s="35"/>
      <c r="L314" s="136" t="e">
        <f t="shared" si="288"/>
        <v>#DIV/0!</v>
      </c>
      <c r="M314" s="116"/>
      <c r="N314" s="47">
        <f t="shared" si="289"/>
        <v>0</v>
      </c>
    </row>
    <row r="315" spans="1:14" ht="16">
      <c r="A315" s="138"/>
      <c r="B315" s="174" t="s">
        <v>57</v>
      </c>
      <c r="C315" s="83"/>
      <c r="D315" s="83"/>
      <c r="E315" s="11">
        <f t="shared" si="285"/>
        <v>0</v>
      </c>
      <c r="F315" s="141"/>
      <c r="G315" s="13" t="e">
        <f t="shared" si="286"/>
        <v>#DIV/0!</v>
      </c>
      <c r="H315" s="125"/>
      <c r="I315" s="125"/>
      <c r="J315" s="83">
        <f t="shared" si="287"/>
        <v>0</v>
      </c>
      <c r="K315" s="35">
        <f t="shared" ref="K315:K317" si="290">F315</f>
        <v>0</v>
      </c>
      <c r="L315" s="136" t="e">
        <f t="shared" si="288"/>
        <v>#DIV/0!</v>
      </c>
      <c r="M315" s="116"/>
      <c r="N315" s="47">
        <f t="shared" si="289"/>
        <v>0</v>
      </c>
    </row>
    <row r="316" spans="1:14" ht="16">
      <c r="A316" s="138"/>
      <c r="B316" s="174" t="s">
        <v>57</v>
      </c>
      <c r="C316" s="83"/>
      <c r="D316" s="83"/>
      <c r="E316" s="11">
        <f t="shared" si="285"/>
        <v>0</v>
      </c>
      <c r="F316" s="141"/>
      <c r="G316" s="13" t="e">
        <f t="shared" si="286"/>
        <v>#DIV/0!</v>
      </c>
      <c r="H316" s="125"/>
      <c r="I316" s="125"/>
      <c r="J316" s="83">
        <f t="shared" si="287"/>
        <v>0</v>
      </c>
      <c r="K316" s="35">
        <f t="shared" si="290"/>
        <v>0</v>
      </c>
      <c r="L316" s="136" t="e">
        <f t="shared" si="288"/>
        <v>#DIV/0!</v>
      </c>
      <c r="M316" s="116"/>
      <c r="N316" s="47">
        <f t="shared" si="289"/>
        <v>0</v>
      </c>
    </row>
    <row r="317" spans="1:14" ht="16">
      <c r="A317" s="138"/>
      <c r="B317" s="174" t="s">
        <v>57</v>
      </c>
      <c r="C317" s="83"/>
      <c r="D317" s="83"/>
      <c r="E317" s="11">
        <f t="shared" si="285"/>
        <v>0</v>
      </c>
      <c r="F317" s="141"/>
      <c r="G317" s="13" t="e">
        <f t="shared" si="286"/>
        <v>#DIV/0!</v>
      </c>
      <c r="H317" s="125"/>
      <c r="I317" s="125"/>
      <c r="J317" s="83">
        <f t="shared" si="287"/>
        <v>0</v>
      </c>
      <c r="K317" s="35">
        <f t="shared" si="290"/>
        <v>0</v>
      </c>
      <c r="L317" s="136" t="e">
        <f t="shared" si="288"/>
        <v>#DIV/0!</v>
      </c>
      <c r="M317" s="116"/>
      <c r="N317" s="47">
        <f t="shared" si="289"/>
        <v>0</v>
      </c>
    </row>
    <row r="318" spans="1:14" ht="16">
      <c r="A318" s="59"/>
      <c r="B318" s="60"/>
      <c r="C318" s="59"/>
      <c r="D318" s="59" t="s">
        <v>19</v>
      </c>
      <c r="E318" s="59">
        <f>SUM(E310:E315)</f>
        <v>1124</v>
      </c>
      <c r="F318" s="59">
        <f>SUM(F310:F317)</f>
        <v>348.5</v>
      </c>
      <c r="G318" s="61" t="e">
        <f>AVERAGE(G310:G315)</f>
        <v>#DIV/0!</v>
      </c>
      <c r="H318" s="59"/>
      <c r="I318" s="62"/>
      <c r="J318" s="59">
        <f t="shared" ref="J318:K318" si="291">SUM(J310:J315)</f>
        <v>1186</v>
      </c>
      <c r="K318" s="59">
        <f t="shared" si="291"/>
        <v>186.15</v>
      </c>
      <c r="L318" s="61" t="e">
        <f>AVERAGE(L310:L315)</f>
        <v>#DIV/0!</v>
      </c>
      <c r="M318" s="64"/>
      <c r="N318" s="65">
        <f>SUM(N310:N317)</f>
        <v>9199983.5</v>
      </c>
    </row>
    <row r="319" spans="1:14" ht="16">
      <c r="A319" s="66">
        <v>46183</v>
      </c>
      <c r="B319" s="174" t="s">
        <v>58</v>
      </c>
      <c r="C319" s="83">
        <v>14375</v>
      </c>
      <c r="D319" s="83">
        <v>14920</v>
      </c>
      <c r="E319" s="11">
        <f t="shared" ref="E319:E327" si="292">D319-C319</f>
        <v>545</v>
      </c>
      <c r="F319" s="37">
        <v>178.7</v>
      </c>
      <c r="G319" s="13">
        <f t="shared" ref="G319:G327" si="293">(F319/E319)*100</f>
        <v>32.788990825688067</v>
      </c>
      <c r="H319" s="125">
        <v>14128</v>
      </c>
      <c r="I319" s="125">
        <v>14746</v>
      </c>
      <c r="J319" s="83">
        <f t="shared" ref="J319:J327" si="294">I319-H319</f>
        <v>618</v>
      </c>
      <c r="K319" s="39">
        <f t="shared" ref="K319:K327" si="295">F319</f>
        <v>178.7</v>
      </c>
      <c r="L319" s="136">
        <f t="shared" ref="L319:L327" si="296">(K319/J319)*100</f>
        <v>28.91585760517799</v>
      </c>
      <c r="M319" s="68">
        <v>26860</v>
      </c>
      <c r="N319" s="47">
        <f t="shared" ref="N319:N327" si="297">M319*F319</f>
        <v>4799882</v>
      </c>
    </row>
    <row r="320" spans="1:14" ht="16">
      <c r="A320" s="33">
        <v>46190</v>
      </c>
      <c r="B320" s="174" t="s">
        <v>58</v>
      </c>
      <c r="C320" s="83">
        <v>14920</v>
      </c>
      <c r="D320" s="12">
        <v>15531</v>
      </c>
      <c r="E320" s="11">
        <f t="shared" si="292"/>
        <v>611</v>
      </c>
      <c r="F320" s="141">
        <v>197.14</v>
      </c>
      <c r="G320" s="13">
        <f t="shared" si="293"/>
        <v>32.265139116202946</v>
      </c>
      <c r="H320" s="125">
        <v>14746</v>
      </c>
      <c r="I320" s="125">
        <v>15306</v>
      </c>
      <c r="J320" s="83">
        <f t="shared" si="294"/>
        <v>560</v>
      </c>
      <c r="K320" s="35">
        <f t="shared" si="295"/>
        <v>197.14</v>
      </c>
      <c r="L320" s="136">
        <f t="shared" si="296"/>
        <v>35.203571428571429</v>
      </c>
      <c r="M320" s="68">
        <v>25870</v>
      </c>
      <c r="N320" s="47">
        <f t="shared" si="297"/>
        <v>5100011.8</v>
      </c>
    </row>
    <row r="321" spans="1:14" ht="16">
      <c r="A321" s="33"/>
      <c r="B321" s="174" t="s">
        <v>58</v>
      </c>
      <c r="C321" s="12"/>
      <c r="D321" s="83"/>
      <c r="E321" s="11">
        <f t="shared" si="292"/>
        <v>0</v>
      </c>
      <c r="F321" s="141"/>
      <c r="G321" s="13" t="e">
        <f t="shared" si="293"/>
        <v>#DIV/0!</v>
      </c>
      <c r="H321" s="125"/>
      <c r="I321" s="125"/>
      <c r="J321" s="83">
        <f t="shared" si="294"/>
        <v>0</v>
      </c>
      <c r="K321" s="35">
        <f t="shared" si="295"/>
        <v>0</v>
      </c>
      <c r="L321" s="136" t="e">
        <f t="shared" si="296"/>
        <v>#DIV/0!</v>
      </c>
      <c r="M321" s="116"/>
      <c r="N321" s="47">
        <f t="shared" si="297"/>
        <v>0</v>
      </c>
    </row>
    <row r="322" spans="1:14" ht="16">
      <c r="A322" s="33"/>
      <c r="B322" s="174" t="s">
        <v>58</v>
      </c>
      <c r="C322" s="83"/>
      <c r="D322" s="83"/>
      <c r="E322" s="11">
        <f t="shared" si="292"/>
        <v>0</v>
      </c>
      <c r="F322" s="141"/>
      <c r="G322" s="13" t="e">
        <f t="shared" si="293"/>
        <v>#DIV/0!</v>
      </c>
      <c r="H322" s="125"/>
      <c r="I322" s="125"/>
      <c r="J322" s="83">
        <f t="shared" si="294"/>
        <v>0</v>
      </c>
      <c r="K322" s="35">
        <f t="shared" si="295"/>
        <v>0</v>
      </c>
      <c r="L322" s="136" t="e">
        <f t="shared" si="296"/>
        <v>#DIV/0!</v>
      </c>
      <c r="M322" s="116"/>
      <c r="N322" s="47">
        <f t="shared" si="297"/>
        <v>0</v>
      </c>
    </row>
    <row r="323" spans="1:14" ht="16">
      <c r="A323" s="33"/>
      <c r="B323" s="174" t="s">
        <v>58</v>
      </c>
      <c r="C323" s="83"/>
      <c r="D323" s="83"/>
      <c r="E323" s="11">
        <f t="shared" si="292"/>
        <v>0</v>
      </c>
      <c r="F323" s="141"/>
      <c r="G323" s="13" t="e">
        <f t="shared" si="293"/>
        <v>#DIV/0!</v>
      </c>
      <c r="H323" s="125"/>
      <c r="I323" s="125"/>
      <c r="J323" s="83">
        <f t="shared" si="294"/>
        <v>0</v>
      </c>
      <c r="K323" s="35">
        <f t="shared" si="295"/>
        <v>0</v>
      </c>
      <c r="L323" s="136" t="e">
        <f t="shared" si="296"/>
        <v>#DIV/0!</v>
      </c>
      <c r="M323" s="116"/>
      <c r="N323" s="47">
        <f t="shared" si="297"/>
        <v>0</v>
      </c>
    </row>
    <row r="324" spans="1:14" ht="16">
      <c r="A324" s="138"/>
      <c r="B324" s="174" t="s">
        <v>58</v>
      </c>
      <c r="C324" s="83"/>
      <c r="D324" s="83"/>
      <c r="E324" s="11">
        <f t="shared" si="292"/>
        <v>0</v>
      </c>
      <c r="F324" s="141"/>
      <c r="G324" s="13" t="e">
        <f t="shared" si="293"/>
        <v>#DIV/0!</v>
      </c>
      <c r="H324" s="125"/>
      <c r="I324" s="125"/>
      <c r="J324" s="83">
        <f t="shared" si="294"/>
        <v>0</v>
      </c>
      <c r="K324" s="35">
        <f t="shared" si="295"/>
        <v>0</v>
      </c>
      <c r="L324" s="136" t="e">
        <f t="shared" si="296"/>
        <v>#DIV/0!</v>
      </c>
      <c r="M324" s="116"/>
      <c r="N324" s="47">
        <f t="shared" si="297"/>
        <v>0</v>
      </c>
    </row>
    <row r="325" spans="1:14" ht="16">
      <c r="A325" s="138"/>
      <c r="B325" s="174" t="s">
        <v>58</v>
      </c>
      <c r="C325" s="83"/>
      <c r="D325" s="83"/>
      <c r="E325" s="11">
        <f t="shared" si="292"/>
        <v>0</v>
      </c>
      <c r="F325" s="141"/>
      <c r="G325" s="13" t="e">
        <f t="shared" si="293"/>
        <v>#DIV/0!</v>
      </c>
      <c r="H325" s="125"/>
      <c r="I325" s="125"/>
      <c r="J325" s="83">
        <f t="shared" si="294"/>
        <v>0</v>
      </c>
      <c r="K325" s="35">
        <f t="shared" si="295"/>
        <v>0</v>
      </c>
      <c r="L325" s="136" t="e">
        <f t="shared" si="296"/>
        <v>#DIV/0!</v>
      </c>
      <c r="M325" s="116"/>
      <c r="N325" s="47">
        <f t="shared" si="297"/>
        <v>0</v>
      </c>
    </row>
    <row r="326" spans="1:14" ht="16">
      <c r="A326" s="138"/>
      <c r="B326" s="174" t="s">
        <v>58</v>
      </c>
      <c r="C326" s="83"/>
      <c r="D326" s="83"/>
      <c r="E326" s="11">
        <f t="shared" si="292"/>
        <v>0</v>
      </c>
      <c r="F326" s="141"/>
      <c r="G326" s="13" t="e">
        <f t="shared" si="293"/>
        <v>#DIV/0!</v>
      </c>
      <c r="H326" s="125"/>
      <c r="I326" s="125"/>
      <c r="J326" s="83">
        <f t="shared" si="294"/>
        <v>0</v>
      </c>
      <c r="K326" s="35">
        <f t="shared" si="295"/>
        <v>0</v>
      </c>
      <c r="L326" s="136" t="e">
        <f t="shared" si="296"/>
        <v>#DIV/0!</v>
      </c>
      <c r="M326" s="116"/>
      <c r="N326" s="47">
        <f t="shared" si="297"/>
        <v>0</v>
      </c>
    </row>
    <row r="327" spans="1:14" ht="16">
      <c r="A327" s="138"/>
      <c r="B327" s="174" t="s">
        <v>58</v>
      </c>
      <c r="C327" s="83"/>
      <c r="D327" s="83"/>
      <c r="E327" s="11">
        <f t="shared" si="292"/>
        <v>0</v>
      </c>
      <c r="F327" s="141"/>
      <c r="G327" s="13" t="e">
        <f t="shared" si="293"/>
        <v>#DIV/0!</v>
      </c>
      <c r="H327" s="125"/>
      <c r="I327" s="125"/>
      <c r="J327" s="83">
        <f t="shared" si="294"/>
        <v>0</v>
      </c>
      <c r="K327" s="35">
        <f t="shared" si="295"/>
        <v>0</v>
      </c>
      <c r="L327" s="136" t="e">
        <f t="shared" si="296"/>
        <v>#DIV/0!</v>
      </c>
      <c r="M327" s="116"/>
      <c r="N327" s="47">
        <f t="shared" si="297"/>
        <v>0</v>
      </c>
    </row>
    <row r="328" spans="1:14" ht="16">
      <c r="A328" s="59"/>
      <c r="B328" s="60"/>
      <c r="C328" s="59"/>
      <c r="D328" s="59" t="s">
        <v>19</v>
      </c>
      <c r="E328" s="59">
        <f>SUM(E319:E324)</f>
        <v>1156</v>
      </c>
      <c r="F328" s="59">
        <f>SUM(F319:F325)</f>
        <v>375.84</v>
      </c>
      <c r="G328" s="61" t="e">
        <f>AVERAGE(G319:G324)</f>
        <v>#DIV/0!</v>
      </c>
      <c r="H328" s="59"/>
      <c r="I328" s="62"/>
      <c r="J328" s="59">
        <f t="shared" ref="J328:K328" si="298">SUM(J319:J324)</f>
        <v>1178</v>
      </c>
      <c r="K328" s="59">
        <f t="shared" si="298"/>
        <v>375.84</v>
      </c>
      <c r="L328" s="61" t="e">
        <f>AVERAGE(L319:L324)</f>
        <v>#DIV/0!</v>
      </c>
      <c r="M328" s="64"/>
      <c r="N328" s="65">
        <f>SUM(N319:N327)</f>
        <v>9899893.8000000007</v>
      </c>
    </row>
    <row r="329" spans="1:14" ht="16">
      <c r="A329" s="66"/>
      <c r="B329" s="207" t="s">
        <v>70</v>
      </c>
      <c r="C329" s="83"/>
      <c r="D329" s="83"/>
      <c r="E329" s="11">
        <f t="shared" ref="E329:E334" si="299">D329-C329</f>
        <v>0</v>
      </c>
      <c r="F329" s="37"/>
      <c r="G329" s="13" t="e">
        <f t="shared" ref="G329:G334" si="300">(F329/E329)*100</f>
        <v>#DIV/0!</v>
      </c>
      <c r="H329" s="125"/>
      <c r="I329" s="125"/>
      <c r="J329" s="39">
        <f t="shared" ref="J329:J334" si="301">I329-H329</f>
        <v>0</v>
      </c>
      <c r="K329" s="39">
        <f t="shared" ref="K329:K334" si="302">F329</f>
        <v>0</v>
      </c>
      <c r="L329" s="136" t="e">
        <f t="shared" ref="L329:L334" si="303">(K329/J329)*100</f>
        <v>#DIV/0!</v>
      </c>
      <c r="M329" s="68"/>
      <c r="N329" s="47"/>
    </row>
    <row r="330" spans="1:14" ht="16">
      <c r="A330" s="33"/>
      <c r="B330" s="207" t="s">
        <v>70</v>
      </c>
      <c r="C330" s="83"/>
      <c r="D330" s="12"/>
      <c r="E330" s="11">
        <f t="shared" si="299"/>
        <v>0</v>
      </c>
      <c r="F330" s="141"/>
      <c r="G330" s="13" t="e">
        <f t="shared" si="300"/>
        <v>#DIV/0!</v>
      </c>
      <c r="H330" s="125"/>
      <c r="I330" s="125"/>
      <c r="J330" s="83">
        <f t="shared" si="301"/>
        <v>0</v>
      </c>
      <c r="K330" s="35">
        <f t="shared" si="302"/>
        <v>0</v>
      </c>
      <c r="L330" s="136" t="e">
        <f t="shared" si="303"/>
        <v>#DIV/0!</v>
      </c>
      <c r="M330" s="68"/>
      <c r="N330" s="47"/>
    </row>
    <row r="331" spans="1:14" ht="16">
      <c r="A331" s="33"/>
      <c r="B331" s="207" t="s">
        <v>70</v>
      </c>
      <c r="C331" s="12"/>
      <c r="D331" s="83"/>
      <c r="E331" s="11">
        <f t="shared" si="299"/>
        <v>0</v>
      </c>
      <c r="F331" s="141"/>
      <c r="G331" s="13" t="e">
        <f t="shared" si="300"/>
        <v>#DIV/0!</v>
      </c>
      <c r="H331" s="125"/>
      <c r="I331" s="125"/>
      <c r="J331" s="83">
        <f t="shared" si="301"/>
        <v>0</v>
      </c>
      <c r="K331" s="35">
        <f t="shared" si="302"/>
        <v>0</v>
      </c>
      <c r="L331" s="136" t="e">
        <f t="shared" si="303"/>
        <v>#DIV/0!</v>
      </c>
      <c r="M331" s="116"/>
      <c r="N331" s="47">
        <f t="shared" ref="N331:N334" si="304">M331*F331</f>
        <v>0</v>
      </c>
    </row>
    <row r="332" spans="1:14" ht="16">
      <c r="A332" s="33"/>
      <c r="B332" s="207" t="s">
        <v>70</v>
      </c>
      <c r="C332" s="83"/>
      <c r="D332" s="83"/>
      <c r="E332" s="11">
        <f t="shared" si="299"/>
        <v>0</v>
      </c>
      <c r="F332" s="141"/>
      <c r="G332" s="13" t="e">
        <f t="shared" si="300"/>
        <v>#DIV/0!</v>
      </c>
      <c r="H332" s="125"/>
      <c r="I332" s="125"/>
      <c r="J332" s="83">
        <f t="shared" si="301"/>
        <v>0</v>
      </c>
      <c r="K332" s="35">
        <f t="shared" si="302"/>
        <v>0</v>
      </c>
      <c r="L332" s="136" t="e">
        <f t="shared" si="303"/>
        <v>#DIV/0!</v>
      </c>
      <c r="M332" s="116"/>
      <c r="N332" s="47">
        <f t="shared" si="304"/>
        <v>0</v>
      </c>
    </row>
    <row r="333" spans="1:14" ht="16">
      <c r="A333" s="33"/>
      <c r="B333" s="207" t="s">
        <v>70</v>
      </c>
      <c r="C333" s="35"/>
      <c r="D333" s="83"/>
      <c r="E333" s="11">
        <f t="shared" si="299"/>
        <v>0</v>
      </c>
      <c r="F333" s="141"/>
      <c r="G333" s="13" t="e">
        <f t="shared" si="300"/>
        <v>#DIV/0!</v>
      </c>
      <c r="H333" s="83"/>
      <c r="I333" s="125"/>
      <c r="J333" s="83">
        <f t="shared" si="301"/>
        <v>0</v>
      </c>
      <c r="K333" s="35">
        <f t="shared" si="302"/>
        <v>0</v>
      </c>
      <c r="L333" s="136" t="e">
        <f t="shared" si="303"/>
        <v>#DIV/0!</v>
      </c>
      <c r="M333" s="116"/>
      <c r="N333" s="47">
        <f t="shared" si="304"/>
        <v>0</v>
      </c>
    </row>
    <row r="334" spans="1:14" ht="16">
      <c r="A334" s="138"/>
      <c r="B334" s="207" t="s">
        <v>70</v>
      </c>
      <c r="C334" s="83"/>
      <c r="D334" s="83"/>
      <c r="E334" s="11">
        <f t="shared" si="299"/>
        <v>0</v>
      </c>
      <c r="F334" s="141"/>
      <c r="G334" s="13" t="e">
        <f t="shared" si="300"/>
        <v>#DIV/0!</v>
      </c>
      <c r="H334" s="83"/>
      <c r="I334" s="125"/>
      <c r="J334" s="83">
        <f t="shared" si="301"/>
        <v>0</v>
      </c>
      <c r="K334" s="35">
        <f t="shared" si="302"/>
        <v>0</v>
      </c>
      <c r="L334" s="136" t="e">
        <f t="shared" si="303"/>
        <v>#DIV/0!</v>
      </c>
      <c r="M334" s="116"/>
      <c r="N334" s="47">
        <f t="shared" si="304"/>
        <v>0</v>
      </c>
    </row>
    <row r="335" spans="1:14" ht="16">
      <c r="A335" s="59"/>
      <c r="B335" s="60"/>
      <c r="C335" s="59"/>
      <c r="D335" s="59" t="s">
        <v>19</v>
      </c>
      <c r="E335" s="59">
        <f t="shared" ref="E335:F335" si="305">SUM(E329:E334)</f>
        <v>0</v>
      </c>
      <c r="F335" s="59">
        <f t="shared" si="305"/>
        <v>0</v>
      </c>
      <c r="G335" s="61" t="e">
        <f>AVERAGE(G329:G334)</f>
        <v>#DIV/0!</v>
      </c>
      <c r="H335" s="59"/>
      <c r="I335" s="62"/>
      <c r="J335" s="59">
        <f t="shared" ref="J335:K335" si="306">SUM(J329:J334)</f>
        <v>0</v>
      </c>
      <c r="K335" s="59">
        <f t="shared" si="306"/>
        <v>0</v>
      </c>
      <c r="L335" s="61" t="e">
        <f>AVERAGE(L329:L334)</f>
        <v>#DIV/0!</v>
      </c>
      <c r="M335" s="64"/>
      <c r="N335" s="65">
        <f>SUM(N329:N334)</f>
        <v>0</v>
      </c>
    </row>
    <row r="336" spans="1:14" ht="16">
      <c r="A336" s="66">
        <v>46176</v>
      </c>
      <c r="B336" s="174" t="s">
        <v>60</v>
      </c>
      <c r="C336" s="83">
        <v>15945</v>
      </c>
      <c r="D336" s="83">
        <v>16853</v>
      </c>
      <c r="E336" s="11">
        <f t="shared" ref="E336:E344" si="307">D336-C336</f>
        <v>908</v>
      </c>
      <c r="F336" s="37">
        <v>216.99</v>
      </c>
      <c r="G336" s="13">
        <f t="shared" ref="G336:G344" si="308">(F336/E336)*100</f>
        <v>23.897577092511014</v>
      </c>
      <c r="H336" s="125"/>
      <c r="I336" s="125"/>
      <c r="J336" s="39">
        <f t="shared" ref="J336:J344" si="309">I336-H336</f>
        <v>0</v>
      </c>
      <c r="K336" s="39">
        <f t="shared" ref="K336:K344" si="310">F336</f>
        <v>216.99</v>
      </c>
      <c r="L336" s="136" t="e">
        <f t="shared" ref="L336:L344" si="311">(K336/J336)*100</f>
        <v>#DIV/0!</v>
      </c>
      <c r="M336" s="68">
        <v>27650</v>
      </c>
      <c r="N336" s="47">
        <f t="shared" ref="N336:N344" si="312">M336*F336</f>
        <v>5999773.5</v>
      </c>
    </row>
    <row r="337" spans="1:18" ht="16">
      <c r="A337" s="33">
        <v>46184</v>
      </c>
      <c r="B337" s="174" t="s">
        <v>60</v>
      </c>
      <c r="C337" s="83">
        <v>16853</v>
      </c>
      <c r="D337" s="12">
        <v>17616</v>
      </c>
      <c r="E337" s="11">
        <f t="shared" si="307"/>
        <v>763</v>
      </c>
      <c r="F337" s="141">
        <v>208.77</v>
      </c>
      <c r="G337" s="13">
        <f t="shared" si="308"/>
        <v>27.361730013106161</v>
      </c>
      <c r="H337" s="125"/>
      <c r="I337" s="125"/>
      <c r="J337" s="83">
        <f t="shared" si="309"/>
        <v>0</v>
      </c>
      <c r="K337" s="35">
        <f t="shared" si="310"/>
        <v>208.77</v>
      </c>
      <c r="L337" s="136" t="e">
        <f t="shared" si="311"/>
        <v>#DIV/0!</v>
      </c>
      <c r="M337" s="68">
        <v>25870</v>
      </c>
      <c r="N337" s="47">
        <f t="shared" si="312"/>
        <v>5400879.9000000004</v>
      </c>
    </row>
    <row r="338" spans="1:18" ht="16">
      <c r="A338" s="33">
        <v>46192</v>
      </c>
      <c r="B338" s="174" t="s">
        <v>60</v>
      </c>
      <c r="C338" s="12">
        <v>17616</v>
      </c>
      <c r="D338" s="83">
        <v>17949</v>
      </c>
      <c r="E338" s="11">
        <f t="shared" si="307"/>
        <v>333</v>
      </c>
      <c r="F338" s="141">
        <v>110.51</v>
      </c>
      <c r="G338" s="13">
        <f t="shared" si="308"/>
        <v>33.186186186186191</v>
      </c>
      <c r="H338" s="125"/>
      <c r="I338" s="125"/>
      <c r="J338" s="83">
        <f t="shared" si="309"/>
        <v>0</v>
      </c>
      <c r="K338" s="35">
        <f t="shared" si="310"/>
        <v>110.51</v>
      </c>
      <c r="L338" s="136" t="e">
        <f t="shared" si="311"/>
        <v>#DIV/0!</v>
      </c>
      <c r="M338" s="116">
        <v>23530</v>
      </c>
      <c r="N338" s="47">
        <f t="shared" si="312"/>
        <v>2600300.3000000003</v>
      </c>
    </row>
    <row r="339" spans="1:18" ht="16">
      <c r="A339" s="33"/>
      <c r="B339" s="174" t="s">
        <v>60</v>
      </c>
      <c r="C339" s="83"/>
      <c r="D339" s="83"/>
      <c r="E339" s="11">
        <f t="shared" si="307"/>
        <v>0</v>
      </c>
      <c r="F339" s="141"/>
      <c r="G339" s="178" t="e">
        <f t="shared" si="308"/>
        <v>#DIV/0!</v>
      </c>
      <c r="H339" s="125"/>
      <c r="I339" s="125"/>
      <c r="J339" s="83">
        <f t="shared" si="309"/>
        <v>0</v>
      </c>
      <c r="K339" s="35">
        <f t="shared" si="310"/>
        <v>0</v>
      </c>
      <c r="L339" s="136" t="e">
        <f t="shared" si="311"/>
        <v>#DIV/0!</v>
      </c>
      <c r="M339" s="116"/>
      <c r="N339" s="47">
        <f t="shared" si="312"/>
        <v>0</v>
      </c>
    </row>
    <row r="340" spans="1:18" ht="16">
      <c r="A340" s="33"/>
      <c r="B340" s="174" t="s">
        <v>60</v>
      </c>
      <c r="C340" s="83"/>
      <c r="D340" s="83"/>
      <c r="E340" s="11">
        <f t="shared" si="307"/>
        <v>0</v>
      </c>
      <c r="F340" s="141"/>
      <c r="G340" s="13" t="e">
        <f t="shared" si="308"/>
        <v>#DIV/0!</v>
      </c>
      <c r="H340" s="83"/>
      <c r="I340" s="125"/>
      <c r="J340" s="83">
        <f t="shared" si="309"/>
        <v>0</v>
      </c>
      <c r="K340" s="35">
        <f t="shared" si="310"/>
        <v>0</v>
      </c>
      <c r="L340" s="136" t="e">
        <f t="shared" si="311"/>
        <v>#DIV/0!</v>
      </c>
      <c r="M340" s="116"/>
      <c r="N340" s="47">
        <f t="shared" si="312"/>
        <v>0</v>
      </c>
    </row>
    <row r="341" spans="1:18" ht="16">
      <c r="A341" s="138"/>
      <c r="B341" s="174" t="s">
        <v>60</v>
      </c>
      <c r="C341" s="83"/>
      <c r="D341" s="83"/>
      <c r="E341" s="11">
        <f t="shared" si="307"/>
        <v>0</v>
      </c>
      <c r="F341" s="141"/>
      <c r="G341" s="13" t="e">
        <f t="shared" si="308"/>
        <v>#DIV/0!</v>
      </c>
      <c r="H341" s="83"/>
      <c r="I341" s="125"/>
      <c r="J341" s="83">
        <f t="shared" si="309"/>
        <v>0</v>
      </c>
      <c r="K341" s="35">
        <f t="shared" si="310"/>
        <v>0</v>
      </c>
      <c r="L341" s="136" t="e">
        <f t="shared" si="311"/>
        <v>#DIV/0!</v>
      </c>
      <c r="M341" s="116"/>
      <c r="N341" s="47">
        <f t="shared" si="312"/>
        <v>0</v>
      </c>
      <c r="R341" s="76">
        <v>75</v>
      </c>
    </row>
    <row r="342" spans="1:18" ht="16">
      <c r="A342" s="138"/>
      <c r="B342" s="174" t="s">
        <v>60</v>
      </c>
      <c r="C342" s="83"/>
      <c r="D342" s="83"/>
      <c r="E342" s="11">
        <f t="shared" si="307"/>
        <v>0</v>
      </c>
      <c r="F342" s="141"/>
      <c r="G342" s="13" t="e">
        <f t="shared" si="308"/>
        <v>#DIV/0!</v>
      </c>
      <c r="H342" s="83"/>
      <c r="I342" s="125"/>
      <c r="J342" s="83">
        <f t="shared" si="309"/>
        <v>0</v>
      </c>
      <c r="K342" s="35">
        <f t="shared" si="310"/>
        <v>0</v>
      </c>
      <c r="L342" s="136" t="e">
        <f t="shared" si="311"/>
        <v>#DIV/0!</v>
      </c>
      <c r="M342" s="116"/>
      <c r="N342" s="47">
        <f t="shared" si="312"/>
        <v>0</v>
      </c>
    </row>
    <row r="343" spans="1:18" ht="16">
      <c r="A343" s="138"/>
      <c r="B343" s="174" t="s">
        <v>60</v>
      </c>
      <c r="C343" s="83"/>
      <c r="D343" s="83"/>
      <c r="E343" s="11">
        <f t="shared" si="307"/>
        <v>0</v>
      </c>
      <c r="F343" s="141"/>
      <c r="G343" s="13" t="e">
        <f t="shared" si="308"/>
        <v>#DIV/0!</v>
      </c>
      <c r="H343" s="83"/>
      <c r="I343" s="125"/>
      <c r="J343" s="83">
        <f t="shared" si="309"/>
        <v>0</v>
      </c>
      <c r="K343" s="35">
        <f t="shared" si="310"/>
        <v>0</v>
      </c>
      <c r="L343" s="136" t="e">
        <f t="shared" si="311"/>
        <v>#DIV/0!</v>
      </c>
      <c r="M343" s="116"/>
      <c r="N343" s="47">
        <f t="shared" si="312"/>
        <v>0</v>
      </c>
    </row>
    <row r="344" spans="1:18" ht="16">
      <c r="A344" s="138"/>
      <c r="B344" s="174" t="s">
        <v>60</v>
      </c>
      <c r="C344" s="83"/>
      <c r="D344" s="83"/>
      <c r="E344" s="11">
        <f t="shared" si="307"/>
        <v>0</v>
      </c>
      <c r="F344" s="141"/>
      <c r="G344" s="13" t="e">
        <f t="shared" si="308"/>
        <v>#DIV/0!</v>
      </c>
      <c r="H344" s="83"/>
      <c r="I344" s="125"/>
      <c r="J344" s="83">
        <f t="shared" si="309"/>
        <v>0</v>
      </c>
      <c r="K344" s="35">
        <f t="shared" si="310"/>
        <v>0</v>
      </c>
      <c r="L344" s="136" t="e">
        <f t="shared" si="311"/>
        <v>#DIV/0!</v>
      </c>
      <c r="M344" s="116"/>
      <c r="N344" s="47">
        <f t="shared" si="312"/>
        <v>0</v>
      </c>
    </row>
    <row r="345" spans="1:18" ht="16">
      <c r="A345" s="59"/>
      <c r="B345" s="60"/>
      <c r="C345" s="59"/>
      <c r="D345" s="59" t="s">
        <v>19</v>
      </c>
      <c r="E345" s="59">
        <f>SUM(E336:E341)</f>
        <v>2004</v>
      </c>
      <c r="F345" s="59">
        <f>SUM(F336:F344)</f>
        <v>536.27</v>
      </c>
      <c r="G345" s="61" t="e">
        <f>AVERAGE(G336:G341)</f>
        <v>#DIV/0!</v>
      </c>
      <c r="H345" s="59"/>
      <c r="I345" s="62"/>
      <c r="J345" s="59">
        <f t="shared" ref="J345:K345" si="313">SUM(J336:J341)</f>
        <v>0</v>
      </c>
      <c r="K345" s="59">
        <f t="shared" si="313"/>
        <v>536.27</v>
      </c>
      <c r="L345" s="61" t="e">
        <f>AVERAGE(L336:L341)</f>
        <v>#DIV/0!</v>
      </c>
      <c r="M345" s="64"/>
      <c r="N345" s="65">
        <f>SUM(N336:N344)</f>
        <v>14000953.700000001</v>
      </c>
    </row>
    <row r="346" spans="1:18" ht="16">
      <c r="A346" s="66">
        <v>46179</v>
      </c>
      <c r="B346" s="174" t="s">
        <v>61</v>
      </c>
      <c r="C346" s="83">
        <v>1000</v>
      </c>
      <c r="D346" s="83">
        <f>C346+(F346/G310)*100</f>
        <v>1750.0737040021488</v>
      </c>
      <c r="E346" s="11">
        <f t="shared" ref="E346:E351" si="314">D346-C346</f>
        <v>750.07370400214882</v>
      </c>
      <c r="F346" s="37">
        <v>238.27</v>
      </c>
      <c r="G346" s="13">
        <f t="shared" ref="G346:G351" si="315">(F346/E346)*100</f>
        <v>31.766211604095563</v>
      </c>
      <c r="H346" s="125"/>
      <c r="I346" s="125"/>
      <c r="J346" s="39">
        <f t="shared" ref="J346:J351" si="316">I346-H346</f>
        <v>0</v>
      </c>
      <c r="K346" s="39">
        <f t="shared" ref="K346:K351" si="317">F346</f>
        <v>238.27</v>
      </c>
      <c r="L346" s="136" t="e">
        <f t="shared" ref="L346:L351" si="318">(K346/J346)*100</f>
        <v>#DIV/0!</v>
      </c>
      <c r="M346" s="68">
        <v>26860</v>
      </c>
      <c r="N346" s="47">
        <f t="shared" ref="N346:N351" si="319">M346*F346</f>
        <v>6399932.2000000002</v>
      </c>
    </row>
    <row r="347" spans="1:18" ht="16">
      <c r="A347" s="33">
        <v>46192</v>
      </c>
      <c r="B347" s="174" t="s">
        <v>61</v>
      </c>
      <c r="C347" s="83">
        <f>D346</f>
        <v>1750.0737040021488</v>
      </c>
      <c r="D347" s="12">
        <f>C347+(F346/G310)*100</f>
        <v>2500.1474080042976</v>
      </c>
      <c r="E347" s="11">
        <f t="shared" si="314"/>
        <v>750.07370400214882</v>
      </c>
      <c r="F347" s="141">
        <v>233.75</v>
      </c>
      <c r="G347" s="13">
        <f t="shared" si="315"/>
        <v>31.163604156869678</v>
      </c>
      <c r="H347" s="125"/>
      <c r="I347" s="125"/>
      <c r="J347" s="83">
        <f t="shared" si="316"/>
        <v>0</v>
      </c>
      <c r="K347" s="35">
        <f t="shared" si="317"/>
        <v>233.75</v>
      </c>
      <c r="L347" s="136" t="e">
        <f t="shared" si="318"/>
        <v>#DIV/0!</v>
      </c>
      <c r="M347" s="68">
        <v>23530</v>
      </c>
      <c r="N347" s="47">
        <f t="shared" si="319"/>
        <v>5500137.5</v>
      </c>
    </row>
    <row r="348" spans="1:18" ht="16">
      <c r="A348" s="33"/>
      <c r="B348" s="174" t="s">
        <v>61</v>
      </c>
      <c r="C348" s="12"/>
      <c r="D348" s="83"/>
      <c r="E348" s="11">
        <f t="shared" si="314"/>
        <v>0</v>
      </c>
      <c r="F348" s="141"/>
      <c r="G348" s="13" t="e">
        <f t="shared" si="315"/>
        <v>#DIV/0!</v>
      </c>
      <c r="H348" s="125"/>
      <c r="I348" s="125"/>
      <c r="J348" s="83">
        <f t="shared" si="316"/>
        <v>0</v>
      </c>
      <c r="K348" s="35">
        <f t="shared" si="317"/>
        <v>0</v>
      </c>
      <c r="L348" s="136" t="e">
        <f t="shared" si="318"/>
        <v>#DIV/0!</v>
      </c>
      <c r="M348" s="116"/>
      <c r="N348" s="47">
        <f t="shared" si="319"/>
        <v>0</v>
      </c>
    </row>
    <row r="349" spans="1:18" ht="16">
      <c r="A349" s="33"/>
      <c r="B349" s="174" t="s">
        <v>61</v>
      </c>
      <c r="C349" s="83"/>
      <c r="D349" s="83"/>
      <c r="E349" s="11">
        <f t="shared" si="314"/>
        <v>0</v>
      </c>
      <c r="F349" s="141"/>
      <c r="G349" s="13" t="e">
        <f t="shared" si="315"/>
        <v>#DIV/0!</v>
      </c>
      <c r="H349" s="125"/>
      <c r="I349" s="125"/>
      <c r="J349" s="83">
        <f t="shared" si="316"/>
        <v>0</v>
      </c>
      <c r="K349" s="35">
        <f t="shared" si="317"/>
        <v>0</v>
      </c>
      <c r="L349" s="136" t="e">
        <f t="shared" si="318"/>
        <v>#DIV/0!</v>
      </c>
      <c r="M349" s="116"/>
      <c r="N349" s="47">
        <f t="shared" si="319"/>
        <v>0</v>
      </c>
    </row>
    <row r="350" spans="1:18" ht="16">
      <c r="A350" s="33"/>
      <c r="B350" s="174" t="s">
        <v>61</v>
      </c>
      <c r="C350" s="35"/>
      <c r="D350" s="83"/>
      <c r="E350" s="11">
        <f t="shared" si="314"/>
        <v>0</v>
      </c>
      <c r="F350" s="141"/>
      <c r="G350" s="13" t="e">
        <f t="shared" si="315"/>
        <v>#DIV/0!</v>
      </c>
      <c r="H350" s="83"/>
      <c r="I350" s="125"/>
      <c r="J350" s="83">
        <f t="shared" si="316"/>
        <v>0</v>
      </c>
      <c r="K350" s="35">
        <f t="shared" si="317"/>
        <v>0</v>
      </c>
      <c r="L350" s="136" t="e">
        <f t="shared" si="318"/>
        <v>#DIV/0!</v>
      </c>
      <c r="M350" s="116"/>
      <c r="N350" s="47">
        <f t="shared" si="319"/>
        <v>0</v>
      </c>
    </row>
    <row r="351" spans="1:18" ht="16">
      <c r="A351" s="138"/>
      <c r="B351" s="174" t="s">
        <v>61</v>
      </c>
      <c r="C351" s="83"/>
      <c r="D351" s="83"/>
      <c r="E351" s="11">
        <f t="shared" si="314"/>
        <v>0</v>
      </c>
      <c r="F351" s="141"/>
      <c r="G351" s="13" t="e">
        <f t="shared" si="315"/>
        <v>#DIV/0!</v>
      </c>
      <c r="H351" s="83"/>
      <c r="I351" s="125"/>
      <c r="J351" s="83">
        <f t="shared" si="316"/>
        <v>0</v>
      </c>
      <c r="K351" s="35">
        <f t="shared" si="317"/>
        <v>0</v>
      </c>
      <c r="L351" s="136" t="e">
        <f t="shared" si="318"/>
        <v>#DIV/0!</v>
      </c>
      <c r="M351" s="116"/>
      <c r="N351" s="47">
        <f t="shared" si="319"/>
        <v>0</v>
      </c>
    </row>
    <row r="352" spans="1:18" ht="16">
      <c r="A352" s="59"/>
      <c r="B352" s="60"/>
      <c r="C352" s="59"/>
      <c r="D352" s="59" t="s">
        <v>19</v>
      </c>
      <c r="E352" s="59">
        <f t="shared" ref="E352:F352" si="320">SUM(E346:E351)</f>
        <v>1500.1474080042976</v>
      </c>
      <c r="F352" s="59">
        <f t="shared" si="320"/>
        <v>472.02</v>
      </c>
      <c r="G352" s="61" t="e">
        <f>AVERAGE(G346:G351)</f>
        <v>#DIV/0!</v>
      </c>
      <c r="H352" s="59"/>
      <c r="I352" s="62"/>
      <c r="J352" s="59">
        <f t="shared" ref="J352:K352" si="321">SUM(J346:J351)</f>
        <v>0</v>
      </c>
      <c r="K352" s="59">
        <f t="shared" si="321"/>
        <v>472.02</v>
      </c>
      <c r="L352" s="61" t="e">
        <f>AVERAGE(L346:L351)</f>
        <v>#DIV/0!</v>
      </c>
      <c r="M352" s="64"/>
      <c r="N352" s="65">
        <f>SUM(N346:N351)</f>
        <v>11900069.699999999</v>
      </c>
    </row>
    <row r="353" spans="1:14" ht="14">
      <c r="A353" s="354" t="s">
        <v>64</v>
      </c>
      <c r="B353" s="355"/>
      <c r="C353" s="355"/>
      <c r="D353" s="355"/>
      <c r="E353" s="355"/>
      <c r="F353" s="355"/>
      <c r="G353" s="355"/>
      <c r="H353" s="355"/>
      <c r="I353" s="355"/>
      <c r="J353" s="355"/>
      <c r="K353" s="355"/>
      <c r="L353" s="356"/>
      <c r="M353" s="64"/>
      <c r="N353" s="65">
        <f>SUM(N238:N352)/2</f>
        <v>105009209.50000001</v>
      </c>
    </row>
    <row r="354" spans="1:14" ht="13">
      <c r="G354" s="150"/>
      <c r="L354" s="150"/>
      <c r="N354" s="151"/>
    </row>
    <row r="355" spans="1:14" ht="13">
      <c r="G355" s="150"/>
      <c r="L355" s="150"/>
      <c r="N355" s="151"/>
    </row>
    <row r="356" spans="1:14" ht="13">
      <c r="G356" s="150"/>
      <c r="L356" s="150"/>
      <c r="N356" s="151"/>
    </row>
    <row r="357" spans="1:14" ht="13">
      <c r="G357" s="150"/>
      <c r="L357" s="150"/>
      <c r="N357" s="151"/>
    </row>
    <row r="358" spans="1:14" ht="13">
      <c r="G358" s="150"/>
      <c r="L358" s="150"/>
      <c r="N358" s="151"/>
    </row>
    <row r="359" spans="1:14" ht="13">
      <c r="G359" s="150"/>
      <c r="L359" s="150"/>
      <c r="N359" s="151"/>
    </row>
    <row r="360" spans="1:14" ht="13">
      <c r="G360" s="150"/>
      <c r="L360" s="150"/>
      <c r="N360" s="151"/>
    </row>
    <row r="361" spans="1:14" ht="13">
      <c r="G361" s="150"/>
      <c r="L361" s="150"/>
      <c r="N361" s="151"/>
    </row>
    <row r="362" spans="1:14" ht="13">
      <c r="G362" s="150"/>
      <c r="L362" s="150"/>
      <c r="N362" s="151"/>
    </row>
    <row r="363" spans="1:14" ht="13">
      <c r="G363" s="150"/>
      <c r="L363" s="150"/>
      <c r="N363" s="151"/>
    </row>
    <row r="364" spans="1:14" ht="13">
      <c r="G364" s="150"/>
      <c r="L364" s="150"/>
      <c r="N364" s="151"/>
    </row>
    <row r="365" spans="1:14" ht="13">
      <c r="G365" s="150"/>
      <c r="L365" s="150"/>
      <c r="N365" s="151"/>
    </row>
    <row r="366" spans="1:14" ht="13">
      <c r="G366" s="150"/>
      <c r="L366" s="150"/>
      <c r="N366" s="151"/>
    </row>
    <row r="367" spans="1:14" ht="13">
      <c r="G367" s="150"/>
      <c r="L367" s="150"/>
      <c r="N367" s="151"/>
    </row>
    <row r="368" spans="1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  <row r="1139" spans="7:14" ht="13">
      <c r="G1139" s="150"/>
      <c r="L1139" s="150"/>
      <c r="N1139" s="151"/>
    </row>
    <row r="1140" spans="7:14" ht="13">
      <c r="G1140" s="150"/>
      <c r="L1140" s="150"/>
      <c r="N1140" s="151"/>
    </row>
    <row r="1141" spans="7:14" ht="13">
      <c r="G1141" s="150"/>
      <c r="L1141" s="150"/>
      <c r="N1141" s="151"/>
    </row>
    <row r="1142" spans="7:14" ht="13">
      <c r="G1142" s="150"/>
      <c r="L1142" s="150"/>
      <c r="N1142" s="151"/>
    </row>
    <row r="1143" spans="7:14" ht="13">
      <c r="G1143" s="150"/>
      <c r="L1143" s="150"/>
      <c r="N1143" s="151"/>
    </row>
    <row r="1144" spans="7:14" ht="13">
      <c r="G1144" s="150"/>
      <c r="L1144" s="150"/>
      <c r="N1144" s="151"/>
    </row>
    <row r="1145" spans="7:14" ht="13">
      <c r="G1145" s="150"/>
      <c r="L1145" s="150"/>
      <c r="N1145" s="151"/>
    </row>
    <row r="1146" spans="7:14" ht="13">
      <c r="G1146" s="150"/>
      <c r="L1146" s="150"/>
      <c r="N1146" s="151"/>
    </row>
    <row r="1147" spans="7:14" ht="13">
      <c r="G1147" s="150"/>
      <c r="L1147" s="150"/>
      <c r="N1147" s="151"/>
    </row>
    <row r="1148" spans="7:14" ht="13">
      <c r="G1148" s="150"/>
      <c r="L1148" s="150"/>
      <c r="N1148" s="151"/>
    </row>
    <row r="1149" spans="7:14" ht="13">
      <c r="G1149" s="150"/>
      <c r="L1149" s="150"/>
      <c r="N1149" s="151"/>
    </row>
    <row r="1150" spans="7:14" ht="13">
      <c r="G1150" s="150"/>
      <c r="L1150" s="150"/>
      <c r="N1150" s="151"/>
    </row>
    <row r="1151" spans="7:14" ht="13">
      <c r="G1151" s="150"/>
      <c r="L1151" s="150"/>
      <c r="N1151" s="151"/>
    </row>
    <row r="1152" spans="7:14" ht="13">
      <c r="G1152" s="150"/>
      <c r="L1152" s="150"/>
      <c r="N1152" s="151"/>
    </row>
    <row r="1153" spans="7:14" ht="13">
      <c r="G1153" s="150"/>
      <c r="L1153" s="150"/>
      <c r="N1153" s="151"/>
    </row>
    <row r="1154" spans="7:14" ht="13">
      <c r="G1154" s="150"/>
      <c r="L1154" s="150"/>
      <c r="N1154" s="151"/>
    </row>
    <row r="1155" spans="7:14" ht="13">
      <c r="G1155" s="150"/>
      <c r="L1155" s="150"/>
      <c r="N1155" s="151"/>
    </row>
    <row r="1156" spans="7:14" ht="13">
      <c r="G1156" s="150"/>
      <c r="L1156" s="150"/>
      <c r="N1156" s="151"/>
    </row>
    <row r="1157" spans="7:14" ht="13">
      <c r="G1157" s="150"/>
      <c r="L1157" s="150"/>
      <c r="N1157" s="151"/>
    </row>
    <row r="1158" spans="7:14" ht="13">
      <c r="G1158" s="150"/>
      <c r="L1158" s="150"/>
      <c r="N1158" s="151"/>
    </row>
    <row r="1159" spans="7:14" ht="13">
      <c r="G1159" s="150"/>
      <c r="L1159" s="150"/>
      <c r="N1159" s="151"/>
    </row>
    <row r="1160" spans="7:14" ht="13">
      <c r="G1160" s="150"/>
      <c r="L1160" s="150"/>
      <c r="N1160" s="151"/>
    </row>
    <row r="1161" spans="7:14" ht="13">
      <c r="G1161" s="150"/>
      <c r="L1161" s="150"/>
      <c r="N1161" s="151"/>
    </row>
    <row r="1162" spans="7:14" ht="13">
      <c r="G1162" s="150"/>
      <c r="L1162" s="150"/>
      <c r="N1162" s="151"/>
    </row>
    <row r="1163" spans="7:14" ht="13">
      <c r="G1163" s="150"/>
      <c r="L1163" s="150"/>
      <c r="N1163" s="151"/>
    </row>
    <row r="1164" spans="7:14" ht="13">
      <c r="G1164" s="150"/>
      <c r="L1164" s="150"/>
      <c r="N1164" s="151"/>
    </row>
    <row r="1165" spans="7:14" ht="13">
      <c r="G1165" s="150"/>
      <c r="L1165" s="150"/>
      <c r="N1165" s="151"/>
    </row>
    <row r="1166" spans="7:14" ht="13">
      <c r="G1166" s="150"/>
      <c r="L1166" s="150"/>
      <c r="N1166" s="151"/>
    </row>
    <row r="1167" spans="7:14" ht="13">
      <c r="G1167" s="150"/>
      <c r="L1167" s="150"/>
      <c r="N1167" s="151"/>
    </row>
    <row r="1168" spans="7:14" ht="13">
      <c r="G1168" s="150"/>
      <c r="L1168" s="150"/>
      <c r="N1168" s="151"/>
    </row>
    <row r="1169" spans="7:14" ht="13">
      <c r="G1169" s="150"/>
      <c r="L1169" s="150"/>
      <c r="N1169" s="151"/>
    </row>
    <row r="1170" spans="7:14" ht="13">
      <c r="G1170" s="150"/>
      <c r="L1170" s="150"/>
      <c r="N1170" s="151"/>
    </row>
    <row r="1171" spans="7:14" ht="13">
      <c r="G1171" s="150"/>
      <c r="L1171" s="150"/>
      <c r="N1171" s="151"/>
    </row>
  </sheetData>
  <mergeCells count="2">
    <mergeCell ref="A1:N1"/>
    <mergeCell ref="A353:L3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15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46113</v>
      </c>
      <c r="B3" s="8" t="s">
        <v>11</v>
      </c>
      <c r="C3" s="9">
        <v>203782</v>
      </c>
      <c r="D3" s="10">
        <v>204065</v>
      </c>
      <c r="E3" s="11">
        <f t="shared" ref="E3:E10" si="0">D3-C3</f>
        <v>283</v>
      </c>
      <c r="F3" s="12">
        <v>35</v>
      </c>
      <c r="G3" s="13">
        <f t="shared" ref="G3:G10" si="1">(F3/E3)*100</f>
        <v>12.367491166077739</v>
      </c>
      <c r="H3" s="14">
        <v>33404</v>
      </c>
      <c r="I3" s="15">
        <v>33718</v>
      </c>
      <c r="J3" s="12">
        <f t="shared" ref="J3:J10" si="2">I3-H3</f>
        <v>314</v>
      </c>
      <c r="K3" s="10">
        <f t="shared" ref="K3:K10" si="3">F3</f>
        <v>35</v>
      </c>
      <c r="L3" s="16">
        <f t="shared" ref="L3:L10" si="4">(K3/J3)*100</f>
        <v>11.146496815286625</v>
      </c>
      <c r="M3" s="17">
        <v>35440</v>
      </c>
      <c r="N3" s="17">
        <f t="shared" ref="N3:N10" si="5">F3*M3</f>
        <v>1240400</v>
      </c>
    </row>
    <row r="4" spans="1:18" ht="16">
      <c r="A4" s="7">
        <v>46119</v>
      </c>
      <c r="B4" s="8" t="s">
        <v>11</v>
      </c>
      <c r="C4" s="10">
        <v>204065</v>
      </c>
      <c r="D4" s="10">
        <v>204337</v>
      </c>
      <c r="E4" s="11">
        <f t="shared" si="0"/>
        <v>272</v>
      </c>
      <c r="F4" s="12">
        <v>40</v>
      </c>
      <c r="G4" s="13">
        <f t="shared" si="1"/>
        <v>14.705882352941178</v>
      </c>
      <c r="H4" s="15">
        <v>33718</v>
      </c>
      <c r="I4" s="15">
        <v>34023</v>
      </c>
      <c r="J4" s="12">
        <f t="shared" si="2"/>
        <v>305</v>
      </c>
      <c r="K4" s="10">
        <f t="shared" si="3"/>
        <v>40</v>
      </c>
      <c r="L4" s="16">
        <f t="shared" si="4"/>
        <v>13.114754098360656</v>
      </c>
      <c r="M4" s="17">
        <v>44780</v>
      </c>
      <c r="N4" s="17">
        <f t="shared" si="5"/>
        <v>1791200</v>
      </c>
      <c r="O4" s="18">
        <v>1</v>
      </c>
      <c r="P4" s="19" t="s">
        <v>12</v>
      </c>
      <c r="Q4" s="20">
        <f>N19</f>
        <v>9117510</v>
      </c>
      <c r="R4" s="20">
        <f t="shared" ref="R4:R15" si="6">Q4</f>
        <v>9117510</v>
      </c>
    </row>
    <row r="5" spans="1:18" ht="16">
      <c r="A5" s="7">
        <v>46122</v>
      </c>
      <c r="B5" s="8" t="s">
        <v>11</v>
      </c>
      <c r="C5" s="10">
        <v>204337</v>
      </c>
      <c r="D5" s="10">
        <v>204633</v>
      </c>
      <c r="E5" s="11">
        <f t="shared" si="0"/>
        <v>296</v>
      </c>
      <c r="F5" s="10">
        <v>40</v>
      </c>
      <c r="G5" s="13">
        <f t="shared" si="1"/>
        <v>13.513513513513514</v>
      </c>
      <c r="H5" s="15">
        <v>34023</v>
      </c>
      <c r="I5" s="15">
        <v>34396</v>
      </c>
      <c r="J5" s="12">
        <f t="shared" si="2"/>
        <v>373</v>
      </c>
      <c r="K5" s="10">
        <f t="shared" si="3"/>
        <v>40</v>
      </c>
      <c r="L5" s="16">
        <f t="shared" si="4"/>
        <v>10.723860589812332</v>
      </c>
      <c r="M5" s="17">
        <v>32960</v>
      </c>
      <c r="N5" s="17">
        <f t="shared" si="5"/>
        <v>1318400</v>
      </c>
      <c r="O5" s="18">
        <v>2</v>
      </c>
      <c r="P5" s="19" t="s">
        <v>13</v>
      </c>
      <c r="Q5" s="20">
        <f>N29</f>
        <v>8017710</v>
      </c>
      <c r="R5" s="20">
        <f t="shared" si="6"/>
        <v>8017710</v>
      </c>
    </row>
    <row r="6" spans="1:18" ht="16">
      <c r="A6" s="7">
        <v>46126</v>
      </c>
      <c r="B6" s="8" t="s">
        <v>11</v>
      </c>
      <c r="C6" s="10">
        <v>204633</v>
      </c>
      <c r="D6" s="10">
        <v>204950</v>
      </c>
      <c r="E6" s="11">
        <f t="shared" si="0"/>
        <v>317</v>
      </c>
      <c r="F6" s="10">
        <v>40</v>
      </c>
      <c r="G6" s="13">
        <f t="shared" si="1"/>
        <v>12.618296529968454</v>
      </c>
      <c r="H6" s="15">
        <v>34396</v>
      </c>
      <c r="I6" s="15">
        <v>34759</v>
      </c>
      <c r="J6" s="12">
        <f t="shared" si="2"/>
        <v>363</v>
      </c>
      <c r="K6" s="10">
        <f t="shared" si="3"/>
        <v>40</v>
      </c>
      <c r="L6" s="16">
        <f t="shared" si="4"/>
        <v>11.019283746556475</v>
      </c>
      <c r="M6" s="17">
        <v>32960</v>
      </c>
      <c r="N6" s="17">
        <f t="shared" si="5"/>
        <v>1318400</v>
      </c>
      <c r="O6" s="18">
        <v>3</v>
      </c>
      <c r="P6" s="19" t="s">
        <v>14</v>
      </c>
      <c r="Q6" s="20">
        <f>N38</f>
        <v>8655800</v>
      </c>
      <c r="R6" s="20">
        <f t="shared" si="6"/>
        <v>8655800</v>
      </c>
    </row>
    <row r="7" spans="1:18" ht="16">
      <c r="A7" s="7">
        <v>46130</v>
      </c>
      <c r="B7" s="8" t="s">
        <v>11</v>
      </c>
      <c r="C7" s="10">
        <v>204950</v>
      </c>
      <c r="D7" s="10">
        <v>205220</v>
      </c>
      <c r="E7" s="11">
        <f t="shared" si="0"/>
        <v>270</v>
      </c>
      <c r="F7" s="10">
        <v>40</v>
      </c>
      <c r="G7" s="13">
        <f t="shared" si="1"/>
        <v>14.814814814814813</v>
      </c>
      <c r="H7" s="15">
        <v>34759</v>
      </c>
      <c r="I7" s="15">
        <v>35169</v>
      </c>
      <c r="J7" s="12">
        <f t="shared" si="2"/>
        <v>410</v>
      </c>
      <c r="K7" s="10">
        <f t="shared" si="3"/>
        <v>40</v>
      </c>
      <c r="L7" s="16">
        <f t="shared" si="4"/>
        <v>9.7560975609756095</v>
      </c>
      <c r="M7" s="21">
        <v>31040</v>
      </c>
      <c r="N7" s="17">
        <f t="shared" si="5"/>
        <v>1241600</v>
      </c>
      <c r="O7" s="18">
        <v>4</v>
      </c>
      <c r="P7" s="19" t="s">
        <v>15</v>
      </c>
      <c r="Q7" s="20">
        <f>N49</f>
        <v>8543770</v>
      </c>
      <c r="R7" s="20">
        <f t="shared" si="6"/>
        <v>8543770</v>
      </c>
    </row>
    <row r="8" spans="1:18" ht="16">
      <c r="A8" s="7">
        <v>46133</v>
      </c>
      <c r="B8" s="8" t="s">
        <v>11</v>
      </c>
      <c r="C8" s="10">
        <v>205220</v>
      </c>
      <c r="D8" s="10">
        <v>205489</v>
      </c>
      <c r="E8" s="11">
        <f t="shared" si="0"/>
        <v>269</v>
      </c>
      <c r="F8" s="10">
        <v>30</v>
      </c>
      <c r="G8" s="13">
        <f t="shared" si="1"/>
        <v>11.152416356877323</v>
      </c>
      <c r="H8" s="15">
        <v>35169</v>
      </c>
      <c r="I8" s="15">
        <v>35299</v>
      </c>
      <c r="J8" s="12">
        <f t="shared" si="2"/>
        <v>130</v>
      </c>
      <c r="K8" s="10">
        <f t="shared" si="3"/>
        <v>30</v>
      </c>
      <c r="L8" s="16">
        <f t="shared" si="4"/>
        <v>23.076923076923077</v>
      </c>
      <c r="M8" s="21">
        <v>31040</v>
      </c>
      <c r="N8" s="17">
        <f t="shared" si="5"/>
        <v>931200</v>
      </c>
      <c r="O8" s="18">
        <v>5</v>
      </c>
      <c r="P8" s="19" t="s">
        <v>16</v>
      </c>
      <c r="Q8" s="20">
        <f>N61</f>
        <v>13958870</v>
      </c>
      <c r="R8" s="20">
        <f t="shared" si="6"/>
        <v>13958870</v>
      </c>
    </row>
    <row r="9" spans="1:18" ht="16">
      <c r="A9" s="7">
        <v>46135</v>
      </c>
      <c r="B9" s="8" t="s">
        <v>11</v>
      </c>
      <c r="C9" s="10">
        <v>205489</v>
      </c>
      <c r="D9" s="10">
        <v>205805</v>
      </c>
      <c r="E9" s="11">
        <f t="shared" si="0"/>
        <v>316</v>
      </c>
      <c r="F9" s="10">
        <v>35</v>
      </c>
      <c r="G9" s="13">
        <f t="shared" si="1"/>
        <v>11.075949367088606</v>
      </c>
      <c r="H9" s="15">
        <v>35299</v>
      </c>
      <c r="I9" s="15">
        <v>35660</v>
      </c>
      <c r="J9" s="12">
        <f t="shared" si="2"/>
        <v>361</v>
      </c>
      <c r="K9" s="10">
        <f t="shared" si="3"/>
        <v>35</v>
      </c>
      <c r="L9" s="16">
        <f t="shared" si="4"/>
        <v>9.6952908587257625</v>
      </c>
      <c r="M9" s="21">
        <v>26690</v>
      </c>
      <c r="N9" s="17">
        <f t="shared" si="5"/>
        <v>934150</v>
      </c>
      <c r="O9" s="18">
        <v>6</v>
      </c>
      <c r="P9" s="19" t="s">
        <v>17</v>
      </c>
      <c r="Q9" s="20">
        <f>N11</f>
        <v>9709500</v>
      </c>
      <c r="R9" s="20">
        <f t="shared" si="6"/>
        <v>9709500</v>
      </c>
    </row>
    <row r="10" spans="1:18" ht="16">
      <c r="A10" s="22">
        <v>46140</v>
      </c>
      <c r="B10" s="23" t="s">
        <v>11</v>
      </c>
      <c r="C10" s="10">
        <v>205805</v>
      </c>
      <c r="D10" s="9">
        <v>206058</v>
      </c>
      <c r="E10" s="24">
        <f t="shared" si="0"/>
        <v>253</v>
      </c>
      <c r="F10" s="9">
        <v>35</v>
      </c>
      <c r="G10" s="13">
        <f t="shared" si="1"/>
        <v>13.83399209486166</v>
      </c>
      <c r="H10" s="15">
        <v>35660</v>
      </c>
      <c r="I10" s="14">
        <v>35966</v>
      </c>
      <c r="J10" s="25">
        <f t="shared" si="2"/>
        <v>306</v>
      </c>
      <c r="K10" s="9">
        <f t="shared" si="3"/>
        <v>35</v>
      </c>
      <c r="L10" s="26">
        <f t="shared" si="4"/>
        <v>11.437908496732026</v>
      </c>
      <c r="M10" s="21">
        <v>26690</v>
      </c>
      <c r="N10" s="27">
        <f t="shared" si="5"/>
        <v>934150</v>
      </c>
      <c r="O10" s="18">
        <v>7</v>
      </c>
      <c r="P10" s="19" t="s">
        <v>18</v>
      </c>
      <c r="Q10" s="20">
        <f>N71</f>
        <v>9145120</v>
      </c>
      <c r="R10" s="20">
        <f t="shared" si="6"/>
        <v>9145120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2276</v>
      </c>
      <c r="F11" s="28">
        <f t="shared" si="7"/>
        <v>295</v>
      </c>
      <c r="G11" s="29" t="e">
        <f>G3:G10</f>
        <v>#VALUE!</v>
      </c>
      <c r="H11" s="28"/>
      <c r="I11" s="30"/>
      <c r="J11" s="28">
        <f t="shared" ref="J11:K11" si="8">SUM(J3:J10)</f>
        <v>2562</v>
      </c>
      <c r="K11" s="31">
        <f t="shared" si="8"/>
        <v>295</v>
      </c>
      <c r="L11" s="29">
        <f>AVERAGE(L3:L10)</f>
        <v>12.49632690542157</v>
      </c>
      <c r="M11" s="28"/>
      <c r="N11" s="32">
        <f>SUM(N3:N10)</f>
        <v>9709500</v>
      </c>
      <c r="O11" s="18">
        <v>8</v>
      </c>
      <c r="P11" s="19" t="s">
        <v>20</v>
      </c>
      <c r="Q11" s="20">
        <f>N80</f>
        <v>11004780</v>
      </c>
      <c r="R11" s="20">
        <f t="shared" si="6"/>
        <v>11004780</v>
      </c>
    </row>
    <row r="12" spans="1:18" ht="16">
      <c r="A12" s="33">
        <v>46113</v>
      </c>
      <c r="B12" s="34" t="s">
        <v>12</v>
      </c>
      <c r="C12" s="35">
        <v>166179</v>
      </c>
      <c r="D12" s="35">
        <v>166532</v>
      </c>
      <c r="E12" s="36">
        <f t="shared" ref="E12:E18" si="9">D12-C12</f>
        <v>353</v>
      </c>
      <c r="F12" s="37">
        <v>51</v>
      </c>
      <c r="G12" s="13">
        <f t="shared" ref="G12:G18" si="10">(F12/E12)*100</f>
        <v>14.447592067988669</v>
      </c>
      <c r="H12" s="38">
        <v>33515</v>
      </c>
      <c r="I12" s="38">
        <v>33914</v>
      </c>
      <c r="J12" s="39">
        <f t="shared" ref="J12:J18" si="11">I12-H12</f>
        <v>399</v>
      </c>
      <c r="K12" s="10">
        <f t="shared" ref="K12:K18" si="12">F12</f>
        <v>51</v>
      </c>
      <c r="L12" s="40">
        <f t="shared" ref="L12:L18" si="13">(K12/J12)*100</f>
        <v>12.781954887218044</v>
      </c>
      <c r="M12" s="41">
        <v>35440</v>
      </c>
      <c r="N12" s="42">
        <f t="shared" ref="N12:N18" si="14">F12*M12</f>
        <v>1807440</v>
      </c>
      <c r="O12" s="18">
        <v>9</v>
      </c>
      <c r="P12" s="19" t="s">
        <v>21</v>
      </c>
      <c r="Q12" s="20">
        <f>N88</f>
        <v>9171790</v>
      </c>
      <c r="R12" s="20">
        <f t="shared" si="6"/>
        <v>9171790</v>
      </c>
    </row>
    <row r="13" spans="1:18" ht="16">
      <c r="A13" s="43">
        <v>46118</v>
      </c>
      <c r="B13" s="44" t="s">
        <v>12</v>
      </c>
      <c r="C13" s="35">
        <v>166532</v>
      </c>
      <c r="D13" s="35">
        <v>166818</v>
      </c>
      <c r="E13" s="11">
        <f t="shared" si="9"/>
        <v>286</v>
      </c>
      <c r="F13" s="45">
        <v>40</v>
      </c>
      <c r="G13" s="13">
        <f t="shared" si="10"/>
        <v>13.986013986013987</v>
      </c>
      <c r="H13" s="38">
        <v>33914</v>
      </c>
      <c r="I13" s="38">
        <v>34188</v>
      </c>
      <c r="J13" s="35">
        <f t="shared" si="11"/>
        <v>274</v>
      </c>
      <c r="K13" s="10">
        <f t="shared" si="12"/>
        <v>40</v>
      </c>
      <c r="L13" s="46">
        <f t="shared" si="13"/>
        <v>14.5985401459854</v>
      </c>
      <c r="M13" s="41">
        <v>44780</v>
      </c>
      <c r="N13" s="47">
        <f t="shared" si="14"/>
        <v>1791200</v>
      </c>
      <c r="O13" s="18">
        <v>10</v>
      </c>
      <c r="P13" s="19" t="s">
        <v>22</v>
      </c>
      <c r="Q13" s="20">
        <f>N97</f>
        <v>9376060</v>
      </c>
      <c r="R13" s="20">
        <f t="shared" si="6"/>
        <v>9376060</v>
      </c>
    </row>
    <row r="14" spans="1:18" ht="16">
      <c r="A14" s="43">
        <v>46122</v>
      </c>
      <c r="B14" s="44" t="s">
        <v>12</v>
      </c>
      <c r="C14" s="35">
        <v>166818</v>
      </c>
      <c r="D14" s="35">
        <v>167128</v>
      </c>
      <c r="E14" s="11">
        <f t="shared" si="9"/>
        <v>310</v>
      </c>
      <c r="F14" s="45">
        <v>41</v>
      </c>
      <c r="G14" s="13">
        <f t="shared" si="10"/>
        <v>13.225806451612904</v>
      </c>
      <c r="H14" s="38">
        <v>34188</v>
      </c>
      <c r="I14" s="38">
        <v>34557</v>
      </c>
      <c r="J14" s="35">
        <f t="shared" si="11"/>
        <v>369</v>
      </c>
      <c r="K14" s="10">
        <f t="shared" si="12"/>
        <v>41</v>
      </c>
      <c r="L14" s="46">
        <f t="shared" si="13"/>
        <v>11.111111111111111</v>
      </c>
      <c r="M14" s="48">
        <v>32960</v>
      </c>
      <c r="N14" s="47">
        <f t="shared" si="14"/>
        <v>1351360</v>
      </c>
      <c r="O14" s="18">
        <v>11</v>
      </c>
      <c r="P14" s="19" t="s">
        <v>23</v>
      </c>
      <c r="Q14" s="20">
        <f>N104</f>
        <v>9480220</v>
      </c>
      <c r="R14" s="20">
        <f t="shared" si="6"/>
        <v>9480220</v>
      </c>
    </row>
    <row r="15" spans="1:18" ht="16">
      <c r="A15" s="43">
        <v>46126</v>
      </c>
      <c r="B15" s="49" t="s">
        <v>12</v>
      </c>
      <c r="C15" s="35">
        <v>167128</v>
      </c>
      <c r="D15" s="50">
        <v>167520</v>
      </c>
      <c r="E15" s="51">
        <f t="shared" si="9"/>
        <v>392</v>
      </c>
      <c r="F15" s="52">
        <v>50</v>
      </c>
      <c r="G15" s="13">
        <f t="shared" si="10"/>
        <v>12.755102040816327</v>
      </c>
      <c r="H15" s="38">
        <v>34557</v>
      </c>
      <c r="I15" s="38">
        <v>34934</v>
      </c>
      <c r="J15" s="35">
        <f t="shared" si="11"/>
        <v>377</v>
      </c>
      <c r="K15" s="10">
        <f t="shared" si="12"/>
        <v>50</v>
      </c>
      <c r="L15" s="46">
        <f t="shared" si="13"/>
        <v>13.262599469496022</v>
      </c>
      <c r="M15" s="48">
        <v>32960</v>
      </c>
      <c r="N15" s="47">
        <f t="shared" si="14"/>
        <v>1648000</v>
      </c>
      <c r="O15" s="18">
        <v>12</v>
      </c>
      <c r="P15" s="19" t="s">
        <v>24</v>
      </c>
      <c r="Q15" s="20">
        <f>N112</f>
        <v>9057230</v>
      </c>
      <c r="R15" s="20">
        <f t="shared" si="6"/>
        <v>9057230</v>
      </c>
    </row>
    <row r="16" spans="1:18" ht="16">
      <c r="A16" s="43">
        <v>46130</v>
      </c>
      <c r="B16" s="44" t="s">
        <v>12</v>
      </c>
      <c r="C16" s="50">
        <v>167520</v>
      </c>
      <c r="D16" s="35">
        <v>167858</v>
      </c>
      <c r="E16" s="11">
        <f t="shared" si="9"/>
        <v>338</v>
      </c>
      <c r="F16" s="45">
        <v>39</v>
      </c>
      <c r="G16" s="13">
        <f t="shared" si="10"/>
        <v>11.538461538461538</v>
      </c>
      <c r="H16" s="38">
        <v>34934</v>
      </c>
      <c r="I16" s="38">
        <v>35399</v>
      </c>
      <c r="J16" s="35">
        <f t="shared" si="11"/>
        <v>465</v>
      </c>
      <c r="K16" s="10">
        <f t="shared" si="12"/>
        <v>39</v>
      </c>
      <c r="L16" s="46">
        <f t="shared" si="13"/>
        <v>8.3870967741935498</v>
      </c>
      <c r="M16" s="48">
        <v>31040</v>
      </c>
      <c r="N16" s="47">
        <f t="shared" si="14"/>
        <v>1210560</v>
      </c>
      <c r="O16" s="18">
        <v>13</v>
      </c>
      <c r="P16" s="19" t="s">
        <v>25</v>
      </c>
      <c r="Q16" s="20">
        <f>N120</f>
        <v>9927130</v>
      </c>
      <c r="R16" s="20">
        <f>N120</f>
        <v>9927130</v>
      </c>
    </row>
    <row r="17" spans="1:18" ht="16">
      <c r="A17" s="43">
        <v>46135</v>
      </c>
      <c r="B17" s="44" t="s">
        <v>12</v>
      </c>
      <c r="C17" s="35">
        <v>167858</v>
      </c>
      <c r="D17" s="35">
        <v>168088</v>
      </c>
      <c r="E17" s="11">
        <f t="shared" si="9"/>
        <v>230</v>
      </c>
      <c r="F17" s="45">
        <v>47</v>
      </c>
      <c r="G17" s="13">
        <f t="shared" si="10"/>
        <v>20.434782608695652</v>
      </c>
      <c r="H17" s="38">
        <v>35399</v>
      </c>
      <c r="I17" s="38">
        <v>35596</v>
      </c>
      <c r="J17" s="35">
        <f t="shared" si="11"/>
        <v>197</v>
      </c>
      <c r="K17" s="10">
        <f t="shared" si="12"/>
        <v>47</v>
      </c>
      <c r="L17" s="46">
        <f t="shared" si="13"/>
        <v>23.857868020304569</v>
      </c>
      <c r="M17" s="48">
        <v>27850</v>
      </c>
      <c r="N17" s="47">
        <f t="shared" si="14"/>
        <v>1308950</v>
      </c>
      <c r="O17" s="18">
        <v>14</v>
      </c>
      <c r="P17" s="19" t="s">
        <v>26</v>
      </c>
      <c r="Q17" s="20">
        <f>N128</f>
        <v>8706120</v>
      </c>
      <c r="R17" s="20">
        <f t="shared" ref="R17:R28" si="15">Q17</f>
        <v>8706120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20898000</v>
      </c>
      <c r="R18" s="20">
        <f t="shared" si="15"/>
        <v>20898000</v>
      </c>
    </row>
    <row r="19" spans="1:18" ht="16">
      <c r="A19" s="59"/>
      <c r="B19" s="60"/>
      <c r="C19" s="59"/>
      <c r="D19" s="59" t="s">
        <v>19</v>
      </c>
      <c r="E19" s="59">
        <f>SUM(E12:E18)</f>
        <v>1909</v>
      </c>
      <c r="F19" s="59">
        <f>SUM(F11:F18)</f>
        <v>563</v>
      </c>
      <c r="G19" s="61" t="e">
        <f>AVERAGE(G12:G18)</f>
        <v>#DIV/0!</v>
      </c>
      <c r="H19" s="59"/>
      <c r="I19" s="62"/>
      <c r="J19" s="59">
        <f t="shared" ref="J19:K19" si="17">SUM(J12:J18)</f>
        <v>2081</v>
      </c>
      <c r="K19" s="63">
        <f t="shared" si="17"/>
        <v>268</v>
      </c>
      <c r="L19" s="61" t="e">
        <f>AVERAGE(L12:L18)</f>
        <v>#DIV/0!</v>
      </c>
      <c r="M19" s="64"/>
      <c r="N19" s="65">
        <f>SUM(N12:N18)</f>
        <v>9117510</v>
      </c>
      <c r="O19" s="18">
        <f t="shared" si="16"/>
        <v>16</v>
      </c>
      <c r="P19" s="58" t="s">
        <v>28</v>
      </c>
      <c r="Q19" s="20">
        <f>N157</f>
        <v>4860000</v>
      </c>
      <c r="R19" s="20">
        <f t="shared" si="15"/>
        <v>4860000</v>
      </c>
    </row>
    <row r="20" spans="1:18" ht="16">
      <c r="A20" s="66">
        <v>46119</v>
      </c>
      <c r="B20" s="34" t="s">
        <v>13</v>
      </c>
      <c r="C20" s="35">
        <v>184746</v>
      </c>
      <c r="D20" s="35">
        <v>185011</v>
      </c>
      <c r="E20" s="11">
        <f t="shared" ref="E20:E28" si="18">D20-C20</f>
        <v>265</v>
      </c>
      <c r="F20" s="37">
        <v>35</v>
      </c>
      <c r="G20" s="13">
        <f t="shared" ref="G20:G28" si="19">(F20/E20)*100</f>
        <v>13.20754716981132</v>
      </c>
      <c r="H20" s="35">
        <v>36675</v>
      </c>
      <c r="I20" s="35">
        <v>37070</v>
      </c>
      <c r="J20" s="39">
        <f t="shared" ref="J20:J28" si="20">I20-H20</f>
        <v>395</v>
      </c>
      <c r="K20" s="39">
        <f t="shared" ref="K20:K28" si="21">F20</f>
        <v>35</v>
      </c>
      <c r="L20" s="67">
        <f t="shared" ref="L20:L28" si="22">(K20/J20)*100</f>
        <v>8.8607594936708853</v>
      </c>
      <c r="M20" s="68">
        <v>44780</v>
      </c>
      <c r="N20" s="42">
        <f t="shared" ref="N20:N28" si="23">F20*M20</f>
        <v>1567300</v>
      </c>
      <c r="O20" s="18">
        <f t="shared" si="16"/>
        <v>17</v>
      </c>
      <c r="P20" s="58" t="s">
        <v>29</v>
      </c>
      <c r="Q20" s="20">
        <f>N166</f>
        <v>2126000</v>
      </c>
      <c r="R20" s="20">
        <f t="shared" si="15"/>
        <v>2126000</v>
      </c>
    </row>
    <row r="21" spans="1:18" ht="16">
      <c r="A21" s="66">
        <v>46121</v>
      </c>
      <c r="B21" s="44" t="s">
        <v>13</v>
      </c>
      <c r="C21" s="35">
        <v>185011</v>
      </c>
      <c r="D21" s="35">
        <v>185350</v>
      </c>
      <c r="E21" s="11">
        <f t="shared" si="18"/>
        <v>339</v>
      </c>
      <c r="F21" s="37">
        <v>47</v>
      </c>
      <c r="G21" s="13">
        <f t="shared" si="19"/>
        <v>13.864306784660767</v>
      </c>
      <c r="H21" s="35">
        <v>37070</v>
      </c>
      <c r="I21" s="35">
        <v>37327</v>
      </c>
      <c r="J21" s="35">
        <f t="shared" si="20"/>
        <v>257</v>
      </c>
      <c r="K21" s="35">
        <f t="shared" si="21"/>
        <v>47</v>
      </c>
      <c r="L21" s="46">
        <f t="shared" si="22"/>
        <v>18.28793774319066</v>
      </c>
      <c r="M21" s="68">
        <v>32960</v>
      </c>
      <c r="N21" s="47">
        <f t="shared" si="23"/>
        <v>1549120</v>
      </c>
      <c r="O21" s="18">
        <f t="shared" si="16"/>
        <v>18</v>
      </c>
      <c r="P21" s="58" t="s">
        <v>30</v>
      </c>
      <c r="Q21" s="20">
        <f>N175</f>
        <v>11638000</v>
      </c>
      <c r="R21" s="20">
        <f t="shared" si="15"/>
        <v>11638000</v>
      </c>
    </row>
    <row r="22" spans="1:18" ht="16">
      <c r="A22" s="33">
        <v>46129</v>
      </c>
      <c r="B22" s="44" t="s">
        <v>13</v>
      </c>
      <c r="C22" s="35">
        <v>185350</v>
      </c>
      <c r="D22" s="35">
        <v>185691</v>
      </c>
      <c r="E22" s="11">
        <f t="shared" si="18"/>
        <v>341</v>
      </c>
      <c r="F22" s="45">
        <v>49</v>
      </c>
      <c r="G22" s="13">
        <f t="shared" si="19"/>
        <v>14.369501466275661</v>
      </c>
      <c r="H22" s="35">
        <v>37327</v>
      </c>
      <c r="I22" s="35">
        <v>37770</v>
      </c>
      <c r="J22" s="35">
        <f t="shared" si="20"/>
        <v>443</v>
      </c>
      <c r="K22" s="35">
        <f t="shared" si="21"/>
        <v>49</v>
      </c>
      <c r="L22" s="46">
        <f t="shared" si="22"/>
        <v>11.060948081264108</v>
      </c>
      <c r="M22" s="68">
        <v>31040</v>
      </c>
      <c r="N22" s="47">
        <f t="shared" si="23"/>
        <v>1520960</v>
      </c>
      <c r="O22" s="18">
        <f t="shared" si="16"/>
        <v>19</v>
      </c>
      <c r="P22" s="58" t="s">
        <v>31</v>
      </c>
      <c r="Q22" s="20">
        <f>N184</f>
        <v>8197000</v>
      </c>
      <c r="R22" s="20">
        <f t="shared" si="15"/>
        <v>8197000</v>
      </c>
    </row>
    <row r="23" spans="1:18" ht="16">
      <c r="A23" s="33">
        <v>46133</v>
      </c>
      <c r="B23" s="44" t="s">
        <v>13</v>
      </c>
      <c r="C23" s="35">
        <v>185691</v>
      </c>
      <c r="D23" s="35">
        <v>185979</v>
      </c>
      <c r="E23" s="11">
        <f t="shared" si="18"/>
        <v>288</v>
      </c>
      <c r="F23" s="45">
        <v>38</v>
      </c>
      <c r="G23" s="13">
        <f t="shared" si="19"/>
        <v>13.194444444444445</v>
      </c>
      <c r="H23" s="35">
        <v>37770</v>
      </c>
      <c r="I23" s="35">
        <v>38095</v>
      </c>
      <c r="J23" s="35">
        <f t="shared" si="20"/>
        <v>325</v>
      </c>
      <c r="K23" s="50">
        <f t="shared" si="21"/>
        <v>38</v>
      </c>
      <c r="L23" s="46">
        <f t="shared" si="22"/>
        <v>11.692307692307692</v>
      </c>
      <c r="M23" s="48">
        <v>27850</v>
      </c>
      <c r="N23" s="47">
        <f t="shared" si="23"/>
        <v>1058300</v>
      </c>
      <c r="O23" s="18">
        <f t="shared" si="16"/>
        <v>20</v>
      </c>
      <c r="P23" s="58" t="s">
        <v>32</v>
      </c>
      <c r="Q23" s="20">
        <f>N193</f>
        <v>11514000</v>
      </c>
      <c r="R23" s="20">
        <f t="shared" si="15"/>
        <v>11514000</v>
      </c>
    </row>
    <row r="24" spans="1:18" ht="16">
      <c r="A24" s="33">
        <v>46136</v>
      </c>
      <c r="B24" s="44" t="s">
        <v>13</v>
      </c>
      <c r="C24" s="35">
        <v>185979</v>
      </c>
      <c r="D24" s="35">
        <v>186321</v>
      </c>
      <c r="E24" s="11">
        <f t="shared" si="18"/>
        <v>342</v>
      </c>
      <c r="F24" s="45">
        <v>46</v>
      </c>
      <c r="G24" s="13">
        <f t="shared" si="19"/>
        <v>13.450292397660817</v>
      </c>
      <c r="H24" s="35">
        <v>38095</v>
      </c>
      <c r="I24" s="35">
        <v>38603</v>
      </c>
      <c r="J24" s="35">
        <f t="shared" si="20"/>
        <v>508</v>
      </c>
      <c r="K24" s="50">
        <f t="shared" si="21"/>
        <v>46</v>
      </c>
      <c r="L24" s="46">
        <f t="shared" si="22"/>
        <v>9.0551181102362204</v>
      </c>
      <c r="M24" s="48">
        <v>26690</v>
      </c>
      <c r="N24" s="47">
        <f t="shared" si="23"/>
        <v>1227740</v>
      </c>
      <c r="O24" s="18">
        <f t="shared" si="16"/>
        <v>21</v>
      </c>
      <c r="P24" s="58" t="s">
        <v>33</v>
      </c>
      <c r="Q24" s="20">
        <f>N201</f>
        <v>6970000</v>
      </c>
      <c r="R24" s="20">
        <f t="shared" si="15"/>
        <v>6970000</v>
      </c>
    </row>
    <row r="25" spans="1:18" ht="16">
      <c r="A25" s="33">
        <v>46140</v>
      </c>
      <c r="B25" s="44" t="s">
        <v>13</v>
      </c>
      <c r="C25" s="35">
        <v>186321</v>
      </c>
      <c r="D25" s="35">
        <v>186603</v>
      </c>
      <c r="E25" s="11">
        <f t="shared" si="18"/>
        <v>282</v>
      </c>
      <c r="F25" s="45">
        <v>41</v>
      </c>
      <c r="G25" s="13">
        <f t="shared" si="19"/>
        <v>14.539007092198581</v>
      </c>
      <c r="H25" s="35">
        <v>38603</v>
      </c>
      <c r="I25" s="35">
        <v>38726</v>
      </c>
      <c r="J25" s="35">
        <f t="shared" si="20"/>
        <v>123</v>
      </c>
      <c r="K25" s="50">
        <f t="shared" si="21"/>
        <v>41</v>
      </c>
      <c r="L25" s="46">
        <f t="shared" si="22"/>
        <v>33.333333333333329</v>
      </c>
      <c r="M25" s="48">
        <v>26690</v>
      </c>
      <c r="N25" s="47">
        <f t="shared" si="23"/>
        <v>1094290</v>
      </c>
      <c r="O25" s="18">
        <f t="shared" si="16"/>
        <v>22</v>
      </c>
      <c r="P25" s="58" t="s">
        <v>34</v>
      </c>
      <c r="Q25" s="20">
        <f>N209</f>
        <v>7561000</v>
      </c>
      <c r="R25" s="20">
        <f t="shared" si="15"/>
        <v>7561000</v>
      </c>
    </row>
    <row r="26" spans="1:18" ht="16">
      <c r="A26" s="33"/>
      <c r="B26" s="44" t="s">
        <v>13</v>
      </c>
      <c r="C26" s="35"/>
      <c r="D26" s="35"/>
      <c r="E26" s="11">
        <f t="shared" si="18"/>
        <v>0</v>
      </c>
      <c r="F26" s="45"/>
      <c r="G26" s="13" t="e">
        <f t="shared" si="19"/>
        <v>#DIV/0!</v>
      </c>
      <c r="H26" s="35"/>
      <c r="I26" s="35"/>
      <c r="J26" s="35">
        <f t="shared" si="20"/>
        <v>0</v>
      </c>
      <c r="K26" s="50">
        <f t="shared" si="21"/>
        <v>0</v>
      </c>
      <c r="L26" s="46" t="e">
        <f t="shared" si="22"/>
        <v>#DIV/0!</v>
      </c>
      <c r="M26" s="48"/>
      <c r="N26" s="47">
        <f t="shared" si="23"/>
        <v>0</v>
      </c>
      <c r="O26" s="18">
        <f t="shared" si="16"/>
        <v>23</v>
      </c>
      <c r="P26" s="69" t="s">
        <v>35</v>
      </c>
      <c r="Q26" s="20">
        <f>N136</f>
        <v>8160570</v>
      </c>
      <c r="R26" s="20">
        <f t="shared" si="15"/>
        <v>8160570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18">
        <f t="shared" si="16"/>
        <v>24</v>
      </c>
      <c r="P27" s="58" t="s">
        <v>72</v>
      </c>
      <c r="Q27" s="20">
        <f>N217</f>
        <v>2552000</v>
      </c>
      <c r="R27" s="20">
        <f t="shared" si="15"/>
        <v>2552000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"/>
      <c r="Q28" s="18"/>
      <c r="R28" s="18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1857</v>
      </c>
      <c r="F29" s="59">
        <f>SUM(F20:F28)</f>
        <v>256</v>
      </c>
      <c r="G29" s="61" t="e">
        <f>AVERAGE(G20:G26)</f>
        <v>#DIV/0!</v>
      </c>
      <c r="H29" s="59"/>
      <c r="I29" s="62"/>
      <c r="J29" s="59">
        <f t="shared" ref="J29:K29" si="24">SUM(J20:J26)</f>
        <v>2051</v>
      </c>
      <c r="K29" s="59">
        <f t="shared" si="24"/>
        <v>256</v>
      </c>
      <c r="L29" s="61" t="e">
        <f>AVERAGE(L20:L26)</f>
        <v>#DIV/0!</v>
      </c>
      <c r="M29" s="64"/>
      <c r="N29" s="65">
        <f>SUM(N20:N28)</f>
        <v>8017710</v>
      </c>
      <c r="O29" s="18"/>
      <c r="P29" s="75" t="s">
        <v>19</v>
      </c>
      <c r="Q29" s="20">
        <f>SUM(Q4:Q27)</f>
        <v>218348180</v>
      </c>
      <c r="R29" s="20"/>
    </row>
    <row r="30" spans="1:18" ht="16">
      <c r="A30" s="66">
        <v>46113</v>
      </c>
      <c r="B30" s="34" t="s">
        <v>14</v>
      </c>
      <c r="C30" s="35">
        <v>187524</v>
      </c>
      <c r="D30" s="53">
        <v>187807</v>
      </c>
      <c r="E30" s="36">
        <f t="shared" ref="E30:E37" si="25">D30-C30</f>
        <v>283</v>
      </c>
      <c r="F30" s="37">
        <v>40</v>
      </c>
      <c r="G30" s="13">
        <f t="shared" ref="G30:G37" si="26">(F30/E30)*100</f>
        <v>14.134275618374559</v>
      </c>
      <c r="H30" s="38">
        <v>28165</v>
      </c>
      <c r="I30" s="55">
        <v>28581</v>
      </c>
      <c r="J30" s="39">
        <f t="shared" ref="J30:J37" si="27">I30-H30</f>
        <v>416</v>
      </c>
      <c r="K30" s="50">
        <f t="shared" ref="K30:K37" si="28">F30</f>
        <v>40</v>
      </c>
      <c r="L30" s="67">
        <f t="shared" ref="L30:L37" si="29">(K30/J30)*100</f>
        <v>9.6153846153846168</v>
      </c>
      <c r="M30" s="68">
        <v>35440</v>
      </c>
      <c r="N30" s="42">
        <f t="shared" ref="N30:N37" si="30">F30*M30</f>
        <v>1417600</v>
      </c>
      <c r="R30" s="76">
        <f t="shared" ref="R30:R44" si="31">Q30</f>
        <v>0</v>
      </c>
    </row>
    <row r="31" spans="1:18" ht="16">
      <c r="A31" s="33">
        <v>46115</v>
      </c>
      <c r="B31" s="44" t="s">
        <v>14</v>
      </c>
      <c r="C31" s="53">
        <v>187807</v>
      </c>
      <c r="D31" s="35">
        <v>188108</v>
      </c>
      <c r="E31" s="11">
        <f t="shared" si="25"/>
        <v>301</v>
      </c>
      <c r="F31" s="45">
        <v>30</v>
      </c>
      <c r="G31" s="13">
        <f t="shared" si="26"/>
        <v>9.9667774086378742</v>
      </c>
      <c r="H31" s="55">
        <v>28581</v>
      </c>
      <c r="I31" s="38">
        <v>28842</v>
      </c>
      <c r="J31" s="35">
        <f t="shared" si="27"/>
        <v>261</v>
      </c>
      <c r="K31" s="50">
        <f t="shared" si="28"/>
        <v>30</v>
      </c>
      <c r="L31" s="46">
        <f t="shared" si="29"/>
        <v>11.494252873563218</v>
      </c>
      <c r="M31" s="68">
        <v>40820</v>
      </c>
      <c r="N31" s="47">
        <f t="shared" si="30"/>
        <v>1224600</v>
      </c>
      <c r="R31" s="76">
        <f t="shared" si="31"/>
        <v>0</v>
      </c>
    </row>
    <row r="32" spans="1:18" ht="16">
      <c r="A32" s="33">
        <v>46121</v>
      </c>
      <c r="B32" s="34" t="s">
        <v>14</v>
      </c>
      <c r="C32" s="35">
        <v>188108</v>
      </c>
      <c r="D32" s="35">
        <v>188430</v>
      </c>
      <c r="E32" s="11">
        <f t="shared" si="25"/>
        <v>322</v>
      </c>
      <c r="F32" s="45">
        <v>40</v>
      </c>
      <c r="G32" s="13">
        <f t="shared" si="26"/>
        <v>12.422360248447205</v>
      </c>
      <c r="H32" s="38">
        <v>28842</v>
      </c>
      <c r="I32" s="38">
        <v>29190</v>
      </c>
      <c r="J32" s="35">
        <f t="shared" si="27"/>
        <v>348</v>
      </c>
      <c r="K32" s="50">
        <f t="shared" si="28"/>
        <v>40</v>
      </c>
      <c r="L32" s="46">
        <f t="shared" si="29"/>
        <v>11.494252873563218</v>
      </c>
      <c r="M32" s="68">
        <v>32960</v>
      </c>
      <c r="N32" s="47">
        <f t="shared" si="30"/>
        <v>1318400</v>
      </c>
      <c r="R32" s="76">
        <f t="shared" si="31"/>
        <v>0</v>
      </c>
    </row>
    <row r="33" spans="1:18" ht="16">
      <c r="A33" s="33">
        <v>46127</v>
      </c>
      <c r="B33" s="44" t="s">
        <v>14</v>
      </c>
      <c r="C33" s="35">
        <v>188430</v>
      </c>
      <c r="D33" s="35">
        <v>188741</v>
      </c>
      <c r="E33" s="11">
        <f t="shared" si="25"/>
        <v>311</v>
      </c>
      <c r="F33" s="45">
        <v>40</v>
      </c>
      <c r="G33" s="13">
        <f t="shared" si="26"/>
        <v>12.861736334405144</v>
      </c>
      <c r="H33" s="38">
        <v>29190</v>
      </c>
      <c r="I33" s="38">
        <v>29565</v>
      </c>
      <c r="J33" s="35">
        <f t="shared" si="27"/>
        <v>375</v>
      </c>
      <c r="K33" s="50">
        <f t="shared" si="28"/>
        <v>40</v>
      </c>
      <c r="L33" s="46">
        <f t="shared" si="29"/>
        <v>10.666666666666668</v>
      </c>
      <c r="M33" s="68">
        <v>32960</v>
      </c>
      <c r="N33" s="47">
        <f t="shared" si="30"/>
        <v>1318400</v>
      </c>
      <c r="R33" s="76">
        <f t="shared" si="31"/>
        <v>0</v>
      </c>
    </row>
    <row r="34" spans="1:18" ht="16">
      <c r="A34" s="33">
        <v>46130</v>
      </c>
      <c r="B34" s="44" t="s">
        <v>14</v>
      </c>
      <c r="C34" s="35">
        <v>188741</v>
      </c>
      <c r="D34" s="35">
        <v>189113</v>
      </c>
      <c r="E34" s="11">
        <f t="shared" si="25"/>
        <v>372</v>
      </c>
      <c r="F34" s="45">
        <v>40</v>
      </c>
      <c r="G34" s="13">
        <f t="shared" si="26"/>
        <v>10.75268817204301</v>
      </c>
      <c r="H34" s="38">
        <v>29565</v>
      </c>
      <c r="I34" s="38">
        <v>29948</v>
      </c>
      <c r="J34" s="35">
        <f t="shared" si="27"/>
        <v>383</v>
      </c>
      <c r="K34" s="50">
        <f t="shared" si="28"/>
        <v>40</v>
      </c>
      <c r="L34" s="46">
        <f t="shared" si="29"/>
        <v>10.443864229765012</v>
      </c>
      <c r="M34" s="68">
        <v>31040</v>
      </c>
      <c r="N34" s="47">
        <f t="shared" si="30"/>
        <v>1241600</v>
      </c>
      <c r="R34" s="76">
        <f t="shared" si="31"/>
        <v>0</v>
      </c>
    </row>
    <row r="35" spans="1:18" ht="16">
      <c r="A35" s="33">
        <v>46135</v>
      </c>
      <c r="B35" s="44" t="s">
        <v>14</v>
      </c>
      <c r="C35" s="35">
        <v>189113</v>
      </c>
      <c r="D35" s="35">
        <v>189386</v>
      </c>
      <c r="E35" s="11">
        <f t="shared" si="25"/>
        <v>273</v>
      </c>
      <c r="F35" s="45">
        <v>40</v>
      </c>
      <c r="G35" s="13">
        <f t="shared" si="26"/>
        <v>14.652014652014653</v>
      </c>
      <c r="H35" s="38">
        <v>29948</v>
      </c>
      <c r="I35" s="38">
        <v>30275</v>
      </c>
      <c r="J35" s="35">
        <f t="shared" si="27"/>
        <v>327</v>
      </c>
      <c r="K35" s="50">
        <f t="shared" si="28"/>
        <v>40</v>
      </c>
      <c r="L35" s="46">
        <f t="shared" si="29"/>
        <v>12.232415902140673</v>
      </c>
      <c r="M35" s="48">
        <v>26690</v>
      </c>
      <c r="N35" s="47">
        <f t="shared" si="30"/>
        <v>1067600</v>
      </c>
      <c r="R35" s="76">
        <f t="shared" si="31"/>
        <v>0</v>
      </c>
    </row>
    <row r="36" spans="1:18" ht="16">
      <c r="A36" s="33">
        <v>46140</v>
      </c>
      <c r="B36" s="44" t="s">
        <v>14</v>
      </c>
      <c r="C36" s="35">
        <v>189386</v>
      </c>
      <c r="D36" s="35">
        <v>189686</v>
      </c>
      <c r="E36" s="11">
        <f t="shared" si="25"/>
        <v>300</v>
      </c>
      <c r="F36" s="45">
        <v>40</v>
      </c>
      <c r="G36" s="13">
        <f t="shared" si="26"/>
        <v>13.333333333333334</v>
      </c>
      <c r="H36" s="38">
        <v>30275</v>
      </c>
      <c r="I36" s="38">
        <v>30592</v>
      </c>
      <c r="J36" s="35">
        <f t="shared" si="27"/>
        <v>317</v>
      </c>
      <c r="K36" s="50">
        <f t="shared" si="28"/>
        <v>40</v>
      </c>
      <c r="L36" s="46">
        <f t="shared" si="29"/>
        <v>12.618296529968454</v>
      </c>
      <c r="M36" s="48">
        <v>26690</v>
      </c>
      <c r="N36" s="47">
        <f t="shared" si="30"/>
        <v>1067600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2162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2427</v>
      </c>
      <c r="K38" s="59">
        <f t="shared" si="32"/>
        <v>270</v>
      </c>
      <c r="L38" s="61" t="e">
        <f>AVERAGE(L30:L37)</f>
        <v>#DIV/0!</v>
      </c>
      <c r="M38" s="64"/>
      <c r="N38" s="65">
        <f>SUM(N30:N37)</f>
        <v>8655800</v>
      </c>
      <c r="R38" s="76">
        <f t="shared" si="31"/>
        <v>0</v>
      </c>
    </row>
    <row r="39" spans="1:18" ht="16">
      <c r="A39" s="66">
        <v>46113</v>
      </c>
      <c r="B39" s="34" t="s">
        <v>15</v>
      </c>
      <c r="C39" s="53">
        <v>175984</v>
      </c>
      <c r="D39" s="35">
        <v>176348</v>
      </c>
      <c r="E39" s="36">
        <f t="shared" ref="E39:E48" si="33">D39-C39</f>
        <v>364</v>
      </c>
      <c r="F39" s="37">
        <v>40</v>
      </c>
      <c r="G39" s="13">
        <f t="shared" ref="G39:G48" si="34">(F39/E39)*100</f>
        <v>10.989010989010989</v>
      </c>
      <c r="H39" s="55">
        <v>35038</v>
      </c>
      <c r="I39" s="38">
        <v>35440</v>
      </c>
      <c r="J39" s="39">
        <f t="shared" ref="J39:J48" si="35">I39-H39</f>
        <v>402</v>
      </c>
      <c r="K39" s="77">
        <f t="shared" ref="K39:K48" si="36">F39</f>
        <v>40</v>
      </c>
      <c r="L39" s="67">
        <f t="shared" ref="L39:L48" si="37">(K39/J39)*100</f>
        <v>9.9502487562189064</v>
      </c>
      <c r="M39" s="53">
        <v>35440</v>
      </c>
      <c r="N39" s="42">
        <f t="shared" ref="N39:N48" si="38">F39*M39</f>
        <v>1417600</v>
      </c>
      <c r="R39" s="76">
        <f t="shared" si="31"/>
        <v>0</v>
      </c>
    </row>
    <row r="40" spans="1:18" ht="16">
      <c r="A40" s="33">
        <v>46116</v>
      </c>
      <c r="B40" s="44" t="s">
        <v>15</v>
      </c>
      <c r="C40" s="35">
        <v>176348</v>
      </c>
      <c r="D40" s="35">
        <v>176614</v>
      </c>
      <c r="E40" s="11">
        <f t="shared" si="33"/>
        <v>266</v>
      </c>
      <c r="F40" s="45">
        <v>37</v>
      </c>
      <c r="G40" s="13">
        <f t="shared" si="34"/>
        <v>13.909774436090224</v>
      </c>
      <c r="H40" s="38">
        <v>35440</v>
      </c>
      <c r="I40" s="38">
        <v>35706</v>
      </c>
      <c r="J40" s="35">
        <f t="shared" si="35"/>
        <v>266</v>
      </c>
      <c r="K40" s="50">
        <f t="shared" si="36"/>
        <v>37</v>
      </c>
      <c r="L40" s="46">
        <f t="shared" si="37"/>
        <v>13.909774436090224</v>
      </c>
      <c r="M40" s="53">
        <v>44780</v>
      </c>
      <c r="N40" s="47">
        <f t="shared" si="38"/>
        <v>1656860</v>
      </c>
      <c r="P40" s="78"/>
      <c r="R40" s="76">
        <f t="shared" si="31"/>
        <v>0</v>
      </c>
    </row>
    <row r="41" spans="1:18" ht="16">
      <c r="A41" s="33">
        <v>46127</v>
      </c>
      <c r="B41" s="44" t="s">
        <v>15</v>
      </c>
      <c r="C41" s="35">
        <v>176614</v>
      </c>
      <c r="D41" s="35">
        <v>177041</v>
      </c>
      <c r="E41" s="11">
        <f t="shared" si="33"/>
        <v>427</v>
      </c>
      <c r="F41" s="45">
        <v>53</v>
      </c>
      <c r="G41" s="13">
        <f t="shared" si="34"/>
        <v>12.412177985948478</v>
      </c>
      <c r="H41" s="38">
        <v>35706</v>
      </c>
      <c r="I41" s="35">
        <v>36103</v>
      </c>
      <c r="J41" s="35">
        <f t="shared" si="35"/>
        <v>397</v>
      </c>
      <c r="K41" s="35">
        <f t="shared" si="36"/>
        <v>53</v>
      </c>
      <c r="L41" s="46">
        <f t="shared" si="37"/>
        <v>13.350125944584383</v>
      </c>
      <c r="M41" s="53">
        <v>32960</v>
      </c>
      <c r="N41" s="47">
        <f t="shared" si="38"/>
        <v>1746880</v>
      </c>
      <c r="R41" s="76">
        <f t="shared" si="31"/>
        <v>0</v>
      </c>
    </row>
    <row r="42" spans="1:18" ht="16">
      <c r="A42" s="33">
        <v>46131</v>
      </c>
      <c r="B42" s="44" t="s">
        <v>15</v>
      </c>
      <c r="C42" s="35">
        <v>177041</v>
      </c>
      <c r="D42" s="35">
        <v>177471</v>
      </c>
      <c r="E42" s="11">
        <f t="shared" si="33"/>
        <v>430</v>
      </c>
      <c r="F42" s="45">
        <v>45</v>
      </c>
      <c r="G42" s="13">
        <f t="shared" si="34"/>
        <v>10.465116279069768</v>
      </c>
      <c r="H42" s="35">
        <v>36103</v>
      </c>
      <c r="I42" s="38">
        <v>36545</v>
      </c>
      <c r="J42" s="35">
        <f t="shared" si="35"/>
        <v>442</v>
      </c>
      <c r="K42" s="50">
        <f t="shared" si="36"/>
        <v>45</v>
      </c>
      <c r="L42" s="46">
        <f t="shared" si="37"/>
        <v>10.180995475113122</v>
      </c>
      <c r="M42" s="53">
        <v>31040</v>
      </c>
      <c r="N42" s="47">
        <f t="shared" si="38"/>
        <v>1396800</v>
      </c>
      <c r="R42" s="76">
        <f t="shared" si="31"/>
        <v>0</v>
      </c>
    </row>
    <row r="43" spans="1:18" ht="16">
      <c r="A43" s="33">
        <v>46135</v>
      </c>
      <c r="B43" s="44" t="s">
        <v>15</v>
      </c>
      <c r="C43" s="35">
        <v>177471</v>
      </c>
      <c r="D43" s="35">
        <v>177823</v>
      </c>
      <c r="E43" s="11">
        <f t="shared" si="33"/>
        <v>352</v>
      </c>
      <c r="F43" s="45">
        <v>39</v>
      </c>
      <c r="G43" s="13">
        <f t="shared" si="34"/>
        <v>11.079545454545455</v>
      </c>
      <c r="H43" s="38">
        <v>36545</v>
      </c>
      <c r="I43" s="38">
        <v>36913</v>
      </c>
      <c r="J43" s="35">
        <f t="shared" si="35"/>
        <v>368</v>
      </c>
      <c r="K43" s="50">
        <f t="shared" si="36"/>
        <v>39</v>
      </c>
      <c r="L43" s="46">
        <f t="shared" si="37"/>
        <v>10.597826086956522</v>
      </c>
      <c r="M43" s="53">
        <v>27850</v>
      </c>
      <c r="N43" s="47">
        <f t="shared" si="38"/>
        <v>1086150</v>
      </c>
      <c r="R43" s="76">
        <f t="shared" si="31"/>
        <v>0</v>
      </c>
    </row>
    <row r="44" spans="1:18" ht="16">
      <c r="A44" s="33">
        <v>46141</v>
      </c>
      <c r="B44" s="44" t="s">
        <v>15</v>
      </c>
      <c r="C44" s="35">
        <v>177823</v>
      </c>
      <c r="D44" s="35">
        <v>178214</v>
      </c>
      <c r="E44" s="11">
        <f t="shared" si="33"/>
        <v>391</v>
      </c>
      <c r="F44" s="45">
        <v>44</v>
      </c>
      <c r="G44" s="13">
        <f t="shared" si="34"/>
        <v>11.253196930946292</v>
      </c>
      <c r="H44" s="38">
        <v>36913</v>
      </c>
      <c r="I44" s="38">
        <v>37292</v>
      </c>
      <c r="J44" s="35">
        <f t="shared" si="35"/>
        <v>379</v>
      </c>
      <c r="K44" s="50">
        <f t="shared" si="36"/>
        <v>44</v>
      </c>
      <c r="L44" s="46">
        <f t="shared" si="37"/>
        <v>11.609498680738787</v>
      </c>
      <c r="M44" s="48">
        <v>28170</v>
      </c>
      <c r="N44" s="47">
        <f t="shared" si="38"/>
        <v>1239480</v>
      </c>
      <c r="R44" s="76">
        <f t="shared" si="31"/>
        <v>0</v>
      </c>
    </row>
    <row r="45" spans="1:18" ht="16">
      <c r="A45" s="33"/>
      <c r="B45" s="44" t="s">
        <v>15</v>
      </c>
      <c r="C45" s="35"/>
      <c r="D45" s="35"/>
      <c r="E45" s="11">
        <f t="shared" si="33"/>
        <v>0</v>
      </c>
      <c r="F45" s="45"/>
      <c r="G45" s="13" t="e">
        <f t="shared" si="34"/>
        <v>#DIV/0!</v>
      </c>
      <c r="H45" s="38"/>
      <c r="I45" s="38"/>
      <c r="J45" s="35">
        <f t="shared" si="35"/>
        <v>0</v>
      </c>
      <c r="K45" s="50">
        <f t="shared" si="36"/>
        <v>0</v>
      </c>
      <c r="L45" s="46" t="e">
        <f t="shared" si="37"/>
        <v>#DIV/0!</v>
      </c>
      <c r="M45" s="48"/>
      <c r="N45" s="47">
        <f t="shared" si="38"/>
        <v>0</v>
      </c>
    </row>
    <row r="46" spans="1:18" ht="16">
      <c r="A46" s="33"/>
      <c r="B46" s="44" t="s">
        <v>15</v>
      </c>
      <c r="C46" s="35"/>
      <c r="D46" s="35"/>
      <c r="E46" s="11">
        <f t="shared" si="33"/>
        <v>0</v>
      </c>
      <c r="F46" s="45"/>
      <c r="G46" s="13" t="e">
        <f t="shared" si="34"/>
        <v>#DIV/0!</v>
      </c>
      <c r="H46" s="38"/>
      <c r="I46" s="38"/>
      <c r="J46" s="35">
        <f t="shared" si="35"/>
        <v>0</v>
      </c>
      <c r="K46" s="50">
        <f t="shared" si="36"/>
        <v>0</v>
      </c>
      <c r="L46" s="46" t="e">
        <f t="shared" si="37"/>
        <v>#DIV/0!</v>
      </c>
      <c r="M46" s="48"/>
      <c r="N46" s="47">
        <f t="shared" si="38"/>
        <v>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7" si="39">Q47</f>
        <v>0</v>
      </c>
    </row>
    <row r="48" spans="1:18" ht="16">
      <c r="A48" s="33"/>
      <c r="B48" s="79" t="s">
        <v>15</v>
      </c>
      <c r="C48" s="53"/>
      <c r="D48" s="53"/>
      <c r="E48" s="24">
        <f t="shared" si="33"/>
        <v>0</v>
      </c>
      <c r="F48" s="45"/>
      <c r="G48" s="54" t="e">
        <f t="shared" si="34"/>
        <v>#DIV/0!</v>
      </c>
      <c r="H48" s="55"/>
      <c r="I48" s="55"/>
      <c r="J48" s="53">
        <f t="shared" si="35"/>
        <v>0</v>
      </c>
      <c r="K48" s="50">
        <f t="shared" si="36"/>
        <v>0</v>
      </c>
      <c r="L48" s="73" t="e">
        <f t="shared" si="37"/>
        <v>#DIV/0!</v>
      </c>
      <c r="M48" s="48"/>
      <c r="N48" s="57">
        <f t="shared" si="38"/>
        <v>0</v>
      </c>
      <c r="R48" s="76">
        <f t="shared" si="39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2230</v>
      </c>
      <c r="F49" s="59">
        <f>SUM(F39:F48)</f>
        <v>258</v>
      </c>
      <c r="G49" s="61" t="e">
        <f>AVERAGE(G39:G47)</f>
        <v>#DIV/0!</v>
      </c>
      <c r="H49" s="59"/>
      <c r="I49" s="62"/>
      <c r="J49" s="59">
        <f t="shared" ref="J49:K49" si="40">SUM(J39:J47)</f>
        <v>2254</v>
      </c>
      <c r="K49" s="59">
        <f t="shared" si="40"/>
        <v>258</v>
      </c>
      <c r="L49" s="61" t="e">
        <f>AVERAGE(L39:L47)</f>
        <v>#DIV/0!</v>
      </c>
      <c r="M49" s="64"/>
      <c r="N49" s="65">
        <f>SUM(N39:N48)</f>
        <v>8543770</v>
      </c>
      <c r="R49" s="76">
        <f t="shared" si="39"/>
        <v>0</v>
      </c>
    </row>
    <row r="50" spans="1:18" ht="16">
      <c r="A50" s="66">
        <v>46114</v>
      </c>
      <c r="B50" s="34" t="s">
        <v>16</v>
      </c>
      <c r="C50" s="35">
        <v>152771</v>
      </c>
      <c r="D50" s="35">
        <v>153094</v>
      </c>
      <c r="E50" s="36">
        <f t="shared" ref="E50:E60" si="41">D50-C50</f>
        <v>323</v>
      </c>
      <c r="F50" s="37">
        <v>46</v>
      </c>
      <c r="G50" s="13">
        <f t="shared" ref="G50:G60" si="42">(F50/E50)*100</f>
        <v>14.241486068111456</v>
      </c>
      <c r="H50" s="38">
        <v>37927</v>
      </c>
      <c r="I50" s="38">
        <v>38318</v>
      </c>
      <c r="J50" s="39">
        <f t="shared" ref="J50:J60" si="43">I50-H50</f>
        <v>391</v>
      </c>
      <c r="K50" s="77">
        <f t="shared" ref="K50:K60" si="44">F50</f>
        <v>46</v>
      </c>
      <c r="L50" s="67">
        <f t="shared" ref="L50:L60" si="45">(K50/J50)*100</f>
        <v>11.76470588235294</v>
      </c>
      <c r="M50" s="68">
        <v>35440</v>
      </c>
      <c r="N50" s="42">
        <f t="shared" ref="N50:N60" si="46">F50*M50</f>
        <v>1630240</v>
      </c>
      <c r="R50" s="76">
        <f t="shared" si="39"/>
        <v>0</v>
      </c>
    </row>
    <row r="51" spans="1:18" ht="16">
      <c r="A51" s="66">
        <v>46118</v>
      </c>
      <c r="B51" s="44" t="s">
        <v>16</v>
      </c>
      <c r="C51" s="35">
        <v>153094</v>
      </c>
      <c r="D51" s="35">
        <v>153385</v>
      </c>
      <c r="E51" s="11">
        <f t="shared" si="41"/>
        <v>291</v>
      </c>
      <c r="F51" s="45">
        <v>38</v>
      </c>
      <c r="G51" s="13">
        <f t="shared" si="42"/>
        <v>13.058419243986256</v>
      </c>
      <c r="H51" s="38">
        <v>38318</v>
      </c>
      <c r="I51" s="38">
        <v>38589</v>
      </c>
      <c r="J51" s="35">
        <f t="shared" si="43"/>
        <v>271</v>
      </c>
      <c r="K51" s="50">
        <f t="shared" si="44"/>
        <v>38</v>
      </c>
      <c r="L51" s="46">
        <f t="shared" si="45"/>
        <v>14.022140221402212</v>
      </c>
      <c r="M51" s="48">
        <v>44780</v>
      </c>
      <c r="N51" s="47">
        <f t="shared" si="46"/>
        <v>1701640</v>
      </c>
      <c r="R51" s="76">
        <f t="shared" si="39"/>
        <v>0</v>
      </c>
    </row>
    <row r="52" spans="1:18" ht="16">
      <c r="A52" s="80">
        <v>46121</v>
      </c>
      <c r="B52" s="44" t="s">
        <v>16</v>
      </c>
      <c r="C52" s="35">
        <v>153385</v>
      </c>
      <c r="D52" s="35">
        <v>153666</v>
      </c>
      <c r="E52" s="11">
        <f t="shared" si="41"/>
        <v>281</v>
      </c>
      <c r="F52" s="45">
        <v>42</v>
      </c>
      <c r="G52" s="13">
        <f t="shared" si="42"/>
        <v>14.946619217081849</v>
      </c>
      <c r="H52" s="38">
        <v>38589</v>
      </c>
      <c r="I52" s="38">
        <v>38893</v>
      </c>
      <c r="J52" s="35">
        <f t="shared" si="43"/>
        <v>304</v>
      </c>
      <c r="K52" s="50">
        <f t="shared" si="44"/>
        <v>42</v>
      </c>
      <c r="L52" s="46">
        <f t="shared" si="45"/>
        <v>13.815789473684212</v>
      </c>
      <c r="M52" s="48">
        <v>42840</v>
      </c>
      <c r="N52" s="47">
        <f t="shared" si="46"/>
        <v>1799280</v>
      </c>
      <c r="R52" s="76">
        <f t="shared" si="39"/>
        <v>0</v>
      </c>
    </row>
    <row r="53" spans="1:18" ht="16">
      <c r="A53" s="80">
        <v>46123</v>
      </c>
      <c r="B53" s="44" t="s">
        <v>16</v>
      </c>
      <c r="C53" s="35">
        <v>153666</v>
      </c>
      <c r="D53" s="35">
        <v>153965</v>
      </c>
      <c r="E53" s="11">
        <f t="shared" si="41"/>
        <v>299</v>
      </c>
      <c r="F53" s="45">
        <v>48</v>
      </c>
      <c r="G53" s="13">
        <f t="shared" si="42"/>
        <v>16.053511705685619</v>
      </c>
      <c r="H53" s="38">
        <v>38893</v>
      </c>
      <c r="I53" s="38">
        <v>39225</v>
      </c>
      <c r="J53" s="35">
        <f t="shared" si="43"/>
        <v>332</v>
      </c>
      <c r="K53" s="50">
        <f t="shared" si="44"/>
        <v>48</v>
      </c>
      <c r="L53" s="46">
        <f t="shared" si="45"/>
        <v>14.457831325301203</v>
      </c>
      <c r="M53" s="48">
        <v>32960</v>
      </c>
      <c r="N53" s="47">
        <f t="shared" si="46"/>
        <v>1582080</v>
      </c>
      <c r="R53" s="76">
        <f t="shared" si="39"/>
        <v>0</v>
      </c>
    </row>
    <row r="54" spans="1:18" ht="16">
      <c r="A54" s="80">
        <v>46127</v>
      </c>
      <c r="B54" s="44" t="s">
        <v>16</v>
      </c>
      <c r="C54" s="35">
        <v>153965</v>
      </c>
      <c r="D54" s="35">
        <v>154328</v>
      </c>
      <c r="E54" s="11">
        <f t="shared" si="41"/>
        <v>363</v>
      </c>
      <c r="F54" s="45">
        <v>57</v>
      </c>
      <c r="G54" s="13">
        <f t="shared" si="42"/>
        <v>15.702479338842975</v>
      </c>
      <c r="H54" s="38">
        <v>39225</v>
      </c>
      <c r="I54" s="38">
        <v>39615</v>
      </c>
      <c r="J54" s="35">
        <f t="shared" si="43"/>
        <v>390</v>
      </c>
      <c r="K54" s="50">
        <f t="shared" si="44"/>
        <v>57</v>
      </c>
      <c r="L54" s="46">
        <f t="shared" si="45"/>
        <v>14.615384615384617</v>
      </c>
      <c r="M54" s="48">
        <v>32960</v>
      </c>
      <c r="N54" s="47">
        <f t="shared" si="46"/>
        <v>1878720</v>
      </c>
      <c r="P54" s="78"/>
      <c r="R54" s="76">
        <f t="shared" si="39"/>
        <v>0</v>
      </c>
    </row>
    <row r="55" spans="1:18" ht="16">
      <c r="A55" s="80">
        <v>46132</v>
      </c>
      <c r="B55" s="44" t="s">
        <v>16</v>
      </c>
      <c r="C55" s="35">
        <v>154328</v>
      </c>
      <c r="D55" s="35">
        <v>154654</v>
      </c>
      <c r="E55" s="11">
        <f t="shared" si="41"/>
        <v>326</v>
      </c>
      <c r="F55" s="45">
        <v>48</v>
      </c>
      <c r="G55" s="13">
        <f t="shared" si="42"/>
        <v>14.723926380368098</v>
      </c>
      <c r="H55" s="38">
        <v>39615</v>
      </c>
      <c r="I55" s="38">
        <v>40084</v>
      </c>
      <c r="J55" s="35">
        <f t="shared" si="43"/>
        <v>469</v>
      </c>
      <c r="K55" s="50">
        <f t="shared" si="44"/>
        <v>48</v>
      </c>
      <c r="L55" s="46">
        <f t="shared" si="45"/>
        <v>10.23454157782516</v>
      </c>
      <c r="M55" s="48">
        <v>31040</v>
      </c>
      <c r="N55" s="47">
        <f t="shared" si="46"/>
        <v>1489920</v>
      </c>
      <c r="R55" s="76">
        <f t="shared" si="39"/>
        <v>0</v>
      </c>
    </row>
    <row r="56" spans="1:18" ht="16">
      <c r="A56" s="80">
        <v>46134</v>
      </c>
      <c r="B56" s="44" t="s">
        <v>16</v>
      </c>
      <c r="C56" s="35">
        <v>154654</v>
      </c>
      <c r="D56" s="35">
        <v>155014</v>
      </c>
      <c r="E56" s="11">
        <f t="shared" si="41"/>
        <v>360</v>
      </c>
      <c r="F56" s="45">
        <v>52</v>
      </c>
      <c r="G56" s="13">
        <f t="shared" si="42"/>
        <v>14.444444444444443</v>
      </c>
      <c r="H56" s="38">
        <v>40084</v>
      </c>
      <c r="I56" s="38">
        <v>40392</v>
      </c>
      <c r="J56" s="35">
        <f t="shared" si="43"/>
        <v>308</v>
      </c>
      <c r="K56" s="50">
        <f t="shared" si="44"/>
        <v>52</v>
      </c>
      <c r="L56" s="46">
        <f t="shared" si="45"/>
        <v>16.883116883116884</v>
      </c>
      <c r="M56" s="48">
        <v>27850</v>
      </c>
      <c r="N56" s="47">
        <f t="shared" si="46"/>
        <v>1448200</v>
      </c>
      <c r="R56" s="76">
        <f t="shared" si="39"/>
        <v>0</v>
      </c>
    </row>
    <row r="57" spans="1:18" ht="16">
      <c r="A57" s="80">
        <v>46137</v>
      </c>
      <c r="B57" s="44" t="s">
        <v>16</v>
      </c>
      <c r="C57" s="35">
        <v>155014</v>
      </c>
      <c r="D57" s="35">
        <v>155352</v>
      </c>
      <c r="E57" s="11">
        <f t="shared" si="41"/>
        <v>338</v>
      </c>
      <c r="F57" s="45">
        <v>51</v>
      </c>
      <c r="G57" s="13">
        <f t="shared" si="42"/>
        <v>15.088757396449704</v>
      </c>
      <c r="H57" s="38">
        <v>40392</v>
      </c>
      <c r="I57" s="38">
        <v>40860</v>
      </c>
      <c r="J57" s="35">
        <f t="shared" si="43"/>
        <v>468</v>
      </c>
      <c r="K57" s="50">
        <f t="shared" si="44"/>
        <v>51</v>
      </c>
      <c r="L57" s="46">
        <f t="shared" si="45"/>
        <v>10.897435897435898</v>
      </c>
      <c r="M57" s="48">
        <v>26690</v>
      </c>
      <c r="N57" s="47">
        <f t="shared" si="46"/>
        <v>1361190</v>
      </c>
      <c r="R57" s="76">
        <f t="shared" si="39"/>
        <v>0</v>
      </c>
    </row>
    <row r="58" spans="1:18" ht="16">
      <c r="A58" s="80">
        <v>46140</v>
      </c>
      <c r="B58" s="44" t="s">
        <v>16</v>
      </c>
      <c r="C58" s="35">
        <v>155352</v>
      </c>
      <c r="D58" s="35">
        <v>155596</v>
      </c>
      <c r="E58" s="11">
        <f t="shared" si="41"/>
        <v>244</v>
      </c>
      <c r="F58" s="45">
        <v>40</v>
      </c>
      <c r="G58" s="13">
        <f t="shared" si="42"/>
        <v>16.393442622950818</v>
      </c>
      <c r="H58" s="38">
        <v>40860</v>
      </c>
      <c r="I58" s="38">
        <v>41052</v>
      </c>
      <c r="J58" s="35">
        <f t="shared" si="43"/>
        <v>192</v>
      </c>
      <c r="K58" s="50">
        <f t="shared" si="44"/>
        <v>40</v>
      </c>
      <c r="L58" s="46">
        <f t="shared" si="45"/>
        <v>20.833333333333336</v>
      </c>
      <c r="M58" s="48">
        <v>26690</v>
      </c>
      <c r="N58" s="47">
        <f t="shared" si="46"/>
        <v>1067600</v>
      </c>
    </row>
    <row r="59" spans="1:18" ht="16">
      <c r="A59" s="80"/>
      <c r="B59" s="44" t="s">
        <v>16</v>
      </c>
      <c r="C59" s="35"/>
      <c r="D59" s="35"/>
      <c r="E59" s="11">
        <f t="shared" si="41"/>
        <v>0</v>
      </c>
      <c r="F59" s="45"/>
      <c r="G59" s="13" t="e">
        <f t="shared" si="42"/>
        <v>#DIV/0!</v>
      </c>
      <c r="H59" s="38"/>
      <c r="I59" s="38"/>
      <c r="J59" s="35">
        <f t="shared" si="43"/>
        <v>0</v>
      </c>
      <c r="K59" s="50">
        <f t="shared" si="44"/>
        <v>0</v>
      </c>
      <c r="L59" s="46" t="e">
        <f t="shared" si="45"/>
        <v>#DIV/0!</v>
      </c>
      <c r="M59" s="48"/>
      <c r="N59" s="47">
        <f t="shared" si="46"/>
        <v>0</v>
      </c>
      <c r="R59" s="76">
        <f t="shared" ref="R59:R64" si="47">Q59</f>
        <v>0</v>
      </c>
    </row>
    <row r="60" spans="1:18" ht="16">
      <c r="A60" s="80"/>
      <c r="B60" s="44" t="s">
        <v>16</v>
      </c>
      <c r="C60" s="53"/>
      <c r="D60" s="53"/>
      <c r="E60" s="24">
        <f t="shared" si="41"/>
        <v>0</v>
      </c>
      <c r="F60" s="45"/>
      <c r="G60" s="54" t="e">
        <f t="shared" si="42"/>
        <v>#DIV/0!</v>
      </c>
      <c r="H60" s="53"/>
      <c r="I60" s="55"/>
      <c r="J60" s="53">
        <f t="shared" si="43"/>
        <v>0</v>
      </c>
      <c r="K60" s="50">
        <f t="shared" si="44"/>
        <v>0</v>
      </c>
      <c r="L60" s="73" t="e">
        <f t="shared" si="45"/>
        <v>#DIV/0!</v>
      </c>
      <c r="M60" s="48"/>
      <c r="N60" s="57">
        <f t="shared" si="46"/>
        <v>0</v>
      </c>
      <c r="R60" s="76">
        <f t="shared" si="47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2825</v>
      </c>
      <c r="F61" s="37"/>
      <c r="G61" s="61" t="e">
        <f>AVERAGE(G50:G60)</f>
        <v>#DIV/0!</v>
      </c>
      <c r="H61" s="59"/>
      <c r="I61" s="62"/>
      <c r="J61" s="59">
        <f t="shared" ref="J61:K61" si="48">SUM(J50:J60)</f>
        <v>3125</v>
      </c>
      <c r="K61" s="59">
        <f t="shared" si="48"/>
        <v>422</v>
      </c>
      <c r="L61" s="61" t="e">
        <f>AVERAGE(L50:L60)</f>
        <v>#DIV/0!</v>
      </c>
      <c r="M61" s="64"/>
      <c r="N61" s="65">
        <f>SUM(N50:N60)</f>
        <v>13958870</v>
      </c>
      <c r="R61" s="76">
        <f t="shared" si="47"/>
        <v>0</v>
      </c>
    </row>
    <row r="62" spans="1:18" ht="16">
      <c r="A62" s="66">
        <v>46113</v>
      </c>
      <c r="B62" s="82" t="s">
        <v>18</v>
      </c>
      <c r="C62" s="50"/>
      <c r="D62" s="50"/>
      <c r="E62" s="36">
        <f t="shared" ref="E62:E70" si="49">D62-C62</f>
        <v>0</v>
      </c>
      <c r="F62" s="37">
        <v>15</v>
      </c>
      <c r="G62" s="13" t="e">
        <f t="shared" ref="G62:G70" si="50">(F62/E62)*100</f>
        <v>#DIV/0!</v>
      </c>
      <c r="H62" s="38"/>
      <c r="I62" s="38"/>
      <c r="J62" s="39">
        <f t="shared" ref="J62:J70" si="51">I62-H62</f>
        <v>0</v>
      </c>
      <c r="K62" s="77">
        <f t="shared" ref="K62:K70" si="52">F62</f>
        <v>15</v>
      </c>
      <c r="L62" s="67" t="e">
        <f t="shared" ref="L62:L70" si="53">(K62/J62)*100</f>
        <v>#DIV/0!</v>
      </c>
      <c r="M62" s="68">
        <v>35440</v>
      </c>
      <c r="N62" s="42">
        <f t="shared" ref="N62:N70" si="54">F62*M62</f>
        <v>531600</v>
      </c>
      <c r="R62" s="76">
        <f t="shared" si="47"/>
        <v>0</v>
      </c>
    </row>
    <row r="63" spans="1:18" ht="16">
      <c r="A63" s="33">
        <v>46115</v>
      </c>
      <c r="B63" s="44" t="s">
        <v>18</v>
      </c>
      <c r="C63" s="50"/>
      <c r="D63" s="35"/>
      <c r="E63" s="11">
        <f t="shared" si="49"/>
        <v>0</v>
      </c>
      <c r="F63" s="45">
        <v>39</v>
      </c>
      <c r="G63" s="13" t="e">
        <f t="shared" si="50"/>
        <v>#DIV/0!</v>
      </c>
      <c r="H63" s="38"/>
      <c r="I63" s="38"/>
      <c r="J63" s="35">
        <f t="shared" si="51"/>
        <v>0</v>
      </c>
      <c r="K63" s="50">
        <f t="shared" si="52"/>
        <v>39</v>
      </c>
      <c r="L63" s="46" t="e">
        <f t="shared" si="53"/>
        <v>#DIV/0!</v>
      </c>
      <c r="M63" s="48">
        <v>40820</v>
      </c>
      <c r="N63" s="47">
        <f t="shared" si="54"/>
        <v>1591980</v>
      </c>
      <c r="R63" s="76">
        <f t="shared" si="47"/>
        <v>0</v>
      </c>
    </row>
    <row r="64" spans="1:18" ht="16">
      <c r="A64" s="33">
        <v>46120</v>
      </c>
      <c r="B64" s="44" t="s">
        <v>18</v>
      </c>
      <c r="C64" s="35"/>
      <c r="D64" s="35">
        <v>157462</v>
      </c>
      <c r="E64" s="11">
        <f t="shared" si="49"/>
        <v>157462</v>
      </c>
      <c r="F64" s="45">
        <v>30</v>
      </c>
      <c r="G64" s="13">
        <f t="shared" si="50"/>
        <v>1.9052215772694364E-2</v>
      </c>
      <c r="H64" s="38"/>
      <c r="I64" s="38">
        <v>30198</v>
      </c>
      <c r="J64" s="35">
        <f t="shared" si="51"/>
        <v>30198</v>
      </c>
      <c r="K64" s="50">
        <f t="shared" si="52"/>
        <v>30</v>
      </c>
      <c r="L64" s="46">
        <f t="shared" si="53"/>
        <v>9.9344327438903243E-2</v>
      </c>
      <c r="M64" s="48">
        <v>42840</v>
      </c>
      <c r="N64" s="47">
        <f t="shared" si="54"/>
        <v>1285200</v>
      </c>
      <c r="R64" s="76">
        <f t="shared" si="47"/>
        <v>0</v>
      </c>
    </row>
    <row r="65" spans="1:18" ht="16">
      <c r="A65" s="33">
        <v>46125</v>
      </c>
      <c r="B65" s="44" t="s">
        <v>18</v>
      </c>
      <c r="C65" s="35">
        <v>157462</v>
      </c>
      <c r="D65" s="35">
        <v>157608</v>
      </c>
      <c r="E65" s="11">
        <f t="shared" si="49"/>
        <v>146</v>
      </c>
      <c r="F65" s="45">
        <v>35</v>
      </c>
      <c r="G65" s="13">
        <f t="shared" si="50"/>
        <v>23.972602739726025</v>
      </c>
      <c r="H65" s="38">
        <v>30198</v>
      </c>
      <c r="I65" s="38">
        <v>30393</v>
      </c>
      <c r="J65" s="35">
        <f t="shared" si="51"/>
        <v>195</v>
      </c>
      <c r="K65" s="50">
        <f t="shared" si="52"/>
        <v>35</v>
      </c>
      <c r="L65" s="46">
        <f t="shared" si="53"/>
        <v>17.948717948717949</v>
      </c>
      <c r="M65" s="48">
        <v>32960</v>
      </c>
      <c r="N65" s="47">
        <f t="shared" si="54"/>
        <v>1153600</v>
      </c>
    </row>
    <row r="66" spans="1:18" ht="16">
      <c r="A66" s="33">
        <v>46129</v>
      </c>
      <c r="B66" s="44" t="s">
        <v>18</v>
      </c>
      <c r="C66" s="35">
        <v>157608</v>
      </c>
      <c r="D66" s="35">
        <v>157977</v>
      </c>
      <c r="E66" s="11">
        <f t="shared" si="49"/>
        <v>369</v>
      </c>
      <c r="F66" s="45">
        <v>55</v>
      </c>
      <c r="G66" s="13">
        <f t="shared" si="50"/>
        <v>14.905149051490515</v>
      </c>
      <c r="H66" s="38">
        <v>30393</v>
      </c>
      <c r="I66" s="38">
        <v>30773</v>
      </c>
      <c r="J66" s="35">
        <f t="shared" si="51"/>
        <v>380</v>
      </c>
      <c r="K66" s="50">
        <f t="shared" si="52"/>
        <v>55</v>
      </c>
      <c r="L66" s="46">
        <f t="shared" si="53"/>
        <v>14.473684210526317</v>
      </c>
      <c r="M66" s="48">
        <v>31040</v>
      </c>
      <c r="N66" s="47">
        <f t="shared" si="54"/>
        <v>1707200</v>
      </c>
      <c r="R66" s="76">
        <f t="shared" ref="R66:R128" si="55">Q66</f>
        <v>0</v>
      </c>
    </row>
    <row r="67" spans="1:18" ht="16">
      <c r="A67" s="33">
        <v>46134</v>
      </c>
      <c r="B67" s="44" t="s">
        <v>18</v>
      </c>
      <c r="C67" s="35">
        <v>157977</v>
      </c>
      <c r="D67" s="35">
        <v>158293</v>
      </c>
      <c r="E67" s="11">
        <f t="shared" si="49"/>
        <v>316</v>
      </c>
      <c r="F67" s="45">
        <v>40</v>
      </c>
      <c r="G67" s="13">
        <f t="shared" si="50"/>
        <v>12.658227848101266</v>
      </c>
      <c r="H67" s="38">
        <v>30773</v>
      </c>
      <c r="I67" s="38">
        <v>31212</v>
      </c>
      <c r="J67" s="35">
        <f t="shared" si="51"/>
        <v>439</v>
      </c>
      <c r="K67" s="50">
        <f t="shared" si="52"/>
        <v>40</v>
      </c>
      <c r="L67" s="46">
        <f t="shared" si="53"/>
        <v>9.1116173120728927</v>
      </c>
      <c r="M67" s="48">
        <v>27850</v>
      </c>
      <c r="N67" s="47">
        <f t="shared" si="54"/>
        <v>1114000</v>
      </c>
      <c r="R67" s="76">
        <f t="shared" si="55"/>
        <v>0</v>
      </c>
    </row>
    <row r="68" spans="1:18" ht="16">
      <c r="A68" s="33">
        <v>46136</v>
      </c>
      <c r="B68" s="44" t="s">
        <v>18</v>
      </c>
      <c r="C68" s="35">
        <v>158293</v>
      </c>
      <c r="D68" s="35">
        <v>158549</v>
      </c>
      <c r="E68" s="51">
        <f t="shared" si="49"/>
        <v>256</v>
      </c>
      <c r="F68" s="45">
        <v>39</v>
      </c>
      <c r="G68" s="13">
        <f t="shared" si="50"/>
        <v>15.234375</v>
      </c>
      <c r="H68" s="38">
        <v>31212</v>
      </c>
      <c r="I68" s="38">
        <v>31468</v>
      </c>
      <c r="J68" s="35">
        <f t="shared" si="51"/>
        <v>256</v>
      </c>
      <c r="K68" s="50">
        <f t="shared" si="52"/>
        <v>39</v>
      </c>
      <c r="L68" s="46">
        <f t="shared" si="53"/>
        <v>15.234375</v>
      </c>
      <c r="M68" s="48">
        <v>26690</v>
      </c>
      <c r="N68" s="47">
        <f t="shared" si="54"/>
        <v>1040910</v>
      </c>
      <c r="R68" s="76">
        <f t="shared" si="55"/>
        <v>0</v>
      </c>
    </row>
    <row r="69" spans="1:18" ht="16">
      <c r="A69" s="43">
        <v>46140</v>
      </c>
      <c r="B69" s="49" t="s">
        <v>18</v>
      </c>
      <c r="C69" s="35">
        <v>158549</v>
      </c>
      <c r="D69" s="50">
        <v>158736</v>
      </c>
      <c r="E69" s="51">
        <f t="shared" si="49"/>
        <v>187</v>
      </c>
      <c r="F69" s="45">
        <v>27</v>
      </c>
      <c r="G69" s="13">
        <f t="shared" si="50"/>
        <v>14.438502673796791</v>
      </c>
      <c r="H69" s="38">
        <v>31468</v>
      </c>
      <c r="I69" s="38">
        <v>31609</v>
      </c>
      <c r="J69" s="35">
        <f t="shared" si="51"/>
        <v>141</v>
      </c>
      <c r="K69" s="50">
        <f t="shared" si="52"/>
        <v>27</v>
      </c>
      <c r="L69" s="46">
        <f t="shared" si="53"/>
        <v>19.148936170212767</v>
      </c>
      <c r="M69" s="48">
        <v>26690</v>
      </c>
      <c r="N69" s="47">
        <f t="shared" si="54"/>
        <v>720630</v>
      </c>
      <c r="R69" s="76">
        <f t="shared" si="55"/>
        <v>0</v>
      </c>
    </row>
    <row r="70" spans="1:18" ht="16">
      <c r="A70" s="33"/>
      <c r="B70" s="44" t="s">
        <v>18</v>
      </c>
      <c r="C70" s="12"/>
      <c r="D70" s="53"/>
      <c r="E70" s="24">
        <f t="shared" si="49"/>
        <v>0</v>
      </c>
      <c r="F70" s="45"/>
      <c r="G70" s="54" t="e">
        <f t="shared" si="50"/>
        <v>#DIV/0!</v>
      </c>
      <c r="H70" s="53"/>
      <c r="I70" s="55"/>
      <c r="J70" s="53">
        <f t="shared" si="51"/>
        <v>0</v>
      </c>
      <c r="K70" s="50">
        <f t="shared" si="52"/>
        <v>0</v>
      </c>
      <c r="L70" s="73" t="e">
        <f t="shared" si="53"/>
        <v>#DIV/0!</v>
      </c>
      <c r="M70" s="48"/>
      <c r="N70" s="57">
        <f t="shared" si="54"/>
        <v>0</v>
      </c>
      <c r="R70" s="76">
        <f t="shared" si="55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6">SUM(E62:E70)</f>
        <v>158736</v>
      </c>
      <c r="F71" s="59">
        <f t="shared" si="56"/>
        <v>280</v>
      </c>
      <c r="G71" s="61" t="e">
        <f>AVERAGE(G62:G70)</f>
        <v>#DIV/0!</v>
      </c>
      <c r="H71" s="59"/>
      <c r="I71" s="62"/>
      <c r="J71" s="59">
        <f t="shared" ref="J71:K71" si="57">SUM(J62:J70)</f>
        <v>31609</v>
      </c>
      <c r="K71" s="59">
        <f t="shared" si="57"/>
        <v>280</v>
      </c>
      <c r="L71" s="61" t="e">
        <f>AVERAGE(L62:L70)</f>
        <v>#DIV/0!</v>
      </c>
      <c r="M71" s="64"/>
      <c r="N71" s="65">
        <f>SUM(N62:N70)</f>
        <v>9145120</v>
      </c>
      <c r="R71" s="76">
        <f t="shared" si="55"/>
        <v>0</v>
      </c>
    </row>
    <row r="72" spans="1:18" ht="16">
      <c r="A72" s="66">
        <v>46113</v>
      </c>
      <c r="B72" s="34" t="s">
        <v>20</v>
      </c>
      <c r="C72" s="35">
        <v>402564</v>
      </c>
      <c r="D72" s="35">
        <v>402947</v>
      </c>
      <c r="E72" s="36">
        <f t="shared" ref="E72:E79" si="58">D72-C72</f>
        <v>383</v>
      </c>
      <c r="F72" s="37">
        <v>40</v>
      </c>
      <c r="G72" s="13">
        <f t="shared" ref="G72:G79" si="59">(F72/E72)*100</f>
        <v>10.443864229765012</v>
      </c>
      <c r="H72" s="38">
        <v>34562</v>
      </c>
      <c r="I72" s="38">
        <v>34959</v>
      </c>
      <c r="J72" s="39">
        <f t="shared" ref="J72:J79" si="60">I72-H72</f>
        <v>397</v>
      </c>
      <c r="K72" s="77">
        <f t="shared" ref="K72:K79" si="61">F72</f>
        <v>40</v>
      </c>
      <c r="L72" s="67">
        <f t="shared" ref="L72:L79" si="62">(K72/J72)*100</f>
        <v>10.075566750629724</v>
      </c>
      <c r="M72" s="68">
        <v>35440</v>
      </c>
      <c r="N72" s="42">
        <f t="shared" ref="N72:N79" si="63">F72*M72</f>
        <v>1417600</v>
      </c>
      <c r="R72" s="76">
        <f t="shared" si="55"/>
        <v>0</v>
      </c>
    </row>
    <row r="73" spans="1:18" ht="16">
      <c r="A73" s="33">
        <v>46115</v>
      </c>
      <c r="B73" s="44" t="s">
        <v>20</v>
      </c>
      <c r="C73" s="35">
        <v>402947</v>
      </c>
      <c r="D73" s="35">
        <v>403203</v>
      </c>
      <c r="E73" s="11">
        <f t="shared" si="58"/>
        <v>256</v>
      </c>
      <c r="F73" s="45">
        <v>34</v>
      </c>
      <c r="G73" s="13">
        <f t="shared" si="59"/>
        <v>13.28125</v>
      </c>
      <c r="H73" s="38">
        <v>34959</v>
      </c>
      <c r="I73" s="83">
        <v>35327</v>
      </c>
      <c r="J73" s="35">
        <f t="shared" si="60"/>
        <v>368</v>
      </c>
      <c r="K73" s="50">
        <f t="shared" si="61"/>
        <v>34</v>
      </c>
      <c r="L73" s="46">
        <f t="shared" si="62"/>
        <v>9.2391304347826075</v>
      </c>
      <c r="M73" s="48">
        <v>40820</v>
      </c>
      <c r="N73" s="47">
        <f t="shared" si="63"/>
        <v>1387880</v>
      </c>
      <c r="R73" s="76">
        <f t="shared" si="55"/>
        <v>0</v>
      </c>
    </row>
    <row r="74" spans="1:18" ht="16">
      <c r="A74" s="33">
        <v>46119</v>
      </c>
      <c r="B74" s="44" t="s">
        <v>20</v>
      </c>
      <c r="C74" s="35">
        <v>403203</v>
      </c>
      <c r="D74" s="35">
        <v>403592</v>
      </c>
      <c r="E74" s="11">
        <f t="shared" si="58"/>
        <v>389</v>
      </c>
      <c r="F74" s="45">
        <v>46</v>
      </c>
      <c r="G74" s="13">
        <f t="shared" si="59"/>
        <v>11.825192802056556</v>
      </c>
      <c r="H74" s="83">
        <v>35327</v>
      </c>
      <c r="I74" s="38">
        <v>35571</v>
      </c>
      <c r="J74" s="35">
        <f t="shared" si="60"/>
        <v>244</v>
      </c>
      <c r="K74" s="50">
        <f t="shared" si="61"/>
        <v>46</v>
      </c>
      <c r="L74" s="46">
        <f t="shared" si="62"/>
        <v>18.852459016393443</v>
      </c>
      <c r="M74" s="48">
        <v>44780</v>
      </c>
      <c r="N74" s="47">
        <f t="shared" si="63"/>
        <v>2059880</v>
      </c>
      <c r="R74" s="76">
        <f t="shared" si="55"/>
        <v>0</v>
      </c>
    </row>
    <row r="75" spans="1:18" ht="16">
      <c r="A75" s="33">
        <v>46125</v>
      </c>
      <c r="B75" s="44" t="s">
        <v>20</v>
      </c>
      <c r="C75" s="35">
        <v>403592</v>
      </c>
      <c r="D75" s="35">
        <v>404001</v>
      </c>
      <c r="E75" s="11">
        <f t="shared" si="58"/>
        <v>409</v>
      </c>
      <c r="F75" s="45">
        <v>44</v>
      </c>
      <c r="G75" s="13">
        <f t="shared" si="59"/>
        <v>10.757946210268948</v>
      </c>
      <c r="H75" s="38">
        <v>35571</v>
      </c>
      <c r="I75" s="38">
        <v>35969</v>
      </c>
      <c r="J75" s="35">
        <f t="shared" si="60"/>
        <v>398</v>
      </c>
      <c r="K75" s="50">
        <f t="shared" si="61"/>
        <v>44</v>
      </c>
      <c r="L75" s="46">
        <f t="shared" si="62"/>
        <v>11.055276381909549</v>
      </c>
      <c r="M75" s="48">
        <v>32960</v>
      </c>
      <c r="N75" s="47">
        <f t="shared" si="63"/>
        <v>1450240</v>
      </c>
      <c r="R75" s="76">
        <f t="shared" si="55"/>
        <v>0</v>
      </c>
    </row>
    <row r="76" spans="1:18" ht="16">
      <c r="A76" s="33">
        <v>46128</v>
      </c>
      <c r="B76" s="44" t="s">
        <v>20</v>
      </c>
      <c r="C76" s="35">
        <v>404001</v>
      </c>
      <c r="D76" s="35">
        <v>404378</v>
      </c>
      <c r="E76" s="11">
        <f t="shared" si="58"/>
        <v>377</v>
      </c>
      <c r="F76" s="45">
        <v>40</v>
      </c>
      <c r="G76" s="13">
        <f t="shared" si="59"/>
        <v>10.610079575596817</v>
      </c>
      <c r="H76" s="38">
        <v>35969</v>
      </c>
      <c r="I76" s="38">
        <v>36341</v>
      </c>
      <c r="J76" s="35">
        <f t="shared" si="60"/>
        <v>372</v>
      </c>
      <c r="K76" s="50">
        <f t="shared" si="61"/>
        <v>40</v>
      </c>
      <c r="L76" s="46">
        <f t="shared" si="62"/>
        <v>10.75268817204301</v>
      </c>
      <c r="M76" s="48">
        <v>31040</v>
      </c>
      <c r="N76" s="47">
        <f t="shared" si="63"/>
        <v>1241600</v>
      </c>
      <c r="R76" s="76">
        <f t="shared" si="55"/>
        <v>0</v>
      </c>
    </row>
    <row r="77" spans="1:18" ht="16">
      <c r="A77" s="33">
        <v>46132</v>
      </c>
      <c r="B77" s="44" t="s">
        <v>20</v>
      </c>
      <c r="C77" s="35">
        <v>404378</v>
      </c>
      <c r="D77" s="35">
        <v>404708</v>
      </c>
      <c r="E77" s="11">
        <f t="shared" si="58"/>
        <v>330</v>
      </c>
      <c r="F77" s="84">
        <v>44</v>
      </c>
      <c r="G77" s="13">
        <f t="shared" si="59"/>
        <v>13.333333333333334</v>
      </c>
      <c r="H77" s="38">
        <v>36341</v>
      </c>
      <c r="I77" s="38">
        <v>36670</v>
      </c>
      <c r="J77" s="35">
        <f t="shared" si="60"/>
        <v>329</v>
      </c>
      <c r="K77" s="50">
        <f t="shared" si="61"/>
        <v>44</v>
      </c>
      <c r="L77" s="46">
        <f t="shared" si="62"/>
        <v>13.373860182370819</v>
      </c>
      <c r="M77" s="48">
        <v>31040</v>
      </c>
      <c r="N77" s="47">
        <f t="shared" si="63"/>
        <v>1365760</v>
      </c>
      <c r="R77" s="76">
        <f t="shared" si="55"/>
        <v>0</v>
      </c>
    </row>
    <row r="78" spans="1:18" ht="16">
      <c r="A78" s="33">
        <v>46136</v>
      </c>
      <c r="B78" s="44" t="s">
        <v>20</v>
      </c>
      <c r="C78" s="35">
        <v>404708</v>
      </c>
      <c r="D78" s="53">
        <v>405116</v>
      </c>
      <c r="E78" s="24">
        <f t="shared" si="58"/>
        <v>408</v>
      </c>
      <c r="F78" s="45">
        <v>45</v>
      </c>
      <c r="G78" s="54">
        <f t="shared" si="59"/>
        <v>11.029411764705882</v>
      </c>
      <c r="H78" s="38">
        <v>36670</v>
      </c>
      <c r="I78" s="55">
        <v>37130</v>
      </c>
      <c r="J78" s="53">
        <f t="shared" si="60"/>
        <v>460</v>
      </c>
      <c r="K78" s="50">
        <f t="shared" si="61"/>
        <v>45</v>
      </c>
      <c r="L78" s="73">
        <f t="shared" si="62"/>
        <v>9.7826086956521738</v>
      </c>
      <c r="M78" s="56">
        <v>26690</v>
      </c>
      <c r="N78" s="57">
        <f t="shared" si="63"/>
        <v>1201050</v>
      </c>
      <c r="R78" s="76">
        <f t="shared" si="55"/>
        <v>0</v>
      </c>
    </row>
    <row r="79" spans="1:18" ht="16">
      <c r="A79" s="33">
        <v>46140</v>
      </c>
      <c r="B79" s="44" t="s">
        <v>20</v>
      </c>
      <c r="C79" s="53">
        <v>405116</v>
      </c>
      <c r="D79" s="53">
        <v>405391</v>
      </c>
      <c r="E79" s="24">
        <f t="shared" si="58"/>
        <v>275</v>
      </c>
      <c r="F79" s="45">
        <v>33</v>
      </c>
      <c r="G79" s="54">
        <f t="shared" si="59"/>
        <v>12</v>
      </c>
      <c r="H79" s="55">
        <v>37130</v>
      </c>
      <c r="I79" s="55">
        <v>37340</v>
      </c>
      <c r="J79" s="53">
        <f t="shared" si="60"/>
        <v>210</v>
      </c>
      <c r="K79" s="50">
        <f t="shared" si="61"/>
        <v>33</v>
      </c>
      <c r="L79" s="73">
        <f t="shared" si="62"/>
        <v>15.714285714285714</v>
      </c>
      <c r="M79" s="56">
        <v>26690</v>
      </c>
      <c r="N79" s="57">
        <f t="shared" si="63"/>
        <v>880770</v>
      </c>
      <c r="R79" s="76">
        <f t="shared" si="55"/>
        <v>0</v>
      </c>
    </row>
    <row r="80" spans="1:18" ht="16">
      <c r="A80" s="59"/>
      <c r="B80" s="60"/>
      <c r="C80" s="59"/>
      <c r="D80" s="59" t="s">
        <v>19</v>
      </c>
      <c r="E80" s="59">
        <f>SUM(E72:E78)</f>
        <v>2552</v>
      </c>
      <c r="F80" s="37"/>
      <c r="G80" s="61">
        <f>AVERAGE(G72:G78)</f>
        <v>11.611582559389506</v>
      </c>
      <c r="H80" s="59"/>
      <c r="I80" s="62"/>
      <c r="J80" s="59">
        <f>SUM(J72:J78)</f>
        <v>2568</v>
      </c>
      <c r="K80" s="59">
        <f>SUM(K73:K78)</f>
        <v>253</v>
      </c>
      <c r="L80" s="61">
        <f>AVERAGE(L72:L78)</f>
        <v>11.875941376254476</v>
      </c>
      <c r="M80" s="64"/>
      <c r="N80" s="65">
        <f>SUM(N72:N79)</f>
        <v>11004780</v>
      </c>
      <c r="R80" s="76">
        <f t="shared" si="55"/>
        <v>0</v>
      </c>
    </row>
    <row r="81" spans="1:18" ht="16">
      <c r="A81" s="85">
        <v>46120</v>
      </c>
      <c r="B81" s="34" t="s">
        <v>21</v>
      </c>
      <c r="C81" s="35">
        <v>385578</v>
      </c>
      <c r="D81" s="35">
        <v>385887</v>
      </c>
      <c r="E81" s="36">
        <f t="shared" ref="E81:E87" si="64">D81-C81</f>
        <v>309</v>
      </c>
      <c r="F81" s="37">
        <v>30</v>
      </c>
      <c r="G81" s="13">
        <f t="shared" ref="G81:G87" si="65">(F81/E81)*100</f>
        <v>9.7087378640776691</v>
      </c>
      <c r="H81" s="38">
        <v>28864</v>
      </c>
      <c r="I81" s="38">
        <v>29313</v>
      </c>
      <c r="J81" s="39">
        <f t="shared" ref="J81:J87" si="66">I81-H81</f>
        <v>449</v>
      </c>
      <c r="K81" s="77">
        <f t="shared" ref="K81:K87" si="67">F81</f>
        <v>30</v>
      </c>
      <c r="L81" s="67">
        <f t="shared" ref="L81:L87" si="68">(K81/J81)*100</f>
        <v>6.6815144766146997</v>
      </c>
      <c r="M81" s="68">
        <v>42840</v>
      </c>
      <c r="N81" s="42">
        <f t="shared" ref="N81:N87" si="69">F81*M81</f>
        <v>1285200</v>
      </c>
      <c r="R81" s="76">
        <f t="shared" si="55"/>
        <v>0</v>
      </c>
    </row>
    <row r="82" spans="1:18" ht="16">
      <c r="A82" s="86">
        <v>46122</v>
      </c>
      <c r="B82" s="44" t="s">
        <v>21</v>
      </c>
      <c r="C82" s="35">
        <v>385887</v>
      </c>
      <c r="D82" s="35"/>
      <c r="E82" s="11">
        <f t="shared" si="64"/>
        <v>-385887</v>
      </c>
      <c r="F82" s="45">
        <v>67</v>
      </c>
      <c r="G82" s="13">
        <f t="shared" si="65"/>
        <v>-1.7362595785812947E-2</v>
      </c>
      <c r="H82" s="38">
        <v>29313</v>
      </c>
      <c r="I82" s="38">
        <v>29602</v>
      </c>
      <c r="J82" s="35">
        <f t="shared" si="66"/>
        <v>289</v>
      </c>
      <c r="K82" s="50">
        <f t="shared" si="67"/>
        <v>67</v>
      </c>
      <c r="L82" s="46">
        <f t="shared" si="68"/>
        <v>23.183391003460208</v>
      </c>
      <c r="M82" s="68">
        <v>32980</v>
      </c>
      <c r="N82" s="47">
        <f t="shared" si="69"/>
        <v>2209660</v>
      </c>
      <c r="R82" s="76">
        <f t="shared" si="55"/>
        <v>0</v>
      </c>
    </row>
    <row r="83" spans="1:18" ht="16">
      <c r="A83" s="86">
        <v>46128</v>
      </c>
      <c r="B83" s="44" t="s">
        <v>21</v>
      </c>
      <c r="C83" s="35"/>
      <c r="D83" s="35">
        <v>386689</v>
      </c>
      <c r="E83" s="11">
        <f t="shared" si="64"/>
        <v>386689</v>
      </c>
      <c r="F83" s="45">
        <v>71</v>
      </c>
      <c r="G83" s="13">
        <f t="shared" si="65"/>
        <v>1.8361008458994178E-2</v>
      </c>
      <c r="H83" s="38">
        <v>29602</v>
      </c>
      <c r="I83" s="38"/>
      <c r="J83" s="35">
        <f t="shared" si="66"/>
        <v>-29602</v>
      </c>
      <c r="K83" s="50">
        <f t="shared" si="67"/>
        <v>71</v>
      </c>
      <c r="L83" s="46">
        <f t="shared" si="68"/>
        <v>-0.23984865887440038</v>
      </c>
      <c r="M83" s="48">
        <v>31040</v>
      </c>
      <c r="N83" s="47">
        <f t="shared" si="69"/>
        <v>2203840</v>
      </c>
      <c r="R83" s="76">
        <f t="shared" si="55"/>
        <v>0</v>
      </c>
    </row>
    <row r="84" spans="1:18" ht="16">
      <c r="A84" s="86">
        <v>46133</v>
      </c>
      <c r="B84" s="44" t="s">
        <v>21</v>
      </c>
      <c r="C84" s="35">
        <v>386689</v>
      </c>
      <c r="D84" s="35">
        <v>387056</v>
      </c>
      <c r="E84" s="11">
        <f t="shared" si="64"/>
        <v>367</v>
      </c>
      <c r="F84" s="45">
        <v>56</v>
      </c>
      <c r="G84" s="13">
        <f t="shared" si="65"/>
        <v>15.258855585831062</v>
      </c>
      <c r="H84" s="38"/>
      <c r="I84" s="38">
        <v>30340</v>
      </c>
      <c r="J84" s="35">
        <f t="shared" si="66"/>
        <v>30340</v>
      </c>
      <c r="K84" s="50">
        <f t="shared" si="67"/>
        <v>56</v>
      </c>
      <c r="L84" s="46">
        <f t="shared" si="68"/>
        <v>0.18457481872116019</v>
      </c>
      <c r="M84" s="48">
        <v>31040</v>
      </c>
      <c r="N84" s="47">
        <f t="shared" si="69"/>
        <v>1738240</v>
      </c>
      <c r="R84" s="76">
        <f t="shared" si="55"/>
        <v>0</v>
      </c>
    </row>
    <row r="85" spans="1:18" ht="16">
      <c r="A85" s="33">
        <v>46136</v>
      </c>
      <c r="B85" s="44" t="s">
        <v>21</v>
      </c>
      <c r="C85" s="35">
        <v>387056</v>
      </c>
      <c r="D85" s="35">
        <v>387477</v>
      </c>
      <c r="E85" s="11">
        <f t="shared" si="64"/>
        <v>421</v>
      </c>
      <c r="F85" s="45">
        <v>65</v>
      </c>
      <c r="G85" s="13">
        <f t="shared" si="65"/>
        <v>15.439429928741092</v>
      </c>
      <c r="H85" s="38">
        <v>30340</v>
      </c>
      <c r="I85" s="38">
        <v>30778</v>
      </c>
      <c r="J85" s="35">
        <f t="shared" si="66"/>
        <v>438</v>
      </c>
      <c r="K85" s="50">
        <f t="shared" si="67"/>
        <v>65</v>
      </c>
      <c r="L85" s="46">
        <f t="shared" si="68"/>
        <v>14.840182648401825</v>
      </c>
      <c r="M85" s="48">
        <v>26690</v>
      </c>
      <c r="N85" s="47">
        <f t="shared" si="69"/>
        <v>1734850</v>
      </c>
      <c r="R85" s="76">
        <f t="shared" si="55"/>
        <v>0</v>
      </c>
    </row>
    <row r="86" spans="1:18" ht="16">
      <c r="A86" s="86"/>
      <c r="B86" s="44" t="s">
        <v>37</v>
      </c>
      <c r="C86" s="35"/>
      <c r="D86" s="35"/>
      <c r="E86" s="11">
        <f t="shared" si="64"/>
        <v>0</v>
      </c>
      <c r="F86" s="45"/>
      <c r="G86" s="13" t="e">
        <f t="shared" si="65"/>
        <v>#DIV/0!</v>
      </c>
      <c r="H86" s="35"/>
      <c r="I86" s="38"/>
      <c r="J86" s="35">
        <f t="shared" si="66"/>
        <v>0</v>
      </c>
      <c r="K86" s="50">
        <f t="shared" si="67"/>
        <v>0</v>
      </c>
      <c r="L86" s="46" t="e">
        <f t="shared" si="68"/>
        <v>#DIV/0!</v>
      </c>
      <c r="M86" s="48"/>
      <c r="N86" s="47">
        <f t="shared" si="69"/>
        <v>0</v>
      </c>
      <c r="R86" s="76">
        <f t="shared" si="55"/>
        <v>0</v>
      </c>
    </row>
    <row r="87" spans="1:18" ht="16">
      <c r="A87" s="87"/>
      <c r="B87" s="44" t="s">
        <v>37</v>
      </c>
      <c r="C87" s="53"/>
      <c r="D87" s="53"/>
      <c r="E87" s="24">
        <f t="shared" si="64"/>
        <v>0</v>
      </c>
      <c r="F87" s="45"/>
      <c r="G87" s="54" t="e">
        <f t="shared" si="65"/>
        <v>#DIV/0!</v>
      </c>
      <c r="H87" s="53"/>
      <c r="I87" s="55"/>
      <c r="J87" s="53">
        <f t="shared" si="66"/>
        <v>0</v>
      </c>
      <c r="K87" s="50">
        <f t="shared" si="67"/>
        <v>0</v>
      </c>
      <c r="L87" s="73" t="e">
        <f t="shared" si="68"/>
        <v>#DIV/0!</v>
      </c>
      <c r="M87" s="56"/>
      <c r="N87" s="57">
        <f t="shared" si="69"/>
        <v>0</v>
      </c>
      <c r="R87" s="76">
        <f t="shared" si="55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1899</v>
      </c>
      <c r="F88" s="37"/>
      <c r="G88" s="61" t="e">
        <f>AVERAGE(G81:G87)</f>
        <v>#DIV/0!</v>
      </c>
      <c r="H88" s="59"/>
      <c r="I88" s="62"/>
      <c r="J88" s="59">
        <f t="shared" ref="J88:K88" si="70">SUM(J81:J87)</f>
        <v>1914</v>
      </c>
      <c r="K88" s="59">
        <f t="shared" si="70"/>
        <v>289</v>
      </c>
      <c r="L88" s="61" t="e">
        <f>AVERAGE(L81:L87)</f>
        <v>#DIV/0!</v>
      </c>
      <c r="M88" s="64"/>
      <c r="N88" s="65">
        <f>SUM(N81:N87)</f>
        <v>9171790</v>
      </c>
      <c r="R88" s="76">
        <f t="shared" si="55"/>
        <v>0</v>
      </c>
    </row>
    <row r="89" spans="1:18" ht="16">
      <c r="A89" s="33">
        <v>46113</v>
      </c>
      <c r="B89" s="82" t="s">
        <v>22</v>
      </c>
      <c r="C89" s="53">
        <v>219030</v>
      </c>
      <c r="D89" s="35">
        <v>219259</v>
      </c>
      <c r="E89" s="36">
        <f t="shared" ref="E89:E96" si="71">D89-C89</f>
        <v>229</v>
      </c>
      <c r="F89" s="37">
        <v>25</v>
      </c>
      <c r="G89" s="13">
        <f t="shared" ref="G89:G96" si="72">(F89/E89)*100</f>
        <v>10.91703056768559</v>
      </c>
      <c r="H89" s="55">
        <v>28112</v>
      </c>
      <c r="I89" s="38">
        <v>28313</v>
      </c>
      <c r="J89" s="39">
        <f t="shared" ref="J89:J96" si="73">I89-H89</f>
        <v>201</v>
      </c>
      <c r="K89" s="77">
        <f t="shared" ref="K89:K96" si="74">F89</f>
        <v>25</v>
      </c>
      <c r="L89" s="67">
        <f t="shared" ref="L89:L96" si="75">(K89/J89)*100</f>
        <v>12.437810945273633</v>
      </c>
      <c r="M89" s="68">
        <v>35440</v>
      </c>
      <c r="N89" s="42">
        <f t="shared" ref="N89:N96" si="76">F89*M89</f>
        <v>886000</v>
      </c>
      <c r="R89" s="76">
        <f t="shared" si="55"/>
        <v>0</v>
      </c>
    </row>
    <row r="90" spans="1:18" ht="16">
      <c r="A90" s="33">
        <v>46115</v>
      </c>
      <c r="B90" s="44" t="s">
        <v>22</v>
      </c>
      <c r="C90" s="35">
        <v>219259</v>
      </c>
      <c r="D90" s="35">
        <v>219525</v>
      </c>
      <c r="E90" s="11">
        <f t="shared" si="71"/>
        <v>266</v>
      </c>
      <c r="F90" s="45">
        <v>35</v>
      </c>
      <c r="G90" s="13">
        <f t="shared" si="72"/>
        <v>13.157894736842104</v>
      </c>
      <c r="H90" s="38">
        <v>28313</v>
      </c>
      <c r="I90" s="38">
        <v>28609</v>
      </c>
      <c r="J90" s="35">
        <f t="shared" si="73"/>
        <v>296</v>
      </c>
      <c r="K90" s="50">
        <f t="shared" si="74"/>
        <v>35</v>
      </c>
      <c r="L90" s="46">
        <f t="shared" si="75"/>
        <v>11.824324324324325</v>
      </c>
      <c r="M90" s="48">
        <v>40820</v>
      </c>
      <c r="N90" s="47">
        <f t="shared" si="76"/>
        <v>1428700</v>
      </c>
      <c r="R90" s="76">
        <f t="shared" si="55"/>
        <v>0</v>
      </c>
    </row>
    <row r="91" spans="1:18" ht="16">
      <c r="A91" s="33">
        <v>46121</v>
      </c>
      <c r="B91" s="44" t="s">
        <v>22</v>
      </c>
      <c r="C91" s="35">
        <v>219525</v>
      </c>
      <c r="D91" s="35">
        <v>219891</v>
      </c>
      <c r="E91" s="11">
        <f t="shared" si="71"/>
        <v>366</v>
      </c>
      <c r="F91" s="45">
        <v>50</v>
      </c>
      <c r="G91" s="13">
        <f t="shared" si="72"/>
        <v>13.661202185792352</v>
      </c>
      <c r="H91" s="38">
        <v>28609</v>
      </c>
      <c r="I91" s="38">
        <v>28942</v>
      </c>
      <c r="J91" s="35">
        <f t="shared" si="73"/>
        <v>333</v>
      </c>
      <c r="K91" s="50">
        <f t="shared" si="74"/>
        <v>50</v>
      </c>
      <c r="L91" s="46">
        <f t="shared" si="75"/>
        <v>15.015015015015015</v>
      </c>
      <c r="M91" s="48">
        <v>32960</v>
      </c>
      <c r="N91" s="47">
        <f t="shared" si="76"/>
        <v>1648000</v>
      </c>
      <c r="R91" s="76">
        <f t="shared" si="55"/>
        <v>0</v>
      </c>
    </row>
    <row r="92" spans="1:18" ht="16">
      <c r="A92" s="33">
        <v>46127</v>
      </c>
      <c r="B92" s="44" t="s">
        <v>22</v>
      </c>
      <c r="C92" s="35">
        <v>219891</v>
      </c>
      <c r="D92" s="35">
        <v>220360</v>
      </c>
      <c r="E92" s="11">
        <f t="shared" si="71"/>
        <v>469</v>
      </c>
      <c r="F92" s="45">
        <v>52</v>
      </c>
      <c r="G92" s="13">
        <f t="shared" si="72"/>
        <v>11.087420042643924</v>
      </c>
      <c r="H92" s="38">
        <v>28942</v>
      </c>
      <c r="I92" s="38">
        <v>29398</v>
      </c>
      <c r="J92" s="35">
        <f t="shared" si="73"/>
        <v>456</v>
      </c>
      <c r="K92" s="50">
        <f t="shared" si="74"/>
        <v>52</v>
      </c>
      <c r="L92" s="46">
        <f t="shared" si="75"/>
        <v>11.403508771929824</v>
      </c>
      <c r="M92" s="48">
        <v>32960</v>
      </c>
      <c r="N92" s="47">
        <f t="shared" si="76"/>
        <v>1713920</v>
      </c>
      <c r="R92" s="76">
        <f t="shared" si="55"/>
        <v>0</v>
      </c>
    </row>
    <row r="93" spans="1:18" ht="16">
      <c r="A93" s="33">
        <v>46134</v>
      </c>
      <c r="B93" s="44" t="s">
        <v>22</v>
      </c>
      <c r="C93" s="35">
        <v>220360</v>
      </c>
      <c r="D93" s="35">
        <v>220851</v>
      </c>
      <c r="E93" s="11">
        <f t="shared" si="71"/>
        <v>491</v>
      </c>
      <c r="F93" s="45">
        <v>60</v>
      </c>
      <c r="G93" s="13">
        <f t="shared" si="72"/>
        <v>12.219959266802444</v>
      </c>
      <c r="H93" s="38">
        <v>29398</v>
      </c>
      <c r="I93" s="38">
        <v>29883</v>
      </c>
      <c r="J93" s="35">
        <f t="shared" si="73"/>
        <v>485</v>
      </c>
      <c r="K93" s="50">
        <f t="shared" si="74"/>
        <v>60</v>
      </c>
      <c r="L93" s="46">
        <f t="shared" si="75"/>
        <v>12.371134020618557</v>
      </c>
      <c r="M93" s="48">
        <v>27850</v>
      </c>
      <c r="N93" s="47">
        <f t="shared" si="76"/>
        <v>1671000</v>
      </c>
      <c r="R93" s="76">
        <f t="shared" si="55"/>
        <v>0</v>
      </c>
    </row>
    <row r="94" spans="1:18" ht="16">
      <c r="A94" s="86">
        <v>46140</v>
      </c>
      <c r="B94" s="44" t="s">
        <v>22</v>
      </c>
      <c r="C94" s="35">
        <v>220851</v>
      </c>
      <c r="D94" s="35">
        <v>221408</v>
      </c>
      <c r="E94" s="11">
        <f t="shared" si="71"/>
        <v>557</v>
      </c>
      <c r="F94" s="45">
        <v>76</v>
      </c>
      <c r="G94" s="13">
        <f t="shared" si="72"/>
        <v>13.644524236983843</v>
      </c>
      <c r="H94" s="38">
        <v>29883</v>
      </c>
      <c r="I94" s="38">
        <v>30506</v>
      </c>
      <c r="J94" s="35">
        <f t="shared" si="73"/>
        <v>623</v>
      </c>
      <c r="K94" s="50">
        <f t="shared" si="74"/>
        <v>76</v>
      </c>
      <c r="L94" s="46">
        <f t="shared" si="75"/>
        <v>12.199036918138042</v>
      </c>
      <c r="M94" s="48">
        <v>26690</v>
      </c>
      <c r="N94" s="47">
        <f t="shared" si="76"/>
        <v>2028440</v>
      </c>
      <c r="R94" s="76">
        <f t="shared" si="55"/>
        <v>0</v>
      </c>
    </row>
    <row r="95" spans="1:18" ht="16">
      <c r="A95" s="88"/>
      <c r="B95" s="44" t="s">
        <v>22</v>
      </c>
      <c r="C95" s="35"/>
      <c r="D95" s="53"/>
      <c r="E95" s="24">
        <f t="shared" si="71"/>
        <v>0</v>
      </c>
      <c r="F95" s="45"/>
      <c r="G95" s="54" t="e">
        <f t="shared" si="72"/>
        <v>#DIV/0!</v>
      </c>
      <c r="H95" s="38"/>
      <c r="I95" s="55"/>
      <c r="J95" s="53">
        <f t="shared" si="73"/>
        <v>0</v>
      </c>
      <c r="K95" s="50">
        <f t="shared" si="74"/>
        <v>0</v>
      </c>
      <c r="L95" s="73" t="e">
        <f t="shared" si="75"/>
        <v>#DIV/0!</v>
      </c>
      <c r="M95" s="56"/>
      <c r="N95" s="57">
        <f t="shared" si="76"/>
        <v>0</v>
      </c>
      <c r="R95" s="76">
        <f t="shared" si="55"/>
        <v>0</v>
      </c>
    </row>
    <row r="96" spans="1:18" ht="16">
      <c r="A96" s="88"/>
      <c r="B96" s="44" t="s">
        <v>22</v>
      </c>
      <c r="C96" s="53"/>
      <c r="D96" s="53"/>
      <c r="E96" s="24">
        <f t="shared" si="71"/>
        <v>0</v>
      </c>
      <c r="F96" s="45"/>
      <c r="G96" s="54" t="e">
        <f t="shared" si="72"/>
        <v>#DIV/0!</v>
      </c>
      <c r="H96" s="55"/>
      <c r="I96" s="55"/>
      <c r="J96" s="53">
        <f t="shared" si="73"/>
        <v>0</v>
      </c>
      <c r="K96" s="50">
        <f t="shared" si="74"/>
        <v>0</v>
      </c>
      <c r="L96" s="73" t="e">
        <f t="shared" si="75"/>
        <v>#DIV/0!</v>
      </c>
      <c r="M96" s="56"/>
      <c r="N96" s="57">
        <f t="shared" si="76"/>
        <v>0</v>
      </c>
      <c r="R96" s="76">
        <f t="shared" si="55"/>
        <v>0</v>
      </c>
    </row>
    <row r="97" spans="1:18" ht="16">
      <c r="A97" s="59"/>
      <c r="B97" s="60"/>
      <c r="C97" s="59"/>
      <c r="D97" s="59" t="s">
        <v>19</v>
      </c>
      <c r="E97" s="59">
        <f>SUM(E89:E95)</f>
        <v>2378</v>
      </c>
      <c r="F97" s="59">
        <f>SUM(F88:F95)</f>
        <v>298</v>
      </c>
      <c r="G97" s="61" t="e">
        <f>AVERAGE(G89:G95)</f>
        <v>#DIV/0!</v>
      </c>
      <c r="H97" s="59"/>
      <c r="I97" s="62"/>
      <c r="J97" s="59">
        <f t="shared" ref="J97:K97" si="77">SUM(J89:J95)</f>
        <v>2394</v>
      </c>
      <c r="K97" s="59">
        <f t="shared" si="77"/>
        <v>298</v>
      </c>
      <c r="L97" s="61" t="e">
        <f>AVERAGE(L89:L95)</f>
        <v>#DIV/0!</v>
      </c>
      <c r="M97" s="64"/>
      <c r="N97" s="65">
        <f>SUM(N89:N96)</f>
        <v>9376060</v>
      </c>
      <c r="R97" s="76">
        <f t="shared" si="55"/>
        <v>0</v>
      </c>
    </row>
    <row r="98" spans="1:18" ht="16">
      <c r="A98" s="89">
        <v>46113</v>
      </c>
      <c r="B98" s="90" t="s">
        <v>38</v>
      </c>
      <c r="C98" s="91">
        <v>174952</v>
      </c>
      <c r="D98" s="35">
        <v>175414</v>
      </c>
      <c r="E98" s="36">
        <f t="shared" ref="E98:E103" si="78">D98-C98</f>
        <v>462</v>
      </c>
      <c r="F98" s="37">
        <v>59</v>
      </c>
      <c r="G98" s="13">
        <f t="shared" ref="G98:G103" si="79">(F98/E98)*100</f>
        <v>12.770562770562771</v>
      </c>
      <c r="H98" s="38">
        <v>30330</v>
      </c>
      <c r="I98" s="38">
        <v>30811</v>
      </c>
      <c r="J98" s="39">
        <f t="shared" ref="J98:J103" si="80">I98-H98</f>
        <v>481</v>
      </c>
      <c r="K98" s="77">
        <f t="shared" ref="K98:K103" si="81">F98</f>
        <v>59</v>
      </c>
      <c r="L98" s="67">
        <f t="shared" ref="L98:L103" si="82">(K98/J98)*100</f>
        <v>12.266112266112266</v>
      </c>
      <c r="M98" s="68">
        <v>35440</v>
      </c>
      <c r="N98" s="42">
        <f t="shared" ref="N98:N103" si="83">F98*M98</f>
        <v>2090960</v>
      </c>
      <c r="R98" s="76">
        <f t="shared" si="55"/>
        <v>0</v>
      </c>
    </row>
    <row r="99" spans="1:18" ht="16">
      <c r="A99" s="80">
        <v>46121</v>
      </c>
      <c r="B99" s="44" t="s">
        <v>38</v>
      </c>
      <c r="C99" s="35">
        <v>175414</v>
      </c>
      <c r="D99" s="35">
        <v>175991</v>
      </c>
      <c r="E99" s="11">
        <f t="shared" si="78"/>
        <v>577</v>
      </c>
      <c r="F99" s="45">
        <v>72</v>
      </c>
      <c r="G99" s="13">
        <f t="shared" si="79"/>
        <v>12.478336221837088</v>
      </c>
      <c r="H99" s="38">
        <v>30811</v>
      </c>
      <c r="I99" s="38">
        <v>31375</v>
      </c>
      <c r="J99" s="35">
        <f t="shared" si="80"/>
        <v>564</v>
      </c>
      <c r="K99" s="50">
        <f t="shared" si="81"/>
        <v>72</v>
      </c>
      <c r="L99" s="46">
        <f t="shared" si="82"/>
        <v>12.76595744680851</v>
      </c>
      <c r="M99" s="68">
        <v>32960</v>
      </c>
      <c r="N99" s="47">
        <f t="shared" si="83"/>
        <v>2373120</v>
      </c>
      <c r="R99" s="76">
        <f t="shared" si="55"/>
        <v>0</v>
      </c>
    </row>
    <row r="100" spans="1:18" ht="16">
      <c r="A100" s="80">
        <v>46128</v>
      </c>
      <c r="B100" s="44" t="s">
        <v>38</v>
      </c>
      <c r="C100" s="35">
        <v>175991</v>
      </c>
      <c r="D100" s="35">
        <v>176573</v>
      </c>
      <c r="E100" s="11">
        <f t="shared" si="78"/>
        <v>582</v>
      </c>
      <c r="F100" s="45">
        <v>61</v>
      </c>
      <c r="G100" s="13">
        <f t="shared" si="79"/>
        <v>10.481099656357388</v>
      </c>
      <c r="H100" s="38">
        <v>31375</v>
      </c>
      <c r="I100" s="38">
        <v>31946</v>
      </c>
      <c r="J100" s="35">
        <f t="shared" si="80"/>
        <v>571</v>
      </c>
      <c r="K100" s="50">
        <f t="shared" si="81"/>
        <v>61</v>
      </c>
      <c r="L100" s="46">
        <f t="shared" si="82"/>
        <v>10.683012259194395</v>
      </c>
      <c r="M100" s="48">
        <v>31040</v>
      </c>
      <c r="N100" s="47">
        <f t="shared" si="83"/>
        <v>1893440</v>
      </c>
      <c r="R100" s="76">
        <f t="shared" si="55"/>
        <v>0</v>
      </c>
    </row>
    <row r="101" spans="1:18" ht="16">
      <c r="A101" s="80">
        <v>46135</v>
      </c>
      <c r="B101" s="44" t="s">
        <v>38</v>
      </c>
      <c r="C101" s="35">
        <v>176573</v>
      </c>
      <c r="D101" s="35">
        <v>177098</v>
      </c>
      <c r="E101" s="11">
        <f t="shared" si="78"/>
        <v>525</v>
      </c>
      <c r="F101" s="45">
        <v>69</v>
      </c>
      <c r="G101" s="13">
        <f t="shared" si="79"/>
        <v>13.142857142857142</v>
      </c>
      <c r="H101" s="38">
        <v>31946</v>
      </c>
      <c r="I101" s="38">
        <v>32459</v>
      </c>
      <c r="J101" s="35">
        <f t="shared" si="80"/>
        <v>513</v>
      </c>
      <c r="K101" s="50">
        <f t="shared" si="81"/>
        <v>69</v>
      </c>
      <c r="L101" s="46">
        <f t="shared" si="82"/>
        <v>13.450292397660817</v>
      </c>
      <c r="M101" s="48">
        <v>27850</v>
      </c>
      <c r="N101" s="47">
        <f t="shared" si="83"/>
        <v>1921650</v>
      </c>
      <c r="R101" s="76">
        <f t="shared" si="55"/>
        <v>0</v>
      </c>
    </row>
    <row r="102" spans="1:18" ht="16">
      <c r="A102" s="80">
        <v>46140</v>
      </c>
      <c r="B102" s="44" t="s">
        <v>38</v>
      </c>
      <c r="C102" s="35">
        <v>177098</v>
      </c>
      <c r="D102" s="91">
        <v>177438</v>
      </c>
      <c r="E102" s="11">
        <f t="shared" si="78"/>
        <v>340</v>
      </c>
      <c r="F102" s="45">
        <v>45</v>
      </c>
      <c r="G102" s="13">
        <f t="shared" si="79"/>
        <v>13.23529411764706</v>
      </c>
      <c r="H102" s="38">
        <v>32459</v>
      </c>
      <c r="I102" s="38">
        <v>32807</v>
      </c>
      <c r="J102" s="35">
        <f t="shared" si="80"/>
        <v>348</v>
      </c>
      <c r="K102" s="50">
        <f t="shared" si="81"/>
        <v>45</v>
      </c>
      <c r="L102" s="46">
        <f t="shared" si="82"/>
        <v>12.931034482758621</v>
      </c>
      <c r="M102" s="48">
        <v>26690</v>
      </c>
      <c r="N102" s="47">
        <f t="shared" si="83"/>
        <v>1201050</v>
      </c>
      <c r="R102" s="76">
        <f t="shared" si="55"/>
        <v>0</v>
      </c>
    </row>
    <row r="103" spans="1:18" ht="16">
      <c r="A103" s="92"/>
      <c r="B103" s="93" t="s">
        <v>38</v>
      </c>
      <c r="C103" s="94"/>
      <c r="D103" s="95"/>
      <c r="E103" s="11">
        <f t="shared" si="78"/>
        <v>0</v>
      </c>
      <c r="F103" s="45"/>
      <c r="G103" s="96" t="e">
        <f t="shared" si="79"/>
        <v>#DIV/0!</v>
      </c>
      <c r="H103" s="97"/>
      <c r="I103" s="98"/>
      <c r="J103" s="97">
        <f t="shared" si="80"/>
        <v>0</v>
      </c>
      <c r="K103" s="50">
        <f t="shared" si="81"/>
        <v>0</v>
      </c>
      <c r="L103" s="99" t="e">
        <f t="shared" si="82"/>
        <v>#DIV/0!</v>
      </c>
      <c r="M103" s="100"/>
      <c r="N103" s="101">
        <f t="shared" si="83"/>
        <v>0</v>
      </c>
      <c r="R103" s="76">
        <f t="shared" si="55"/>
        <v>0</v>
      </c>
    </row>
    <row r="104" spans="1:18" ht="16">
      <c r="A104" s="102"/>
      <c r="B104" s="103"/>
      <c r="C104" s="104"/>
      <c r="D104" s="105" t="s">
        <v>19</v>
      </c>
      <c r="E104" s="106">
        <f>SUM(E98:E103)</f>
        <v>2486</v>
      </c>
      <c r="F104" s="59">
        <f>SUM(F95:F103)</f>
        <v>604</v>
      </c>
      <c r="G104" s="107" t="e">
        <f>AVERAGE(G98:G103)</f>
        <v>#DIV/0!</v>
      </c>
      <c r="H104" s="104"/>
      <c r="I104" s="108"/>
      <c r="J104" s="105">
        <f t="shared" ref="J104:K104" si="84">SUM(J98:J103)</f>
        <v>2477</v>
      </c>
      <c r="K104" s="105">
        <f t="shared" si="84"/>
        <v>306</v>
      </c>
      <c r="L104" s="109" t="e">
        <f>AVERAGE(L98:L103)</f>
        <v>#DIV/0!</v>
      </c>
      <c r="M104" s="110"/>
      <c r="N104" s="111">
        <f>SUM(N98:N103)</f>
        <v>9480220</v>
      </c>
      <c r="R104" s="76">
        <f t="shared" si="55"/>
        <v>0</v>
      </c>
    </row>
    <row r="105" spans="1:18" ht="16">
      <c r="A105" s="112">
        <v>46115</v>
      </c>
      <c r="B105" s="113" t="s">
        <v>39</v>
      </c>
      <c r="C105" s="53">
        <v>128551</v>
      </c>
      <c r="D105" s="35">
        <v>129021</v>
      </c>
      <c r="E105" s="36">
        <f t="shared" ref="E105:E111" si="85">D105-C105</f>
        <v>470</v>
      </c>
      <c r="F105" s="37">
        <v>52</v>
      </c>
      <c r="G105" s="114">
        <f t="shared" ref="G105:G111" si="86">(F105/E105)*100</f>
        <v>11.063829787234042</v>
      </c>
      <c r="H105" s="55">
        <v>32876</v>
      </c>
      <c r="I105" s="35">
        <v>33211</v>
      </c>
      <c r="J105" s="83">
        <f t="shared" ref="J105:J111" si="87">I105-H105</f>
        <v>335</v>
      </c>
      <c r="K105" s="77">
        <f t="shared" ref="K105:K111" si="88">F105</f>
        <v>52</v>
      </c>
      <c r="L105" s="115">
        <f t="shared" ref="L105:L111" si="89">(K105/J105)*100</f>
        <v>15.522388059701491</v>
      </c>
      <c r="M105" s="116">
        <v>40820</v>
      </c>
      <c r="N105" s="47">
        <f t="shared" ref="N105:N111" si="90">F105*M105</f>
        <v>2122640</v>
      </c>
      <c r="R105" s="76">
        <f t="shared" si="55"/>
        <v>0</v>
      </c>
    </row>
    <row r="106" spans="1:18" ht="16">
      <c r="A106" s="117">
        <v>46122</v>
      </c>
      <c r="B106" s="44" t="s">
        <v>39</v>
      </c>
      <c r="C106" s="35">
        <v>129021</v>
      </c>
      <c r="D106" s="35">
        <v>129576</v>
      </c>
      <c r="E106" s="11">
        <f t="shared" si="85"/>
        <v>555</v>
      </c>
      <c r="F106" s="45">
        <v>63</v>
      </c>
      <c r="G106" s="13">
        <f t="shared" si="86"/>
        <v>11.351351351351353</v>
      </c>
      <c r="H106" s="35">
        <v>33211</v>
      </c>
      <c r="I106" s="12">
        <v>33790</v>
      </c>
      <c r="J106" s="35">
        <f t="shared" si="87"/>
        <v>579</v>
      </c>
      <c r="K106" s="77">
        <f t="shared" si="88"/>
        <v>63</v>
      </c>
      <c r="L106" s="46">
        <f t="shared" si="89"/>
        <v>10.880829015544041</v>
      </c>
      <c r="M106" s="48">
        <v>32960</v>
      </c>
      <c r="N106" s="47">
        <f t="shared" si="90"/>
        <v>2076480</v>
      </c>
      <c r="R106" s="76">
        <f t="shared" si="55"/>
        <v>0</v>
      </c>
    </row>
    <row r="107" spans="1:18" ht="16">
      <c r="A107" s="117">
        <v>46127</v>
      </c>
      <c r="B107" s="44" t="s">
        <v>39</v>
      </c>
      <c r="C107" s="35">
        <v>129576</v>
      </c>
      <c r="D107" s="35">
        <v>130030</v>
      </c>
      <c r="E107" s="11">
        <f t="shared" si="85"/>
        <v>454</v>
      </c>
      <c r="F107" s="45">
        <v>54</v>
      </c>
      <c r="G107" s="13">
        <f t="shared" si="86"/>
        <v>11.894273127753303</v>
      </c>
      <c r="H107" s="12">
        <v>33790</v>
      </c>
      <c r="I107" s="35">
        <v>34255</v>
      </c>
      <c r="J107" s="35">
        <f t="shared" si="87"/>
        <v>465</v>
      </c>
      <c r="K107" s="77">
        <f t="shared" si="88"/>
        <v>54</v>
      </c>
      <c r="L107" s="46">
        <f t="shared" si="89"/>
        <v>11.612903225806452</v>
      </c>
      <c r="M107" s="48">
        <v>32960</v>
      </c>
      <c r="N107" s="47">
        <f t="shared" si="90"/>
        <v>1779840</v>
      </c>
      <c r="P107" s="78"/>
      <c r="R107" s="76">
        <f t="shared" si="55"/>
        <v>0</v>
      </c>
    </row>
    <row r="108" spans="1:18" ht="16">
      <c r="A108" s="117">
        <v>46132</v>
      </c>
      <c r="B108" s="44" t="s">
        <v>39</v>
      </c>
      <c r="C108" s="35">
        <v>130030</v>
      </c>
      <c r="D108" s="35">
        <v>130405</v>
      </c>
      <c r="E108" s="11">
        <f t="shared" si="85"/>
        <v>375</v>
      </c>
      <c r="F108" s="45">
        <v>45</v>
      </c>
      <c r="G108" s="13">
        <f t="shared" si="86"/>
        <v>12</v>
      </c>
      <c r="H108" s="35">
        <v>34255</v>
      </c>
      <c r="I108" s="35">
        <v>34640</v>
      </c>
      <c r="J108" s="35">
        <f t="shared" si="87"/>
        <v>385</v>
      </c>
      <c r="K108" s="50">
        <f t="shared" si="88"/>
        <v>45</v>
      </c>
      <c r="L108" s="46">
        <f t="shared" si="89"/>
        <v>11.688311688311687</v>
      </c>
      <c r="M108" s="48">
        <v>31040</v>
      </c>
      <c r="N108" s="47">
        <f t="shared" si="90"/>
        <v>1396800</v>
      </c>
      <c r="R108" s="76">
        <f t="shared" si="55"/>
        <v>0</v>
      </c>
    </row>
    <row r="109" spans="1:18" ht="16">
      <c r="A109" s="33">
        <v>46140</v>
      </c>
      <c r="B109" s="44" t="s">
        <v>39</v>
      </c>
      <c r="C109" s="35">
        <v>130405</v>
      </c>
      <c r="D109" s="35">
        <v>130976</v>
      </c>
      <c r="E109" s="11">
        <f t="shared" si="85"/>
        <v>571</v>
      </c>
      <c r="F109" s="45">
        <v>63</v>
      </c>
      <c r="G109" s="13">
        <f t="shared" si="86"/>
        <v>11.033274956217163</v>
      </c>
      <c r="H109" s="35">
        <v>34640</v>
      </c>
      <c r="I109" s="38">
        <v>35213</v>
      </c>
      <c r="J109" s="35">
        <f t="shared" si="87"/>
        <v>573</v>
      </c>
      <c r="K109" s="50">
        <f t="shared" si="88"/>
        <v>63</v>
      </c>
      <c r="L109" s="46">
        <f t="shared" si="89"/>
        <v>10.99476439790576</v>
      </c>
      <c r="M109" s="48">
        <v>26690</v>
      </c>
      <c r="N109" s="47">
        <f t="shared" si="90"/>
        <v>1681470</v>
      </c>
      <c r="R109" s="76">
        <f t="shared" si="55"/>
        <v>0</v>
      </c>
    </row>
    <row r="110" spans="1:18" ht="16">
      <c r="A110" s="33"/>
      <c r="B110" s="44" t="s">
        <v>39</v>
      </c>
      <c r="C110" s="35"/>
      <c r="D110" s="35"/>
      <c r="E110" s="11">
        <f t="shared" si="85"/>
        <v>0</v>
      </c>
      <c r="F110" s="45"/>
      <c r="G110" s="13" t="e">
        <f t="shared" si="86"/>
        <v>#DIV/0!</v>
      </c>
      <c r="H110" s="38"/>
      <c r="I110" s="38"/>
      <c r="J110" s="35">
        <f t="shared" si="87"/>
        <v>0</v>
      </c>
      <c r="K110" s="50">
        <f t="shared" si="88"/>
        <v>0</v>
      </c>
      <c r="L110" s="46" t="e">
        <f t="shared" si="89"/>
        <v>#DIV/0!</v>
      </c>
      <c r="M110" s="48"/>
      <c r="N110" s="47">
        <f t="shared" si="90"/>
        <v>0</v>
      </c>
      <c r="R110" s="76">
        <f t="shared" si="55"/>
        <v>0</v>
      </c>
    </row>
    <row r="111" spans="1:18" ht="16">
      <c r="A111" s="33"/>
      <c r="B111" s="44" t="s">
        <v>39</v>
      </c>
      <c r="C111" s="35"/>
      <c r="D111" s="53"/>
      <c r="E111" s="24">
        <f t="shared" si="85"/>
        <v>0</v>
      </c>
      <c r="F111" s="45"/>
      <c r="G111" s="54" t="e">
        <f t="shared" si="86"/>
        <v>#DIV/0!</v>
      </c>
      <c r="H111" s="38"/>
      <c r="I111" s="55"/>
      <c r="J111" s="53">
        <f t="shared" si="87"/>
        <v>0</v>
      </c>
      <c r="K111" s="50">
        <f t="shared" si="88"/>
        <v>0</v>
      </c>
      <c r="L111" s="73" t="e">
        <f t="shared" si="89"/>
        <v>#DIV/0!</v>
      </c>
      <c r="M111" s="56"/>
      <c r="N111" s="47">
        <f t="shared" si="90"/>
        <v>0</v>
      </c>
      <c r="R111" s="76">
        <f t="shared" si="55"/>
        <v>0</v>
      </c>
    </row>
    <row r="112" spans="1:18" ht="16">
      <c r="A112" s="59"/>
      <c r="B112" s="60"/>
      <c r="C112" s="59"/>
      <c r="D112" s="59" t="s">
        <v>19</v>
      </c>
      <c r="E112" s="59">
        <f>SUM(E98:E111)</f>
        <v>7397</v>
      </c>
      <c r="F112" s="59">
        <f>SUM(F104:F111)</f>
        <v>881</v>
      </c>
      <c r="G112" s="61" t="e">
        <f>AVERAGE(G98:G111)</f>
        <v>#DIV/0!</v>
      </c>
      <c r="H112" s="59"/>
      <c r="I112" s="62"/>
      <c r="J112" s="59">
        <f t="shared" ref="J112:K112" si="91">SUM(J98:J111)</f>
        <v>7291</v>
      </c>
      <c r="K112" s="59">
        <f t="shared" si="91"/>
        <v>889</v>
      </c>
      <c r="L112" s="61" t="e">
        <f>AVERAGE(L98:L111)</f>
        <v>#DIV/0!</v>
      </c>
      <c r="M112" s="64"/>
      <c r="N112" s="65">
        <f>SUM(N105:N111)</f>
        <v>9057230</v>
      </c>
      <c r="R112" s="76">
        <f t="shared" si="55"/>
        <v>0</v>
      </c>
    </row>
    <row r="113" spans="1:18" ht="16">
      <c r="A113" s="66">
        <v>46115</v>
      </c>
      <c r="B113" s="90" t="s">
        <v>40</v>
      </c>
      <c r="C113" s="35">
        <v>124263</v>
      </c>
      <c r="D113" s="12">
        <v>124731</v>
      </c>
      <c r="E113" s="36">
        <f t="shared" ref="E113:E119" si="92">D113-C113</f>
        <v>468</v>
      </c>
      <c r="F113" s="37">
        <v>54</v>
      </c>
      <c r="G113" s="13">
        <f t="shared" ref="G113:G119" si="93">(F113/E113)*100</f>
        <v>11.538461538461538</v>
      </c>
      <c r="H113" s="38">
        <v>122267</v>
      </c>
      <c r="I113" s="38">
        <v>122744</v>
      </c>
      <c r="J113" s="39">
        <f t="shared" ref="J113:J119" si="94">I113-H113</f>
        <v>477</v>
      </c>
      <c r="K113" s="77">
        <f t="shared" ref="K113:K119" si="95">F113</f>
        <v>54</v>
      </c>
      <c r="L113" s="67">
        <f t="shared" ref="L113:L119" si="96">(K113/J113)*100</f>
        <v>11.320754716981133</v>
      </c>
      <c r="M113" s="68">
        <v>40820</v>
      </c>
      <c r="N113" s="42">
        <f t="shared" ref="N113:N119" si="97">F113*M113</f>
        <v>2204280</v>
      </c>
      <c r="R113" s="76">
        <f t="shared" si="55"/>
        <v>0</v>
      </c>
    </row>
    <row r="114" spans="1:18" ht="16">
      <c r="A114" s="43">
        <v>46123</v>
      </c>
      <c r="B114" s="49" t="s">
        <v>40</v>
      </c>
      <c r="C114" s="12">
        <v>124731</v>
      </c>
      <c r="D114" s="10">
        <v>125363</v>
      </c>
      <c r="E114" s="51">
        <f t="shared" si="92"/>
        <v>632</v>
      </c>
      <c r="F114" s="52">
        <v>75</v>
      </c>
      <c r="G114" s="13">
        <f t="shared" si="93"/>
        <v>11.867088607594937</v>
      </c>
      <c r="H114" s="38">
        <v>122744</v>
      </c>
      <c r="I114" s="38">
        <v>123355</v>
      </c>
      <c r="J114" s="35">
        <f t="shared" si="94"/>
        <v>611</v>
      </c>
      <c r="K114" s="50">
        <f t="shared" si="95"/>
        <v>75</v>
      </c>
      <c r="L114" s="46">
        <f t="shared" si="96"/>
        <v>12.274959083469723</v>
      </c>
      <c r="M114" s="48">
        <v>32960</v>
      </c>
      <c r="N114" s="47">
        <f t="shared" si="97"/>
        <v>2472000</v>
      </c>
      <c r="R114" s="76">
        <f t="shared" si="55"/>
        <v>0</v>
      </c>
    </row>
    <row r="115" spans="1:18" ht="16">
      <c r="A115" s="33">
        <v>46129</v>
      </c>
      <c r="B115" s="44" t="s">
        <v>40</v>
      </c>
      <c r="C115" s="10">
        <v>125363</v>
      </c>
      <c r="D115" s="12">
        <v>125936</v>
      </c>
      <c r="E115" s="11">
        <f t="shared" si="92"/>
        <v>573</v>
      </c>
      <c r="F115" s="45">
        <v>72</v>
      </c>
      <c r="G115" s="13">
        <f t="shared" si="93"/>
        <v>12.56544502617801</v>
      </c>
      <c r="H115" s="38">
        <v>123355</v>
      </c>
      <c r="I115" s="38">
        <v>123951</v>
      </c>
      <c r="J115" s="35">
        <f t="shared" si="94"/>
        <v>596</v>
      </c>
      <c r="K115" s="50">
        <f t="shared" si="95"/>
        <v>72</v>
      </c>
      <c r="L115" s="46">
        <f t="shared" si="96"/>
        <v>12.080536912751679</v>
      </c>
      <c r="M115" s="48">
        <v>31040</v>
      </c>
      <c r="N115" s="47">
        <f t="shared" si="97"/>
        <v>2234880</v>
      </c>
      <c r="R115" s="76">
        <f t="shared" si="55"/>
        <v>0</v>
      </c>
    </row>
    <row r="116" spans="1:18" ht="16">
      <c r="A116" s="33">
        <v>46136</v>
      </c>
      <c r="B116" s="44" t="s">
        <v>40</v>
      </c>
      <c r="C116" s="12">
        <v>125936</v>
      </c>
      <c r="D116" s="12">
        <v>126617</v>
      </c>
      <c r="E116" s="11">
        <f t="shared" si="92"/>
        <v>681</v>
      </c>
      <c r="F116" s="45">
        <v>76</v>
      </c>
      <c r="G116" s="13">
        <f t="shared" si="93"/>
        <v>11.16005873715125</v>
      </c>
      <c r="H116" s="38">
        <v>123951</v>
      </c>
      <c r="I116" s="38">
        <v>124577</v>
      </c>
      <c r="J116" s="35">
        <f t="shared" si="94"/>
        <v>626</v>
      </c>
      <c r="K116" s="50">
        <f t="shared" si="95"/>
        <v>76</v>
      </c>
      <c r="L116" s="46">
        <f t="shared" si="96"/>
        <v>12.140575079872203</v>
      </c>
      <c r="M116" s="48">
        <v>26690</v>
      </c>
      <c r="N116" s="47">
        <f t="shared" si="97"/>
        <v>2028440</v>
      </c>
      <c r="R116" s="76">
        <f t="shared" si="55"/>
        <v>0</v>
      </c>
    </row>
    <row r="117" spans="1:18" ht="16">
      <c r="A117" s="33">
        <v>46140</v>
      </c>
      <c r="B117" s="44" t="s">
        <v>40</v>
      </c>
      <c r="C117" s="12">
        <v>126617</v>
      </c>
      <c r="D117" s="35">
        <v>126905</v>
      </c>
      <c r="E117" s="11">
        <f t="shared" si="92"/>
        <v>288</v>
      </c>
      <c r="F117" s="45">
        <v>37</v>
      </c>
      <c r="G117" s="13">
        <f t="shared" si="93"/>
        <v>12.847222222222221</v>
      </c>
      <c r="H117" s="38">
        <v>124577</v>
      </c>
      <c r="I117" s="38">
        <v>124883</v>
      </c>
      <c r="J117" s="35">
        <f t="shared" si="94"/>
        <v>306</v>
      </c>
      <c r="K117" s="50">
        <f t="shared" si="95"/>
        <v>37</v>
      </c>
      <c r="L117" s="46">
        <f t="shared" si="96"/>
        <v>12.091503267973856</v>
      </c>
      <c r="M117" s="48">
        <v>26690</v>
      </c>
      <c r="N117" s="47">
        <f t="shared" si="97"/>
        <v>987530</v>
      </c>
      <c r="R117" s="76">
        <f t="shared" si="55"/>
        <v>0</v>
      </c>
    </row>
    <row r="118" spans="1:18" ht="16">
      <c r="A118" s="33"/>
      <c r="B118" s="44" t="s">
        <v>40</v>
      </c>
      <c r="C118" s="35"/>
      <c r="D118" s="35"/>
      <c r="E118" s="11">
        <f t="shared" si="92"/>
        <v>0</v>
      </c>
      <c r="F118" s="45"/>
      <c r="G118" s="13" t="e">
        <f t="shared" si="93"/>
        <v>#DIV/0!</v>
      </c>
      <c r="H118" s="38"/>
      <c r="I118" s="38"/>
      <c r="J118" s="35">
        <f t="shared" si="94"/>
        <v>0</v>
      </c>
      <c r="K118" s="50">
        <f t="shared" si="95"/>
        <v>0</v>
      </c>
      <c r="L118" s="46" t="e">
        <f t="shared" si="96"/>
        <v>#DIV/0!</v>
      </c>
      <c r="M118" s="48"/>
      <c r="N118" s="47">
        <f t="shared" si="97"/>
        <v>0</v>
      </c>
      <c r="R118" s="76">
        <f t="shared" si="55"/>
        <v>0</v>
      </c>
    </row>
    <row r="119" spans="1:18" ht="16">
      <c r="A119" s="87"/>
      <c r="B119" s="44" t="s">
        <v>40</v>
      </c>
      <c r="C119" s="53"/>
      <c r="D119" s="53"/>
      <c r="E119" s="24">
        <f t="shared" si="92"/>
        <v>0</v>
      </c>
      <c r="F119" s="45"/>
      <c r="G119" s="54" t="e">
        <f t="shared" si="93"/>
        <v>#DIV/0!</v>
      </c>
      <c r="H119" s="53"/>
      <c r="I119" s="55"/>
      <c r="J119" s="53">
        <f t="shared" si="94"/>
        <v>0</v>
      </c>
      <c r="K119" s="50">
        <f t="shared" si="95"/>
        <v>0</v>
      </c>
      <c r="L119" s="73" t="e">
        <f t="shared" si="96"/>
        <v>#DIV/0!</v>
      </c>
      <c r="M119" s="56"/>
      <c r="N119" s="57">
        <f t="shared" si="97"/>
        <v>0</v>
      </c>
      <c r="R119" s="76">
        <f t="shared" si="55"/>
        <v>0</v>
      </c>
    </row>
    <row r="120" spans="1:18" ht="16">
      <c r="A120" s="59"/>
      <c r="B120" s="60"/>
      <c r="C120" s="59"/>
      <c r="D120" s="59" t="s">
        <v>19</v>
      </c>
      <c r="E120" s="59">
        <f>SUM(E113:E119)</f>
        <v>2642</v>
      </c>
      <c r="F120" s="37"/>
      <c r="G120" s="61" t="e">
        <f>AVERAGE(G113:G119)</f>
        <v>#DIV/0!</v>
      </c>
      <c r="H120" s="59"/>
      <c r="I120" s="62"/>
      <c r="J120" s="59">
        <f t="shared" ref="J120:K120" si="98">SUM(J113:J119)</f>
        <v>2616</v>
      </c>
      <c r="K120" s="59">
        <f t="shared" si="98"/>
        <v>314</v>
      </c>
      <c r="L120" s="61" t="e">
        <f>AVERAGE(L113:L119)</f>
        <v>#DIV/0!</v>
      </c>
      <c r="M120" s="64"/>
      <c r="N120" s="65">
        <f>SUM(N113:N119)</f>
        <v>9927130</v>
      </c>
      <c r="R120" s="76">
        <f t="shared" si="55"/>
        <v>0</v>
      </c>
    </row>
    <row r="121" spans="1:18" ht="16">
      <c r="A121" s="66">
        <v>46121</v>
      </c>
      <c r="B121" s="90" t="s">
        <v>41</v>
      </c>
      <c r="C121" s="50">
        <v>177289</v>
      </c>
      <c r="D121" s="35">
        <v>178057</v>
      </c>
      <c r="E121" s="36">
        <f t="shared" ref="E121:E127" si="99">D121-C121</f>
        <v>768</v>
      </c>
      <c r="F121" s="37">
        <v>83</v>
      </c>
      <c r="G121" s="13">
        <f t="shared" ref="G121:G127" si="100">(F121/E121)*100</f>
        <v>10.807291666666668</v>
      </c>
      <c r="H121" s="38">
        <v>20958</v>
      </c>
      <c r="I121" s="38">
        <v>21708</v>
      </c>
      <c r="J121" s="39">
        <f t="shared" ref="J121:J127" si="101">I121-H121</f>
        <v>750</v>
      </c>
      <c r="K121" s="77">
        <f t="shared" ref="K121:K127" si="102">F121</f>
        <v>83</v>
      </c>
      <c r="L121" s="67">
        <f t="shared" ref="L121:L127" si="103">(K121/J121)*100</f>
        <v>11.066666666666666</v>
      </c>
      <c r="M121" s="41">
        <v>32960</v>
      </c>
      <c r="N121" s="42">
        <f t="shared" ref="N121:N127" si="104">F121*M121</f>
        <v>2735680</v>
      </c>
      <c r="R121" s="76">
        <f t="shared" si="55"/>
        <v>0</v>
      </c>
    </row>
    <row r="122" spans="1:18" ht="16">
      <c r="A122" s="118">
        <v>46127</v>
      </c>
      <c r="B122" s="119" t="s">
        <v>41</v>
      </c>
      <c r="C122" s="35">
        <v>178057</v>
      </c>
      <c r="D122" s="51">
        <v>178683</v>
      </c>
      <c r="E122" s="51">
        <f t="shared" si="99"/>
        <v>626</v>
      </c>
      <c r="F122" s="120">
        <v>72</v>
      </c>
      <c r="G122" s="13">
        <f t="shared" si="100"/>
        <v>11.501597444089457</v>
      </c>
      <c r="H122" s="38">
        <v>21708</v>
      </c>
      <c r="I122" s="38">
        <v>22327</v>
      </c>
      <c r="J122" s="35">
        <f t="shared" si="101"/>
        <v>619</v>
      </c>
      <c r="K122" s="50">
        <f t="shared" si="102"/>
        <v>72</v>
      </c>
      <c r="L122" s="46">
        <f t="shared" si="103"/>
        <v>11.631663974151857</v>
      </c>
      <c r="M122" s="48">
        <v>32960</v>
      </c>
      <c r="N122" s="121">
        <f t="shared" si="104"/>
        <v>2373120</v>
      </c>
      <c r="R122" s="76">
        <f t="shared" si="55"/>
        <v>0</v>
      </c>
    </row>
    <row r="123" spans="1:18" ht="16">
      <c r="A123" s="118">
        <v>46134</v>
      </c>
      <c r="B123" s="119" t="s">
        <v>41</v>
      </c>
      <c r="C123" s="51">
        <v>178683</v>
      </c>
      <c r="D123" s="51">
        <v>179243</v>
      </c>
      <c r="E123" s="51">
        <f t="shared" si="99"/>
        <v>560</v>
      </c>
      <c r="F123" s="120">
        <v>64</v>
      </c>
      <c r="G123" s="13">
        <f t="shared" si="100"/>
        <v>11.428571428571429</v>
      </c>
      <c r="H123" s="38">
        <v>22327</v>
      </c>
      <c r="I123" s="35">
        <v>22974</v>
      </c>
      <c r="J123" s="35">
        <f t="shared" si="101"/>
        <v>647</v>
      </c>
      <c r="K123" s="50">
        <f t="shared" si="102"/>
        <v>64</v>
      </c>
      <c r="L123" s="46">
        <f t="shared" si="103"/>
        <v>9.891808346213292</v>
      </c>
      <c r="M123" s="48">
        <v>27850</v>
      </c>
      <c r="N123" s="121">
        <f t="shared" si="104"/>
        <v>1782400</v>
      </c>
      <c r="R123" s="76">
        <f t="shared" si="55"/>
        <v>0</v>
      </c>
    </row>
    <row r="124" spans="1:18" ht="16">
      <c r="A124" s="33">
        <v>46140</v>
      </c>
      <c r="B124" s="44" t="s">
        <v>41</v>
      </c>
      <c r="C124" s="51">
        <v>179243</v>
      </c>
      <c r="D124" s="35">
        <v>179863</v>
      </c>
      <c r="E124" s="11">
        <f t="shared" si="99"/>
        <v>620</v>
      </c>
      <c r="F124" s="45">
        <v>68</v>
      </c>
      <c r="G124" s="13">
        <f t="shared" si="100"/>
        <v>10.967741935483872</v>
      </c>
      <c r="H124" s="35">
        <v>22974</v>
      </c>
      <c r="I124" s="38">
        <v>23486</v>
      </c>
      <c r="J124" s="35">
        <f t="shared" si="101"/>
        <v>512</v>
      </c>
      <c r="K124" s="50">
        <f t="shared" si="102"/>
        <v>68</v>
      </c>
      <c r="L124" s="46">
        <f t="shared" si="103"/>
        <v>13.28125</v>
      </c>
      <c r="M124" s="48">
        <v>26690</v>
      </c>
      <c r="N124" s="121">
        <f t="shared" si="104"/>
        <v>1814920</v>
      </c>
      <c r="R124" s="76">
        <f t="shared" si="55"/>
        <v>0</v>
      </c>
    </row>
    <row r="125" spans="1:18" ht="16">
      <c r="A125" s="33"/>
      <c r="B125" s="49" t="s">
        <v>41</v>
      </c>
      <c r="C125" s="35"/>
      <c r="D125" s="50"/>
      <c r="E125" s="11">
        <f t="shared" si="99"/>
        <v>0</v>
      </c>
      <c r="F125" s="45"/>
      <c r="G125" s="13" t="e">
        <f t="shared" si="100"/>
        <v>#DIV/0!</v>
      </c>
      <c r="H125" s="38"/>
      <c r="I125" s="38"/>
      <c r="J125" s="35">
        <f t="shared" si="101"/>
        <v>0</v>
      </c>
      <c r="K125" s="50">
        <f t="shared" si="102"/>
        <v>0</v>
      </c>
      <c r="L125" s="46" t="e">
        <f t="shared" si="103"/>
        <v>#DIV/0!</v>
      </c>
      <c r="M125" s="48"/>
      <c r="N125" s="121">
        <f t="shared" si="104"/>
        <v>0</v>
      </c>
      <c r="R125" s="76">
        <f t="shared" si="55"/>
        <v>0</v>
      </c>
    </row>
    <row r="126" spans="1:18" ht="16">
      <c r="A126" s="122"/>
      <c r="B126" s="44" t="s">
        <v>41</v>
      </c>
      <c r="C126" s="35"/>
      <c r="D126" s="35"/>
      <c r="E126" s="11">
        <f t="shared" si="99"/>
        <v>0</v>
      </c>
      <c r="F126" s="45"/>
      <c r="G126" s="13" t="e">
        <f t="shared" si="100"/>
        <v>#DIV/0!</v>
      </c>
      <c r="H126" s="35"/>
      <c r="I126" s="38"/>
      <c r="J126" s="35">
        <f t="shared" si="101"/>
        <v>0</v>
      </c>
      <c r="K126" s="50">
        <f t="shared" si="102"/>
        <v>0</v>
      </c>
      <c r="L126" s="46" t="e">
        <f t="shared" si="103"/>
        <v>#DIV/0!</v>
      </c>
      <c r="M126" s="48"/>
      <c r="N126" s="121">
        <f t="shared" si="104"/>
        <v>0</v>
      </c>
      <c r="R126" s="76">
        <f t="shared" si="55"/>
        <v>0</v>
      </c>
    </row>
    <row r="127" spans="1:18" ht="16">
      <c r="A127" s="87"/>
      <c r="B127" s="44" t="s">
        <v>41</v>
      </c>
      <c r="C127" s="53"/>
      <c r="D127" s="53"/>
      <c r="E127" s="24">
        <f t="shared" si="99"/>
        <v>0</v>
      </c>
      <c r="F127" s="45"/>
      <c r="G127" s="54" t="e">
        <f t="shared" si="100"/>
        <v>#DIV/0!</v>
      </c>
      <c r="H127" s="53"/>
      <c r="I127" s="55"/>
      <c r="J127" s="53">
        <f t="shared" si="101"/>
        <v>0</v>
      </c>
      <c r="K127" s="50">
        <f t="shared" si="102"/>
        <v>0</v>
      </c>
      <c r="L127" s="73" t="e">
        <f t="shared" si="103"/>
        <v>#DIV/0!</v>
      </c>
      <c r="M127" s="56"/>
      <c r="N127" s="123">
        <f t="shared" si="104"/>
        <v>0</v>
      </c>
      <c r="R127" s="76">
        <f t="shared" si="55"/>
        <v>0</v>
      </c>
    </row>
    <row r="128" spans="1:18" ht="16">
      <c r="A128" s="59"/>
      <c r="B128" s="60"/>
      <c r="C128" s="59"/>
      <c r="D128" s="59" t="s">
        <v>19</v>
      </c>
      <c r="E128" s="59">
        <f>SUM(E121:E127)</f>
        <v>2574</v>
      </c>
      <c r="F128" s="59">
        <f>SUM(F120:F127)</f>
        <v>287</v>
      </c>
      <c r="G128" s="61" t="e">
        <f>AVERAGE(G121:G127)</f>
        <v>#DIV/0!</v>
      </c>
      <c r="H128" s="59"/>
      <c r="I128" s="62"/>
      <c r="J128" s="59">
        <f t="shared" ref="J128:K128" si="105">SUM(J121:J127)</f>
        <v>2528</v>
      </c>
      <c r="K128" s="59">
        <f t="shared" si="105"/>
        <v>287</v>
      </c>
      <c r="L128" s="61" t="e">
        <f>AVERAGE(L121:L127)</f>
        <v>#DIV/0!</v>
      </c>
      <c r="M128" s="64"/>
      <c r="N128" s="65">
        <f>SUM(N121:N127)</f>
        <v>8706120</v>
      </c>
      <c r="R128" s="76">
        <f t="shared" si="55"/>
        <v>0</v>
      </c>
    </row>
    <row r="129" spans="1:18" ht="16">
      <c r="A129" s="66">
        <v>46113</v>
      </c>
      <c r="B129" s="90" t="s">
        <v>42</v>
      </c>
      <c r="C129" s="35">
        <v>147039</v>
      </c>
      <c r="D129" s="35">
        <v>147602</v>
      </c>
      <c r="E129" s="36">
        <f t="shared" ref="E129:E135" si="106">D129-C129</f>
        <v>563</v>
      </c>
      <c r="F129" s="37">
        <v>65</v>
      </c>
      <c r="G129" s="13">
        <f t="shared" ref="G129:G135" si="107">(F129/E129)*100</f>
        <v>11.545293072824157</v>
      </c>
      <c r="H129" s="35"/>
      <c r="I129" s="38"/>
      <c r="J129" s="39">
        <f t="shared" ref="J129:J135" si="108">I129-H129</f>
        <v>0</v>
      </c>
      <c r="K129" s="77">
        <f t="shared" ref="K129:K135" si="109">F129</f>
        <v>65</v>
      </c>
      <c r="L129" s="67" t="e">
        <f t="shared" ref="L129:L135" si="110">(K129/J129)*100</f>
        <v>#DIV/0!</v>
      </c>
      <c r="M129" s="41">
        <v>35440</v>
      </c>
      <c r="N129" s="42">
        <f t="shared" ref="N129:N135" si="111">F129*M129</f>
        <v>2303600</v>
      </c>
    </row>
    <row r="130" spans="1:18" ht="16">
      <c r="A130" s="118">
        <v>46121</v>
      </c>
      <c r="B130" s="90" t="s">
        <v>42</v>
      </c>
      <c r="C130" s="35">
        <v>147602</v>
      </c>
      <c r="D130" s="51">
        <v>148212</v>
      </c>
      <c r="E130" s="51">
        <f t="shared" si="106"/>
        <v>610</v>
      </c>
      <c r="F130" s="120">
        <v>70</v>
      </c>
      <c r="G130" s="13">
        <f t="shared" si="107"/>
        <v>11.475409836065573</v>
      </c>
      <c r="H130" s="38"/>
      <c r="I130" s="38"/>
      <c r="J130" s="35">
        <f t="shared" si="108"/>
        <v>0</v>
      </c>
      <c r="K130" s="50">
        <f t="shared" si="109"/>
        <v>70</v>
      </c>
      <c r="L130" s="46" t="e">
        <f t="shared" si="110"/>
        <v>#DIV/0!</v>
      </c>
      <c r="M130" s="48">
        <v>32960</v>
      </c>
      <c r="N130" s="121">
        <f t="shared" si="111"/>
        <v>2307200</v>
      </c>
    </row>
    <row r="131" spans="1:18" ht="16">
      <c r="A131" s="118">
        <v>46127</v>
      </c>
      <c r="B131" s="90" t="s">
        <v>42</v>
      </c>
      <c r="C131" s="51">
        <v>148212</v>
      </c>
      <c r="D131" s="51">
        <v>148822</v>
      </c>
      <c r="E131" s="51">
        <f t="shared" si="106"/>
        <v>610</v>
      </c>
      <c r="F131" s="120">
        <v>67</v>
      </c>
      <c r="G131" s="13">
        <f t="shared" si="107"/>
        <v>10.983606557377049</v>
      </c>
      <c r="H131" s="38"/>
      <c r="I131" s="35"/>
      <c r="J131" s="35">
        <f t="shared" si="108"/>
        <v>0</v>
      </c>
      <c r="K131" s="50">
        <f t="shared" si="109"/>
        <v>67</v>
      </c>
      <c r="L131" s="46" t="e">
        <f t="shared" si="110"/>
        <v>#DIV/0!</v>
      </c>
      <c r="M131" s="48">
        <v>26690</v>
      </c>
      <c r="N131" s="121">
        <f t="shared" si="111"/>
        <v>1788230</v>
      </c>
    </row>
    <row r="132" spans="1:18" ht="16">
      <c r="A132" s="33">
        <v>46135</v>
      </c>
      <c r="B132" s="90" t="s">
        <v>42</v>
      </c>
      <c r="C132" s="51">
        <v>148822</v>
      </c>
      <c r="D132" s="35">
        <v>149384</v>
      </c>
      <c r="E132" s="11">
        <f t="shared" si="106"/>
        <v>562</v>
      </c>
      <c r="F132" s="45">
        <v>66</v>
      </c>
      <c r="G132" s="13">
        <f t="shared" si="107"/>
        <v>11.743772241992882</v>
      </c>
      <c r="H132" s="35"/>
      <c r="I132" s="38"/>
      <c r="J132" s="35">
        <f t="shared" si="108"/>
        <v>0</v>
      </c>
      <c r="K132" s="50">
        <f t="shared" si="109"/>
        <v>66</v>
      </c>
      <c r="L132" s="46" t="e">
        <f t="shared" si="110"/>
        <v>#DIV/0!</v>
      </c>
      <c r="M132" s="48">
        <v>26690</v>
      </c>
      <c r="N132" s="121">
        <f t="shared" si="111"/>
        <v>1761540</v>
      </c>
    </row>
    <row r="133" spans="1:18" ht="16">
      <c r="A133" s="124"/>
      <c r="B133" s="90" t="s">
        <v>42</v>
      </c>
      <c r="C133" s="50"/>
      <c r="D133" s="50"/>
      <c r="E133" s="11">
        <f t="shared" si="106"/>
        <v>0</v>
      </c>
      <c r="F133" s="45"/>
      <c r="G133" s="13" t="e">
        <f t="shared" si="107"/>
        <v>#DIV/0!</v>
      </c>
      <c r="H133" s="35"/>
      <c r="I133" s="38"/>
      <c r="J133" s="35">
        <f t="shared" si="108"/>
        <v>0</v>
      </c>
      <c r="K133" s="50">
        <f t="shared" si="109"/>
        <v>0</v>
      </c>
      <c r="L133" s="46" t="e">
        <f t="shared" si="110"/>
        <v>#DIV/0!</v>
      </c>
      <c r="M133" s="48"/>
      <c r="N133" s="121">
        <f t="shared" si="111"/>
        <v>0</v>
      </c>
    </row>
    <row r="134" spans="1:18" ht="16">
      <c r="A134" s="122"/>
      <c r="B134" s="90" t="s">
        <v>42</v>
      </c>
      <c r="C134" s="35"/>
      <c r="D134" s="35"/>
      <c r="E134" s="11">
        <f t="shared" si="106"/>
        <v>0</v>
      </c>
      <c r="F134" s="45"/>
      <c r="G134" s="13" t="e">
        <f t="shared" si="107"/>
        <v>#DIV/0!</v>
      </c>
      <c r="H134" s="35"/>
      <c r="I134" s="38"/>
      <c r="J134" s="35">
        <f t="shared" si="108"/>
        <v>0</v>
      </c>
      <c r="K134" s="50">
        <f t="shared" si="109"/>
        <v>0</v>
      </c>
      <c r="L134" s="46" t="e">
        <f t="shared" si="110"/>
        <v>#DIV/0!</v>
      </c>
      <c r="M134" s="48"/>
      <c r="N134" s="121">
        <f t="shared" si="111"/>
        <v>0</v>
      </c>
    </row>
    <row r="135" spans="1:18" ht="16">
      <c r="A135" s="87"/>
      <c r="B135" s="90" t="s">
        <v>42</v>
      </c>
      <c r="C135" s="53"/>
      <c r="D135" s="53"/>
      <c r="E135" s="24">
        <f t="shared" si="106"/>
        <v>0</v>
      </c>
      <c r="F135" s="45"/>
      <c r="G135" s="54" t="e">
        <f t="shared" si="107"/>
        <v>#DIV/0!</v>
      </c>
      <c r="H135" s="53"/>
      <c r="I135" s="55"/>
      <c r="J135" s="53">
        <f t="shared" si="108"/>
        <v>0</v>
      </c>
      <c r="K135" s="50">
        <f t="shared" si="109"/>
        <v>0</v>
      </c>
      <c r="L135" s="73" t="e">
        <f t="shared" si="110"/>
        <v>#DIV/0!</v>
      </c>
      <c r="M135" s="56"/>
      <c r="N135" s="123">
        <f t="shared" si="111"/>
        <v>0</v>
      </c>
    </row>
    <row r="136" spans="1:18" ht="16">
      <c r="A136" s="59"/>
      <c r="B136" s="60"/>
      <c r="C136" s="59"/>
      <c r="D136" s="59" t="s">
        <v>19</v>
      </c>
      <c r="E136" s="59">
        <f>SUM(E129:E135)</f>
        <v>2345</v>
      </c>
      <c r="F136" s="59">
        <f>SUM(F128:F135)</f>
        <v>555</v>
      </c>
      <c r="G136" s="61" t="e">
        <f>AVERAGE(G129:G135)</f>
        <v>#DIV/0!</v>
      </c>
      <c r="H136" s="59"/>
      <c r="I136" s="62"/>
      <c r="J136" s="59">
        <f t="shared" ref="J136:K136" si="112">SUM(J129:J135)</f>
        <v>0</v>
      </c>
      <c r="K136" s="59">
        <f t="shared" si="112"/>
        <v>268</v>
      </c>
      <c r="L136" s="61" t="e">
        <f>AVERAGE(L129:L135)</f>
        <v>#DIV/0!</v>
      </c>
      <c r="M136" s="64"/>
      <c r="N136" s="65">
        <f>SUM(N129:N135)</f>
        <v>8160570</v>
      </c>
    </row>
    <row r="137" spans="1:18" ht="16">
      <c r="A137" s="66">
        <v>46114</v>
      </c>
      <c r="B137" s="90" t="s">
        <v>27</v>
      </c>
      <c r="C137" s="83"/>
      <c r="D137" s="12"/>
      <c r="E137" s="36">
        <f t="shared" ref="E137:E147" si="113">D137-C137</f>
        <v>0</v>
      </c>
      <c r="F137" s="37"/>
      <c r="G137" s="13" t="e">
        <f t="shared" ref="G137:G147" si="114">(F137/E137)*100</f>
        <v>#DIV/0!</v>
      </c>
      <c r="H137" s="125"/>
      <c r="I137" s="126"/>
      <c r="J137" s="39">
        <f t="shared" ref="J137:J147" si="115">I137-H137</f>
        <v>0</v>
      </c>
      <c r="K137" s="50">
        <f t="shared" ref="K137:K141" si="116">F137</f>
        <v>0</v>
      </c>
      <c r="L137" s="67" t="e">
        <f t="shared" ref="L137:L147" si="117">(K137/J137)*100</f>
        <v>#DIV/0!</v>
      </c>
      <c r="M137" s="68"/>
      <c r="N137" s="42">
        <v>1772000</v>
      </c>
      <c r="R137" s="76">
        <f t="shared" ref="R137:R144" si="118">Q137</f>
        <v>0</v>
      </c>
    </row>
    <row r="138" spans="1:18" ht="16">
      <c r="A138" s="33">
        <v>46117</v>
      </c>
      <c r="B138" s="44" t="s">
        <v>27</v>
      </c>
      <c r="C138" s="35"/>
      <c r="D138" s="12"/>
      <c r="E138" s="11">
        <f t="shared" si="113"/>
        <v>0</v>
      </c>
      <c r="F138" s="45"/>
      <c r="G138" s="13" t="e">
        <f t="shared" si="114"/>
        <v>#DIV/0!</v>
      </c>
      <c r="H138" s="38"/>
      <c r="I138" s="38"/>
      <c r="J138" s="35">
        <f t="shared" si="115"/>
        <v>0</v>
      </c>
      <c r="K138" s="50">
        <f t="shared" si="116"/>
        <v>0</v>
      </c>
      <c r="L138" s="46" t="e">
        <f t="shared" si="117"/>
        <v>#DIV/0!</v>
      </c>
      <c r="M138" s="48"/>
      <c r="N138" s="47">
        <v>1343000</v>
      </c>
      <c r="R138" s="76">
        <f t="shared" si="118"/>
        <v>0</v>
      </c>
    </row>
    <row r="139" spans="1:18" ht="16">
      <c r="A139" s="33">
        <v>46119</v>
      </c>
      <c r="B139" s="44" t="s">
        <v>27</v>
      </c>
      <c r="C139" s="35"/>
      <c r="D139" s="35"/>
      <c r="E139" s="11">
        <f t="shared" si="113"/>
        <v>0</v>
      </c>
      <c r="F139" s="45"/>
      <c r="G139" s="13" t="e">
        <f t="shared" si="114"/>
        <v>#DIV/0!</v>
      </c>
      <c r="H139" s="35"/>
      <c r="I139" s="38"/>
      <c r="J139" s="35">
        <f t="shared" si="115"/>
        <v>0</v>
      </c>
      <c r="K139" s="50">
        <f t="shared" si="116"/>
        <v>0</v>
      </c>
      <c r="L139" s="46" t="e">
        <f t="shared" si="117"/>
        <v>#DIV/0!</v>
      </c>
      <c r="M139" s="48"/>
      <c r="N139" s="47">
        <v>1343000</v>
      </c>
      <c r="R139" s="76">
        <f t="shared" si="118"/>
        <v>0</v>
      </c>
    </row>
    <row r="140" spans="1:18" ht="16">
      <c r="A140" s="33">
        <v>46120</v>
      </c>
      <c r="B140" s="44" t="s">
        <v>27</v>
      </c>
      <c r="C140" s="35"/>
      <c r="D140" s="35"/>
      <c r="E140" s="11">
        <f t="shared" si="113"/>
        <v>0</v>
      </c>
      <c r="F140" s="45"/>
      <c r="G140" s="13" t="e">
        <f t="shared" si="114"/>
        <v>#DIV/0!</v>
      </c>
      <c r="H140" s="35"/>
      <c r="I140" s="38"/>
      <c r="J140" s="35">
        <f t="shared" si="115"/>
        <v>0</v>
      </c>
      <c r="K140" s="50">
        <f t="shared" si="116"/>
        <v>0</v>
      </c>
      <c r="L140" s="46" t="e">
        <f t="shared" si="117"/>
        <v>#DIV/0!</v>
      </c>
      <c r="M140" s="48"/>
      <c r="N140" s="47">
        <v>2528000</v>
      </c>
      <c r="R140" s="76">
        <f t="shared" si="118"/>
        <v>0</v>
      </c>
    </row>
    <row r="141" spans="1:18" ht="16">
      <c r="A141" s="33">
        <v>46124</v>
      </c>
      <c r="B141" s="44" t="s">
        <v>27</v>
      </c>
      <c r="C141" s="35"/>
      <c r="D141" s="35"/>
      <c r="E141" s="11">
        <f t="shared" si="113"/>
        <v>0</v>
      </c>
      <c r="F141" s="45"/>
      <c r="G141" s="13" t="e">
        <f t="shared" si="114"/>
        <v>#DIV/0!</v>
      </c>
      <c r="H141" s="35"/>
      <c r="I141" s="38"/>
      <c r="J141" s="35">
        <f t="shared" si="115"/>
        <v>0</v>
      </c>
      <c r="K141" s="50">
        <f t="shared" si="116"/>
        <v>0</v>
      </c>
      <c r="L141" s="46" t="e">
        <f t="shared" si="117"/>
        <v>#DIV/0!</v>
      </c>
      <c r="M141" s="48"/>
      <c r="N141" s="47">
        <v>1945000</v>
      </c>
      <c r="R141" s="76">
        <f t="shared" si="118"/>
        <v>0</v>
      </c>
    </row>
    <row r="142" spans="1:18" ht="16">
      <c r="A142" s="33">
        <v>46128</v>
      </c>
      <c r="B142" s="44" t="s">
        <v>27</v>
      </c>
      <c r="C142" s="35"/>
      <c r="D142" s="35"/>
      <c r="E142" s="11">
        <f t="shared" si="113"/>
        <v>0</v>
      </c>
      <c r="F142" s="45"/>
      <c r="G142" s="13" t="e">
        <f t="shared" si="114"/>
        <v>#DIV/0!</v>
      </c>
      <c r="H142" s="35"/>
      <c r="I142" s="38"/>
      <c r="J142" s="35">
        <f t="shared" si="115"/>
        <v>0</v>
      </c>
      <c r="K142" s="50"/>
      <c r="L142" s="46" t="e">
        <f t="shared" si="117"/>
        <v>#DIV/0!</v>
      </c>
      <c r="M142" s="48"/>
      <c r="N142" s="47">
        <v>1862000</v>
      </c>
      <c r="R142" s="76">
        <f t="shared" si="118"/>
        <v>0</v>
      </c>
    </row>
    <row r="143" spans="1:18" ht="16">
      <c r="A143" s="7">
        <v>46132</v>
      </c>
      <c r="B143" s="8" t="s">
        <v>27</v>
      </c>
      <c r="C143" s="12"/>
      <c r="D143" s="12"/>
      <c r="E143" s="11">
        <f t="shared" si="113"/>
        <v>0</v>
      </c>
      <c r="F143" s="12"/>
      <c r="G143" s="13" t="e">
        <f t="shared" si="114"/>
        <v>#DIV/0!</v>
      </c>
      <c r="H143" s="12"/>
      <c r="I143" s="15"/>
      <c r="J143" s="12">
        <f t="shared" si="115"/>
        <v>0</v>
      </c>
      <c r="K143" s="10"/>
      <c r="L143" s="16" t="e">
        <f t="shared" si="117"/>
        <v>#DIV/0!</v>
      </c>
      <c r="M143" s="17"/>
      <c r="N143" s="17">
        <v>2018000</v>
      </c>
      <c r="R143" s="76">
        <f t="shared" si="118"/>
        <v>0</v>
      </c>
    </row>
    <row r="144" spans="1:18" ht="16">
      <c r="A144" s="7">
        <v>46136</v>
      </c>
      <c r="B144" s="8" t="s">
        <v>27</v>
      </c>
      <c r="C144" s="12"/>
      <c r="D144" s="12"/>
      <c r="E144" s="11">
        <f t="shared" si="113"/>
        <v>0</v>
      </c>
      <c r="F144" s="12"/>
      <c r="G144" s="13" t="e">
        <f t="shared" si="114"/>
        <v>#DIV/0!</v>
      </c>
      <c r="H144" s="12"/>
      <c r="I144" s="15"/>
      <c r="J144" s="12">
        <f t="shared" si="115"/>
        <v>0</v>
      </c>
      <c r="K144" s="10"/>
      <c r="L144" s="16" t="e">
        <f t="shared" si="117"/>
        <v>#DIV/0!</v>
      </c>
      <c r="M144" s="17"/>
      <c r="N144" s="17">
        <v>1628000</v>
      </c>
      <c r="R144" s="76">
        <f t="shared" si="118"/>
        <v>0</v>
      </c>
    </row>
    <row r="145" spans="1:18" ht="16">
      <c r="A145" s="7">
        <v>46140</v>
      </c>
      <c r="B145" s="8" t="s">
        <v>27</v>
      </c>
      <c r="C145" s="12"/>
      <c r="D145" s="12"/>
      <c r="E145" s="11">
        <f t="shared" si="113"/>
        <v>0</v>
      </c>
      <c r="F145" s="12"/>
      <c r="G145" s="13" t="e">
        <f t="shared" si="114"/>
        <v>#DIV/0!</v>
      </c>
      <c r="H145" s="12"/>
      <c r="I145" s="15"/>
      <c r="J145" s="12">
        <f t="shared" si="115"/>
        <v>0</v>
      </c>
      <c r="K145" s="10"/>
      <c r="L145" s="16" t="e">
        <f t="shared" si="117"/>
        <v>#DIV/0!</v>
      </c>
      <c r="M145" s="17"/>
      <c r="N145" s="17">
        <v>1655000</v>
      </c>
    </row>
    <row r="146" spans="1:18" ht="16">
      <c r="A146" s="7">
        <v>46140</v>
      </c>
      <c r="B146" s="8" t="s">
        <v>27</v>
      </c>
      <c r="C146" s="12"/>
      <c r="D146" s="12"/>
      <c r="E146" s="11">
        <f t="shared" si="113"/>
        <v>0</v>
      </c>
      <c r="F146" s="12"/>
      <c r="G146" s="13" t="e">
        <f t="shared" si="114"/>
        <v>#DIV/0!</v>
      </c>
      <c r="H146" s="12"/>
      <c r="I146" s="15"/>
      <c r="J146" s="12">
        <f t="shared" si="115"/>
        <v>0</v>
      </c>
      <c r="K146" s="10"/>
      <c r="L146" s="16" t="e">
        <f t="shared" si="117"/>
        <v>#DIV/0!</v>
      </c>
      <c r="M146" s="17"/>
      <c r="N146" s="17">
        <v>4137000</v>
      </c>
    </row>
    <row r="147" spans="1:18" ht="16">
      <c r="A147" s="7">
        <v>46141</v>
      </c>
      <c r="B147" s="8" t="s">
        <v>27</v>
      </c>
      <c r="C147" s="12"/>
      <c r="D147" s="12"/>
      <c r="E147" s="11">
        <f t="shared" si="113"/>
        <v>0</v>
      </c>
      <c r="F147" s="12"/>
      <c r="G147" s="13" t="e">
        <f t="shared" si="114"/>
        <v>#DIV/0!</v>
      </c>
      <c r="H147" s="12"/>
      <c r="I147" s="15"/>
      <c r="J147" s="12">
        <f t="shared" si="115"/>
        <v>0</v>
      </c>
      <c r="K147" s="10"/>
      <c r="L147" s="16" t="e">
        <f t="shared" si="117"/>
        <v>#DIV/0!</v>
      </c>
      <c r="M147" s="17"/>
      <c r="N147" s="17">
        <v>667000</v>
      </c>
    </row>
    <row r="148" spans="1:18" ht="16">
      <c r="A148" s="63"/>
      <c r="B148" s="127"/>
      <c r="C148" s="63"/>
      <c r="D148" s="63" t="s">
        <v>19</v>
      </c>
      <c r="E148" s="63">
        <f t="shared" ref="E148:F148" si="119">SUM(E137:E144)</f>
        <v>0</v>
      </c>
      <c r="F148" s="63">
        <f t="shared" si="119"/>
        <v>0</v>
      </c>
      <c r="G148" s="128" t="e">
        <f>AVERAGE(G137:G144)</f>
        <v>#DIV/0!</v>
      </c>
      <c r="H148" s="63"/>
      <c r="I148" s="129"/>
      <c r="J148" s="63">
        <f t="shared" ref="J148:K148" si="120">SUM(J137:J144)</f>
        <v>0</v>
      </c>
      <c r="K148" s="63">
        <f t="shared" si="120"/>
        <v>0</v>
      </c>
      <c r="L148" s="128" t="e">
        <f>AVERAGE(L137:L144)</f>
        <v>#DIV/0!</v>
      </c>
      <c r="M148" s="130"/>
      <c r="N148" s="131">
        <f>SUM(N137:N147)</f>
        <v>20898000</v>
      </c>
      <c r="R148" s="76">
        <f t="shared" ref="R148:R175" si="121">Q148</f>
        <v>0</v>
      </c>
    </row>
    <row r="149" spans="1:18" ht="16">
      <c r="A149" s="66">
        <v>46119</v>
      </c>
      <c r="B149" s="90" t="s">
        <v>28</v>
      </c>
      <c r="C149" s="83"/>
      <c r="D149" s="12"/>
      <c r="E149" s="36">
        <f t="shared" ref="E149:E156" si="122">D149-C149</f>
        <v>0</v>
      </c>
      <c r="F149" s="37"/>
      <c r="G149" s="13" t="e">
        <f t="shared" ref="G149:G156" si="123">(F149/E149)*100</f>
        <v>#DIV/0!</v>
      </c>
      <c r="H149" s="125"/>
      <c r="I149" s="126"/>
      <c r="J149" s="39">
        <f t="shared" ref="J149:J156" si="124">I149-H149</f>
        <v>0</v>
      </c>
      <c r="K149" s="77"/>
      <c r="L149" s="67" t="e">
        <f t="shared" ref="L149:L156" si="125">(K149/J149)*100</f>
        <v>#DIV/0!</v>
      </c>
      <c r="M149" s="68"/>
      <c r="N149" s="47">
        <v>2687000</v>
      </c>
      <c r="R149" s="76">
        <f t="shared" si="121"/>
        <v>0</v>
      </c>
    </row>
    <row r="150" spans="1:18" ht="16">
      <c r="A150" s="33">
        <v>46133</v>
      </c>
      <c r="B150" s="90" t="s">
        <v>28</v>
      </c>
      <c r="C150" s="35"/>
      <c r="D150" s="12"/>
      <c r="E150" s="11">
        <f t="shared" si="122"/>
        <v>0</v>
      </c>
      <c r="F150" s="45"/>
      <c r="G150" s="13" t="e">
        <f t="shared" si="123"/>
        <v>#DIV/0!</v>
      </c>
      <c r="H150" s="38"/>
      <c r="I150" s="38"/>
      <c r="J150" s="35">
        <f t="shared" si="124"/>
        <v>0</v>
      </c>
      <c r="K150" s="50"/>
      <c r="L150" s="67" t="e">
        <f t="shared" si="125"/>
        <v>#DIV/0!</v>
      </c>
      <c r="M150" s="48"/>
      <c r="N150" s="47">
        <v>2173000</v>
      </c>
      <c r="R150" s="76">
        <f t="shared" si="121"/>
        <v>0</v>
      </c>
    </row>
    <row r="151" spans="1:18" ht="16">
      <c r="A151" s="33"/>
      <c r="B151" s="90" t="s">
        <v>28</v>
      </c>
      <c r="C151" s="35"/>
      <c r="D151" s="35"/>
      <c r="E151" s="11">
        <f t="shared" si="122"/>
        <v>0</v>
      </c>
      <c r="F151" s="45"/>
      <c r="G151" s="13" t="e">
        <f t="shared" si="123"/>
        <v>#DIV/0!</v>
      </c>
      <c r="H151" s="35"/>
      <c r="I151" s="38"/>
      <c r="J151" s="35">
        <f t="shared" si="124"/>
        <v>0</v>
      </c>
      <c r="K151" s="50"/>
      <c r="L151" s="46" t="e">
        <f t="shared" si="125"/>
        <v>#DIV/0!</v>
      </c>
      <c r="M151" s="48"/>
      <c r="N151" s="47"/>
      <c r="R151" s="76">
        <f t="shared" si="121"/>
        <v>0</v>
      </c>
    </row>
    <row r="152" spans="1:18" ht="16">
      <c r="A152" s="33"/>
      <c r="B152" s="90" t="s">
        <v>28</v>
      </c>
      <c r="C152" s="35"/>
      <c r="D152" s="35"/>
      <c r="E152" s="11">
        <f t="shared" si="122"/>
        <v>0</v>
      </c>
      <c r="F152" s="45"/>
      <c r="G152" s="13" t="e">
        <f t="shared" si="123"/>
        <v>#DIV/0!</v>
      </c>
      <c r="H152" s="35"/>
      <c r="I152" s="38"/>
      <c r="J152" s="35">
        <f t="shared" si="124"/>
        <v>0</v>
      </c>
      <c r="K152" s="50"/>
      <c r="L152" s="46" t="e">
        <f t="shared" si="125"/>
        <v>#DIV/0!</v>
      </c>
      <c r="M152" s="48"/>
      <c r="N152" s="47">
        <f t="shared" ref="N152:N154" si="126">M152*K152</f>
        <v>0</v>
      </c>
      <c r="R152" s="76">
        <f t="shared" si="121"/>
        <v>0</v>
      </c>
    </row>
    <row r="153" spans="1:18" ht="16">
      <c r="A153" s="33"/>
      <c r="B153" s="90" t="s">
        <v>28</v>
      </c>
      <c r="C153" s="35"/>
      <c r="D153" s="35"/>
      <c r="E153" s="11">
        <f t="shared" si="122"/>
        <v>0</v>
      </c>
      <c r="F153" s="45"/>
      <c r="G153" s="13" t="e">
        <f t="shared" si="123"/>
        <v>#DIV/0!</v>
      </c>
      <c r="H153" s="35"/>
      <c r="I153" s="38"/>
      <c r="J153" s="35">
        <f t="shared" si="124"/>
        <v>0</v>
      </c>
      <c r="K153" s="50"/>
      <c r="L153" s="46" t="e">
        <f t="shared" si="125"/>
        <v>#DIV/0!</v>
      </c>
      <c r="M153" s="48"/>
      <c r="N153" s="47">
        <f t="shared" si="126"/>
        <v>0</v>
      </c>
      <c r="R153" s="76">
        <f t="shared" si="121"/>
        <v>0</v>
      </c>
    </row>
    <row r="154" spans="1:18" ht="16">
      <c r="A154" s="33"/>
      <c r="B154" s="90" t="s">
        <v>28</v>
      </c>
      <c r="C154" s="35"/>
      <c r="D154" s="35"/>
      <c r="E154" s="11">
        <f t="shared" si="122"/>
        <v>0</v>
      </c>
      <c r="F154" s="45"/>
      <c r="G154" s="13" t="e">
        <f t="shared" si="123"/>
        <v>#DIV/0!</v>
      </c>
      <c r="H154" s="35"/>
      <c r="I154" s="38"/>
      <c r="J154" s="35">
        <f t="shared" si="124"/>
        <v>0</v>
      </c>
      <c r="K154" s="50"/>
      <c r="L154" s="46" t="e">
        <f t="shared" si="125"/>
        <v>#DIV/0!</v>
      </c>
      <c r="M154" s="48"/>
      <c r="N154" s="47">
        <f t="shared" si="126"/>
        <v>0</v>
      </c>
      <c r="R154" s="76">
        <f t="shared" si="121"/>
        <v>0</v>
      </c>
    </row>
    <row r="155" spans="1:18" ht="16">
      <c r="A155" s="33"/>
      <c r="B155" s="90" t="s">
        <v>28</v>
      </c>
      <c r="C155" s="35"/>
      <c r="D155" s="35"/>
      <c r="E155" s="11">
        <f t="shared" si="122"/>
        <v>0</v>
      </c>
      <c r="F155" s="45"/>
      <c r="G155" s="13" t="e">
        <f t="shared" si="123"/>
        <v>#DIV/0!</v>
      </c>
      <c r="H155" s="35"/>
      <c r="I155" s="38"/>
      <c r="J155" s="35">
        <f t="shared" si="124"/>
        <v>0</v>
      </c>
      <c r="K155" s="50">
        <f t="shared" ref="K155:K156" si="127">F155</f>
        <v>0</v>
      </c>
      <c r="L155" s="46" t="e">
        <f t="shared" si="125"/>
        <v>#DIV/0!</v>
      </c>
      <c r="M155" s="48"/>
      <c r="N155" s="47">
        <f>F155*M155</f>
        <v>0</v>
      </c>
      <c r="R155" s="76">
        <f t="shared" si="121"/>
        <v>0</v>
      </c>
    </row>
    <row r="156" spans="1:18" ht="16">
      <c r="A156" s="88"/>
      <c r="B156" s="90" t="s">
        <v>28</v>
      </c>
      <c r="C156" s="53"/>
      <c r="D156" s="53"/>
      <c r="E156" s="24">
        <f t="shared" si="122"/>
        <v>0</v>
      </c>
      <c r="F156" s="45"/>
      <c r="G156" s="54" t="e">
        <f t="shared" si="123"/>
        <v>#DIV/0!</v>
      </c>
      <c r="H156" s="53"/>
      <c r="I156" s="55"/>
      <c r="J156" s="53">
        <f t="shared" si="124"/>
        <v>0</v>
      </c>
      <c r="K156" s="50">
        <f t="shared" si="127"/>
        <v>0</v>
      </c>
      <c r="L156" s="73" t="e">
        <f t="shared" si="125"/>
        <v>#DIV/0!</v>
      </c>
      <c r="M156" s="56"/>
      <c r="N156" s="47">
        <f>M156*K156</f>
        <v>0</v>
      </c>
      <c r="R156" s="76">
        <f t="shared" si="121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28">SUM(E149:E156)</f>
        <v>0</v>
      </c>
      <c r="F157" s="59">
        <f t="shared" si="128"/>
        <v>0</v>
      </c>
      <c r="G157" s="61" t="e">
        <f>AVERAGE(G149:G156)</f>
        <v>#DIV/0!</v>
      </c>
      <c r="H157" s="59"/>
      <c r="I157" s="62"/>
      <c r="J157" s="59">
        <f t="shared" ref="J157:K157" si="129">SUM(J149:J156)</f>
        <v>0</v>
      </c>
      <c r="K157" s="59">
        <f t="shared" si="129"/>
        <v>0</v>
      </c>
      <c r="L157" s="61" t="e">
        <f>AVERAGE(L149:L156)</f>
        <v>#DIV/0!</v>
      </c>
      <c r="M157" s="64"/>
      <c r="N157" s="132">
        <f>SUM(N149:N156)</f>
        <v>4860000</v>
      </c>
      <c r="R157" s="76">
        <f t="shared" si="121"/>
        <v>0</v>
      </c>
    </row>
    <row r="158" spans="1:18" ht="16">
      <c r="A158" s="85">
        <v>46113</v>
      </c>
      <c r="B158" s="90" t="s">
        <v>43</v>
      </c>
      <c r="C158" s="83"/>
      <c r="D158" s="12"/>
      <c r="E158" s="36">
        <f t="shared" ref="E158:E165" si="130">D158-C158</f>
        <v>0</v>
      </c>
      <c r="F158" s="37"/>
      <c r="G158" s="13" t="e">
        <f t="shared" ref="G158:G165" si="131">(F158/E158)*100</f>
        <v>#DIV/0!</v>
      </c>
      <c r="H158" s="125"/>
      <c r="I158" s="126"/>
      <c r="J158" s="39">
        <f t="shared" ref="J158:J165" si="132">I158-H158</f>
        <v>0</v>
      </c>
      <c r="K158" s="50">
        <f t="shared" ref="K158:K160" si="133">F158</f>
        <v>0</v>
      </c>
      <c r="L158" s="67" t="e">
        <f t="shared" ref="L158:L165" si="134">(K158/J158)*100</f>
        <v>#DIV/0!</v>
      </c>
      <c r="M158" s="68"/>
      <c r="N158" s="47">
        <v>2126000</v>
      </c>
      <c r="R158" s="76">
        <f t="shared" si="121"/>
        <v>0</v>
      </c>
    </row>
    <row r="159" spans="1:18" ht="16">
      <c r="A159" s="33"/>
      <c r="B159" s="44" t="s">
        <v>43</v>
      </c>
      <c r="C159" s="35"/>
      <c r="D159" s="12"/>
      <c r="E159" s="11">
        <f t="shared" si="130"/>
        <v>0</v>
      </c>
      <c r="F159" s="45"/>
      <c r="G159" s="13" t="e">
        <f t="shared" si="131"/>
        <v>#DIV/0!</v>
      </c>
      <c r="H159" s="38"/>
      <c r="I159" s="38"/>
      <c r="J159" s="35">
        <f t="shared" si="132"/>
        <v>0</v>
      </c>
      <c r="K159" s="50">
        <f t="shared" si="133"/>
        <v>0</v>
      </c>
      <c r="L159" s="46" t="e">
        <f t="shared" si="134"/>
        <v>#DIV/0!</v>
      </c>
      <c r="M159" s="48"/>
      <c r="N159" s="47"/>
      <c r="R159" s="76">
        <f t="shared" si="121"/>
        <v>0</v>
      </c>
    </row>
    <row r="160" spans="1:18" ht="16">
      <c r="A160" s="33"/>
      <c r="B160" s="44" t="s">
        <v>43</v>
      </c>
      <c r="C160" s="35"/>
      <c r="D160" s="35"/>
      <c r="E160" s="11">
        <f t="shared" si="130"/>
        <v>0</v>
      </c>
      <c r="F160" s="45"/>
      <c r="G160" s="13" t="e">
        <f t="shared" si="131"/>
        <v>#DIV/0!</v>
      </c>
      <c r="H160" s="35"/>
      <c r="I160" s="38"/>
      <c r="J160" s="35">
        <f t="shared" si="132"/>
        <v>0</v>
      </c>
      <c r="K160" s="50">
        <f t="shared" si="133"/>
        <v>0</v>
      </c>
      <c r="L160" s="46" t="e">
        <f t="shared" si="134"/>
        <v>#DIV/0!</v>
      </c>
      <c r="M160" s="48"/>
      <c r="N160" s="47"/>
      <c r="R160" s="76">
        <f t="shared" si="121"/>
        <v>0</v>
      </c>
    </row>
    <row r="161" spans="1:18" ht="16">
      <c r="A161" s="33"/>
      <c r="B161" s="44" t="s">
        <v>43</v>
      </c>
      <c r="C161" s="35"/>
      <c r="D161" s="35"/>
      <c r="E161" s="11">
        <f t="shared" si="130"/>
        <v>0</v>
      </c>
      <c r="F161" s="45"/>
      <c r="G161" s="13" t="e">
        <f t="shared" si="131"/>
        <v>#DIV/0!</v>
      </c>
      <c r="H161" s="35"/>
      <c r="I161" s="38"/>
      <c r="J161" s="35">
        <f t="shared" si="132"/>
        <v>0</v>
      </c>
      <c r="K161" s="50"/>
      <c r="L161" s="46" t="e">
        <f t="shared" si="134"/>
        <v>#DIV/0!</v>
      </c>
      <c r="M161" s="48"/>
      <c r="N161" s="47"/>
      <c r="R161" s="76">
        <f t="shared" si="121"/>
        <v>0</v>
      </c>
    </row>
    <row r="162" spans="1:18" ht="16">
      <c r="A162" s="33"/>
      <c r="B162" s="44" t="s">
        <v>43</v>
      </c>
      <c r="C162" s="35"/>
      <c r="D162" s="35"/>
      <c r="E162" s="11">
        <f t="shared" si="130"/>
        <v>0</v>
      </c>
      <c r="F162" s="45"/>
      <c r="G162" s="13" t="e">
        <f t="shared" si="131"/>
        <v>#DIV/0!</v>
      </c>
      <c r="H162" s="35"/>
      <c r="I162" s="38"/>
      <c r="J162" s="35">
        <f t="shared" si="132"/>
        <v>0</v>
      </c>
      <c r="K162" s="50"/>
      <c r="L162" s="46" t="e">
        <f t="shared" si="134"/>
        <v>#DIV/0!</v>
      </c>
      <c r="M162" s="48"/>
      <c r="N162" s="47"/>
      <c r="R162" s="76">
        <f t="shared" si="121"/>
        <v>0</v>
      </c>
    </row>
    <row r="163" spans="1:18" ht="16">
      <c r="A163" s="33"/>
      <c r="B163" s="44" t="s">
        <v>43</v>
      </c>
      <c r="C163" s="35"/>
      <c r="D163" s="35"/>
      <c r="E163" s="11">
        <f t="shared" si="130"/>
        <v>0</v>
      </c>
      <c r="F163" s="45"/>
      <c r="G163" s="13" t="e">
        <f t="shared" si="131"/>
        <v>#DIV/0!</v>
      </c>
      <c r="H163" s="35"/>
      <c r="I163" s="38"/>
      <c r="J163" s="35">
        <f t="shared" si="132"/>
        <v>0</v>
      </c>
      <c r="K163" s="50">
        <f t="shared" ref="K163:K165" si="135">F163</f>
        <v>0</v>
      </c>
      <c r="L163" s="46" t="e">
        <f t="shared" si="134"/>
        <v>#DIV/0!</v>
      </c>
      <c r="M163" s="48"/>
      <c r="N163" s="47">
        <f t="shared" ref="N163:N164" si="136">F163*M163</f>
        <v>0</v>
      </c>
      <c r="R163" s="76">
        <f t="shared" si="121"/>
        <v>0</v>
      </c>
    </row>
    <row r="164" spans="1:18" ht="16">
      <c r="A164" s="33"/>
      <c r="B164" s="44" t="s">
        <v>43</v>
      </c>
      <c r="C164" s="35"/>
      <c r="D164" s="35"/>
      <c r="E164" s="11">
        <f t="shared" si="130"/>
        <v>0</v>
      </c>
      <c r="F164" s="45"/>
      <c r="G164" s="13" t="e">
        <f t="shared" si="131"/>
        <v>#DIV/0!</v>
      </c>
      <c r="H164" s="35"/>
      <c r="I164" s="38"/>
      <c r="J164" s="35">
        <f t="shared" si="132"/>
        <v>0</v>
      </c>
      <c r="K164" s="50">
        <f t="shared" si="135"/>
        <v>0</v>
      </c>
      <c r="L164" s="46" t="e">
        <f t="shared" si="134"/>
        <v>#DIV/0!</v>
      </c>
      <c r="M164" s="48"/>
      <c r="N164" s="47">
        <f t="shared" si="136"/>
        <v>0</v>
      </c>
      <c r="R164" s="76">
        <f t="shared" si="121"/>
        <v>0</v>
      </c>
    </row>
    <row r="165" spans="1:18" ht="16">
      <c r="A165" s="88"/>
      <c r="B165" s="44" t="s">
        <v>43</v>
      </c>
      <c r="C165" s="53"/>
      <c r="D165" s="53"/>
      <c r="E165" s="24">
        <f t="shared" si="130"/>
        <v>0</v>
      </c>
      <c r="F165" s="45"/>
      <c r="G165" s="54" t="e">
        <f t="shared" si="131"/>
        <v>#DIV/0!</v>
      </c>
      <c r="H165" s="53"/>
      <c r="I165" s="55"/>
      <c r="J165" s="53">
        <f t="shared" si="132"/>
        <v>0</v>
      </c>
      <c r="K165" s="50">
        <f t="shared" si="135"/>
        <v>0</v>
      </c>
      <c r="L165" s="73" t="e">
        <f t="shared" si="134"/>
        <v>#DIV/0!</v>
      </c>
      <c r="M165" s="48"/>
      <c r="N165" s="47">
        <f>M165*K165</f>
        <v>0</v>
      </c>
      <c r="R165" s="76">
        <f t="shared" si="121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7">SUM(J158:J165)</f>
        <v>0</v>
      </c>
      <c r="K166" s="59">
        <f t="shared" si="137"/>
        <v>0</v>
      </c>
      <c r="L166" s="61" t="e">
        <f>AVERAGE(L158:L165)</f>
        <v>#DIV/0!</v>
      </c>
      <c r="M166" s="68"/>
      <c r="N166" s="132">
        <f>SUM(N158:N165)</f>
        <v>2126000</v>
      </c>
      <c r="R166" s="76">
        <f t="shared" si="121"/>
        <v>0</v>
      </c>
    </row>
    <row r="167" spans="1:18" ht="16">
      <c r="A167" s="66">
        <v>46113</v>
      </c>
      <c r="B167" s="90" t="s">
        <v>30</v>
      </c>
      <c r="C167" s="83"/>
      <c r="D167" s="12"/>
      <c r="E167" s="36">
        <f t="shared" ref="E167:E174" si="138">D167-C167</f>
        <v>0</v>
      </c>
      <c r="F167" s="37"/>
      <c r="G167" s="13" t="e">
        <f t="shared" ref="G167:G174" si="139">(F167/E167)*100</f>
        <v>#DIV/0!</v>
      </c>
      <c r="H167" s="125"/>
      <c r="I167" s="126"/>
      <c r="J167" s="39">
        <f t="shared" ref="J167:J174" si="140">I167-H167</f>
        <v>0</v>
      </c>
      <c r="K167" s="50">
        <f t="shared" ref="K167:K174" si="141">F167</f>
        <v>0</v>
      </c>
      <c r="L167" s="67" t="e">
        <f t="shared" ref="L167:L174" si="142">(K167/J167)*100</f>
        <v>#DIV/0!</v>
      </c>
      <c r="M167" s="68"/>
      <c r="N167" s="47">
        <v>2587000</v>
      </c>
      <c r="R167" s="76">
        <f t="shared" si="121"/>
        <v>0</v>
      </c>
    </row>
    <row r="168" spans="1:18" ht="16">
      <c r="A168" s="66">
        <v>46123</v>
      </c>
      <c r="B168" s="44" t="s">
        <v>30</v>
      </c>
      <c r="C168" s="35"/>
      <c r="D168" s="12"/>
      <c r="E168" s="11">
        <f t="shared" si="138"/>
        <v>0</v>
      </c>
      <c r="F168" s="45"/>
      <c r="G168" s="13" t="e">
        <f t="shared" si="139"/>
        <v>#DIV/0!</v>
      </c>
      <c r="H168" s="38"/>
      <c r="I168" s="38"/>
      <c r="J168" s="35">
        <f t="shared" si="140"/>
        <v>0</v>
      </c>
      <c r="K168" s="50">
        <f t="shared" si="141"/>
        <v>0</v>
      </c>
      <c r="L168" s="46" t="e">
        <f t="shared" si="142"/>
        <v>#DIV/0!</v>
      </c>
      <c r="M168" s="48"/>
      <c r="N168" s="47">
        <v>2439000</v>
      </c>
      <c r="R168" s="76">
        <f t="shared" si="121"/>
        <v>0</v>
      </c>
    </row>
    <row r="169" spans="1:18" ht="16">
      <c r="A169" s="33">
        <v>46129</v>
      </c>
      <c r="B169" s="44" t="s">
        <v>30</v>
      </c>
      <c r="C169" s="35"/>
      <c r="D169" s="35"/>
      <c r="E169" s="11">
        <f t="shared" si="138"/>
        <v>0</v>
      </c>
      <c r="F169" s="45"/>
      <c r="G169" s="13" t="e">
        <f t="shared" si="139"/>
        <v>#DIV/0!</v>
      </c>
      <c r="H169" s="35"/>
      <c r="I169" s="38"/>
      <c r="J169" s="35">
        <f t="shared" si="140"/>
        <v>0</v>
      </c>
      <c r="K169" s="50">
        <f t="shared" si="141"/>
        <v>0</v>
      </c>
      <c r="L169" s="46" t="e">
        <f t="shared" si="142"/>
        <v>#DIV/0!</v>
      </c>
      <c r="M169" s="48"/>
      <c r="N169" s="47">
        <v>2421000</v>
      </c>
      <c r="R169" s="76">
        <f t="shared" si="121"/>
        <v>0</v>
      </c>
    </row>
    <row r="170" spans="1:18" ht="16">
      <c r="A170" s="33">
        <v>46136</v>
      </c>
      <c r="B170" s="44" t="s">
        <v>30</v>
      </c>
      <c r="C170" s="35"/>
      <c r="D170" s="35"/>
      <c r="E170" s="11">
        <f t="shared" si="138"/>
        <v>0</v>
      </c>
      <c r="F170" s="45"/>
      <c r="G170" s="13" t="e">
        <f t="shared" si="139"/>
        <v>#DIV/0!</v>
      </c>
      <c r="H170" s="35"/>
      <c r="I170" s="38"/>
      <c r="J170" s="35">
        <f t="shared" si="140"/>
        <v>0</v>
      </c>
      <c r="K170" s="50">
        <f t="shared" si="141"/>
        <v>0</v>
      </c>
      <c r="L170" s="46" t="e">
        <f t="shared" si="142"/>
        <v>#DIV/0!</v>
      </c>
      <c r="M170" s="48"/>
      <c r="N170" s="47">
        <v>2109000</v>
      </c>
      <c r="R170" s="76">
        <f t="shared" si="121"/>
        <v>0</v>
      </c>
    </row>
    <row r="171" spans="1:18" ht="16">
      <c r="A171" s="33">
        <v>46140</v>
      </c>
      <c r="B171" s="44" t="s">
        <v>30</v>
      </c>
      <c r="C171" s="35"/>
      <c r="D171" s="35"/>
      <c r="E171" s="11">
        <f t="shared" si="138"/>
        <v>0</v>
      </c>
      <c r="F171" s="45"/>
      <c r="G171" s="13" t="e">
        <f t="shared" si="139"/>
        <v>#DIV/0!</v>
      </c>
      <c r="H171" s="35"/>
      <c r="I171" s="38"/>
      <c r="J171" s="35">
        <f t="shared" si="140"/>
        <v>0</v>
      </c>
      <c r="K171" s="50">
        <f t="shared" si="141"/>
        <v>0</v>
      </c>
      <c r="L171" s="46" t="e">
        <f t="shared" si="142"/>
        <v>#DIV/0!</v>
      </c>
      <c r="M171" s="48"/>
      <c r="N171" s="47">
        <v>2082000</v>
      </c>
      <c r="R171" s="76">
        <f t="shared" si="121"/>
        <v>0</v>
      </c>
    </row>
    <row r="172" spans="1:18" ht="16">
      <c r="A172" s="33"/>
      <c r="B172" s="44" t="s">
        <v>30</v>
      </c>
      <c r="C172" s="35"/>
      <c r="D172" s="35"/>
      <c r="E172" s="11">
        <f t="shared" si="138"/>
        <v>0</v>
      </c>
      <c r="F172" s="45"/>
      <c r="G172" s="13" t="e">
        <f t="shared" si="139"/>
        <v>#DIV/0!</v>
      </c>
      <c r="H172" s="35"/>
      <c r="I172" s="38"/>
      <c r="J172" s="35">
        <f t="shared" si="140"/>
        <v>0</v>
      </c>
      <c r="K172" s="50">
        <f t="shared" si="141"/>
        <v>0</v>
      </c>
      <c r="L172" s="46" t="e">
        <f t="shared" si="142"/>
        <v>#DIV/0!</v>
      </c>
      <c r="M172" s="48"/>
      <c r="N172" s="47">
        <f t="shared" ref="N172:N173" si="143">F172*M172</f>
        <v>0</v>
      </c>
      <c r="R172" s="76">
        <f t="shared" si="121"/>
        <v>0</v>
      </c>
    </row>
    <row r="173" spans="1:18" ht="16">
      <c r="A173" s="33"/>
      <c r="B173" s="44" t="s">
        <v>30</v>
      </c>
      <c r="C173" s="35"/>
      <c r="D173" s="35"/>
      <c r="E173" s="11">
        <f t="shared" si="138"/>
        <v>0</v>
      </c>
      <c r="F173" s="45"/>
      <c r="G173" s="13" t="e">
        <f t="shared" si="139"/>
        <v>#DIV/0!</v>
      </c>
      <c r="H173" s="35"/>
      <c r="I173" s="38"/>
      <c r="J173" s="35">
        <f t="shared" si="140"/>
        <v>0</v>
      </c>
      <c r="K173" s="50">
        <f t="shared" si="141"/>
        <v>0</v>
      </c>
      <c r="L173" s="73" t="e">
        <f t="shared" si="142"/>
        <v>#DIV/0!</v>
      </c>
      <c r="M173" s="48"/>
      <c r="N173" s="47">
        <f t="shared" si="143"/>
        <v>0</v>
      </c>
      <c r="R173" s="76">
        <f t="shared" si="121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38"/>
        <v>0</v>
      </c>
      <c r="F174" s="37"/>
      <c r="G174" s="54" t="e">
        <f t="shared" si="139"/>
        <v>#DIV/0!</v>
      </c>
      <c r="H174" s="134"/>
      <c r="I174" s="135"/>
      <c r="J174" s="134">
        <f t="shared" si="140"/>
        <v>0</v>
      </c>
      <c r="K174" s="50">
        <f t="shared" si="141"/>
        <v>0</v>
      </c>
      <c r="L174" s="136" t="e">
        <f t="shared" si="142"/>
        <v>#DIV/0!</v>
      </c>
      <c r="M174" s="137"/>
      <c r="N174" s="47">
        <f>M174*K174</f>
        <v>0</v>
      </c>
      <c r="R174" s="76">
        <f t="shared" si="121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4">SUM(E167:E174)</f>
        <v>0</v>
      </c>
      <c r="F175" s="59">
        <f t="shared" si="144"/>
        <v>0</v>
      </c>
      <c r="G175" s="61" t="e">
        <f>AVERAGE(G167:G174)</f>
        <v>#DIV/0!</v>
      </c>
      <c r="H175" s="59"/>
      <c r="I175" s="62"/>
      <c r="J175" s="59">
        <f t="shared" ref="J175:K175" si="145">SUM(J167:J174)</f>
        <v>0</v>
      </c>
      <c r="K175" s="59">
        <f t="shared" si="145"/>
        <v>0</v>
      </c>
      <c r="L175" s="61" t="e">
        <f>AVERAGE(L167:L174)</f>
        <v>#DIV/0!</v>
      </c>
      <c r="M175" s="64"/>
      <c r="N175" s="65">
        <f>SUM(N167:N174)</f>
        <v>11638000</v>
      </c>
      <c r="R175" s="76">
        <f t="shared" si="121"/>
        <v>0</v>
      </c>
    </row>
    <row r="176" spans="1:18" ht="16">
      <c r="A176" s="138">
        <v>46124</v>
      </c>
      <c r="B176" s="90" t="s">
        <v>44</v>
      </c>
      <c r="C176" s="83"/>
      <c r="D176" s="12"/>
      <c r="E176" s="11">
        <f t="shared" ref="E176:E183" si="146">D176-C176</f>
        <v>0</v>
      </c>
      <c r="F176" s="37"/>
      <c r="G176" s="13" t="e">
        <f t="shared" ref="G176:G183" si="147">(F176/E176)*100</f>
        <v>#DIV/0!</v>
      </c>
      <c r="H176" s="125"/>
      <c r="I176" s="126"/>
      <c r="J176" s="39">
        <f t="shared" ref="J176:J183" si="148">I176-H176</f>
        <v>0</v>
      </c>
      <c r="K176" s="50">
        <f t="shared" ref="K176:K183" si="149">F176</f>
        <v>0</v>
      </c>
      <c r="L176" s="67" t="e">
        <f t="shared" ref="L176:L183" si="150">(K176/J176)*100</f>
        <v>#DIV/0!</v>
      </c>
      <c r="M176" s="68"/>
      <c r="N176" s="121">
        <v>1978000</v>
      </c>
    </row>
    <row r="177" spans="1:14" ht="16">
      <c r="A177" s="33">
        <v>46129</v>
      </c>
      <c r="B177" s="90" t="s">
        <v>44</v>
      </c>
      <c r="C177" s="35"/>
      <c r="D177" s="12"/>
      <c r="E177" s="11">
        <f t="shared" si="146"/>
        <v>0</v>
      </c>
      <c r="F177" s="45"/>
      <c r="G177" s="13" t="e">
        <f t="shared" si="147"/>
        <v>#DIV/0!</v>
      </c>
      <c r="H177" s="38"/>
      <c r="I177" s="38"/>
      <c r="J177" s="35">
        <f t="shared" si="148"/>
        <v>0</v>
      </c>
      <c r="K177" s="50">
        <f t="shared" si="149"/>
        <v>0</v>
      </c>
      <c r="L177" s="46" t="e">
        <f t="shared" si="150"/>
        <v>#DIV/0!</v>
      </c>
      <c r="M177" s="68"/>
      <c r="N177" s="121">
        <v>2483000</v>
      </c>
    </row>
    <row r="178" spans="1:14" ht="16">
      <c r="A178" s="33">
        <v>46138</v>
      </c>
      <c r="B178" s="90" t="s">
        <v>44</v>
      </c>
      <c r="C178" s="35"/>
      <c r="D178" s="35"/>
      <c r="E178" s="11">
        <f t="shared" si="146"/>
        <v>0</v>
      </c>
      <c r="F178" s="45"/>
      <c r="G178" s="13" t="e">
        <f t="shared" si="147"/>
        <v>#DIV/0!</v>
      </c>
      <c r="H178" s="35"/>
      <c r="I178" s="38"/>
      <c r="J178" s="35">
        <f t="shared" si="148"/>
        <v>0</v>
      </c>
      <c r="K178" s="50">
        <f t="shared" si="149"/>
        <v>0</v>
      </c>
      <c r="L178" s="46" t="e">
        <f t="shared" si="150"/>
        <v>#DIV/0!</v>
      </c>
      <c r="M178" s="68"/>
      <c r="N178" s="121">
        <v>1601000</v>
      </c>
    </row>
    <row r="179" spans="1:14" ht="16">
      <c r="A179" s="33">
        <v>46140</v>
      </c>
      <c r="B179" s="90" t="s">
        <v>44</v>
      </c>
      <c r="C179" s="35"/>
      <c r="D179" s="35"/>
      <c r="E179" s="11">
        <f t="shared" si="146"/>
        <v>0</v>
      </c>
      <c r="F179" s="45"/>
      <c r="G179" s="13" t="e">
        <f t="shared" si="147"/>
        <v>#DIV/0!</v>
      </c>
      <c r="H179" s="35"/>
      <c r="I179" s="38"/>
      <c r="J179" s="35">
        <f t="shared" si="148"/>
        <v>0</v>
      </c>
      <c r="K179" s="50">
        <f t="shared" si="149"/>
        <v>0</v>
      </c>
      <c r="L179" s="46" t="e">
        <f t="shared" si="150"/>
        <v>#DIV/0!</v>
      </c>
      <c r="M179" s="68"/>
      <c r="N179" s="121">
        <v>2135000</v>
      </c>
    </row>
    <row r="180" spans="1:14" ht="16">
      <c r="A180" s="33"/>
      <c r="B180" s="90" t="s">
        <v>44</v>
      </c>
      <c r="C180" s="35"/>
      <c r="D180" s="35"/>
      <c r="E180" s="11">
        <f t="shared" si="146"/>
        <v>0</v>
      </c>
      <c r="F180" s="45"/>
      <c r="G180" s="13" t="e">
        <f t="shared" si="147"/>
        <v>#DIV/0!</v>
      </c>
      <c r="H180" s="35"/>
      <c r="I180" s="38"/>
      <c r="J180" s="35">
        <f t="shared" si="148"/>
        <v>0</v>
      </c>
      <c r="K180" s="50">
        <f t="shared" si="149"/>
        <v>0</v>
      </c>
      <c r="L180" s="46" t="e">
        <f t="shared" si="150"/>
        <v>#DIV/0!</v>
      </c>
      <c r="M180" s="68"/>
      <c r="N180" s="121"/>
    </row>
    <row r="181" spans="1:14" ht="16">
      <c r="A181" s="33"/>
      <c r="B181" s="90" t="s">
        <v>44</v>
      </c>
      <c r="C181" s="35"/>
      <c r="D181" s="35"/>
      <c r="E181" s="11">
        <f t="shared" si="146"/>
        <v>0</v>
      </c>
      <c r="F181" s="45"/>
      <c r="G181" s="13" t="e">
        <f t="shared" si="147"/>
        <v>#DIV/0!</v>
      </c>
      <c r="H181" s="35"/>
      <c r="I181" s="38"/>
      <c r="J181" s="35">
        <f t="shared" si="148"/>
        <v>0</v>
      </c>
      <c r="K181" s="50">
        <f t="shared" si="149"/>
        <v>0</v>
      </c>
      <c r="L181" s="46" t="e">
        <f t="shared" si="150"/>
        <v>#DIV/0!</v>
      </c>
      <c r="M181" s="68"/>
      <c r="N181" s="121">
        <f t="shared" ref="N181:N183" si="151">M181*K181</f>
        <v>0</v>
      </c>
    </row>
    <row r="182" spans="1:14" ht="16">
      <c r="A182" s="33"/>
      <c r="B182" s="90" t="s">
        <v>44</v>
      </c>
      <c r="C182" s="35"/>
      <c r="D182" s="35"/>
      <c r="E182" s="11">
        <f t="shared" si="146"/>
        <v>0</v>
      </c>
      <c r="F182" s="45"/>
      <c r="G182" s="13" t="e">
        <f t="shared" si="147"/>
        <v>#DIV/0!</v>
      </c>
      <c r="H182" s="35"/>
      <c r="I182" s="38"/>
      <c r="J182" s="35">
        <f t="shared" si="148"/>
        <v>0</v>
      </c>
      <c r="K182" s="50">
        <f t="shared" si="149"/>
        <v>0</v>
      </c>
      <c r="L182" s="46" t="e">
        <f t="shared" si="150"/>
        <v>#DIV/0!</v>
      </c>
      <c r="M182" s="48"/>
      <c r="N182" s="121">
        <f t="shared" si="151"/>
        <v>0</v>
      </c>
    </row>
    <row r="183" spans="1:14" ht="16">
      <c r="A183" s="88"/>
      <c r="B183" s="90" t="s">
        <v>44</v>
      </c>
      <c r="C183" s="53"/>
      <c r="D183" s="53"/>
      <c r="E183" s="24">
        <f t="shared" si="146"/>
        <v>0</v>
      </c>
      <c r="F183" s="45"/>
      <c r="G183" s="54" t="e">
        <f t="shared" si="147"/>
        <v>#DIV/0!</v>
      </c>
      <c r="H183" s="53"/>
      <c r="I183" s="55"/>
      <c r="J183" s="53">
        <f t="shared" si="148"/>
        <v>0</v>
      </c>
      <c r="K183" s="50">
        <f t="shared" si="149"/>
        <v>0</v>
      </c>
      <c r="L183" s="73" t="e">
        <f t="shared" si="150"/>
        <v>#DIV/0!</v>
      </c>
      <c r="M183" s="56"/>
      <c r="N183" s="47">
        <f t="shared" si="151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2">SUM(E176:E183)</f>
        <v>0</v>
      </c>
      <c r="F184" s="59">
        <f t="shared" si="152"/>
        <v>0</v>
      </c>
      <c r="G184" s="61" t="e">
        <f>AVERAGE(G176:G183)</f>
        <v>#DIV/0!</v>
      </c>
      <c r="H184" s="59"/>
      <c r="I184" s="62"/>
      <c r="J184" s="59">
        <f t="shared" ref="J184:K184" si="153">SUM(J176:J183)</f>
        <v>0</v>
      </c>
      <c r="K184" s="59">
        <f t="shared" si="153"/>
        <v>0</v>
      </c>
      <c r="L184" s="61" t="e">
        <f>AVERAGE(L176:L183)</f>
        <v>#DIV/0!</v>
      </c>
      <c r="M184" s="64"/>
      <c r="N184" s="65">
        <f>SUM(N176:N183)</f>
        <v>8197000</v>
      </c>
    </row>
    <row r="185" spans="1:14" ht="16">
      <c r="A185" s="139">
        <v>46114</v>
      </c>
      <c r="B185" s="140" t="s">
        <v>32</v>
      </c>
      <c r="C185" s="83"/>
      <c r="D185" s="12"/>
      <c r="E185" s="36">
        <f t="shared" ref="E185:E192" si="154">D185-C185</f>
        <v>0</v>
      </c>
      <c r="F185" s="37"/>
      <c r="G185" s="13" t="e">
        <f t="shared" ref="G185:G192" si="155">(F185/E185)*100</f>
        <v>#DIV/0!</v>
      </c>
      <c r="H185" s="125"/>
      <c r="I185" s="126"/>
      <c r="J185" s="39">
        <f t="shared" ref="J185:J192" si="156">I185-H185</f>
        <v>0</v>
      </c>
      <c r="K185" s="50">
        <f t="shared" ref="K185:K189" si="157">F185</f>
        <v>0</v>
      </c>
      <c r="L185" s="136" t="e">
        <f t="shared" ref="L185:L192" si="158">(K185/J185)*100</f>
        <v>#DIV/0!</v>
      </c>
      <c r="M185" s="68"/>
      <c r="N185" s="121">
        <v>2942000</v>
      </c>
    </row>
    <row r="186" spans="1:14" ht="16">
      <c r="A186" s="138">
        <v>46122</v>
      </c>
      <c r="B186" s="140" t="s">
        <v>32</v>
      </c>
      <c r="C186" s="83"/>
      <c r="D186" s="12"/>
      <c r="E186" s="36">
        <f t="shared" si="154"/>
        <v>0</v>
      </c>
      <c r="F186" s="45"/>
      <c r="G186" s="13" t="e">
        <f t="shared" si="155"/>
        <v>#DIV/0!</v>
      </c>
      <c r="H186" s="38"/>
      <c r="I186" s="38"/>
      <c r="J186" s="35">
        <f t="shared" si="156"/>
        <v>0</v>
      </c>
      <c r="K186" s="50">
        <f t="shared" si="157"/>
        <v>0</v>
      </c>
      <c r="L186" s="136" t="e">
        <f t="shared" si="158"/>
        <v>#DIV/0!</v>
      </c>
      <c r="M186" s="116"/>
      <c r="N186" s="121">
        <v>2637000</v>
      </c>
    </row>
    <row r="187" spans="1:14" ht="16">
      <c r="A187" s="138">
        <v>46129</v>
      </c>
      <c r="B187" s="140" t="s">
        <v>32</v>
      </c>
      <c r="C187" s="83"/>
      <c r="D187" s="83"/>
      <c r="E187" s="11">
        <f t="shared" si="154"/>
        <v>0</v>
      </c>
      <c r="F187" s="141"/>
      <c r="G187" s="13" t="e">
        <f t="shared" si="155"/>
        <v>#DIV/0!</v>
      </c>
      <c r="H187" s="35"/>
      <c r="I187" s="38"/>
      <c r="J187" s="35">
        <f t="shared" si="156"/>
        <v>0</v>
      </c>
      <c r="K187" s="50">
        <f t="shared" si="157"/>
        <v>0</v>
      </c>
      <c r="L187" s="136" t="e">
        <f t="shared" si="158"/>
        <v>#DIV/0!</v>
      </c>
      <c r="M187" s="116"/>
      <c r="N187" s="121">
        <v>2545000</v>
      </c>
    </row>
    <row r="188" spans="1:14" ht="16">
      <c r="A188" s="138">
        <v>46136</v>
      </c>
      <c r="B188" s="140" t="s">
        <v>32</v>
      </c>
      <c r="C188" s="83"/>
      <c r="D188" s="83"/>
      <c r="E188" s="11">
        <f t="shared" si="154"/>
        <v>0</v>
      </c>
      <c r="F188" s="141"/>
      <c r="G188" s="13" t="e">
        <f t="shared" si="155"/>
        <v>#DIV/0!</v>
      </c>
      <c r="H188" s="35"/>
      <c r="I188" s="38"/>
      <c r="J188" s="35">
        <f t="shared" si="156"/>
        <v>0</v>
      </c>
      <c r="K188" s="50">
        <f t="shared" si="157"/>
        <v>0</v>
      </c>
      <c r="L188" s="136" t="e">
        <f t="shared" si="158"/>
        <v>#DIV/0!</v>
      </c>
      <c r="M188" s="116"/>
      <c r="N188" s="121">
        <v>1735000</v>
      </c>
    </row>
    <row r="189" spans="1:14" ht="16">
      <c r="A189" s="138">
        <v>46141</v>
      </c>
      <c r="B189" s="140" t="s">
        <v>32</v>
      </c>
      <c r="C189" s="83"/>
      <c r="D189" s="83"/>
      <c r="E189" s="11">
        <f t="shared" si="154"/>
        <v>0</v>
      </c>
      <c r="F189" s="141"/>
      <c r="G189" s="13" t="e">
        <f t="shared" si="155"/>
        <v>#DIV/0!</v>
      </c>
      <c r="H189" s="35"/>
      <c r="I189" s="38"/>
      <c r="J189" s="35">
        <f t="shared" si="156"/>
        <v>0</v>
      </c>
      <c r="K189" s="50">
        <f t="shared" si="157"/>
        <v>0</v>
      </c>
      <c r="L189" s="136" t="e">
        <f t="shared" si="158"/>
        <v>#DIV/0!</v>
      </c>
      <c r="M189" s="116"/>
      <c r="N189" s="121">
        <v>1655000</v>
      </c>
    </row>
    <row r="190" spans="1:14" ht="16">
      <c r="A190" s="138"/>
      <c r="B190" s="140" t="s">
        <v>32</v>
      </c>
      <c r="C190" s="83"/>
      <c r="D190" s="83"/>
      <c r="E190" s="11">
        <f t="shared" si="154"/>
        <v>0</v>
      </c>
      <c r="F190" s="141"/>
      <c r="G190" s="13" t="e">
        <f t="shared" si="155"/>
        <v>#DIV/0!</v>
      </c>
      <c r="H190" s="35"/>
      <c r="I190" s="38"/>
      <c r="J190" s="35">
        <f t="shared" si="156"/>
        <v>0</v>
      </c>
      <c r="K190" s="50"/>
      <c r="L190" s="136" t="e">
        <f t="shared" si="158"/>
        <v>#DIV/0!</v>
      </c>
      <c r="M190" s="116"/>
      <c r="N190" s="121">
        <f t="shared" ref="N190:N192" si="159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4"/>
        <v>0</v>
      </c>
      <c r="F191" s="141"/>
      <c r="G191" s="13" t="e">
        <f t="shared" si="155"/>
        <v>#DIV/0!</v>
      </c>
      <c r="H191" s="83"/>
      <c r="I191" s="125"/>
      <c r="J191" s="83">
        <f t="shared" si="156"/>
        <v>0</v>
      </c>
      <c r="K191" s="50"/>
      <c r="L191" s="136" t="e">
        <f t="shared" si="158"/>
        <v>#DIV/0!</v>
      </c>
      <c r="M191" s="116"/>
      <c r="N191" s="121">
        <f t="shared" si="159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4"/>
        <v>0</v>
      </c>
      <c r="F192" s="143"/>
      <c r="G192" s="54" t="e">
        <f t="shared" si="155"/>
        <v>#DIV/0!</v>
      </c>
      <c r="H192" s="134"/>
      <c r="I192" s="135"/>
      <c r="J192" s="134">
        <f t="shared" si="156"/>
        <v>0</v>
      </c>
      <c r="K192" s="50"/>
      <c r="L192" s="136" t="e">
        <f t="shared" si="158"/>
        <v>#DIV/0!</v>
      </c>
      <c r="M192" s="137"/>
      <c r="N192" s="47">
        <f t="shared" si="159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0">SUM(E185:E192)</f>
        <v>0</v>
      </c>
      <c r="F193" s="59">
        <f t="shared" si="160"/>
        <v>0</v>
      </c>
      <c r="G193" s="61" t="e">
        <f>AVERAGE(G185:G192)</f>
        <v>#DIV/0!</v>
      </c>
      <c r="H193" s="59"/>
      <c r="I193" s="62"/>
      <c r="J193" s="59">
        <f t="shared" ref="J193:K193" si="161">SUM(J185:J192)</f>
        <v>0</v>
      </c>
      <c r="K193" s="59">
        <f t="shared" si="161"/>
        <v>0</v>
      </c>
      <c r="L193" s="61" t="e">
        <f>AVERAGE(L185:L192)</f>
        <v>#DIV/0!</v>
      </c>
      <c r="M193" s="64"/>
      <c r="N193" s="65">
        <f>SUM(N185:N192)</f>
        <v>11514000</v>
      </c>
    </row>
    <row r="194" spans="1:18" ht="16">
      <c r="A194" s="139">
        <v>46113</v>
      </c>
      <c r="B194" s="144" t="s">
        <v>33</v>
      </c>
      <c r="C194" s="83"/>
      <c r="D194" s="145"/>
      <c r="E194" s="36">
        <f t="shared" ref="E194:E200" si="162">D194-C194</f>
        <v>0</v>
      </c>
      <c r="F194" s="37"/>
      <c r="G194" s="114" t="e">
        <f t="shared" ref="G194:G200" si="163">(F194/E194)*100</f>
        <v>#DIV/0!</v>
      </c>
      <c r="H194" s="125"/>
      <c r="I194" s="126"/>
      <c r="J194" s="39">
        <f t="shared" ref="J194:J200" si="164">I194-H194</f>
        <v>0</v>
      </c>
      <c r="K194" s="50">
        <f t="shared" ref="K194:K200" si="165">F194</f>
        <v>0</v>
      </c>
      <c r="L194" s="146" t="e">
        <f t="shared" ref="L194:L200" si="166">(K194/J194)*100</f>
        <v>#DIV/0!</v>
      </c>
      <c r="M194" s="68"/>
      <c r="N194" s="121">
        <v>3083000</v>
      </c>
      <c r="R194" s="76">
        <f t="shared" ref="R194:R200" si="167">Q194</f>
        <v>0</v>
      </c>
    </row>
    <row r="195" spans="1:18" ht="16">
      <c r="A195" s="138">
        <v>46118</v>
      </c>
      <c r="B195" s="140" t="s">
        <v>33</v>
      </c>
      <c r="C195" s="83"/>
      <c r="D195" s="12"/>
      <c r="E195" s="36">
        <f t="shared" si="162"/>
        <v>0</v>
      </c>
      <c r="F195" s="45"/>
      <c r="G195" s="13" t="e">
        <f t="shared" si="163"/>
        <v>#DIV/0!</v>
      </c>
      <c r="H195" s="38"/>
      <c r="I195" s="38"/>
      <c r="J195" s="35">
        <f t="shared" si="164"/>
        <v>0</v>
      </c>
      <c r="K195" s="50">
        <f t="shared" si="165"/>
        <v>0</v>
      </c>
      <c r="L195" s="136" t="e">
        <f t="shared" si="166"/>
        <v>#DIV/0!</v>
      </c>
      <c r="M195" s="116"/>
      <c r="N195" s="121">
        <v>2239000</v>
      </c>
      <c r="R195" s="76">
        <f t="shared" si="167"/>
        <v>0</v>
      </c>
    </row>
    <row r="196" spans="1:18" ht="16">
      <c r="A196" s="138">
        <v>46123</v>
      </c>
      <c r="B196" s="140" t="s">
        <v>33</v>
      </c>
      <c r="C196" s="83"/>
      <c r="D196" s="83"/>
      <c r="E196" s="11">
        <f t="shared" si="162"/>
        <v>0</v>
      </c>
      <c r="F196" s="141"/>
      <c r="G196" s="13" t="e">
        <f t="shared" si="163"/>
        <v>#DIV/0!</v>
      </c>
      <c r="H196" s="35"/>
      <c r="I196" s="38"/>
      <c r="J196" s="35">
        <f t="shared" si="164"/>
        <v>0</v>
      </c>
      <c r="K196" s="50">
        <f t="shared" si="165"/>
        <v>0</v>
      </c>
      <c r="L196" s="136" t="e">
        <f t="shared" si="166"/>
        <v>#DIV/0!</v>
      </c>
      <c r="M196" s="116"/>
      <c r="N196" s="121">
        <v>1648000</v>
      </c>
      <c r="R196" s="76">
        <f t="shared" si="167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2"/>
        <v>0</v>
      </c>
      <c r="F197" s="141"/>
      <c r="G197" s="13" t="e">
        <f t="shared" si="163"/>
        <v>#DIV/0!</v>
      </c>
      <c r="H197" s="35"/>
      <c r="I197" s="38"/>
      <c r="J197" s="35">
        <f t="shared" si="164"/>
        <v>0</v>
      </c>
      <c r="K197" s="50">
        <f t="shared" si="165"/>
        <v>0</v>
      </c>
      <c r="L197" s="136" t="e">
        <f t="shared" si="166"/>
        <v>#DIV/0!</v>
      </c>
      <c r="M197" s="116"/>
      <c r="N197" s="121">
        <f t="shared" ref="N197:N200" si="168">M197*K197</f>
        <v>0</v>
      </c>
      <c r="R197" s="76">
        <f t="shared" si="167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2"/>
        <v>0</v>
      </c>
      <c r="F198" s="141"/>
      <c r="G198" s="13" t="e">
        <f t="shared" si="163"/>
        <v>#DIV/0!</v>
      </c>
      <c r="H198" s="35"/>
      <c r="I198" s="38"/>
      <c r="J198" s="35">
        <f t="shared" si="164"/>
        <v>0</v>
      </c>
      <c r="K198" s="50">
        <f t="shared" si="165"/>
        <v>0</v>
      </c>
      <c r="L198" s="136" t="e">
        <f t="shared" si="166"/>
        <v>#DIV/0!</v>
      </c>
      <c r="M198" s="116"/>
      <c r="N198" s="121">
        <f t="shared" si="168"/>
        <v>0</v>
      </c>
      <c r="R198" s="76">
        <f t="shared" si="167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2"/>
        <v>0</v>
      </c>
      <c r="F199" s="141"/>
      <c r="G199" s="13" t="e">
        <f t="shared" si="163"/>
        <v>#DIV/0!</v>
      </c>
      <c r="H199" s="35"/>
      <c r="I199" s="38"/>
      <c r="J199" s="35">
        <f t="shared" si="164"/>
        <v>0</v>
      </c>
      <c r="K199" s="50">
        <f t="shared" si="165"/>
        <v>0</v>
      </c>
      <c r="L199" s="136" t="e">
        <f t="shared" si="166"/>
        <v>#DIV/0!</v>
      </c>
      <c r="M199" s="116"/>
      <c r="N199" s="121">
        <f t="shared" si="168"/>
        <v>0</v>
      </c>
      <c r="R199" s="76">
        <f t="shared" si="167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2"/>
        <v>0</v>
      </c>
      <c r="F200" s="141"/>
      <c r="G200" s="13" t="e">
        <f t="shared" si="163"/>
        <v>#DIV/0!</v>
      </c>
      <c r="H200" s="83"/>
      <c r="I200" s="125"/>
      <c r="J200" s="83">
        <f t="shared" si="164"/>
        <v>0</v>
      </c>
      <c r="K200" s="50">
        <f t="shared" si="165"/>
        <v>0</v>
      </c>
      <c r="L200" s="136" t="e">
        <f t="shared" si="166"/>
        <v>#DIV/0!</v>
      </c>
      <c r="M200" s="116"/>
      <c r="N200" s="121">
        <f t="shared" si="168"/>
        <v>0</v>
      </c>
      <c r="R200" s="76">
        <f t="shared" si="167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69">SUM(E188:E200)</f>
        <v>0</v>
      </c>
      <c r="F201" s="59">
        <f t="shared" si="169"/>
        <v>0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0</v>
      </c>
      <c r="L201" s="61" t="e">
        <f>AVERAGE(L188:L200)</f>
        <v>#DIV/0!</v>
      </c>
      <c r="M201" s="64"/>
      <c r="N201" s="132">
        <f>SUM(N194:N200)</f>
        <v>6970000</v>
      </c>
    </row>
    <row r="202" spans="1:18" ht="16">
      <c r="A202" s="138">
        <v>46121</v>
      </c>
      <c r="B202" s="140" t="s">
        <v>34</v>
      </c>
      <c r="C202" s="83"/>
      <c r="D202" s="145"/>
      <c r="E202" s="36">
        <f t="shared" ref="E202:E208" si="170">D202-C202</f>
        <v>0</v>
      </c>
      <c r="F202" s="37"/>
      <c r="G202" s="114" t="e">
        <f t="shared" ref="G202:G208" si="171">(F202/E202)*100</f>
        <v>#DIV/0!</v>
      </c>
      <c r="H202" s="125"/>
      <c r="I202" s="126"/>
      <c r="J202" s="39">
        <f t="shared" ref="J202:J208" si="172">I202-H202</f>
        <v>0</v>
      </c>
      <c r="K202" s="50">
        <f t="shared" ref="K202:K208" si="173">F202</f>
        <v>0</v>
      </c>
      <c r="L202" s="146" t="e">
        <f t="shared" ref="L202:L208" si="174">(K202/J202)*100</f>
        <v>#DIV/0!</v>
      </c>
      <c r="M202" s="68"/>
      <c r="N202" s="121">
        <v>2999000</v>
      </c>
    </row>
    <row r="203" spans="1:18" ht="16">
      <c r="A203" s="138">
        <v>46127</v>
      </c>
      <c r="B203" s="140" t="s">
        <v>34</v>
      </c>
      <c r="C203" s="83"/>
      <c r="D203" s="12"/>
      <c r="E203" s="36">
        <f t="shared" si="170"/>
        <v>0</v>
      </c>
      <c r="F203" s="45"/>
      <c r="G203" s="13" t="e">
        <f t="shared" si="171"/>
        <v>#DIV/0!</v>
      </c>
      <c r="H203" s="38"/>
      <c r="I203" s="38"/>
      <c r="J203" s="35">
        <f t="shared" si="172"/>
        <v>0</v>
      </c>
      <c r="K203" s="50">
        <f t="shared" si="173"/>
        <v>0</v>
      </c>
      <c r="L203" s="136" t="e">
        <f t="shared" si="174"/>
        <v>#DIV/0!</v>
      </c>
      <c r="M203" s="116"/>
      <c r="N203" s="121">
        <v>2373000</v>
      </c>
    </row>
    <row r="204" spans="1:18" ht="16">
      <c r="A204" s="138">
        <v>46140</v>
      </c>
      <c r="B204" s="140" t="s">
        <v>34</v>
      </c>
      <c r="C204" s="83"/>
      <c r="D204" s="83"/>
      <c r="E204" s="11">
        <f t="shared" si="170"/>
        <v>0</v>
      </c>
      <c r="F204" s="141"/>
      <c r="G204" s="13" t="e">
        <f t="shared" si="171"/>
        <v>#DIV/0!</v>
      </c>
      <c r="H204" s="35"/>
      <c r="I204" s="38"/>
      <c r="J204" s="35">
        <f t="shared" si="172"/>
        <v>0</v>
      </c>
      <c r="K204" s="50">
        <f t="shared" si="173"/>
        <v>0</v>
      </c>
      <c r="L204" s="136" t="e">
        <f t="shared" si="174"/>
        <v>#DIV/0!</v>
      </c>
      <c r="M204" s="116"/>
      <c r="N204" s="121">
        <v>2189000</v>
      </c>
    </row>
    <row r="205" spans="1:18" ht="16">
      <c r="A205" s="138"/>
      <c r="B205" s="140" t="s">
        <v>34</v>
      </c>
      <c r="C205" s="83"/>
      <c r="D205" s="83"/>
      <c r="E205" s="11">
        <f t="shared" si="170"/>
        <v>0</v>
      </c>
      <c r="F205" s="141"/>
      <c r="G205" s="13" t="e">
        <f t="shared" si="171"/>
        <v>#DIV/0!</v>
      </c>
      <c r="H205" s="35"/>
      <c r="I205" s="38"/>
      <c r="J205" s="35">
        <f t="shared" si="172"/>
        <v>0</v>
      </c>
      <c r="K205" s="50">
        <f t="shared" si="173"/>
        <v>0</v>
      </c>
      <c r="L205" s="136" t="e">
        <f t="shared" si="174"/>
        <v>#DIV/0!</v>
      </c>
      <c r="M205" s="116"/>
      <c r="N205" s="121"/>
    </row>
    <row r="206" spans="1:18" ht="16">
      <c r="A206" s="138"/>
      <c r="B206" s="140" t="s">
        <v>34</v>
      </c>
      <c r="C206" s="83"/>
      <c r="D206" s="83"/>
      <c r="E206" s="11">
        <f t="shared" si="170"/>
        <v>0</v>
      </c>
      <c r="F206" s="141"/>
      <c r="G206" s="13" t="e">
        <f t="shared" si="171"/>
        <v>#DIV/0!</v>
      </c>
      <c r="H206" s="35"/>
      <c r="I206" s="38"/>
      <c r="J206" s="35">
        <f t="shared" si="172"/>
        <v>0</v>
      </c>
      <c r="K206" s="50">
        <f t="shared" si="173"/>
        <v>0</v>
      </c>
      <c r="L206" s="136" t="e">
        <f t="shared" si="174"/>
        <v>#DIV/0!</v>
      </c>
      <c r="M206" s="116"/>
      <c r="N206" s="121">
        <f t="shared" ref="N206:N208" si="175">M206*K206</f>
        <v>0</v>
      </c>
    </row>
    <row r="207" spans="1:18" ht="16">
      <c r="A207" s="138"/>
      <c r="B207" s="140" t="s">
        <v>34</v>
      </c>
      <c r="C207" s="83"/>
      <c r="D207" s="83"/>
      <c r="E207" s="11">
        <f t="shared" si="170"/>
        <v>0</v>
      </c>
      <c r="F207" s="141"/>
      <c r="G207" s="13" t="e">
        <f t="shared" si="171"/>
        <v>#DIV/0!</v>
      </c>
      <c r="H207" s="35"/>
      <c r="I207" s="38"/>
      <c r="J207" s="35">
        <f t="shared" si="172"/>
        <v>0</v>
      </c>
      <c r="K207" s="50">
        <f t="shared" si="173"/>
        <v>0</v>
      </c>
      <c r="L207" s="136" t="e">
        <f t="shared" si="174"/>
        <v>#DIV/0!</v>
      </c>
      <c r="M207" s="116"/>
      <c r="N207" s="121">
        <f t="shared" si="175"/>
        <v>0</v>
      </c>
    </row>
    <row r="208" spans="1:18" ht="16">
      <c r="A208" s="138"/>
      <c r="B208" s="140" t="s">
        <v>34</v>
      </c>
      <c r="C208" s="83"/>
      <c r="D208" s="83"/>
      <c r="E208" s="11">
        <f t="shared" si="170"/>
        <v>0</v>
      </c>
      <c r="F208" s="141"/>
      <c r="G208" s="13" t="e">
        <f t="shared" si="171"/>
        <v>#DIV/0!</v>
      </c>
      <c r="H208" s="83"/>
      <c r="I208" s="125"/>
      <c r="J208" s="83">
        <f t="shared" si="172"/>
        <v>0</v>
      </c>
      <c r="K208" s="50">
        <f t="shared" si="173"/>
        <v>0</v>
      </c>
      <c r="L208" s="136" t="e">
        <f t="shared" si="174"/>
        <v>#DIV/0!</v>
      </c>
      <c r="M208" s="116"/>
      <c r="N208" s="121">
        <f t="shared" si="175"/>
        <v>0</v>
      </c>
      <c r="R208" s="76">
        <f>Q208</f>
        <v>0</v>
      </c>
    </row>
    <row r="209" spans="1:18" ht="16">
      <c r="A209" s="138"/>
      <c r="B209" s="60"/>
      <c r="C209" s="59"/>
      <c r="D209" s="59" t="s">
        <v>19</v>
      </c>
      <c r="E209" s="59">
        <f t="shared" ref="E209:F209" si="176">SUM(E194:E208)</f>
        <v>0</v>
      </c>
      <c r="F209" s="59">
        <f t="shared" si="176"/>
        <v>0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0</v>
      </c>
      <c r="L209" s="61" t="e">
        <f>AVERAGE(L194:L208)</f>
        <v>#DIV/0!</v>
      </c>
      <c r="M209" s="64"/>
      <c r="N209" s="132">
        <f>SUM(N202:N208)</f>
        <v>7561000</v>
      </c>
    </row>
    <row r="210" spans="1:18" ht="16">
      <c r="A210" s="138">
        <v>46113</v>
      </c>
      <c r="B210" s="140" t="s">
        <v>72</v>
      </c>
      <c r="C210" s="83"/>
      <c r="D210" s="145"/>
      <c r="E210" s="36">
        <f t="shared" ref="E210:E216" si="177">D210-C210</f>
        <v>0</v>
      </c>
      <c r="F210" s="37"/>
      <c r="G210" s="114" t="e">
        <f t="shared" ref="G210:G216" si="178">(F210/E210)*100</f>
        <v>#DIV/0!</v>
      </c>
      <c r="H210" s="125"/>
      <c r="I210" s="126"/>
      <c r="J210" s="39">
        <f t="shared" ref="J210:J216" si="179">I210-H210</f>
        <v>0</v>
      </c>
      <c r="K210" s="50">
        <f t="shared" ref="K210:K216" si="180">F210</f>
        <v>0</v>
      </c>
      <c r="L210" s="146" t="e">
        <f t="shared" ref="L210:L216" si="181">(K210/J210)*100</f>
        <v>#DIV/0!</v>
      </c>
      <c r="M210" s="68"/>
      <c r="N210" s="121">
        <v>2552000</v>
      </c>
    </row>
    <row r="211" spans="1:18" ht="16">
      <c r="A211" s="138"/>
      <c r="B211" s="140" t="s">
        <v>72</v>
      </c>
      <c r="C211" s="83"/>
      <c r="D211" s="12"/>
      <c r="E211" s="36">
        <f t="shared" si="177"/>
        <v>0</v>
      </c>
      <c r="F211" s="45"/>
      <c r="G211" s="13" t="e">
        <f t="shared" si="178"/>
        <v>#DIV/0!</v>
      </c>
      <c r="H211" s="38"/>
      <c r="I211" s="38"/>
      <c r="J211" s="35">
        <f t="shared" si="179"/>
        <v>0</v>
      </c>
      <c r="K211" s="50">
        <f t="shared" si="180"/>
        <v>0</v>
      </c>
      <c r="L211" s="136" t="e">
        <f t="shared" si="181"/>
        <v>#DIV/0!</v>
      </c>
      <c r="M211" s="116"/>
      <c r="N211" s="121"/>
    </row>
    <row r="212" spans="1:18" ht="16">
      <c r="A212" s="138"/>
      <c r="B212" s="140" t="s">
        <v>72</v>
      </c>
      <c r="C212" s="83"/>
      <c r="D212" s="83"/>
      <c r="E212" s="11">
        <f t="shared" si="177"/>
        <v>0</v>
      </c>
      <c r="F212" s="141"/>
      <c r="G212" s="13" t="e">
        <f t="shared" si="178"/>
        <v>#DIV/0!</v>
      </c>
      <c r="H212" s="35"/>
      <c r="I212" s="38"/>
      <c r="J212" s="35">
        <f t="shared" si="179"/>
        <v>0</v>
      </c>
      <c r="K212" s="50">
        <f t="shared" si="180"/>
        <v>0</v>
      </c>
      <c r="L212" s="136" t="e">
        <f t="shared" si="181"/>
        <v>#DIV/0!</v>
      </c>
      <c r="M212" s="116"/>
      <c r="N212" s="121"/>
    </row>
    <row r="213" spans="1:18" ht="16">
      <c r="A213" s="138"/>
      <c r="B213" s="140" t="s">
        <v>72</v>
      </c>
      <c r="C213" s="83"/>
      <c r="D213" s="83"/>
      <c r="E213" s="11">
        <f t="shared" si="177"/>
        <v>0</v>
      </c>
      <c r="F213" s="141"/>
      <c r="G213" s="13" t="e">
        <f t="shared" si="178"/>
        <v>#DIV/0!</v>
      </c>
      <c r="H213" s="35"/>
      <c r="I213" s="38"/>
      <c r="J213" s="35">
        <f t="shared" si="179"/>
        <v>0</v>
      </c>
      <c r="K213" s="50">
        <f t="shared" si="180"/>
        <v>0</v>
      </c>
      <c r="L213" s="136" t="e">
        <f t="shared" si="181"/>
        <v>#DIV/0!</v>
      </c>
      <c r="M213" s="116"/>
      <c r="N213" s="121"/>
    </row>
    <row r="214" spans="1:18" ht="16">
      <c r="A214" s="138"/>
      <c r="B214" s="140" t="s">
        <v>72</v>
      </c>
      <c r="C214" s="83"/>
      <c r="D214" s="83"/>
      <c r="E214" s="11">
        <f t="shared" si="177"/>
        <v>0</v>
      </c>
      <c r="F214" s="141"/>
      <c r="G214" s="13" t="e">
        <f t="shared" si="178"/>
        <v>#DIV/0!</v>
      </c>
      <c r="H214" s="35"/>
      <c r="I214" s="38"/>
      <c r="J214" s="35">
        <f t="shared" si="179"/>
        <v>0</v>
      </c>
      <c r="K214" s="50">
        <f t="shared" si="180"/>
        <v>0</v>
      </c>
      <c r="L214" s="136" t="e">
        <f t="shared" si="181"/>
        <v>#DIV/0!</v>
      </c>
      <c r="M214" s="116"/>
      <c r="N214" s="121">
        <f t="shared" ref="N214:N216" si="182">M214*K214</f>
        <v>0</v>
      </c>
    </row>
    <row r="215" spans="1:18" ht="16">
      <c r="A215" s="138"/>
      <c r="B215" s="140" t="s">
        <v>72</v>
      </c>
      <c r="C215" s="83"/>
      <c r="D215" s="83"/>
      <c r="E215" s="11">
        <f t="shared" si="177"/>
        <v>0</v>
      </c>
      <c r="F215" s="141"/>
      <c r="G215" s="13" t="e">
        <f t="shared" si="178"/>
        <v>#DIV/0!</v>
      </c>
      <c r="H215" s="35"/>
      <c r="I215" s="38"/>
      <c r="J215" s="35">
        <f t="shared" si="179"/>
        <v>0</v>
      </c>
      <c r="K215" s="50">
        <f t="shared" si="180"/>
        <v>0</v>
      </c>
      <c r="L215" s="136" t="e">
        <f t="shared" si="181"/>
        <v>#DIV/0!</v>
      </c>
      <c r="M215" s="116"/>
      <c r="N215" s="121">
        <f t="shared" si="182"/>
        <v>0</v>
      </c>
    </row>
    <row r="216" spans="1:18" ht="16">
      <c r="A216" s="138"/>
      <c r="B216" s="140" t="s">
        <v>72</v>
      </c>
      <c r="C216" s="83"/>
      <c r="D216" s="83"/>
      <c r="E216" s="11">
        <f t="shared" si="177"/>
        <v>0</v>
      </c>
      <c r="F216" s="141"/>
      <c r="G216" s="13" t="e">
        <f t="shared" si="178"/>
        <v>#DIV/0!</v>
      </c>
      <c r="H216" s="83"/>
      <c r="I216" s="125"/>
      <c r="J216" s="83">
        <f t="shared" si="179"/>
        <v>0</v>
      </c>
      <c r="K216" s="50">
        <f t="shared" si="180"/>
        <v>0</v>
      </c>
      <c r="L216" s="136" t="e">
        <f t="shared" si="181"/>
        <v>#DIV/0!</v>
      </c>
      <c r="M216" s="116"/>
      <c r="N216" s="121">
        <f t="shared" si="182"/>
        <v>0</v>
      </c>
    </row>
    <row r="217" spans="1:18" ht="16">
      <c r="A217" s="138"/>
      <c r="B217" s="60"/>
      <c r="C217" s="59"/>
      <c r="D217" s="59" t="s">
        <v>19</v>
      </c>
      <c r="E217" s="59">
        <f t="shared" ref="E217:F217" si="183">SUM(E202:E216)</f>
        <v>0</v>
      </c>
      <c r="F217" s="59">
        <f t="shared" si="183"/>
        <v>0</v>
      </c>
      <c r="G217" s="61" t="e">
        <f>AVERAGE(G202:G216)</f>
        <v>#DIV/0!</v>
      </c>
      <c r="H217" s="59"/>
      <c r="I217" s="62"/>
      <c r="J217" s="59">
        <f>SUM(J202:J216)</f>
        <v>0</v>
      </c>
      <c r="K217" s="59">
        <f>SUM(K210:K216)</f>
        <v>0</v>
      </c>
      <c r="L217" s="61" t="e">
        <f>AVERAGE(L202:L216)</f>
        <v>#DIV/0!</v>
      </c>
      <c r="M217" s="64"/>
      <c r="N217" s="132">
        <f>SUM(N210:N216)</f>
        <v>2552000</v>
      </c>
    </row>
    <row r="218" spans="1:18" ht="18">
      <c r="A218" s="138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8"/>
      <c r="N218" s="149">
        <f>SUM(N3:N217)/2</f>
        <v>218348180</v>
      </c>
      <c r="R218" s="76">
        <f>Q218</f>
        <v>0</v>
      </c>
    </row>
    <row r="219" spans="1:18" ht="14">
      <c r="A219" s="138"/>
      <c r="G219" s="150"/>
      <c r="L219" s="150"/>
      <c r="N219" s="151"/>
    </row>
    <row r="220" spans="1:18" ht="31.5" customHeight="1">
      <c r="A220" s="138"/>
      <c r="D220" s="152" t="s">
        <v>45</v>
      </c>
      <c r="E220" s="153"/>
      <c r="G220" s="150"/>
      <c r="L220" s="150"/>
      <c r="N220" s="151"/>
    </row>
    <row r="221" spans="1:18" ht="16">
      <c r="A221" s="138"/>
      <c r="B221" s="154" t="s">
        <v>2</v>
      </c>
      <c r="C221" s="148" t="s">
        <v>3</v>
      </c>
      <c r="D221" s="148" t="s">
        <v>4</v>
      </c>
      <c r="E221" s="148" t="s">
        <v>5</v>
      </c>
      <c r="F221" s="148" t="s">
        <v>6</v>
      </c>
      <c r="G221" s="155" t="s">
        <v>7</v>
      </c>
      <c r="H221" s="156" t="s">
        <v>8</v>
      </c>
      <c r="I221" s="157" t="s">
        <v>8</v>
      </c>
      <c r="J221" s="148" t="s">
        <v>5</v>
      </c>
      <c r="K221" s="148" t="s">
        <v>6</v>
      </c>
      <c r="L221" s="155" t="s">
        <v>7</v>
      </c>
      <c r="M221" s="148" t="s">
        <v>9</v>
      </c>
      <c r="N221" s="158" t="s">
        <v>10</v>
      </c>
      <c r="O221" s="18">
        <v>1</v>
      </c>
      <c r="P221" s="159" t="s">
        <v>46</v>
      </c>
      <c r="Q221" s="160">
        <f>N227</f>
        <v>14500337.5</v>
      </c>
      <c r="R221" s="20">
        <f t="shared" ref="R221:R235" si="184">Q221</f>
        <v>14500337.5</v>
      </c>
    </row>
    <row r="222" spans="1:18" ht="16">
      <c r="A222" s="138">
        <v>46127</v>
      </c>
      <c r="B222" s="161" t="s">
        <v>46</v>
      </c>
      <c r="C222" s="12"/>
      <c r="D222" s="12"/>
      <c r="E222" s="11">
        <f t="shared" ref="E222:E226" si="185">D222-C222</f>
        <v>0</v>
      </c>
      <c r="F222" s="35">
        <v>151.69999999999999</v>
      </c>
      <c r="G222" s="13" t="e">
        <f t="shared" ref="G222:G226" si="186">(F222/E222)*100</f>
        <v>#DIV/0!</v>
      </c>
      <c r="H222" s="126"/>
      <c r="I222" s="126"/>
      <c r="J222" s="39">
        <f t="shared" ref="J222:J226" si="187">I222-H222</f>
        <v>0</v>
      </c>
      <c r="K222" s="35">
        <v>151.69999999999999</v>
      </c>
      <c r="L222" s="67" t="e">
        <f t="shared" ref="L222:L226" si="188">(K222/J222)*100</f>
        <v>#DIV/0!</v>
      </c>
      <c r="M222" s="68">
        <v>32960</v>
      </c>
      <c r="N222" s="47">
        <f t="shared" ref="N222:N226" si="189">M222*K222</f>
        <v>5000032</v>
      </c>
      <c r="O222" s="18">
        <v>2</v>
      </c>
      <c r="P222" s="159" t="s">
        <v>47</v>
      </c>
      <c r="Q222" s="160">
        <f>N234</f>
        <v>25499507.199999999</v>
      </c>
      <c r="R222" s="20">
        <f t="shared" si="184"/>
        <v>25499507.199999999</v>
      </c>
    </row>
    <row r="223" spans="1:18" ht="16">
      <c r="A223" s="138">
        <v>46140</v>
      </c>
      <c r="B223" s="162" t="s">
        <v>46</v>
      </c>
      <c r="C223" s="12"/>
      <c r="D223" s="12"/>
      <c r="E223" s="11">
        <f t="shared" si="185"/>
        <v>0</v>
      </c>
      <c r="F223" s="45">
        <v>355.95</v>
      </c>
      <c r="G223" s="13" t="e">
        <f t="shared" si="186"/>
        <v>#DIV/0!</v>
      </c>
      <c r="H223" s="126"/>
      <c r="I223" s="38">
        <v>417489</v>
      </c>
      <c r="J223" s="35">
        <f t="shared" si="187"/>
        <v>417489</v>
      </c>
      <c r="K223" s="50">
        <f t="shared" ref="K223:K226" si="190">F223</f>
        <v>355.95</v>
      </c>
      <c r="L223" s="46">
        <f t="shared" si="188"/>
        <v>8.5259731394120561E-2</v>
      </c>
      <c r="M223" s="48">
        <v>26690</v>
      </c>
      <c r="N223" s="47">
        <f t="shared" si="189"/>
        <v>9500305.5</v>
      </c>
      <c r="O223" s="18">
        <v>3</v>
      </c>
      <c r="P223" s="159" t="s">
        <v>48</v>
      </c>
      <c r="Q223" s="160">
        <f>N240</f>
        <v>13500619.4</v>
      </c>
      <c r="R223" s="20">
        <f t="shared" si="184"/>
        <v>13500619.4</v>
      </c>
    </row>
    <row r="224" spans="1:18" ht="16">
      <c r="A224" s="138"/>
      <c r="B224" s="162" t="s">
        <v>46</v>
      </c>
      <c r="C224" s="12"/>
      <c r="D224" s="35"/>
      <c r="E224" s="11">
        <f t="shared" si="185"/>
        <v>0</v>
      </c>
      <c r="F224" s="45"/>
      <c r="G224" s="13" t="e">
        <f t="shared" si="186"/>
        <v>#DIV/0!</v>
      </c>
      <c r="H224" s="35"/>
      <c r="I224" s="38"/>
      <c r="J224" s="35">
        <f t="shared" si="187"/>
        <v>0</v>
      </c>
      <c r="K224" s="35">
        <f t="shared" si="190"/>
        <v>0</v>
      </c>
      <c r="L224" s="46" t="e">
        <f t="shared" si="188"/>
        <v>#DIV/0!</v>
      </c>
      <c r="M224" s="48"/>
      <c r="N224" s="47">
        <f t="shared" si="189"/>
        <v>0</v>
      </c>
      <c r="O224" s="18">
        <v>4</v>
      </c>
      <c r="P224" s="159" t="s">
        <v>49</v>
      </c>
      <c r="Q224" s="160">
        <f>N246</f>
        <v>7950684.4000000004</v>
      </c>
      <c r="R224" s="20">
        <f t="shared" si="184"/>
        <v>7950684.4000000004</v>
      </c>
    </row>
    <row r="225" spans="1:18" ht="16">
      <c r="A225" s="138"/>
      <c r="B225" s="162" t="s">
        <v>46</v>
      </c>
      <c r="C225" s="35"/>
      <c r="D225" s="35"/>
      <c r="E225" s="11">
        <f t="shared" si="185"/>
        <v>0</v>
      </c>
      <c r="F225" s="45"/>
      <c r="G225" s="13" t="e">
        <f t="shared" si="186"/>
        <v>#DIV/0!</v>
      </c>
      <c r="H225" s="35"/>
      <c r="I225" s="38"/>
      <c r="J225" s="35">
        <f t="shared" si="187"/>
        <v>0</v>
      </c>
      <c r="K225" s="35">
        <f t="shared" si="190"/>
        <v>0</v>
      </c>
      <c r="L225" s="46" t="e">
        <f t="shared" si="188"/>
        <v>#DIV/0!</v>
      </c>
      <c r="M225" s="48"/>
      <c r="N225" s="47">
        <f t="shared" si="189"/>
        <v>0</v>
      </c>
      <c r="O225" s="18">
        <v>5</v>
      </c>
      <c r="P225" s="159" t="s">
        <v>50</v>
      </c>
      <c r="Q225" s="160">
        <f>N252</f>
        <v>15799596.6</v>
      </c>
      <c r="R225" s="20">
        <f t="shared" si="184"/>
        <v>15799596.6</v>
      </c>
    </row>
    <row r="226" spans="1:18" ht="16">
      <c r="A226" s="138"/>
      <c r="B226" s="162" t="s">
        <v>46</v>
      </c>
      <c r="C226" s="35"/>
      <c r="D226" s="35"/>
      <c r="E226" s="11">
        <f t="shared" si="185"/>
        <v>0</v>
      </c>
      <c r="F226" s="45"/>
      <c r="G226" s="13" t="e">
        <f t="shared" si="186"/>
        <v>#DIV/0!</v>
      </c>
      <c r="H226" s="35"/>
      <c r="I226" s="38"/>
      <c r="J226" s="35">
        <f t="shared" si="187"/>
        <v>0</v>
      </c>
      <c r="K226" s="35">
        <f t="shared" si="190"/>
        <v>0</v>
      </c>
      <c r="L226" s="73" t="e">
        <f t="shared" si="188"/>
        <v>#DIV/0!</v>
      </c>
      <c r="M226" s="48"/>
      <c r="N226" s="47">
        <f t="shared" si="189"/>
        <v>0</v>
      </c>
      <c r="O226" s="18">
        <v>6</v>
      </c>
      <c r="P226" s="159" t="s">
        <v>51</v>
      </c>
      <c r="Q226" s="160">
        <f>N259</f>
        <v>23215724.199999999</v>
      </c>
      <c r="R226" s="20">
        <f t="shared" si="184"/>
        <v>23215724.199999999</v>
      </c>
    </row>
    <row r="227" spans="1:18" ht="16">
      <c r="A227" s="138"/>
      <c r="B227" s="60"/>
      <c r="C227" s="59"/>
      <c r="D227" s="59" t="s">
        <v>19</v>
      </c>
      <c r="E227" s="59">
        <f t="shared" ref="E227:F227" si="191">SUM(E222:E226)</f>
        <v>0</v>
      </c>
      <c r="F227" s="59">
        <f t="shared" si="191"/>
        <v>507.65</v>
      </c>
      <c r="G227" s="61" t="e">
        <f>AVERAGE(G222:G226)</f>
        <v>#DIV/0!</v>
      </c>
      <c r="H227" s="59"/>
      <c r="I227" s="62"/>
      <c r="J227" s="59">
        <f t="shared" ref="J227:K227" si="192">SUM(J222:J226)</f>
        <v>417489</v>
      </c>
      <c r="K227" s="59">
        <f t="shared" si="192"/>
        <v>507.65</v>
      </c>
      <c r="L227" s="61" t="e">
        <f>AVERAGE(L222:L226)</f>
        <v>#DIV/0!</v>
      </c>
      <c r="M227" s="64"/>
      <c r="N227" s="65">
        <f>SUM(N222:N226)</f>
        <v>14500337.5</v>
      </c>
      <c r="O227" s="18">
        <v>7</v>
      </c>
      <c r="P227" s="163" t="s">
        <v>52</v>
      </c>
      <c r="Q227" s="160">
        <f>N293</f>
        <v>17926996</v>
      </c>
      <c r="R227" s="20">
        <f t="shared" si="184"/>
        <v>17926996</v>
      </c>
    </row>
    <row r="228" spans="1:18" ht="16">
      <c r="A228" s="138">
        <v>46113</v>
      </c>
      <c r="B228" s="164" t="s">
        <v>53</v>
      </c>
      <c r="C228" s="83">
        <v>512370</v>
      </c>
      <c r="D228" s="83">
        <v>512655</v>
      </c>
      <c r="E228" s="11">
        <f t="shared" ref="E228:E233" si="193">D228-C228</f>
        <v>285</v>
      </c>
      <c r="F228" s="141">
        <v>84.65</v>
      </c>
      <c r="G228" s="13">
        <f t="shared" ref="G228:G233" si="194">(F228/E228)*100</f>
        <v>29.701754385964911</v>
      </c>
      <c r="H228" s="125">
        <v>511930</v>
      </c>
      <c r="I228" s="125">
        <v>512202</v>
      </c>
      <c r="J228" s="83">
        <f t="shared" ref="J228:J233" si="195">I228-H228</f>
        <v>272</v>
      </c>
      <c r="K228" s="83">
        <f t="shared" ref="K228:K233" si="196">F228</f>
        <v>84.65</v>
      </c>
      <c r="L228" s="136">
        <f t="shared" ref="L228:L233" si="197">(K228/J228)*100</f>
        <v>31.121323529411764</v>
      </c>
      <c r="M228" s="116">
        <v>35440</v>
      </c>
      <c r="N228" s="42">
        <f t="shared" ref="N228:N231" si="198">F228*M228</f>
        <v>2999996</v>
      </c>
      <c r="O228" s="18">
        <v>8</v>
      </c>
      <c r="P228" s="159" t="s">
        <v>54</v>
      </c>
      <c r="Q228" s="160">
        <f>N277</f>
        <v>35800000</v>
      </c>
      <c r="R228" s="20">
        <f t="shared" si="184"/>
        <v>35800000</v>
      </c>
    </row>
    <row r="229" spans="1:18" ht="16">
      <c r="A229" s="138">
        <v>46118</v>
      </c>
      <c r="B229" s="164" t="s">
        <v>53</v>
      </c>
      <c r="C229" s="83">
        <v>512655</v>
      </c>
      <c r="D229" s="83">
        <v>512914</v>
      </c>
      <c r="E229" s="11">
        <f t="shared" si="193"/>
        <v>259</v>
      </c>
      <c r="F229" s="141">
        <v>189.82</v>
      </c>
      <c r="G229" s="13">
        <f t="shared" si="194"/>
        <v>73.289575289575282</v>
      </c>
      <c r="H229" s="125">
        <v>512202</v>
      </c>
      <c r="I229" s="125">
        <v>512456</v>
      </c>
      <c r="J229" s="83">
        <f t="shared" si="195"/>
        <v>254</v>
      </c>
      <c r="K229" s="83">
        <f t="shared" si="196"/>
        <v>189.82</v>
      </c>
      <c r="L229" s="136">
        <f t="shared" si="197"/>
        <v>74.732283464566933</v>
      </c>
      <c r="M229" s="116">
        <v>44780</v>
      </c>
      <c r="N229" s="47">
        <f t="shared" si="198"/>
        <v>8500139.5999999996</v>
      </c>
      <c r="O229" s="18">
        <v>9</v>
      </c>
      <c r="P229" s="159" t="s">
        <v>69</v>
      </c>
      <c r="Q229" s="160">
        <f>N286</f>
        <v>14000000</v>
      </c>
      <c r="R229" s="20">
        <f t="shared" si="184"/>
        <v>14000000</v>
      </c>
    </row>
    <row r="230" spans="1:18" ht="16">
      <c r="A230" s="138">
        <v>46125</v>
      </c>
      <c r="B230" s="164" t="s">
        <v>53</v>
      </c>
      <c r="C230" s="83">
        <v>512914</v>
      </c>
      <c r="D230" s="83">
        <v>513403</v>
      </c>
      <c r="E230" s="11">
        <f t="shared" si="193"/>
        <v>489</v>
      </c>
      <c r="F230" s="141">
        <v>163.83000000000001</v>
      </c>
      <c r="G230" s="13">
        <f t="shared" si="194"/>
        <v>33.50306748466258</v>
      </c>
      <c r="H230" s="125">
        <v>512456</v>
      </c>
      <c r="I230" s="125">
        <v>512930</v>
      </c>
      <c r="J230" s="83">
        <f t="shared" si="195"/>
        <v>474</v>
      </c>
      <c r="K230" s="83">
        <f t="shared" si="196"/>
        <v>163.83000000000001</v>
      </c>
      <c r="L230" s="136">
        <f t="shared" si="197"/>
        <v>34.563291139240512</v>
      </c>
      <c r="M230" s="116">
        <v>32960</v>
      </c>
      <c r="N230" s="47">
        <f t="shared" si="198"/>
        <v>5399836.8000000007</v>
      </c>
      <c r="O230" s="18">
        <v>10</v>
      </c>
      <c r="P230" s="163" t="s">
        <v>56</v>
      </c>
      <c r="Q230" s="160">
        <f>N268</f>
        <v>36000000</v>
      </c>
      <c r="R230" s="20">
        <f t="shared" si="184"/>
        <v>36000000</v>
      </c>
    </row>
    <row r="231" spans="1:18" ht="16">
      <c r="A231" s="138">
        <v>46134</v>
      </c>
      <c r="B231" s="164" t="s">
        <v>53</v>
      </c>
      <c r="C231" s="83">
        <v>513403</v>
      </c>
      <c r="D231" s="83">
        <v>513988</v>
      </c>
      <c r="E231" s="11">
        <f t="shared" si="193"/>
        <v>585</v>
      </c>
      <c r="F231" s="141">
        <v>215.43</v>
      </c>
      <c r="G231" s="13">
        <f t="shared" si="194"/>
        <v>36.825641025641026</v>
      </c>
      <c r="H231" s="125">
        <v>512930</v>
      </c>
      <c r="I231" s="125">
        <v>513497</v>
      </c>
      <c r="J231" s="83">
        <f t="shared" si="195"/>
        <v>567</v>
      </c>
      <c r="K231" s="83">
        <f t="shared" si="196"/>
        <v>215.43</v>
      </c>
      <c r="L231" s="136">
        <f t="shared" si="197"/>
        <v>37.994708994709001</v>
      </c>
      <c r="M231" s="116">
        <v>27850</v>
      </c>
      <c r="N231" s="47">
        <f t="shared" si="198"/>
        <v>5999725.5</v>
      </c>
      <c r="O231" s="18">
        <v>11</v>
      </c>
      <c r="P231" s="168" t="s">
        <v>57</v>
      </c>
      <c r="Q231" s="169">
        <f>N300</f>
        <v>25656301.600000001</v>
      </c>
      <c r="R231" s="20">
        <f t="shared" si="184"/>
        <v>25656301.600000001</v>
      </c>
    </row>
    <row r="232" spans="1:18" ht="16">
      <c r="A232" s="138">
        <v>46141</v>
      </c>
      <c r="B232" s="164" t="s">
        <v>53</v>
      </c>
      <c r="C232" s="83">
        <v>513988</v>
      </c>
      <c r="D232" s="83">
        <v>514281</v>
      </c>
      <c r="E232" s="11">
        <f t="shared" si="193"/>
        <v>293</v>
      </c>
      <c r="F232" s="141">
        <v>92.29</v>
      </c>
      <c r="G232" s="13">
        <f t="shared" si="194"/>
        <v>31.498293515358366</v>
      </c>
      <c r="H232" s="125">
        <v>513497</v>
      </c>
      <c r="I232" s="125">
        <v>513799</v>
      </c>
      <c r="J232" s="83">
        <f t="shared" si="195"/>
        <v>302</v>
      </c>
      <c r="K232" s="83">
        <f t="shared" si="196"/>
        <v>92.29</v>
      </c>
      <c r="L232" s="136">
        <f t="shared" si="197"/>
        <v>30.559602649006624</v>
      </c>
      <c r="M232" s="116">
        <v>28170</v>
      </c>
      <c r="N232" s="47">
        <f t="shared" ref="N232:N233" si="199">M232*K232</f>
        <v>2599809.3000000003</v>
      </c>
      <c r="O232" s="18">
        <v>12</v>
      </c>
      <c r="P232" s="168" t="s">
        <v>58</v>
      </c>
      <c r="Q232" s="169">
        <f>N310</f>
        <v>26599656</v>
      </c>
      <c r="R232" s="20">
        <f t="shared" si="184"/>
        <v>26599656</v>
      </c>
    </row>
    <row r="233" spans="1:18" ht="16">
      <c r="A233" s="138"/>
      <c r="B233" s="164" t="s">
        <v>53</v>
      </c>
      <c r="C233" s="83"/>
      <c r="D233" s="83"/>
      <c r="E233" s="11">
        <f t="shared" si="193"/>
        <v>0</v>
      </c>
      <c r="F233" s="141"/>
      <c r="G233" s="13" t="e">
        <f t="shared" si="194"/>
        <v>#DIV/0!</v>
      </c>
      <c r="H233" s="125"/>
      <c r="I233" s="125"/>
      <c r="J233" s="83">
        <f t="shared" si="195"/>
        <v>0</v>
      </c>
      <c r="K233" s="83">
        <f t="shared" si="196"/>
        <v>0</v>
      </c>
      <c r="L233" s="136" t="e">
        <f t="shared" si="197"/>
        <v>#DIV/0!</v>
      </c>
      <c r="M233" s="116"/>
      <c r="N233" s="47">
        <f t="shared" si="199"/>
        <v>0</v>
      </c>
      <c r="O233" s="18">
        <v>13</v>
      </c>
      <c r="P233" s="168" t="s">
        <v>70</v>
      </c>
      <c r="Q233" s="169">
        <f>N317</f>
        <v>9000000</v>
      </c>
      <c r="R233" s="20">
        <f t="shared" si="184"/>
        <v>9000000</v>
      </c>
    </row>
    <row r="234" spans="1:18" ht="16">
      <c r="A234" s="138"/>
      <c r="B234" s="60"/>
      <c r="C234" s="59"/>
      <c r="D234" s="59" t="s">
        <v>19</v>
      </c>
      <c r="E234" s="59">
        <f>SUM(E228:E232)</f>
        <v>1911</v>
      </c>
      <c r="F234" s="59">
        <f>SUM(F228:F233)</f>
        <v>746.02</v>
      </c>
      <c r="G234" s="61">
        <f>AVERAGE(G228:G232)</f>
        <v>40.963666340240437</v>
      </c>
      <c r="H234" s="59"/>
      <c r="I234" s="62"/>
      <c r="J234" s="59">
        <f t="shared" ref="J234:K234" si="200">SUM(J228:J232)</f>
        <v>1869</v>
      </c>
      <c r="K234" s="59">
        <f t="shared" si="200"/>
        <v>746.02</v>
      </c>
      <c r="L234" s="61">
        <f>AVERAGE(L228:L232)</f>
        <v>41.794241955386966</v>
      </c>
      <c r="M234" s="64"/>
      <c r="N234" s="65">
        <f>SUM(N228:N233)</f>
        <v>25499507.199999999</v>
      </c>
      <c r="O234" s="18">
        <v>14</v>
      </c>
      <c r="P234" s="159" t="s">
        <v>60</v>
      </c>
      <c r="Q234" s="20">
        <f>N327</f>
        <v>46100019.32</v>
      </c>
      <c r="R234" s="20">
        <f t="shared" si="184"/>
        <v>46100019.32</v>
      </c>
    </row>
    <row r="235" spans="1:18" ht="16">
      <c r="A235" s="138">
        <v>46118</v>
      </c>
      <c r="B235" s="164" t="s">
        <v>48</v>
      </c>
      <c r="C235" s="83">
        <v>458452</v>
      </c>
      <c r="D235" s="12">
        <v>458795</v>
      </c>
      <c r="E235" s="36">
        <f t="shared" ref="E235:E239" si="201">D235-C235</f>
        <v>343</v>
      </c>
      <c r="F235" s="141">
        <v>189.83</v>
      </c>
      <c r="G235" s="13">
        <f t="shared" ref="G235:G239" si="202">(F235/E235)*100</f>
        <v>55.344023323615168</v>
      </c>
      <c r="H235" s="83"/>
      <c r="I235" s="126">
        <v>7747</v>
      </c>
      <c r="J235" s="39">
        <f t="shared" ref="J235:J239" si="203">I235-H235</f>
        <v>7747</v>
      </c>
      <c r="K235" s="39"/>
      <c r="L235" s="136">
        <f t="shared" ref="L235:L239" si="204">(K235/J235)*100</f>
        <v>0</v>
      </c>
      <c r="M235" s="68">
        <v>44780</v>
      </c>
      <c r="N235" s="121">
        <f t="shared" ref="N235:N239" si="205">F235*M235</f>
        <v>8500587.4000000004</v>
      </c>
      <c r="O235" s="18">
        <v>15</v>
      </c>
      <c r="P235" s="159" t="s">
        <v>61</v>
      </c>
      <c r="Q235" s="20">
        <f>N334</f>
        <v>19349715.600000001</v>
      </c>
      <c r="R235" s="20">
        <f t="shared" si="184"/>
        <v>19349715.600000001</v>
      </c>
    </row>
    <row r="236" spans="1:18" ht="16">
      <c r="A236" s="138">
        <v>46126</v>
      </c>
      <c r="B236" s="164" t="s">
        <v>48</v>
      </c>
      <c r="C236" s="12">
        <v>458795</v>
      </c>
      <c r="D236" s="12"/>
      <c r="E236" s="11">
        <f t="shared" si="201"/>
        <v>-458795</v>
      </c>
      <c r="F236" s="141">
        <v>151.69999999999999</v>
      </c>
      <c r="G236" s="13">
        <f t="shared" si="202"/>
        <v>-3.3064876469883063E-2</v>
      </c>
      <c r="H236" s="126">
        <v>7747</v>
      </c>
      <c r="I236" s="125">
        <v>7915</v>
      </c>
      <c r="J236" s="83">
        <f t="shared" si="203"/>
        <v>168</v>
      </c>
      <c r="K236" s="35"/>
      <c r="L236" s="136">
        <f t="shared" si="204"/>
        <v>0</v>
      </c>
      <c r="M236" s="116">
        <v>32960</v>
      </c>
      <c r="N236" s="121">
        <f t="shared" si="205"/>
        <v>5000032</v>
      </c>
      <c r="O236" s="18"/>
      <c r="P236" s="171"/>
      <c r="Q236" s="18"/>
      <c r="R236" s="18"/>
    </row>
    <row r="237" spans="1:18" ht="16">
      <c r="A237" s="138"/>
      <c r="B237" s="164" t="s">
        <v>48</v>
      </c>
      <c r="C237" s="83"/>
      <c r="D237" s="83"/>
      <c r="E237" s="11">
        <f t="shared" si="201"/>
        <v>0</v>
      </c>
      <c r="F237" s="141"/>
      <c r="G237" s="13" t="e">
        <f t="shared" si="202"/>
        <v>#DIV/0!</v>
      </c>
      <c r="H237" s="83"/>
      <c r="I237" s="125"/>
      <c r="J237" s="83">
        <f t="shared" si="203"/>
        <v>0</v>
      </c>
      <c r="K237" s="35"/>
      <c r="L237" s="136" t="e">
        <f t="shared" si="204"/>
        <v>#DIV/0!</v>
      </c>
      <c r="M237" s="116"/>
      <c r="N237" s="121">
        <f t="shared" si="205"/>
        <v>0</v>
      </c>
      <c r="P237" s="75" t="s">
        <v>19</v>
      </c>
      <c r="Q237" s="20">
        <f>SUM(Q221:Q236)</f>
        <v>330899157.82000005</v>
      </c>
    </row>
    <row r="238" spans="1:18" ht="16">
      <c r="A238" s="138"/>
      <c r="B238" s="164" t="s">
        <v>48</v>
      </c>
      <c r="C238" s="83"/>
      <c r="D238" s="83"/>
      <c r="E238" s="11">
        <f t="shared" si="201"/>
        <v>0</v>
      </c>
      <c r="F238" s="141"/>
      <c r="G238" s="13" t="e">
        <f t="shared" si="202"/>
        <v>#DIV/0!</v>
      </c>
      <c r="H238" s="83"/>
      <c r="I238" s="125"/>
      <c r="J238" s="83">
        <f t="shared" si="203"/>
        <v>0</v>
      </c>
      <c r="K238" s="35"/>
      <c r="L238" s="136" t="e">
        <f t="shared" si="204"/>
        <v>#DIV/0!</v>
      </c>
      <c r="M238" s="116"/>
      <c r="N238" s="121">
        <f t="shared" si="205"/>
        <v>0</v>
      </c>
    </row>
    <row r="239" spans="1:18" ht="16">
      <c r="A239" s="138"/>
      <c r="B239" s="164" t="s">
        <v>48</v>
      </c>
      <c r="C239" s="83"/>
      <c r="D239" s="83"/>
      <c r="E239" s="11">
        <f t="shared" si="201"/>
        <v>0</v>
      </c>
      <c r="F239" s="141"/>
      <c r="G239" s="13" t="e">
        <f t="shared" si="202"/>
        <v>#DIV/0!</v>
      </c>
      <c r="H239" s="83"/>
      <c r="I239" s="125"/>
      <c r="J239" s="83">
        <f t="shared" si="203"/>
        <v>0</v>
      </c>
      <c r="K239" s="35"/>
      <c r="L239" s="136" t="e">
        <f t="shared" si="204"/>
        <v>#DIV/0!</v>
      </c>
      <c r="M239" s="116"/>
      <c r="N239" s="121">
        <f t="shared" si="205"/>
        <v>0</v>
      </c>
    </row>
    <row r="240" spans="1:18" ht="16">
      <c r="A240" s="138"/>
      <c r="B240" s="60"/>
      <c r="C240" s="59"/>
      <c r="D240" s="59" t="s">
        <v>19</v>
      </c>
      <c r="E240" s="59">
        <f t="shared" ref="E240:F240" si="206">SUM(E235:E239)</f>
        <v>-458452</v>
      </c>
      <c r="F240" s="59">
        <f t="shared" si="206"/>
        <v>341.53</v>
      </c>
      <c r="G240" s="61" t="e">
        <f>AVERAGE(G235:G239)</f>
        <v>#DIV/0!</v>
      </c>
      <c r="H240" s="59"/>
      <c r="I240" s="62"/>
      <c r="J240" s="59">
        <f t="shared" ref="J240:K240" si="207">SUM(J235:J239)</f>
        <v>7915</v>
      </c>
      <c r="K240" s="59">
        <f t="shared" si="207"/>
        <v>0</v>
      </c>
      <c r="L240" s="61" t="e">
        <f>AVERAGE(L235:L239)</f>
        <v>#DIV/0!</v>
      </c>
      <c r="M240" s="64"/>
      <c r="N240" s="65">
        <f>SUM(N235:N239)</f>
        <v>13500619.4</v>
      </c>
    </row>
    <row r="241" spans="1:14" ht="16">
      <c r="A241" s="138">
        <v>46113</v>
      </c>
      <c r="B241" s="140" t="s">
        <v>49</v>
      </c>
      <c r="C241" s="83"/>
      <c r="D241" s="12"/>
      <c r="E241" s="36">
        <f t="shared" ref="E241:E245" si="208">D241-C241</f>
        <v>0</v>
      </c>
      <c r="F241" s="37">
        <v>70.540000000000006</v>
      </c>
      <c r="G241" s="13" t="e">
        <f t="shared" ref="G241:G245" si="209">(F241/E241)*100</f>
        <v>#DIV/0!</v>
      </c>
      <c r="H241" s="83"/>
      <c r="I241" s="126"/>
      <c r="J241" s="39">
        <f t="shared" ref="J241:J245" si="210">I241-H241</f>
        <v>0</v>
      </c>
      <c r="K241" s="39">
        <f t="shared" ref="K241:K245" si="211">F241</f>
        <v>70.540000000000006</v>
      </c>
      <c r="L241" s="46" t="e">
        <f t="shared" ref="L241:L245" si="212">(K241/J241)*100</f>
        <v>#DIV/0!</v>
      </c>
      <c r="M241" s="68">
        <v>35440</v>
      </c>
      <c r="N241" s="121">
        <f t="shared" ref="N241:N244" si="213">M241*K241</f>
        <v>2499937.6</v>
      </c>
    </row>
    <row r="242" spans="1:14" ht="16">
      <c r="A242" s="138">
        <v>46115</v>
      </c>
      <c r="B242" s="140" t="s">
        <v>49</v>
      </c>
      <c r="C242" s="12"/>
      <c r="D242" s="83"/>
      <c r="E242" s="11">
        <f t="shared" si="208"/>
        <v>0</v>
      </c>
      <c r="F242" s="141">
        <v>26.94</v>
      </c>
      <c r="G242" s="13" t="e">
        <f t="shared" si="209"/>
        <v>#DIV/0!</v>
      </c>
      <c r="H242" s="83"/>
      <c r="I242" s="125"/>
      <c r="J242" s="83">
        <f t="shared" si="210"/>
        <v>0</v>
      </c>
      <c r="K242" s="83">
        <f t="shared" si="211"/>
        <v>26.94</v>
      </c>
      <c r="L242" s="136" t="e">
        <f t="shared" si="212"/>
        <v>#DIV/0!</v>
      </c>
      <c r="M242" s="116">
        <v>40820</v>
      </c>
      <c r="N242" s="121">
        <f t="shared" si="213"/>
        <v>1099690.8</v>
      </c>
    </row>
    <row r="243" spans="1:14" ht="16">
      <c r="A243" s="138">
        <v>46122</v>
      </c>
      <c r="B243" s="140" t="s">
        <v>49</v>
      </c>
      <c r="C243" s="83"/>
      <c r="D243" s="83"/>
      <c r="E243" s="11">
        <f t="shared" si="208"/>
        <v>0</v>
      </c>
      <c r="F243" s="141">
        <v>77.37</v>
      </c>
      <c r="G243" s="13" t="e">
        <f t="shared" si="209"/>
        <v>#DIV/0!</v>
      </c>
      <c r="H243" s="83"/>
      <c r="I243" s="125"/>
      <c r="J243" s="83">
        <f t="shared" si="210"/>
        <v>0</v>
      </c>
      <c r="K243" s="83">
        <f t="shared" si="211"/>
        <v>77.37</v>
      </c>
      <c r="L243" s="136" t="e">
        <f t="shared" si="212"/>
        <v>#DIV/0!</v>
      </c>
      <c r="M243" s="116">
        <v>32960</v>
      </c>
      <c r="N243" s="121">
        <f t="shared" si="213"/>
        <v>2550115.2000000002</v>
      </c>
    </row>
    <row r="244" spans="1:14" ht="16">
      <c r="A244" s="138">
        <v>46133</v>
      </c>
      <c r="B244" s="140" t="s">
        <v>49</v>
      </c>
      <c r="C244" s="83"/>
      <c r="D244" s="83"/>
      <c r="E244" s="11">
        <f t="shared" si="208"/>
        <v>0</v>
      </c>
      <c r="F244" s="141">
        <v>58.02</v>
      </c>
      <c r="G244" s="13" t="e">
        <f t="shared" si="209"/>
        <v>#DIV/0!</v>
      </c>
      <c r="H244" s="83"/>
      <c r="I244" s="125"/>
      <c r="J244" s="83">
        <f t="shared" si="210"/>
        <v>0</v>
      </c>
      <c r="K244" s="83">
        <f t="shared" si="211"/>
        <v>58.02</v>
      </c>
      <c r="L244" s="136" t="e">
        <f t="shared" si="212"/>
        <v>#DIV/0!</v>
      </c>
      <c r="M244" s="116">
        <v>31040</v>
      </c>
      <c r="N244" s="121">
        <f t="shared" si="213"/>
        <v>1800940.8</v>
      </c>
    </row>
    <row r="245" spans="1:14" ht="16">
      <c r="A245" s="138"/>
      <c r="B245" s="140" t="s">
        <v>49</v>
      </c>
      <c r="C245" s="83"/>
      <c r="D245" s="83"/>
      <c r="E245" s="11">
        <f t="shared" si="208"/>
        <v>0</v>
      </c>
      <c r="F245" s="141"/>
      <c r="G245" s="13" t="e">
        <f t="shared" si="209"/>
        <v>#DIV/0!</v>
      </c>
      <c r="H245" s="83"/>
      <c r="I245" s="125"/>
      <c r="J245" s="83">
        <f t="shared" si="210"/>
        <v>0</v>
      </c>
      <c r="K245" s="83">
        <f t="shared" si="211"/>
        <v>0</v>
      </c>
      <c r="L245" s="136" t="e">
        <f t="shared" si="212"/>
        <v>#DIV/0!</v>
      </c>
      <c r="M245" s="116"/>
      <c r="N245" s="121">
        <f>F245*M245</f>
        <v>0</v>
      </c>
    </row>
    <row r="246" spans="1:14" ht="16">
      <c r="A246" s="138"/>
      <c r="B246" s="60"/>
      <c r="C246" s="59"/>
      <c r="D246" s="59" t="s">
        <v>19</v>
      </c>
      <c r="E246" s="59">
        <f t="shared" ref="E246:F246" si="214">SUM(E241:E245)</f>
        <v>0</v>
      </c>
      <c r="F246" s="59">
        <f t="shared" si="214"/>
        <v>232.87000000000003</v>
      </c>
      <c r="G246" s="61" t="e">
        <f>AVERAGE(G241:G245)</f>
        <v>#DIV/0!</v>
      </c>
      <c r="H246" s="59"/>
      <c r="I246" s="62"/>
      <c r="J246" s="59">
        <f t="shared" ref="J246:K246" si="215">SUM(J241:J245)</f>
        <v>0</v>
      </c>
      <c r="K246" s="59">
        <f t="shared" si="215"/>
        <v>232.87000000000003</v>
      </c>
      <c r="L246" s="61" t="e">
        <f>AVERAGE(L241:L245)</f>
        <v>#DIV/0!</v>
      </c>
      <c r="M246" s="64"/>
      <c r="N246" s="65">
        <f>SUM(N241:N245)</f>
        <v>7950684.4000000004</v>
      </c>
    </row>
    <row r="247" spans="1:14" ht="16">
      <c r="A247" s="138">
        <v>46115</v>
      </c>
      <c r="B247" s="140" t="s">
        <v>50</v>
      </c>
      <c r="C247" s="83"/>
      <c r="D247" s="12"/>
      <c r="E247" s="36"/>
      <c r="F247" s="37">
        <v>97.99</v>
      </c>
      <c r="G247" s="13" t="e">
        <f t="shared" ref="G247:G251" si="216">(F247/E247)*100</f>
        <v>#DIV/0!</v>
      </c>
      <c r="H247" s="83"/>
      <c r="I247" s="126"/>
      <c r="J247" s="83">
        <f t="shared" ref="J247:J251" si="217">I247-H247</f>
        <v>0</v>
      </c>
      <c r="K247" s="83">
        <f t="shared" ref="K247:K251" si="218">F247</f>
        <v>97.99</v>
      </c>
      <c r="L247" s="136" t="e">
        <f t="shared" ref="L247:L251" si="219">(K247/J247)*100</f>
        <v>#DIV/0!</v>
      </c>
      <c r="M247" s="68">
        <v>40820</v>
      </c>
      <c r="N247" s="47">
        <f>F247*M247</f>
        <v>3999951.8</v>
      </c>
    </row>
    <row r="248" spans="1:14" ht="16">
      <c r="A248" s="138">
        <v>46122</v>
      </c>
      <c r="B248" s="140" t="s">
        <v>50</v>
      </c>
      <c r="C248" s="83"/>
      <c r="D248" s="83"/>
      <c r="E248" s="11">
        <f t="shared" ref="E248:E251" si="220">D248-C248</f>
        <v>0</v>
      </c>
      <c r="F248" s="141">
        <v>212.37</v>
      </c>
      <c r="G248" s="13" t="e">
        <f t="shared" si="216"/>
        <v>#DIV/0!</v>
      </c>
      <c r="H248" s="83"/>
      <c r="I248" s="125"/>
      <c r="J248" s="83">
        <f t="shared" si="217"/>
        <v>0</v>
      </c>
      <c r="K248" s="83">
        <f t="shared" si="218"/>
        <v>212.37</v>
      </c>
      <c r="L248" s="136" t="e">
        <f t="shared" si="219"/>
        <v>#DIV/0!</v>
      </c>
      <c r="M248" s="116">
        <v>32960</v>
      </c>
      <c r="N248" s="47">
        <f>M248*K248</f>
        <v>6999715.2000000002</v>
      </c>
    </row>
    <row r="249" spans="1:14" ht="16">
      <c r="A249" s="138">
        <v>46137</v>
      </c>
      <c r="B249" s="140" t="s">
        <v>50</v>
      </c>
      <c r="C249" s="83"/>
      <c r="D249" s="83"/>
      <c r="E249" s="11">
        <f t="shared" si="220"/>
        <v>0</v>
      </c>
      <c r="F249" s="141">
        <v>179.84</v>
      </c>
      <c r="G249" s="13" t="e">
        <f t="shared" si="216"/>
        <v>#DIV/0!</v>
      </c>
      <c r="H249" s="83"/>
      <c r="I249" s="125"/>
      <c r="J249" s="83">
        <f t="shared" si="217"/>
        <v>0</v>
      </c>
      <c r="K249" s="83">
        <f t="shared" si="218"/>
        <v>179.84</v>
      </c>
      <c r="L249" s="136" t="e">
        <f t="shared" si="219"/>
        <v>#DIV/0!</v>
      </c>
      <c r="M249" s="116">
        <v>26690</v>
      </c>
      <c r="N249" s="47">
        <f t="shared" ref="N249:N251" si="221">F249*M249</f>
        <v>4799929.5999999996</v>
      </c>
    </row>
    <row r="250" spans="1:14" ht="16">
      <c r="A250" s="138"/>
      <c r="B250" s="140" t="s">
        <v>50</v>
      </c>
      <c r="C250" s="83"/>
      <c r="D250" s="83"/>
      <c r="E250" s="11">
        <f t="shared" si="220"/>
        <v>0</v>
      </c>
      <c r="F250" s="141"/>
      <c r="G250" s="13" t="e">
        <f t="shared" si="216"/>
        <v>#DIV/0!</v>
      </c>
      <c r="H250" s="83"/>
      <c r="I250" s="125"/>
      <c r="J250" s="83">
        <f t="shared" si="217"/>
        <v>0</v>
      </c>
      <c r="K250" s="83">
        <f t="shared" si="218"/>
        <v>0</v>
      </c>
      <c r="L250" s="136" t="e">
        <f t="shared" si="219"/>
        <v>#DIV/0!</v>
      </c>
      <c r="M250" s="116"/>
      <c r="N250" s="47">
        <f t="shared" si="221"/>
        <v>0</v>
      </c>
    </row>
    <row r="251" spans="1:14" ht="16">
      <c r="A251" s="138"/>
      <c r="B251" s="140" t="s">
        <v>50</v>
      </c>
      <c r="C251" s="83"/>
      <c r="D251" s="83"/>
      <c r="E251" s="11">
        <f t="shared" si="220"/>
        <v>0</v>
      </c>
      <c r="F251" s="141"/>
      <c r="G251" s="13" t="e">
        <f t="shared" si="216"/>
        <v>#DIV/0!</v>
      </c>
      <c r="H251" s="83"/>
      <c r="I251" s="125"/>
      <c r="J251" s="83">
        <f t="shared" si="217"/>
        <v>0</v>
      </c>
      <c r="K251" s="83">
        <f t="shared" si="218"/>
        <v>0</v>
      </c>
      <c r="L251" s="136" t="e">
        <f t="shared" si="219"/>
        <v>#DIV/0!</v>
      </c>
      <c r="M251" s="116"/>
      <c r="N251" s="47">
        <f t="shared" si="221"/>
        <v>0</v>
      </c>
    </row>
    <row r="252" spans="1:14" ht="16">
      <c r="A252" s="138"/>
      <c r="B252" s="60"/>
      <c r="C252" s="59"/>
      <c r="D252" s="59" t="s">
        <v>19</v>
      </c>
      <c r="E252" s="59">
        <f t="shared" ref="E252:F252" si="222">SUM(E247:E251)</f>
        <v>0</v>
      </c>
      <c r="F252" s="59">
        <f t="shared" si="222"/>
        <v>490.20000000000005</v>
      </c>
      <c r="G252" s="61" t="e">
        <f>AVERAGE(G247:G251)</f>
        <v>#DIV/0!</v>
      </c>
      <c r="H252" s="59"/>
      <c r="I252" s="62"/>
      <c r="J252" s="59">
        <f t="shared" ref="J252:K252" si="223">SUM(J247:J251)</f>
        <v>0</v>
      </c>
      <c r="K252" s="59">
        <f t="shared" si="223"/>
        <v>490.20000000000005</v>
      </c>
      <c r="L252" s="61" t="e">
        <f>AVERAGE(L247:L251)</f>
        <v>#DIV/0!</v>
      </c>
      <c r="M252" s="64"/>
      <c r="N252" s="65">
        <f>SUM(N247:N251)</f>
        <v>15799596.6</v>
      </c>
    </row>
    <row r="253" spans="1:14" ht="16">
      <c r="A253" s="138">
        <v>46114</v>
      </c>
      <c r="B253" s="164" t="s">
        <v>51</v>
      </c>
      <c r="C253" s="83">
        <v>306297</v>
      </c>
      <c r="D253" s="83">
        <v>306559</v>
      </c>
      <c r="E253" s="11">
        <f t="shared" ref="E253:E258" si="224">D253-C253</f>
        <v>262</v>
      </c>
      <c r="F253" s="37">
        <v>80.84</v>
      </c>
      <c r="G253" s="13">
        <f t="shared" ref="G253:G258" si="225">(F253/E253)*100</f>
        <v>30.854961832061068</v>
      </c>
      <c r="H253" s="125">
        <v>20466</v>
      </c>
      <c r="I253" s="125">
        <v>20679</v>
      </c>
      <c r="J253" s="39">
        <f t="shared" ref="J253:J258" si="226">I253-H253</f>
        <v>213</v>
      </c>
      <c r="K253" s="39">
        <f t="shared" ref="K253:K258" si="227">F253</f>
        <v>80.84</v>
      </c>
      <c r="L253" s="136">
        <f t="shared" ref="L253:L258" si="228">(K253/J253)*100</f>
        <v>37.953051643192495</v>
      </c>
      <c r="M253" s="68">
        <v>35440</v>
      </c>
      <c r="N253" s="47">
        <f t="shared" ref="N253:N256" si="229">F253*M253</f>
        <v>2864969.6</v>
      </c>
    </row>
    <row r="254" spans="1:14" ht="16">
      <c r="A254" s="138">
        <v>46119</v>
      </c>
      <c r="B254" s="164" t="s">
        <v>51</v>
      </c>
      <c r="C254" s="83">
        <v>306559</v>
      </c>
      <c r="D254" s="83">
        <v>307032</v>
      </c>
      <c r="E254" s="11">
        <f t="shared" si="224"/>
        <v>473</v>
      </c>
      <c r="F254" s="141">
        <v>115.24</v>
      </c>
      <c r="G254" s="13">
        <f t="shared" si="225"/>
        <v>24.363636363636363</v>
      </c>
      <c r="H254" s="125">
        <v>20679</v>
      </c>
      <c r="I254" s="83">
        <v>21439</v>
      </c>
      <c r="J254" s="83">
        <f t="shared" si="226"/>
        <v>760</v>
      </c>
      <c r="K254" s="83">
        <f t="shared" si="227"/>
        <v>115.24</v>
      </c>
      <c r="L254" s="136">
        <f t="shared" si="228"/>
        <v>15.163157894736843</v>
      </c>
      <c r="M254" s="116">
        <v>44780</v>
      </c>
      <c r="N254" s="47">
        <f t="shared" si="229"/>
        <v>5160447.2</v>
      </c>
    </row>
    <row r="255" spans="1:14" ht="16">
      <c r="A255" s="138">
        <v>46125</v>
      </c>
      <c r="B255" s="164" t="s">
        <v>51</v>
      </c>
      <c r="C255" s="83">
        <v>307032</v>
      </c>
      <c r="D255" s="83">
        <v>307572</v>
      </c>
      <c r="E255" s="11">
        <f t="shared" si="224"/>
        <v>540</v>
      </c>
      <c r="F255" s="141">
        <v>140.16999999999999</v>
      </c>
      <c r="G255" s="13">
        <f t="shared" si="225"/>
        <v>25.957407407407405</v>
      </c>
      <c r="H255" s="83">
        <v>21439</v>
      </c>
      <c r="I255" s="125">
        <v>21866</v>
      </c>
      <c r="J255" s="83">
        <f t="shared" si="226"/>
        <v>427</v>
      </c>
      <c r="K255" s="83">
        <f t="shared" si="227"/>
        <v>140.16999999999999</v>
      </c>
      <c r="L255" s="136">
        <f t="shared" si="228"/>
        <v>32.82669789227166</v>
      </c>
      <c r="M255" s="116">
        <v>32960</v>
      </c>
      <c r="N255" s="47">
        <f t="shared" si="229"/>
        <v>4620003.1999999993</v>
      </c>
    </row>
    <row r="256" spans="1:14" ht="16">
      <c r="A256" s="138">
        <v>46128</v>
      </c>
      <c r="B256" s="164" t="s">
        <v>51</v>
      </c>
      <c r="C256" s="83">
        <v>307572</v>
      </c>
      <c r="D256" s="83">
        <v>308016</v>
      </c>
      <c r="E256" s="11">
        <f t="shared" si="224"/>
        <v>444</v>
      </c>
      <c r="F256" s="141">
        <v>139.18</v>
      </c>
      <c r="G256" s="13">
        <f t="shared" si="225"/>
        <v>31.346846846846848</v>
      </c>
      <c r="H256" s="125">
        <v>21866</v>
      </c>
      <c r="I256" s="125">
        <v>22132</v>
      </c>
      <c r="J256" s="83">
        <f t="shared" si="226"/>
        <v>266</v>
      </c>
      <c r="K256" s="83">
        <f t="shared" si="227"/>
        <v>139.18</v>
      </c>
      <c r="L256" s="136">
        <f t="shared" si="228"/>
        <v>52.323308270676691</v>
      </c>
      <c r="M256" s="116">
        <v>31040</v>
      </c>
      <c r="N256" s="47">
        <f t="shared" si="229"/>
        <v>4320147.2</v>
      </c>
    </row>
    <row r="257" spans="1:14" ht="16">
      <c r="A257" s="138">
        <v>46134</v>
      </c>
      <c r="B257" s="164" t="s">
        <v>51</v>
      </c>
      <c r="C257" s="83">
        <v>308016</v>
      </c>
      <c r="D257" s="83">
        <v>308432</v>
      </c>
      <c r="E257" s="11">
        <f t="shared" si="224"/>
        <v>416</v>
      </c>
      <c r="F257" s="141">
        <v>113.11</v>
      </c>
      <c r="G257" s="13">
        <f t="shared" si="225"/>
        <v>27.189903846153847</v>
      </c>
      <c r="H257" s="125">
        <v>22132</v>
      </c>
      <c r="I257" s="125">
        <v>22974</v>
      </c>
      <c r="J257" s="83">
        <f t="shared" si="226"/>
        <v>842</v>
      </c>
      <c r="K257" s="83">
        <f t="shared" si="227"/>
        <v>113.11</v>
      </c>
      <c r="L257" s="136">
        <f t="shared" si="228"/>
        <v>13.433491686460808</v>
      </c>
      <c r="M257" s="116">
        <v>27850</v>
      </c>
      <c r="N257" s="47">
        <f t="shared" ref="N257:N258" si="230">M257*K257</f>
        <v>3150113.5</v>
      </c>
    </row>
    <row r="258" spans="1:14" ht="16">
      <c r="A258" s="138">
        <v>46139</v>
      </c>
      <c r="B258" s="164" t="s">
        <v>51</v>
      </c>
      <c r="C258" s="83">
        <v>308432</v>
      </c>
      <c r="D258" s="83">
        <v>308843</v>
      </c>
      <c r="E258" s="11">
        <f t="shared" si="224"/>
        <v>411</v>
      </c>
      <c r="F258" s="141">
        <v>116.15</v>
      </c>
      <c r="G258" s="13">
        <f t="shared" si="225"/>
        <v>28.260340632603409</v>
      </c>
      <c r="H258" s="125"/>
      <c r="I258" s="125">
        <v>22882</v>
      </c>
      <c r="J258" s="83">
        <f t="shared" si="226"/>
        <v>22882</v>
      </c>
      <c r="K258" s="83">
        <f t="shared" si="227"/>
        <v>116.15</v>
      </c>
      <c r="L258" s="136">
        <f t="shared" si="228"/>
        <v>0.50760423039944058</v>
      </c>
      <c r="M258" s="116">
        <v>26690</v>
      </c>
      <c r="N258" s="47">
        <f t="shared" si="230"/>
        <v>3100043.5</v>
      </c>
    </row>
    <row r="259" spans="1:14" ht="16">
      <c r="A259" s="138"/>
      <c r="B259" s="60"/>
      <c r="C259" s="59"/>
      <c r="D259" s="59" t="s">
        <v>19</v>
      </c>
      <c r="E259" s="59">
        <f>SUM(E253:E257)</f>
        <v>2135</v>
      </c>
      <c r="F259" s="59">
        <f>SUM(F253:F258)</f>
        <v>704.68999999999994</v>
      </c>
      <c r="G259" s="61">
        <f>AVERAGE(G253:G257)</f>
        <v>27.942551259221108</v>
      </c>
      <c r="H259" s="59"/>
      <c r="I259" s="62"/>
      <c r="J259" s="59">
        <f t="shared" ref="J259:K259" si="231">SUM(J253:J257)</f>
        <v>2508</v>
      </c>
      <c r="K259" s="59">
        <f t="shared" si="231"/>
        <v>588.54</v>
      </c>
      <c r="L259" s="61">
        <f>AVERAGE(L253:L257)</f>
        <v>30.339941477467697</v>
      </c>
      <c r="M259" s="64"/>
      <c r="N259" s="65">
        <f>SUM(N253:N258)</f>
        <v>23215724.199999999</v>
      </c>
    </row>
    <row r="260" spans="1:14" ht="16">
      <c r="A260" s="138">
        <v>46113</v>
      </c>
      <c r="B260" s="172" t="s">
        <v>62</v>
      </c>
      <c r="C260" s="83"/>
      <c r="D260" s="12"/>
      <c r="E260" s="36">
        <f t="shared" ref="E260:E267" si="232">D260-C260</f>
        <v>0</v>
      </c>
      <c r="F260" s="37"/>
      <c r="G260" s="13" t="e">
        <f t="shared" ref="G260:G267" si="233">(F260/E260)*100</f>
        <v>#DIV/0!</v>
      </c>
      <c r="H260" s="83"/>
      <c r="I260" s="126"/>
      <c r="J260" s="39">
        <f t="shared" ref="J260:J267" si="234">I260-H260</f>
        <v>0</v>
      </c>
      <c r="K260" s="39">
        <f t="shared" ref="K260:K267" si="235">F260</f>
        <v>0</v>
      </c>
      <c r="L260" s="136" t="e">
        <f t="shared" ref="L260:L267" si="236">(K260/J260)*100</f>
        <v>#DIV/0!</v>
      </c>
      <c r="M260" s="68"/>
      <c r="N260" s="121">
        <v>3000000</v>
      </c>
    </row>
    <row r="261" spans="1:14" ht="16">
      <c r="A261" s="138">
        <v>46115</v>
      </c>
      <c r="B261" s="172" t="s">
        <v>62</v>
      </c>
      <c r="C261" s="83"/>
      <c r="D261" s="83"/>
      <c r="E261" s="11">
        <f t="shared" si="232"/>
        <v>0</v>
      </c>
      <c r="F261" s="141"/>
      <c r="G261" s="13" t="e">
        <f t="shared" si="233"/>
        <v>#DIV/0!</v>
      </c>
      <c r="H261" s="83"/>
      <c r="I261" s="125"/>
      <c r="J261" s="83">
        <f t="shared" si="234"/>
        <v>0</v>
      </c>
      <c r="K261" s="83">
        <f t="shared" si="235"/>
        <v>0</v>
      </c>
      <c r="L261" s="136" t="e">
        <f t="shared" si="236"/>
        <v>#DIV/0!</v>
      </c>
      <c r="M261" s="116"/>
      <c r="N261" s="121">
        <v>5000000</v>
      </c>
    </row>
    <row r="262" spans="1:14" ht="16">
      <c r="A262" s="138">
        <v>46118</v>
      </c>
      <c r="B262" s="172" t="s">
        <v>62</v>
      </c>
      <c r="C262" s="83"/>
      <c r="D262" s="83"/>
      <c r="E262" s="11">
        <f t="shared" si="232"/>
        <v>0</v>
      </c>
      <c r="F262" s="141"/>
      <c r="G262" s="13" t="e">
        <f t="shared" si="233"/>
        <v>#DIV/0!</v>
      </c>
      <c r="H262" s="83"/>
      <c r="I262" s="125"/>
      <c r="J262" s="83">
        <f t="shared" si="234"/>
        <v>0</v>
      </c>
      <c r="K262" s="83">
        <f t="shared" si="235"/>
        <v>0</v>
      </c>
      <c r="L262" s="136" t="e">
        <f t="shared" si="236"/>
        <v>#DIV/0!</v>
      </c>
      <c r="M262" s="116"/>
      <c r="N262" s="121">
        <v>5000000</v>
      </c>
    </row>
    <row r="263" spans="1:14" ht="16">
      <c r="A263" s="138">
        <v>46121</v>
      </c>
      <c r="B263" s="172" t="s">
        <v>62</v>
      </c>
      <c r="C263" s="83"/>
      <c r="D263" s="83"/>
      <c r="E263" s="11">
        <f t="shared" si="232"/>
        <v>0</v>
      </c>
      <c r="F263" s="141"/>
      <c r="G263" s="13" t="e">
        <f t="shared" si="233"/>
        <v>#DIV/0!</v>
      </c>
      <c r="H263" s="83"/>
      <c r="I263" s="125"/>
      <c r="J263" s="83">
        <f t="shared" si="234"/>
        <v>0</v>
      </c>
      <c r="K263" s="83">
        <f t="shared" si="235"/>
        <v>0</v>
      </c>
      <c r="L263" s="136" t="e">
        <f t="shared" si="236"/>
        <v>#DIV/0!</v>
      </c>
      <c r="M263" s="116"/>
      <c r="N263" s="121">
        <v>3000000</v>
      </c>
    </row>
    <row r="264" spans="1:14" ht="16">
      <c r="A264" s="138">
        <v>46122</v>
      </c>
      <c r="B264" s="172" t="s">
        <v>62</v>
      </c>
      <c r="C264" s="83"/>
      <c r="D264" s="83"/>
      <c r="E264" s="11">
        <f t="shared" si="232"/>
        <v>0</v>
      </c>
      <c r="F264" s="141"/>
      <c r="G264" s="13" t="e">
        <f t="shared" si="233"/>
        <v>#DIV/0!</v>
      </c>
      <c r="H264" s="83"/>
      <c r="I264" s="125"/>
      <c r="J264" s="83">
        <f t="shared" si="234"/>
        <v>0</v>
      </c>
      <c r="K264" s="83">
        <f t="shared" si="235"/>
        <v>0</v>
      </c>
      <c r="L264" s="136" t="e">
        <f t="shared" si="236"/>
        <v>#DIV/0!</v>
      </c>
      <c r="M264" s="116"/>
      <c r="N264" s="121">
        <v>10000000</v>
      </c>
    </row>
    <row r="265" spans="1:14" ht="16">
      <c r="A265" s="138">
        <v>46130</v>
      </c>
      <c r="B265" s="172" t="s">
        <v>62</v>
      </c>
      <c r="C265" s="83"/>
      <c r="D265" s="83"/>
      <c r="E265" s="11">
        <f t="shared" si="232"/>
        <v>0</v>
      </c>
      <c r="F265" s="141"/>
      <c r="G265" s="13" t="e">
        <f t="shared" si="233"/>
        <v>#DIV/0!</v>
      </c>
      <c r="H265" s="83"/>
      <c r="I265" s="125"/>
      <c r="J265" s="83">
        <f t="shared" si="234"/>
        <v>0</v>
      </c>
      <c r="K265" s="83">
        <f t="shared" si="235"/>
        <v>0</v>
      </c>
      <c r="L265" s="136" t="e">
        <f t="shared" si="236"/>
        <v>#DIV/0!</v>
      </c>
      <c r="M265" s="116"/>
      <c r="N265" s="121">
        <v>3000000</v>
      </c>
    </row>
    <row r="266" spans="1:14" ht="16">
      <c r="A266" s="138">
        <v>46135</v>
      </c>
      <c r="B266" s="172" t="s">
        <v>62</v>
      </c>
      <c r="C266" s="83"/>
      <c r="D266" s="83"/>
      <c r="E266" s="11">
        <f t="shared" si="232"/>
        <v>0</v>
      </c>
      <c r="F266" s="141"/>
      <c r="G266" s="13" t="e">
        <f t="shared" si="233"/>
        <v>#DIV/0!</v>
      </c>
      <c r="H266" s="83"/>
      <c r="I266" s="125"/>
      <c r="J266" s="83">
        <f t="shared" si="234"/>
        <v>0</v>
      </c>
      <c r="K266" s="83">
        <f t="shared" si="235"/>
        <v>0</v>
      </c>
      <c r="L266" s="136" t="e">
        <f t="shared" si="236"/>
        <v>#DIV/0!</v>
      </c>
      <c r="M266" s="116"/>
      <c r="N266" s="121">
        <v>3000000</v>
      </c>
    </row>
    <row r="267" spans="1:14" ht="16">
      <c r="A267" s="138">
        <v>46141</v>
      </c>
      <c r="B267" s="172" t="s">
        <v>62</v>
      </c>
      <c r="C267" s="83"/>
      <c r="D267" s="83"/>
      <c r="E267" s="11">
        <f t="shared" si="232"/>
        <v>0</v>
      </c>
      <c r="F267" s="141"/>
      <c r="G267" s="13" t="e">
        <f t="shared" si="233"/>
        <v>#DIV/0!</v>
      </c>
      <c r="H267" s="83"/>
      <c r="I267" s="125"/>
      <c r="J267" s="83">
        <f t="shared" si="234"/>
        <v>0</v>
      </c>
      <c r="K267" s="83">
        <f t="shared" si="235"/>
        <v>0</v>
      </c>
      <c r="L267" s="136" t="e">
        <f t="shared" si="236"/>
        <v>#DIV/0!</v>
      </c>
      <c r="M267" s="116"/>
      <c r="N267" s="121">
        <v>4000000</v>
      </c>
    </row>
    <row r="268" spans="1:14" ht="16">
      <c r="A268" s="59"/>
      <c r="B268" s="60"/>
      <c r="C268" s="59"/>
      <c r="D268" s="59"/>
      <c r="E268" s="59">
        <f t="shared" ref="E268:F268" si="237">SUM(E260:E264)</f>
        <v>0</v>
      </c>
      <c r="F268" s="59">
        <f t="shared" si="237"/>
        <v>0</v>
      </c>
      <c r="G268" s="61" t="e">
        <f>AVERAGE(G260:G264)</f>
        <v>#DIV/0!</v>
      </c>
      <c r="H268" s="59"/>
      <c r="I268" s="62"/>
      <c r="J268" s="59">
        <f t="shared" ref="J268:K268" si="238">SUM(J260:J264)</f>
        <v>0</v>
      </c>
      <c r="K268" s="59">
        <f t="shared" si="238"/>
        <v>0</v>
      </c>
      <c r="L268" s="61" t="e">
        <f>AVERAGE(L260:L264)</f>
        <v>#DIV/0!</v>
      </c>
      <c r="M268" s="64"/>
      <c r="N268" s="65">
        <f>SUM(N260:N267)</f>
        <v>36000000</v>
      </c>
    </row>
    <row r="269" spans="1:14" ht="16">
      <c r="A269" s="66">
        <v>46113</v>
      </c>
      <c r="B269" s="140" t="s">
        <v>54</v>
      </c>
      <c r="C269" s="83"/>
      <c r="D269" s="12"/>
      <c r="E269" s="36">
        <f t="shared" ref="E269:E274" si="239">D269-C269</f>
        <v>0</v>
      </c>
      <c r="F269" s="37"/>
      <c r="G269" s="13" t="e">
        <f t="shared" ref="G269:G274" si="240">(F269/E269)*100</f>
        <v>#DIV/0!</v>
      </c>
      <c r="H269" s="83"/>
      <c r="I269" s="126"/>
      <c r="J269" s="39">
        <f t="shared" ref="J269:J276" si="241">I269-H269</f>
        <v>0</v>
      </c>
      <c r="K269" s="39"/>
      <c r="L269" s="136" t="e">
        <f t="shared" ref="L269:L276" si="242">(K269/J269)*100</f>
        <v>#DIV/0!</v>
      </c>
      <c r="M269" s="68"/>
      <c r="N269" s="47">
        <v>3000000</v>
      </c>
    </row>
    <row r="270" spans="1:14" ht="16">
      <c r="A270" s="33">
        <v>46115</v>
      </c>
      <c r="B270" s="140" t="s">
        <v>54</v>
      </c>
      <c r="C270" s="83"/>
      <c r="D270" s="83"/>
      <c r="E270" s="11">
        <f t="shared" si="239"/>
        <v>0</v>
      </c>
      <c r="F270" s="141"/>
      <c r="G270" s="13" t="e">
        <f t="shared" si="240"/>
        <v>#DIV/0!</v>
      </c>
      <c r="H270" s="83"/>
      <c r="I270" s="125"/>
      <c r="J270" s="83">
        <f t="shared" si="241"/>
        <v>0</v>
      </c>
      <c r="K270" s="83">
        <f t="shared" ref="K270:K276" si="243">F270</f>
        <v>0</v>
      </c>
      <c r="L270" s="136" t="e">
        <f t="shared" si="242"/>
        <v>#DIV/0!</v>
      </c>
      <c r="M270" s="116"/>
      <c r="N270" s="47">
        <v>3000000</v>
      </c>
    </row>
    <row r="271" spans="1:14" ht="16">
      <c r="A271" s="33">
        <v>46115</v>
      </c>
      <c r="B271" s="140" t="s">
        <v>54</v>
      </c>
      <c r="C271" s="83"/>
      <c r="D271" s="83"/>
      <c r="E271" s="11">
        <f t="shared" si="239"/>
        <v>0</v>
      </c>
      <c r="F271" s="141"/>
      <c r="G271" s="13" t="e">
        <f t="shared" si="240"/>
        <v>#DIV/0!</v>
      </c>
      <c r="H271" s="83"/>
      <c r="I271" s="125"/>
      <c r="J271" s="83">
        <f t="shared" si="241"/>
        <v>0</v>
      </c>
      <c r="K271" s="83">
        <f t="shared" si="243"/>
        <v>0</v>
      </c>
      <c r="L271" s="136" t="e">
        <f t="shared" si="242"/>
        <v>#DIV/0!</v>
      </c>
      <c r="M271" s="116"/>
      <c r="N271" s="47">
        <v>3000000</v>
      </c>
    </row>
    <row r="272" spans="1:14" ht="16">
      <c r="A272" s="33">
        <v>46120</v>
      </c>
      <c r="B272" s="140" t="s">
        <v>54</v>
      </c>
      <c r="C272" s="83"/>
      <c r="D272" s="83"/>
      <c r="E272" s="11">
        <f t="shared" si="239"/>
        <v>0</v>
      </c>
      <c r="F272" s="141"/>
      <c r="G272" s="13" t="e">
        <f t="shared" si="240"/>
        <v>#DIV/0!</v>
      </c>
      <c r="H272" s="83"/>
      <c r="I272" s="125"/>
      <c r="J272" s="83">
        <f t="shared" si="241"/>
        <v>0</v>
      </c>
      <c r="K272" s="83">
        <f t="shared" si="243"/>
        <v>0</v>
      </c>
      <c r="L272" s="136" t="e">
        <f t="shared" si="242"/>
        <v>#DIV/0!</v>
      </c>
      <c r="M272" s="116"/>
      <c r="N272" s="47">
        <v>3000000</v>
      </c>
    </row>
    <row r="273" spans="1:14" ht="16">
      <c r="A273" s="33">
        <v>46122</v>
      </c>
      <c r="B273" s="140" t="s">
        <v>54</v>
      </c>
      <c r="C273" s="83"/>
      <c r="D273" s="83"/>
      <c r="E273" s="11">
        <f t="shared" si="239"/>
        <v>0</v>
      </c>
      <c r="F273" s="141"/>
      <c r="G273" s="13" t="e">
        <f t="shared" si="240"/>
        <v>#DIV/0!</v>
      </c>
      <c r="H273" s="83"/>
      <c r="I273" s="125"/>
      <c r="J273" s="83">
        <f t="shared" si="241"/>
        <v>0</v>
      </c>
      <c r="K273" s="83">
        <f t="shared" si="243"/>
        <v>0</v>
      </c>
      <c r="L273" s="136" t="e">
        <f t="shared" si="242"/>
        <v>#DIV/0!</v>
      </c>
      <c r="M273" s="116"/>
      <c r="N273" s="47">
        <v>13800000</v>
      </c>
    </row>
    <row r="274" spans="1:14" ht="16">
      <c r="A274" s="33">
        <v>46135</v>
      </c>
      <c r="B274" s="140" t="s">
        <v>54</v>
      </c>
      <c r="C274" s="83"/>
      <c r="D274" s="83"/>
      <c r="E274" s="11">
        <f t="shared" si="239"/>
        <v>0</v>
      </c>
      <c r="F274" s="141"/>
      <c r="G274" s="13" t="e">
        <f t="shared" si="240"/>
        <v>#DIV/0!</v>
      </c>
      <c r="H274" s="83"/>
      <c r="I274" s="125"/>
      <c r="J274" s="83">
        <f t="shared" si="241"/>
        <v>0</v>
      </c>
      <c r="K274" s="83">
        <f t="shared" si="243"/>
        <v>0</v>
      </c>
      <c r="L274" s="136" t="e">
        <f t="shared" si="242"/>
        <v>#DIV/0!</v>
      </c>
      <c r="M274" s="116"/>
      <c r="N274" s="47">
        <v>5000000</v>
      </c>
    </row>
    <row r="275" spans="1:14" ht="16">
      <c r="A275" s="33">
        <v>46137</v>
      </c>
      <c r="B275" s="140" t="s">
        <v>54</v>
      </c>
      <c r="C275" s="83"/>
      <c r="D275" s="83"/>
      <c r="E275" s="11"/>
      <c r="F275" s="141"/>
      <c r="G275" s="13"/>
      <c r="H275" s="83"/>
      <c r="I275" s="125"/>
      <c r="J275" s="83">
        <f t="shared" si="241"/>
        <v>0</v>
      </c>
      <c r="K275" s="83">
        <f t="shared" si="243"/>
        <v>0</v>
      </c>
      <c r="L275" s="136" t="e">
        <f t="shared" si="242"/>
        <v>#DIV/0!</v>
      </c>
      <c r="M275" s="116"/>
      <c r="N275" s="47">
        <v>5000000</v>
      </c>
    </row>
    <row r="276" spans="1:14" ht="16">
      <c r="A276" s="33"/>
      <c r="B276" s="140" t="s">
        <v>54</v>
      </c>
      <c r="C276" s="83"/>
      <c r="D276" s="83"/>
      <c r="E276" s="11">
        <f>D276-C276</f>
        <v>0</v>
      </c>
      <c r="F276" s="141"/>
      <c r="G276" s="13" t="e">
        <f>(F276/E276)*100</f>
        <v>#DIV/0!</v>
      </c>
      <c r="H276" s="83"/>
      <c r="I276" s="125"/>
      <c r="J276" s="83">
        <f t="shared" si="241"/>
        <v>0</v>
      </c>
      <c r="K276" s="83">
        <f t="shared" si="243"/>
        <v>0</v>
      </c>
      <c r="L276" s="136" t="e">
        <f t="shared" si="242"/>
        <v>#DIV/0!</v>
      </c>
      <c r="M276" s="116"/>
      <c r="N276" s="47">
        <f>M276*F276</f>
        <v>0</v>
      </c>
    </row>
    <row r="277" spans="1:14" ht="16">
      <c r="A277" s="66"/>
      <c r="B277" s="60"/>
      <c r="C277" s="59"/>
      <c r="D277" s="59" t="s">
        <v>19</v>
      </c>
      <c r="E277" s="59">
        <f t="shared" ref="E277:F277" si="244">SUM(E269:E276)</f>
        <v>0</v>
      </c>
      <c r="F277" s="59">
        <f t="shared" si="244"/>
        <v>0</v>
      </c>
      <c r="G277" s="61" t="e">
        <f>AVERAGE(G269:G276)</f>
        <v>#DIV/0!</v>
      </c>
      <c r="H277" s="59"/>
      <c r="I277" s="62"/>
      <c r="J277" s="59">
        <f t="shared" ref="J277:K277" si="245">SUM(J269:J276)</f>
        <v>0</v>
      </c>
      <c r="K277" s="59">
        <f t="shared" si="245"/>
        <v>0</v>
      </c>
      <c r="L277" s="61" t="e">
        <f>AVERAGE(L269:L276)</f>
        <v>#DIV/0!</v>
      </c>
      <c r="M277" s="64"/>
      <c r="N277" s="65">
        <f>SUM(N269:N276)</f>
        <v>35800000</v>
      </c>
    </row>
    <row r="278" spans="1:14" ht="16">
      <c r="A278" s="66">
        <v>46113</v>
      </c>
      <c r="B278" s="140" t="s">
        <v>69</v>
      </c>
      <c r="C278" s="83"/>
      <c r="D278" s="12"/>
      <c r="E278" s="36">
        <f t="shared" ref="E278:E285" si="246">D278-C278</f>
        <v>0</v>
      </c>
      <c r="F278" s="37"/>
      <c r="G278" s="13" t="e">
        <f t="shared" ref="G278:G285" si="247">(F278/E278)*100</f>
        <v>#DIV/0!</v>
      </c>
      <c r="H278" s="83"/>
      <c r="I278" s="126"/>
      <c r="J278" s="39">
        <f t="shared" ref="J278:J285" si="248">I278-H278</f>
        <v>0</v>
      </c>
      <c r="K278" s="39">
        <f t="shared" ref="K278:K280" si="249">F278</f>
        <v>0</v>
      </c>
      <c r="L278" s="67" t="e">
        <f t="shared" ref="L278:L285" si="250">(K278/J278)*100</f>
        <v>#DIV/0!</v>
      </c>
      <c r="M278" s="68"/>
      <c r="N278" s="47">
        <v>3000000</v>
      </c>
    </row>
    <row r="279" spans="1:14" ht="16">
      <c r="A279" s="33">
        <v>46113</v>
      </c>
      <c r="B279" s="140" t="s">
        <v>69</v>
      </c>
      <c r="C279" s="83"/>
      <c r="D279" s="83"/>
      <c r="E279" s="11">
        <f t="shared" si="246"/>
        <v>0</v>
      </c>
      <c r="F279" s="141"/>
      <c r="G279" s="13" t="e">
        <f t="shared" si="247"/>
        <v>#DIV/0!</v>
      </c>
      <c r="H279" s="83"/>
      <c r="I279" s="125"/>
      <c r="J279" s="35">
        <f t="shared" si="248"/>
        <v>0</v>
      </c>
      <c r="K279" s="35">
        <f t="shared" si="249"/>
        <v>0</v>
      </c>
      <c r="L279" s="46" t="e">
        <f t="shared" si="250"/>
        <v>#DIV/0!</v>
      </c>
      <c r="M279" s="116"/>
      <c r="N279" s="47">
        <v>1000000</v>
      </c>
    </row>
    <row r="280" spans="1:14" ht="16">
      <c r="A280" s="33">
        <v>46114</v>
      </c>
      <c r="B280" s="140" t="s">
        <v>69</v>
      </c>
      <c r="C280" s="83"/>
      <c r="D280" s="12"/>
      <c r="E280" s="36">
        <f t="shared" si="246"/>
        <v>0</v>
      </c>
      <c r="F280" s="37"/>
      <c r="G280" s="13" t="e">
        <f t="shared" si="247"/>
        <v>#DIV/0!</v>
      </c>
      <c r="H280" s="83"/>
      <c r="I280" s="126"/>
      <c r="J280" s="39">
        <f t="shared" si="248"/>
        <v>0</v>
      </c>
      <c r="K280" s="39">
        <f t="shared" si="249"/>
        <v>0</v>
      </c>
      <c r="L280" s="67" t="e">
        <f t="shared" si="250"/>
        <v>#DIV/0!</v>
      </c>
      <c r="M280" s="68"/>
      <c r="N280" s="47">
        <v>3000000</v>
      </c>
    </row>
    <row r="281" spans="1:14" ht="16">
      <c r="A281" s="33">
        <v>46115</v>
      </c>
      <c r="B281" s="140" t="s">
        <v>69</v>
      </c>
      <c r="C281" s="83"/>
      <c r="D281" s="83"/>
      <c r="E281" s="11">
        <f t="shared" si="246"/>
        <v>0</v>
      </c>
      <c r="F281" s="141"/>
      <c r="G281" s="13" t="e">
        <f t="shared" si="247"/>
        <v>#DIV/0!</v>
      </c>
      <c r="H281" s="83"/>
      <c r="I281" s="125"/>
      <c r="J281" s="35">
        <f t="shared" si="248"/>
        <v>0</v>
      </c>
      <c r="K281" s="35"/>
      <c r="L281" s="46" t="e">
        <f t="shared" si="250"/>
        <v>#DIV/0!</v>
      </c>
      <c r="M281" s="116"/>
      <c r="N281" s="47">
        <v>3000000</v>
      </c>
    </row>
    <row r="282" spans="1:14" ht="18.75" customHeight="1">
      <c r="A282" s="33">
        <v>46119</v>
      </c>
      <c r="B282" s="140" t="s">
        <v>69</v>
      </c>
      <c r="C282" s="83"/>
      <c r="D282" s="83"/>
      <c r="E282" s="11">
        <f t="shared" si="246"/>
        <v>0</v>
      </c>
      <c r="F282" s="141"/>
      <c r="G282" s="13" t="e">
        <f t="shared" si="247"/>
        <v>#DIV/0!</v>
      </c>
      <c r="H282" s="83"/>
      <c r="I282" s="125"/>
      <c r="J282" s="35">
        <f t="shared" si="248"/>
        <v>0</v>
      </c>
      <c r="K282" s="35">
        <f t="shared" ref="K282:K285" si="251">F282</f>
        <v>0</v>
      </c>
      <c r="L282" s="73" t="e">
        <f t="shared" si="250"/>
        <v>#DIV/0!</v>
      </c>
      <c r="M282" s="116"/>
      <c r="N282" s="47">
        <v>2000000</v>
      </c>
    </row>
    <row r="283" spans="1:14" ht="16">
      <c r="A283" s="33">
        <v>46121</v>
      </c>
      <c r="B283" s="140" t="s">
        <v>69</v>
      </c>
      <c r="C283" s="83"/>
      <c r="D283" s="83"/>
      <c r="E283" s="11">
        <f t="shared" si="246"/>
        <v>0</v>
      </c>
      <c r="F283" s="141"/>
      <c r="G283" s="13" t="e">
        <f t="shared" si="247"/>
        <v>#DIV/0!</v>
      </c>
      <c r="H283" s="83"/>
      <c r="I283" s="125"/>
      <c r="J283" s="83">
        <f t="shared" si="248"/>
        <v>0</v>
      </c>
      <c r="K283" s="83">
        <f t="shared" si="251"/>
        <v>0</v>
      </c>
      <c r="L283" s="136" t="e">
        <f t="shared" si="250"/>
        <v>#DIV/0!</v>
      </c>
      <c r="M283" s="116"/>
      <c r="N283" s="47">
        <v>2000000</v>
      </c>
    </row>
    <row r="284" spans="1:14" ht="16">
      <c r="A284" s="33"/>
      <c r="B284" s="140" t="s">
        <v>69</v>
      </c>
      <c r="C284" s="83"/>
      <c r="D284" s="83"/>
      <c r="E284" s="11">
        <f t="shared" si="246"/>
        <v>0</v>
      </c>
      <c r="F284" s="141"/>
      <c r="G284" s="13" t="e">
        <f t="shared" si="247"/>
        <v>#DIV/0!</v>
      </c>
      <c r="H284" s="83"/>
      <c r="I284" s="125"/>
      <c r="J284" s="83">
        <f t="shared" si="248"/>
        <v>0</v>
      </c>
      <c r="K284" s="83">
        <f t="shared" si="251"/>
        <v>0</v>
      </c>
      <c r="L284" s="136" t="e">
        <f t="shared" si="250"/>
        <v>#DIV/0!</v>
      </c>
      <c r="M284" s="116"/>
      <c r="N284" s="47"/>
    </row>
    <row r="285" spans="1:14" ht="16">
      <c r="A285" s="33"/>
      <c r="B285" s="140" t="s">
        <v>69</v>
      </c>
      <c r="C285" s="83"/>
      <c r="D285" s="83"/>
      <c r="E285" s="11">
        <f t="shared" si="246"/>
        <v>0</v>
      </c>
      <c r="F285" s="141"/>
      <c r="G285" s="13" t="e">
        <f t="shared" si="247"/>
        <v>#DIV/0!</v>
      </c>
      <c r="H285" s="83"/>
      <c r="I285" s="125"/>
      <c r="J285" s="83">
        <f t="shared" si="248"/>
        <v>0</v>
      </c>
      <c r="K285" s="83">
        <f t="shared" si="251"/>
        <v>0</v>
      </c>
      <c r="L285" s="136" t="e">
        <f t="shared" si="250"/>
        <v>#DIV/0!</v>
      </c>
      <c r="M285" s="116"/>
      <c r="N285" s="47"/>
    </row>
    <row r="286" spans="1:14" ht="16">
      <c r="A286" s="66"/>
      <c r="B286" s="60"/>
      <c r="C286" s="59"/>
      <c r="D286" s="59" t="s">
        <v>19</v>
      </c>
      <c r="E286" s="59">
        <f t="shared" ref="E286:F286" si="252">SUM(E278:E283)</f>
        <v>0</v>
      </c>
      <c r="F286" s="59">
        <f t="shared" si="252"/>
        <v>0</v>
      </c>
      <c r="G286" s="61" t="e">
        <f>AVERAGE(G278:G283)</f>
        <v>#DIV/0!</v>
      </c>
      <c r="H286" s="59"/>
      <c r="I286" s="62"/>
      <c r="J286" s="59">
        <f t="shared" ref="J286:K286" si="253">SUM(J278:J283)</f>
        <v>0</v>
      </c>
      <c r="K286" s="59">
        <f t="shared" si="253"/>
        <v>0</v>
      </c>
      <c r="L286" s="61" t="e">
        <f>AVERAGE(L278:L283)</f>
        <v>#DIV/0!</v>
      </c>
      <c r="M286" s="64"/>
      <c r="N286" s="65">
        <f>SUM(N278:N285)</f>
        <v>14000000</v>
      </c>
    </row>
    <row r="287" spans="1:14" ht="16">
      <c r="A287" s="66">
        <v>46114</v>
      </c>
      <c r="B287" s="174" t="s">
        <v>63</v>
      </c>
      <c r="C287" s="83">
        <v>154172</v>
      </c>
      <c r="D287" s="83"/>
      <c r="E287" s="36">
        <f t="shared" ref="E287:E292" si="254">D287-C287</f>
        <v>-154172</v>
      </c>
      <c r="F287" s="37">
        <v>84.65</v>
      </c>
      <c r="G287" s="13">
        <f t="shared" ref="G287:G292" si="255">(F287/E287)*100</f>
        <v>-5.4906208650079134E-2</v>
      </c>
      <c r="H287" s="83">
        <v>154017</v>
      </c>
      <c r="I287" s="83">
        <v>154963</v>
      </c>
      <c r="J287" s="39">
        <f t="shared" ref="J287:J292" si="256">I287-H287</f>
        <v>946</v>
      </c>
      <c r="K287" s="39">
        <f t="shared" ref="K287:K292" si="257">F287</f>
        <v>84.65</v>
      </c>
      <c r="L287" s="136">
        <f t="shared" ref="L287:L292" si="258">(K287/J287)*100</f>
        <v>8.9482029598308674</v>
      </c>
      <c r="M287" s="68">
        <v>35440</v>
      </c>
      <c r="N287" s="47">
        <f>M287*F287</f>
        <v>2999996</v>
      </c>
    </row>
    <row r="288" spans="1:14" ht="16">
      <c r="A288" s="33">
        <v>46131</v>
      </c>
      <c r="B288" s="174" t="s">
        <v>63</v>
      </c>
      <c r="C288" s="83"/>
      <c r="D288" s="12"/>
      <c r="E288" s="11">
        <f t="shared" si="254"/>
        <v>0</v>
      </c>
      <c r="F288" s="141">
        <v>291.32</v>
      </c>
      <c r="G288" s="13" t="e">
        <f t="shared" si="255"/>
        <v>#DIV/0!</v>
      </c>
      <c r="H288" s="83"/>
      <c r="I288" s="83"/>
      <c r="J288" s="39">
        <f t="shared" si="256"/>
        <v>0</v>
      </c>
      <c r="K288" s="35">
        <f t="shared" si="257"/>
        <v>291.32</v>
      </c>
      <c r="L288" s="136" t="e">
        <f t="shared" si="258"/>
        <v>#DIV/0!</v>
      </c>
      <c r="M288" s="68">
        <v>31040</v>
      </c>
      <c r="N288" s="47">
        <v>2042000</v>
      </c>
    </row>
    <row r="289" spans="1:14" ht="16">
      <c r="A289" s="33">
        <v>46119</v>
      </c>
      <c r="B289" s="174" t="s">
        <v>63</v>
      </c>
      <c r="C289" s="12"/>
      <c r="D289" s="83"/>
      <c r="E289" s="11">
        <f t="shared" si="254"/>
        <v>0</v>
      </c>
      <c r="F289" s="141"/>
      <c r="G289" s="13" t="e">
        <f t="shared" si="255"/>
        <v>#DIV/0!</v>
      </c>
      <c r="H289" s="83"/>
      <c r="I289" s="83"/>
      <c r="J289" s="83">
        <f t="shared" si="256"/>
        <v>0</v>
      </c>
      <c r="K289" s="35">
        <f t="shared" si="257"/>
        <v>0</v>
      </c>
      <c r="L289" s="136" t="e">
        <f t="shared" si="258"/>
        <v>#DIV/0!</v>
      </c>
      <c r="M289" s="116"/>
      <c r="N289" s="47">
        <v>12885000</v>
      </c>
    </row>
    <row r="290" spans="1:14" ht="16">
      <c r="A290" s="33"/>
      <c r="B290" s="174" t="s">
        <v>63</v>
      </c>
      <c r="C290" s="83"/>
      <c r="D290" s="83"/>
      <c r="E290" s="11">
        <f t="shared" si="254"/>
        <v>0</v>
      </c>
      <c r="F290" s="141"/>
      <c r="G290" s="13" t="e">
        <f t="shared" si="255"/>
        <v>#DIV/0!</v>
      </c>
      <c r="H290" s="83"/>
      <c r="I290" s="83"/>
      <c r="J290" s="83">
        <f t="shared" si="256"/>
        <v>0</v>
      </c>
      <c r="K290" s="35">
        <f t="shared" si="257"/>
        <v>0</v>
      </c>
      <c r="L290" s="136" t="e">
        <f t="shared" si="258"/>
        <v>#DIV/0!</v>
      </c>
      <c r="M290" s="116"/>
      <c r="N290" s="47">
        <f t="shared" ref="N290:N292" si="259">M290*F290</f>
        <v>0</v>
      </c>
    </row>
    <row r="291" spans="1:14" ht="16">
      <c r="A291" s="33"/>
      <c r="B291" s="174" t="s">
        <v>63</v>
      </c>
      <c r="C291" s="35"/>
      <c r="D291" s="83"/>
      <c r="E291" s="11">
        <f t="shared" si="254"/>
        <v>0</v>
      </c>
      <c r="F291" s="141"/>
      <c r="G291" s="13" t="e">
        <f t="shared" si="255"/>
        <v>#DIV/0!</v>
      </c>
      <c r="H291" s="83"/>
      <c r="I291" s="125"/>
      <c r="J291" s="83">
        <f t="shared" si="256"/>
        <v>0</v>
      </c>
      <c r="K291" s="35">
        <f t="shared" si="257"/>
        <v>0</v>
      </c>
      <c r="L291" s="136" t="e">
        <f t="shared" si="258"/>
        <v>#DIV/0!</v>
      </c>
      <c r="M291" s="116"/>
      <c r="N291" s="47">
        <f t="shared" si="259"/>
        <v>0</v>
      </c>
    </row>
    <row r="292" spans="1:14" ht="16">
      <c r="A292" s="138"/>
      <c r="B292" s="174" t="s">
        <v>63</v>
      </c>
      <c r="C292" s="83"/>
      <c r="D292" s="83"/>
      <c r="E292" s="11">
        <f t="shared" si="254"/>
        <v>0</v>
      </c>
      <c r="F292" s="141"/>
      <c r="G292" s="13" t="e">
        <f t="shared" si="255"/>
        <v>#DIV/0!</v>
      </c>
      <c r="H292" s="83"/>
      <c r="I292" s="125"/>
      <c r="J292" s="83">
        <f t="shared" si="256"/>
        <v>0</v>
      </c>
      <c r="K292" s="35">
        <f t="shared" si="257"/>
        <v>0</v>
      </c>
      <c r="L292" s="136" t="e">
        <f t="shared" si="258"/>
        <v>#DIV/0!</v>
      </c>
      <c r="M292" s="116"/>
      <c r="N292" s="47">
        <f t="shared" si="259"/>
        <v>0</v>
      </c>
    </row>
    <row r="293" spans="1:14" ht="16">
      <c r="A293" s="59"/>
      <c r="B293" s="60"/>
      <c r="C293" s="59"/>
      <c r="D293" s="59" t="s">
        <v>19</v>
      </c>
      <c r="E293" s="59">
        <f t="shared" ref="E293:F293" si="260">SUM(E287:E292)</f>
        <v>-154172</v>
      </c>
      <c r="F293" s="59">
        <f t="shared" si="260"/>
        <v>375.97</v>
      </c>
      <c r="G293" s="61" t="e">
        <f>AVERAGE(G287:G292)</f>
        <v>#DIV/0!</v>
      </c>
      <c r="H293" s="59"/>
      <c r="I293" s="62"/>
      <c r="J293" s="59">
        <f t="shared" ref="J293:K293" si="261">SUM(J287:J292)</f>
        <v>946</v>
      </c>
      <c r="K293" s="59">
        <f t="shared" si="261"/>
        <v>375.97</v>
      </c>
      <c r="L293" s="61" t="e">
        <f>AVERAGE(L287:L292)</f>
        <v>#DIV/0!</v>
      </c>
      <c r="M293" s="64"/>
      <c r="N293" s="65">
        <f>SUM(N287:N292)</f>
        <v>17926996</v>
      </c>
    </row>
    <row r="294" spans="1:14" ht="16">
      <c r="A294" s="66">
        <v>46113</v>
      </c>
      <c r="B294" s="174" t="s">
        <v>57</v>
      </c>
      <c r="C294" s="83">
        <v>9931</v>
      </c>
      <c r="D294" s="83">
        <v>10073</v>
      </c>
      <c r="E294" s="11">
        <f t="shared" ref="E294:E299" si="262">D294-C294</f>
        <v>142</v>
      </c>
      <c r="F294" s="37">
        <v>84.65</v>
      </c>
      <c r="G294" s="13">
        <f t="shared" ref="G294:G299" si="263">(F294/E294)*100</f>
        <v>59.612676056338032</v>
      </c>
      <c r="H294" s="125">
        <v>9937</v>
      </c>
      <c r="I294" s="125">
        <v>10200</v>
      </c>
      <c r="J294" s="39">
        <f t="shared" ref="J294:J299" si="264">I294-H294</f>
        <v>263</v>
      </c>
      <c r="K294" s="39">
        <f t="shared" ref="K294:K299" si="265">F294</f>
        <v>84.65</v>
      </c>
      <c r="L294" s="136">
        <f t="shared" ref="L294:L299" si="266">(K294/J294)*100</f>
        <v>32.186311787072249</v>
      </c>
      <c r="M294" s="68">
        <v>35440</v>
      </c>
      <c r="N294" s="47">
        <f t="shared" ref="N294:N299" si="267">M294*F294</f>
        <v>2999996</v>
      </c>
    </row>
    <row r="295" spans="1:14" ht="16">
      <c r="A295" s="66">
        <v>46114</v>
      </c>
      <c r="B295" s="174" t="s">
        <v>57</v>
      </c>
      <c r="C295" s="83">
        <v>10073</v>
      </c>
      <c r="D295" s="12">
        <v>10256</v>
      </c>
      <c r="E295" s="11">
        <f t="shared" si="262"/>
        <v>183</v>
      </c>
      <c r="F295" s="141">
        <v>84.65</v>
      </c>
      <c r="G295" s="13">
        <f t="shared" si="263"/>
        <v>46.256830601092901</v>
      </c>
      <c r="H295" s="125">
        <v>10200</v>
      </c>
      <c r="I295" s="125">
        <v>10254</v>
      </c>
      <c r="J295" s="83">
        <f t="shared" si="264"/>
        <v>54</v>
      </c>
      <c r="K295" s="39">
        <f t="shared" si="265"/>
        <v>84.65</v>
      </c>
      <c r="L295" s="136">
        <f t="shared" si="266"/>
        <v>156.75925925925927</v>
      </c>
      <c r="M295" s="68">
        <v>35440</v>
      </c>
      <c r="N295" s="47">
        <f t="shared" si="267"/>
        <v>2999996</v>
      </c>
    </row>
    <row r="296" spans="1:14" ht="16">
      <c r="A296" s="33">
        <v>46118</v>
      </c>
      <c r="B296" s="174" t="s">
        <v>57</v>
      </c>
      <c r="C296" s="12">
        <v>10256</v>
      </c>
      <c r="D296" s="83">
        <v>10543</v>
      </c>
      <c r="E296" s="11">
        <f t="shared" si="262"/>
        <v>287</v>
      </c>
      <c r="F296" s="141">
        <v>107.51</v>
      </c>
      <c r="G296" s="13">
        <f t="shared" si="263"/>
        <v>37.459930313588849</v>
      </c>
      <c r="H296" s="125">
        <v>10254</v>
      </c>
      <c r="I296" s="125">
        <v>10549</v>
      </c>
      <c r="J296" s="83">
        <f t="shared" si="264"/>
        <v>295</v>
      </c>
      <c r="K296" s="35">
        <f t="shared" si="265"/>
        <v>107.51</v>
      </c>
      <c r="L296" s="136">
        <f t="shared" si="266"/>
        <v>36.44406779661017</v>
      </c>
      <c r="M296" s="68">
        <v>44780</v>
      </c>
      <c r="N296" s="47">
        <f t="shared" si="267"/>
        <v>4814297.8</v>
      </c>
    </row>
    <row r="297" spans="1:14" ht="16">
      <c r="A297" s="33">
        <v>46123</v>
      </c>
      <c r="B297" s="174" t="s">
        <v>57</v>
      </c>
      <c r="C297" s="83">
        <v>10543</v>
      </c>
      <c r="D297" s="83">
        <v>11064</v>
      </c>
      <c r="E297" s="11">
        <f t="shared" si="262"/>
        <v>521</v>
      </c>
      <c r="F297" s="141">
        <v>157.78</v>
      </c>
      <c r="G297" s="13">
        <f t="shared" si="263"/>
        <v>30.284069097888676</v>
      </c>
      <c r="H297" s="125">
        <v>10549</v>
      </c>
      <c r="I297" s="125">
        <v>11084</v>
      </c>
      <c r="J297" s="83">
        <f t="shared" si="264"/>
        <v>535</v>
      </c>
      <c r="K297" s="35">
        <f t="shared" si="265"/>
        <v>157.78</v>
      </c>
      <c r="L297" s="136">
        <f t="shared" si="266"/>
        <v>29.49158878504673</v>
      </c>
      <c r="M297" s="116">
        <v>32960</v>
      </c>
      <c r="N297" s="47">
        <f t="shared" si="267"/>
        <v>5200428.8</v>
      </c>
    </row>
    <row r="298" spans="1:14" ht="16">
      <c r="A298" s="33">
        <v>46130</v>
      </c>
      <c r="B298" s="174" t="s">
        <v>57</v>
      </c>
      <c r="C298" s="83">
        <v>11064</v>
      </c>
      <c r="D298" s="83">
        <v>11600</v>
      </c>
      <c r="E298" s="11">
        <f t="shared" si="262"/>
        <v>536</v>
      </c>
      <c r="F298" s="141">
        <v>172.37</v>
      </c>
      <c r="G298" s="13">
        <f t="shared" si="263"/>
        <v>32.15858208955224</v>
      </c>
      <c r="H298" s="125">
        <v>11084</v>
      </c>
      <c r="I298" s="125">
        <v>11661</v>
      </c>
      <c r="J298" s="83">
        <f t="shared" si="264"/>
        <v>577</v>
      </c>
      <c r="K298" s="35">
        <f t="shared" si="265"/>
        <v>172.37</v>
      </c>
      <c r="L298" s="136">
        <f t="shared" si="266"/>
        <v>29.873483535528596</v>
      </c>
      <c r="M298" s="116">
        <v>31040</v>
      </c>
      <c r="N298" s="47">
        <f t="shared" si="267"/>
        <v>5350364.8</v>
      </c>
    </row>
    <row r="299" spans="1:14" ht="16">
      <c r="A299" s="138">
        <v>46137</v>
      </c>
      <c r="B299" s="174" t="s">
        <v>57</v>
      </c>
      <c r="C299" s="83">
        <v>11600</v>
      </c>
      <c r="D299" s="83">
        <v>12096</v>
      </c>
      <c r="E299" s="11">
        <f t="shared" si="262"/>
        <v>496</v>
      </c>
      <c r="F299" s="141">
        <v>160.78</v>
      </c>
      <c r="G299" s="13">
        <f t="shared" si="263"/>
        <v>32.41532258064516</v>
      </c>
      <c r="H299" s="125">
        <v>11661</v>
      </c>
      <c r="I299" s="125">
        <v>12226</v>
      </c>
      <c r="J299" s="83">
        <f t="shared" si="264"/>
        <v>565</v>
      </c>
      <c r="K299" s="35">
        <f t="shared" si="265"/>
        <v>160.78</v>
      </c>
      <c r="L299" s="136">
        <f t="shared" si="266"/>
        <v>28.45663716814159</v>
      </c>
      <c r="M299" s="116">
        <v>26690</v>
      </c>
      <c r="N299" s="47">
        <f t="shared" si="267"/>
        <v>4291218.2</v>
      </c>
    </row>
    <row r="300" spans="1:14" ht="16">
      <c r="A300" s="59"/>
      <c r="B300" s="60"/>
      <c r="C300" s="59"/>
      <c r="D300" s="59" t="s">
        <v>19</v>
      </c>
      <c r="E300" s="59">
        <f t="shared" ref="E300:F300" si="268">SUM(E294:E299)</f>
        <v>2165</v>
      </c>
      <c r="F300" s="59">
        <f t="shared" si="268"/>
        <v>767.74</v>
      </c>
      <c r="G300" s="61">
        <f>AVERAGE(G294:G299)</f>
        <v>39.697901789850974</v>
      </c>
      <c r="H300" s="59"/>
      <c r="I300" s="62"/>
      <c r="J300" s="59">
        <f t="shared" ref="J300:K300" si="269">SUM(J294:J299)</f>
        <v>2289</v>
      </c>
      <c r="K300" s="59">
        <f t="shared" si="269"/>
        <v>767.74</v>
      </c>
      <c r="L300" s="61">
        <f>AVERAGE(L294:L299)</f>
        <v>52.201891388609766</v>
      </c>
      <c r="M300" s="64"/>
      <c r="N300" s="65">
        <f>SUM(N294:N299)</f>
        <v>25656301.600000001</v>
      </c>
    </row>
    <row r="301" spans="1:14" ht="16">
      <c r="A301" s="66">
        <v>46113</v>
      </c>
      <c r="B301" s="174" t="s">
        <v>58</v>
      </c>
      <c r="C301" s="83">
        <v>10168</v>
      </c>
      <c r="D301" s="83">
        <v>10283</v>
      </c>
      <c r="E301" s="11">
        <f t="shared" ref="E301:E309" si="270">D301-C301</f>
        <v>115</v>
      </c>
      <c r="F301" s="37">
        <v>84.65</v>
      </c>
      <c r="G301" s="13">
        <f t="shared" ref="G301:G309" si="271">(F301/E301)*100</f>
        <v>73.608695652173921</v>
      </c>
      <c r="H301" s="125">
        <v>9934</v>
      </c>
      <c r="I301" s="125">
        <v>9982</v>
      </c>
      <c r="J301" s="83">
        <f t="shared" ref="J301:J309" si="272">I301-H301</f>
        <v>48</v>
      </c>
      <c r="K301" s="39">
        <f t="shared" ref="K301:K309" si="273">F301</f>
        <v>84.65</v>
      </c>
      <c r="L301" s="136">
        <f t="shared" ref="L301:L309" si="274">(K301/J301)*100</f>
        <v>176.35416666666669</v>
      </c>
      <c r="M301" s="68">
        <v>35440</v>
      </c>
      <c r="N301" s="47">
        <f t="shared" ref="N301:N309" si="275">M301*F301</f>
        <v>2999996</v>
      </c>
    </row>
    <row r="302" spans="1:14" ht="16">
      <c r="A302" s="33">
        <v>46118</v>
      </c>
      <c r="B302" s="174" t="s">
        <v>58</v>
      </c>
      <c r="C302" s="83">
        <v>10283</v>
      </c>
      <c r="D302" s="12">
        <v>10843</v>
      </c>
      <c r="E302" s="11">
        <f t="shared" si="270"/>
        <v>560</v>
      </c>
      <c r="F302" s="141">
        <v>147.38</v>
      </c>
      <c r="G302" s="13">
        <f t="shared" si="271"/>
        <v>26.317857142857143</v>
      </c>
      <c r="H302" s="125">
        <v>9982</v>
      </c>
      <c r="I302" s="125">
        <v>10344</v>
      </c>
      <c r="J302" s="83">
        <f t="shared" si="272"/>
        <v>362</v>
      </c>
      <c r="K302" s="35">
        <f t="shared" si="273"/>
        <v>147.38</v>
      </c>
      <c r="L302" s="136">
        <f t="shared" si="274"/>
        <v>40.712707182320443</v>
      </c>
      <c r="M302" s="68">
        <v>44780</v>
      </c>
      <c r="N302" s="47">
        <f t="shared" si="275"/>
        <v>6599676.3999999994</v>
      </c>
    </row>
    <row r="303" spans="1:14" ht="16">
      <c r="A303" s="33">
        <v>46123</v>
      </c>
      <c r="B303" s="174" t="s">
        <v>58</v>
      </c>
      <c r="C303" s="12">
        <v>10843</v>
      </c>
      <c r="D303" s="83">
        <v>11233</v>
      </c>
      <c r="E303" s="11">
        <f t="shared" si="270"/>
        <v>390</v>
      </c>
      <c r="F303" s="141">
        <v>197.21</v>
      </c>
      <c r="G303" s="13">
        <f t="shared" si="271"/>
        <v>50.56666666666667</v>
      </c>
      <c r="H303" s="125">
        <v>10344</v>
      </c>
      <c r="I303" s="125">
        <v>10953</v>
      </c>
      <c r="J303" s="83">
        <f t="shared" si="272"/>
        <v>609</v>
      </c>
      <c r="K303" s="35">
        <f t="shared" si="273"/>
        <v>197.21</v>
      </c>
      <c r="L303" s="136">
        <f t="shared" si="274"/>
        <v>32.382594417077179</v>
      </c>
      <c r="M303" s="116">
        <v>32960</v>
      </c>
      <c r="N303" s="47">
        <f t="shared" si="275"/>
        <v>6500041.6000000006</v>
      </c>
    </row>
    <row r="304" spans="1:14" ht="16">
      <c r="A304" s="33">
        <v>46129</v>
      </c>
      <c r="B304" s="174" t="s">
        <v>58</v>
      </c>
      <c r="C304" s="83">
        <v>11233</v>
      </c>
      <c r="D304" s="83">
        <v>11704</v>
      </c>
      <c r="E304" s="11">
        <f t="shared" si="270"/>
        <v>471</v>
      </c>
      <c r="F304" s="141">
        <v>154.63999999999999</v>
      </c>
      <c r="G304" s="13">
        <f t="shared" si="271"/>
        <v>32.832271762208066</v>
      </c>
      <c r="H304" s="125">
        <v>10953</v>
      </c>
      <c r="I304" s="125">
        <v>11510</v>
      </c>
      <c r="J304" s="83">
        <f t="shared" si="272"/>
        <v>557</v>
      </c>
      <c r="K304" s="35">
        <f t="shared" si="273"/>
        <v>154.63999999999999</v>
      </c>
      <c r="L304" s="136">
        <f t="shared" si="274"/>
        <v>27.763016157989224</v>
      </c>
      <c r="M304" s="116">
        <v>31040</v>
      </c>
      <c r="N304" s="47">
        <f t="shared" si="275"/>
        <v>4800025.5999999996</v>
      </c>
    </row>
    <row r="305" spans="1:14" ht="16">
      <c r="A305" s="33">
        <v>46136</v>
      </c>
      <c r="B305" s="174" t="s">
        <v>58</v>
      </c>
      <c r="C305" s="83">
        <v>11704</v>
      </c>
      <c r="D305" s="83">
        <v>12372</v>
      </c>
      <c r="E305" s="11">
        <f t="shared" si="270"/>
        <v>668</v>
      </c>
      <c r="F305" s="141">
        <v>213.56</v>
      </c>
      <c r="G305" s="13">
        <f t="shared" si="271"/>
        <v>31.970059880239521</v>
      </c>
      <c r="H305" s="125">
        <v>11510</v>
      </c>
      <c r="I305" s="125">
        <v>12100</v>
      </c>
      <c r="J305" s="83">
        <f t="shared" si="272"/>
        <v>590</v>
      </c>
      <c r="K305" s="35">
        <f t="shared" si="273"/>
        <v>213.56</v>
      </c>
      <c r="L305" s="136">
        <f t="shared" si="274"/>
        <v>36.196610169491528</v>
      </c>
      <c r="M305" s="116">
        <v>26690</v>
      </c>
      <c r="N305" s="47">
        <f t="shared" si="275"/>
        <v>5699916.4000000004</v>
      </c>
    </row>
    <row r="306" spans="1:14" ht="16">
      <c r="A306" s="138"/>
      <c r="B306" s="174" t="s">
        <v>58</v>
      </c>
      <c r="C306" s="83"/>
      <c r="D306" s="83"/>
      <c r="E306" s="11">
        <f t="shared" si="270"/>
        <v>0</v>
      </c>
      <c r="F306" s="141"/>
      <c r="G306" s="13" t="e">
        <f t="shared" si="271"/>
        <v>#DIV/0!</v>
      </c>
      <c r="H306" s="125"/>
      <c r="I306" s="125"/>
      <c r="J306" s="83">
        <f t="shared" si="272"/>
        <v>0</v>
      </c>
      <c r="K306" s="35">
        <f t="shared" si="273"/>
        <v>0</v>
      </c>
      <c r="L306" s="136" t="e">
        <f t="shared" si="274"/>
        <v>#DIV/0!</v>
      </c>
      <c r="M306" s="116"/>
      <c r="N306" s="47">
        <f t="shared" si="275"/>
        <v>0</v>
      </c>
    </row>
    <row r="307" spans="1:14" ht="16">
      <c r="A307" s="138"/>
      <c r="B307" s="174" t="s">
        <v>58</v>
      </c>
      <c r="C307" s="83"/>
      <c r="D307" s="83"/>
      <c r="E307" s="11">
        <f t="shared" si="270"/>
        <v>0</v>
      </c>
      <c r="F307" s="141"/>
      <c r="G307" s="13" t="e">
        <f t="shared" si="271"/>
        <v>#DIV/0!</v>
      </c>
      <c r="H307" s="125"/>
      <c r="I307" s="125"/>
      <c r="J307" s="83">
        <f t="shared" si="272"/>
        <v>0</v>
      </c>
      <c r="K307" s="35">
        <f t="shared" si="273"/>
        <v>0</v>
      </c>
      <c r="L307" s="136" t="e">
        <f t="shared" si="274"/>
        <v>#DIV/0!</v>
      </c>
      <c r="M307" s="116"/>
      <c r="N307" s="47">
        <f t="shared" si="275"/>
        <v>0</v>
      </c>
    </row>
    <row r="308" spans="1:14" ht="16">
      <c r="A308" s="138"/>
      <c r="B308" s="174" t="s">
        <v>58</v>
      </c>
      <c r="C308" s="83"/>
      <c r="D308" s="83"/>
      <c r="E308" s="11">
        <f t="shared" si="270"/>
        <v>0</v>
      </c>
      <c r="F308" s="141"/>
      <c r="G308" s="13" t="e">
        <f t="shared" si="271"/>
        <v>#DIV/0!</v>
      </c>
      <c r="H308" s="125"/>
      <c r="I308" s="125"/>
      <c r="J308" s="83">
        <f t="shared" si="272"/>
        <v>0</v>
      </c>
      <c r="K308" s="35">
        <f t="shared" si="273"/>
        <v>0</v>
      </c>
      <c r="L308" s="136" t="e">
        <f t="shared" si="274"/>
        <v>#DIV/0!</v>
      </c>
      <c r="M308" s="116"/>
      <c r="N308" s="47">
        <f t="shared" si="275"/>
        <v>0</v>
      </c>
    </row>
    <row r="309" spans="1:14" ht="16">
      <c r="A309" s="138"/>
      <c r="B309" s="174" t="s">
        <v>58</v>
      </c>
      <c r="C309" s="83"/>
      <c r="D309" s="83"/>
      <c r="E309" s="11">
        <f t="shared" si="270"/>
        <v>0</v>
      </c>
      <c r="F309" s="141"/>
      <c r="G309" s="13" t="e">
        <f t="shared" si="271"/>
        <v>#DIV/0!</v>
      </c>
      <c r="H309" s="125"/>
      <c r="I309" s="125"/>
      <c r="J309" s="83">
        <f t="shared" si="272"/>
        <v>0</v>
      </c>
      <c r="K309" s="35">
        <f t="shared" si="273"/>
        <v>0</v>
      </c>
      <c r="L309" s="136" t="e">
        <f t="shared" si="274"/>
        <v>#DIV/0!</v>
      </c>
      <c r="M309" s="116"/>
      <c r="N309" s="47">
        <f t="shared" si="275"/>
        <v>0</v>
      </c>
    </row>
    <row r="310" spans="1:14" ht="16">
      <c r="A310" s="59"/>
      <c r="B310" s="60"/>
      <c r="C310" s="59"/>
      <c r="D310" s="59" t="s">
        <v>19</v>
      </c>
      <c r="E310" s="59">
        <f>SUM(E301:E306)</f>
        <v>2204</v>
      </c>
      <c r="F310" s="59">
        <f>SUM(F301:F307)</f>
        <v>797.44</v>
      </c>
      <c r="G310" s="61" t="e">
        <f>AVERAGE(G301:G306)</f>
        <v>#DIV/0!</v>
      </c>
      <c r="H310" s="59"/>
      <c r="I310" s="62"/>
      <c r="J310" s="59">
        <f t="shared" ref="J310:K310" si="276">SUM(J301:J306)</f>
        <v>2166</v>
      </c>
      <c r="K310" s="59">
        <f t="shared" si="276"/>
        <v>797.44</v>
      </c>
      <c r="L310" s="61" t="e">
        <f>AVERAGE(L301:L306)</f>
        <v>#DIV/0!</v>
      </c>
      <c r="M310" s="64"/>
      <c r="N310" s="65">
        <f>SUM(N301:N309)</f>
        <v>26599656</v>
      </c>
    </row>
    <row r="311" spans="1:14" ht="16">
      <c r="A311" s="66">
        <v>46115</v>
      </c>
      <c r="B311" s="207" t="s">
        <v>70</v>
      </c>
      <c r="C311" s="83"/>
      <c r="D311" s="83"/>
      <c r="E311" s="11">
        <f t="shared" ref="E311:E316" si="277">D311-C311</f>
        <v>0</v>
      </c>
      <c r="F311" s="37"/>
      <c r="G311" s="13" t="e">
        <f t="shared" ref="G311:G316" si="278">(F311/E311)*100</f>
        <v>#DIV/0!</v>
      </c>
      <c r="H311" s="125"/>
      <c r="I311" s="125"/>
      <c r="J311" s="39">
        <f t="shared" ref="J311:J316" si="279">I311-H311</f>
        <v>0</v>
      </c>
      <c r="K311" s="39">
        <f t="shared" ref="K311:K316" si="280">F311</f>
        <v>0</v>
      </c>
      <c r="L311" s="136" t="e">
        <f t="shared" ref="L311:L316" si="281">(K311/J311)*100</f>
        <v>#DIV/0!</v>
      </c>
      <c r="M311" s="68"/>
      <c r="N311" s="47">
        <v>4000000</v>
      </c>
    </row>
    <row r="312" spans="1:14" ht="16">
      <c r="A312" s="33">
        <v>46130</v>
      </c>
      <c r="B312" s="207" t="s">
        <v>70</v>
      </c>
      <c r="C312" s="83"/>
      <c r="D312" s="12"/>
      <c r="E312" s="11">
        <f t="shared" si="277"/>
        <v>0</v>
      </c>
      <c r="F312" s="141"/>
      <c r="G312" s="13" t="e">
        <f t="shared" si="278"/>
        <v>#DIV/0!</v>
      </c>
      <c r="H312" s="125"/>
      <c r="I312" s="125"/>
      <c r="J312" s="83">
        <f t="shared" si="279"/>
        <v>0</v>
      </c>
      <c r="K312" s="35">
        <f t="shared" si="280"/>
        <v>0</v>
      </c>
      <c r="L312" s="136" t="e">
        <f t="shared" si="281"/>
        <v>#DIV/0!</v>
      </c>
      <c r="M312" s="68"/>
      <c r="N312" s="47">
        <v>5000000</v>
      </c>
    </row>
    <row r="313" spans="1:14" ht="16">
      <c r="A313" s="33"/>
      <c r="B313" s="207" t="s">
        <v>70</v>
      </c>
      <c r="C313" s="12"/>
      <c r="D313" s="83"/>
      <c r="E313" s="11">
        <f t="shared" si="277"/>
        <v>0</v>
      </c>
      <c r="F313" s="141"/>
      <c r="G313" s="13" t="e">
        <f t="shared" si="278"/>
        <v>#DIV/0!</v>
      </c>
      <c r="H313" s="125"/>
      <c r="I313" s="125"/>
      <c r="J313" s="83">
        <f t="shared" si="279"/>
        <v>0</v>
      </c>
      <c r="K313" s="35">
        <f t="shared" si="280"/>
        <v>0</v>
      </c>
      <c r="L313" s="136" t="e">
        <f t="shared" si="281"/>
        <v>#DIV/0!</v>
      </c>
      <c r="M313" s="116"/>
      <c r="N313" s="47">
        <f t="shared" ref="N313:N316" si="282">M313*F313</f>
        <v>0</v>
      </c>
    </row>
    <row r="314" spans="1:14" ht="16">
      <c r="A314" s="33"/>
      <c r="B314" s="207" t="s">
        <v>70</v>
      </c>
      <c r="C314" s="83"/>
      <c r="D314" s="83"/>
      <c r="E314" s="11">
        <f t="shared" si="277"/>
        <v>0</v>
      </c>
      <c r="F314" s="141"/>
      <c r="G314" s="13" t="e">
        <f t="shared" si="278"/>
        <v>#DIV/0!</v>
      </c>
      <c r="H314" s="125"/>
      <c r="I314" s="125"/>
      <c r="J314" s="83">
        <f t="shared" si="279"/>
        <v>0</v>
      </c>
      <c r="K314" s="35">
        <f t="shared" si="280"/>
        <v>0</v>
      </c>
      <c r="L314" s="136" t="e">
        <f t="shared" si="281"/>
        <v>#DIV/0!</v>
      </c>
      <c r="M314" s="116"/>
      <c r="N314" s="47">
        <f t="shared" si="282"/>
        <v>0</v>
      </c>
    </row>
    <row r="315" spans="1:14" ht="16">
      <c r="A315" s="33"/>
      <c r="B315" s="207" t="s">
        <v>70</v>
      </c>
      <c r="C315" s="35"/>
      <c r="D315" s="83"/>
      <c r="E315" s="11">
        <f t="shared" si="277"/>
        <v>0</v>
      </c>
      <c r="F315" s="141"/>
      <c r="G315" s="13" t="e">
        <f t="shared" si="278"/>
        <v>#DIV/0!</v>
      </c>
      <c r="H315" s="83"/>
      <c r="I315" s="125"/>
      <c r="J315" s="83">
        <f t="shared" si="279"/>
        <v>0</v>
      </c>
      <c r="K315" s="35">
        <f t="shared" si="280"/>
        <v>0</v>
      </c>
      <c r="L315" s="136" t="e">
        <f t="shared" si="281"/>
        <v>#DIV/0!</v>
      </c>
      <c r="M315" s="116"/>
      <c r="N315" s="47">
        <f t="shared" si="282"/>
        <v>0</v>
      </c>
    </row>
    <row r="316" spans="1:14" ht="16">
      <c r="A316" s="138"/>
      <c r="B316" s="207" t="s">
        <v>70</v>
      </c>
      <c r="C316" s="83"/>
      <c r="D316" s="83"/>
      <c r="E316" s="11">
        <f t="shared" si="277"/>
        <v>0</v>
      </c>
      <c r="F316" s="141"/>
      <c r="G316" s="13" t="e">
        <f t="shared" si="278"/>
        <v>#DIV/0!</v>
      </c>
      <c r="H316" s="83"/>
      <c r="I316" s="125"/>
      <c r="J316" s="83">
        <f t="shared" si="279"/>
        <v>0</v>
      </c>
      <c r="K316" s="35">
        <f t="shared" si="280"/>
        <v>0</v>
      </c>
      <c r="L316" s="136" t="e">
        <f t="shared" si="281"/>
        <v>#DIV/0!</v>
      </c>
      <c r="M316" s="116"/>
      <c r="N316" s="47">
        <f t="shared" si="282"/>
        <v>0</v>
      </c>
    </row>
    <row r="317" spans="1:14" ht="16">
      <c r="A317" s="59"/>
      <c r="B317" s="60"/>
      <c r="C317" s="59"/>
      <c r="D317" s="59" t="s">
        <v>19</v>
      </c>
      <c r="E317" s="59">
        <f t="shared" ref="E317:F317" si="283">SUM(E311:E316)</f>
        <v>0</v>
      </c>
      <c r="F317" s="59">
        <f t="shared" si="283"/>
        <v>0</v>
      </c>
      <c r="G317" s="61" t="e">
        <f>AVERAGE(G311:G316)</f>
        <v>#DIV/0!</v>
      </c>
      <c r="H317" s="59"/>
      <c r="I317" s="62"/>
      <c r="J317" s="59">
        <f t="shared" ref="J317:K317" si="284">SUM(J311:J316)</f>
        <v>0</v>
      </c>
      <c r="K317" s="59">
        <f t="shared" si="284"/>
        <v>0</v>
      </c>
      <c r="L317" s="61" t="e">
        <f>AVERAGE(L311:L316)</f>
        <v>#DIV/0!</v>
      </c>
      <c r="M317" s="64"/>
      <c r="N317" s="65">
        <f>SUM(N311:N316)</f>
        <v>9000000</v>
      </c>
    </row>
    <row r="318" spans="1:14" ht="16">
      <c r="A318" s="66">
        <v>46113</v>
      </c>
      <c r="B318" s="174" t="s">
        <v>60</v>
      </c>
      <c r="C318" s="83">
        <v>7583</v>
      </c>
      <c r="D318" s="83">
        <v>8462</v>
      </c>
      <c r="E318" s="11">
        <f t="shared" ref="E318:E326" si="285">D318-C318</f>
        <v>879</v>
      </c>
      <c r="F318" s="37">
        <v>84.65</v>
      </c>
      <c r="G318" s="13">
        <f t="shared" ref="G318:G326" si="286">(F318/E318)*100</f>
        <v>9.6302616609783858</v>
      </c>
      <c r="H318" s="125"/>
      <c r="I318" s="125"/>
      <c r="J318" s="39">
        <f t="shared" ref="J318:J326" si="287">I318-H318</f>
        <v>0</v>
      </c>
      <c r="K318" s="39">
        <f t="shared" ref="K318:K326" si="288">F318</f>
        <v>84.65</v>
      </c>
      <c r="L318" s="136" t="e">
        <f t="shared" ref="L318:L326" si="289">(K318/J318)*100</f>
        <v>#DIV/0!</v>
      </c>
      <c r="M318" s="68">
        <v>35440</v>
      </c>
      <c r="N318" s="47">
        <f t="shared" ref="N318:N326" si="290">M318*F318</f>
        <v>2999996</v>
      </c>
    </row>
    <row r="319" spans="1:14" ht="16">
      <c r="A319" s="33">
        <v>46114</v>
      </c>
      <c r="B319" s="174" t="s">
        <v>60</v>
      </c>
      <c r="C319" s="83">
        <v>8462</v>
      </c>
      <c r="D319" s="12">
        <v>8557</v>
      </c>
      <c r="E319" s="11">
        <f t="shared" si="285"/>
        <v>95</v>
      </c>
      <c r="F319" s="141">
        <v>84.65</v>
      </c>
      <c r="G319" s="13">
        <f t="shared" si="286"/>
        <v>89.10526315789474</v>
      </c>
      <c r="H319" s="125"/>
      <c r="I319" s="125"/>
      <c r="J319" s="83">
        <f t="shared" si="287"/>
        <v>0</v>
      </c>
      <c r="K319" s="35">
        <f t="shared" si="288"/>
        <v>84.65</v>
      </c>
      <c r="L319" s="136" t="e">
        <f t="shared" si="289"/>
        <v>#DIV/0!</v>
      </c>
      <c r="M319" s="68">
        <v>35440</v>
      </c>
      <c r="N319" s="47">
        <f t="shared" si="290"/>
        <v>2999996</v>
      </c>
    </row>
    <row r="320" spans="1:14" ht="16">
      <c r="A320" s="33">
        <v>46115</v>
      </c>
      <c r="B320" s="174" t="s">
        <v>60</v>
      </c>
      <c r="C320" s="12">
        <v>8557</v>
      </c>
      <c r="D320" s="83">
        <v>8807</v>
      </c>
      <c r="E320" s="11">
        <f t="shared" si="285"/>
        <v>250</v>
      </c>
      <c r="F320" s="141">
        <v>97.99</v>
      </c>
      <c r="G320" s="13">
        <f t="shared" si="286"/>
        <v>39.195999999999998</v>
      </c>
      <c r="H320" s="125"/>
      <c r="I320" s="125"/>
      <c r="J320" s="83">
        <f t="shared" si="287"/>
        <v>0</v>
      </c>
      <c r="K320" s="35">
        <f t="shared" si="288"/>
        <v>97.99</v>
      </c>
      <c r="L320" s="136" t="e">
        <f t="shared" si="289"/>
        <v>#DIV/0!</v>
      </c>
      <c r="M320" s="116">
        <v>40820</v>
      </c>
      <c r="N320" s="47">
        <f t="shared" si="290"/>
        <v>3999951.8</v>
      </c>
    </row>
    <row r="321" spans="1:18" ht="16">
      <c r="A321" s="33">
        <v>46119</v>
      </c>
      <c r="B321" s="174" t="s">
        <v>60</v>
      </c>
      <c r="C321" s="83">
        <v>8807</v>
      </c>
      <c r="D321" s="83">
        <v>9102</v>
      </c>
      <c r="E321" s="11">
        <f t="shared" si="285"/>
        <v>295</v>
      </c>
      <c r="F321" s="141">
        <v>165.25</v>
      </c>
      <c r="G321" s="178">
        <f t="shared" si="286"/>
        <v>56.016949152542374</v>
      </c>
      <c r="H321" s="125"/>
      <c r="I321" s="125"/>
      <c r="J321" s="83">
        <f t="shared" si="287"/>
        <v>0</v>
      </c>
      <c r="K321" s="35">
        <f t="shared" si="288"/>
        <v>165.25</v>
      </c>
      <c r="L321" s="136" t="e">
        <f t="shared" si="289"/>
        <v>#DIV/0!</v>
      </c>
      <c r="M321" s="116">
        <v>44780</v>
      </c>
      <c r="N321" s="47">
        <f t="shared" si="290"/>
        <v>7399895</v>
      </c>
    </row>
    <row r="322" spans="1:18" ht="16">
      <c r="A322" s="33">
        <v>46123</v>
      </c>
      <c r="B322" s="174" t="s">
        <v>60</v>
      </c>
      <c r="C322" s="83">
        <v>9102</v>
      </c>
      <c r="D322" s="83">
        <v>10025</v>
      </c>
      <c r="E322" s="11">
        <f t="shared" si="285"/>
        <v>923</v>
      </c>
      <c r="F322" s="141">
        <v>254.85</v>
      </c>
      <c r="G322" s="13">
        <f t="shared" si="286"/>
        <v>27.611050920910074</v>
      </c>
      <c r="H322" s="83"/>
      <c r="I322" s="125"/>
      <c r="J322" s="83">
        <f t="shared" si="287"/>
        <v>0</v>
      </c>
      <c r="K322" s="35">
        <f t="shared" si="288"/>
        <v>254.85</v>
      </c>
      <c r="L322" s="136" t="e">
        <f t="shared" si="289"/>
        <v>#DIV/0!</v>
      </c>
      <c r="M322" s="116">
        <v>32960</v>
      </c>
      <c r="N322" s="47">
        <f t="shared" si="290"/>
        <v>8399856</v>
      </c>
    </row>
    <row r="323" spans="1:18" ht="16">
      <c r="A323" s="138">
        <v>46127</v>
      </c>
      <c r="B323" s="174" t="s">
        <v>60</v>
      </c>
      <c r="C323" s="83">
        <v>10025</v>
      </c>
      <c r="D323" s="83">
        <v>10296</v>
      </c>
      <c r="E323" s="11">
        <f t="shared" si="285"/>
        <v>271</v>
      </c>
      <c r="F323" s="141">
        <v>74.331999999999994</v>
      </c>
      <c r="G323" s="13">
        <f t="shared" si="286"/>
        <v>27.428782287822877</v>
      </c>
      <c r="H323" s="83"/>
      <c r="I323" s="125"/>
      <c r="J323" s="83">
        <f t="shared" si="287"/>
        <v>0</v>
      </c>
      <c r="K323" s="35">
        <f t="shared" si="288"/>
        <v>74.331999999999994</v>
      </c>
      <c r="L323" s="136" t="e">
        <f t="shared" si="289"/>
        <v>#DIV/0!</v>
      </c>
      <c r="M323" s="116">
        <v>32960</v>
      </c>
      <c r="N323" s="47">
        <f t="shared" si="290"/>
        <v>2449982.7199999997</v>
      </c>
      <c r="R323" s="76">
        <v>75</v>
      </c>
    </row>
    <row r="324" spans="1:18" ht="16">
      <c r="A324" s="138">
        <v>46131</v>
      </c>
      <c r="B324" s="174" t="s">
        <v>60</v>
      </c>
      <c r="C324" s="83">
        <v>10296</v>
      </c>
      <c r="D324" s="83">
        <v>11168</v>
      </c>
      <c r="E324" s="11">
        <f t="shared" si="285"/>
        <v>872</v>
      </c>
      <c r="F324" s="141">
        <v>222.31</v>
      </c>
      <c r="G324" s="13">
        <f t="shared" si="286"/>
        <v>25.494266055045873</v>
      </c>
      <c r="H324" s="83"/>
      <c r="I324" s="125"/>
      <c r="J324" s="83">
        <f t="shared" si="287"/>
        <v>0</v>
      </c>
      <c r="K324" s="35">
        <f t="shared" si="288"/>
        <v>222.31</v>
      </c>
      <c r="L324" s="136" t="e">
        <f t="shared" si="289"/>
        <v>#DIV/0!</v>
      </c>
      <c r="M324" s="116">
        <v>31040</v>
      </c>
      <c r="N324" s="47">
        <f t="shared" si="290"/>
        <v>6900502.4000000004</v>
      </c>
    </row>
    <row r="325" spans="1:18" ht="16">
      <c r="A325" s="138">
        <v>46131</v>
      </c>
      <c r="B325" s="174" t="s">
        <v>60</v>
      </c>
      <c r="C325" s="83">
        <v>11168</v>
      </c>
      <c r="D325" s="83">
        <v>11948</v>
      </c>
      <c r="E325" s="11">
        <f t="shared" si="285"/>
        <v>780</v>
      </c>
      <c r="F325" s="141">
        <v>207.94</v>
      </c>
      <c r="G325" s="13">
        <f t="shared" si="286"/>
        <v>26.658974358974358</v>
      </c>
      <c r="H325" s="83"/>
      <c r="I325" s="125"/>
      <c r="J325" s="83">
        <f t="shared" si="287"/>
        <v>0</v>
      </c>
      <c r="K325" s="35">
        <f t="shared" si="288"/>
        <v>207.94</v>
      </c>
      <c r="L325" s="136" t="e">
        <f t="shared" si="289"/>
        <v>#DIV/0!</v>
      </c>
      <c r="M325" s="116">
        <v>26690</v>
      </c>
      <c r="N325" s="47">
        <f t="shared" si="290"/>
        <v>5549918.5999999996</v>
      </c>
    </row>
    <row r="326" spans="1:18" ht="16">
      <c r="A326" s="138">
        <v>46141</v>
      </c>
      <c r="B326" s="174" t="s">
        <v>60</v>
      </c>
      <c r="C326" s="83">
        <v>11948</v>
      </c>
      <c r="D326" s="83">
        <v>12801</v>
      </c>
      <c r="E326" s="11">
        <f t="shared" si="285"/>
        <v>853</v>
      </c>
      <c r="F326" s="141">
        <v>202.32</v>
      </c>
      <c r="G326" s="13">
        <f t="shared" si="286"/>
        <v>23.718640093786636</v>
      </c>
      <c r="H326" s="83"/>
      <c r="I326" s="125"/>
      <c r="J326" s="83">
        <f t="shared" si="287"/>
        <v>0</v>
      </c>
      <c r="K326" s="35">
        <f t="shared" si="288"/>
        <v>202.32</v>
      </c>
      <c r="L326" s="136" t="e">
        <f t="shared" si="289"/>
        <v>#DIV/0!</v>
      </c>
      <c r="M326" s="116">
        <v>26690</v>
      </c>
      <c r="N326" s="47">
        <f t="shared" si="290"/>
        <v>5399920.7999999998</v>
      </c>
    </row>
    <row r="327" spans="1:18" ht="16">
      <c r="A327" s="59"/>
      <c r="B327" s="60"/>
      <c r="C327" s="59"/>
      <c r="D327" s="59" t="s">
        <v>19</v>
      </c>
      <c r="E327" s="59">
        <f>SUM(E318:E323)</f>
        <v>2713</v>
      </c>
      <c r="F327" s="59">
        <f>SUM(F318:F326)</f>
        <v>1394.2919999999999</v>
      </c>
      <c r="G327" s="61">
        <f>AVERAGE(G318:G323)</f>
        <v>41.498051196691407</v>
      </c>
      <c r="H327" s="59"/>
      <c r="I327" s="62"/>
      <c r="J327" s="59">
        <f t="shared" ref="J327:K327" si="291">SUM(J318:J323)</f>
        <v>0</v>
      </c>
      <c r="K327" s="59">
        <f t="shared" si="291"/>
        <v>761.72199999999998</v>
      </c>
      <c r="L327" s="61" t="e">
        <f>AVERAGE(L318:L323)</f>
        <v>#DIV/0!</v>
      </c>
      <c r="M327" s="64"/>
      <c r="N327" s="65">
        <f>SUM(N318:N326)</f>
        <v>46100019.32</v>
      </c>
    </row>
    <row r="328" spans="1:18" ht="16">
      <c r="A328" s="66">
        <v>46113</v>
      </c>
      <c r="B328" s="174" t="s">
        <v>61</v>
      </c>
      <c r="C328" s="83"/>
      <c r="D328" s="83"/>
      <c r="E328" s="11">
        <f t="shared" ref="E328:E333" si="292">D328-C328</f>
        <v>0</v>
      </c>
      <c r="F328" s="37"/>
      <c r="G328" s="13" t="e">
        <f t="shared" ref="G328:G333" si="293">(F328/E328)*100</f>
        <v>#DIV/0!</v>
      </c>
      <c r="H328" s="125"/>
      <c r="I328" s="125"/>
      <c r="J328" s="39">
        <f t="shared" ref="J328:J333" si="294">I328-H328</f>
        <v>0</v>
      </c>
      <c r="K328" s="39">
        <f t="shared" ref="K328:K333" si="295">F328</f>
        <v>0</v>
      </c>
      <c r="L328" s="136" t="e">
        <f t="shared" ref="L328:L333" si="296">(K328/J328)*100</f>
        <v>#DIV/0!</v>
      </c>
      <c r="M328" s="68"/>
      <c r="N328" s="47">
        <v>3000000</v>
      </c>
    </row>
    <row r="329" spans="1:18" ht="16">
      <c r="A329" s="33">
        <v>46115</v>
      </c>
      <c r="B329" s="174" t="s">
        <v>61</v>
      </c>
      <c r="C329" s="83"/>
      <c r="D329" s="12"/>
      <c r="E329" s="11">
        <f t="shared" si="292"/>
        <v>0</v>
      </c>
      <c r="F329" s="141">
        <v>97.99</v>
      </c>
      <c r="G329" s="13" t="e">
        <f t="shared" si="293"/>
        <v>#DIV/0!</v>
      </c>
      <c r="H329" s="125"/>
      <c r="I329" s="125"/>
      <c r="J329" s="83">
        <f t="shared" si="294"/>
        <v>0</v>
      </c>
      <c r="K329" s="35">
        <f t="shared" si="295"/>
        <v>97.99</v>
      </c>
      <c r="L329" s="136" t="e">
        <f t="shared" si="296"/>
        <v>#DIV/0!</v>
      </c>
      <c r="M329" s="68">
        <v>40820</v>
      </c>
      <c r="N329" s="47">
        <f t="shared" ref="N329:N333" si="297">M329*F329</f>
        <v>3999951.8</v>
      </c>
    </row>
    <row r="330" spans="1:18" ht="16">
      <c r="A330" s="33">
        <v>46122</v>
      </c>
      <c r="B330" s="174" t="s">
        <v>61</v>
      </c>
      <c r="C330" s="12"/>
      <c r="D330" s="83"/>
      <c r="E330" s="11">
        <f t="shared" si="292"/>
        <v>0</v>
      </c>
      <c r="F330" s="141">
        <v>186.58</v>
      </c>
      <c r="G330" s="13" t="e">
        <f t="shared" si="293"/>
        <v>#DIV/0!</v>
      </c>
      <c r="H330" s="125"/>
      <c r="I330" s="125"/>
      <c r="J330" s="83">
        <f t="shared" si="294"/>
        <v>0</v>
      </c>
      <c r="K330" s="35">
        <f t="shared" si="295"/>
        <v>186.58</v>
      </c>
      <c r="L330" s="136" t="e">
        <f t="shared" si="296"/>
        <v>#DIV/0!</v>
      </c>
      <c r="M330" s="116">
        <v>32960</v>
      </c>
      <c r="N330" s="47">
        <f t="shared" si="297"/>
        <v>6149676.8000000007</v>
      </c>
    </row>
    <row r="331" spans="1:18" ht="16">
      <c r="A331" s="33">
        <v>46140</v>
      </c>
      <c r="B331" s="174" t="s">
        <v>61</v>
      </c>
      <c r="C331" s="83"/>
      <c r="D331" s="83"/>
      <c r="E331" s="11">
        <f t="shared" si="292"/>
        <v>0</v>
      </c>
      <c r="F331" s="141">
        <v>232.3</v>
      </c>
      <c r="G331" s="13" t="e">
        <f t="shared" si="293"/>
        <v>#DIV/0!</v>
      </c>
      <c r="H331" s="125"/>
      <c r="I331" s="125"/>
      <c r="J331" s="83">
        <f t="shared" si="294"/>
        <v>0</v>
      </c>
      <c r="K331" s="35">
        <f t="shared" si="295"/>
        <v>232.3</v>
      </c>
      <c r="L331" s="136" t="e">
        <f t="shared" si="296"/>
        <v>#DIV/0!</v>
      </c>
      <c r="M331" s="116">
        <v>26690</v>
      </c>
      <c r="N331" s="47">
        <f t="shared" si="297"/>
        <v>6200087</v>
      </c>
    </row>
    <row r="332" spans="1:18" ht="16">
      <c r="A332" s="33"/>
      <c r="B332" s="174" t="s">
        <v>61</v>
      </c>
      <c r="C332" s="35"/>
      <c r="D332" s="83"/>
      <c r="E332" s="11">
        <f t="shared" si="292"/>
        <v>0</v>
      </c>
      <c r="F332" s="141"/>
      <c r="G332" s="13" t="e">
        <f t="shared" si="293"/>
        <v>#DIV/0!</v>
      </c>
      <c r="H332" s="83"/>
      <c r="I332" s="125"/>
      <c r="J332" s="83">
        <f t="shared" si="294"/>
        <v>0</v>
      </c>
      <c r="K332" s="35">
        <f t="shared" si="295"/>
        <v>0</v>
      </c>
      <c r="L332" s="136" t="e">
        <f t="shared" si="296"/>
        <v>#DIV/0!</v>
      </c>
      <c r="M332" s="116"/>
      <c r="N332" s="47">
        <f t="shared" si="297"/>
        <v>0</v>
      </c>
    </row>
    <row r="333" spans="1:18" ht="16">
      <c r="A333" s="138"/>
      <c r="B333" s="174" t="s">
        <v>61</v>
      </c>
      <c r="C333" s="83"/>
      <c r="D333" s="83"/>
      <c r="E333" s="11">
        <f t="shared" si="292"/>
        <v>0</v>
      </c>
      <c r="F333" s="141"/>
      <c r="G333" s="13" t="e">
        <f t="shared" si="293"/>
        <v>#DIV/0!</v>
      </c>
      <c r="H333" s="83"/>
      <c r="I333" s="125"/>
      <c r="J333" s="83">
        <f t="shared" si="294"/>
        <v>0</v>
      </c>
      <c r="K333" s="35">
        <f t="shared" si="295"/>
        <v>0</v>
      </c>
      <c r="L333" s="136" t="e">
        <f t="shared" si="296"/>
        <v>#DIV/0!</v>
      </c>
      <c r="M333" s="116"/>
      <c r="N333" s="47">
        <f t="shared" si="297"/>
        <v>0</v>
      </c>
    </row>
    <row r="334" spans="1:18" ht="16">
      <c r="A334" s="59"/>
      <c r="B334" s="60"/>
      <c r="C334" s="59"/>
      <c r="D334" s="59" t="s">
        <v>19</v>
      </c>
      <c r="E334" s="59">
        <f t="shared" ref="E334:F334" si="298">SUM(E328:E333)</f>
        <v>0</v>
      </c>
      <c r="F334" s="59">
        <f t="shared" si="298"/>
        <v>516.87</v>
      </c>
      <c r="G334" s="61" t="e">
        <f>AVERAGE(G328:G333)</f>
        <v>#DIV/0!</v>
      </c>
      <c r="H334" s="59"/>
      <c r="I334" s="62"/>
      <c r="J334" s="59">
        <f t="shared" ref="J334:K334" si="299">SUM(J328:J333)</f>
        <v>0</v>
      </c>
      <c r="K334" s="59">
        <f t="shared" si="299"/>
        <v>516.87</v>
      </c>
      <c r="L334" s="61" t="e">
        <f>AVERAGE(L328:L333)</f>
        <v>#DIV/0!</v>
      </c>
      <c r="M334" s="64"/>
      <c r="N334" s="65">
        <f>SUM(N328:N333)</f>
        <v>19349715.600000001</v>
      </c>
    </row>
    <row r="335" spans="1:18" ht="14">
      <c r="A335" s="354" t="s">
        <v>64</v>
      </c>
      <c r="B335" s="355"/>
      <c r="C335" s="355"/>
      <c r="D335" s="355"/>
      <c r="E335" s="355"/>
      <c r="F335" s="355"/>
      <c r="G335" s="355"/>
      <c r="H335" s="355"/>
      <c r="I335" s="355"/>
      <c r="J335" s="355"/>
      <c r="K335" s="355"/>
      <c r="L335" s="356"/>
      <c r="M335" s="64"/>
      <c r="N335" s="65">
        <f>SUM(N222:N334)/2</f>
        <v>330899157.81999993</v>
      </c>
    </row>
    <row r="336" spans="1:18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  <row r="1139" spans="7:14" ht="13">
      <c r="G1139" s="150"/>
      <c r="L1139" s="150"/>
      <c r="N1139" s="151"/>
    </row>
    <row r="1140" spans="7:14" ht="13">
      <c r="G1140" s="150"/>
      <c r="L1140" s="150"/>
      <c r="N1140" s="151"/>
    </row>
    <row r="1141" spans="7:14" ht="13">
      <c r="G1141" s="150"/>
      <c r="L1141" s="150"/>
      <c r="N1141" s="151"/>
    </row>
    <row r="1142" spans="7:14" ht="13">
      <c r="G1142" s="150"/>
      <c r="L1142" s="150"/>
      <c r="N1142" s="151"/>
    </row>
    <row r="1143" spans="7:14" ht="13">
      <c r="G1143" s="150"/>
      <c r="L1143" s="150"/>
      <c r="N1143" s="151"/>
    </row>
    <row r="1144" spans="7:14" ht="13">
      <c r="G1144" s="150"/>
      <c r="L1144" s="150"/>
      <c r="N1144" s="151"/>
    </row>
    <row r="1145" spans="7:14" ht="13">
      <c r="G1145" s="150"/>
      <c r="L1145" s="150"/>
      <c r="N1145" s="151"/>
    </row>
    <row r="1146" spans="7:14" ht="13">
      <c r="G1146" s="150"/>
      <c r="L1146" s="150"/>
      <c r="N1146" s="151"/>
    </row>
    <row r="1147" spans="7:14" ht="13">
      <c r="G1147" s="150"/>
      <c r="L1147" s="150"/>
      <c r="N1147" s="151"/>
    </row>
    <row r="1148" spans="7:14" ht="13">
      <c r="G1148" s="150"/>
      <c r="L1148" s="150"/>
      <c r="N1148" s="151"/>
    </row>
    <row r="1149" spans="7:14" ht="13">
      <c r="G1149" s="150"/>
      <c r="L1149" s="150"/>
      <c r="N1149" s="151"/>
    </row>
    <row r="1150" spans="7:14" ht="13">
      <c r="G1150" s="150"/>
      <c r="L1150" s="150"/>
      <c r="N1150" s="151"/>
    </row>
    <row r="1151" spans="7:14" ht="13">
      <c r="G1151" s="150"/>
      <c r="L1151" s="150"/>
      <c r="N1151" s="151"/>
    </row>
    <row r="1152" spans="7:14" ht="13">
      <c r="G1152" s="150"/>
      <c r="L1152" s="150"/>
      <c r="N1152" s="151"/>
    </row>
    <row r="1153" spans="7:14" ht="13">
      <c r="G1153" s="150"/>
      <c r="L1153" s="150"/>
      <c r="N1153" s="151"/>
    </row>
  </sheetData>
  <mergeCells count="2">
    <mergeCell ref="A1:N1"/>
    <mergeCell ref="A335:L3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13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46085</v>
      </c>
      <c r="B3" s="8" t="s">
        <v>11</v>
      </c>
      <c r="C3" s="10">
        <v>201481</v>
      </c>
      <c r="D3" s="10">
        <v>201702</v>
      </c>
      <c r="E3" s="11">
        <f t="shared" ref="E3:E10" si="0">D3-C3</f>
        <v>221</v>
      </c>
      <c r="F3" s="12">
        <v>35</v>
      </c>
      <c r="G3" s="13">
        <f t="shared" ref="G3:G10" si="1">(F3/E3)*100</f>
        <v>15.837104072398189</v>
      </c>
      <c r="H3" s="15">
        <v>30842</v>
      </c>
      <c r="I3" s="15">
        <v>31079</v>
      </c>
      <c r="J3" s="12">
        <f t="shared" ref="J3:J10" si="2">I3-H3</f>
        <v>237</v>
      </c>
      <c r="K3" s="10">
        <f t="shared" ref="K3:K10" si="3">F3</f>
        <v>35</v>
      </c>
      <c r="L3" s="16">
        <f t="shared" ref="L3:L10" si="4">(K3/J3)*100</f>
        <v>14.767932489451477</v>
      </c>
      <c r="M3" s="17">
        <v>19270</v>
      </c>
      <c r="N3" s="17">
        <f t="shared" ref="N3:N10" si="5">F3*M3</f>
        <v>674450</v>
      </c>
    </row>
    <row r="4" spans="1:18" ht="16">
      <c r="A4" s="7">
        <v>46090</v>
      </c>
      <c r="B4" s="8" t="s">
        <v>11</v>
      </c>
      <c r="C4" s="10">
        <v>201702</v>
      </c>
      <c r="D4" s="10">
        <v>202019</v>
      </c>
      <c r="E4" s="11">
        <f t="shared" si="0"/>
        <v>317</v>
      </c>
      <c r="F4" s="12">
        <v>35</v>
      </c>
      <c r="G4" s="13">
        <f t="shared" si="1"/>
        <v>11.041009463722396</v>
      </c>
      <c r="H4" s="15">
        <v>31079</v>
      </c>
      <c r="I4" s="15">
        <v>31447</v>
      </c>
      <c r="J4" s="12">
        <f t="shared" si="2"/>
        <v>368</v>
      </c>
      <c r="K4" s="10">
        <f t="shared" si="3"/>
        <v>35</v>
      </c>
      <c r="L4" s="16">
        <f t="shared" si="4"/>
        <v>9.5108695652173925</v>
      </c>
      <c r="M4" s="17">
        <v>30230</v>
      </c>
      <c r="N4" s="17">
        <f t="shared" si="5"/>
        <v>1058050</v>
      </c>
      <c r="O4" s="18">
        <v>1</v>
      </c>
      <c r="P4" s="19" t="s">
        <v>12</v>
      </c>
      <c r="Q4" s="20">
        <f>N19</f>
        <v>5541440</v>
      </c>
      <c r="R4" s="20">
        <f t="shared" ref="R4:R15" si="6">Q4</f>
        <v>5541440</v>
      </c>
    </row>
    <row r="5" spans="1:18" ht="16">
      <c r="A5" s="7">
        <v>46093</v>
      </c>
      <c r="B5" s="8" t="s">
        <v>11</v>
      </c>
      <c r="C5" s="10">
        <v>202019</v>
      </c>
      <c r="D5" s="10">
        <v>202298</v>
      </c>
      <c r="E5" s="11">
        <f t="shared" si="0"/>
        <v>279</v>
      </c>
      <c r="F5" s="10">
        <v>35</v>
      </c>
      <c r="G5" s="13">
        <f t="shared" si="1"/>
        <v>12.544802867383511</v>
      </c>
      <c r="H5" s="15">
        <v>31447</v>
      </c>
      <c r="I5" s="15">
        <v>31790</v>
      </c>
      <c r="J5" s="12">
        <f t="shared" si="2"/>
        <v>343</v>
      </c>
      <c r="K5" s="10">
        <f t="shared" si="3"/>
        <v>35</v>
      </c>
      <c r="L5" s="16">
        <f t="shared" si="4"/>
        <v>10.204081632653061</v>
      </c>
      <c r="M5" s="17">
        <v>26470</v>
      </c>
      <c r="N5" s="17">
        <f t="shared" si="5"/>
        <v>926450</v>
      </c>
      <c r="O5" s="18">
        <v>2</v>
      </c>
      <c r="P5" s="19" t="s">
        <v>13</v>
      </c>
      <c r="Q5" s="20">
        <f>N29</f>
        <v>10149060</v>
      </c>
      <c r="R5" s="20">
        <f t="shared" si="6"/>
        <v>10149060</v>
      </c>
    </row>
    <row r="6" spans="1:18" ht="16">
      <c r="A6" s="7">
        <v>46097</v>
      </c>
      <c r="B6" s="8" t="s">
        <v>11</v>
      </c>
      <c r="C6" s="10">
        <v>202298</v>
      </c>
      <c r="D6" s="10">
        <v>202558</v>
      </c>
      <c r="E6" s="11">
        <f t="shared" si="0"/>
        <v>260</v>
      </c>
      <c r="F6" s="10">
        <v>40</v>
      </c>
      <c r="G6" s="13">
        <f t="shared" si="1"/>
        <v>15.384615384615385</v>
      </c>
      <c r="H6" s="15">
        <v>31790</v>
      </c>
      <c r="I6" s="15">
        <v>32185</v>
      </c>
      <c r="J6" s="12">
        <f t="shared" si="2"/>
        <v>395</v>
      </c>
      <c r="K6" s="10">
        <f t="shared" si="3"/>
        <v>40</v>
      </c>
      <c r="L6" s="16">
        <f t="shared" si="4"/>
        <v>10.126582278481013</v>
      </c>
      <c r="M6" s="17">
        <v>27020</v>
      </c>
      <c r="N6" s="17">
        <f t="shared" si="5"/>
        <v>1080800</v>
      </c>
      <c r="O6" s="18">
        <v>3</v>
      </c>
      <c r="P6" s="19" t="s">
        <v>14</v>
      </c>
      <c r="Q6" s="20">
        <f>N38</f>
        <v>7316140</v>
      </c>
      <c r="R6" s="20">
        <f t="shared" si="6"/>
        <v>7316140</v>
      </c>
    </row>
    <row r="7" spans="1:18" ht="16">
      <c r="A7" s="7">
        <v>46100</v>
      </c>
      <c r="B7" s="8" t="s">
        <v>11</v>
      </c>
      <c r="C7" s="10">
        <v>202558</v>
      </c>
      <c r="D7" s="10">
        <v>202939</v>
      </c>
      <c r="E7" s="11">
        <f t="shared" si="0"/>
        <v>381</v>
      </c>
      <c r="F7" s="10">
        <v>40</v>
      </c>
      <c r="G7" s="13">
        <f t="shared" si="1"/>
        <v>10.498687664041995</v>
      </c>
      <c r="H7" s="15">
        <v>32185</v>
      </c>
      <c r="I7" s="15">
        <v>32462</v>
      </c>
      <c r="J7" s="12">
        <f t="shared" si="2"/>
        <v>277</v>
      </c>
      <c r="K7" s="10">
        <f t="shared" si="3"/>
        <v>40</v>
      </c>
      <c r="L7" s="16">
        <f t="shared" si="4"/>
        <v>14.440433212996389</v>
      </c>
      <c r="M7" s="21">
        <v>27020</v>
      </c>
      <c r="N7" s="17">
        <f t="shared" si="5"/>
        <v>1080800</v>
      </c>
      <c r="O7" s="18">
        <v>4</v>
      </c>
      <c r="P7" s="19" t="s">
        <v>15</v>
      </c>
      <c r="Q7" s="20">
        <f>N49</f>
        <v>10020590</v>
      </c>
      <c r="R7" s="20">
        <f t="shared" si="6"/>
        <v>10020590</v>
      </c>
    </row>
    <row r="8" spans="1:18" ht="16">
      <c r="A8" s="7">
        <v>46105</v>
      </c>
      <c r="B8" s="8" t="s">
        <v>11</v>
      </c>
      <c r="C8" s="10">
        <v>202939</v>
      </c>
      <c r="D8" s="10">
        <v>203276</v>
      </c>
      <c r="E8" s="11">
        <f t="shared" si="0"/>
        <v>337</v>
      </c>
      <c r="F8" s="10">
        <v>40</v>
      </c>
      <c r="G8" s="13">
        <f t="shared" si="1"/>
        <v>11.869436201780417</v>
      </c>
      <c r="H8" s="15">
        <v>32462</v>
      </c>
      <c r="I8" s="15">
        <v>32873</v>
      </c>
      <c r="J8" s="12">
        <f t="shared" si="2"/>
        <v>411</v>
      </c>
      <c r="K8" s="10">
        <f t="shared" si="3"/>
        <v>40</v>
      </c>
      <c r="L8" s="16">
        <f t="shared" si="4"/>
        <v>9.7323600973236015</v>
      </c>
      <c r="M8" s="21">
        <v>33420</v>
      </c>
      <c r="N8" s="17">
        <f t="shared" si="5"/>
        <v>1336800</v>
      </c>
      <c r="O8" s="18">
        <v>5</v>
      </c>
      <c r="P8" s="19" t="s">
        <v>16</v>
      </c>
      <c r="Q8" s="20">
        <f>N61</f>
        <v>10925560</v>
      </c>
      <c r="R8" s="20">
        <f t="shared" si="6"/>
        <v>10925560</v>
      </c>
    </row>
    <row r="9" spans="1:18" ht="16">
      <c r="A9" s="7">
        <v>46108</v>
      </c>
      <c r="B9" s="8" t="s">
        <v>11</v>
      </c>
      <c r="C9" s="10">
        <v>203276</v>
      </c>
      <c r="D9" s="10">
        <v>203568</v>
      </c>
      <c r="E9" s="11">
        <f t="shared" si="0"/>
        <v>292</v>
      </c>
      <c r="F9" s="10">
        <v>35</v>
      </c>
      <c r="G9" s="13">
        <f t="shared" si="1"/>
        <v>11.986301369863012</v>
      </c>
      <c r="H9" s="15">
        <v>32873</v>
      </c>
      <c r="I9" s="15">
        <v>33166</v>
      </c>
      <c r="J9" s="12">
        <f t="shared" si="2"/>
        <v>293</v>
      </c>
      <c r="K9" s="10">
        <f t="shared" si="3"/>
        <v>35</v>
      </c>
      <c r="L9" s="16">
        <f t="shared" si="4"/>
        <v>11.945392491467576</v>
      </c>
      <c r="M9" s="21">
        <v>35440</v>
      </c>
      <c r="N9" s="17">
        <f t="shared" si="5"/>
        <v>1240400</v>
      </c>
      <c r="O9" s="18">
        <v>6</v>
      </c>
      <c r="P9" s="19" t="s">
        <v>17</v>
      </c>
      <c r="Q9" s="20">
        <f>N11</f>
        <v>8460950</v>
      </c>
      <c r="R9" s="20">
        <f t="shared" si="6"/>
        <v>8460950</v>
      </c>
    </row>
    <row r="10" spans="1:18" ht="16">
      <c r="A10" s="22">
        <v>46111</v>
      </c>
      <c r="B10" s="23" t="s">
        <v>11</v>
      </c>
      <c r="C10" s="10">
        <v>203568</v>
      </c>
      <c r="D10" s="9">
        <v>203782</v>
      </c>
      <c r="E10" s="24">
        <f t="shared" si="0"/>
        <v>214</v>
      </c>
      <c r="F10" s="9">
        <v>30</v>
      </c>
      <c r="G10" s="13">
        <f t="shared" si="1"/>
        <v>14.018691588785046</v>
      </c>
      <c r="H10" s="15">
        <v>33166</v>
      </c>
      <c r="I10" s="14">
        <v>33404</v>
      </c>
      <c r="J10" s="25">
        <f t="shared" si="2"/>
        <v>238</v>
      </c>
      <c r="K10" s="9">
        <f t="shared" si="3"/>
        <v>30</v>
      </c>
      <c r="L10" s="26">
        <f t="shared" si="4"/>
        <v>12.605042016806722</v>
      </c>
      <c r="M10" s="208">
        <v>35440</v>
      </c>
      <c r="N10" s="27">
        <f t="shared" si="5"/>
        <v>1063200</v>
      </c>
      <c r="O10" s="18">
        <v>7</v>
      </c>
      <c r="P10" s="19" t="s">
        <v>18</v>
      </c>
      <c r="Q10" s="20">
        <f>N71</f>
        <v>9197150</v>
      </c>
      <c r="R10" s="20">
        <f t="shared" si="6"/>
        <v>9197150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2301</v>
      </c>
      <c r="F11" s="28">
        <f t="shared" si="7"/>
        <v>290</v>
      </c>
      <c r="G11" s="29" t="e">
        <f>G3:G10</f>
        <v>#VALUE!</v>
      </c>
      <c r="H11" s="28"/>
      <c r="I11" s="30"/>
      <c r="J11" s="28">
        <f t="shared" ref="J11:K11" si="8">SUM(J3:J10)</f>
        <v>2562</v>
      </c>
      <c r="K11" s="31">
        <f t="shared" si="8"/>
        <v>290</v>
      </c>
      <c r="L11" s="29">
        <f>AVERAGE(L3:L10)</f>
        <v>11.666586723049653</v>
      </c>
      <c r="M11" s="28"/>
      <c r="N11" s="32">
        <f>SUM(N3:N10)</f>
        <v>8460950</v>
      </c>
      <c r="O11" s="18">
        <v>8</v>
      </c>
      <c r="P11" s="19" t="s">
        <v>20</v>
      </c>
      <c r="Q11" s="20">
        <f>N79</f>
        <v>7667160</v>
      </c>
      <c r="R11" s="20">
        <f t="shared" si="6"/>
        <v>7667160</v>
      </c>
    </row>
    <row r="12" spans="1:18" ht="16">
      <c r="A12" s="33">
        <v>46085</v>
      </c>
      <c r="B12" s="34" t="s">
        <v>12</v>
      </c>
      <c r="C12" s="35">
        <v>164687</v>
      </c>
      <c r="D12" s="35">
        <v>164958</v>
      </c>
      <c r="E12" s="36">
        <f t="shared" ref="E12:E18" si="9">D12-C12</f>
        <v>271</v>
      </c>
      <c r="F12" s="37">
        <v>38</v>
      </c>
      <c r="G12" s="13">
        <f t="shared" ref="G12:G18" si="10">(F12/E12)*100</f>
        <v>14.022140221402212</v>
      </c>
      <c r="H12" s="38">
        <v>31857</v>
      </c>
      <c r="I12" s="38">
        <v>32209</v>
      </c>
      <c r="J12" s="39">
        <f t="shared" ref="J12:J18" si="11">I12-H12</f>
        <v>352</v>
      </c>
      <c r="K12" s="10">
        <f t="shared" ref="K12:K18" si="12">F12</f>
        <v>38</v>
      </c>
      <c r="L12" s="40">
        <f t="shared" ref="L12:L18" si="13">(K12/J12)*100</f>
        <v>10.795454545454545</v>
      </c>
      <c r="M12" s="41">
        <v>19270</v>
      </c>
      <c r="N12" s="42">
        <f t="shared" ref="N12:N18" si="14">F12*M12</f>
        <v>732260</v>
      </c>
      <c r="O12" s="18">
        <v>9</v>
      </c>
      <c r="P12" s="19" t="s">
        <v>21</v>
      </c>
      <c r="Q12" s="20">
        <f>N87</f>
        <v>10392160</v>
      </c>
      <c r="R12" s="20">
        <f t="shared" si="6"/>
        <v>10392160</v>
      </c>
    </row>
    <row r="13" spans="1:18" ht="16">
      <c r="A13" s="43">
        <v>46088</v>
      </c>
      <c r="B13" s="44" t="s">
        <v>12</v>
      </c>
      <c r="C13" s="35">
        <v>164958</v>
      </c>
      <c r="D13" s="35">
        <v>165238</v>
      </c>
      <c r="E13" s="11">
        <f t="shared" si="9"/>
        <v>280</v>
      </c>
      <c r="F13" s="45">
        <v>44</v>
      </c>
      <c r="G13" s="13">
        <f t="shared" si="10"/>
        <v>15.714285714285714</v>
      </c>
      <c r="H13" s="38">
        <v>32209</v>
      </c>
      <c r="I13" s="38">
        <v>32526</v>
      </c>
      <c r="J13" s="35">
        <f t="shared" si="11"/>
        <v>317</v>
      </c>
      <c r="K13" s="10">
        <f t="shared" si="12"/>
        <v>44</v>
      </c>
      <c r="L13" s="46">
        <f t="shared" si="13"/>
        <v>13.880126182965299</v>
      </c>
      <c r="M13" s="41">
        <v>23030</v>
      </c>
      <c r="N13" s="47">
        <f t="shared" si="14"/>
        <v>1013320</v>
      </c>
      <c r="O13" s="18">
        <v>10</v>
      </c>
      <c r="P13" s="19" t="s">
        <v>22</v>
      </c>
      <c r="Q13" s="20">
        <f>N96</f>
        <v>10195950</v>
      </c>
      <c r="R13" s="20">
        <f t="shared" si="6"/>
        <v>10195950</v>
      </c>
    </row>
    <row r="14" spans="1:18" ht="16">
      <c r="A14" s="43">
        <v>46092</v>
      </c>
      <c r="B14" s="44" t="s">
        <v>12</v>
      </c>
      <c r="C14" s="35">
        <v>165238</v>
      </c>
      <c r="D14" s="35">
        <v>165559</v>
      </c>
      <c r="E14" s="11">
        <f t="shared" si="9"/>
        <v>321</v>
      </c>
      <c r="F14" s="45">
        <v>44</v>
      </c>
      <c r="G14" s="13">
        <f t="shared" si="10"/>
        <v>13.707165109034266</v>
      </c>
      <c r="H14" s="38">
        <v>32526</v>
      </c>
      <c r="I14" s="38">
        <v>32870</v>
      </c>
      <c r="J14" s="35">
        <f t="shared" si="11"/>
        <v>344</v>
      </c>
      <c r="K14" s="10">
        <f t="shared" si="12"/>
        <v>44</v>
      </c>
      <c r="L14" s="46">
        <f t="shared" si="13"/>
        <v>12.790697674418606</v>
      </c>
      <c r="M14" s="48">
        <v>30710</v>
      </c>
      <c r="N14" s="47">
        <f t="shared" si="14"/>
        <v>1351240</v>
      </c>
      <c r="O14" s="18">
        <v>11</v>
      </c>
      <c r="P14" s="19" t="s">
        <v>23</v>
      </c>
      <c r="Q14" s="20">
        <f>N103</f>
        <v>8963640</v>
      </c>
      <c r="R14" s="20">
        <f t="shared" si="6"/>
        <v>8963640</v>
      </c>
    </row>
    <row r="15" spans="1:18" ht="16">
      <c r="A15" s="43">
        <v>46097</v>
      </c>
      <c r="B15" s="49" t="s">
        <v>12</v>
      </c>
      <c r="C15" s="35">
        <v>165559</v>
      </c>
      <c r="D15" s="50">
        <v>165893</v>
      </c>
      <c r="E15" s="51">
        <f t="shared" si="9"/>
        <v>334</v>
      </c>
      <c r="F15" s="52">
        <v>41</v>
      </c>
      <c r="G15" s="13">
        <f t="shared" si="10"/>
        <v>12.275449101796406</v>
      </c>
      <c r="H15" s="38">
        <v>32870</v>
      </c>
      <c r="I15" s="38">
        <v>33174</v>
      </c>
      <c r="J15" s="35">
        <f t="shared" si="11"/>
        <v>304</v>
      </c>
      <c r="K15" s="10">
        <f t="shared" si="12"/>
        <v>41</v>
      </c>
      <c r="L15" s="46">
        <f t="shared" si="13"/>
        <v>13.486842105263158</v>
      </c>
      <c r="M15" s="48">
        <v>27020</v>
      </c>
      <c r="N15" s="47">
        <f t="shared" si="14"/>
        <v>1107820</v>
      </c>
      <c r="O15" s="18">
        <v>12</v>
      </c>
      <c r="P15" s="19" t="s">
        <v>24</v>
      </c>
      <c r="Q15" s="20">
        <f>N111</f>
        <v>11045650</v>
      </c>
      <c r="R15" s="20">
        <f t="shared" si="6"/>
        <v>11045650</v>
      </c>
    </row>
    <row r="16" spans="1:18" ht="16">
      <c r="A16" s="43">
        <v>46102</v>
      </c>
      <c r="B16" s="44" t="s">
        <v>12</v>
      </c>
      <c r="C16" s="50">
        <v>165893</v>
      </c>
      <c r="D16" s="35">
        <v>166179</v>
      </c>
      <c r="E16" s="11">
        <f t="shared" si="9"/>
        <v>286</v>
      </c>
      <c r="F16" s="45">
        <v>40</v>
      </c>
      <c r="G16" s="13">
        <f t="shared" si="10"/>
        <v>13.986013986013987</v>
      </c>
      <c r="H16" s="38">
        <v>33174</v>
      </c>
      <c r="I16" s="38">
        <v>33515</v>
      </c>
      <c r="J16" s="35">
        <f t="shared" si="11"/>
        <v>341</v>
      </c>
      <c r="K16" s="10">
        <f t="shared" si="12"/>
        <v>40</v>
      </c>
      <c r="L16" s="46">
        <f t="shared" si="13"/>
        <v>11.730205278592376</v>
      </c>
      <c r="M16" s="48">
        <v>33420</v>
      </c>
      <c r="N16" s="47">
        <f t="shared" si="14"/>
        <v>1336800</v>
      </c>
      <c r="O16" s="18">
        <v>13</v>
      </c>
      <c r="P16" s="19" t="s">
        <v>25</v>
      </c>
      <c r="Q16" s="20">
        <f>N119</f>
        <v>11519520</v>
      </c>
      <c r="R16" s="20">
        <f>N119</f>
        <v>11519520</v>
      </c>
    </row>
    <row r="17" spans="1:18" ht="16">
      <c r="A17" s="43"/>
      <c r="B17" s="44" t="s">
        <v>12</v>
      </c>
      <c r="C17" s="35"/>
      <c r="D17" s="35"/>
      <c r="E17" s="11">
        <f t="shared" si="9"/>
        <v>0</v>
      </c>
      <c r="F17" s="45"/>
      <c r="G17" s="13" t="e">
        <f t="shared" si="10"/>
        <v>#DIV/0!</v>
      </c>
      <c r="H17" s="38"/>
      <c r="I17" s="38"/>
      <c r="J17" s="35">
        <f t="shared" si="11"/>
        <v>0</v>
      </c>
      <c r="K17" s="10">
        <f t="shared" si="12"/>
        <v>0</v>
      </c>
      <c r="L17" s="46" t="e">
        <f t="shared" si="13"/>
        <v>#DIV/0!</v>
      </c>
      <c r="M17" s="48"/>
      <c r="N17" s="47">
        <f t="shared" si="14"/>
        <v>0</v>
      </c>
      <c r="O17" s="18">
        <v>14</v>
      </c>
      <c r="P17" s="19" t="s">
        <v>26</v>
      </c>
      <c r="Q17" s="20">
        <f>N127</f>
        <v>9235740</v>
      </c>
      <c r="R17" s="20">
        <f t="shared" ref="R17:R28" si="15">Q17</f>
        <v>9235740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17317000</v>
      </c>
      <c r="R18" s="20">
        <f t="shared" si="15"/>
        <v>17317000</v>
      </c>
    </row>
    <row r="19" spans="1:18" ht="16">
      <c r="A19" s="59"/>
      <c r="B19" s="60"/>
      <c r="C19" s="59"/>
      <c r="D19" s="59" t="s">
        <v>19</v>
      </c>
      <c r="E19" s="59">
        <f>SUM(E12:E18)</f>
        <v>1492</v>
      </c>
      <c r="F19" s="59">
        <f>SUM(F11:F18)</f>
        <v>497</v>
      </c>
      <c r="G19" s="61" t="e">
        <f>AVERAGE(G12:G18)</f>
        <v>#DIV/0!</v>
      </c>
      <c r="H19" s="59"/>
      <c r="I19" s="62"/>
      <c r="J19" s="59">
        <f t="shared" ref="J19:K19" si="17">SUM(J12:J18)</f>
        <v>1658</v>
      </c>
      <c r="K19" s="63">
        <f t="shared" si="17"/>
        <v>207</v>
      </c>
      <c r="L19" s="61" t="e">
        <f>AVERAGE(L12:L18)</f>
        <v>#DIV/0!</v>
      </c>
      <c r="M19" s="64"/>
      <c r="N19" s="65">
        <f>SUM(N12:N18)</f>
        <v>5541440</v>
      </c>
      <c r="O19" s="18">
        <f t="shared" si="16"/>
        <v>16</v>
      </c>
      <c r="P19" s="58" t="s">
        <v>28</v>
      </c>
      <c r="Q19" s="20">
        <f>N157</f>
        <v>1612000</v>
      </c>
      <c r="R19" s="20">
        <f t="shared" si="15"/>
        <v>1612000</v>
      </c>
    </row>
    <row r="20" spans="1:18" ht="16">
      <c r="A20" s="66">
        <v>46085</v>
      </c>
      <c r="B20" s="34" t="s">
        <v>13</v>
      </c>
      <c r="C20" s="35">
        <v>182224</v>
      </c>
      <c r="D20" s="35">
        <v>182544</v>
      </c>
      <c r="E20" s="11">
        <f t="shared" ref="E20:E28" si="18">D20-C20</f>
        <v>320</v>
      </c>
      <c r="F20" s="37">
        <v>45</v>
      </c>
      <c r="G20" s="13">
        <f t="shared" ref="G20:G28" si="19">(F20/E20)*100</f>
        <v>14.0625</v>
      </c>
      <c r="H20" s="35">
        <v>33998</v>
      </c>
      <c r="I20" s="35">
        <v>34369</v>
      </c>
      <c r="J20" s="39">
        <f t="shared" ref="J20:J28" si="20">I20-H20</f>
        <v>371</v>
      </c>
      <c r="K20" s="39">
        <f t="shared" ref="K20:K28" si="21">F20</f>
        <v>45</v>
      </c>
      <c r="L20" s="67">
        <f t="shared" ref="L20:L28" si="22">(K20/J20)*100</f>
        <v>12.129380053908356</v>
      </c>
      <c r="M20" s="68">
        <v>19270</v>
      </c>
      <c r="N20" s="42">
        <f t="shared" ref="N20:N28" si="23">F20*M20</f>
        <v>867150</v>
      </c>
      <c r="O20" s="18">
        <f t="shared" si="16"/>
        <v>17</v>
      </c>
      <c r="P20" s="58" t="s">
        <v>29</v>
      </c>
      <c r="Q20" s="20">
        <f>N166</f>
        <v>8439000</v>
      </c>
      <c r="R20" s="20">
        <f t="shared" si="15"/>
        <v>8439000</v>
      </c>
    </row>
    <row r="21" spans="1:18" ht="16">
      <c r="A21" s="66">
        <v>46087</v>
      </c>
      <c r="B21" s="44" t="s">
        <v>13</v>
      </c>
      <c r="C21" s="35">
        <v>182544</v>
      </c>
      <c r="D21" s="35">
        <v>182889</v>
      </c>
      <c r="E21" s="11">
        <f t="shared" si="18"/>
        <v>345</v>
      </c>
      <c r="F21" s="37">
        <v>49</v>
      </c>
      <c r="G21" s="13">
        <f t="shared" si="19"/>
        <v>14.202898550724639</v>
      </c>
      <c r="H21" s="35">
        <v>34369</v>
      </c>
      <c r="I21" s="35">
        <v>34691</v>
      </c>
      <c r="J21" s="35">
        <f t="shared" si="20"/>
        <v>322</v>
      </c>
      <c r="K21" s="35">
        <f t="shared" si="21"/>
        <v>49</v>
      </c>
      <c r="L21" s="46">
        <f t="shared" si="22"/>
        <v>15.217391304347828</v>
      </c>
      <c r="M21" s="68">
        <v>23030</v>
      </c>
      <c r="N21" s="47">
        <f t="shared" si="23"/>
        <v>1128470</v>
      </c>
      <c r="O21" s="18">
        <f t="shared" si="16"/>
        <v>18</v>
      </c>
      <c r="P21" s="58" t="s">
        <v>30</v>
      </c>
      <c r="Q21" s="20">
        <f>N175</f>
        <v>8235000</v>
      </c>
      <c r="R21" s="20">
        <f t="shared" si="15"/>
        <v>8235000</v>
      </c>
    </row>
    <row r="22" spans="1:18" ht="16">
      <c r="A22" s="33">
        <v>46092</v>
      </c>
      <c r="B22" s="44" t="s">
        <v>13</v>
      </c>
      <c r="C22" s="35">
        <v>182889</v>
      </c>
      <c r="D22" s="35">
        <v>183181</v>
      </c>
      <c r="E22" s="11">
        <f t="shared" si="18"/>
        <v>292</v>
      </c>
      <c r="F22" s="45">
        <v>40</v>
      </c>
      <c r="G22" s="13">
        <f t="shared" si="19"/>
        <v>13.698630136986301</v>
      </c>
      <c r="H22" s="35">
        <v>34691</v>
      </c>
      <c r="I22" s="35">
        <v>34988</v>
      </c>
      <c r="J22" s="35">
        <f t="shared" si="20"/>
        <v>297</v>
      </c>
      <c r="K22" s="35">
        <f t="shared" si="21"/>
        <v>40</v>
      </c>
      <c r="L22" s="46">
        <f t="shared" si="22"/>
        <v>13.468013468013467</v>
      </c>
      <c r="M22" s="68">
        <v>30710</v>
      </c>
      <c r="N22" s="47">
        <f t="shared" si="23"/>
        <v>1228400</v>
      </c>
      <c r="O22" s="18">
        <f t="shared" si="16"/>
        <v>19</v>
      </c>
      <c r="P22" s="58" t="s">
        <v>31</v>
      </c>
      <c r="Q22" s="20">
        <f>N184</f>
        <v>10652000</v>
      </c>
      <c r="R22" s="20">
        <f t="shared" si="15"/>
        <v>10652000</v>
      </c>
    </row>
    <row r="23" spans="1:18" ht="16">
      <c r="A23" s="33">
        <v>46095</v>
      </c>
      <c r="B23" s="44" t="s">
        <v>13</v>
      </c>
      <c r="C23" s="35">
        <v>183181</v>
      </c>
      <c r="D23" s="35">
        <v>183482</v>
      </c>
      <c r="E23" s="11">
        <f t="shared" si="18"/>
        <v>301</v>
      </c>
      <c r="F23" s="45">
        <v>40</v>
      </c>
      <c r="G23" s="13">
        <f t="shared" si="19"/>
        <v>13.2890365448505</v>
      </c>
      <c r="H23" s="35">
        <v>34988</v>
      </c>
      <c r="I23" s="35">
        <v>35311</v>
      </c>
      <c r="J23" s="35">
        <f t="shared" si="20"/>
        <v>323</v>
      </c>
      <c r="K23" s="50">
        <f t="shared" si="21"/>
        <v>40</v>
      </c>
      <c r="L23" s="46">
        <f t="shared" si="22"/>
        <v>12.383900928792571</v>
      </c>
      <c r="M23" s="48">
        <v>27020</v>
      </c>
      <c r="N23" s="47">
        <f t="shared" si="23"/>
        <v>1080800</v>
      </c>
      <c r="O23" s="18">
        <f t="shared" si="16"/>
        <v>20</v>
      </c>
      <c r="P23" s="58" t="s">
        <v>32</v>
      </c>
      <c r="Q23" s="20">
        <f>N193</f>
        <v>9177000</v>
      </c>
      <c r="R23" s="20">
        <f t="shared" si="15"/>
        <v>9177000</v>
      </c>
    </row>
    <row r="24" spans="1:18" ht="16">
      <c r="A24" s="33">
        <v>46100</v>
      </c>
      <c r="B24" s="44" t="s">
        <v>13</v>
      </c>
      <c r="C24" s="35">
        <v>183482</v>
      </c>
      <c r="D24" s="35">
        <v>183829</v>
      </c>
      <c r="E24" s="11">
        <f t="shared" si="18"/>
        <v>347</v>
      </c>
      <c r="F24" s="45">
        <v>45</v>
      </c>
      <c r="G24" s="13">
        <f t="shared" si="19"/>
        <v>12.968299711815561</v>
      </c>
      <c r="H24" s="35">
        <v>35311</v>
      </c>
      <c r="I24" s="35"/>
      <c r="J24" s="35">
        <f t="shared" si="20"/>
        <v>-35311</v>
      </c>
      <c r="K24" s="50">
        <f t="shared" si="21"/>
        <v>45</v>
      </c>
      <c r="L24" s="46">
        <f t="shared" si="22"/>
        <v>-0.12743904165840672</v>
      </c>
      <c r="M24" s="48">
        <v>27020</v>
      </c>
      <c r="N24" s="47">
        <f t="shared" si="23"/>
        <v>1215900</v>
      </c>
      <c r="O24" s="18">
        <f t="shared" si="16"/>
        <v>21</v>
      </c>
      <c r="P24" s="58" t="s">
        <v>33</v>
      </c>
      <c r="Q24" s="20">
        <f>N201</f>
        <v>3183000</v>
      </c>
      <c r="R24" s="20">
        <f t="shared" si="15"/>
        <v>3183000</v>
      </c>
    </row>
    <row r="25" spans="1:18" ht="16">
      <c r="A25" s="33">
        <v>46106</v>
      </c>
      <c r="B25" s="44" t="s">
        <v>13</v>
      </c>
      <c r="C25" s="35">
        <v>183829</v>
      </c>
      <c r="D25" s="35">
        <v>184197</v>
      </c>
      <c r="E25" s="11">
        <f t="shared" si="18"/>
        <v>368</v>
      </c>
      <c r="F25" s="45">
        <v>47</v>
      </c>
      <c r="G25" s="13">
        <f t="shared" si="19"/>
        <v>12.771739130434783</v>
      </c>
      <c r="H25" s="35"/>
      <c r="I25" s="35">
        <v>36038</v>
      </c>
      <c r="J25" s="35">
        <f t="shared" si="20"/>
        <v>36038</v>
      </c>
      <c r="K25" s="50">
        <f t="shared" si="21"/>
        <v>47</v>
      </c>
      <c r="L25" s="46">
        <f t="shared" si="22"/>
        <v>0.13041789222487374</v>
      </c>
      <c r="M25" s="48">
        <v>39660</v>
      </c>
      <c r="N25" s="47">
        <f t="shared" si="23"/>
        <v>1864020</v>
      </c>
      <c r="O25" s="18">
        <f t="shared" si="16"/>
        <v>22</v>
      </c>
      <c r="P25" s="58" t="s">
        <v>34</v>
      </c>
      <c r="Q25" s="20">
        <f>N209</f>
        <v>10762000</v>
      </c>
      <c r="R25" s="20">
        <f t="shared" si="15"/>
        <v>10762000</v>
      </c>
    </row>
    <row r="26" spans="1:18" ht="16">
      <c r="A26" s="33">
        <v>46108</v>
      </c>
      <c r="B26" s="44" t="s">
        <v>13</v>
      </c>
      <c r="C26" s="35">
        <v>184197</v>
      </c>
      <c r="D26" s="35">
        <v>184474</v>
      </c>
      <c r="E26" s="11">
        <f t="shared" si="18"/>
        <v>277</v>
      </c>
      <c r="F26" s="45">
        <v>36</v>
      </c>
      <c r="G26" s="13">
        <f t="shared" si="19"/>
        <v>12.996389891696749</v>
      </c>
      <c r="H26" s="35">
        <v>36038</v>
      </c>
      <c r="I26" s="35">
        <v>36445</v>
      </c>
      <c r="J26" s="35">
        <f t="shared" si="20"/>
        <v>407</v>
      </c>
      <c r="K26" s="50">
        <f t="shared" si="21"/>
        <v>36</v>
      </c>
      <c r="L26" s="46">
        <f t="shared" si="22"/>
        <v>8.8452088452088447</v>
      </c>
      <c r="M26" s="48">
        <v>35440</v>
      </c>
      <c r="N26" s="47">
        <f t="shared" si="23"/>
        <v>1275840</v>
      </c>
      <c r="O26" s="18">
        <f t="shared" si="16"/>
        <v>23</v>
      </c>
      <c r="P26" s="69" t="s">
        <v>35</v>
      </c>
      <c r="Q26" s="20">
        <f>N135</f>
        <v>2303600</v>
      </c>
      <c r="R26" s="20">
        <f t="shared" si="15"/>
        <v>2303600</v>
      </c>
    </row>
    <row r="27" spans="1:18" ht="16">
      <c r="A27" s="33">
        <v>46112</v>
      </c>
      <c r="B27" s="44" t="s">
        <v>13</v>
      </c>
      <c r="C27" s="35">
        <v>184474</v>
      </c>
      <c r="D27" s="35">
        <v>184746</v>
      </c>
      <c r="E27" s="11">
        <f t="shared" si="18"/>
        <v>272</v>
      </c>
      <c r="F27" s="45">
        <v>42</v>
      </c>
      <c r="G27" s="13">
        <f t="shared" si="19"/>
        <v>15.441176470588236</v>
      </c>
      <c r="H27" s="35">
        <v>36445</v>
      </c>
      <c r="I27" s="35">
        <v>36675</v>
      </c>
      <c r="J27" s="35">
        <f t="shared" si="20"/>
        <v>230</v>
      </c>
      <c r="K27" s="50">
        <f t="shared" si="21"/>
        <v>42</v>
      </c>
      <c r="L27" s="46">
        <f t="shared" si="22"/>
        <v>18.260869565217391</v>
      </c>
      <c r="M27" s="48">
        <v>35440</v>
      </c>
      <c r="N27" s="47">
        <f t="shared" si="23"/>
        <v>1488480</v>
      </c>
      <c r="O27" s="18">
        <f t="shared" si="16"/>
        <v>24</v>
      </c>
      <c r="P27" s="18"/>
      <c r="Q27" s="18"/>
      <c r="R27" s="18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"/>
      <c r="Q28" s="18"/>
      <c r="R28" s="18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2250</v>
      </c>
      <c r="F29" s="59">
        <f>SUM(F20:F28)</f>
        <v>344</v>
      </c>
      <c r="G29" s="61">
        <f>AVERAGE(G20:G26)</f>
        <v>13.427070566644076</v>
      </c>
      <c r="H29" s="59"/>
      <c r="I29" s="62"/>
      <c r="J29" s="59">
        <f t="shared" ref="J29:K29" si="24">SUM(J20:J26)</f>
        <v>2447</v>
      </c>
      <c r="K29" s="59">
        <f t="shared" si="24"/>
        <v>302</v>
      </c>
      <c r="L29" s="61">
        <f>AVERAGE(L20:L26)</f>
        <v>8.8638390644053633</v>
      </c>
      <c r="M29" s="64"/>
      <c r="N29" s="65">
        <f>SUM(N20:N28)</f>
        <v>10149060</v>
      </c>
      <c r="O29" s="18"/>
      <c r="P29" s="75" t="s">
        <v>19</v>
      </c>
      <c r="Q29" s="20">
        <f>SUM(Q4:Q26)</f>
        <v>202311310</v>
      </c>
      <c r="R29" s="20"/>
    </row>
    <row r="30" spans="1:18" ht="16">
      <c r="A30" s="66">
        <v>46084</v>
      </c>
      <c r="B30" s="34" t="s">
        <v>14</v>
      </c>
      <c r="C30" s="35">
        <v>185368</v>
      </c>
      <c r="D30" s="53">
        <v>185718</v>
      </c>
      <c r="E30" s="36">
        <f t="shared" ref="E30:E37" si="25">D30-C30</f>
        <v>350</v>
      </c>
      <c r="F30" s="37">
        <v>50</v>
      </c>
      <c r="G30" s="13">
        <f t="shared" ref="G30:G37" si="26">(F30/E30)*100</f>
        <v>14.285714285714285</v>
      </c>
      <c r="H30" s="38">
        <v>25754</v>
      </c>
      <c r="I30" s="55">
        <v>26143</v>
      </c>
      <c r="J30" s="39">
        <f t="shared" ref="J30:J37" si="27">I30-H30</f>
        <v>389</v>
      </c>
      <c r="K30" s="50">
        <f t="shared" ref="K30:K37" si="28">F30</f>
        <v>50</v>
      </c>
      <c r="L30" s="67">
        <f t="shared" ref="L30:L37" si="29">(K30/J30)*100</f>
        <v>12.853470437017995</v>
      </c>
      <c r="M30" s="68">
        <v>19270</v>
      </c>
      <c r="N30" s="42">
        <f t="shared" ref="N30:N37" si="30">F30*M30</f>
        <v>963500</v>
      </c>
      <c r="R30" s="76">
        <f t="shared" ref="R30:R44" si="31">Q30</f>
        <v>0</v>
      </c>
    </row>
    <row r="31" spans="1:18" ht="16">
      <c r="A31" s="33">
        <v>46085</v>
      </c>
      <c r="B31" s="44" t="s">
        <v>14</v>
      </c>
      <c r="C31" s="53">
        <v>185718</v>
      </c>
      <c r="D31" s="35">
        <v>185882</v>
      </c>
      <c r="E31" s="11">
        <f t="shared" si="25"/>
        <v>164</v>
      </c>
      <c r="F31" s="45">
        <v>25</v>
      </c>
      <c r="G31" s="13">
        <f t="shared" si="26"/>
        <v>15.24390243902439</v>
      </c>
      <c r="H31" s="55">
        <v>26143</v>
      </c>
      <c r="I31" s="38">
        <v>26330</v>
      </c>
      <c r="J31" s="35">
        <f t="shared" si="27"/>
        <v>187</v>
      </c>
      <c r="K31" s="50">
        <f t="shared" si="28"/>
        <v>25</v>
      </c>
      <c r="L31" s="46">
        <f t="shared" si="29"/>
        <v>13.368983957219251</v>
      </c>
      <c r="M31" s="68">
        <v>19270</v>
      </c>
      <c r="N31" s="47">
        <f t="shared" si="30"/>
        <v>481750</v>
      </c>
      <c r="R31" s="76">
        <f t="shared" si="31"/>
        <v>0</v>
      </c>
    </row>
    <row r="32" spans="1:18" ht="16">
      <c r="A32" s="33">
        <v>46088</v>
      </c>
      <c r="B32" s="34" t="s">
        <v>14</v>
      </c>
      <c r="C32" s="35">
        <v>185882</v>
      </c>
      <c r="D32" s="35">
        <v>186100</v>
      </c>
      <c r="E32" s="11">
        <f t="shared" si="25"/>
        <v>218</v>
      </c>
      <c r="F32" s="45">
        <v>25</v>
      </c>
      <c r="G32" s="13">
        <f t="shared" si="26"/>
        <v>11.467889908256881</v>
      </c>
      <c r="H32" s="38">
        <v>26330</v>
      </c>
      <c r="I32" s="38">
        <v>26571</v>
      </c>
      <c r="J32" s="35">
        <f t="shared" si="27"/>
        <v>241</v>
      </c>
      <c r="K32" s="50">
        <f t="shared" si="28"/>
        <v>25</v>
      </c>
      <c r="L32" s="46">
        <f t="shared" si="29"/>
        <v>10.37344398340249</v>
      </c>
      <c r="M32" s="68">
        <v>23030</v>
      </c>
      <c r="N32" s="47">
        <f t="shared" si="30"/>
        <v>575750</v>
      </c>
      <c r="R32" s="76">
        <f t="shared" si="31"/>
        <v>0</v>
      </c>
    </row>
    <row r="33" spans="1:18" ht="16">
      <c r="A33" s="33">
        <v>46094</v>
      </c>
      <c r="B33" s="44" t="s">
        <v>14</v>
      </c>
      <c r="C33" s="35">
        <v>186100</v>
      </c>
      <c r="D33" s="35">
        <v>186495</v>
      </c>
      <c r="E33" s="11">
        <f t="shared" si="25"/>
        <v>395</v>
      </c>
      <c r="F33" s="45">
        <v>45</v>
      </c>
      <c r="G33" s="13">
        <f t="shared" si="26"/>
        <v>11.39240506329114</v>
      </c>
      <c r="H33" s="38">
        <v>26571</v>
      </c>
      <c r="I33" s="38">
        <v>27012</v>
      </c>
      <c r="J33" s="35">
        <f t="shared" si="27"/>
        <v>441</v>
      </c>
      <c r="K33" s="50">
        <f t="shared" si="28"/>
        <v>45</v>
      </c>
      <c r="L33" s="46">
        <f t="shared" si="29"/>
        <v>10.204081632653061</v>
      </c>
      <c r="M33" s="68">
        <v>27020</v>
      </c>
      <c r="N33" s="47">
        <f t="shared" si="30"/>
        <v>1215900</v>
      </c>
      <c r="R33" s="76">
        <f t="shared" si="31"/>
        <v>0</v>
      </c>
    </row>
    <row r="34" spans="1:18" ht="16">
      <c r="A34" s="33">
        <v>46100</v>
      </c>
      <c r="B34" s="44" t="s">
        <v>14</v>
      </c>
      <c r="C34" s="35">
        <v>186495</v>
      </c>
      <c r="D34" s="35">
        <v>186827</v>
      </c>
      <c r="E34" s="11">
        <f t="shared" si="25"/>
        <v>332</v>
      </c>
      <c r="F34" s="45">
        <v>40</v>
      </c>
      <c r="G34" s="13">
        <f t="shared" si="26"/>
        <v>12.048192771084338</v>
      </c>
      <c r="H34" s="38">
        <v>27012</v>
      </c>
      <c r="I34" s="38">
        <v>27398</v>
      </c>
      <c r="J34" s="35">
        <f t="shared" si="27"/>
        <v>386</v>
      </c>
      <c r="K34" s="50">
        <f t="shared" si="28"/>
        <v>40</v>
      </c>
      <c r="L34" s="46">
        <f t="shared" si="29"/>
        <v>10.362694300518134</v>
      </c>
      <c r="M34" s="68">
        <v>27020</v>
      </c>
      <c r="N34" s="47">
        <f t="shared" si="30"/>
        <v>1080800</v>
      </c>
      <c r="R34" s="76">
        <f t="shared" si="31"/>
        <v>0</v>
      </c>
    </row>
    <row r="35" spans="1:18" ht="16">
      <c r="A35" s="33">
        <v>46104</v>
      </c>
      <c r="B35" s="44" t="s">
        <v>14</v>
      </c>
      <c r="C35" s="35">
        <v>186827</v>
      </c>
      <c r="D35" s="35">
        <v>187121</v>
      </c>
      <c r="E35" s="11">
        <f t="shared" si="25"/>
        <v>294</v>
      </c>
      <c r="F35" s="45">
        <v>42</v>
      </c>
      <c r="G35" s="13">
        <f t="shared" si="26"/>
        <v>14.285714285714285</v>
      </c>
      <c r="H35" s="38">
        <v>27398</v>
      </c>
      <c r="I35" s="38">
        <v>27830</v>
      </c>
      <c r="J35" s="35">
        <f t="shared" si="27"/>
        <v>432</v>
      </c>
      <c r="K35" s="50">
        <f t="shared" si="28"/>
        <v>42</v>
      </c>
      <c r="L35" s="46">
        <f t="shared" si="29"/>
        <v>9.7222222222222232</v>
      </c>
      <c r="M35" s="48">
        <v>33420</v>
      </c>
      <c r="N35" s="47">
        <f t="shared" si="30"/>
        <v>1403640</v>
      </c>
      <c r="R35" s="76">
        <f t="shared" si="31"/>
        <v>0</v>
      </c>
    </row>
    <row r="36" spans="1:18" ht="16">
      <c r="A36" s="33">
        <v>46108</v>
      </c>
      <c r="B36" s="44" t="s">
        <v>14</v>
      </c>
      <c r="C36" s="35">
        <v>187121</v>
      </c>
      <c r="D36" s="35">
        <v>187524</v>
      </c>
      <c r="E36" s="11">
        <f t="shared" si="25"/>
        <v>403</v>
      </c>
      <c r="F36" s="45">
        <v>45</v>
      </c>
      <c r="G36" s="13">
        <f t="shared" si="26"/>
        <v>11.166253101736972</v>
      </c>
      <c r="H36" s="38">
        <v>27830</v>
      </c>
      <c r="I36" s="38">
        <v>28165</v>
      </c>
      <c r="J36" s="35">
        <f t="shared" si="27"/>
        <v>335</v>
      </c>
      <c r="K36" s="50">
        <f t="shared" si="28"/>
        <v>45</v>
      </c>
      <c r="L36" s="46">
        <f t="shared" si="29"/>
        <v>13.432835820895523</v>
      </c>
      <c r="M36" s="48">
        <v>35440</v>
      </c>
      <c r="N36" s="47">
        <f t="shared" si="30"/>
        <v>1594800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2156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2411</v>
      </c>
      <c r="K38" s="59">
        <f t="shared" si="32"/>
        <v>272</v>
      </c>
      <c r="L38" s="61" t="e">
        <f>AVERAGE(L30:L37)</f>
        <v>#DIV/0!</v>
      </c>
      <c r="M38" s="64"/>
      <c r="N38" s="65">
        <f>SUM(N30:N37)</f>
        <v>7316140</v>
      </c>
      <c r="R38" s="76">
        <f t="shared" si="31"/>
        <v>0</v>
      </c>
    </row>
    <row r="39" spans="1:18" ht="16">
      <c r="A39" s="66">
        <v>46083</v>
      </c>
      <c r="B39" s="34" t="s">
        <v>15</v>
      </c>
      <c r="C39" s="35">
        <v>173090</v>
      </c>
      <c r="D39" s="35">
        <v>173442</v>
      </c>
      <c r="E39" s="36">
        <f t="shared" ref="E39:E48" si="33">D39-C39</f>
        <v>352</v>
      </c>
      <c r="F39" s="37">
        <v>42</v>
      </c>
      <c r="G39" s="13">
        <f t="shared" ref="G39:G48" si="34">(F39/E39)*100</f>
        <v>11.931818181818182</v>
      </c>
      <c r="H39" s="38">
        <v>32277</v>
      </c>
      <c r="I39" s="38">
        <v>32495</v>
      </c>
      <c r="J39" s="39">
        <f t="shared" ref="J39:J48" si="35">I39-H39</f>
        <v>218</v>
      </c>
      <c r="K39" s="77">
        <f t="shared" ref="K39:K48" si="36">F39</f>
        <v>42</v>
      </c>
      <c r="L39" s="67">
        <f t="shared" ref="L39:L48" si="37">(K39/J39)*100</f>
        <v>19.26605504587156</v>
      </c>
      <c r="M39" s="53">
        <v>19270</v>
      </c>
      <c r="N39" s="42">
        <f t="shared" ref="N39:N48" si="38">F39*M39</f>
        <v>809340</v>
      </c>
      <c r="R39" s="76">
        <f t="shared" si="31"/>
        <v>0</v>
      </c>
    </row>
    <row r="40" spans="1:18" ht="16">
      <c r="A40" s="33">
        <v>46085</v>
      </c>
      <c r="B40" s="44" t="s">
        <v>15</v>
      </c>
      <c r="C40" s="35">
        <v>173442</v>
      </c>
      <c r="D40" s="35">
        <v>173702</v>
      </c>
      <c r="E40" s="11">
        <f t="shared" si="33"/>
        <v>260</v>
      </c>
      <c r="F40" s="45">
        <v>33</v>
      </c>
      <c r="G40" s="13">
        <f t="shared" si="34"/>
        <v>12.692307692307692</v>
      </c>
      <c r="H40" s="38">
        <v>32495</v>
      </c>
      <c r="I40" s="38">
        <v>32758</v>
      </c>
      <c r="J40" s="35">
        <f t="shared" si="35"/>
        <v>263</v>
      </c>
      <c r="K40" s="50">
        <f t="shared" si="36"/>
        <v>33</v>
      </c>
      <c r="L40" s="46">
        <f t="shared" si="37"/>
        <v>12.547528517110266</v>
      </c>
      <c r="M40" s="53">
        <v>19270</v>
      </c>
      <c r="N40" s="47">
        <f t="shared" si="38"/>
        <v>635910</v>
      </c>
      <c r="P40" s="78"/>
      <c r="R40" s="76">
        <f t="shared" si="31"/>
        <v>0</v>
      </c>
    </row>
    <row r="41" spans="1:18" ht="16">
      <c r="A41" s="33">
        <v>46088</v>
      </c>
      <c r="B41" s="44" t="s">
        <v>15</v>
      </c>
      <c r="C41" s="35">
        <v>173702</v>
      </c>
      <c r="D41" s="35">
        <v>174036</v>
      </c>
      <c r="E41" s="11">
        <f t="shared" si="33"/>
        <v>334</v>
      </c>
      <c r="F41" s="45">
        <v>33</v>
      </c>
      <c r="G41" s="13">
        <f t="shared" si="34"/>
        <v>9.8802395209580833</v>
      </c>
      <c r="H41" s="35">
        <v>32758</v>
      </c>
      <c r="I41" s="35">
        <v>33089</v>
      </c>
      <c r="J41" s="35">
        <f t="shared" si="35"/>
        <v>331</v>
      </c>
      <c r="K41" s="35">
        <f t="shared" si="36"/>
        <v>33</v>
      </c>
      <c r="L41" s="46">
        <f t="shared" si="37"/>
        <v>9.9697885196374632</v>
      </c>
      <c r="M41" s="53">
        <v>23030</v>
      </c>
      <c r="N41" s="47">
        <f t="shared" si="38"/>
        <v>759990</v>
      </c>
      <c r="R41" s="76">
        <f t="shared" si="31"/>
        <v>0</v>
      </c>
    </row>
    <row r="42" spans="1:18" ht="16">
      <c r="A42" s="33">
        <v>46091</v>
      </c>
      <c r="B42" s="44" t="s">
        <v>15</v>
      </c>
      <c r="C42" s="35">
        <v>174036</v>
      </c>
      <c r="D42" s="35">
        <v>174248</v>
      </c>
      <c r="E42" s="11">
        <f t="shared" si="33"/>
        <v>212</v>
      </c>
      <c r="F42" s="45">
        <v>30</v>
      </c>
      <c r="G42" s="13">
        <f t="shared" si="34"/>
        <v>14.150943396226415</v>
      </c>
      <c r="H42" s="38">
        <v>33089</v>
      </c>
      <c r="I42" s="38">
        <v>33324</v>
      </c>
      <c r="J42" s="35">
        <f t="shared" si="35"/>
        <v>235</v>
      </c>
      <c r="K42" s="50">
        <f t="shared" si="36"/>
        <v>30</v>
      </c>
      <c r="L42" s="46">
        <f t="shared" si="37"/>
        <v>12.76595744680851</v>
      </c>
      <c r="M42" s="53">
        <v>30230</v>
      </c>
      <c r="N42" s="47">
        <f t="shared" si="38"/>
        <v>906900</v>
      </c>
      <c r="R42" s="76">
        <f t="shared" si="31"/>
        <v>0</v>
      </c>
    </row>
    <row r="43" spans="1:18" ht="16">
      <c r="A43" s="33">
        <v>46093</v>
      </c>
      <c r="B43" s="44" t="s">
        <v>15</v>
      </c>
      <c r="C43" s="35">
        <v>174248</v>
      </c>
      <c r="D43" s="35">
        <v>174569</v>
      </c>
      <c r="E43" s="11">
        <f t="shared" si="33"/>
        <v>321</v>
      </c>
      <c r="F43" s="45">
        <v>37</v>
      </c>
      <c r="G43" s="13">
        <f t="shared" si="34"/>
        <v>11.526479750778815</v>
      </c>
      <c r="H43" s="38">
        <v>33324</v>
      </c>
      <c r="I43" s="38">
        <v>33622</v>
      </c>
      <c r="J43" s="35">
        <f t="shared" si="35"/>
        <v>298</v>
      </c>
      <c r="K43" s="50">
        <f t="shared" si="36"/>
        <v>37</v>
      </c>
      <c r="L43" s="46">
        <f t="shared" si="37"/>
        <v>12.416107382550337</v>
      </c>
      <c r="M43" s="53">
        <v>26470</v>
      </c>
      <c r="N43" s="47">
        <f t="shared" si="38"/>
        <v>979390</v>
      </c>
      <c r="R43" s="76">
        <f t="shared" si="31"/>
        <v>0</v>
      </c>
    </row>
    <row r="44" spans="1:18" ht="16">
      <c r="A44" s="33">
        <v>46095</v>
      </c>
      <c r="B44" s="44" t="s">
        <v>15</v>
      </c>
      <c r="C44" s="35">
        <v>174569</v>
      </c>
      <c r="D44" s="35">
        <v>174749</v>
      </c>
      <c r="E44" s="11">
        <f t="shared" si="33"/>
        <v>180</v>
      </c>
      <c r="F44" s="45">
        <v>20</v>
      </c>
      <c r="G44" s="13">
        <f t="shared" si="34"/>
        <v>11.111111111111111</v>
      </c>
      <c r="H44" s="38">
        <v>33622</v>
      </c>
      <c r="I44" s="38">
        <v>33802</v>
      </c>
      <c r="J44" s="35">
        <f t="shared" si="35"/>
        <v>180</v>
      </c>
      <c r="K44" s="50">
        <f t="shared" si="36"/>
        <v>20</v>
      </c>
      <c r="L44" s="46">
        <f t="shared" si="37"/>
        <v>11.111111111111111</v>
      </c>
      <c r="M44" s="48">
        <v>27020</v>
      </c>
      <c r="N44" s="47">
        <f t="shared" si="38"/>
        <v>540400</v>
      </c>
      <c r="R44" s="76">
        <f t="shared" si="31"/>
        <v>0</v>
      </c>
    </row>
    <row r="45" spans="1:18" ht="16">
      <c r="A45" s="33">
        <v>46100</v>
      </c>
      <c r="B45" s="44" t="s">
        <v>15</v>
      </c>
      <c r="C45" s="35">
        <v>174749</v>
      </c>
      <c r="D45" s="35">
        <v>175059</v>
      </c>
      <c r="E45" s="11">
        <f t="shared" si="33"/>
        <v>310</v>
      </c>
      <c r="F45" s="45">
        <v>34</v>
      </c>
      <c r="G45" s="13">
        <f t="shared" si="34"/>
        <v>10.967741935483872</v>
      </c>
      <c r="H45" s="38">
        <v>33802</v>
      </c>
      <c r="I45" s="38">
        <v>34162</v>
      </c>
      <c r="J45" s="35">
        <f t="shared" si="35"/>
        <v>360</v>
      </c>
      <c r="K45" s="50">
        <f t="shared" si="36"/>
        <v>34</v>
      </c>
      <c r="L45" s="46">
        <f t="shared" si="37"/>
        <v>9.4444444444444446</v>
      </c>
      <c r="M45" s="48">
        <v>27020</v>
      </c>
      <c r="N45" s="47">
        <f t="shared" si="38"/>
        <v>918680</v>
      </c>
    </row>
    <row r="46" spans="1:18" ht="16">
      <c r="A46" s="33">
        <v>46102</v>
      </c>
      <c r="B46" s="44" t="s">
        <v>15</v>
      </c>
      <c r="C46" s="35">
        <v>175059</v>
      </c>
      <c r="D46" s="35">
        <v>175280</v>
      </c>
      <c r="E46" s="11">
        <f t="shared" si="33"/>
        <v>221</v>
      </c>
      <c r="F46" s="45">
        <v>36</v>
      </c>
      <c r="G46" s="13">
        <f t="shared" si="34"/>
        <v>16.289592760180994</v>
      </c>
      <c r="H46" s="38">
        <v>34162</v>
      </c>
      <c r="I46" s="38">
        <v>34406</v>
      </c>
      <c r="J46" s="35">
        <f t="shared" si="35"/>
        <v>244</v>
      </c>
      <c r="K46" s="50">
        <f t="shared" si="36"/>
        <v>36</v>
      </c>
      <c r="L46" s="46">
        <f t="shared" si="37"/>
        <v>14.754098360655737</v>
      </c>
      <c r="M46" s="48">
        <v>33420</v>
      </c>
      <c r="N46" s="47">
        <f t="shared" si="38"/>
        <v>1203120</v>
      </c>
    </row>
    <row r="47" spans="1:18" ht="16">
      <c r="A47" s="33">
        <v>46106</v>
      </c>
      <c r="B47" s="79" t="s">
        <v>15</v>
      </c>
      <c r="C47" s="35">
        <v>175280</v>
      </c>
      <c r="D47" s="53">
        <v>175632</v>
      </c>
      <c r="E47" s="24">
        <f t="shared" si="33"/>
        <v>352</v>
      </c>
      <c r="F47" s="45">
        <v>46</v>
      </c>
      <c r="G47" s="54">
        <f t="shared" si="34"/>
        <v>13.068181818181818</v>
      </c>
      <c r="H47" s="38">
        <v>34406</v>
      </c>
      <c r="I47" s="55">
        <v>34731</v>
      </c>
      <c r="J47" s="53">
        <f t="shared" si="35"/>
        <v>325</v>
      </c>
      <c r="K47" s="50">
        <f t="shared" si="36"/>
        <v>46</v>
      </c>
      <c r="L47" s="73">
        <f t="shared" si="37"/>
        <v>14.153846153846153</v>
      </c>
      <c r="M47" s="48">
        <v>37890</v>
      </c>
      <c r="N47" s="57">
        <f t="shared" si="38"/>
        <v>1742940</v>
      </c>
      <c r="R47" s="76">
        <f t="shared" ref="R47:R57" si="39">Q47</f>
        <v>0</v>
      </c>
    </row>
    <row r="48" spans="1:18" ht="16">
      <c r="A48" s="33">
        <v>46109</v>
      </c>
      <c r="B48" s="79" t="s">
        <v>15</v>
      </c>
      <c r="C48" s="53">
        <v>175632</v>
      </c>
      <c r="D48" s="53">
        <v>175984</v>
      </c>
      <c r="E48" s="24">
        <f t="shared" si="33"/>
        <v>352</v>
      </c>
      <c r="F48" s="45">
        <v>43</v>
      </c>
      <c r="G48" s="54">
        <f t="shared" si="34"/>
        <v>12.215909090909092</v>
      </c>
      <c r="H48" s="55">
        <v>34731</v>
      </c>
      <c r="I48" s="55">
        <v>35038</v>
      </c>
      <c r="J48" s="53">
        <f t="shared" si="35"/>
        <v>307</v>
      </c>
      <c r="K48" s="50">
        <f t="shared" si="36"/>
        <v>43</v>
      </c>
      <c r="L48" s="73">
        <f t="shared" si="37"/>
        <v>14.006514657980457</v>
      </c>
      <c r="M48" s="48">
        <v>35440</v>
      </c>
      <c r="N48" s="57">
        <f t="shared" si="38"/>
        <v>1523920</v>
      </c>
      <c r="R48" s="76">
        <f t="shared" si="39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2542</v>
      </c>
      <c r="F49" s="59">
        <f>SUM(F39:F48)</f>
        <v>354</v>
      </c>
      <c r="G49" s="61">
        <f>AVERAGE(G39:G47)</f>
        <v>12.402046240782999</v>
      </c>
      <c r="H49" s="59"/>
      <c r="I49" s="62"/>
      <c r="J49" s="59">
        <f t="shared" ref="J49:K49" si="40">SUM(J39:J47)</f>
        <v>2454</v>
      </c>
      <c r="K49" s="59">
        <f t="shared" si="40"/>
        <v>311</v>
      </c>
      <c r="L49" s="61">
        <f>AVERAGE(L39:L47)</f>
        <v>12.936548553559508</v>
      </c>
      <c r="M49" s="64"/>
      <c r="N49" s="65">
        <f>SUM(N39:N48)</f>
        <v>10020590</v>
      </c>
      <c r="R49" s="76">
        <f t="shared" si="39"/>
        <v>0</v>
      </c>
    </row>
    <row r="50" spans="1:18" ht="16">
      <c r="A50" s="66">
        <v>46084</v>
      </c>
      <c r="B50" s="34" t="s">
        <v>16</v>
      </c>
      <c r="C50" s="35">
        <v>149936</v>
      </c>
      <c r="D50" s="35">
        <v>150214</v>
      </c>
      <c r="E50" s="36">
        <f t="shared" ref="E50:E60" si="41">D50-C50</f>
        <v>278</v>
      </c>
      <c r="F50" s="37">
        <v>40</v>
      </c>
      <c r="G50" s="13">
        <f t="shared" ref="G50:G60" si="42">(F50/E50)*100</f>
        <v>14.388489208633093</v>
      </c>
      <c r="H50" s="38">
        <v>34857</v>
      </c>
      <c r="I50" s="38">
        <v>35154</v>
      </c>
      <c r="J50" s="39">
        <f t="shared" ref="J50:J60" si="43">I50-H50</f>
        <v>297</v>
      </c>
      <c r="K50" s="77">
        <f t="shared" ref="K50:K60" si="44">F50</f>
        <v>40</v>
      </c>
      <c r="L50" s="67">
        <f t="shared" ref="L50:L60" si="45">(K50/J50)*100</f>
        <v>13.468013468013467</v>
      </c>
      <c r="M50" s="68">
        <v>19270</v>
      </c>
      <c r="N50" s="42">
        <f t="shared" ref="N50:N60" si="46">F50*M50</f>
        <v>770800</v>
      </c>
      <c r="R50" s="76">
        <f t="shared" si="39"/>
        <v>0</v>
      </c>
    </row>
    <row r="51" spans="1:18" ht="16">
      <c r="A51" s="66">
        <v>46085</v>
      </c>
      <c r="B51" s="44" t="s">
        <v>16</v>
      </c>
      <c r="C51" s="35">
        <v>150214</v>
      </c>
      <c r="D51" s="35">
        <v>150463</v>
      </c>
      <c r="E51" s="11">
        <f t="shared" si="41"/>
        <v>249</v>
      </c>
      <c r="F51" s="45">
        <v>30</v>
      </c>
      <c r="G51" s="13">
        <f t="shared" si="42"/>
        <v>12.048192771084338</v>
      </c>
      <c r="H51" s="38">
        <v>35154</v>
      </c>
      <c r="I51" s="38">
        <v>35428</v>
      </c>
      <c r="J51" s="35">
        <f t="shared" si="43"/>
        <v>274</v>
      </c>
      <c r="K51" s="50">
        <f t="shared" si="44"/>
        <v>30</v>
      </c>
      <c r="L51" s="46">
        <f t="shared" si="45"/>
        <v>10.948905109489052</v>
      </c>
      <c r="M51" s="48">
        <v>19270</v>
      </c>
      <c r="N51" s="47">
        <f t="shared" si="46"/>
        <v>578100</v>
      </c>
      <c r="R51" s="76">
        <f t="shared" si="39"/>
        <v>0</v>
      </c>
    </row>
    <row r="52" spans="1:18" ht="16">
      <c r="A52" s="80">
        <v>46088</v>
      </c>
      <c r="B52" s="44" t="s">
        <v>16</v>
      </c>
      <c r="C52" s="35">
        <v>150463</v>
      </c>
      <c r="D52" s="35">
        <v>150822</v>
      </c>
      <c r="E52" s="11">
        <f t="shared" si="41"/>
        <v>359</v>
      </c>
      <c r="F52" s="45">
        <v>48</v>
      </c>
      <c r="G52" s="13">
        <f t="shared" si="42"/>
        <v>13.370473537604457</v>
      </c>
      <c r="H52" s="38">
        <v>35428</v>
      </c>
      <c r="I52" s="38">
        <v>35814</v>
      </c>
      <c r="J52" s="35">
        <f t="shared" si="43"/>
        <v>386</v>
      </c>
      <c r="K52" s="50">
        <f t="shared" si="44"/>
        <v>48</v>
      </c>
      <c r="L52" s="46">
        <f t="shared" si="45"/>
        <v>12.435233160621761</v>
      </c>
      <c r="M52" s="48">
        <v>23030</v>
      </c>
      <c r="N52" s="47">
        <f t="shared" si="46"/>
        <v>1105440</v>
      </c>
      <c r="R52" s="76">
        <f t="shared" si="39"/>
        <v>0</v>
      </c>
    </row>
    <row r="53" spans="1:18" ht="16">
      <c r="A53" s="80">
        <v>46093</v>
      </c>
      <c r="B53" s="44" t="s">
        <v>16</v>
      </c>
      <c r="C53" s="35">
        <v>150822</v>
      </c>
      <c r="D53" s="35">
        <v>151145</v>
      </c>
      <c r="E53" s="11">
        <f t="shared" si="41"/>
        <v>323</v>
      </c>
      <c r="F53" s="45">
        <v>42</v>
      </c>
      <c r="G53" s="13">
        <f t="shared" si="42"/>
        <v>13.003095975232199</v>
      </c>
      <c r="H53" s="38">
        <v>35814</v>
      </c>
      <c r="I53" s="38">
        <v>36166</v>
      </c>
      <c r="J53" s="35">
        <f t="shared" si="43"/>
        <v>352</v>
      </c>
      <c r="K53" s="50">
        <f t="shared" si="44"/>
        <v>42</v>
      </c>
      <c r="L53" s="46">
        <f t="shared" si="45"/>
        <v>11.931818181818182</v>
      </c>
      <c r="M53" s="48">
        <v>26470</v>
      </c>
      <c r="N53" s="47">
        <f t="shared" si="46"/>
        <v>1111740</v>
      </c>
      <c r="R53" s="76">
        <f t="shared" si="39"/>
        <v>0</v>
      </c>
    </row>
    <row r="54" spans="1:18" ht="16">
      <c r="A54" s="80">
        <v>46097</v>
      </c>
      <c r="B54" s="44" t="s">
        <v>16</v>
      </c>
      <c r="C54" s="35">
        <v>151145</v>
      </c>
      <c r="D54" s="35">
        <v>151406</v>
      </c>
      <c r="E54" s="11">
        <f t="shared" si="41"/>
        <v>261</v>
      </c>
      <c r="F54" s="45">
        <v>39</v>
      </c>
      <c r="G54" s="13">
        <f t="shared" si="42"/>
        <v>14.942528735632186</v>
      </c>
      <c r="H54" s="38">
        <v>36166</v>
      </c>
      <c r="I54" s="38">
        <v>36446</v>
      </c>
      <c r="J54" s="35">
        <f t="shared" si="43"/>
        <v>280</v>
      </c>
      <c r="K54" s="50">
        <f t="shared" si="44"/>
        <v>39</v>
      </c>
      <c r="L54" s="46">
        <f t="shared" si="45"/>
        <v>13.928571428571429</v>
      </c>
      <c r="M54" s="48">
        <v>27020</v>
      </c>
      <c r="N54" s="47">
        <f t="shared" si="46"/>
        <v>1053780</v>
      </c>
      <c r="P54" s="78"/>
      <c r="R54" s="76">
        <f t="shared" si="39"/>
        <v>0</v>
      </c>
    </row>
    <row r="55" spans="1:18" ht="16">
      <c r="A55" s="80">
        <v>46099</v>
      </c>
      <c r="B55" s="44" t="s">
        <v>16</v>
      </c>
      <c r="C55" s="35">
        <v>151406</v>
      </c>
      <c r="D55" s="35">
        <v>151774</v>
      </c>
      <c r="E55" s="11">
        <f t="shared" si="41"/>
        <v>368</v>
      </c>
      <c r="F55" s="45">
        <v>48</v>
      </c>
      <c r="G55" s="13">
        <f t="shared" si="42"/>
        <v>13.043478260869565</v>
      </c>
      <c r="H55" s="38">
        <v>36446</v>
      </c>
      <c r="I55" s="38">
        <v>36852</v>
      </c>
      <c r="J55" s="35">
        <f t="shared" si="43"/>
        <v>406</v>
      </c>
      <c r="K55" s="50">
        <f t="shared" si="44"/>
        <v>48</v>
      </c>
      <c r="L55" s="46">
        <f t="shared" si="45"/>
        <v>11.822660098522167</v>
      </c>
      <c r="M55" s="48">
        <v>27020</v>
      </c>
      <c r="N55" s="47">
        <f t="shared" si="46"/>
        <v>1296960</v>
      </c>
      <c r="R55" s="76">
        <f t="shared" si="39"/>
        <v>0</v>
      </c>
    </row>
    <row r="56" spans="1:18" ht="16">
      <c r="A56" s="80">
        <v>46103</v>
      </c>
      <c r="B56" s="44" t="s">
        <v>16</v>
      </c>
      <c r="C56" s="35">
        <v>151774</v>
      </c>
      <c r="D56" s="35">
        <v>152130</v>
      </c>
      <c r="E56" s="11">
        <f t="shared" si="41"/>
        <v>356</v>
      </c>
      <c r="F56" s="45">
        <v>50</v>
      </c>
      <c r="G56" s="13">
        <f t="shared" si="42"/>
        <v>14.04494382022472</v>
      </c>
      <c r="H56" s="38">
        <v>36852</v>
      </c>
      <c r="I56" s="38">
        <v>37236</v>
      </c>
      <c r="J56" s="35">
        <f t="shared" si="43"/>
        <v>384</v>
      </c>
      <c r="K56" s="50">
        <f t="shared" si="44"/>
        <v>50</v>
      </c>
      <c r="L56" s="46">
        <f t="shared" si="45"/>
        <v>13.020833333333334</v>
      </c>
      <c r="M56" s="48">
        <v>33420</v>
      </c>
      <c r="N56" s="47">
        <f t="shared" si="46"/>
        <v>1671000</v>
      </c>
      <c r="R56" s="76">
        <f t="shared" si="39"/>
        <v>0</v>
      </c>
    </row>
    <row r="57" spans="1:18" ht="16">
      <c r="A57" s="80">
        <v>46106</v>
      </c>
      <c r="B57" s="44" t="s">
        <v>16</v>
      </c>
      <c r="C57" s="35">
        <v>152130</v>
      </c>
      <c r="D57" s="35">
        <v>152441</v>
      </c>
      <c r="E57" s="11">
        <f t="shared" si="41"/>
        <v>311</v>
      </c>
      <c r="F57" s="45">
        <v>46</v>
      </c>
      <c r="G57" s="13">
        <f t="shared" si="42"/>
        <v>14.790996784565916</v>
      </c>
      <c r="H57" s="38">
        <v>37236</v>
      </c>
      <c r="I57" s="38">
        <v>37566</v>
      </c>
      <c r="J57" s="35">
        <f t="shared" si="43"/>
        <v>330</v>
      </c>
      <c r="K57" s="50">
        <f t="shared" si="44"/>
        <v>46</v>
      </c>
      <c r="L57" s="46">
        <f t="shared" si="45"/>
        <v>13.939393939393941</v>
      </c>
      <c r="M57" s="48">
        <v>37890</v>
      </c>
      <c r="N57" s="47">
        <f t="shared" si="46"/>
        <v>1742940</v>
      </c>
      <c r="R57" s="76">
        <f t="shared" si="39"/>
        <v>0</v>
      </c>
    </row>
    <row r="58" spans="1:18" ht="16">
      <c r="A58" s="80">
        <v>46109</v>
      </c>
      <c r="B58" s="44" t="s">
        <v>16</v>
      </c>
      <c r="C58" s="35">
        <v>152441</v>
      </c>
      <c r="D58" s="35">
        <v>152771</v>
      </c>
      <c r="E58" s="11">
        <f t="shared" si="41"/>
        <v>330</v>
      </c>
      <c r="F58" s="45">
        <v>45</v>
      </c>
      <c r="G58" s="13">
        <f t="shared" si="42"/>
        <v>13.636363636363635</v>
      </c>
      <c r="H58" s="38">
        <v>37566</v>
      </c>
      <c r="I58" s="38">
        <v>37927</v>
      </c>
      <c r="J58" s="35">
        <f t="shared" si="43"/>
        <v>361</v>
      </c>
      <c r="K58" s="50">
        <f t="shared" si="44"/>
        <v>45</v>
      </c>
      <c r="L58" s="46">
        <f t="shared" si="45"/>
        <v>12.465373961218837</v>
      </c>
      <c r="M58" s="48">
        <v>35440</v>
      </c>
      <c r="N58" s="47">
        <f t="shared" si="46"/>
        <v>1594800</v>
      </c>
    </row>
    <row r="59" spans="1:18" ht="16">
      <c r="A59" s="80"/>
      <c r="B59" s="44" t="s">
        <v>16</v>
      </c>
      <c r="C59" s="35"/>
      <c r="D59" s="35"/>
      <c r="E59" s="11">
        <f t="shared" si="41"/>
        <v>0</v>
      </c>
      <c r="F59" s="45"/>
      <c r="G59" s="13" t="e">
        <f t="shared" si="42"/>
        <v>#DIV/0!</v>
      </c>
      <c r="H59" s="38"/>
      <c r="I59" s="38"/>
      <c r="J59" s="35">
        <f t="shared" si="43"/>
        <v>0</v>
      </c>
      <c r="K59" s="50">
        <f t="shared" si="44"/>
        <v>0</v>
      </c>
      <c r="L59" s="46" t="e">
        <f t="shared" si="45"/>
        <v>#DIV/0!</v>
      </c>
      <c r="M59" s="48"/>
      <c r="N59" s="47">
        <f t="shared" si="46"/>
        <v>0</v>
      </c>
      <c r="R59" s="76">
        <f t="shared" ref="R59:R64" si="47">Q59</f>
        <v>0</v>
      </c>
    </row>
    <row r="60" spans="1:18" ht="16">
      <c r="A60" s="80"/>
      <c r="B60" s="44" t="s">
        <v>16</v>
      </c>
      <c r="C60" s="53"/>
      <c r="D60" s="53"/>
      <c r="E60" s="24">
        <f t="shared" si="41"/>
        <v>0</v>
      </c>
      <c r="F60" s="45"/>
      <c r="G60" s="54" t="e">
        <f t="shared" si="42"/>
        <v>#DIV/0!</v>
      </c>
      <c r="H60" s="53"/>
      <c r="I60" s="55"/>
      <c r="J60" s="53">
        <f t="shared" si="43"/>
        <v>0</v>
      </c>
      <c r="K60" s="50">
        <f t="shared" si="44"/>
        <v>0</v>
      </c>
      <c r="L60" s="73" t="e">
        <f t="shared" si="45"/>
        <v>#DIV/0!</v>
      </c>
      <c r="M60" s="48"/>
      <c r="N60" s="57">
        <f t="shared" si="46"/>
        <v>0</v>
      </c>
      <c r="R60" s="76">
        <f t="shared" si="47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2835</v>
      </c>
      <c r="F61" s="37"/>
      <c r="G61" s="61" t="e">
        <f>AVERAGE(G50:G60)</f>
        <v>#DIV/0!</v>
      </c>
      <c r="H61" s="59"/>
      <c r="I61" s="62"/>
      <c r="J61" s="59">
        <f t="shared" ref="J61:K61" si="48">SUM(J50:J60)</f>
        <v>3070</v>
      </c>
      <c r="K61" s="59">
        <f t="shared" si="48"/>
        <v>388</v>
      </c>
      <c r="L61" s="61" t="e">
        <f>AVERAGE(L50:L60)</f>
        <v>#DIV/0!</v>
      </c>
      <c r="M61" s="64"/>
      <c r="N61" s="65">
        <f>SUM(N50:N60)</f>
        <v>10925560</v>
      </c>
      <c r="R61" s="76">
        <f t="shared" si="47"/>
        <v>0</v>
      </c>
    </row>
    <row r="62" spans="1:18" ht="16">
      <c r="A62" s="66">
        <v>46085</v>
      </c>
      <c r="B62" s="82" t="s">
        <v>18</v>
      </c>
      <c r="C62" s="35">
        <v>154207</v>
      </c>
      <c r="D62" s="50">
        <v>154558</v>
      </c>
      <c r="E62" s="36">
        <f t="shared" ref="E62:E70" si="49">D62-C62</f>
        <v>351</v>
      </c>
      <c r="F62" s="37">
        <v>42</v>
      </c>
      <c r="G62" s="13">
        <f t="shared" ref="G62:G70" si="50">(F62/E62)*100</f>
        <v>11.965811965811966</v>
      </c>
      <c r="H62" s="38">
        <v>26611</v>
      </c>
      <c r="I62" s="38">
        <v>26997</v>
      </c>
      <c r="J62" s="39">
        <f t="shared" ref="J62:J70" si="51">I62-H62</f>
        <v>386</v>
      </c>
      <c r="K62" s="77">
        <f t="shared" ref="K62:K70" si="52">F62</f>
        <v>42</v>
      </c>
      <c r="L62" s="67">
        <f t="shared" ref="L62:L70" si="53">(K62/J62)*100</f>
        <v>10.880829015544041</v>
      </c>
      <c r="M62" s="68">
        <v>19270</v>
      </c>
      <c r="N62" s="42">
        <f t="shared" ref="N62:N64" si="54">F62*M62</f>
        <v>809340</v>
      </c>
      <c r="R62" s="76">
        <f t="shared" si="47"/>
        <v>0</v>
      </c>
    </row>
    <row r="63" spans="1:18" ht="16">
      <c r="A63" s="33">
        <v>46088</v>
      </c>
      <c r="B63" s="44" t="s">
        <v>18</v>
      </c>
      <c r="C63" s="50">
        <v>154558</v>
      </c>
      <c r="D63" s="35">
        <v>154871</v>
      </c>
      <c r="E63" s="11">
        <f t="shared" si="49"/>
        <v>313</v>
      </c>
      <c r="F63" s="45">
        <v>41</v>
      </c>
      <c r="G63" s="13">
        <f t="shared" si="50"/>
        <v>13.099041533546327</v>
      </c>
      <c r="H63" s="38">
        <v>26997</v>
      </c>
      <c r="I63" s="38">
        <v>27346</v>
      </c>
      <c r="J63" s="35">
        <f t="shared" si="51"/>
        <v>349</v>
      </c>
      <c r="K63" s="50">
        <f t="shared" si="52"/>
        <v>41</v>
      </c>
      <c r="L63" s="46">
        <f t="shared" si="53"/>
        <v>11.74785100286533</v>
      </c>
      <c r="M63" s="48">
        <v>23030</v>
      </c>
      <c r="N63" s="47">
        <f t="shared" si="54"/>
        <v>944230</v>
      </c>
      <c r="R63" s="76">
        <f t="shared" si="47"/>
        <v>0</v>
      </c>
    </row>
    <row r="64" spans="1:18" ht="16">
      <c r="A64" s="33">
        <v>46093</v>
      </c>
      <c r="B64" s="44" t="s">
        <v>18</v>
      </c>
      <c r="C64" s="35">
        <v>154871</v>
      </c>
      <c r="D64" s="35">
        <v>155330</v>
      </c>
      <c r="E64" s="11">
        <f t="shared" si="49"/>
        <v>459</v>
      </c>
      <c r="F64" s="45">
        <v>36</v>
      </c>
      <c r="G64" s="13">
        <f t="shared" si="50"/>
        <v>7.8431372549019605</v>
      </c>
      <c r="H64" s="38">
        <v>27346</v>
      </c>
      <c r="I64" s="38">
        <v>27832</v>
      </c>
      <c r="J64" s="35">
        <f t="shared" si="51"/>
        <v>486</v>
      </c>
      <c r="K64" s="50">
        <f t="shared" si="52"/>
        <v>36</v>
      </c>
      <c r="L64" s="46">
        <f t="shared" si="53"/>
        <v>7.4074074074074066</v>
      </c>
      <c r="M64" s="48">
        <v>26470</v>
      </c>
      <c r="N64" s="47">
        <f t="shared" si="54"/>
        <v>952920</v>
      </c>
      <c r="R64" s="76">
        <f t="shared" si="47"/>
        <v>0</v>
      </c>
    </row>
    <row r="65" spans="1:18" ht="16">
      <c r="A65" s="33">
        <v>46090</v>
      </c>
      <c r="B65" s="44" t="s">
        <v>18</v>
      </c>
      <c r="C65" s="35"/>
      <c r="D65" s="35"/>
      <c r="E65" s="11">
        <f t="shared" si="49"/>
        <v>0</v>
      </c>
      <c r="F65" s="45"/>
      <c r="G65" s="13" t="e">
        <f t="shared" si="50"/>
        <v>#DIV/0!</v>
      </c>
      <c r="H65" s="38"/>
      <c r="I65" s="38"/>
      <c r="J65" s="35">
        <f t="shared" si="51"/>
        <v>0</v>
      </c>
      <c r="K65" s="50">
        <f t="shared" si="52"/>
        <v>0</v>
      </c>
      <c r="L65" s="46" t="e">
        <f t="shared" si="53"/>
        <v>#DIV/0!</v>
      </c>
      <c r="M65" s="48"/>
      <c r="N65" s="47">
        <v>725520</v>
      </c>
    </row>
    <row r="66" spans="1:18" ht="16">
      <c r="A66" s="33">
        <v>46099</v>
      </c>
      <c r="B66" s="44" t="s">
        <v>18</v>
      </c>
      <c r="C66" s="35">
        <v>155330</v>
      </c>
      <c r="D66" s="35">
        <v>155695</v>
      </c>
      <c r="E66" s="11">
        <f t="shared" si="49"/>
        <v>365</v>
      </c>
      <c r="F66" s="45">
        <v>40</v>
      </c>
      <c r="G66" s="13">
        <f t="shared" si="50"/>
        <v>10.95890410958904</v>
      </c>
      <c r="H66" s="38">
        <v>27832</v>
      </c>
      <c r="I66" s="38">
        <v>28330</v>
      </c>
      <c r="J66" s="35">
        <f t="shared" si="51"/>
        <v>498</v>
      </c>
      <c r="K66" s="50">
        <f t="shared" si="52"/>
        <v>40</v>
      </c>
      <c r="L66" s="46">
        <f t="shared" si="53"/>
        <v>8.0321285140562253</v>
      </c>
      <c r="M66" s="48">
        <v>27020</v>
      </c>
      <c r="N66" s="47">
        <f t="shared" ref="N66:N70" si="55">F66*M66</f>
        <v>1080800</v>
      </c>
      <c r="R66" s="76">
        <f t="shared" ref="R66:R127" si="56">Q66</f>
        <v>0</v>
      </c>
    </row>
    <row r="67" spans="1:18" ht="16">
      <c r="A67" s="33">
        <v>46102</v>
      </c>
      <c r="B67" s="44" t="s">
        <v>18</v>
      </c>
      <c r="C67" s="35">
        <v>155695</v>
      </c>
      <c r="D67" s="35">
        <v>156063</v>
      </c>
      <c r="E67" s="11">
        <f t="shared" si="49"/>
        <v>368</v>
      </c>
      <c r="F67" s="45">
        <v>40</v>
      </c>
      <c r="G67" s="13">
        <f t="shared" si="50"/>
        <v>10.869565217391305</v>
      </c>
      <c r="H67" s="38">
        <v>28330</v>
      </c>
      <c r="I67" s="38">
        <v>28767</v>
      </c>
      <c r="J67" s="35">
        <f t="shared" si="51"/>
        <v>437</v>
      </c>
      <c r="K67" s="50">
        <f t="shared" si="52"/>
        <v>40</v>
      </c>
      <c r="L67" s="46">
        <f t="shared" si="53"/>
        <v>9.1533180778032026</v>
      </c>
      <c r="M67" s="48">
        <v>33420</v>
      </c>
      <c r="N67" s="47">
        <f t="shared" si="55"/>
        <v>1336800</v>
      </c>
      <c r="R67" s="76">
        <f t="shared" si="56"/>
        <v>0</v>
      </c>
    </row>
    <row r="68" spans="1:18" ht="16">
      <c r="A68" s="33">
        <v>46107</v>
      </c>
      <c r="B68" s="44" t="s">
        <v>18</v>
      </c>
      <c r="C68" s="35">
        <v>156063</v>
      </c>
      <c r="D68" s="35">
        <v>156413</v>
      </c>
      <c r="E68" s="51">
        <f t="shared" si="49"/>
        <v>350</v>
      </c>
      <c r="F68" s="45">
        <v>50</v>
      </c>
      <c r="G68" s="13">
        <f t="shared" si="50"/>
        <v>14.285714285714285</v>
      </c>
      <c r="H68" s="38">
        <v>28767</v>
      </c>
      <c r="I68" s="38">
        <v>29048</v>
      </c>
      <c r="J68" s="35">
        <f t="shared" si="51"/>
        <v>281</v>
      </c>
      <c r="K68" s="50">
        <f t="shared" si="52"/>
        <v>50</v>
      </c>
      <c r="L68" s="46">
        <f t="shared" si="53"/>
        <v>17.793594306049823</v>
      </c>
      <c r="M68" s="48">
        <v>37890</v>
      </c>
      <c r="N68" s="47">
        <f t="shared" si="55"/>
        <v>1894500</v>
      </c>
      <c r="R68" s="76">
        <f t="shared" si="56"/>
        <v>0</v>
      </c>
    </row>
    <row r="69" spans="1:18" ht="16">
      <c r="A69" s="43">
        <v>46111</v>
      </c>
      <c r="B69" s="49" t="s">
        <v>18</v>
      </c>
      <c r="C69" s="35">
        <v>156413</v>
      </c>
      <c r="D69" s="50">
        <v>156705</v>
      </c>
      <c r="E69" s="51">
        <f t="shared" si="49"/>
        <v>292</v>
      </c>
      <c r="F69" s="45">
        <v>41</v>
      </c>
      <c r="G69" s="13">
        <f t="shared" si="50"/>
        <v>14.04109589041096</v>
      </c>
      <c r="H69" s="38">
        <v>29048</v>
      </c>
      <c r="I69" s="38">
        <v>29361</v>
      </c>
      <c r="J69" s="35">
        <f t="shared" si="51"/>
        <v>313</v>
      </c>
      <c r="K69" s="50">
        <f t="shared" si="52"/>
        <v>41</v>
      </c>
      <c r="L69" s="46">
        <f t="shared" si="53"/>
        <v>13.099041533546327</v>
      </c>
      <c r="M69" s="48">
        <v>35440</v>
      </c>
      <c r="N69" s="47">
        <f t="shared" si="55"/>
        <v>1453040</v>
      </c>
      <c r="R69" s="76">
        <f t="shared" si="56"/>
        <v>0</v>
      </c>
    </row>
    <row r="70" spans="1:18" ht="16">
      <c r="A70" s="33"/>
      <c r="B70" s="44" t="s">
        <v>18</v>
      </c>
      <c r="C70" s="12"/>
      <c r="D70" s="53"/>
      <c r="E70" s="24">
        <f t="shared" si="49"/>
        <v>0</v>
      </c>
      <c r="F70" s="45"/>
      <c r="G70" s="54" t="e">
        <f t="shared" si="50"/>
        <v>#DIV/0!</v>
      </c>
      <c r="H70" s="53"/>
      <c r="I70" s="55"/>
      <c r="J70" s="53">
        <f t="shared" si="51"/>
        <v>0</v>
      </c>
      <c r="K70" s="50">
        <f t="shared" si="52"/>
        <v>0</v>
      </c>
      <c r="L70" s="73" t="e">
        <f t="shared" si="53"/>
        <v>#DIV/0!</v>
      </c>
      <c r="M70" s="48"/>
      <c r="N70" s="57">
        <f t="shared" si="55"/>
        <v>0</v>
      </c>
      <c r="R70" s="76">
        <f t="shared" si="56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7">SUM(E62:E70)</f>
        <v>2498</v>
      </c>
      <c r="F71" s="59">
        <f t="shared" si="57"/>
        <v>290</v>
      </c>
      <c r="G71" s="61" t="e">
        <f>AVERAGE(G62:G70)</f>
        <v>#DIV/0!</v>
      </c>
      <c r="H71" s="59"/>
      <c r="I71" s="62"/>
      <c r="J71" s="59">
        <f t="shared" ref="J71:K71" si="58">SUM(J62:J70)</f>
        <v>2750</v>
      </c>
      <c r="K71" s="59">
        <f t="shared" si="58"/>
        <v>290</v>
      </c>
      <c r="L71" s="61" t="e">
        <f>AVERAGE(L62:L70)</f>
        <v>#DIV/0!</v>
      </c>
      <c r="M71" s="64"/>
      <c r="N71" s="65">
        <f>SUM(N62:N70)</f>
        <v>9197150</v>
      </c>
      <c r="R71" s="76">
        <f t="shared" si="56"/>
        <v>0</v>
      </c>
    </row>
    <row r="72" spans="1:18" ht="16">
      <c r="A72" s="66">
        <v>46099</v>
      </c>
      <c r="B72" s="34" t="s">
        <v>20</v>
      </c>
      <c r="C72" s="35">
        <v>400787</v>
      </c>
      <c r="D72" s="35">
        <v>401233</v>
      </c>
      <c r="E72" s="36">
        <f t="shared" ref="E72:E78" si="59">D72-C72</f>
        <v>446</v>
      </c>
      <c r="F72" s="37">
        <v>65</v>
      </c>
      <c r="G72" s="13">
        <f t="shared" ref="G72:G78" si="60">(F72/E72)*100</f>
        <v>14.573991031390134</v>
      </c>
      <c r="H72" s="38">
        <v>32831</v>
      </c>
      <c r="I72" s="38">
        <v>33265</v>
      </c>
      <c r="J72" s="39">
        <f t="shared" ref="J72:J78" si="61">I72-H72</f>
        <v>434</v>
      </c>
      <c r="K72" s="77">
        <f t="shared" ref="K72:K78" si="62">F72</f>
        <v>65</v>
      </c>
      <c r="L72" s="67">
        <f t="shared" ref="L72:L78" si="63">(K72/J72)*100</f>
        <v>14.976958525345621</v>
      </c>
      <c r="M72" s="68">
        <v>27020</v>
      </c>
      <c r="N72" s="42">
        <f t="shared" ref="N72:N78" si="64">F72*M72</f>
        <v>1756300</v>
      </c>
      <c r="R72" s="76">
        <f t="shared" si="56"/>
        <v>0</v>
      </c>
    </row>
    <row r="73" spans="1:18" ht="16">
      <c r="A73" s="33">
        <v>46102</v>
      </c>
      <c r="B73" s="44" t="s">
        <v>20</v>
      </c>
      <c r="C73" s="35">
        <v>401233</v>
      </c>
      <c r="D73" s="35">
        <v>401659</v>
      </c>
      <c r="E73" s="11">
        <f t="shared" si="59"/>
        <v>426</v>
      </c>
      <c r="F73" s="45">
        <v>59</v>
      </c>
      <c r="G73" s="13">
        <f t="shared" si="60"/>
        <v>13.849765258215962</v>
      </c>
      <c r="H73" s="38">
        <v>33265</v>
      </c>
      <c r="I73" s="83">
        <v>33756</v>
      </c>
      <c r="J73" s="35">
        <f t="shared" si="61"/>
        <v>491</v>
      </c>
      <c r="K73" s="50">
        <f t="shared" si="62"/>
        <v>59</v>
      </c>
      <c r="L73" s="46">
        <f t="shared" si="63"/>
        <v>12.016293279022404</v>
      </c>
      <c r="M73" s="48">
        <v>33420</v>
      </c>
      <c r="N73" s="47">
        <f t="shared" si="64"/>
        <v>1971780</v>
      </c>
      <c r="R73" s="76">
        <f t="shared" si="56"/>
        <v>0</v>
      </c>
    </row>
    <row r="74" spans="1:18" ht="16">
      <c r="A74" s="33">
        <v>46106</v>
      </c>
      <c r="B74" s="44" t="s">
        <v>20</v>
      </c>
      <c r="C74" s="35">
        <v>401659</v>
      </c>
      <c r="D74" s="35">
        <v>402175</v>
      </c>
      <c r="E74" s="11">
        <f t="shared" si="59"/>
        <v>516</v>
      </c>
      <c r="F74" s="45">
        <v>60</v>
      </c>
      <c r="G74" s="13">
        <f t="shared" si="60"/>
        <v>11.627906976744185</v>
      </c>
      <c r="H74" s="83">
        <v>33756</v>
      </c>
      <c r="I74" s="38">
        <v>34213</v>
      </c>
      <c r="J74" s="35">
        <f t="shared" si="61"/>
        <v>457</v>
      </c>
      <c r="K74" s="50">
        <f t="shared" si="62"/>
        <v>60</v>
      </c>
      <c r="L74" s="46">
        <f t="shared" si="63"/>
        <v>13.129102844638949</v>
      </c>
      <c r="M74" s="48">
        <v>37890</v>
      </c>
      <c r="N74" s="47">
        <f t="shared" si="64"/>
        <v>2273400</v>
      </c>
      <c r="R74" s="76">
        <f t="shared" si="56"/>
        <v>0</v>
      </c>
    </row>
    <row r="75" spans="1:18" ht="16">
      <c r="A75" s="33">
        <v>46109</v>
      </c>
      <c r="B75" s="44" t="s">
        <v>20</v>
      </c>
      <c r="C75" s="35">
        <v>402175</v>
      </c>
      <c r="D75" s="35">
        <v>402564</v>
      </c>
      <c r="E75" s="11">
        <f t="shared" si="59"/>
        <v>389</v>
      </c>
      <c r="F75" s="45">
        <v>47</v>
      </c>
      <c r="G75" s="13">
        <f t="shared" si="60"/>
        <v>12.082262210796916</v>
      </c>
      <c r="H75" s="38">
        <v>34213</v>
      </c>
      <c r="I75" s="38">
        <v>34562</v>
      </c>
      <c r="J75" s="35">
        <f t="shared" si="61"/>
        <v>349</v>
      </c>
      <c r="K75" s="50">
        <f t="shared" si="62"/>
        <v>47</v>
      </c>
      <c r="L75" s="46">
        <f t="shared" si="63"/>
        <v>13.46704871060172</v>
      </c>
      <c r="M75" s="48">
        <v>35440</v>
      </c>
      <c r="N75" s="47">
        <f t="shared" si="64"/>
        <v>1665680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45"/>
      <c r="G76" s="13" t="e">
        <f t="shared" si="60"/>
        <v>#DIV/0!</v>
      </c>
      <c r="H76" s="38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33"/>
      <c r="B77" s="44" t="s">
        <v>20</v>
      </c>
      <c r="C77" s="35"/>
      <c r="D77" s="35"/>
      <c r="E77" s="11">
        <f t="shared" si="59"/>
        <v>0</v>
      </c>
      <c r="F77" s="84"/>
      <c r="G77" s="13" t="e">
        <f t="shared" si="60"/>
        <v>#DIV/0!</v>
      </c>
      <c r="H77" s="35"/>
      <c r="I77" s="38"/>
      <c r="J77" s="35">
        <f t="shared" si="61"/>
        <v>0</v>
      </c>
      <c r="K77" s="50">
        <f t="shared" si="62"/>
        <v>0</v>
      </c>
      <c r="L77" s="46" t="e">
        <f t="shared" si="63"/>
        <v>#DIV/0!</v>
      </c>
      <c r="M77" s="48"/>
      <c r="N77" s="47">
        <f t="shared" si="64"/>
        <v>0</v>
      </c>
      <c r="R77" s="76">
        <f t="shared" si="56"/>
        <v>0</v>
      </c>
    </row>
    <row r="78" spans="1:18" ht="16">
      <c r="A78" s="87"/>
      <c r="B78" s="44" t="s">
        <v>20</v>
      </c>
      <c r="C78" s="53"/>
      <c r="D78" s="53"/>
      <c r="E78" s="24">
        <f t="shared" si="59"/>
        <v>0</v>
      </c>
      <c r="F78" s="45"/>
      <c r="G78" s="54" t="e">
        <f t="shared" si="60"/>
        <v>#DIV/0!</v>
      </c>
      <c r="H78" s="53"/>
      <c r="I78" s="55"/>
      <c r="J78" s="53">
        <f t="shared" si="61"/>
        <v>0</v>
      </c>
      <c r="K78" s="50">
        <f t="shared" si="62"/>
        <v>0</v>
      </c>
      <c r="L78" s="73" t="e">
        <f t="shared" si="63"/>
        <v>#DIV/0!</v>
      </c>
      <c r="M78" s="56"/>
      <c r="N78" s="57">
        <f t="shared" si="64"/>
        <v>0</v>
      </c>
      <c r="R78" s="76">
        <f t="shared" si="56"/>
        <v>0</v>
      </c>
    </row>
    <row r="79" spans="1:18" ht="16">
      <c r="A79" s="59"/>
      <c r="B79" s="60"/>
      <c r="C79" s="59"/>
      <c r="D79" s="59" t="s">
        <v>19</v>
      </c>
      <c r="E79" s="59">
        <f>SUM(E72:E78)</f>
        <v>1777</v>
      </c>
      <c r="F79" s="37"/>
      <c r="G79" s="61" t="e">
        <f>AVERAGE(G72:G78)</f>
        <v>#DIV/0!</v>
      </c>
      <c r="H79" s="59"/>
      <c r="I79" s="62"/>
      <c r="J79" s="59">
        <f>SUM(J72:J78)</f>
        <v>1731</v>
      </c>
      <c r="K79" s="59">
        <f>SUM(K73:K78)</f>
        <v>166</v>
      </c>
      <c r="L79" s="61" t="e">
        <f>AVERAGE(L72:L78)</f>
        <v>#DIV/0!</v>
      </c>
      <c r="M79" s="64"/>
      <c r="N79" s="65">
        <f>SUM(N72:N78)</f>
        <v>7667160</v>
      </c>
      <c r="R79" s="76">
        <f t="shared" si="56"/>
        <v>0</v>
      </c>
    </row>
    <row r="80" spans="1:18" ht="16">
      <c r="A80" s="85">
        <v>46085</v>
      </c>
      <c r="B80" s="34" t="s">
        <v>21</v>
      </c>
      <c r="C80" s="35">
        <v>383070</v>
      </c>
      <c r="D80" s="35">
        <v>383358</v>
      </c>
      <c r="E80" s="36">
        <f t="shared" ref="E80:E86" si="65">D80-C80</f>
        <v>288</v>
      </c>
      <c r="F80" s="37">
        <v>43</v>
      </c>
      <c r="G80" s="13">
        <f t="shared" ref="G80:G86" si="66">(F80/E80)*100</f>
        <v>14.930555555555555</v>
      </c>
      <c r="H80" s="38">
        <v>26394</v>
      </c>
      <c r="I80" s="38">
        <v>26619</v>
      </c>
      <c r="J80" s="39">
        <f t="shared" ref="J80:J86" si="67">I80-H80</f>
        <v>225</v>
      </c>
      <c r="K80" s="77">
        <f t="shared" ref="K80:K86" si="68">F80</f>
        <v>43</v>
      </c>
      <c r="L80" s="67">
        <f t="shared" ref="L80:L86" si="69">(K80/J80)*100</f>
        <v>19.111111111111111</v>
      </c>
      <c r="M80" s="68">
        <v>19270</v>
      </c>
      <c r="N80" s="42">
        <f t="shared" ref="N80:N86" si="70">F80*M80</f>
        <v>828610</v>
      </c>
      <c r="R80" s="76">
        <f t="shared" si="56"/>
        <v>0</v>
      </c>
    </row>
    <row r="81" spans="1:18" ht="16">
      <c r="A81" s="86">
        <v>46092</v>
      </c>
      <c r="B81" s="44" t="s">
        <v>21</v>
      </c>
      <c r="C81" s="35">
        <v>383358</v>
      </c>
      <c r="D81" s="35">
        <v>383792</v>
      </c>
      <c r="E81" s="11">
        <f t="shared" si="65"/>
        <v>434</v>
      </c>
      <c r="F81" s="45">
        <v>63</v>
      </c>
      <c r="G81" s="13">
        <f t="shared" si="66"/>
        <v>14.516129032258066</v>
      </c>
      <c r="H81" s="38">
        <v>26619</v>
      </c>
      <c r="I81" s="38">
        <v>27068</v>
      </c>
      <c r="J81" s="35">
        <f t="shared" si="67"/>
        <v>449</v>
      </c>
      <c r="K81" s="50">
        <f t="shared" si="68"/>
        <v>63</v>
      </c>
      <c r="L81" s="46">
        <f t="shared" si="69"/>
        <v>14.03118040089087</v>
      </c>
      <c r="M81" s="68">
        <v>30710</v>
      </c>
      <c r="N81" s="47">
        <f t="shared" si="70"/>
        <v>1934730</v>
      </c>
      <c r="R81" s="76">
        <f t="shared" si="56"/>
        <v>0</v>
      </c>
    </row>
    <row r="82" spans="1:18" ht="16">
      <c r="A82" s="86">
        <v>46098</v>
      </c>
      <c r="B82" s="44" t="s">
        <v>21</v>
      </c>
      <c r="C82" s="35">
        <v>383792</v>
      </c>
      <c r="D82" s="35">
        <v>384376</v>
      </c>
      <c r="E82" s="11">
        <f t="shared" si="65"/>
        <v>584</v>
      </c>
      <c r="F82" s="45">
        <v>77</v>
      </c>
      <c r="G82" s="13">
        <f t="shared" si="66"/>
        <v>13.184931506849315</v>
      </c>
      <c r="H82" s="38">
        <v>27068</v>
      </c>
      <c r="I82" s="38">
        <v>27640</v>
      </c>
      <c r="J82" s="35">
        <f t="shared" si="67"/>
        <v>572</v>
      </c>
      <c r="K82" s="50">
        <f t="shared" si="68"/>
        <v>77</v>
      </c>
      <c r="L82" s="46">
        <f t="shared" si="69"/>
        <v>13.461538461538462</v>
      </c>
      <c r="M82" s="48">
        <v>27020</v>
      </c>
      <c r="N82" s="47">
        <f t="shared" si="70"/>
        <v>2080540</v>
      </c>
      <c r="R82" s="76">
        <f t="shared" si="56"/>
        <v>0</v>
      </c>
    </row>
    <row r="83" spans="1:18" ht="16">
      <c r="A83" s="86">
        <v>46102</v>
      </c>
      <c r="B83" s="44" t="s">
        <v>21</v>
      </c>
      <c r="C83" s="35">
        <v>384376</v>
      </c>
      <c r="D83" s="35">
        <v>384960</v>
      </c>
      <c r="E83" s="11">
        <f t="shared" si="65"/>
        <v>584</v>
      </c>
      <c r="F83" s="45">
        <v>78</v>
      </c>
      <c r="G83" s="13">
        <f t="shared" si="66"/>
        <v>13.356164383561644</v>
      </c>
      <c r="H83" s="38">
        <v>27640</v>
      </c>
      <c r="I83" s="38">
        <v>28231</v>
      </c>
      <c r="J83" s="35">
        <f t="shared" si="67"/>
        <v>591</v>
      </c>
      <c r="K83" s="50">
        <f t="shared" si="68"/>
        <v>78</v>
      </c>
      <c r="L83" s="46">
        <f t="shared" si="69"/>
        <v>13.197969543147209</v>
      </c>
      <c r="M83" s="48">
        <v>33420</v>
      </c>
      <c r="N83" s="47">
        <f t="shared" si="70"/>
        <v>2606760</v>
      </c>
      <c r="R83" s="76">
        <f t="shared" si="56"/>
        <v>0</v>
      </c>
    </row>
    <row r="84" spans="1:18" ht="16">
      <c r="A84" s="33">
        <v>46112</v>
      </c>
      <c r="B84" s="44" t="s">
        <v>21</v>
      </c>
      <c r="C84" s="35">
        <v>384960</v>
      </c>
      <c r="D84" s="35">
        <v>385578</v>
      </c>
      <c r="E84" s="11">
        <f t="shared" si="65"/>
        <v>618</v>
      </c>
      <c r="F84" s="45">
        <v>83</v>
      </c>
      <c r="G84" s="13">
        <f t="shared" si="66"/>
        <v>13.430420711974108</v>
      </c>
      <c r="H84" s="38">
        <v>28231</v>
      </c>
      <c r="I84" s="38">
        <v>28864</v>
      </c>
      <c r="J84" s="35">
        <f t="shared" si="67"/>
        <v>633</v>
      </c>
      <c r="K84" s="50">
        <f t="shared" si="68"/>
        <v>83</v>
      </c>
      <c r="L84" s="46">
        <f t="shared" si="69"/>
        <v>13.112164296998422</v>
      </c>
      <c r="M84" s="48">
        <v>35440</v>
      </c>
      <c r="N84" s="47">
        <f t="shared" si="70"/>
        <v>2941520</v>
      </c>
      <c r="R84" s="76">
        <f t="shared" si="56"/>
        <v>0</v>
      </c>
    </row>
    <row r="85" spans="1:18" ht="16">
      <c r="A85" s="86"/>
      <c r="B85" s="44" t="s">
        <v>37</v>
      </c>
      <c r="C85" s="35"/>
      <c r="D85" s="35"/>
      <c r="E85" s="11">
        <f t="shared" si="65"/>
        <v>0</v>
      </c>
      <c r="F85" s="45"/>
      <c r="G85" s="13" t="e">
        <f t="shared" si="66"/>
        <v>#DIV/0!</v>
      </c>
      <c r="H85" s="35"/>
      <c r="I85" s="38"/>
      <c r="J85" s="35">
        <f t="shared" si="67"/>
        <v>0</v>
      </c>
      <c r="K85" s="50">
        <f t="shared" si="68"/>
        <v>0</v>
      </c>
      <c r="L85" s="46" t="e">
        <f t="shared" si="69"/>
        <v>#DIV/0!</v>
      </c>
      <c r="M85" s="48"/>
      <c r="N85" s="47">
        <f t="shared" si="70"/>
        <v>0</v>
      </c>
      <c r="R85" s="76">
        <f t="shared" si="56"/>
        <v>0</v>
      </c>
    </row>
    <row r="86" spans="1:18" ht="16">
      <c r="A86" s="87"/>
      <c r="B86" s="44" t="s">
        <v>37</v>
      </c>
      <c r="C86" s="53"/>
      <c r="D86" s="53"/>
      <c r="E86" s="24">
        <f t="shared" si="65"/>
        <v>0</v>
      </c>
      <c r="F86" s="45"/>
      <c r="G86" s="54" t="e">
        <f t="shared" si="66"/>
        <v>#DIV/0!</v>
      </c>
      <c r="H86" s="53"/>
      <c r="I86" s="55"/>
      <c r="J86" s="53">
        <f t="shared" si="67"/>
        <v>0</v>
      </c>
      <c r="K86" s="50">
        <f t="shared" si="68"/>
        <v>0</v>
      </c>
      <c r="L86" s="73" t="e">
        <f t="shared" si="69"/>
        <v>#DIV/0!</v>
      </c>
      <c r="M86" s="56"/>
      <c r="N86" s="57">
        <f t="shared" si="70"/>
        <v>0</v>
      </c>
      <c r="R86" s="76">
        <f t="shared" si="56"/>
        <v>0</v>
      </c>
    </row>
    <row r="87" spans="1:18" ht="16">
      <c r="A87" s="59"/>
      <c r="B87" s="60"/>
      <c r="C87" s="59"/>
      <c r="D87" s="59" t="s">
        <v>19</v>
      </c>
      <c r="E87" s="59">
        <f>SUM(E80:E86)</f>
        <v>2508</v>
      </c>
      <c r="F87" s="37"/>
      <c r="G87" s="61" t="e">
        <f>AVERAGE(G80:G86)</f>
        <v>#DIV/0!</v>
      </c>
      <c r="H87" s="59"/>
      <c r="I87" s="62"/>
      <c r="J87" s="59">
        <f t="shared" ref="J87:K87" si="71">SUM(J80:J86)</f>
        <v>2470</v>
      </c>
      <c r="K87" s="59">
        <f t="shared" si="71"/>
        <v>344</v>
      </c>
      <c r="L87" s="61" t="e">
        <f>AVERAGE(L80:L86)</f>
        <v>#DIV/0!</v>
      </c>
      <c r="M87" s="64"/>
      <c r="N87" s="65">
        <f>SUM(N80:N86)</f>
        <v>10392160</v>
      </c>
      <c r="R87" s="76">
        <f t="shared" si="56"/>
        <v>0</v>
      </c>
    </row>
    <row r="88" spans="1:18" ht="16">
      <c r="A88" s="33">
        <v>46083</v>
      </c>
      <c r="B88" s="82" t="s">
        <v>22</v>
      </c>
      <c r="C88" s="35">
        <v>215810</v>
      </c>
      <c r="D88" s="35">
        <v>216442</v>
      </c>
      <c r="E88" s="36">
        <f t="shared" ref="E88:E95" si="72">D88-C88</f>
        <v>632</v>
      </c>
      <c r="F88" s="37">
        <v>73</v>
      </c>
      <c r="G88" s="13">
        <f t="shared" ref="G88:G95" si="73">(F88/E88)*100</f>
        <v>11.550632911392405</v>
      </c>
      <c r="H88" s="38">
        <v>25068</v>
      </c>
      <c r="I88" s="38">
        <v>25631</v>
      </c>
      <c r="J88" s="39">
        <f t="shared" ref="J88:J95" si="74">I88-H88</f>
        <v>563</v>
      </c>
      <c r="K88" s="77">
        <f t="shared" ref="K88:K95" si="75">F88</f>
        <v>73</v>
      </c>
      <c r="L88" s="67">
        <f t="shared" ref="L88:L95" si="76">(K88/J88)*100</f>
        <v>12.966252220248666</v>
      </c>
      <c r="M88" s="68">
        <v>19270</v>
      </c>
      <c r="N88" s="42">
        <f t="shared" ref="N88:N95" si="77">F88*M88</f>
        <v>1406710</v>
      </c>
      <c r="R88" s="76">
        <f t="shared" si="56"/>
        <v>0</v>
      </c>
    </row>
    <row r="89" spans="1:18" ht="16">
      <c r="A89" s="33">
        <v>46086</v>
      </c>
      <c r="B89" s="44" t="s">
        <v>22</v>
      </c>
      <c r="C89" s="35">
        <v>216442</v>
      </c>
      <c r="D89" s="35">
        <v>216818</v>
      </c>
      <c r="E89" s="11">
        <f t="shared" si="72"/>
        <v>376</v>
      </c>
      <c r="F89" s="45">
        <v>48</v>
      </c>
      <c r="G89" s="13">
        <f t="shared" si="73"/>
        <v>12.76595744680851</v>
      </c>
      <c r="H89" s="38">
        <v>25631</v>
      </c>
      <c r="I89" s="38">
        <v>26039</v>
      </c>
      <c r="J89" s="35">
        <f t="shared" si="74"/>
        <v>408</v>
      </c>
      <c r="K89" s="50">
        <f t="shared" si="75"/>
        <v>48</v>
      </c>
      <c r="L89" s="46">
        <f t="shared" si="76"/>
        <v>11.76470588235294</v>
      </c>
      <c r="M89" s="48">
        <v>19270</v>
      </c>
      <c r="N89" s="47">
        <f t="shared" si="77"/>
        <v>924960</v>
      </c>
      <c r="R89" s="76">
        <f t="shared" si="56"/>
        <v>0</v>
      </c>
    </row>
    <row r="90" spans="1:18" ht="16">
      <c r="A90" s="33">
        <v>46088</v>
      </c>
      <c r="B90" s="44" t="s">
        <v>22</v>
      </c>
      <c r="C90" s="35">
        <v>216818</v>
      </c>
      <c r="D90" s="35">
        <v>217121</v>
      </c>
      <c r="E90" s="11">
        <f t="shared" si="72"/>
        <v>303</v>
      </c>
      <c r="F90" s="45">
        <v>34</v>
      </c>
      <c r="G90" s="13">
        <f t="shared" si="73"/>
        <v>11.221122112211221</v>
      </c>
      <c r="H90" s="38">
        <v>26039</v>
      </c>
      <c r="I90" s="38">
        <v>26230</v>
      </c>
      <c r="J90" s="35">
        <f t="shared" si="74"/>
        <v>191</v>
      </c>
      <c r="K90" s="50">
        <f t="shared" si="75"/>
        <v>34</v>
      </c>
      <c r="L90" s="46">
        <f t="shared" si="76"/>
        <v>17.801047120418847</v>
      </c>
      <c r="M90" s="48">
        <v>23030</v>
      </c>
      <c r="N90" s="47">
        <f t="shared" si="77"/>
        <v>783020</v>
      </c>
      <c r="R90" s="76">
        <f t="shared" si="56"/>
        <v>0</v>
      </c>
    </row>
    <row r="91" spans="1:18" ht="16">
      <c r="A91" s="33">
        <v>46093</v>
      </c>
      <c r="B91" s="44" t="s">
        <v>22</v>
      </c>
      <c r="C91" s="35">
        <v>217121</v>
      </c>
      <c r="D91" s="35">
        <v>217487</v>
      </c>
      <c r="E91" s="11">
        <f t="shared" si="72"/>
        <v>366</v>
      </c>
      <c r="F91" s="45">
        <v>46</v>
      </c>
      <c r="G91" s="13">
        <f t="shared" si="73"/>
        <v>12.568306010928962</v>
      </c>
      <c r="H91" s="38">
        <v>26230</v>
      </c>
      <c r="I91" s="38">
        <v>26602</v>
      </c>
      <c r="J91" s="35">
        <f t="shared" si="74"/>
        <v>372</v>
      </c>
      <c r="K91" s="50">
        <f t="shared" si="75"/>
        <v>46</v>
      </c>
      <c r="L91" s="46">
        <f t="shared" si="76"/>
        <v>12.365591397849462</v>
      </c>
      <c r="M91" s="48">
        <v>26470</v>
      </c>
      <c r="N91" s="47">
        <f t="shared" si="77"/>
        <v>1217620</v>
      </c>
      <c r="R91" s="76">
        <f t="shared" si="56"/>
        <v>0</v>
      </c>
    </row>
    <row r="92" spans="1:18" ht="16">
      <c r="A92" s="33">
        <v>46099</v>
      </c>
      <c r="B92" s="44" t="s">
        <v>22</v>
      </c>
      <c r="C92" s="35">
        <v>217487</v>
      </c>
      <c r="D92" s="35">
        <v>218087</v>
      </c>
      <c r="E92" s="11">
        <f t="shared" si="72"/>
        <v>600</v>
      </c>
      <c r="F92" s="45">
        <v>71</v>
      </c>
      <c r="G92" s="13">
        <f t="shared" si="73"/>
        <v>11.833333333333334</v>
      </c>
      <c r="H92" s="38">
        <v>26602</v>
      </c>
      <c r="I92" s="38">
        <v>27235</v>
      </c>
      <c r="J92" s="35">
        <f t="shared" si="74"/>
        <v>633</v>
      </c>
      <c r="K92" s="50">
        <f t="shared" si="75"/>
        <v>71</v>
      </c>
      <c r="L92" s="46">
        <f t="shared" si="76"/>
        <v>11.216429699842022</v>
      </c>
      <c r="M92" s="48">
        <v>27020</v>
      </c>
      <c r="N92" s="47">
        <f t="shared" si="77"/>
        <v>1918420</v>
      </c>
      <c r="R92" s="76">
        <f t="shared" si="56"/>
        <v>0</v>
      </c>
    </row>
    <row r="93" spans="1:18" ht="16">
      <c r="A93" s="86">
        <v>46105</v>
      </c>
      <c r="B93" s="44" t="s">
        <v>22</v>
      </c>
      <c r="C93" s="35">
        <v>218087</v>
      </c>
      <c r="D93" s="35">
        <v>218496</v>
      </c>
      <c r="E93" s="11">
        <f t="shared" si="72"/>
        <v>409</v>
      </c>
      <c r="F93" s="45">
        <v>47</v>
      </c>
      <c r="G93" s="13">
        <f t="shared" si="73"/>
        <v>11.491442542787286</v>
      </c>
      <c r="H93" s="38">
        <v>27235</v>
      </c>
      <c r="I93" s="38">
        <v>27575</v>
      </c>
      <c r="J93" s="35">
        <f t="shared" si="74"/>
        <v>340</v>
      </c>
      <c r="K93" s="50">
        <f t="shared" si="75"/>
        <v>47</v>
      </c>
      <c r="L93" s="46">
        <f t="shared" si="76"/>
        <v>13.823529411764707</v>
      </c>
      <c r="M93" s="48">
        <v>33420</v>
      </c>
      <c r="N93" s="47">
        <f t="shared" si="77"/>
        <v>1570740</v>
      </c>
      <c r="R93" s="76">
        <f t="shared" si="56"/>
        <v>0</v>
      </c>
    </row>
    <row r="94" spans="1:18" ht="16">
      <c r="A94" s="88">
        <v>46112</v>
      </c>
      <c r="B94" s="44" t="s">
        <v>22</v>
      </c>
      <c r="C94" s="35">
        <v>218496</v>
      </c>
      <c r="D94" s="53">
        <v>219030</v>
      </c>
      <c r="E94" s="24">
        <f t="shared" si="72"/>
        <v>534</v>
      </c>
      <c r="F94" s="45">
        <v>67</v>
      </c>
      <c r="G94" s="54">
        <f t="shared" si="73"/>
        <v>12.54681647940075</v>
      </c>
      <c r="H94" s="38">
        <v>27575</v>
      </c>
      <c r="I94" s="55">
        <v>28112</v>
      </c>
      <c r="J94" s="53">
        <f t="shared" si="74"/>
        <v>537</v>
      </c>
      <c r="K94" s="50">
        <f t="shared" si="75"/>
        <v>67</v>
      </c>
      <c r="L94" s="73">
        <f t="shared" si="76"/>
        <v>12.476722532588454</v>
      </c>
      <c r="M94" s="56">
        <v>35440</v>
      </c>
      <c r="N94" s="57">
        <f t="shared" si="77"/>
        <v>2374480</v>
      </c>
      <c r="R94" s="76">
        <f t="shared" si="56"/>
        <v>0</v>
      </c>
    </row>
    <row r="95" spans="1:18" ht="16">
      <c r="A95" s="88"/>
      <c r="B95" s="44" t="s">
        <v>22</v>
      </c>
      <c r="C95" s="53"/>
      <c r="D95" s="53"/>
      <c r="E95" s="24">
        <f t="shared" si="72"/>
        <v>0</v>
      </c>
      <c r="F95" s="45"/>
      <c r="G95" s="54" t="e">
        <f t="shared" si="73"/>
        <v>#DIV/0!</v>
      </c>
      <c r="H95" s="55"/>
      <c r="I95" s="55"/>
      <c r="J95" s="53">
        <f t="shared" si="74"/>
        <v>0</v>
      </c>
      <c r="K95" s="50">
        <f t="shared" si="75"/>
        <v>0</v>
      </c>
      <c r="L95" s="73" t="e">
        <f t="shared" si="76"/>
        <v>#DIV/0!</v>
      </c>
      <c r="M95" s="56"/>
      <c r="N95" s="57">
        <f t="shared" si="77"/>
        <v>0</v>
      </c>
      <c r="R95" s="76">
        <f t="shared" si="56"/>
        <v>0</v>
      </c>
    </row>
    <row r="96" spans="1:18" ht="16">
      <c r="A96" s="59"/>
      <c r="B96" s="60"/>
      <c r="C96" s="59"/>
      <c r="D96" s="59" t="s">
        <v>19</v>
      </c>
      <c r="E96" s="59">
        <f>SUM(E88:E94)</f>
        <v>3220</v>
      </c>
      <c r="F96" s="59">
        <f>SUM(F87:F94)</f>
        <v>386</v>
      </c>
      <c r="G96" s="61">
        <f>AVERAGE(G88:G94)</f>
        <v>11.99680154812321</v>
      </c>
      <c r="H96" s="59"/>
      <c r="I96" s="62"/>
      <c r="J96" s="59">
        <f t="shared" ref="J96:K96" si="78">SUM(J88:J94)</f>
        <v>3044</v>
      </c>
      <c r="K96" s="59">
        <f t="shared" si="78"/>
        <v>386</v>
      </c>
      <c r="L96" s="61">
        <f>AVERAGE(L88:L94)</f>
        <v>13.202039752152157</v>
      </c>
      <c r="M96" s="64"/>
      <c r="N96" s="65">
        <f>SUM(N88:N95)</f>
        <v>10195950</v>
      </c>
      <c r="R96" s="76">
        <f t="shared" si="56"/>
        <v>0</v>
      </c>
    </row>
    <row r="97" spans="1:18" ht="16">
      <c r="A97" s="89">
        <v>46083</v>
      </c>
      <c r="B97" s="90" t="s">
        <v>38</v>
      </c>
      <c r="C97" s="35">
        <v>172311</v>
      </c>
      <c r="D97" s="35">
        <v>172756</v>
      </c>
      <c r="E97" s="36">
        <f t="shared" ref="E97:E102" si="79">D97-C97</f>
        <v>445</v>
      </c>
      <c r="F97" s="37">
        <v>60</v>
      </c>
      <c r="G97" s="13">
        <f t="shared" ref="G97:G102" si="80">(F97/E97)*100</f>
        <v>13.48314606741573</v>
      </c>
      <c r="H97" s="38"/>
      <c r="I97" s="38">
        <v>28145</v>
      </c>
      <c r="J97" s="39">
        <f t="shared" ref="J97:J102" si="81">I97-H97</f>
        <v>28145</v>
      </c>
      <c r="K97" s="77">
        <f t="shared" ref="K97:K102" si="82">F97</f>
        <v>60</v>
      </c>
      <c r="L97" s="67">
        <f t="shared" ref="L97:L102" si="83">(K97/J97)*100</f>
        <v>0.21318173743116006</v>
      </c>
      <c r="M97" s="68">
        <v>19270</v>
      </c>
      <c r="N97" s="42">
        <f t="shared" ref="N97:N100" si="84">F97*M97</f>
        <v>1156200</v>
      </c>
      <c r="R97" s="76">
        <f t="shared" si="56"/>
        <v>0</v>
      </c>
    </row>
    <row r="98" spans="1:18" ht="16">
      <c r="A98" s="80">
        <v>46087</v>
      </c>
      <c r="B98" s="44" t="s">
        <v>38</v>
      </c>
      <c r="C98" s="35">
        <v>172756</v>
      </c>
      <c r="D98" s="35">
        <v>173325</v>
      </c>
      <c r="E98" s="11">
        <f t="shared" si="79"/>
        <v>569</v>
      </c>
      <c r="F98" s="45">
        <v>70</v>
      </c>
      <c r="G98" s="13">
        <f t="shared" si="80"/>
        <v>12.302284710017574</v>
      </c>
      <c r="H98" s="38">
        <v>28145</v>
      </c>
      <c r="I98" s="38">
        <v>28718</v>
      </c>
      <c r="J98" s="35">
        <f t="shared" si="81"/>
        <v>573</v>
      </c>
      <c r="K98" s="50">
        <f t="shared" si="82"/>
        <v>70</v>
      </c>
      <c r="L98" s="46">
        <f t="shared" si="83"/>
        <v>12.216404886561955</v>
      </c>
      <c r="M98" s="68">
        <v>23030</v>
      </c>
      <c r="N98" s="47">
        <f t="shared" si="84"/>
        <v>1612100</v>
      </c>
      <c r="R98" s="76">
        <f t="shared" si="56"/>
        <v>0</v>
      </c>
    </row>
    <row r="99" spans="1:18" ht="16">
      <c r="A99" s="80">
        <v>46094</v>
      </c>
      <c r="B99" s="44" t="s">
        <v>38</v>
      </c>
      <c r="C99" s="35">
        <v>173325</v>
      </c>
      <c r="D99" s="35">
        <v>173897</v>
      </c>
      <c r="E99" s="11">
        <f t="shared" si="79"/>
        <v>572</v>
      </c>
      <c r="F99" s="45">
        <v>63</v>
      </c>
      <c r="G99" s="13">
        <f t="shared" si="80"/>
        <v>11.013986013986015</v>
      </c>
      <c r="H99" s="38">
        <v>28718</v>
      </c>
      <c r="I99" s="38">
        <v>29281</v>
      </c>
      <c r="J99" s="35">
        <f t="shared" si="81"/>
        <v>563</v>
      </c>
      <c r="K99" s="50">
        <f t="shared" si="82"/>
        <v>63</v>
      </c>
      <c r="L99" s="46">
        <f t="shared" si="83"/>
        <v>11.190053285968029</v>
      </c>
      <c r="M99" s="48">
        <v>27020</v>
      </c>
      <c r="N99" s="47">
        <f t="shared" si="84"/>
        <v>1702260</v>
      </c>
      <c r="R99" s="76">
        <f t="shared" si="56"/>
        <v>0</v>
      </c>
    </row>
    <row r="100" spans="1:18" ht="16">
      <c r="A100" s="80">
        <v>46104</v>
      </c>
      <c r="B100" s="44" t="s">
        <v>38</v>
      </c>
      <c r="C100" s="35">
        <v>173897</v>
      </c>
      <c r="D100" s="35">
        <v>174431</v>
      </c>
      <c r="E100" s="11">
        <f t="shared" si="79"/>
        <v>534</v>
      </c>
      <c r="F100" s="45">
        <v>74</v>
      </c>
      <c r="G100" s="13">
        <f t="shared" si="80"/>
        <v>13.857677902621724</v>
      </c>
      <c r="H100" s="38">
        <v>29281</v>
      </c>
      <c r="I100" s="38">
        <v>29811</v>
      </c>
      <c r="J100" s="35">
        <f t="shared" si="81"/>
        <v>530</v>
      </c>
      <c r="K100" s="50">
        <f t="shared" si="82"/>
        <v>74</v>
      </c>
      <c r="L100" s="46">
        <f t="shared" si="83"/>
        <v>13.962264150943396</v>
      </c>
      <c r="M100" s="48">
        <v>33420</v>
      </c>
      <c r="N100" s="47">
        <f t="shared" si="84"/>
        <v>2473080</v>
      </c>
      <c r="R100" s="76">
        <f t="shared" si="56"/>
        <v>0</v>
      </c>
    </row>
    <row r="101" spans="1:18" ht="16">
      <c r="A101" s="80">
        <v>46108</v>
      </c>
      <c r="B101" s="44" t="s">
        <v>38</v>
      </c>
      <c r="C101" s="35">
        <v>174431</v>
      </c>
      <c r="D101" s="91">
        <v>174952</v>
      </c>
      <c r="E101" s="11">
        <f t="shared" si="79"/>
        <v>521</v>
      </c>
      <c r="F101" s="45">
        <v>57</v>
      </c>
      <c r="G101" s="13">
        <f t="shared" si="80"/>
        <v>10.940499040307101</v>
      </c>
      <c r="H101" s="38">
        <v>29811</v>
      </c>
      <c r="I101" s="38">
        <v>30330</v>
      </c>
      <c r="J101" s="35">
        <f t="shared" si="81"/>
        <v>519</v>
      </c>
      <c r="K101" s="50">
        <f t="shared" si="82"/>
        <v>57</v>
      </c>
      <c r="L101" s="46">
        <f t="shared" si="83"/>
        <v>10.982658959537572</v>
      </c>
      <c r="M101" s="48">
        <v>33420</v>
      </c>
      <c r="N101" s="47">
        <v>2020000</v>
      </c>
      <c r="R101" s="76">
        <f t="shared" si="56"/>
        <v>0</v>
      </c>
    </row>
    <row r="102" spans="1:18" ht="16">
      <c r="A102" s="92"/>
      <c r="B102" s="93" t="s">
        <v>38</v>
      </c>
      <c r="C102" s="94"/>
      <c r="D102" s="95"/>
      <c r="E102" s="11">
        <f t="shared" si="79"/>
        <v>0</v>
      </c>
      <c r="F102" s="45"/>
      <c r="G102" s="96" t="e">
        <f t="shared" si="80"/>
        <v>#DIV/0!</v>
      </c>
      <c r="H102" s="97"/>
      <c r="I102" s="98"/>
      <c r="J102" s="97">
        <f t="shared" si="81"/>
        <v>0</v>
      </c>
      <c r="K102" s="50">
        <f t="shared" si="82"/>
        <v>0</v>
      </c>
      <c r="L102" s="99" t="e">
        <f t="shared" si="83"/>
        <v>#DIV/0!</v>
      </c>
      <c r="M102" s="100"/>
      <c r="N102" s="101">
        <f>F102*M102</f>
        <v>0</v>
      </c>
      <c r="R102" s="76">
        <f t="shared" si="56"/>
        <v>0</v>
      </c>
    </row>
    <row r="103" spans="1:18" ht="16">
      <c r="A103" s="102"/>
      <c r="B103" s="103"/>
      <c r="C103" s="104"/>
      <c r="D103" s="105" t="s">
        <v>19</v>
      </c>
      <c r="E103" s="106">
        <f>SUM(E97:E102)</f>
        <v>2641</v>
      </c>
      <c r="F103" s="59">
        <f>SUM(F94:F102)</f>
        <v>777</v>
      </c>
      <c r="G103" s="107" t="e">
        <f>AVERAGE(G97:G102)</f>
        <v>#DIV/0!</v>
      </c>
      <c r="H103" s="104"/>
      <c r="I103" s="108"/>
      <c r="J103" s="105">
        <f t="shared" ref="J103:K103" si="85">SUM(J97:J102)</f>
        <v>30330</v>
      </c>
      <c r="K103" s="105">
        <f t="shared" si="85"/>
        <v>324</v>
      </c>
      <c r="L103" s="109" t="e">
        <f>AVERAGE(L97:L102)</f>
        <v>#DIV/0!</v>
      </c>
      <c r="M103" s="110"/>
      <c r="N103" s="111">
        <f>SUM(N97:N102)</f>
        <v>8963640</v>
      </c>
      <c r="R103" s="76">
        <f t="shared" si="56"/>
        <v>0</v>
      </c>
    </row>
    <row r="104" spans="1:18" ht="16">
      <c r="A104" s="112">
        <v>46084</v>
      </c>
      <c r="B104" s="113" t="s">
        <v>39</v>
      </c>
      <c r="C104" s="35">
        <v>125010</v>
      </c>
      <c r="D104" s="35">
        <v>125797</v>
      </c>
      <c r="E104" s="36">
        <f t="shared" ref="E104:E110" si="86">D104-C104</f>
        <v>787</v>
      </c>
      <c r="F104" s="37">
        <v>83</v>
      </c>
      <c r="G104" s="114">
        <f t="shared" ref="G104:G110" si="87">(F104/E104)*100</f>
        <v>10.546378653113088</v>
      </c>
      <c r="H104" s="35">
        <v>29355</v>
      </c>
      <c r="I104" s="35">
        <v>30221</v>
      </c>
      <c r="J104" s="83">
        <f t="shared" ref="J104:J110" si="88">I104-H104</f>
        <v>866</v>
      </c>
      <c r="K104" s="77">
        <f t="shared" ref="K104:K110" si="89">F104</f>
        <v>83</v>
      </c>
      <c r="L104" s="115">
        <f t="shared" ref="L104:L110" si="90">(K104/J104)*100</f>
        <v>9.5842956120092371</v>
      </c>
      <c r="M104" s="116">
        <v>19270</v>
      </c>
      <c r="N104" s="47">
        <f t="shared" ref="N104:N110" si="91">F104*M104</f>
        <v>1599410</v>
      </c>
      <c r="R104" s="76">
        <f t="shared" si="56"/>
        <v>0</v>
      </c>
    </row>
    <row r="105" spans="1:18" ht="16">
      <c r="A105" s="117">
        <v>46088</v>
      </c>
      <c r="B105" s="44" t="s">
        <v>39</v>
      </c>
      <c r="C105" s="35">
        <v>125797</v>
      </c>
      <c r="D105" s="35">
        <v>126391</v>
      </c>
      <c r="E105" s="11">
        <f t="shared" si="86"/>
        <v>594</v>
      </c>
      <c r="F105" s="45">
        <v>60</v>
      </c>
      <c r="G105" s="13">
        <f t="shared" si="87"/>
        <v>10.1010101010101</v>
      </c>
      <c r="H105" s="35">
        <v>30221</v>
      </c>
      <c r="I105" s="12">
        <v>30657</v>
      </c>
      <c r="J105" s="35">
        <f t="shared" si="88"/>
        <v>436</v>
      </c>
      <c r="K105" s="77">
        <f t="shared" si="89"/>
        <v>60</v>
      </c>
      <c r="L105" s="46">
        <f t="shared" si="90"/>
        <v>13.761467889908257</v>
      </c>
      <c r="M105" s="48">
        <v>23030</v>
      </c>
      <c r="N105" s="47">
        <f t="shared" si="91"/>
        <v>1381800</v>
      </c>
      <c r="R105" s="76">
        <f t="shared" si="56"/>
        <v>0</v>
      </c>
    </row>
    <row r="106" spans="1:18" ht="16">
      <c r="A106" s="117">
        <v>46093</v>
      </c>
      <c r="B106" s="44" t="s">
        <v>39</v>
      </c>
      <c r="C106" s="35">
        <v>126391</v>
      </c>
      <c r="D106" s="35">
        <v>126769</v>
      </c>
      <c r="E106" s="11">
        <f t="shared" si="86"/>
        <v>378</v>
      </c>
      <c r="F106" s="45">
        <v>43</v>
      </c>
      <c r="G106" s="13">
        <f t="shared" si="87"/>
        <v>11.375661375661375</v>
      </c>
      <c r="H106" s="12">
        <v>30657</v>
      </c>
      <c r="I106" s="35">
        <v>31062</v>
      </c>
      <c r="J106" s="35">
        <f t="shared" si="88"/>
        <v>405</v>
      </c>
      <c r="K106" s="77">
        <f t="shared" si="89"/>
        <v>43</v>
      </c>
      <c r="L106" s="46">
        <f t="shared" si="90"/>
        <v>10.617283950617285</v>
      </c>
      <c r="M106" s="48">
        <v>26470</v>
      </c>
      <c r="N106" s="47">
        <f t="shared" si="91"/>
        <v>1138210</v>
      </c>
      <c r="P106" s="78"/>
      <c r="R106" s="76">
        <f t="shared" si="56"/>
        <v>0</v>
      </c>
    </row>
    <row r="107" spans="1:18" ht="16">
      <c r="A107" s="117">
        <v>46098</v>
      </c>
      <c r="B107" s="44" t="s">
        <v>39</v>
      </c>
      <c r="C107" s="35">
        <v>126769</v>
      </c>
      <c r="D107" s="35">
        <v>127133</v>
      </c>
      <c r="E107" s="11">
        <f t="shared" si="86"/>
        <v>364</v>
      </c>
      <c r="F107" s="45">
        <v>38</v>
      </c>
      <c r="G107" s="13">
        <f t="shared" si="87"/>
        <v>10.43956043956044</v>
      </c>
      <c r="H107" s="35">
        <v>31062</v>
      </c>
      <c r="I107" s="35">
        <v>31367</v>
      </c>
      <c r="J107" s="35">
        <f t="shared" si="88"/>
        <v>305</v>
      </c>
      <c r="K107" s="50">
        <f t="shared" si="89"/>
        <v>38</v>
      </c>
      <c r="L107" s="46">
        <f t="shared" si="90"/>
        <v>12.459016393442624</v>
      </c>
      <c r="M107" s="48">
        <v>27020</v>
      </c>
      <c r="N107" s="47">
        <f t="shared" si="91"/>
        <v>1026760</v>
      </c>
      <c r="R107" s="76">
        <f t="shared" si="56"/>
        <v>0</v>
      </c>
    </row>
    <row r="108" spans="1:18" ht="16">
      <c r="A108" s="33">
        <v>46101</v>
      </c>
      <c r="B108" s="44" t="s">
        <v>39</v>
      </c>
      <c r="C108" s="35">
        <v>127133</v>
      </c>
      <c r="D108" s="35">
        <v>127649</v>
      </c>
      <c r="E108" s="11">
        <f t="shared" si="86"/>
        <v>516</v>
      </c>
      <c r="F108" s="45">
        <v>61</v>
      </c>
      <c r="G108" s="13">
        <f t="shared" si="87"/>
        <v>11.821705426356589</v>
      </c>
      <c r="H108" s="35">
        <v>31367</v>
      </c>
      <c r="I108" s="38">
        <v>31924</v>
      </c>
      <c r="J108" s="35">
        <f t="shared" si="88"/>
        <v>557</v>
      </c>
      <c r="K108" s="50">
        <f t="shared" si="89"/>
        <v>61</v>
      </c>
      <c r="L108" s="46">
        <f t="shared" si="90"/>
        <v>10.951526032315979</v>
      </c>
      <c r="M108" s="48">
        <v>33420</v>
      </c>
      <c r="N108" s="47">
        <f t="shared" si="91"/>
        <v>2038620</v>
      </c>
      <c r="R108" s="76">
        <f t="shared" si="56"/>
        <v>0</v>
      </c>
    </row>
    <row r="109" spans="1:18" ht="16">
      <c r="A109" s="33">
        <v>46107</v>
      </c>
      <c r="B109" s="44" t="s">
        <v>39</v>
      </c>
      <c r="C109" s="35">
        <v>127649</v>
      </c>
      <c r="D109" s="35">
        <v>128164</v>
      </c>
      <c r="E109" s="11">
        <f t="shared" si="86"/>
        <v>515</v>
      </c>
      <c r="F109" s="45">
        <v>57</v>
      </c>
      <c r="G109" s="13">
        <f t="shared" si="87"/>
        <v>11.067961165048544</v>
      </c>
      <c r="H109" s="38">
        <v>31924</v>
      </c>
      <c r="I109" s="38">
        <v>32414</v>
      </c>
      <c r="J109" s="35">
        <f t="shared" si="88"/>
        <v>490</v>
      </c>
      <c r="K109" s="50">
        <f t="shared" si="89"/>
        <v>57</v>
      </c>
      <c r="L109" s="46">
        <f t="shared" si="90"/>
        <v>11.63265306122449</v>
      </c>
      <c r="M109" s="48">
        <v>37890</v>
      </c>
      <c r="N109" s="47">
        <f t="shared" si="91"/>
        <v>2159730</v>
      </c>
      <c r="R109" s="76">
        <f t="shared" si="56"/>
        <v>0</v>
      </c>
    </row>
    <row r="110" spans="1:18" ht="16">
      <c r="A110" s="33">
        <v>46112</v>
      </c>
      <c r="B110" s="44" t="s">
        <v>39</v>
      </c>
      <c r="C110" s="35">
        <v>128164</v>
      </c>
      <c r="D110" s="53">
        <v>128551</v>
      </c>
      <c r="E110" s="24">
        <f t="shared" si="86"/>
        <v>387</v>
      </c>
      <c r="F110" s="45">
        <v>48</v>
      </c>
      <c r="G110" s="54">
        <f t="shared" si="87"/>
        <v>12.403100775193799</v>
      </c>
      <c r="H110" s="38">
        <v>32414</v>
      </c>
      <c r="I110" s="55">
        <v>32876</v>
      </c>
      <c r="J110" s="53">
        <f t="shared" si="88"/>
        <v>462</v>
      </c>
      <c r="K110" s="50">
        <f t="shared" si="89"/>
        <v>48</v>
      </c>
      <c r="L110" s="73">
        <f t="shared" si="90"/>
        <v>10.38961038961039</v>
      </c>
      <c r="M110" s="56">
        <v>35440</v>
      </c>
      <c r="N110" s="47">
        <f t="shared" si="91"/>
        <v>1701120</v>
      </c>
      <c r="R110" s="76">
        <f t="shared" si="56"/>
        <v>0</v>
      </c>
    </row>
    <row r="111" spans="1:18" ht="16">
      <c r="A111" s="59"/>
      <c r="B111" s="60"/>
      <c r="C111" s="59"/>
      <c r="D111" s="59" t="s">
        <v>19</v>
      </c>
      <c r="E111" s="59">
        <f>SUM(E97:E110)</f>
        <v>8823</v>
      </c>
      <c r="F111" s="59">
        <f>SUM(F103:F110)</f>
        <v>1167</v>
      </c>
      <c r="G111" s="61" t="e">
        <f>AVERAGE(G97:G110)</f>
        <v>#DIV/0!</v>
      </c>
      <c r="H111" s="59"/>
      <c r="I111" s="62"/>
      <c r="J111" s="59">
        <f t="shared" ref="J111:K111" si="92">SUM(J97:J110)</f>
        <v>64181</v>
      </c>
      <c r="K111" s="59">
        <f t="shared" si="92"/>
        <v>1038</v>
      </c>
      <c r="L111" s="61" t="e">
        <f>AVERAGE(L97:L110)</f>
        <v>#DIV/0!</v>
      </c>
      <c r="M111" s="64"/>
      <c r="N111" s="65">
        <f>SUM(N104:N110)</f>
        <v>11045650</v>
      </c>
      <c r="R111" s="76">
        <f t="shared" si="56"/>
        <v>0</v>
      </c>
    </row>
    <row r="112" spans="1:18" ht="16">
      <c r="A112" s="66">
        <v>46084</v>
      </c>
      <c r="B112" s="90" t="s">
        <v>40</v>
      </c>
      <c r="C112" s="12">
        <v>120809</v>
      </c>
      <c r="D112" s="12">
        <v>121505</v>
      </c>
      <c r="E112" s="36">
        <f t="shared" ref="E112:E118" si="93">D112-C112</f>
        <v>696</v>
      </c>
      <c r="F112" s="37">
        <v>79</v>
      </c>
      <c r="G112" s="13">
        <f t="shared" ref="G112:G118" si="94">(F112/E112)*100</f>
        <v>11.350574712643677</v>
      </c>
      <c r="H112" s="38">
        <v>118875</v>
      </c>
      <c r="I112" s="38">
        <v>119560</v>
      </c>
      <c r="J112" s="39">
        <f t="shared" ref="J112:J118" si="95">I112-H112</f>
        <v>685</v>
      </c>
      <c r="K112" s="77">
        <f t="shared" ref="K112:K118" si="96">F112</f>
        <v>79</v>
      </c>
      <c r="L112" s="67">
        <f t="shared" ref="L112:L118" si="97">(K112/J112)*100</f>
        <v>11.532846715328466</v>
      </c>
      <c r="M112" s="68">
        <v>19270</v>
      </c>
      <c r="N112" s="42">
        <f t="shared" ref="N112:N118" si="98">F112*M112</f>
        <v>1522330</v>
      </c>
      <c r="R112" s="76">
        <f t="shared" si="56"/>
        <v>0</v>
      </c>
    </row>
    <row r="113" spans="1:18" ht="16">
      <c r="A113" s="43">
        <v>46088</v>
      </c>
      <c r="B113" s="49" t="s">
        <v>40</v>
      </c>
      <c r="C113" s="12">
        <v>121505</v>
      </c>
      <c r="D113" s="10">
        <v>121933</v>
      </c>
      <c r="E113" s="51">
        <f t="shared" si="93"/>
        <v>428</v>
      </c>
      <c r="F113" s="52">
        <v>49</v>
      </c>
      <c r="G113" s="13">
        <f t="shared" si="94"/>
        <v>11.448598130841122</v>
      </c>
      <c r="H113" s="38">
        <v>119560</v>
      </c>
      <c r="I113" s="38">
        <v>119978</v>
      </c>
      <c r="J113" s="35">
        <f t="shared" si="95"/>
        <v>418</v>
      </c>
      <c r="K113" s="50">
        <f t="shared" si="96"/>
        <v>49</v>
      </c>
      <c r="L113" s="46">
        <f t="shared" si="97"/>
        <v>11.722488038277511</v>
      </c>
      <c r="M113" s="48">
        <v>23030</v>
      </c>
      <c r="N113" s="47">
        <f t="shared" si="98"/>
        <v>1128470</v>
      </c>
      <c r="R113" s="76">
        <f t="shared" si="56"/>
        <v>0</v>
      </c>
    </row>
    <row r="114" spans="1:18" ht="16">
      <c r="A114" s="33">
        <v>46093</v>
      </c>
      <c r="B114" s="44" t="s">
        <v>40</v>
      </c>
      <c r="C114" s="10">
        <v>121933</v>
      </c>
      <c r="D114" s="12">
        <v>122484</v>
      </c>
      <c r="E114" s="11">
        <f t="shared" si="93"/>
        <v>551</v>
      </c>
      <c r="F114" s="45">
        <v>62</v>
      </c>
      <c r="G114" s="13">
        <f t="shared" si="94"/>
        <v>11.252268602540836</v>
      </c>
      <c r="H114" s="38">
        <v>119978</v>
      </c>
      <c r="I114" s="38">
        <v>120519</v>
      </c>
      <c r="J114" s="35">
        <f t="shared" si="95"/>
        <v>541</v>
      </c>
      <c r="K114" s="50">
        <f t="shared" si="96"/>
        <v>62</v>
      </c>
      <c r="L114" s="46">
        <f t="shared" si="97"/>
        <v>11.460258780036968</v>
      </c>
      <c r="M114" s="48">
        <v>26470</v>
      </c>
      <c r="N114" s="47">
        <f t="shared" si="98"/>
        <v>1641140</v>
      </c>
      <c r="R114" s="76">
        <f t="shared" si="56"/>
        <v>0</v>
      </c>
    </row>
    <row r="115" spans="1:18" ht="16">
      <c r="A115" s="33">
        <v>46099</v>
      </c>
      <c r="B115" s="44" t="s">
        <v>40</v>
      </c>
      <c r="C115" s="12">
        <v>122484</v>
      </c>
      <c r="D115" s="12">
        <v>123006</v>
      </c>
      <c r="E115" s="11">
        <f t="shared" si="93"/>
        <v>522</v>
      </c>
      <c r="F115" s="45">
        <v>62</v>
      </c>
      <c r="G115" s="13">
        <f t="shared" si="94"/>
        <v>11.877394636015326</v>
      </c>
      <c r="H115" s="38">
        <v>120519</v>
      </c>
      <c r="I115" s="38">
        <v>121066</v>
      </c>
      <c r="J115" s="35">
        <f t="shared" si="95"/>
        <v>547</v>
      </c>
      <c r="K115" s="50">
        <f t="shared" si="96"/>
        <v>62</v>
      </c>
      <c r="L115" s="46">
        <f t="shared" si="97"/>
        <v>11.3345521023766</v>
      </c>
      <c r="M115" s="48">
        <v>27020</v>
      </c>
      <c r="N115" s="47">
        <f t="shared" si="98"/>
        <v>1675240</v>
      </c>
      <c r="R115" s="76">
        <f t="shared" si="56"/>
        <v>0</v>
      </c>
    </row>
    <row r="116" spans="1:18" ht="16">
      <c r="A116" s="33">
        <v>46106</v>
      </c>
      <c r="B116" s="44" t="s">
        <v>40</v>
      </c>
      <c r="C116" s="12">
        <v>123006</v>
      </c>
      <c r="D116" s="35">
        <v>123708</v>
      </c>
      <c r="E116" s="11">
        <f t="shared" si="93"/>
        <v>702</v>
      </c>
      <c r="F116" s="45">
        <v>82</v>
      </c>
      <c r="G116" s="13">
        <f t="shared" si="94"/>
        <v>11.680911680911681</v>
      </c>
      <c r="H116" s="38">
        <v>121066</v>
      </c>
      <c r="I116" s="38">
        <v>121722</v>
      </c>
      <c r="J116" s="35">
        <f t="shared" si="95"/>
        <v>656</v>
      </c>
      <c r="K116" s="50">
        <f t="shared" si="96"/>
        <v>82</v>
      </c>
      <c r="L116" s="46">
        <f t="shared" si="97"/>
        <v>12.5</v>
      </c>
      <c r="M116" s="48">
        <v>37890</v>
      </c>
      <c r="N116" s="47">
        <f t="shared" si="98"/>
        <v>3106980</v>
      </c>
      <c r="R116" s="76">
        <f t="shared" si="56"/>
        <v>0</v>
      </c>
    </row>
    <row r="117" spans="1:18" ht="16">
      <c r="A117" s="33">
        <v>46111</v>
      </c>
      <c r="B117" s="44" t="s">
        <v>40</v>
      </c>
      <c r="C117" s="35">
        <v>123708</v>
      </c>
      <c r="D117" s="35">
        <v>124263</v>
      </c>
      <c r="E117" s="11">
        <f t="shared" si="93"/>
        <v>555</v>
      </c>
      <c r="F117" s="45">
        <v>69</v>
      </c>
      <c r="G117" s="13">
        <f t="shared" si="94"/>
        <v>12.432432432432433</v>
      </c>
      <c r="H117" s="38">
        <v>121722</v>
      </c>
      <c r="I117" s="38">
        <v>122267</v>
      </c>
      <c r="J117" s="35">
        <f t="shared" si="95"/>
        <v>545</v>
      </c>
      <c r="K117" s="50">
        <f t="shared" si="96"/>
        <v>69</v>
      </c>
      <c r="L117" s="46">
        <f t="shared" si="97"/>
        <v>12.660550458715598</v>
      </c>
      <c r="M117" s="48">
        <v>35440</v>
      </c>
      <c r="N117" s="47">
        <f t="shared" si="98"/>
        <v>2445360</v>
      </c>
      <c r="R117" s="76">
        <f t="shared" si="56"/>
        <v>0</v>
      </c>
    </row>
    <row r="118" spans="1:18" ht="16">
      <c r="A118" s="87"/>
      <c r="B118" s="44" t="s">
        <v>40</v>
      </c>
      <c r="C118" s="53"/>
      <c r="D118" s="53"/>
      <c r="E118" s="24">
        <f t="shared" si="93"/>
        <v>0</v>
      </c>
      <c r="F118" s="45"/>
      <c r="G118" s="54" t="e">
        <f t="shared" si="94"/>
        <v>#DIV/0!</v>
      </c>
      <c r="H118" s="53"/>
      <c r="I118" s="55"/>
      <c r="J118" s="53">
        <f t="shared" si="95"/>
        <v>0</v>
      </c>
      <c r="K118" s="50">
        <f t="shared" si="96"/>
        <v>0</v>
      </c>
      <c r="L118" s="73" t="e">
        <f t="shared" si="97"/>
        <v>#DIV/0!</v>
      </c>
      <c r="M118" s="56"/>
      <c r="N118" s="57">
        <f t="shared" si="98"/>
        <v>0</v>
      </c>
      <c r="R118" s="76">
        <f t="shared" si="56"/>
        <v>0</v>
      </c>
    </row>
    <row r="119" spans="1:18" ht="16">
      <c r="A119" s="59"/>
      <c r="B119" s="60"/>
      <c r="C119" s="59"/>
      <c r="D119" s="59" t="s">
        <v>19</v>
      </c>
      <c r="E119" s="59">
        <f>SUM(E112:E118)</f>
        <v>3454</v>
      </c>
      <c r="F119" s="37"/>
      <c r="G119" s="61" t="e">
        <f>AVERAGE(G112:G118)</f>
        <v>#DIV/0!</v>
      </c>
      <c r="H119" s="59"/>
      <c r="I119" s="62"/>
      <c r="J119" s="59">
        <f t="shared" ref="J119:K119" si="99">SUM(J112:J118)</f>
        <v>3392</v>
      </c>
      <c r="K119" s="59">
        <f t="shared" si="99"/>
        <v>403</v>
      </c>
      <c r="L119" s="61" t="e">
        <f>AVERAGE(L112:L118)</f>
        <v>#DIV/0!</v>
      </c>
      <c r="M119" s="64"/>
      <c r="N119" s="65">
        <f>SUM(N112:N118)</f>
        <v>11519520</v>
      </c>
      <c r="R119" s="76">
        <f t="shared" si="56"/>
        <v>0</v>
      </c>
    </row>
    <row r="120" spans="1:18" ht="16">
      <c r="A120" s="66">
        <v>46085</v>
      </c>
      <c r="B120" s="90" t="s">
        <v>41</v>
      </c>
      <c r="C120" s="51">
        <v>175562</v>
      </c>
      <c r="D120" s="35">
        <v>175842</v>
      </c>
      <c r="E120" s="36">
        <f t="shared" ref="E120:E126" si="100">D120-C120</f>
        <v>280</v>
      </c>
      <c r="F120" s="37">
        <v>59</v>
      </c>
      <c r="G120" s="13">
        <f t="shared" ref="G120:G126" si="101">(F120/E120)*100</f>
        <v>21.071428571428573</v>
      </c>
      <c r="H120" s="35">
        <v>18119</v>
      </c>
      <c r="I120" s="38">
        <v>18514</v>
      </c>
      <c r="J120" s="39">
        <f t="shared" ref="J120:J126" si="102">I120-H120</f>
        <v>395</v>
      </c>
      <c r="K120" s="77">
        <f t="shared" ref="K120:K126" si="103">F120</f>
        <v>59</v>
      </c>
      <c r="L120" s="67">
        <f t="shared" ref="L120:L126" si="104">(K120/J120)*100</f>
        <v>14.936708860759493</v>
      </c>
      <c r="M120" s="41">
        <v>19270</v>
      </c>
      <c r="N120" s="42">
        <f t="shared" ref="N120:N126" si="105">F120*M120</f>
        <v>1136930</v>
      </c>
      <c r="R120" s="76">
        <f t="shared" si="56"/>
        <v>0</v>
      </c>
    </row>
    <row r="121" spans="1:18" ht="16">
      <c r="A121" s="118">
        <v>46088</v>
      </c>
      <c r="B121" s="119" t="s">
        <v>41</v>
      </c>
      <c r="C121" s="35">
        <v>175842</v>
      </c>
      <c r="D121" s="51">
        <v>175942</v>
      </c>
      <c r="E121" s="51">
        <f t="shared" si="100"/>
        <v>100</v>
      </c>
      <c r="F121" s="120">
        <v>43</v>
      </c>
      <c r="G121" s="13">
        <f t="shared" si="101"/>
        <v>43</v>
      </c>
      <c r="H121" s="38">
        <v>18514</v>
      </c>
      <c r="I121" s="38">
        <v>18937</v>
      </c>
      <c r="J121" s="35">
        <f t="shared" si="102"/>
        <v>423</v>
      </c>
      <c r="K121" s="50">
        <f t="shared" si="103"/>
        <v>43</v>
      </c>
      <c r="L121" s="46">
        <f t="shared" si="104"/>
        <v>10.16548463356974</v>
      </c>
      <c r="M121" s="48">
        <v>23030</v>
      </c>
      <c r="N121" s="121">
        <f t="shared" si="105"/>
        <v>990290</v>
      </c>
      <c r="R121" s="76">
        <f t="shared" si="56"/>
        <v>0</v>
      </c>
    </row>
    <row r="122" spans="1:18" ht="16">
      <c r="A122" s="118">
        <v>46095</v>
      </c>
      <c r="B122" s="119" t="s">
        <v>41</v>
      </c>
      <c r="C122" s="11"/>
      <c r="D122" s="51"/>
      <c r="E122" s="51">
        <f t="shared" si="100"/>
        <v>0</v>
      </c>
      <c r="F122" s="120">
        <v>67</v>
      </c>
      <c r="G122" s="13" t="e">
        <f t="shared" si="101"/>
        <v>#DIV/0!</v>
      </c>
      <c r="H122" s="38">
        <v>18937</v>
      </c>
      <c r="I122" s="35">
        <v>19559</v>
      </c>
      <c r="J122" s="35">
        <f t="shared" si="102"/>
        <v>622</v>
      </c>
      <c r="K122" s="50">
        <f t="shared" si="103"/>
        <v>67</v>
      </c>
      <c r="L122" s="46">
        <f t="shared" si="104"/>
        <v>10.77170418006431</v>
      </c>
      <c r="M122" s="48">
        <v>27020</v>
      </c>
      <c r="N122" s="121">
        <f t="shared" si="105"/>
        <v>1810340</v>
      </c>
      <c r="R122" s="76">
        <f t="shared" si="56"/>
        <v>0</v>
      </c>
    </row>
    <row r="123" spans="1:18" ht="16">
      <c r="A123" s="33">
        <v>46102</v>
      </c>
      <c r="B123" s="44" t="s">
        <v>41</v>
      </c>
      <c r="C123" s="51"/>
      <c r="D123" s="35">
        <v>176587</v>
      </c>
      <c r="E123" s="11">
        <f t="shared" si="100"/>
        <v>176587</v>
      </c>
      <c r="F123" s="45">
        <v>79</v>
      </c>
      <c r="G123" s="13">
        <f t="shared" si="101"/>
        <v>4.4737155056714259E-2</v>
      </c>
      <c r="H123" s="35">
        <v>19559</v>
      </c>
      <c r="I123" s="38">
        <v>20291</v>
      </c>
      <c r="J123" s="35">
        <f t="shared" si="102"/>
        <v>732</v>
      </c>
      <c r="K123" s="50">
        <f t="shared" si="103"/>
        <v>79</v>
      </c>
      <c r="L123" s="46">
        <f t="shared" si="104"/>
        <v>10.792349726775956</v>
      </c>
      <c r="M123" s="48">
        <v>33420</v>
      </c>
      <c r="N123" s="121">
        <f t="shared" si="105"/>
        <v>2640180</v>
      </c>
      <c r="R123" s="76">
        <f t="shared" si="56"/>
        <v>0</v>
      </c>
    </row>
    <row r="124" spans="1:18" ht="16">
      <c r="A124" s="33">
        <v>46108</v>
      </c>
      <c r="B124" s="49" t="s">
        <v>41</v>
      </c>
      <c r="C124" s="35">
        <v>176587</v>
      </c>
      <c r="D124" s="50">
        <v>177289</v>
      </c>
      <c r="E124" s="11">
        <f t="shared" si="100"/>
        <v>702</v>
      </c>
      <c r="F124" s="45">
        <v>75</v>
      </c>
      <c r="G124" s="13">
        <f t="shared" si="101"/>
        <v>10.683760683760683</v>
      </c>
      <c r="H124" s="38">
        <v>20291</v>
      </c>
      <c r="I124" s="38">
        <v>20958</v>
      </c>
      <c r="J124" s="35">
        <f t="shared" si="102"/>
        <v>667</v>
      </c>
      <c r="K124" s="50">
        <f t="shared" si="103"/>
        <v>75</v>
      </c>
      <c r="L124" s="46">
        <f t="shared" si="104"/>
        <v>11.244377811094452</v>
      </c>
      <c r="M124" s="48">
        <v>35440</v>
      </c>
      <c r="N124" s="121">
        <f t="shared" si="105"/>
        <v>2658000</v>
      </c>
      <c r="R124" s="76">
        <f t="shared" si="56"/>
        <v>0</v>
      </c>
    </row>
    <row r="125" spans="1:18" ht="16">
      <c r="A125" s="122"/>
      <c r="B125" s="44" t="s">
        <v>41</v>
      </c>
      <c r="C125" s="35"/>
      <c r="D125" s="35"/>
      <c r="E125" s="11">
        <f t="shared" si="100"/>
        <v>0</v>
      </c>
      <c r="F125" s="45"/>
      <c r="G125" s="13" t="e">
        <f t="shared" si="101"/>
        <v>#DIV/0!</v>
      </c>
      <c r="H125" s="35"/>
      <c r="I125" s="38"/>
      <c r="J125" s="35">
        <f t="shared" si="102"/>
        <v>0</v>
      </c>
      <c r="K125" s="50">
        <f t="shared" si="103"/>
        <v>0</v>
      </c>
      <c r="L125" s="46" t="e">
        <f t="shared" si="104"/>
        <v>#DIV/0!</v>
      </c>
      <c r="M125" s="48"/>
      <c r="N125" s="121">
        <f t="shared" si="105"/>
        <v>0</v>
      </c>
      <c r="R125" s="76">
        <f t="shared" si="56"/>
        <v>0</v>
      </c>
    </row>
    <row r="126" spans="1:18" ht="16">
      <c r="A126" s="87"/>
      <c r="B126" s="44" t="s">
        <v>41</v>
      </c>
      <c r="C126" s="53"/>
      <c r="D126" s="53"/>
      <c r="E126" s="24">
        <f t="shared" si="100"/>
        <v>0</v>
      </c>
      <c r="F126" s="45"/>
      <c r="G126" s="54" t="e">
        <f t="shared" si="101"/>
        <v>#DIV/0!</v>
      </c>
      <c r="H126" s="53"/>
      <c r="I126" s="55"/>
      <c r="J126" s="53">
        <f t="shared" si="102"/>
        <v>0</v>
      </c>
      <c r="K126" s="50">
        <f t="shared" si="103"/>
        <v>0</v>
      </c>
      <c r="L126" s="73" t="e">
        <f t="shared" si="104"/>
        <v>#DIV/0!</v>
      </c>
      <c r="M126" s="56"/>
      <c r="N126" s="123">
        <f t="shared" si="105"/>
        <v>0</v>
      </c>
      <c r="R126" s="76">
        <f t="shared" si="56"/>
        <v>0</v>
      </c>
    </row>
    <row r="127" spans="1:18" ht="16">
      <c r="A127" s="59"/>
      <c r="B127" s="60"/>
      <c r="C127" s="59"/>
      <c r="D127" s="59" t="s">
        <v>19</v>
      </c>
      <c r="E127" s="59">
        <f>SUM(E120:E126)</f>
        <v>177669</v>
      </c>
      <c r="F127" s="59">
        <f>SUM(F119:F126)</f>
        <v>323</v>
      </c>
      <c r="G127" s="61" t="e">
        <f>AVERAGE(G120:G126)</f>
        <v>#DIV/0!</v>
      </c>
      <c r="H127" s="59"/>
      <c r="I127" s="62"/>
      <c r="J127" s="59">
        <f t="shared" ref="J127:K127" si="106">SUM(J120:J126)</f>
        <v>2839</v>
      </c>
      <c r="K127" s="59">
        <f t="shared" si="106"/>
        <v>323</v>
      </c>
      <c r="L127" s="61" t="e">
        <f>AVERAGE(L120:L126)</f>
        <v>#DIV/0!</v>
      </c>
      <c r="M127" s="64"/>
      <c r="N127" s="65">
        <f>SUM(N120:N126)</f>
        <v>9235740</v>
      </c>
      <c r="R127" s="76">
        <f t="shared" si="56"/>
        <v>0</v>
      </c>
    </row>
    <row r="128" spans="1:18" ht="16">
      <c r="A128" s="66">
        <v>46108</v>
      </c>
      <c r="B128" s="90" t="s">
        <v>42</v>
      </c>
      <c r="C128" s="51"/>
      <c r="D128" s="35">
        <v>147039</v>
      </c>
      <c r="E128" s="36">
        <f t="shared" ref="E128:E134" si="107">D128-C128</f>
        <v>147039</v>
      </c>
      <c r="F128" s="37">
        <v>65</v>
      </c>
      <c r="G128" s="13">
        <f t="shared" ref="G128:G134" si="108">(F128/E128)*100</f>
        <v>4.4205958963268246E-2</v>
      </c>
      <c r="H128" s="35"/>
      <c r="I128" s="38"/>
      <c r="J128" s="39">
        <f t="shared" ref="J128:J134" si="109">I128-H128</f>
        <v>0</v>
      </c>
      <c r="K128" s="77">
        <f t="shared" ref="K128:K134" si="110">F128</f>
        <v>65</v>
      </c>
      <c r="L128" s="67" t="e">
        <f t="shared" ref="L128:L134" si="111">(K128/J128)*100</f>
        <v>#DIV/0!</v>
      </c>
      <c r="M128" s="41">
        <v>35440</v>
      </c>
      <c r="N128" s="42">
        <f t="shared" ref="N128:N134" si="112">F128*M128</f>
        <v>2303600</v>
      </c>
    </row>
    <row r="129" spans="1:18" ht="16">
      <c r="A129" s="118"/>
      <c r="B129" s="90" t="s">
        <v>42</v>
      </c>
      <c r="C129" s="35"/>
      <c r="D129" s="51"/>
      <c r="E129" s="51">
        <f t="shared" si="107"/>
        <v>0</v>
      </c>
      <c r="F129" s="120"/>
      <c r="G129" s="13" t="e">
        <f t="shared" si="108"/>
        <v>#DIV/0!</v>
      </c>
      <c r="H129" s="38"/>
      <c r="I129" s="38"/>
      <c r="J129" s="35">
        <f t="shared" si="109"/>
        <v>0</v>
      </c>
      <c r="K129" s="50">
        <f t="shared" si="110"/>
        <v>0</v>
      </c>
      <c r="L129" s="46" t="e">
        <f t="shared" si="111"/>
        <v>#DIV/0!</v>
      </c>
      <c r="M129" s="48"/>
      <c r="N129" s="121">
        <f t="shared" si="112"/>
        <v>0</v>
      </c>
    </row>
    <row r="130" spans="1:18" ht="16">
      <c r="A130" s="118"/>
      <c r="B130" s="90" t="s">
        <v>42</v>
      </c>
      <c r="C130" s="51"/>
      <c r="D130" s="51"/>
      <c r="E130" s="51">
        <f t="shared" si="107"/>
        <v>0</v>
      </c>
      <c r="F130" s="120"/>
      <c r="G130" s="13" t="e">
        <f t="shared" si="108"/>
        <v>#DIV/0!</v>
      </c>
      <c r="H130" s="38"/>
      <c r="I130" s="35"/>
      <c r="J130" s="35">
        <f t="shared" si="109"/>
        <v>0</v>
      </c>
      <c r="K130" s="50">
        <f t="shared" si="110"/>
        <v>0</v>
      </c>
      <c r="L130" s="46" t="e">
        <f t="shared" si="111"/>
        <v>#DIV/0!</v>
      </c>
      <c r="M130" s="48"/>
      <c r="N130" s="121">
        <f t="shared" si="112"/>
        <v>0</v>
      </c>
    </row>
    <row r="131" spans="1:18" ht="16">
      <c r="A131" s="33"/>
      <c r="B131" s="90" t="s">
        <v>42</v>
      </c>
      <c r="C131" s="51"/>
      <c r="D131" s="35"/>
      <c r="E131" s="11">
        <f t="shared" si="107"/>
        <v>0</v>
      </c>
      <c r="F131" s="45"/>
      <c r="G131" s="13" t="e">
        <f t="shared" si="108"/>
        <v>#DIV/0!</v>
      </c>
      <c r="H131" s="35"/>
      <c r="I131" s="38"/>
      <c r="J131" s="35">
        <f t="shared" si="109"/>
        <v>0</v>
      </c>
      <c r="K131" s="50">
        <f t="shared" si="110"/>
        <v>0</v>
      </c>
      <c r="L131" s="46" t="e">
        <f t="shared" si="111"/>
        <v>#DIV/0!</v>
      </c>
      <c r="M131" s="48"/>
      <c r="N131" s="121">
        <f t="shared" si="112"/>
        <v>0</v>
      </c>
    </row>
    <row r="132" spans="1:18" ht="16">
      <c r="A132" s="124"/>
      <c r="B132" s="90" t="s">
        <v>42</v>
      </c>
      <c r="C132" s="50"/>
      <c r="D132" s="50"/>
      <c r="E132" s="11">
        <f t="shared" si="107"/>
        <v>0</v>
      </c>
      <c r="F132" s="45"/>
      <c r="G132" s="13" t="e">
        <f t="shared" si="108"/>
        <v>#DIV/0!</v>
      </c>
      <c r="H132" s="35"/>
      <c r="I132" s="38"/>
      <c r="J132" s="35">
        <f t="shared" si="109"/>
        <v>0</v>
      </c>
      <c r="K132" s="50">
        <f t="shared" si="110"/>
        <v>0</v>
      </c>
      <c r="L132" s="46" t="e">
        <f t="shared" si="111"/>
        <v>#DIV/0!</v>
      </c>
      <c r="M132" s="48"/>
      <c r="N132" s="121">
        <f t="shared" si="112"/>
        <v>0</v>
      </c>
    </row>
    <row r="133" spans="1:18" ht="16">
      <c r="A133" s="122"/>
      <c r="B133" s="90" t="s">
        <v>42</v>
      </c>
      <c r="C133" s="35"/>
      <c r="D133" s="35"/>
      <c r="E133" s="11">
        <f t="shared" si="107"/>
        <v>0</v>
      </c>
      <c r="F133" s="45"/>
      <c r="G133" s="13" t="e">
        <f t="shared" si="108"/>
        <v>#DIV/0!</v>
      </c>
      <c r="H133" s="35"/>
      <c r="I133" s="38"/>
      <c r="J133" s="35">
        <f t="shared" si="109"/>
        <v>0</v>
      </c>
      <c r="K133" s="50">
        <f t="shared" si="110"/>
        <v>0</v>
      </c>
      <c r="L133" s="46" t="e">
        <f t="shared" si="111"/>
        <v>#DIV/0!</v>
      </c>
      <c r="M133" s="48"/>
      <c r="N133" s="121">
        <f t="shared" si="112"/>
        <v>0</v>
      </c>
    </row>
    <row r="134" spans="1:18" ht="16">
      <c r="A134" s="87"/>
      <c r="B134" s="90" t="s">
        <v>42</v>
      </c>
      <c r="C134" s="53"/>
      <c r="D134" s="53"/>
      <c r="E134" s="24">
        <f t="shared" si="107"/>
        <v>0</v>
      </c>
      <c r="F134" s="45"/>
      <c r="G134" s="54" t="e">
        <f t="shared" si="108"/>
        <v>#DIV/0!</v>
      </c>
      <c r="H134" s="53"/>
      <c r="I134" s="55"/>
      <c r="J134" s="53">
        <f t="shared" si="109"/>
        <v>0</v>
      </c>
      <c r="K134" s="50">
        <f t="shared" si="110"/>
        <v>0</v>
      </c>
      <c r="L134" s="73" t="e">
        <f t="shared" si="111"/>
        <v>#DIV/0!</v>
      </c>
      <c r="M134" s="56"/>
      <c r="N134" s="123">
        <f t="shared" si="112"/>
        <v>0</v>
      </c>
    </row>
    <row r="135" spans="1:18" ht="16">
      <c r="A135" s="59"/>
      <c r="B135" s="60"/>
      <c r="C135" s="59"/>
      <c r="D135" s="59" t="s">
        <v>19</v>
      </c>
      <c r="E135" s="59">
        <f>SUM(E128:E134)</f>
        <v>147039</v>
      </c>
      <c r="F135" s="59">
        <f>SUM(F127:F134)</f>
        <v>388</v>
      </c>
      <c r="G135" s="61" t="e">
        <f>AVERAGE(G128:G134)</f>
        <v>#DIV/0!</v>
      </c>
      <c r="H135" s="59"/>
      <c r="I135" s="62"/>
      <c r="J135" s="59">
        <f t="shared" ref="J135:K135" si="113">SUM(J128:J134)</f>
        <v>0</v>
      </c>
      <c r="K135" s="59">
        <f t="shared" si="113"/>
        <v>65</v>
      </c>
      <c r="L135" s="61" t="e">
        <f>AVERAGE(L128:L134)</f>
        <v>#DIV/0!</v>
      </c>
      <c r="M135" s="64"/>
      <c r="N135" s="65">
        <f>SUM(N128:N134)</f>
        <v>2303600</v>
      </c>
    </row>
    <row r="136" spans="1:18" ht="16">
      <c r="A136" s="66">
        <v>46083</v>
      </c>
      <c r="B136" s="90" t="s">
        <v>27</v>
      </c>
      <c r="C136" s="83"/>
      <c r="D136" s="12"/>
      <c r="E136" s="36">
        <f t="shared" ref="E136:E147" si="114">D136-C136</f>
        <v>0</v>
      </c>
      <c r="F136" s="37"/>
      <c r="G136" s="13" t="e">
        <f t="shared" ref="G136:G147" si="115">(F136/E136)*100</f>
        <v>#DIV/0!</v>
      </c>
      <c r="H136" s="125"/>
      <c r="I136" s="126"/>
      <c r="J136" s="39">
        <f t="shared" ref="J136:J147" si="116">I136-H136</f>
        <v>0</v>
      </c>
      <c r="K136" s="50">
        <f t="shared" ref="K136:K140" si="117">F136</f>
        <v>0</v>
      </c>
      <c r="L136" s="67" t="e">
        <f t="shared" ref="L136:L147" si="118">(K136/J136)*100</f>
        <v>#DIV/0!</v>
      </c>
      <c r="M136" s="68"/>
      <c r="N136" s="42">
        <v>1098000</v>
      </c>
      <c r="R136" s="76">
        <f t="shared" ref="R136:R143" si="119">Q136</f>
        <v>0</v>
      </c>
    </row>
    <row r="137" spans="1:18" ht="16">
      <c r="A137" s="33">
        <v>46085</v>
      </c>
      <c r="B137" s="44" t="s">
        <v>27</v>
      </c>
      <c r="C137" s="35"/>
      <c r="D137" s="12"/>
      <c r="E137" s="11">
        <f t="shared" si="114"/>
        <v>0</v>
      </c>
      <c r="F137" s="45"/>
      <c r="G137" s="13" t="e">
        <f t="shared" si="115"/>
        <v>#DIV/0!</v>
      </c>
      <c r="H137" s="38"/>
      <c r="I137" s="38"/>
      <c r="J137" s="35">
        <f t="shared" si="116"/>
        <v>0</v>
      </c>
      <c r="K137" s="50">
        <f t="shared" si="117"/>
        <v>0</v>
      </c>
      <c r="L137" s="46" t="e">
        <f t="shared" si="118"/>
        <v>#DIV/0!</v>
      </c>
      <c r="M137" s="48"/>
      <c r="N137" s="47">
        <v>983000</v>
      </c>
      <c r="R137" s="76">
        <f t="shared" si="119"/>
        <v>0</v>
      </c>
    </row>
    <row r="138" spans="1:18" ht="16">
      <c r="A138" s="33">
        <v>46087</v>
      </c>
      <c r="B138" s="44" t="s">
        <v>27</v>
      </c>
      <c r="C138" s="35"/>
      <c r="D138" s="35"/>
      <c r="E138" s="11">
        <f t="shared" si="114"/>
        <v>0</v>
      </c>
      <c r="F138" s="45"/>
      <c r="G138" s="13" t="e">
        <f t="shared" si="115"/>
        <v>#DIV/0!</v>
      </c>
      <c r="H138" s="35"/>
      <c r="I138" s="38"/>
      <c r="J138" s="35">
        <f t="shared" si="116"/>
        <v>0</v>
      </c>
      <c r="K138" s="50">
        <f t="shared" si="117"/>
        <v>0</v>
      </c>
      <c r="L138" s="46" t="e">
        <f t="shared" si="118"/>
        <v>#DIV/0!</v>
      </c>
      <c r="M138" s="48"/>
      <c r="N138" s="47">
        <v>1244000</v>
      </c>
      <c r="R138" s="76">
        <f t="shared" si="119"/>
        <v>0</v>
      </c>
    </row>
    <row r="139" spans="1:18" ht="16">
      <c r="A139" s="33">
        <v>46090</v>
      </c>
      <c r="B139" s="44" t="s">
        <v>27</v>
      </c>
      <c r="C139" s="35"/>
      <c r="D139" s="35"/>
      <c r="E139" s="11">
        <f t="shared" si="114"/>
        <v>0</v>
      </c>
      <c r="F139" s="45"/>
      <c r="G139" s="13" t="e">
        <f t="shared" si="115"/>
        <v>#DIV/0!</v>
      </c>
      <c r="H139" s="35"/>
      <c r="I139" s="38"/>
      <c r="J139" s="35">
        <f t="shared" si="116"/>
        <v>0</v>
      </c>
      <c r="K139" s="50">
        <f t="shared" si="117"/>
        <v>0</v>
      </c>
      <c r="L139" s="46" t="e">
        <f t="shared" si="118"/>
        <v>#DIV/0!</v>
      </c>
      <c r="M139" s="48"/>
      <c r="N139" s="47">
        <v>1632000</v>
      </c>
      <c r="R139" s="76">
        <f t="shared" si="119"/>
        <v>0</v>
      </c>
    </row>
    <row r="140" spans="1:18" ht="16">
      <c r="A140" s="33">
        <v>46092</v>
      </c>
      <c r="B140" s="44" t="s">
        <v>27</v>
      </c>
      <c r="C140" s="35"/>
      <c r="D140" s="35"/>
      <c r="E140" s="11">
        <f t="shared" si="114"/>
        <v>0</v>
      </c>
      <c r="F140" s="45"/>
      <c r="G140" s="13" t="e">
        <f t="shared" si="115"/>
        <v>#DIV/0!</v>
      </c>
      <c r="H140" s="35"/>
      <c r="I140" s="38"/>
      <c r="J140" s="35">
        <f t="shared" si="116"/>
        <v>0</v>
      </c>
      <c r="K140" s="50">
        <f t="shared" si="117"/>
        <v>0</v>
      </c>
      <c r="L140" s="46" t="e">
        <f t="shared" si="118"/>
        <v>#DIV/0!</v>
      </c>
      <c r="M140" s="48"/>
      <c r="N140" s="47">
        <v>1536000</v>
      </c>
      <c r="R140" s="76">
        <f t="shared" si="119"/>
        <v>0</v>
      </c>
    </row>
    <row r="141" spans="1:18" ht="16">
      <c r="A141" s="33">
        <v>46095</v>
      </c>
      <c r="B141" s="44" t="s">
        <v>27</v>
      </c>
      <c r="C141" s="35"/>
      <c r="D141" s="35"/>
      <c r="E141" s="11">
        <f t="shared" si="114"/>
        <v>0</v>
      </c>
      <c r="F141" s="45"/>
      <c r="G141" s="13" t="e">
        <f t="shared" si="115"/>
        <v>#DIV/0!</v>
      </c>
      <c r="H141" s="35"/>
      <c r="I141" s="38"/>
      <c r="J141" s="35">
        <f t="shared" si="116"/>
        <v>0</v>
      </c>
      <c r="K141" s="50"/>
      <c r="L141" s="46" t="e">
        <f t="shared" si="118"/>
        <v>#DIV/0!</v>
      </c>
      <c r="M141" s="48"/>
      <c r="N141" s="47">
        <v>1351000</v>
      </c>
      <c r="R141" s="76">
        <f t="shared" si="119"/>
        <v>0</v>
      </c>
    </row>
    <row r="142" spans="1:18" ht="16">
      <c r="A142" s="33">
        <v>46098</v>
      </c>
      <c r="B142" s="44" t="s">
        <v>27</v>
      </c>
      <c r="C142" s="35"/>
      <c r="D142" s="35"/>
      <c r="E142" s="11">
        <f t="shared" si="114"/>
        <v>0</v>
      </c>
      <c r="F142" s="45"/>
      <c r="G142" s="13" t="e">
        <f t="shared" si="115"/>
        <v>#DIV/0!</v>
      </c>
      <c r="H142" s="35"/>
      <c r="I142" s="38"/>
      <c r="J142" s="35">
        <f t="shared" si="116"/>
        <v>0</v>
      </c>
      <c r="K142" s="50"/>
      <c r="L142" s="46" t="e">
        <f t="shared" si="118"/>
        <v>#DIV/0!</v>
      </c>
      <c r="M142" s="48"/>
      <c r="N142" s="47">
        <v>1675000</v>
      </c>
      <c r="R142" s="76">
        <f t="shared" si="119"/>
        <v>0</v>
      </c>
    </row>
    <row r="143" spans="1:18" ht="16">
      <c r="A143" s="209">
        <v>46100</v>
      </c>
      <c r="B143" s="79" t="s">
        <v>27</v>
      </c>
      <c r="C143" s="53"/>
      <c r="D143" s="53"/>
      <c r="E143" s="24">
        <f t="shared" si="114"/>
        <v>0</v>
      </c>
      <c r="F143" s="45"/>
      <c r="G143" s="54" t="e">
        <f t="shared" si="115"/>
        <v>#DIV/0!</v>
      </c>
      <c r="H143" s="53"/>
      <c r="I143" s="55"/>
      <c r="J143" s="53">
        <f t="shared" si="116"/>
        <v>0</v>
      </c>
      <c r="K143" s="50"/>
      <c r="L143" s="73" t="e">
        <f t="shared" si="118"/>
        <v>#DIV/0!</v>
      </c>
      <c r="M143" s="56"/>
      <c r="N143" s="47">
        <v>1270000</v>
      </c>
      <c r="R143" s="76">
        <f t="shared" si="119"/>
        <v>0</v>
      </c>
    </row>
    <row r="144" spans="1:18" ht="16">
      <c r="A144" s="210">
        <v>46104</v>
      </c>
      <c r="B144" s="79" t="s">
        <v>27</v>
      </c>
      <c r="C144" s="53"/>
      <c r="D144" s="53"/>
      <c r="E144" s="24">
        <f t="shared" si="114"/>
        <v>0</v>
      </c>
      <c r="F144" s="45"/>
      <c r="G144" s="54" t="e">
        <f t="shared" si="115"/>
        <v>#DIV/0!</v>
      </c>
      <c r="H144" s="53"/>
      <c r="I144" s="55"/>
      <c r="J144" s="53">
        <f t="shared" si="116"/>
        <v>0</v>
      </c>
      <c r="K144" s="50"/>
      <c r="L144" s="73" t="e">
        <f t="shared" si="118"/>
        <v>#DIV/0!</v>
      </c>
      <c r="M144" s="56"/>
      <c r="N144" s="123">
        <v>1671000</v>
      </c>
    </row>
    <row r="145" spans="1:18" ht="16">
      <c r="A145" s="210">
        <v>46106</v>
      </c>
      <c r="B145" s="79" t="s">
        <v>27</v>
      </c>
      <c r="C145" s="53"/>
      <c r="D145" s="53"/>
      <c r="E145" s="24">
        <f t="shared" si="114"/>
        <v>0</v>
      </c>
      <c r="F145" s="45"/>
      <c r="G145" s="54" t="e">
        <f t="shared" si="115"/>
        <v>#DIV/0!</v>
      </c>
      <c r="H145" s="53"/>
      <c r="I145" s="55"/>
      <c r="J145" s="53">
        <f t="shared" si="116"/>
        <v>0</v>
      </c>
      <c r="K145" s="50"/>
      <c r="L145" s="73" t="e">
        <f t="shared" si="118"/>
        <v>#DIV/0!</v>
      </c>
      <c r="M145" s="56"/>
      <c r="N145" s="123">
        <v>1190000</v>
      </c>
    </row>
    <row r="146" spans="1:18" ht="16">
      <c r="A146" s="210">
        <v>46106</v>
      </c>
      <c r="B146" s="79" t="s">
        <v>27</v>
      </c>
      <c r="C146" s="53"/>
      <c r="D146" s="53"/>
      <c r="E146" s="24">
        <f t="shared" si="114"/>
        <v>0</v>
      </c>
      <c r="F146" s="45"/>
      <c r="G146" s="54" t="e">
        <f t="shared" si="115"/>
        <v>#DIV/0!</v>
      </c>
      <c r="H146" s="53"/>
      <c r="I146" s="55"/>
      <c r="J146" s="53">
        <f t="shared" si="116"/>
        <v>0</v>
      </c>
      <c r="K146" s="50"/>
      <c r="L146" s="73" t="e">
        <f t="shared" si="118"/>
        <v>#DIV/0!</v>
      </c>
      <c r="M146" s="56"/>
      <c r="N146" s="123">
        <v>1895000</v>
      </c>
    </row>
    <row r="147" spans="1:18" ht="16">
      <c r="A147" s="210">
        <v>46110</v>
      </c>
      <c r="B147" s="79" t="s">
        <v>27</v>
      </c>
      <c r="C147" s="53"/>
      <c r="D147" s="53"/>
      <c r="E147" s="24">
        <f t="shared" si="114"/>
        <v>0</v>
      </c>
      <c r="F147" s="45"/>
      <c r="G147" s="54" t="e">
        <f t="shared" si="115"/>
        <v>#DIV/0!</v>
      </c>
      <c r="H147" s="53"/>
      <c r="I147" s="55"/>
      <c r="J147" s="53">
        <f t="shared" si="116"/>
        <v>0</v>
      </c>
      <c r="K147" s="50"/>
      <c r="L147" s="73" t="e">
        <f t="shared" si="118"/>
        <v>#DIV/0!</v>
      </c>
      <c r="M147" s="56"/>
      <c r="N147" s="123">
        <v>1772000</v>
      </c>
    </row>
    <row r="148" spans="1:18" ht="16">
      <c r="A148" s="59"/>
      <c r="B148" s="60"/>
      <c r="C148" s="59"/>
      <c r="D148" s="59" t="s">
        <v>19</v>
      </c>
      <c r="E148" s="59">
        <f t="shared" ref="E148:F148" si="120">SUM(E136:E143)</f>
        <v>0</v>
      </c>
      <c r="F148" s="59">
        <f t="shared" si="120"/>
        <v>0</v>
      </c>
      <c r="G148" s="61" t="e">
        <f>AVERAGE(G136:G143)</f>
        <v>#DIV/0!</v>
      </c>
      <c r="H148" s="59"/>
      <c r="I148" s="62"/>
      <c r="J148" s="59">
        <f t="shared" ref="J148:K148" si="121">SUM(J136:J143)</f>
        <v>0</v>
      </c>
      <c r="K148" s="59">
        <f t="shared" si="121"/>
        <v>0</v>
      </c>
      <c r="L148" s="61" t="e">
        <f>AVERAGE(L136:L143)</f>
        <v>#DIV/0!</v>
      </c>
      <c r="M148" s="64"/>
      <c r="N148" s="132">
        <f>SUM(N136:N147)</f>
        <v>17317000</v>
      </c>
      <c r="R148" s="76">
        <f t="shared" ref="R148:R175" si="122">Q148</f>
        <v>0</v>
      </c>
    </row>
    <row r="149" spans="1:18" ht="16">
      <c r="A149" s="66">
        <v>46087</v>
      </c>
      <c r="B149" s="90" t="s">
        <v>28</v>
      </c>
      <c r="C149" s="83"/>
      <c r="D149" s="12"/>
      <c r="E149" s="36">
        <f t="shared" ref="E149:E156" si="123">D149-C149</f>
        <v>0</v>
      </c>
      <c r="F149" s="37"/>
      <c r="G149" s="13" t="e">
        <f t="shared" ref="G149:G156" si="124">(F149/E149)*100</f>
        <v>#DIV/0!</v>
      </c>
      <c r="H149" s="125"/>
      <c r="I149" s="126"/>
      <c r="J149" s="39">
        <f t="shared" ref="J149:J156" si="125">I149-H149</f>
        <v>0</v>
      </c>
      <c r="K149" s="77"/>
      <c r="L149" s="67" t="e">
        <f t="shared" ref="L149:L152" si="126">(K149/J149)*100</f>
        <v>#DIV/0!</v>
      </c>
      <c r="M149" s="68"/>
      <c r="N149" s="47">
        <v>1612000</v>
      </c>
      <c r="R149" s="76">
        <f t="shared" si="122"/>
        <v>0</v>
      </c>
    </row>
    <row r="150" spans="1:18" ht="16">
      <c r="A150" s="33"/>
      <c r="B150" s="90" t="s">
        <v>28</v>
      </c>
      <c r="C150" s="35"/>
      <c r="D150" s="12"/>
      <c r="E150" s="11">
        <f t="shared" si="123"/>
        <v>0</v>
      </c>
      <c r="F150" s="45"/>
      <c r="G150" s="13" t="e">
        <f t="shared" si="124"/>
        <v>#DIV/0!</v>
      </c>
      <c r="H150" s="38"/>
      <c r="I150" s="38"/>
      <c r="J150" s="35">
        <f t="shared" si="125"/>
        <v>0</v>
      </c>
      <c r="K150" s="50"/>
      <c r="L150" s="67" t="e">
        <f t="shared" si="126"/>
        <v>#DIV/0!</v>
      </c>
      <c r="M150" s="48"/>
      <c r="N150" s="47"/>
      <c r="R150" s="76">
        <f t="shared" si="122"/>
        <v>0</v>
      </c>
    </row>
    <row r="151" spans="1:18" ht="16">
      <c r="A151" s="33"/>
      <c r="B151" s="90" t="s">
        <v>28</v>
      </c>
      <c r="C151" s="35"/>
      <c r="D151" s="35"/>
      <c r="E151" s="11">
        <f t="shared" si="123"/>
        <v>0</v>
      </c>
      <c r="F151" s="45"/>
      <c r="G151" s="13" t="e">
        <f t="shared" si="124"/>
        <v>#DIV/0!</v>
      </c>
      <c r="H151" s="35"/>
      <c r="I151" s="38"/>
      <c r="J151" s="35">
        <f t="shared" si="125"/>
        <v>0</v>
      </c>
      <c r="K151" s="50"/>
      <c r="L151" s="46" t="e">
        <f t="shared" si="126"/>
        <v>#DIV/0!</v>
      </c>
      <c r="M151" s="48"/>
      <c r="N151" s="47"/>
      <c r="R151" s="76">
        <f t="shared" si="122"/>
        <v>0</v>
      </c>
    </row>
    <row r="152" spans="1:18" ht="16">
      <c r="A152" s="33"/>
      <c r="B152" s="90" t="s">
        <v>28</v>
      </c>
      <c r="C152" s="35"/>
      <c r="D152" s="35"/>
      <c r="E152" s="11">
        <f t="shared" si="123"/>
        <v>0</v>
      </c>
      <c r="F152" s="45"/>
      <c r="G152" s="13" t="e">
        <f t="shared" si="124"/>
        <v>#DIV/0!</v>
      </c>
      <c r="H152" s="35"/>
      <c r="I152" s="38"/>
      <c r="J152" s="35">
        <f t="shared" si="125"/>
        <v>0</v>
      </c>
      <c r="K152" s="50"/>
      <c r="L152" s="46" t="e">
        <f t="shared" si="126"/>
        <v>#DIV/0!</v>
      </c>
      <c r="M152" s="48"/>
      <c r="N152" s="47">
        <f t="shared" ref="N152:N154" si="127">M152*K152</f>
        <v>0</v>
      </c>
      <c r="R152" s="76">
        <f t="shared" si="122"/>
        <v>0</v>
      </c>
    </row>
    <row r="153" spans="1:18" ht="16">
      <c r="A153" s="33"/>
      <c r="B153" s="90" t="s">
        <v>28</v>
      </c>
      <c r="C153" s="35"/>
      <c r="D153" s="35"/>
      <c r="E153" s="11">
        <f t="shared" si="123"/>
        <v>0</v>
      </c>
      <c r="F153" s="45"/>
      <c r="G153" s="13" t="e">
        <f t="shared" si="124"/>
        <v>#DIV/0!</v>
      </c>
      <c r="H153" s="35"/>
      <c r="I153" s="38"/>
      <c r="J153" s="35">
        <f t="shared" si="125"/>
        <v>0</v>
      </c>
      <c r="K153" s="50"/>
      <c r="L153" s="46"/>
      <c r="M153" s="48"/>
      <c r="N153" s="47">
        <f t="shared" si="127"/>
        <v>0</v>
      </c>
      <c r="R153" s="76">
        <f t="shared" si="122"/>
        <v>0</v>
      </c>
    </row>
    <row r="154" spans="1:18" ht="16">
      <c r="A154" s="33"/>
      <c r="B154" s="90" t="s">
        <v>28</v>
      </c>
      <c r="C154" s="35"/>
      <c r="D154" s="35"/>
      <c r="E154" s="11">
        <f t="shared" si="123"/>
        <v>0</v>
      </c>
      <c r="F154" s="45"/>
      <c r="G154" s="13" t="e">
        <f t="shared" si="124"/>
        <v>#DIV/0!</v>
      </c>
      <c r="H154" s="35"/>
      <c r="I154" s="38"/>
      <c r="J154" s="35">
        <f t="shared" si="125"/>
        <v>0</v>
      </c>
      <c r="K154" s="50"/>
      <c r="L154" s="46" t="e">
        <f t="shared" ref="L154:L156" si="128">(K154/J154)*100</f>
        <v>#DIV/0!</v>
      </c>
      <c r="M154" s="48"/>
      <c r="N154" s="47">
        <f t="shared" si="127"/>
        <v>0</v>
      </c>
      <c r="R154" s="76">
        <f t="shared" si="122"/>
        <v>0</v>
      </c>
    </row>
    <row r="155" spans="1:18" ht="16">
      <c r="A155" s="33"/>
      <c r="B155" s="90" t="s">
        <v>28</v>
      </c>
      <c r="C155" s="35"/>
      <c r="D155" s="35"/>
      <c r="E155" s="11">
        <f t="shared" si="123"/>
        <v>0</v>
      </c>
      <c r="F155" s="45"/>
      <c r="G155" s="13" t="e">
        <f t="shared" si="124"/>
        <v>#DIV/0!</v>
      </c>
      <c r="H155" s="35"/>
      <c r="I155" s="38"/>
      <c r="J155" s="35">
        <f t="shared" si="125"/>
        <v>0</v>
      </c>
      <c r="K155" s="50">
        <f t="shared" ref="K155:K156" si="129">F155</f>
        <v>0</v>
      </c>
      <c r="L155" s="46" t="e">
        <f t="shared" si="128"/>
        <v>#DIV/0!</v>
      </c>
      <c r="M155" s="48"/>
      <c r="N155" s="47">
        <f>F155*M155</f>
        <v>0</v>
      </c>
      <c r="R155" s="76">
        <f t="shared" si="122"/>
        <v>0</v>
      </c>
    </row>
    <row r="156" spans="1:18" ht="16">
      <c r="A156" s="88"/>
      <c r="B156" s="90" t="s">
        <v>28</v>
      </c>
      <c r="C156" s="53"/>
      <c r="D156" s="53"/>
      <c r="E156" s="24">
        <f t="shared" si="123"/>
        <v>0</v>
      </c>
      <c r="F156" s="45"/>
      <c r="G156" s="54" t="e">
        <f t="shared" si="124"/>
        <v>#DIV/0!</v>
      </c>
      <c r="H156" s="53"/>
      <c r="I156" s="55"/>
      <c r="J156" s="53">
        <f t="shared" si="125"/>
        <v>0</v>
      </c>
      <c r="K156" s="50">
        <f t="shared" si="129"/>
        <v>0</v>
      </c>
      <c r="L156" s="73" t="e">
        <f t="shared" si="128"/>
        <v>#DIV/0!</v>
      </c>
      <c r="M156" s="56"/>
      <c r="N156" s="47">
        <f>M156*K156</f>
        <v>0</v>
      </c>
      <c r="R156" s="76">
        <f t="shared" si="122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30">SUM(E149:E156)</f>
        <v>0</v>
      </c>
      <c r="F157" s="59">
        <f t="shared" si="130"/>
        <v>0</v>
      </c>
      <c r="G157" s="61" t="e">
        <f>AVERAGE(G149:G156)</f>
        <v>#DIV/0!</v>
      </c>
      <c r="H157" s="59"/>
      <c r="I157" s="62"/>
      <c r="J157" s="59">
        <f t="shared" ref="J157:K157" si="131">SUM(J149:J156)</f>
        <v>0</v>
      </c>
      <c r="K157" s="59">
        <f t="shared" si="131"/>
        <v>0</v>
      </c>
      <c r="L157" s="61" t="e">
        <f>AVERAGE(L149:L156)</f>
        <v>#DIV/0!</v>
      </c>
      <c r="M157" s="64"/>
      <c r="N157" s="132">
        <f>SUM(N149:N156)</f>
        <v>1612000</v>
      </c>
      <c r="R157" s="76">
        <f t="shared" si="122"/>
        <v>0</v>
      </c>
    </row>
    <row r="158" spans="1:18" ht="16">
      <c r="A158" s="85">
        <v>46086</v>
      </c>
      <c r="B158" s="90" t="s">
        <v>43</v>
      </c>
      <c r="C158" s="83"/>
      <c r="D158" s="12"/>
      <c r="E158" s="36">
        <f t="shared" ref="E158:E165" si="132">D158-C158</f>
        <v>0</v>
      </c>
      <c r="F158" s="37"/>
      <c r="G158" s="13" t="e">
        <f t="shared" ref="G158:G165" si="133">(F158/E158)*100</f>
        <v>#DIV/0!</v>
      </c>
      <c r="H158" s="125"/>
      <c r="I158" s="126"/>
      <c r="J158" s="39">
        <f t="shared" ref="J158:J165" si="134">I158-H158</f>
        <v>0</v>
      </c>
      <c r="K158" s="50">
        <f t="shared" ref="K158:K160" si="135">F158</f>
        <v>0</v>
      </c>
      <c r="L158" s="67" t="e">
        <f t="shared" ref="L158:L165" si="136">(K158/J158)*100</f>
        <v>#DIV/0!</v>
      </c>
      <c r="M158" s="68"/>
      <c r="N158" s="47">
        <v>1156000</v>
      </c>
      <c r="R158" s="76">
        <f t="shared" si="122"/>
        <v>0</v>
      </c>
    </row>
    <row r="159" spans="1:18" ht="16">
      <c r="A159" s="33">
        <v>46090</v>
      </c>
      <c r="B159" s="44" t="s">
        <v>43</v>
      </c>
      <c r="C159" s="35"/>
      <c r="D159" s="12"/>
      <c r="E159" s="11">
        <f t="shared" si="132"/>
        <v>0</v>
      </c>
      <c r="F159" s="45"/>
      <c r="G159" s="13" t="e">
        <f t="shared" si="133"/>
        <v>#DIV/0!</v>
      </c>
      <c r="H159" s="38"/>
      <c r="I159" s="38"/>
      <c r="J159" s="35">
        <f t="shared" si="134"/>
        <v>0</v>
      </c>
      <c r="K159" s="50">
        <f t="shared" si="135"/>
        <v>0</v>
      </c>
      <c r="L159" s="46" t="e">
        <f t="shared" si="136"/>
        <v>#DIV/0!</v>
      </c>
      <c r="M159" s="48"/>
      <c r="N159" s="47">
        <v>1814000</v>
      </c>
      <c r="R159" s="76">
        <f t="shared" si="122"/>
        <v>0</v>
      </c>
    </row>
    <row r="160" spans="1:18" ht="16">
      <c r="A160" s="33">
        <v>46092</v>
      </c>
      <c r="B160" s="44" t="s">
        <v>43</v>
      </c>
      <c r="C160" s="35"/>
      <c r="D160" s="35"/>
      <c r="E160" s="11">
        <f t="shared" si="132"/>
        <v>0</v>
      </c>
      <c r="F160" s="45"/>
      <c r="G160" s="13" t="e">
        <f t="shared" si="133"/>
        <v>#DIV/0!</v>
      </c>
      <c r="H160" s="35"/>
      <c r="I160" s="38"/>
      <c r="J160" s="35">
        <f t="shared" si="134"/>
        <v>0</v>
      </c>
      <c r="K160" s="50">
        <f t="shared" si="135"/>
        <v>0</v>
      </c>
      <c r="L160" s="46" t="e">
        <f t="shared" si="136"/>
        <v>#DIV/0!</v>
      </c>
      <c r="M160" s="48"/>
      <c r="N160" s="47">
        <v>1843000</v>
      </c>
      <c r="R160" s="76">
        <f t="shared" si="122"/>
        <v>0</v>
      </c>
    </row>
    <row r="161" spans="1:18" ht="16">
      <c r="A161" s="33">
        <v>46100</v>
      </c>
      <c r="B161" s="44" t="s">
        <v>43</v>
      </c>
      <c r="C161" s="35"/>
      <c r="D161" s="35"/>
      <c r="E161" s="11">
        <f t="shared" si="132"/>
        <v>0</v>
      </c>
      <c r="F161" s="45"/>
      <c r="G161" s="13" t="e">
        <f t="shared" si="133"/>
        <v>#DIV/0!</v>
      </c>
      <c r="H161" s="35"/>
      <c r="I161" s="38"/>
      <c r="J161" s="35">
        <f t="shared" si="134"/>
        <v>0</v>
      </c>
      <c r="K161" s="50"/>
      <c r="L161" s="46" t="e">
        <f t="shared" si="136"/>
        <v>#DIV/0!</v>
      </c>
      <c r="M161" s="48"/>
      <c r="N161" s="47">
        <v>1621000</v>
      </c>
      <c r="R161" s="76">
        <f t="shared" si="122"/>
        <v>0</v>
      </c>
    </row>
    <row r="162" spans="1:18" ht="16">
      <c r="A162" s="33">
        <v>46105</v>
      </c>
      <c r="B162" s="44" t="s">
        <v>43</v>
      </c>
      <c r="C162" s="35"/>
      <c r="D162" s="35"/>
      <c r="E162" s="11">
        <f t="shared" si="132"/>
        <v>0</v>
      </c>
      <c r="F162" s="45"/>
      <c r="G162" s="13" t="e">
        <f t="shared" si="133"/>
        <v>#DIV/0!</v>
      </c>
      <c r="H162" s="35"/>
      <c r="I162" s="38"/>
      <c r="J162" s="35">
        <f t="shared" si="134"/>
        <v>0</v>
      </c>
      <c r="K162" s="50"/>
      <c r="L162" s="46" t="e">
        <f t="shared" si="136"/>
        <v>#DIV/0!</v>
      </c>
      <c r="M162" s="48"/>
      <c r="N162" s="47">
        <v>2005000</v>
      </c>
      <c r="R162" s="76">
        <f t="shared" si="122"/>
        <v>0</v>
      </c>
    </row>
    <row r="163" spans="1:18" ht="16">
      <c r="A163" s="33"/>
      <c r="B163" s="44" t="s">
        <v>43</v>
      </c>
      <c r="C163" s="35"/>
      <c r="D163" s="35"/>
      <c r="E163" s="11">
        <f t="shared" si="132"/>
        <v>0</v>
      </c>
      <c r="F163" s="45"/>
      <c r="G163" s="13" t="e">
        <f t="shared" si="133"/>
        <v>#DIV/0!</v>
      </c>
      <c r="H163" s="35"/>
      <c r="I163" s="38"/>
      <c r="J163" s="35">
        <f t="shared" si="134"/>
        <v>0</v>
      </c>
      <c r="K163" s="50">
        <f t="shared" ref="K163:K165" si="137">F163</f>
        <v>0</v>
      </c>
      <c r="L163" s="46" t="e">
        <f t="shared" si="136"/>
        <v>#DIV/0!</v>
      </c>
      <c r="M163" s="48"/>
      <c r="N163" s="47">
        <f t="shared" ref="N163:N164" si="138">F163*M163</f>
        <v>0</v>
      </c>
      <c r="R163" s="76">
        <f t="shared" si="122"/>
        <v>0</v>
      </c>
    </row>
    <row r="164" spans="1:18" ht="16">
      <c r="A164" s="33"/>
      <c r="B164" s="44" t="s">
        <v>43</v>
      </c>
      <c r="C164" s="35"/>
      <c r="D164" s="35"/>
      <c r="E164" s="11">
        <f t="shared" si="132"/>
        <v>0</v>
      </c>
      <c r="F164" s="45"/>
      <c r="G164" s="13" t="e">
        <f t="shared" si="133"/>
        <v>#DIV/0!</v>
      </c>
      <c r="H164" s="35"/>
      <c r="I164" s="38"/>
      <c r="J164" s="35">
        <f t="shared" si="134"/>
        <v>0</v>
      </c>
      <c r="K164" s="50">
        <f t="shared" si="137"/>
        <v>0</v>
      </c>
      <c r="L164" s="46" t="e">
        <f t="shared" si="136"/>
        <v>#DIV/0!</v>
      </c>
      <c r="M164" s="48"/>
      <c r="N164" s="47">
        <f t="shared" si="138"/>
        <v>0</v>
      </c>
      <c r="R164" s="76">
        <f t="shared" si="122"/>
        <v>0</v>
      </c>
    </row>
    <row r="165" spans="1:18" ht="16">
      <c r="A165" s="88"/>
      <c r="B165" s="44" t="s">
        <v>43</v>
      </c>
      <c r="C165" s="53"/>
      <c r="D165" s="53"/>
      <c r="E165" s="24">
        <f t="shared" si="132"/>
        <v>0</v>
      </c>
      <c r="F165" s="45"/>
      <c r="G165" s="54" t="e">
        <f t="shared" si="133"/>
        <v>#DIV/0!</v>
      </c>
      <c r="H165" s="53"/>
      <c r="I165" s="55"/>
      <c r="J165" s="53">
        <f t="shared" si="134"/>
        <v>0</v>
      </c>
      <c r="K165" s="50">
        <f t="shared" si="137"/>
        <v>0</v>
      </c>
      <c r="L165" s="73" t="e">
        <f t="shared" si="136"/>
        <v>#DIV/0!</v>
      </c>
      <c r="M165" s="48"/>
      <c r="N165" s="47">
        <f>M165*K165</f>
        <v>0</v>
      </c>
      <c r="R165" s="76">
        <f t="shared" si="122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9">SUM(J158:J165)</f>
        <v>0</v>
      </c>
      <c r="K166" s="59">
        <f t="shared" si="139"/>
        <v>0</v>
      </c>
      <c r="L166" s="61" t="e">
        <f>AVERAGE(L158:L165)</f>
        <v>#DIV/0!</v>
      </c>
      <c r="M166" s="68"/>
      <c r="N166" s="132">
        <f>SUM(N158:N165)</f>
        <v>8439000</v>
      </c>
      <c r="R166" s="76">
        <f t="shared" si="122"/>
        <v>0</v>
      </c>
    </row>
    <row r="167" spans="1:18" ht="16">
      <c r="A167" s="66">
        <v>46084</v>
      </c>
      <c r="B167" s="90" t="s">
        <v>30</v>
      </c>
      <c r="C167" s="83"/>
      <c r="D167" s="12"/>
      <c r="E167" s="36">
        <f t="shared" ref="E167:E174" si="140">D167-C167</f>
        <v>0</v>
      </c>
      <c r="F167" s="37"/>
      <c r="G167" s="13" t="e">
        <f t="shared" ref="G167:G174" si="141">(F167/E167)*100</f>
        <v>#DIV/0!</v>
      </c>
      <c r="H167" s="125"/>
      <c r="I167" s="126"/>
      <c r="J167" s="39">
        <f t="shared" ref="J167:J174" si="142">I167-H167</f>
        <v>0</v>
      </c>
      <c r="K167" s="50">
        <f t="shared" ref="K167:K174" si="143">F167</f>
        <v>0</v>
      </c>
      <c r="L167" s="67" t="e">
        <f t="shared" ref="L167:L174" si="144">(K167/J167)*100</f>
        <v>#DIV/0!</v>
      </c>
      <c r="M167" s="68"/>
      <c r="N167" s="47">
        <v>1484000</v>
      </c>
      <c r="R167" s="76">
        <f t="shared" si="122"/>
        <v>0</v>
      </c>
    </row>
    <row r="168" spans="1:18" ht="16">
      <c r="A168" s="33">
        <v>46089</v>
      </c>
      <c r="B168" s="44" t="s">
        <v>30</v>
      </c>
      <c r="C168" s="35"/>
      <c r="D168" s="12"/>
      <c r="E168" s="11">
        <f t="shared" si="140"/>
        <v>0</v>
      </c>
      <c r="F168" s="45"/>
      <c r="G168" s="13" t="e">
        <f t="shared" si="141"/>
        <v>#DIV/0!</v>
      </c>
      <c r="H168" s="38"/>
      <c r="I168" s="38"/>
      <c r="J168" s="35">
        <f t="shared" si="142"/>
        <v>0</v>
      </c>
      <c r="K168" s="50">
        <f t="shared" si="143"/>
        <v>0</v>
      </c>
      <c r="L168" s="46" t="e">
        <f t="shared" si="144"/>
        <v>#DIV/0!</v>
      </c>
      <c r="M168" s="48"/>
      <c r="N168" s="47">
        <v>2116000</v>
      </c>
      <c r="R168" s="76">
        <f t="shared" si="122"/>
        <v>0</v>
      </c>
    </row>
    <row r="169" spans="1:18" ht="16">
      <c r="A169" s="33">
        <v>46097</v>
      </c>
      <c r="B169" s="44" t="s">
        <v>30</v>
      </c>
      <c r="C169" s="35"/>
      <c r="D169" s="35"/>
      <c r="E169" s="11">
        <f t="shared" si="140"/>
        <v>0</v>
      </c>
      <c r="F169" s="45"/>
      <c r="G169" s="13" t="e">
        <f t="shared" si="141"/>
        <v>#DIV/0!</v>
      </c>
      <c r="H169" s="35"/>
      <c r="I169" s="38"/>
      <c r="J169" s="35">
        <f t="shared" si="142"/>
        <v>0</v>
      </c>
      <c r="K169" s="50">
        <f t="shared" si="143"/>
        <v>0</v>
      </c>
      <c r="L169" s="46" t="e">
        <f t="shared" si="144"/>
        <v>#DIV/0!</v>
      </c>
      <c r="M169" s="48"/>
      <c r="N169" s="47">
        <v>2162000</v>
      </c>
      <c r="R169" s="76">
        <f t="shared" si="122"/>
        <v>0</v>
      </c>
    </row>
    <row r="170" spans="1:18" ht="16">
      <c r="A170" s="33">
        <v>46104</v>
      </c>
      <c r="B170" s="44" t="s">
        <v>30</v>
      </c>
      <c r="C170" s="35"/>
      <c r="D170" s="35"/>
      <c r="E170" s="11">
        <f t="shared" si="140"/>
        <v>0</v>
      </c>
      <c r="F170" s="45"/>
      <c r="G170" s="13" t="e">
        <f t="shared" si="141"/>
        <v>#DIV/0!</v>
      </c>
      <c r="H170" s="35"/>
      <c r="I170" s="38"/>
      <c r="J170" s="35">
        <f t="shared" si="142"/>
        <v>0</v>
      </c>
      <c r="K170" s="50">
        <f t="shared" si="143"/>
        <v>0</v>
      </c>
      <c r="L170" s="46" t="e">
        <f t="shared" si="144"/>
        <v>#DIV/0!</v>
      </c>
      <c r="M170" s="48"/>
      <c r="N170" s="47">
        <v>2473000</v>
      </c>
      <c r="R170" s="76">
        <f t="shared" si="122"/>
        <v>0</v>
      </c>
    </row>
    <row r="171" spans="1:18" ht="16">
      <c r="A171" s="33"/>
      <c r="B171" s="44" t="s">
        <v>30</v>
      </c>
      <c r="C171" s="35"/>
      <c r="D171" s="35"/>
      <c r="E171" s="11">
        <f t="shared" si="140"/>
        <v>0</v>
      </c>
      <c r="F171" s="45"/>
      <c r="G171" s="13" t="e">
        <f t="shared" si="141"/>
        <v>#DIV/0!</v>
      </c>
      <c r="H171" s="35"/>
      <c r="I171" s="38"/>
      <c r="J171" s="35">
        <f t="shared" si="142"/>
        <v>0</v>
      </c>
      <c r="K171" s="50">
        <f t="shared" si="143"/>
        <v>0</v>
      </c>
      <c r="L171" s="46" t="e">
        <f t="shared" si="144"/>
        <v>#DIV/0!</v>
      </c>
      <c r="M171" s="48"/>
      <c r="N171" s="47">
        <f t="shared" ref="N171:N173" si="145">F171*M171</f>
        <v>0</v>
      </c>
      <c r="R171" s="76">
        <f t="shared" si="122"/>
        <v>0</v>
      </c>
    </row>
    <row r="172" spans="1:18" ht="16">
      <c r="A172" s="33"/>
      <c r="B172" s="44" t="s">
        <v>30</v>
      </c>
      <c r="C172" s="35"/>
      <c r="D172" s="35"/>
      <c r="E172" s="11">
        <f t="shared" si="140"/>
        <v>0</v>
      </c>
      <c r="F172" s="45"/>
      <c r="G172" s="13" t="e">
        <f t="shared" si="141"/>
        <v>#DIV/0!</v>
      </c>
      <c r="H172" s="35"/>
      <c r="I172" s="38"/>
      <c r="J172" s="35">
        <f t="shared" si="142"/>
        <v>0</v>
      </c>
      <c r="K172" s="50">
        <f t="shared" si="143"/>
        <v>0</v>
      </c>
      <c r="L172" s="46" t="e">
        <f t="shared" si="144"/>
        <v>#DIV/0!</v>
      </c>
      <c r="M172" s="48"/>
      <c r="N172" s="47">
        <f t="shared" si="145"/>
        <v>0</v>
      </c>
      <c r="R172" s="76">
        <f t="shared" si="122"/>
        <v>0</v>
      </c>
    </row>
    <row r="173" spans="1:18" ht="16">
      <c r="A173" s="33"/>
      <c r="B173" s="44" t="s">
        <v>30</v>
      </c>
      <c r="C173" s="35"/>
      <c r="D173" s="35"/>
      <c r="E173" s="11">
        <f t="shared" si="140"/>
        <v>0</v>
      </c>
      <c r="F173" s="45"/>
      <c r="G173" s="13" t="e">
        <f t="shared" si="141"/>
        <v>#DIV/0!</v>
      </c>
      <c r="H173" s="35"/>
      <c r="I173" s="38"/>
      <c r="J173" s="35">
        <f t="shared" si="142"/>
        <v>0</v>
      </c>
      <c r="K173" s="50">
        <f t="shared" si="143"/>
        <v>0</v>
      </c>
      <c r="L173" s="73" t="e">
        <f t="shared" si="144"/>
        <v>#DIV/0!</v>
      </c>
      <c r="M173" s="48"/>
      <c r="N173" s="47">
        <f t="shared" si="145"/>
        <v>0</v>
      </c>
      <c r="R173" s="76">
        <f t="shared" si="122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40"/>
        <v>0</v>
      </c>
      <c r="F174" s="37"/>
      <c r="G174" s="54" t="e">
        <f t="shared" si="141"/>
        <v>#DIV/0!</v>
      </c>
      <c r="H174" s="134"/>
      <c r="I174" s="135"/>
      <c r="J174" s="134">
        <f t="shared" si="142"/>
        <v>0</v>
      </c>
      <c r="K174" s="50">
        <f t="shared" si="143"/>
        <v>0</v>
      </c>
      <c r="L174" s="136" t="e">
        <f t="shared" si="144"/>
        <v>#DIV/0!</v>
      </c>
      <c r="M174" s="137"/>
      <c r="N174" s="47">
        <f>M174*K174</f>
        <v>0</v>
      </c>
      <c r="R174" s="76">
        <f t="shared" si="122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6">SUM(E167:E174)</f>
        <v>0</v>
      </c>
      <c r="F175" s="59">
        <f t="shared" si="146"/>
        <v>0</v>
      </c>
      <c r="G175" s="61" t="e">
        <f>AVERAGE(G167:G174)</f>
        <v>#DIV/0!</v>
      </c>
      <c r="H175" s="59"/>
      <c r="I175" s="62"/>
      <c r="J175" s="59">
        <f t="shared" ref="J175:K175" si="147">SUM(J167:J174)</f>
        <v>0</v>
      </c>
      <c r="K175" s="59">
        <f t="shared" si="147"/>
        <v>0</v>
      </c>
      <c r="L175" s="61" t="e">
        <f>AVERAGE(L167:L174)</f>
        <v>#DIV/0!</v>
      </c>
      <c r="M175" s="64"/>
      <c r="N175" s="65">
        <f>SUM(N167:N174)</f>
        <v>8235000</v>
      </c>
      <c r="R175" s="76">
        <f t="shared" si="122"/>
        <v>0</v>
      </c>
    </row>
    <row r="176" spans="1:18" ht="16">
      <c r="A176" s="138">
        <v>46085</v>
      </c>
      <c r="B176" s="90" t="s">
        <v>44</v>
      </c>
      <c r="C176" s="83"/>
      <c r="D176" s="12"/>
      <c r="E176" s="11">
        <f t="shared" ref="E176:E183" si="148">D176-C176</f>
        <v>0</v>
      </c>
      <c r="F176" s="37"/>
      <c r="G176" s="13" t="e">
        <f t="shared" ref="G176:G183" si="149">(F176/E176)*100</f>
        <v>#DIV/0!</v>
      </c>
      <c r="H176" s="125"/>
      <c r="I176" s="126"/>
      <c r="J176" s="39">
        <f t="shared" ref="J176:J183" si="150">I176-H176</f>
        <v>0</v>
      </c>
      <c r="K176" s="50">
        <f t="shared" ref="K176:K183" si="151">F176</f>
        <v>0</v>
      </c>
      <c r="L176" s="67" t="e">
        <f t="shared" ref="L176:L183" si="152">(K176/J176)*100</f>
        <v>#DIV/0!</v>
      </c>
      <c r="M176" s="68"/>
      <c r="N176" s="121">
        <v>1349000</v>
      </c>
    </row>
    <row r="177" spans="1:14" ht="16">
      <c r="A177" s="33">
        <v>46089</v>
      </c>
      <c r="B177" s="90" t="s">
        <v>44</v>
      </c>
      <c r="C177" s="35"/>
      <c r="D177" s="12"/>
      <c r="E177" s="11">
        <f t="shared" si="148"/>
        <v>0</v>
      </c>
      <c r="F177" s="45"/>
      <c r="G177" s="13" t="e">
        <f t="shared" si="149"/>
        <v>#DIV/0!</v>
      </c>
      <c r="H177" s="38"/>
      <c r="I177" s="38"/>
      <c r="J177" s="35">
        <f t="shared" si="150"/>
        <v>0</v>
      </c>
      <c r="K177" s="50">
        <f t="shared" si="151"/>
        <v>0</v>
      </c>
      <c r="L177" s="46" t="e">
        <f t="shared" si="152"/>
        <v>#DIV/0!</v>
      </c>
      <c r="M177" s="68"/>
      <c r="N177" s="121">
        <v>2116000</v>
      </c>
    </row>
    <row r="178" spans="1:14" ht="16">
      <c r="A178" s="33">
        <v>46093</v>
      </c>
      <c r="B178" s="90" t="s">
        <v>44</v>
      </c>
      <c r="C178" s="35"/>
      <c r="D178" s="35"/>
      <c r="E178" s="11">
        <f t="shared" si="148"/>
        <v>0</v>
      </c>
      <c r="F178" s="45"/>
      <c r="G178" s="13" t="e">
        <f t="shared" si="149"/>
        <v>#DIV/0!</v>
      </c>
      <c r="H178" s="35"/>
      <c r="I178" s="38"/>
      <c r="J178" s="35">
        <f t="shared" si="150"/>
        <v>0</v>
      </c>
      <c r="K178" s="50">
        <f t="shared" si="151"/>
        <v>0</v>
      </c>
      <c r="L178" s="46" t="e">
        <f t="shared" si="152"/>
        <v>#DIV/0!</v>
      </c>
      <c r="M178" s="68"/>
      <c r="N178" s="121">
        <v>1853000</v>
      </c>
    </row>
    <row r="179" spans="1:14" ht="16">
      <c r="A179" s="33">
        <v>46099</v>
      </c>
      <c r="B179" s="90" t="s">
        <v>44</v>
      </c>
      <c r="C179" s="35"/>
      <c r="D179" s="35"/>
      <c r="E179" s="11">
        <f t="shared" si="148"/>
        <v>0</v>
      </c>
      <c r="F179" s="45"/>
      <c r="G179" s="13" t="e">
        <f t="shared" si="149"/>
        <v>#DIV/0!</v>
      </c>
      <c r="H179" s="35"/>
      <c r="I179" s="38"/>
      <c r="J179" s="35">
        <f t="shared" si="150"/>
        <v>0</v>
      </c>
      <c r="K179" s="50">
        <f t="shared" si="151"/>
        <v>0</v>
      </c>
      <c r="L179" s="46" t="e">
        <f t="shared" si="152"/>
        <v>#DIV/0!</v>
      </c>
      <c r="M179" s="68"/>
      <c r="N179" s="121">
        <v>1891000</v>
      </c>
    </row>
    <row r="180" spans="1:14" ht="16">
      <c r="A180" s="33">
        <v>46104</v>
      </c>
      <c r="B180" s="90" t="s">
        <v>44</v>
      </c>
      <c r="C180" s="35"/>
      <c r="D180" s="35"/>
      <c r="E180" s="11">
        <f t="shared" si="148"/>
        <v>0</v>
      </c>
      <c r="F180" s="45"/>
      <c r="G180" s="13" t="e">
        <f t="shared" si="149"/>
        <v>#DIV/0!</v>
      </c>
      <c r="H180" s="35"/>
      <c r="I180" s="38"/>
      <c r="J180" s="35">
        <f t="shared" si="150"/>
        <v>0</v>
      </c>
      <c r="K180" s="50">
        <f t="shared" si="151"/>
        <v>0</v>
      </c>
      <c r="L180" s="46" t="e">
        <f t="shared" si="152"/>
        <v>#DIV/0!</v>
      </c>
      <c r="M180" s="68"/>
      <c r="N180" s="121">
        <v>1671000</v>
      </c>
    </row>
    <row r="181" spans="1:14" ht="16">
      <c r="A181" s="33">
        <v>46112</v>
      </c>
      <c r="B181" s="90" t="s">
        <v>44</v>
      </c>
      <c r="C181" s="35"/>
      <c r="D181" s="35"/>
      <c r="E181" s="11">
        <f t="shared" si="148"/>
        <v>0</v>
      </c>
      <c r="F181" s="45"/>
      <c r="G181" s="13" t="e">
        <f t="shared" si="149"/>
        <v>#DIV/0!</v>
      </c>
      <c r="H181" s="35"/>
      <c r="I181" s="38"/>
      <c r="J181" s="35">
        <f t="shared" si="150"/>
        <v>0</v>
      </c>
      <c r="K181" s="50">
        <f t="shared" si="151"/>
        <v>0</v>
      </c>
      <c r="L181" s="46" t="e">
        <f t="shared" si="152"/>
        <v>#DIV/0!</v>
      </c>
      <c r="M181" s="68"/>
      <c r="N181" s="121">
        <v>1772000</v>
      </c>
    </row>
    <row r="182" spans="1:14" ht="16">
      <c r="A182" s="33"/>
      <c r="B182" s="90" t="s">
        <v>44</v>
      </c>
      <c r="C182" s="35"/>
      <c r="D182" s="35"/>
      <c r="E182" s="11">
        <f t="shared" si="148"/>
        <v>0</v>
      </c>
      <c r="F182" s="45"/>
      <c r="G182" s="13" t="e">
        <f t="shared" si="149"/>
        <v>#DIV/0!</v>
      </c>
      <c r="H182" s="35"/>
      <c r="I182" s="38"/>
      <c r="J182" s="35">
        <f t="shared" si="150"/>
        <v>0</v>
      </c>
      <c r="K182" s="50">
        <f t="shared" si="151"/>
        <v>0</v>
      </c>
      <c r="L182" s="46" t="e">
        <f t="shared" si="152"/>
        <v>#DIV/0!</v>
      </c>
      <c r="M182" s="48"/>
      <c r="N182" s="121">
        <f t="shared" ref="N182:N183" si="153">M182*K182</f>
        <v>0</v>
      </c>
    </row>
    <row r="183" spans="1:14" ht="16">
      <c r="A183" s="88"/>
      <c r="B183" s="90" t="s">
        <v>44</v>
      </c>
      <c r="C183" s="53"/>
      <c r="D183" s="53"/>
      <c r="E183" s="24">
        <f t="shared" si="148"/>
        <v>0</v>
      </c>
      <c r="F183" s="45"/>
      <c r="G183" s="54" t="e">
        <f t="shared" si="149"/>
        <v>#DIV/0!</v>
      </c>
      <c r="H183" s="53"/>
      <c r="I183" s="55"/>
      <c r="J183" s="53">
        <f t="shared" si="150"/>
        <v>0</v>
      </c>
      <c r="K183" s="50">
        <f t="shared" si="151"/>
        <v>0</v>
      </c>
      <c r="L183" s="73" t="e">
        <f t="shared" si="152"/>
        <v>#DIV/0!</v>
      </c>
      <c r="M183" s="56"/>
      <c r="N183" s="47">
        <f t="shared" si="153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4">SUM(E176:E183)</f>
        <v>0</v>
      </c>
      <c r="F184" s="59">
        <f t="shared" si="154"/>
        <v>0</v>
      </c>
      <c r="G184" s="61" t="e">
        <f>AVERAGE(G176:G183)</f>
        <v>#DIV/0!</v>
      </c>
      <c r="H184" s="59"/>
      <c r="I184" s="62"/>
      <c r="J184" s="59">
        <f t="shared" ref="J184:K184" si="155">SUM(J176:J183)</f>
        <v>0</v>
      </c>
      <c r="K184" s="59">
        <f t="shared" si="155"/>
        <v>0</v>
      </c>
      <c r="L184" s="61" t="e">
        <f>AVERAGE(L176:L183)</f>
        <v>#DIV/0!</v>
      </c>
      <c r="M184" s="64"/>
      <c r="N184" s="65">
        <f>SUM(N176:N183)</f>
        <v>10652000</v>
      </c>
    </row>
    <row r="185" spans="1:14" ht="16">
      <c r="A185" s="139">
        <v>46084</v>
      </c>
      <c r="B185" s="140" t="s">
        <v>32</v>
      </c>
      <c r="C185" s="83"/>
      <c r="D185" s="12"/>
      <c r="E185" s="36">
        <f t="shared" ref="E185:E192" si="156">D185-C185</f>
        <v>0</v>
      </c>
      <c r="F185" s="37"/>
      <c r="G185" s="13" t="e">
        <f t="shared" ref="G185:G192" si="157">(F185/E185)*100</f>
        <v>#DIV/0!</v>
      </c>
      <c r="H185" s="125"/>
      <c r="I185" s="126"/>
      <c r="J185" s="39">
        <f t="shared" ref="J185:J192" si="158">I185-H185</f>
        <v>0</v>
      </c>
      <c r="K185" s="50">
        <f t="shared" ref="K185:K189" si="159">F185</f>
        <v>0</v>
      </c>
      <c r="L185" s="136" t="e">
        <f t="shared" ref="L185:L192" si="160">(K185/J185)*100</f>
        <v>#DIV/0!</v>
      </c>
      <c r="M185" s="68"/>
      <c r="N185" s="121">
        <v>1349000</v>
      </c>
    </row>
    <row r="186" spans="1:14" ht="16">
      <c r="A186" s="138">
        <v>46091</v>
      </c>
      <c r="B186" s="140" t="s">
        <v>32</v>
      </c>
      <c r="C186" s="83"/>
      <c r="D186" s="12"/>
      <c r="E186" s="36">
        <f t="shared" si="156"/>
        <v>0</v>
      </c>
      <c r="F186" s="45"/>
      <c r="G186" s="13" t="e">
        <f t="shared" si="157"/>
        <v>#DIV/0!</v>
      </c>
      <c r="H186" s="38"/>
      <c r="I186" s="38"/>
      <c r="J186" s="35">
        <f t="shared" si="158"/>
        <v>0</v>
      </c>
      <c r="K186" s="50">
        <f t="shared" si="159"/>
        <v>0</v>
      </c>
      <c r="L186" s="136" t="e">
        <f t="shared" si="160"/>
        <v>#DIV/0!</v>
      </c>
      <c r="M186" s="116"/>
      <c r="N186" s="121">
        <v>2328000</v>
      </c>
    </row>
    <row r="187" spans="1:14" ht="16">
      <c r="A187" s="138">
        <v>46098</v>
      </c>
      <c r="B187" s="140" t="s">
        <v>32</v>
      </c>
      <c r="C187" s="83"/>
      <c r="D187" s="83"/>
      <c r="E187" s="11">
        <f t="shared" si="156"/>
        <v>0</v>
      </c>
      <c r="F187" s="141"/>
      <c r="G187" s="13" t="e">
        <f t="shared" si="157"/>
        <v>#DIV/0!</v>
      </c>
      <c r="H187" s="35"/>
      <c r="I187" s="38"/>
      <c r="J187" s="35">
        <f t="shared" si="158"/>
        <v>0</v>
      </c>
      <c r="K187" s="50">
        <f t="shared" si="159"/>
        <v>0</v>
      </c>
      <c r="L187" s="136" t="e">
        <f t="shared" si="160"/>
        <v>#DIV/0!</v>
      </c>
      <c r="M187" s="116"/>
      <c r="N187" s="121">
        <v>2432000</v>
      </c>
    </row>
    <row r="188" spans="1:14" ht="16">
      <c r="A188" s="138">
        <v>46105</v>
      </c>
      <c r="B188" s="140" t="s">
        <v>32</v>
      </c>
      <c r="C188" s="83"/>
      <c r="D188" s="83"/>
      <c r="E188" s="11">
        <f t="shared" si="156"/>
        <v>0</v>
      </c>
      <c r="F188" s="141"/>
      <c r="G188" s="13" t="e">
        <f t="shared" si="157"/>
        <v>#DIV/0!</v>
      </c>
      <c r="H188" s="35"/>
      <c r="I188" s="38"/>
      <c r="J188" s="35">
        <f t="shared" si="158"/>
        <v>0</v>
      </c>
      <c r="K188" s="50">
        <f t="shared" si="159"/>
        <v>0</v>
      </c>
      <c r="L188" s="136" t="e">
        <f t="shared" si="160"/>
        <v>#DIV/0!</v>
      </c>
      <c r="M188" s="116"/>
      <c r="N188" s="121">
        <v>2005000</v>
      </c>
    </row>
    <row r="189" spans="1:14" ht="16">
      <c r="A189" s="138">
        <v>46111</v>
      </c>
      <c r="B189" s="140" t="s">
        <v>32</v>
      </c>
      <c r="C189" s="83"/>
      <c r="D189" s="83"/>
      <c r="E189" s="11">
        <f t="shared" si="156"/>
        <v>0</v>
      </c>
      <c r="F189" s="141"/>
      <c r="G189" s="13" t="e">
        <f t="shared" si="157"/>
        <v>#DIV/0!</v>
      </c>
      <c r="H189" s="35"/>
      <c r="I189" s="38"/>
      <c r="J189" s="35">
        <f t="shared" si="158"/>
        <v>0</v>
      </c>
      <c r="K189" s="50">
        <f t="shared" si="159"/>
        <v>0</v>
      </c>
      <c r="L189" s="136" t="e">
        <f t="shared" si="160"/>
        <v>#DIV/0!</v>
      </c>
      <c r="M189" s="116"/>
      <c r="N189" s="121">
        <v>1063000</v>
      </c>
    </row>
    <row r="190" spans="1:14" ht="16">
      <c r="A190" s="138"/>
      <c r="B190" s="140" t="s">
        <v>32</v>
      </c>
      <c r="C190" s="83"/>
      <c r="D190" s="83"/>
      <c r="E190" s="11">
        <f t="shared" si="156"/>
        <v>0</v>
      </c>
      <c r="F190" s="141"/>
      <c r="G190" s="13" t="e">
        <f t="shared" si="157"/>
        <v>#DIV/0!</v>
      </c>
      <c r="H190" s="35"/>
      <c r="I190" s="38"/>
      <c r="J190" s="35">
        <f t="shared" si="158"/>
        <v>0</v>
      </c>
      <c r="K190" s="50"/>
      <c r="L190" s="136" t="e">
        <f t="shared" si="160"/>
        <v>#DIV/0!</v>
      </c>
      <c r="M190" s="116"/>
      <c r="N190" s="121">
        <f t="shared" ref="N190:N192" si="161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6"/>
        <v>0</v>
      </c>
      <c r="F191" s="141"/>
      <c r="G191" s="13" t="e">
        <f t="shared" si="157"/>
        <v>#DIV/0!</v>
      </c>
      <c r="H191" s="83"/>
      <c r="I191" s="125"/>
      <c r="J191" s="83">
        <f t="shared" si="158"/>
        <v>0</v>
      </c>
      <c r="K191" s="50"/>
      <c r="L191" s="136" t="e">
        <f t="shared" si="160"/>
        <v>#DIV/0!</v>
      </c>
      <c r="M191" s="116"/>
      <c r="N191" s="121">
        <f t="shared" si="161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6"/>
        <v>0</v>
      </c>
      <c r="F192" s="143"/>
      <c r="G192" s="54" t="e">
        <f t="shared" si="157"/>
        <v>#DIV/0!</v>
      </c>
      <c r="H192" s="134"/>
      <c r="I192" s="135"/>
      <c r="J192" s="134">
        <f t="shared" si="158"/>
        <v>0</v>
      </c>
      <c r="K192" s="50"/>
      <c r="L192" s="136" t="e">
        <f t="shared" si="160"/>
        <v>#DIV/0!</v>
      </c>
      <c r="M192" s="137"/>
      <c r="N192" s="47">
        <f t="shared" si="161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2">SUM(E185:E192)</f>
        <v>0</v>
      </c>
      <c r="F193" s="59">
        <f t="shared" si="162"/>
        <v>0</v>
      </c>
      <c r="G193" s="61" t="e">
        <f>AVERAGE(G185:G192)</f>
        <v>#DIV/0!</v>
      </c>
      <c r="H193" s="59"/>
      <c r="I193" s="62"/>
      <c r="J193" s="59">
        <f t="shared" ref="J193:K193" si="163">SUM(J185:J192)</f>
        <v>0</v>
      </c>
      <c r="K193" s="59">
        <f t="shared" si="163"/>
        <v>0</v>
      </c>
      <c r="L193" s="61" t="e">
        <f>AVERAGE(L185:L192)</f>
        <v>#DIV/0!</v>
      </c>
      <c r="M193" s="64"/>
      <c r="N193" s="65">
        <f>SUM(N185:N192)</f>
        <v>9177000</v>
      </c>
    </row>
    <row r="194" spans="1:18" ht="16">
      <c r="A194" s="139">
        <v>46091</v>
      </c>
      <c r="B194" s="144" t="s">
        <v>33</v>
      </c>
      <c r="C194" s="83"/>
      <c r="D194" s="145"/>
      <c r="E194" s="36">
        <f t="shared" ref="E194:E200" si="164">D194-C194</f>
        <v>0</v>
      </c>
      <c r="F194" s="37"/>
      <c r="G194" s="114" t="e">
        <f t="shared" ref="G194:G200" si="165">(F194/E194)*100</f>
        <v>#DIV/0!</v>
      </c>
      <c r="H194" s="125"/>
      <c r="I194" s="126"/>
      <c r="J194" s="39">
        <f t="shared" ref="J194:J200" si="166">I194-H194</f>
        <v>0</v>
      </c>
      <c r="K194" s="50">
        <f t="shared" ref="K194:K200" si="167">F194</f>
        <v>0</v>
      </c>
      <c r="L194" s="146" t="e">
        <f t="shared" ref="L194:L200" si="168">(K194/J194)*100</f>
        <v>#DIV/0!</v>
      </c>
      <c r="M194" s="68"/>
      <c r="N194" s="121">
        <v>2177000</v>
      </c>
      <c r="R194" s="76">
        <f t="shared" ref="R194:R200" si="169">Q194</f>
        <v>0</v>
      </c>
    </row>
    <row r="195" spans="1:18" ht="16">
      <c r="A195" s="138">
        <v>46093</v>
      </c>
      <c r="B195" s="140" t="s">
        <v>33</v>
      </c>
      <c r="C195" s="83"/>
      <c r="D195" s="12"/>
      <c r="E195" s="36">
        <f t="shared" si="164"/>
        <v>0</v>
      </c>
      <c r="F195" s="45"/>
      <c r="G195" s="13" t="e">
        <f t="shared" si="165"/>
        <v>#DIV/0!</v>
      </c>
      <c r="H195" s="38"/>
      <c r="I195" s="38"/>
      <c r="J195" s="35">
        <f t="shared" si="166"/>
        <v>0</v>
      </c>
      <c r="K195" s="50">
        <f t="shared" si="167"/>
        <v>0</v>
      </c>
      <c r="L195" s="136" t="e">
        <f t="shared" si="168"/>
        <v>#DIV/0!</v>
      </c>
      <c r="M195" s="116"/>
      <c r="N195" s="121">
        <v>1006000</v>
      </c>
      <c r="R195" s="76">
        <f t="shared" si="169"/>
        <v>0</v>
      </c>
    </row>
    <row r="196" spans="1:18" ht="16">
      <c r="A196" s="138"/>
      <c r="B196" s="140" t="s">
        <v>33</v>
      </c>
      <c r="C196" s="83"/>
      <c r="D196" s="83"/>
      <c r="E196" s="11">
        <f t="shared" si="164"/>
        <v>0</v>
      </c>
      <c r="F196" s="141"/>
      <c r="G196" s="13" t="e">
        <f t="shared" si="165"/>
        <v>#DIV/0!</v>
      </c>
      <c r="H196" s="35"/>
      <c r="I196" s="38"/>
      <c r="J196" s="35">
        <f t="shared" si="166"/>
        <v>0</v>
      </c>
      <c r="K196" s="50">
        <f t="shared" si="167"/>
        <v>0</v>
      </c>
      <c r="L196" s="136" t="e">
        <f t="shared" si="168"/>
        <v>#DIV/0!</v>
      </c>
      <c r="M196" s="116"/>
      <c r="N196" s="121">
        <f t="shared" ref="N196:N200" si="170">M196*K196</f>
        <v>0</v>
      </c>
      <c r="R196" s="76">
        <f t="shared" si="169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4"/>
        <v>0</v>
      </c>
      <c r="F197" s="141"/>
      <c r="G197" s="13" t="e">
        <f t="shared" si="165"/>
        <v>#DIV/0!</v>
      </c>
      <c r="H197" s="35"/>
      <c r="I197" s="38"/>
      <c r="J197" s="35">
        <f t="shared" si="166"/>
        <v>0</v>
      </c>
      <c r="K197" s="50">
        <f t="shared" si="167"/>
        <v>0</v>
      </c>
      <c r="L197" s="136" t="e">
        <f t="shared" si="168"/>
        <v>#DIV/0!</v>
      </c>
      <c r="M197" s="116"/>
      <c r="N197" s="121">
        <f t="shared" si="170"/>
        <v>0</v>
      </c>
      <c r="R197" s="76">
        <f t="shared" si="169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4"/>
        <v>0</v>
      </c>
      <c r="F198" s="141"/>
      <c r="G198" s="13" t="e">
        <f t="shared" si="165"/>
        <v>#DIV/0!</v>
      </c>
      <c r="H198" s="35"/>
      <c r="I198" s="38"/>
      <c r="J198" s="35">
        <f t="shared" si="166"/>
        <v>0</v>
      </c>
      <c r="K198" s="50">
        <f t="shared" si="167"/>
        <v>0</v>
      </c>
      <c r="L198" s="136" t="e">
        <f t="shared" si="168"/>
        <v>#DIV/0!</v>
      </c>
      <c r="M198" s="116"/>
      <c r="N198" s="121">
        <f t="shared" si="170"/>
        <v>0</v>
      </c>
      <c r="R198" s="76">
        <f t="shared" si="169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4"/>
        <v>0</v>
      </c>
      <c r="F199" s="141"/>
      <c r="G199" s="13" t="e">
        <f t="shared" si="165"/>
        <v>#DIV/0!</v>
      </c>
      <c r="H199" s="35"/>
      <c r="I199" s="38"/>
      <c r="J199" s="35">
        <f t="shared" si="166"/>
        <v>0</v>
      </c>
      <c r="K199" s="50">
        <f t="shared" si="167"/>
        <v>0</v>
      </c>
      <c r="L199" s="136" t="e">
        <f t="shared" si="168"/>
        <v>#DIV/0!</v>
      </c>
      <c r="M199" s="116"/>
      <c r="N199" s="121">
        <f t="shared" si="170"/>
        <v>0</v>
      </c>
      <c r="R199" s="76">
        <f t="shared" si="169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4"/>
        <v>0</v>
      </c>
      <c r="F200" s="141"/>
      <c r="G200" s="13" t="e">
        <f t="shared" si="165"/>
        <v>#DIV/0!</v>
      </c>
      <c r="H200" s="83"/>
      <c r="I200" s="125"/>
      <c r="J200" s="83">
        <f t="shared" si="166"/>
        <v>0</v>
      </c>
      <c r="K200" s="50">
        <f t="shared" si="167"/>
        <v>0</v>
      </c>
      <c r="L200" s="136" t="e">
        <f t="shared" si="168"/>
        <v>#DIV/0!</v>
      </c>
      <c r="M200" s="116"/>
      <c r="N200" s="121">
        <f t="shared" si="170"/>
        <v>0</v>
      </c>
      <c r="R200" s="76">
        <f t="shared" si="169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71">SUM(E188:E200)</f>
        <v>0</v>
      </c>
      <c r="F201" s="59">
        <f t="shared" si="171"/>
        <v>0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0</v>
      </c>
      <c r="L201" s="61" t="e">
        <f>AVERAGE(L188:L200)</f>
        <v>#DIV/0!</v>
      </c>
      <c r="M201" s="64"/>
      <c r="N201" s="132">
        <f>SUM(N194:N200)</f>
        <v>3183000</v>
      </c>
    </row>
    <row r="202" spans="1:18" ht="16">
      <c r="A202" s="138">
        <v>46087</v>
      </c>
      <c r="B202" s="140" t="s">
        <v>34</v>
      </c>
      <c r="C202" s="83"/>
      <c r="D202" s="145"/>
      <c r="E202" s="36">
        <f t="shared" ref="E202:E208" si="172">D202-C202</f>
        <v>0</v>
      </c>
      <c r="F202" s="37"/>
      <c r="G202" s="114" t="e">
        <f t="shared" ref="G202:G208" si="173">(F202/E202)*100</f>
        <v>#DIV/0!</v>
      </c>
      <c r="H202" s="125"/>
      <c r="I202" s="126"/>
      <c r="J202" s="39">
        <f t="shared" ref="J202:J208" si="174">I202-H202</f>
        <v>0</v>
      </c>
      <c r="K202" s="50">
        <f t="shared" ref="K202:K208" si="175">F202</f>
        <v>0</v>
      </c>
      <c r="L202" s="146" t="e">
        <f t="shared" ref="L202:L208" si="176">(K202/J202)*100</f>
        <v>#DIV/0!</v>
      </c>
      <c r="M202" s="68"/>
      <c r="N202" s="121">
        <v>1796000</v>
      </c>
    </row>
    <row r="203" spans="1:18" ht="16">
      <c r="A203" s="138">
        <v>46094</v>
      </c>
      <c r="B203" s="140" t="s">
        <v>34</v>
      </c>
      <c r="C203" s="83"/>
      <c r="D203" s="12"/>
      <c r="E203" s="36">
        <f t="shared" si="172"/>
        <v>0</v>
      </c>
      <c r="F203" s="45"/>
      <c r="G203" s="13" t="e">
        <f t="shared" si="173"/>
        <v>#DIV/0!</v>
      </c>
      <c r="H203" s="38"/>
      <c r="I203" s="38"/>
      <c r="J203" s="35">
        <f t="shared" si="174"/>
        <v>0</v>
      </c>
      <c r="K203" s="50">
        <f t="shared" si="175"/>
        <v>0</v>
      </c>
      <c r="L203" s="136" t="e">
        <f t="shared" si="176"/>
        <v>#DIV/0!</v>
      </c>
      <c r="M203" s="116"/>
      <c r="N203" s="121">
        <v>2027000</v>
      </c>
    </row>
    <row r="204" spans="1:18" ht="16">
      <c r="A204" s="138">
        <v>46100</v>
      </c>
      <c r="B204" s="140" t="s">
        <v>34</v>
      </c>
      <c r="C204" s="83"/>
      <c r="D204" s="83"/>
      <c r="E204" s="11">
        <f t="shared" si="172"/>
        <v>0</v>
      </c>
      <c r="F204" s="141"/>
      <c r="G204" s="13" t="e">
        <f t="shared" si="173"/>
        <v>#DIV/0!</v>
      </c>
      <c r="H204" s="35"/>
      <c r="I204" s="38"/>
      <c r="J204" s="35">
        <f t="shared" si="174"/>
        <v>0</v>
      </c>
      <c r="K204" s="50">
        <f t="shared" si="175"/>
        <v>0</v>
      </c>
      <c r="L204" s="136" t="e">
        <f t="shared" si="176"/>
        <v>#DIV/0!</v>
      </c>
      <c r="M204" s="116"/>
      <c r="N204" s="121">
        <v>1837000</v>
      </c>
    </row>
    <row r="205" spans="1:18" ht="16">
      <c r="A205" s="138">
        <v>46106</v>
      </c>
      <c r="B205" s="140" t="s">
        <v>34</v>
      </c>
      <c r="C205" s="83"/>
      <c r="D205" s="83"/>
      <c r="E205" s="11">
        <f t="shared" si="172"/>
        <v>0</v>
      </c>
      <c r="F205" s="141"/>
      <c r="G205" s="13" t="e">
        <f t="shared" si="173"/>
        <v>#DIV/0!</v>
      </c>
      <c r="H205" s="35"/>
      <c r="I205" s="38"/>
      <c r="J205" s="35">
        <f t="shared" si="174"/>
        <v>0</v>
      </c>
      <c r="K205" s="50">
        <f t="shared" si="175"/>
        <v>0</v>
      </c>
      <c r="L205" s="136" t="e">
        <f t="shared" si="176"/>
        <v>#DIV/0!</v>
      </c>
      <c r="M205" s="116"/>
      <c r="N205" s="121">
        <v>2728000</v>
      </c>
    </row>
    <row r="206" spans="1:18" ht="16">
      <c r="A206" s="138">
        <v>46112</v>
      </c>
      <c r="B206" s="140" t="s">
        <v>34</v>
      </c>
      <c r="C206" s="83"/>
      <c r="D206" s="83"/>
      <c r="E206" s="11">
        <f t="shared" si="172"/>
        <v>0</v>
      </c>
      <c r="F206" s="141"/>
      <c r="G206" s="13" t="e">
        <f t="shared" si="173"/>
        <v>#DIV/0!</v>
      </c>
      <c r="H206" s="35"/>
      <c r="I206" s="38"/>
      <c r="J206" s="35">
        <f t="shared" si="174"/>
        <v>0</v>
      </c>
      <c r="K206" s="50">
        <f t="shared" si="175"/>
        <v>0</v>
      </c>
      <c r="L206" s="136" t="e">
        <f t="shared" si="176"/>
        <v>#DIV/0!</v>
      </c>
      <c r="M206" s="116"/>
      <c r="N206" s="121">
        <v>2374000</v>
      </c>
    </row>
    <row r="207" spans="1:18" ht="16">
      <c r="A207" s="138"/>
      <c r="B207" s="140" t="s">
        <v>34</v>
      </c>
      <c r="C207" s="83"/>
      <c r="D207" s="83"/>
      <c r="E207" s="11">
        <f t="shared" si="172"/>
        <v>0</v>
      </c>
      <c r="F207" s="141"/>
      <c r="G207" s="13" t="e">
        <f t="shared" si="173"/>
        <v>#DIV/0!</v>
      </c>
      <c r="H207" s="35"/>
      <c r="I207" s="38"/>
      <c r="J207" s="35">
        <f t="shared" si="174"/>
        <v>0</v>
      </c>
      <c r="K207" s="50">
        <f t="shared" si="175"/>
        <v>0</v>
      </c>
      <c r="L207" s="136" t="e">
        <f t="shared" si="176"/>
        <v>#DIV/0!</v>
      </c>
      <c r="M207" s="116"/>
      <c r="N207" s="121">
        <f t="shared" ref="N207:N208" si="177">M207*K207</f>
        <v>0</v>
      </c>
    </row>
    <row r="208" spans="1:18" ht="16">
      <c r="A208" s="138"/>
      <c r="B208" s="140" t="s">
        <v>34</v>
      </c>
      <c r="C208" s="83"/>
      <c r="D208" s="83"/>
      <c r="E208" s="11">
        <f t="shared" si="172"/>
        <v>0</v>
      </c>
      <c r="F208" s="141"/>
      <c r="G208" s="13" t="e">
        <f t="shared" si="173"/>
        <v>#DIV/0!</v>
      </c>
      <c r="H208" s="83"/>
      <c r="I208" s="125"/>
      <c r="J208" s="83">
        <f t="shared" si="174"/>
        <v>0</v>
      </c>
      <c r="K208" s="50">
        <f t="shared" si="175"/>
        <v>0</v>
      </c>
      <c r="L208" s="136" t="e">
        <f t="shared" si="176"/>
        <v>#DIV/0!</v>
      </c>
      <c r="M208" s="116"/>
      <c r="N208" s="121">
        <f t="shared" si="177"/>
        <v>0</v>
      </c>
      <c r="R208" s="76">
        <f>Q208</f>
        <v>0</v>
      </c>
    </row>
    <row r="209" spans="1:18" ht="16">
      <c r="A209" s="138"/>
      <c r="B209" s="60"/>
      <c r="C209" s="59"/>
      <c r="D209" s="59" t="s">
        <v>19</v>
      </c>
      <c r="E209" s="59">
        <f t="shared" ref="E209:F209" si="178">SUM(E194:E208)</f>
        <v>0</v>
      </c>
      <c r="F209" s="59">
        <f t="shared" si="178"/>
        <v>0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0</v>
      </c>
      <c r="L209" s="61" t="e">
        <f>AVERAGE(L194:L208)</f>
        <v>#DIV/0!</v>
      </c>
      <c r="M209" s="64"/>
      <c r="N209" s="132">
        <f>SUM(N202:N208)</f>
        <v>10762000</v>
      </c>
    </row>
    <row r="210" spans="1:18" ht="18">
      <c r="A210" s="138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8"/>
      <c r="N210" s="149">
        <f>SUM(N3:N209)/2</f>
        <v>202311310</v>
      </c>
      <c r="R210" s="76">
        <f>Q210</f>
        <v>0</v>
      </c>
    </row>
    <row r="211" spans="1:18" ht="14">
      <c r="A211" s="138"/>
      <c r="G211" s="150"/>
      <c r="L211" s="150"/>
      <c r="N211" s="151"/>
    </row>
    <row r="212" spans="1:18" ht="31.5" customHeight="1">
      <c r="A212" s="138"/>
      <c r="D212" s="152" t="s">
        <v>45</v>
      </c>
      <c r="E212" s="153"/>
      <c r="G212" s="150"/>
      <c r="L212" s="150"/>
      <c r="N212" s="151"/>
    </row>
    <row r="213" spans="1:18" ht="16">
      <c r="A213" s="138"/>
      <c r="B213" s="154" t="s">
        <v>2</v>
      </c>
      <c r="C213" s="148" t="s">
        <v>3</v>
      </c>
      <c r="D213" s="148" t="s">
        <v>4</v>
      </c>
      <c r="E213" s="148" t="s">
        <v>5</v>
      </c>
      <c r="F213" s="148" t="s">
        <v>6</v>
      </c>
      <c r="G213" s="155" t="s">
        <v>7</v>
      </c>
      <c r="H213" s="156" t="s">
        <v>8</v>
      </c>
      <c r="I213" s="157" t="s">
        <v>8</v>
      </c>
      <c r="J213" s="148" t="s">
        <v>5</v>
      </c>
      <c r="K213" s="148" t="s">
        <v>6</v>
      </c>
      <c r="L213" s="155" t="s">
        <v>7</v>
      </c>
      <c r="M213" s="148" t="s">
        <v>9</v>
      </c>
      <c r="N213" s="158" t="s">
        <v>10</v>
      </c>
      <c r="O213" s="18">
        <v>1</v>
      </c>
      <c r="P213" s="159" t="s">
        <v>46</v>
      </c>
      <c r="Q213" s="160">
        <f>N219</f>
        <v>12000162.299999999</v>
      </c>
      <c r="R213" s="20">
        <f t="shared" ref="R213:R228" si="179">Q213</f>
        <v>12000162.299999999</v>
      </c>
    </row>
    <row r="214" spans="1:18" ht="16">
      <c r="A214" s="138">
        <v>46088</v>
      </c>
      <c r="B214" s="161" t="s">
        <v>46</v>
      </c>
      <c r="C214" s="12"/>
      <c r="D214" s="12"/>
      <c r="E214" s="11">
        <f t="shared" ref="E214:E218" si="180">D214-C214</f>
        <v>0</v>
      </c>
      <c r="F214" s="35">
        <v>173.69</v>
      </c>
      <c r="G214" s="13" t="e">
        <f t="shared" ref="G214:G218" si="181">(F214/E214)*100</f>
        <v>#DIV/0!</v>
      </c>
      <c r="H214" s="38">
        <v>414601</v>
      </c>
      <c r="I214" s="126">
        <v>415517</v>
      </c>
      <c r="J214" s="39">
        <f t="shared" ref="J214:J218" si="182">I214-H214</f>
        <v>916</v>
      </c>
      <c r="K214" s="35">
        <v>173.69</v>
      </c>
      <c r="L214" s="67">
        <f t="shared" ref="L214:L218" si="183">(K214/J214)*100</f>
        <v>18.9617903930131</v>
      </c>
      <c r="M214" s="68">
        <v>23030</v>
      </c>
      <c r="N214" s="47">
        <f t="shared" ref="N214:N218" si="184">M214*K214</f>
        <v>4000080.6999999997</v>
      </c>
      <c r="O214" s="18">
        <v>2</v>
      </c>
      <c r="P214" s="159" t="s">
        <v>47</v>
      </c>
      <c r="Q214" s="160">
        <f>N226</f>
        <v>19892962.200000003</v>
      </c>
      <c r="R214" s="20">
        <f t="shared" si="179"/>
        <v>19892962.200000003</v>
      </c>
    </row>
    <row r="215" spans="1:18" ht="16">
      <c r="A215" s="138">
        <v>46094</v>
      </c>
      <c r="B215" s="162" t="s">
        <v>46</v>
      </c>
      <c r="C215" s="12"/>
      <c r="D215" s="12">
        <v>416090</v>
      </c>
      <c r="E215" s="11">
        <f t="shared" si="180"/>
        <v>416090</v>
      </c>
      <c r="F215" s="45">
        <v>296.08</v>
      </c>
      <c r="G215" s="13">
        <f t="shared" si="181"/>
        <v>7.1157682232209377E-2</v>
      </c>
      <c r="H215" s="126">
        <v>415517</v>
      </c>
      <c r="I215" s="38"/>
      <c r="J215" s="35">
        <f t="shared" si="182"/>
        <v>-415517</v>
      </c>
      <c r="K215" s="50">
        <f t="shared" ref="K215:K218" si="185">F215</f>
        <v>296.08</v>
      </c>
      <c r="L215" s="46">
        <f t="shared" si="183"/>
        <v>-7.1255809028270806E-2</v>
      </c>
      <c r="M215" s="48">
        <v>27020</v>
      </c>
      <c r="N215" s="47">
        <f t="shared" si="184"/>
        <v>8000081.5999999996</v>
      </c>
      <c r="O215" s="18">
        <v>3</v>
      </c>
      <c r="P215" s="159" t="s">
        <v>48</v>
      </c>
      <c r="Q215" s="160">
        <f>N232</f>
        <v>15399908.5</v>
      </c>
      <c r="R215" s="20">
        <f t="shared" si="179"/>
        <v>15399908.5</v>
      </c>
    </row>
    <row r="216" spans="1:18" ht="16">
      <c r="A216" s="138"/>
      <c r="B216" s="162" t="s">
        <v>46</v>
      </c>
      <c r="C216" s="12"/>
      <c r="D216" s="35"/>
      <c r="E216" s="11">
        <f t="shared" si="180"/>
        <v>0</v>
      </c>
      <c r="F216" s="45"/>
      <c r="G216" s="13" t="e">
        <f t="shared" si="181"/>
        <v>#DIV/0!</v>
      </c>
      <c r="H216" s="35"/>
      <c r="I216" s="38"/>
      <c r="J216" s="35">
        <f t="shared" si="182"/>
        <v>0</v>
      </c>
      <c r="K216" s="35">
        <f t="shared" si="185"/>
        <v>0</v>
      </c>
      <c r="L216" s="46" t="e">
        <f t="shared" si="183"/>
        <v>#DIV/0!</v>
      </c>
      <c r="M216" s="48"/>
      <c r="N216" s="47">
        <f t="shared" si="184"/>
        <v>0</v>
      </c>
      <c r="O216" s="18">
        <v>4</v>
      </c>
      <c r="P216" s="159" t="s">
        <v>49</v>
      </c>
      <c r="Q216" s="160">
        <f>N238</f>
        <v>13809854</v>
      </c>
      <c r="R216" s="20">
        <f t="shared" si="179"/>
        <v>13809854</v>
      </c>
    </row>
    <row r="217" spans="1:18" ht="16">
      <c r="A217" s="138"/>
      <c r="B217" s="162" t="s">
        <v>46</v>
      </c>
      <c r="C217" s="35"/>
      <c r="D217" s="35"/>
      <c r="E217" s="11">
        <f t="shared" si="180"/>
        <v>0</v>
      </c>
      <c r="F217" s="45"/>
      <c r="G217" s="13" t="e">
        <f t="shared" si="181"/>
        <v>#DIV/0!</v>
      </c>
      <c r="H217" s="35"/>
      <c r="I217" s="38"/>
      <c r="J217" s="35">
        <f t="shared" si="182"/>
        <v>0</v>
      </c>
      <c r="K217" s="35">
        <f t="shared" si="185"/>
        <v>0</v>
      </c>
      <c r="L217" s="46" t="e">
        <f t="shared" si="183"/>
        <v>#DIV/0!</v>
      </c>
      <c r="M217" s="48"/>
      <c r="N217" s="47">
        <f t="shared" si="184"/>
        <v>0</v>
      </c>
      <c r="O217" s="18">
        <v>5</v>
      </c>
      <c r="P217" s="159" t="s">
        <v>50</v>
      </c>
      <c r="Q217" s="160">
        <f>N244</f>
        <v>12400084.199999999</v>
      </c>
      <c r="R217" s="20">
        <f t="shared" si="179"/>
        <v>12400084.199999999</v>
      </c>
    </row>
    <row r="218" spans="1:18" ht="16">
      <c r="A218" s="138"/>
      <c r="B218" s="162" t="s">
        <v>46</v>
      </c>
      <c r="C218" s="35"/>
      <c r="D218" s="35"/>
      <c r="E218" s="11">
        <f t="shared" si="180"/>
        <v>0</v>
      </c>
      <c r="F218" s="45"/>
      <c r="G218" s="13" t="e">
        <f t="shared" si="181"/>
        <v>#DIV/0!</v>
      </c>
      <c r="H218" s="35"/>
      <c r="I218" s="38"/>
      <c r="J218" s="35">
        <f t="shared" si="182"/>
        <v>0</v>
      </c>
      <c r="K218" s="35">
        <f t="shared" si="185"/>
        <v>0</v>
      </c>
      <c r="L218" s="73" t="e">
        <f t="shared" si="183"/>
        <v>#DIV/0!</v>
      </c>
      <c r="M218" s="48"/>
      <c r="N218" s="47">
        <f t="shared" si="184"/>
        <v>0</v>
      </c>
      <c r="O218" s="18">
        <v>6</v>
      </c>
      <c r="P218" s="159" t="s">
        <v>51</v>
      </c>
      <c r="Q218" s="160">
        <f>N250</f>
        <v>8129560.4000000004</v>
      </c>
      <c r="R218" s="20">
        <f t="shared" si="179"/>
        <v>8129560.4000000004</v>
      </c>
    </row>
    <row r="219" spans="1:18" ht="16">
      <c r="A219" s="138"/>
      <c r="B219" s="60"/>
      <c r="C219" s="59"/>
      <c r="D219" s="59" t="s">
        <v>19</v>
      </c>
      <c r="E219" s="59">
        <f t="shared" ref="E219:F219" si="186">SUM(E214:E218)</f>
        <v>416090</v>
      </c>
      <c r="F219" s="59">
        <f t="shared" si="186"/>
        <v>469.77</v>
      </c>
      <c r="G219" s="61" t="e">
        <f>AVERAGE(G214:G218)</f>
        <v>#DIV/0!</v>
      </c>
      <c r="H219" s="59"/>
      <c r="I219" s="62"/>
      <c r="J219" s="59">
        <f t="shared" ref="J219:K219" si="187">SUM(J214:J218)</f>
        <v>-414601</v>
      </c>
      <c r="K219" s="59">
        <f t="shared" si="187"/>
        <v>469.77</v>
      </c>
      <c r="L219" s="61" t="e">
        <f>AVERAGE(L214:L218)</f>
        <v>#DIV/0!</v>
      </c>
      <c r="M219" s="64"/>
      <c r="N219" s="65">
        <f>SUM(N214:N218)</f>
        <v>12000162.299999999</v>
      </c>
      <c r="O219" s="18">
        <v>7</v>
      </c>
      <c r="P219" s="163" t="s">
        <v>52</v>
      </c>
      <c r="Q219" s="160">
        <f>N279</f>
        <v>28800113.399999999</v>
      </c>
      <c r="R219" s="20">
        <f t="shared" si="179"/>
        <v>28800113.399999999</v>
      </c>
    </row>
    <row r="220" spans="1:18" ht="16">
      <c r="A220" s="138">
        <v>46085</v>
      </c>
      <c r="B220" s="164" t="s">
        <v>53</v>
      </c>
      <c r="C220" s="83">
        <v>509630</v>
      </c>
      <c r="D220" s="83">
        <v>510182</v>
      </c>
      <c r="E220" s="11">
        <f t="shared" ref="E220:E225" si="188">D220-C220</f>
        <v>552</v>
      </c>
      <c r="F220" s="141">
        <v>160.88</v>
      </c>
      <c r="G220" s="13">
        <f t="shared" ref="G220:G225" si="189">(F220/E220)*100</f>
        <v>29.144927536231886</v>
      </c>
      <c r="H220" s="125">
        <v>509285</v>
      </c>
      <c r="I220" s="125">
        <v>509815</v>
      </c>
      <c r="J220" s="83">
        <f t="shared" ref="J220:J225" si="190">I220-H220</f>
        <v>530</v>
      </c>
      <c r="K220" s="83">
        <f t="shared" ref="K220:K225" si="191">F220</f>
        <v>160.88</v>
      </c>
      <c r="L220" s="136">
        <f t="shared" ref="L220:L225" si="192">(K220/J220)*100</f>
        <v>30.354716981132075</v>
      </c>
      <c r="M220" s="116">
        <v>19270</v>
      </c>
      <c r="N220" s="42">
        <f t="shared" ref="N220:N221" si="193">F220*M220</f>
        <v>3100157.6</v>
      </c>
      <c r="O220" s="18">
        <v>8</v>
      </c>
      <c r="P220" s="159" t="s">
        <v>54</v>
      </c>
      <c r="Q220" s="160">
        <f>N265</f>
        <v>31700000</v>
      </c>
      <c r="R220" s="20">
        <f t="shared" si="179"/>
        <v>31700000</v>
      </c>
    </row>
    <row r="221" spans="1:18" ht="16">
      <c r="A221" s="138">
        <v>46088</v>
      </c>
      <c r="B221" s="164" t="s">
        <v>53</v>
      </c>
      <c r="C221" s="83">
        <v>510182</v>
      </c>
      <c r="D221" s="83">
        <v>510567</v>
      </c>
      <c r="E221" s="11">
        <f t="shared" si="188"/>
        <v>385</v>
      </c>
      <c r="F221" s="141">
        <v>86.84</v>
      </c>
      <c r="G221" s="13">
        <f t="shared" si="189"/>
        <v>22.555844155844156</v>
      </c>
      <c r="H221" s="125">
        <v>509815</v>
      </c>
      <c r="I221" s="125">
        <v>510194</v>
      </c>
      <c r="J221" s="83">
        <f t="shared" si="190"/>
        <v>379</v>
      </c>
      <c r="K221" s="83">
        <f t="shared" si="191"/>
        <v>86.84</v>
      </c>
      <c r="L221" s="136">
        <f t="shared" si="192"/>
        <v>22.912928759894459</v>
      </c>
      <c r="M221" s="116">
        <v>23030</v>
      </c>
      <c r="N221" s="47">
        <f t="shared" si="193"/>
        <v>1999925.2000000002</v>
      </c>
      <c r="O221" s="18">
        <v>9</v>
      </c>
      <c r="P221" s="159" t="s">
        <v>69</v>
      </c>
      <c r="Q221" s="160">
        <f>N272</f>
        <v>26457500</v>
      </c>
      <c r="R221" s="20">
        <f t="shared" si="179"/>
        <v>26457500</v>
      </c>
    </row>
    <row r="222" spans="1:18" ht="16">
      <c r="A222" s="138">
        <v>46090</v>
      </c>
      <c r="B222" s="164" t="s">
        <v>53</v>
      </c>
      <c r="C222" s="83">
        <v>510567</v>
      </c>
      <c r="D222" s="83">
        <v>510678</v>
      </c>
      <c r="E222" s="11">
        <f t="shared" si="188"/>
        <v>111</v>
      </c>
      <c r="F222" s="141">
        <v>66.16</v>
      </c>
      <c r="G222" s="13">
        <f t="shared" si="189"/>
        <v>59.603603603603602</v>
      </c>
      <c r="H222" s="125">
        <v>510194</v>
      </c>
      <c r="I222" s="125">
        <v>510297</v>
      </c>
      <c r="J222" s="83">
        <f t="shared" si="190"/>
        <v>103</v>
      </c>
      <c r="K222" s="83">
        <f t="shared" si="191"/>
        <v>66.16</v>
      </c>
      <c r="L222" s="136">
        <f t="shared" si="192"/>
        <v>64.233009708737868</v>
      </c>
      <c r="M222" s="116">
        <v>30030</v>
      </c>
      <c r="N222" s="47">
        <v>2000000</v>
      </c>
      <c r="O222" s="18">
        <v>10</v>
      </c>
      <c r="P222" s="163" t="s">
        <v>56</v>
      </c>
      <c r="Q222" s="160">
        <f>N256</f>
        <v>23700000</v>
      </c>
      <c r="R222" s="20">
        <f t="shared" si="179"/>
        <v>23700000</v>
      </c>
    </row>
    <row r="223" spans="1:18" ht="16">
      <c r="A223" s="138">
        <v>46093</v>
      </c>
      <c r="B223" s="164" t="s">
        <v>53</v>
      </c>
      <c r="C223" s="83">
        <v>510678</v>
      </c>
      <c r="D223" s="83">
        <v>511054</v>
      </c>
      <c r="E223" s="11">
        <f t="shared" si="188"/>
        <v>376</v>
      </c>
      <c r="F223" s="141">
        <v>98.22</v>
      </c>
      <c r="G223" s="13">
        <f t="shared" si="189"/>
        <v>26.122340425531913</v>
      </c>
      <c r="H223" s="125">
        <v>510297</v>
      </c>
      <c r="I223" s="125">
        <v>510663</v>
      </c>
      <c r="J223" s="83">
        <f t="shared" si="190"/>
        <v>366</v>
      </c>
      <c r="K223" s="83">
        <f t="shared" si="191"/>
        <v>98.22</v>
      </c>
      <c r="L223" s="136">
        <f t="shared" si="192"/>
        <v>26.83606557377049</v>
      </c>
      <c r="M223" s="116">
        <v>26470</v>
      </c>
      <c r="N223" s="47">
        <f>F223*M223</f>
        <v>2599883.4</v>
      </c>
      <c r="O223" s="18">
        <v>11</v>
      </c>
      <c r="P223" s="168" t="s">
        <v>57</v>
      </c>
      <c r="Q223" s="169">
        <f>N288</f>
        <v>23236792.399999999</v>
      </c>
      <c r="R223" s="20">
        <f t="shared" si="179"/>
        <v>23236792.399999999</v>
      </c>
    </row>
    <row r="224" spans="1:18" ht="16">
      <c r="A224" s="138">
        <v>46101</v>
      </c>
      <c r="B224" s="164" t="s">
        <v>53</v>
      </c>
      <c r="C224" s="83">
        <v>511054</v>
      </c>
      <c r="D224" s="83">
        <v>511713</v>
      </c>
      <c r="E224" s="11">
        <f t="shared" si="188"/>
        <v>659</v>
      </c>
      <c r="F224" s="141"/>
      <c r="G224" s="13">
        <f t="shared" si="189"/>
        <v>0</v>
      </c>
      <c r="H224" s="125">
        <v>510663</v>
      </c>
      <c r="I224" s="125">
        <v>511291</v>
      </c>
      <c r="J224" s="83">
        <f t="shared" si="190"/>
        <v>628</v>
      </c>
      <c r="K224" s="83">
        <f t="shared" si="191"/>
        <v>0</v>
      </c>
      <c r="L224" s="136">
        <f t="shared" si="192"/>
        <v>0</v>
      </c>
      <c r="M224" s="116">
        <v>33460</v>
      </c>
      <c r="N224" s="47">
        <v>7193000</v>
      </c>
      <c r="O224" s="18">
        <v>12</v>
      </c>
      <c r="P224" s="168" t="s">
        <v>58</v>
      </c>
      <c r="Q224" s="169">
        <f>N298</f>
        <v>32064841.799999997</v>
      </c>
      <c r="R224" s="20">
        <f t="shared" si="179"/>
        <v>32064841.799999997</v>
      </c>
    </row>
    <row r="225" spans="1:18" ht="16">
      <c r="A225" s="138">
        <v>46110</v>
      </c>
      <c r="B225" s="164" t="s">
        <v>53</v>
      </c>
      <c r="C225" s="83">
        <v>511713</v>
      </c>
      <c r="D225" s="83">
        <v>512370</v>
      </c>
      <c r="E225" s="11">
        <f t="shared" si="188"/>
        <v>657</v>
      </c>
      <c r="F225" s="141">
        <v>84.65</v>
      </c>
      <c r="G225" s="13">
        <f t="shared" si="189"/>
        <v>12.884322678843226</v>
      </c>
      <c r="H225" s="125">
        <v>511291</v>
      </c>
      <c r="I225" s="125">
        <v>511930</v>
      </c>
      <c r="J225" s="83">
        <f t="shared" si="190"/>
        <v>639</v>
      </c>
      <c r="K225" s="83">
        <f t="shared" si="191"/>
        <v>84.65</v>
      </c>
      <c r="L225" s="136">
        <f t="shared" si="192"/>
        <v>13.247261345852895</v>
      </c>
      <c r="M225" s="116">
        <v>35440</v>
      </c>
      <c r="N225" s="47">
        <f>M225*K225</f>
        <v>2999996</v>
      </c>
      <c r="O225" s="18"/>
      <c r="P225" s="168"/>
      <c r="Q225" s="75"/>
      <c r="R225" s="18">
        <f t="shared" si="179"/>
        <v>0</v>
      </c>
    </row>
    <row r="226" spans="1:18" ht="16">
      <c r="A226" s="138"/>
      <c r="B226" s="60"/>
      <c r="C226" s="59"/>
      <c r="D226" s="59" t="s">
        <v>19</v>
      </c>
      <c r="E226" s="59">
        <f>SUM(E220:E224)</f>
        <v>2083</v>
      </c>
      <c r="F226" s="59">
        <f>SUM(F220:F225)</f>
        <v>496.75</v>
      </c>
      <c r="G226" s="61">
        <f>AVERAGE(G220:G224)</f>
        <v>27.485343144242314</v>
      </c>
      <c r="H226" s="59"/>
      <c r="I226" s="62"/>
      <c r="J226" s="59">
        <f t="shared" ref="J226:K226" si="194">SUM(J220:J224)</f>
        <v>2006</v>
      </c>
      <c r="K226" s="59">
        <f t="shared" si="194"/>
        <v>412.1</v>
      </c>
      <c r="L226" s="61">
        <f>AVERAGE(L220:L224)</f>
        <v>28.867344204706978</v>
      </c>
      <c r="M226" s="64"/>
      <c r="N226" s="65">
        <f>SUM(N220:N225)</f>
        <v>19892962.200000003</v>
      </c>
      <c r="O226" s="18">
        <v>13</v>
      </c>
      <c r="P226" s="168" t="s">
        <v>70</v>
      </c>
      <c r="Q226" s="169">
        <f>N305</f>
        <v>5000000</v>
      </c>
      <c r="R226" s="20">
        <f t="shared" si="179"/>
        <v>5000000</v>
      </c>
    </row>
    <row r="227" spans="1:18" ht="16">
      <c r="A227" s="138">
        <v>46089</v>
      </c>
      <c r="B227" s="164" t="s">
        <v>48</v>
      </c>
      <c r="C227" s="83"/>
      <c r="D227" s="12"/>
      <c r="E227" s="36">
        <f t="shared" ref="E227:E231" si="195">D227-C227</f>
        <v>0</v>
      </c>
      <c r="F227" s="141">
        <v>145.55000000000001</v>
      </c>
      <c r="G227" s="13" t="e">
        <f t="shared" ref="G227:G231" si="196">(F227/E227)*100</f>
        <v>#DIV/0!</v>
      </c>
      <c r="H227" s="83"/>
      <c r="I227" s="126"/>
      <c r="J227" s="39">
        <f t="shared" ref="J227:J231" si="197">I227-H227</f>
        <v>0</v>
      </c>
      <c r="K227" s="39"/>
      <c r="L227" s="136" t="e">
        <f t="shared" ref="L227:L231" si="198">(K227/J227)*100</f>
        <v>#DIV/0!</v>
      </c>
      <c r="M227" s="68">
        <v>30230</v>
      </c>
      <c r="N227" s="121">
        <f t="shared" ref="N227:N231" si="199">F227*M227</f>
        <v>4399976.5</v>
      </c>
      <c r="O227" s="18">
        <v>14</v>
      </c>
      <c r="P227" s="171" t="s">
        <v>60</v>
      </c>
      <c r="Q227" s="20">
        <f>N312</f>
        <v>18228482.98</v>
      </c>
      <c r="R227" s="20">
        <f t="shared" si="179"/>
        <v>18228482.98</v>
      </c>
    </row>
    <row r="228" spans="1:18" ht="16">
      <c r="A228" s="138">
        <v>46101</v>
      </c>
      <c r="B228" s="164" t="s">
        <v>48</v>
      </c>
      <c r="C228" s="83"/>
      <c r="D228" s="12"/>
      <c r="E228" s="11">
        <f t="shared" si="195"/>
        <v>0</v>
      </c>
      <c r="F228" s="141">
        <v>89.77</v>
      </c>
      <c r="G228" s="13" t="e">
        <f t="shared" si="196"/>
        <v>#DIV/0!</v>
      </c>
      <c r="H228" s="83"/>
      <c r="I228" s="125"/>
      <c r="J228" s="83">
        <f t="shared" si="197"/>
        <v>0</v>
      </c>
      <c r="K228" s="35"/>
      <c r="L228" s="136" t="e">
        <f t="shared" si="198"/>
        <v>#DIV/0!</v>
      </c>
      <c r="M228" s="116">
        <v>33420</v>
      </c>
      <c r="N228" s="121">
        <f t="shared" si="199"/>
        <v>3000113.4</v>
      </c>
      <c r="O228" s="18">
        <v>15</v>
      </c>
      <c r="P228" s="171" t="s">
        <v>61</v>
      </c>
      <c r="Q228" s="20">
        <f>N319</f>
        <v>5700139.2000000002</v>
      </c>
      <c r="R228" s="20">
        <f t="shared" si="179"/>
        <v>5700139.2000000002</v>
      </c>
    </row>
    <row r="229" spans="1:18" ht="16">
      <c r="A229" s="138">
        <v>46106</v>
      </c>
      <c r="B229" s="164" t="s">
        <v>48</v>
      </c>
      <c r="C229" s="83"/>
      <c r="D229" s="83">
        <v>458452</v>
      </c>
      <c r="E229" s="11">
        <f t="shared" si="195"/>
        <v>458452</v>
      </c>
      <c r="F229" s="141">
        <v>201.71</v>
      </c>
      <c r="G229" s="13">
        <f t="shared" si="196"/>
        <v>4.3998063046949296E-2</v>
      </c>
      <c r="H229" s="83"/>
      <c r="I229" s="125"/>
      <c r="J229" s="83">
        <f t="shared" si="197"/>
        <v>0</v>
      </c>
      <c r="K229" s="35"/>
      <c r="L229" s="136" t="e">
        <f t="shared" si="198"/>
        <v>#DIV/0!</v>
      </c>
      <c r="M229" s="116">
        <v>39660</v>
      </c>
      <c r="N229" s="121">
        <f t="shared" si="199"/>
        <v>7999818.6000000006</v>
      </c>
      <c r="P229" s="75" t="s">
        <v>19</v>
      </c>
      <c r="Q229" s="20">
        <f>SUM(Q213:Q228)</f>
        <v>276520401.38</v>
      </c>
    </row>
    <row r="230" spans="1:18" ht="16">
      <c r="A230" s="138"/>
      <c r="B230" s="164" t="s">
        <v>48</v>
      </c>
      <c r="C230" s="83"/>
      <c r="D230" s="83"/>
      <c r="E230" s="11">
        <f t="shared" si="195"/>
        <v>0</v>
      </c>
      <c r="F230" s="141"/>
      <c r="G230" s="13" t="e">
        <f t="shared" si="196"/>
        <v>#DIV/0!</v>
      </c>
      <c r="H230" s="83"/>
      <c r="I230" s="125"/>
      <c r="J230" s="83">
        <f t="shared" si="197"/>
        <v>0</v>
      </c>
      <c r="K230" s="35"/>
      <c r="L230" s="136" t="e">
        <f t="shared" si="198"/>
        <v>#DIV/0!</v>
      </c>
      <c r="M230" s="116"/>
      <c r="N230" s="121">
        <f t="shared" si="199"/>
        <v>0</v>
      </c>
    </row>
    <row r="231" spans="1:18" ht="16">
      <c r="A231" s="138"/>
      <c r="B231" s="164" t="s">
        <v>48</v>
      </c>
      <c r="C231" s="83"/>
      <c r="D231" s="83"/>
      <c r="E231" s="11">
        <f t="shared" si="195"/>
        <v>0</v>
      </c>
      <c r="F231" s="141"/>
      <c r="G231" s="13" t="e">
        <f t="shared" si="196"/>
        <v>#DIV/0!</v>
      </c>
      <c r="H231" s="83"/>
      <c r="I231" s="125"/>
      <c r="J231" s="83">
        <f t="shared" si="197"/>
        <v>0</v>
      </c>
      <c r="K231" s="35"/>
      <c r="L231" s="136" t="e">
        <f t="shared" si="198"/>
        <v>#DIV/0!</v>
      </c>
      <c r="M231" s="116"/>
      <c r="N231" s="121">
        <f t="shared" si="199"/>
        <v>0</v>
      </c>
    </row>
    <row r="232" spans="1:18" ht="16">
      <c r="A232" s="138"/>
      <c r="B232" s="60"/>
      <c r="C232" s="59"/>
      <c r="D232" s="59" t="s">
        <v>19</v>
      </c>
      <c r="E232" s="59">
        <f t="shared" ref="E232:F232" si="200">SUM(E227:E231)</f>
        <v>458452</v>
      </c>
      <c r="F232" s="59">
        <f t="shared" si="200"/>
        <v>437.03</v>
      </c>
      <c r="G232" s="61" t="e">
        <f>AVERAGE(G227:G231)</f>
        <v>#DIV/0!</v>
      </c>
      <c r="H232" s="59"/>
      <c r="I232" s="62"/>
      <c r="J232" s="59">
        <f t="shared" ref="J232:K232" si="201">SUM(J227:J231)</f>
        <v>0</v>
      </c>
      <c r="K232" s="59">
        <f t="shared" si="201"/>
        <v>0</v>
      </c>
      <c r="L232" s="61" t="e">
        <f>AVERAGE(L227:L231)</f>
        <v>#DIV/0!</v>
      </c>
      <c r="M232" s="64"/>
      <c r="N232" s="65">
        <f>SUM(N227:N231)</f>
        <v>15399908.5</v>
      </c>
    </row>
    <row r="233" spans="1:18" ht="16">
      <c r="A233" s="138">
        <v>46083</v>
      </c>
      <c r="B233" s="140" t="s">
        <v>49</v>
      </c>
      <c r="C233" s="83"/>
      <c r="D233" s="12"/>
      <c r="E233" s="36">
        <f t="shared" ref="E233:E237" si="202">D233-C233</f>
        <v>0</v>
      </c>
      <c r="F233" s="37">
        <v>228.34</v>
      </c>
      <c r="G233" s="13" t="e">
        <f t="shared" ref="G233:G237" si="203">(F233/E233)*100</f>
        <v>#DIV/0!</v>
      </c>
      <c r="H233" s="83"/>
      <c r="I233" s="126"/>
      <c r="J233" s="39">
        <f t="shared" ref="J233:J237" si="204">I233-H233</f>
        <v>0</v>
      </c>
      <c r="K233" s="39">
        <f t="shared" ref="K233:K237" si="205">F233</f>
        <v>228.34</v>
      </c>
      <c r="L233" s="46" t="e">
        <f t="shared" ref="L233:L237" si="206">(K233/J233)*100</f>
        <v>#DIV/0!</v>
      </c>
      <c r="M233" s="68">
        <v>19270</v>
      </c>
      <c r="N233" s="121">
        <f t="shared" ref="N233:N234" si="207">M233*K233</f>
        <v>4400111.8</v>
      </c>
    </row>
    <row r="234" spans="1:18" ht="16">
      <c r="A234" s="138">
        <v>46088</v>
      </c>
      <c r="B234" s="140" t="s">
        <v>49</v>
      </c>
      <c r="C234" s="12"/>
      <c r="D234" s="83"/>
      <c r="E234" s="11">
        <f t="shared" si="202"/>
        <v>0</v>
      </c>
      <c r="F234" s="141">
        <v>86.84</v>
      </c>
      <c r="G234" s="13" t="e">
        <f t="shared" si="203"/>
        <v>#DIV/0!</v>
      </c>
      <c r="H234" s="83"/>
      <c r="I234" s="125"/>
      <c r="J234" s="83">
        <f t="shared" si="204"/>
        <v>0</v>
      </c>
      <c r="K234" s="83">
        <f t="shared" si="205"/>
        <v>86.84</v>
      </c>
      <c r="L234" s="136" t="e">
        <f t="shared" si="206"/>
        <v>#DIV/0!</v>
      </c>
      <c r="M234" s="116">
        <v>23030</v>
      </c>
      <c r="N234" s="121">
        <f t="shared" si="207"/>
        <v>1999925.2000000002</v>
      </c>
    </row>
    <row r="235" spans="1:18" ht="16">
      <c r="A235" s="138">
        <v>46093</v>
      </c>
      <c r="B235" s="140" t="s">
        <v>49</v>
      </c>
      <c r="C235" s="83"/>
      <c r="D235" s="83"/>
      <c r="E235" s="11">
        <f t="shared" si="202"/>
        <v>0</v>
      </c>
      <c r="F235" s="141">
        <v>75.56</v>
      </c>
      <c r="G235" s="13" t="e">
        <f t="shared" si="203"/>
        <v>#DIV/0!</v>
      </c>
      <c r="H235" s="83"/>
      <c r="I235" s="125"/>
      <c r="J235" s="83">
        <f t="shared" si="204"/>
        <v>0</v>
      </c>
      <c r="K235" s="83">
        <f t="shared" si="205"/>
        <v>75.56</v>
      </c>
      <c r="L235" s="136" t="e">
        <f t="shared" si="206"/>
        <v>#DIV/0!</v>
      </c>
      <c r="M235" s="116">
        <v>26470</v>
      </c>
      <c r="N235" s="121">
        <v>2000000</v>
      </c>
    </row>
    <row r="236" spans="1:18" ht="16">
      <c r="A236" s="138">
        <v>46102</v>
      </c>
      <c r="B236" s="140" t="s">
        <v>49</v>
      </c>
      <c r="C236" s="83"/>
      <c r="D236" s="83"/>
      <c r="E236" s="11">
        <f t="shared" si="202"/>
        <v>0</v>
      </c>
      <c r="F236" s="141">
        <v>87.07</v>
      </c>
      <c r="G236" s="13" t="e">
        <f t="shared" si="203"/>
        <v>#DIV/0!</v>
      </c>
      <c r="H236" s="83"/>
      <c r="I236" s="125"/>
      <c r="J236" s="83">
        <f t="shared" si="204"/>
        <v>0</v>
      </c>
      <c r="K236" s="83">
        <f t="shared" si="205"/>
        <v>87.07</v>
      </c>
      <c r="L236" s="136" t="e">
        <f t="shared" si="206"/>
        <v>#DIV/0!</v>
      </c>
      <c r="M236" s="116">
        <v>33420</v>
      </c>
      <c r="N236" s="121">
        <f>M236*K236</f>
        <v>2909879.4</v>
      </c>
    </row>
    <row r="237" spans="1:18" ht="16">
      <c r="A237" s="138">
        <v>46109</v>
      </c>
      <c r="B237" s="140" t="s">
        <v>49</v>
      </c>
      <c r="C237" s="83"/>
      <c r="D237" s="83"/>
      <c r="E237" s="11">
        <f t="shared" si="202"/>
        <v>0</v>
      </c>
      <c r="F237" s="141">
        <v>70.540000000000006</v>
      </c>
      <c r="G237" s="13" t="e">
        <f t="shared" si="203"/>
        <v>#DIV/0!</v>
      </c>
      <c r="H237" s="83"/>
      <c r="I237" s="125"/>
      <c r="J237" s="83">
        <f t="shared" si="204"/>
        <v>0</v>
      </c>
      <c r="K237" s="83">
        <f t="shared" si="205"/>
        <v>70.540000000000006</v>
      </c>
      <c r="L237" s="136" t="e">
        <f t="shared" si="206"/>
        <v>#DIV/0!</v>
      </c>
      <c r="M237" s="116">
        <v>35440</v>
      </c>
      <c r="N237" s="121">
        <f>F237*M237</f>
        <v>2499937.6</v>
      </c>
    </row>
    <row r="238" spans="1:18" ht="16">
      <c r="A238" s="138"/>
      <c r="B238" s="60"/>
      <c r="C238" s="59"/>
      <c r="D238" s="59" t="s">
        <v>19</v>
      </c>
      <c r="E238" s="59">
        <f t="shared" ref="E238:F238" si="208">SUM(E233:E237)</f>
        <v>0</v>
      </c>
      <c r="F238" s="59">
        <f t="shared" si="208"/>
        <v>548.35</v>
      </c>
      <c r="G238" s="61" t="e">
        <f>AVERAGE(G233:G237)</f>
        <v>#DIV/0!</v>
      </c>
      <c r="H238" s="59"/>
      <c r="I238" s="62"/>
      <c r="J238" s="59">
        <f t="shared" ref="J238:K238" si="209">SUM(J233:J237)</f>
        <v>0</v>
      </c>
      <c r="K238" s="59">
        <f t="shared" si="209"/>
        <v>548.35</v>
      </c>
      <c r="L238" s="61" t="e">
        <f>AVERAGE(L233:L237)</f>
        <v>#DIV/0!</v>
      </c>
      <c r="M238" s="64"/>
      <c r="N238" s="65">
        <f>SUM(N233:N237)</f>
        <v>13809854</v>
      </c>
    </row>
    <row r="239" spans="1:18" ht="16">
      <c r="A239" s="138">
        <v>46084</v>
      </c>
      <c r="B239" s="140" t="s">
        <v>50</v>
      </c>
      <c r="C239" s="83"/>
      <c r="D239" s="12"/>
      <c r="E239" s="36"/>
      <c r="F239" s="37">
        <v>217.96</v>
      </c>
      <c r="G239" s="13" t="e">
        <f t="shared" ref="G239:G243" si="210">(F239/E239)*100</f>
        <v>#DIV/0!</v>
      </c>
      <c r="H239" s="83"/>
      <c r="I239" s="126"/>
      <c r="J239" s="83">
        <f t="shared" ref="J239:J243" si="211">I239-H239</f>
        <v>0</v>
      </c>
      <c r="K239" s="83">
        <f t="shared" ref="K239:K243" si="212">F239</f>
        <v>217.96</v>
      </c>
      <c r="L239" s="136" t="e">
        <f t="shared" ref="L239:L243" si="213">(K239/J239)*100</f>
        <v>#DIV/0!</v>
      </c>
      <c r="M239" s="68">
        <v>19270</v>
      </c>
      <c r="N239" s="47">
        <f>F239*M239</f>
        <v>4200089.2</v>
      </c>
    </row>
    <row r="240" spans="1:18" ht="16">
      <c r="A240" s="138">
        <v>46097</v>
      </c>
      <c r="B240" s="140" t="s">
        <v>50</v>
      </c>
      <c r="C240" s="83"/>
      <c r="D240" s="83"/>
      <c r="E240" s="11">
        <f t="shared" ref="E240:E243" si="214">D240-C240</f>
        <v>0</v>
      </c>
      <c r="F240" s="141">
        <v>192.45</v>
      </c>
      <c r="G240" s="13" t="e">
        <f t="shared" si="210"/>
        <v>#DIV/0!</v>
      </c>
      <c r="H240" s="83"/>
      <c r="I240" s="125"/>
      <c r="J240" s="83">
        <f t="shared" si="211"/>
        <v>0</v>
      </c>
      <c r="K240" s="83">
        <f t="shared" si="212"/>
        <v>192.45</v>
      </c>
      <c r="L240" s="136" t="e">
        <f t="shared" si="213"/>
        <v>#DIV/0!</v>
      </c>
      <c r="M240" s="116">
        <v>27020</v>
      </c>
      <c r="N240" s="47">
        <f>M240*K240</f>
        <v>5199999</v>
      </c>
    </row>
    <row r="241" spans="1:14" ht="16">
      <c r="A241" s="138">
        <v>46109</v>
      </c>
      <c r="B241" s="140" t="s">
        <v>50</v>
      </c>
      <c r="C241" s="83"/>
      <c r="D241" s="83"/>
      <c r="E241" s="11">
        <f t="shared" si="214"/>
        <v>0</v>
      </c>
      <c r="F241" s="141">
        <v>84.65</v>
      </c>
      <c r="G241" s="13" t="e">
        <f t="shared" si="210"/>
        <v>#DIV/0!</v>
      </c>
      <c r="H241" s="83"/>
      <c r="I241" s="125"/>
      <c r="J241" s="83">
        <f t="shared" si="211"/>
        <v>0</v>
      </c>
      <c r="K241" s="83">
        <f t="shared" si="212"/>
        <v>84.65</v>
      </c>
      <c r="L241" s="136" t="e">
        <f t="shared" si="213"/>
        <v>#DIV/0!</v>
      </c>
      <c r="M241" s="116">
        <v>35440</v>
      </c>
      <c r="N241" s="47">
        <f t="shared" ref="N241:N243" si="215">F241*M241</f>
        <v>2999996</v>
      </c>
    </row>
    <row r="242" spans="1:14" ht="16">
      <c r="A242" s="138"/>
      <c r="B242" s="140" t="s">
        <v>50</v>
      </c>
      <c r="C242" s="83"/>
      <c r="D242" s="83"/>
      <c r="E242" s="11">
        <f t="shared" si="214"/>
        <v>0</v>
      </c>
      <c r="F242" s="141"/>
      <c r="G242" s="13" t="e">
        <f t="shared" si="210"/>
        <v>#DIV/0!</v>
      </c>
      <c r="H242" s="83"/>
      <c r="I242" s="125"/>
      <c r="J242" s="83">
        <f t="shared" si="211"/>
        <v>0</v>
      </c>
      <c r="K242" s="83">
        <f t="shared" si="212"/>
        <v>0</v>
      </c>
      <c r="L242" s="136" t="e">
        <f t="shared" si="213"/>
        <v>#DIV/0!</v>
      </c>
      <c r="M242" s="116"/>
      <c r="N242" s="47">
        <f t="shared" si="215"/>
        <v>0</v>
      </c>
    </row>
    <row r="243" spans="1:14" ht="16">
      <c r="A243" s="138"/>
      <c r="B243" s="140" t="s">
        <v>50</v>
      </c>
      <c r="C243" s="83"/>
      <c r="D243" s="83"/>
      <c r="E243" s="11">
        <f t="shared" si="214"/>
        <v>0</v>
      </c>
      <c r="F243" s="141"/>
      <c r="G243" s="13" t="e">
        <f t="shared" si="210"/>
        <v>#DIV/0!</v>
      </c>
      <c r="H243" s="83"/>
      <c r="I243" s="125"/>
      <c r="J243" s="83">
        <f t="shared" si="211"/>
        <v>0</v>
      </c>
      <c r="K243" s="83">
        <f t="shared" si="212"/>
        <v>0</v>
      </c>
      <c r="L243" s="136" t="e">
        <f t="shared" si="213"/>
        <v>#DIV/0!</v>
      </c>
      <c r="M243" s="116"/>
      <c r="N243" s="47">
        <f t="shared" si="215"/>
        <v>0</v>
      </c>
    </row>
    <row r="244" spans="1:14" ht="16">
      <c r="A244" s="138"/>
      <c r="B244" s="60"/>
      <c r="C244" s="59"/>
      <c r="D244" s="59" t="s">
        <v>19</v>
      </c>
      <c r="E244" s="59">
        <f t="shared" ref="E244:F244" si="216">SUM(E239:E243)</f>
        <v>0</v>
      </c>
      <c r="F244" s="59">
        <f t="shared" si="216"/>
        <v>495.05999999999995</v>
      </c>
      <c r="G244" s="61" t="e">
        <f>AVERAGE(G239:G243)</f>
        <v>#DIV/0!</v>
      </c>
      <c r="H244" s="59"/>
      <c r="I244" s="62"/>
      <c r="J244" s="59">
        <f t="shared" ref="J244:K244" si="217">SUM(J239:J243)</f>
        <v>0</v>
      </c>
      <c r="K244" s="59">
        <f t="shared" si="217"/>
        <v>495.05999999999995</v>
      </c>
      <c r="L244" s="61" t="e">
        <f>AVERAGE(L239:L243)</f>
        <v>#DIV/0!</v>
      </c>
      <c r="M244" s="64"/>
      <c r="N244" s="65">
        <f>SUM(N239:N243)</f>
        <v>12400084.199999999</v>
      </c>
    </row>
    <row r="245" spans="1:14" ht="16">
      <c r="A245" s="138">
        <v>46085</v>
      </c>
      <c r="B245" s="164" t="s">
        <v>51</v>
      </c>
      <c r="C245" s="83">
        <v>305507</v>
      </c>
      <c r="D245" s="83">
        <v>305710</v>
      </c>
      <c r="E245" s="11">
        <f t="shared" ref="E245:E249" si="218">D245-C245</f>
        <v>203</v>
      </c>
      <c r="F245" s="37">
        <v>74.2</v>
      </c>
      <c r="G245" s="13">
        <f t="shared" ref="G245:G249" si="219">(F245/E245)*100</f>
        <v>36.551724137931032</v>
      </c>
      <c r="H245" s="125">
        <v>19708</v>
      </c>
      <c r="I245" s="125">
        <v>19843</v>
      </c>
      <c r="J245" s="39">
        <f t="shared" ref="J245:J249" si="220">I245-H245</f>
        <v>135</v>
      </c>
      <c r="K245" s="39">
        <f t="shared" ref="K245:K249" si="221">F245</f>
        <v>74.2</v>
      </c>
      <c r="L245" s="136">
        <f t="shared" ref="L245:L249" si="222">(K245/J245)*100</f>
        <v>54.962962962962969</v>
      </c>
      <c r="M245" s="68">
        <v>19270</v>
      </c>
      <c r="N245" s="47">
        <f>F245*M245</f>
        <v>1429834</v>
      </c>
    </row>
    <row r="246" spans="1:14" ht="16">
      <c r="A246" s="138">
        <v>46088</v>
      </c>
      <c r="B246" s="164" t="s">
        <v>51</v>
      </c>
      <c r="C246" s="83">
        <v>305710</v>
      </c>
      <c r="D246" s="83">
        <v>305854</v>
      </c>
      <c r="E246" s="11">
        <f t="shared" si="218"/>
        <v>144</v>
      </c>
      <c r="F246" s="141"/>
      <c r="G246" s="13">
        <f t="shared" si="219"/>
        <v>0</v>
      </c>
      <c r="H246" s="83">
        <v>19843</v>
      </c>
      <c r="I246" s="83">
        <v>19977</v>
      </c>
      <c r="J246" s="83">
        <f t="shared" si="220"/>
        <v>134</v>
      </c>
      <c r="K246" s="83">
        <f t="shared" si="221"/>
        <v>0</v>
      </c>
      <c r="L246" s="136">
        <f t="shared" si="222"/>
        <v>0</v>
      </c>
      <c r="M246" s="116"/>
      <c r="N246" s="47">
        <v>1500000</v>
      </c>
    </row>
    <row r="247" spans="1:14" ht="16">
      <c r="A247" s="138">
        <v>46093</v>
      </c>
      <c r="B247" s="164" t="s">
        <v>51</v>
      </c>
      <c r="C247" s="83">
        <v>305854</v>
      </c>
      <c r="D247" s="83">
        <v>305996</v>
      </c>
      <c r="E247" s="11">
        <f t="shared" si="218"/>
        <v>142</v>
      </c>
      <c r="F247" s="141">
        <v>94.82</v>
      </c>
      <c r="G247" s="13">
        <f t="shared" si="219"/>
        <v>66.774647887323937</v>
      </c>
      <c r="H247" s="83">
        <v>19977</v>
      </c>
      <c r="I247" s="125">
        <v>20109</v>
      </c>
      <c r="J247" s="83">
        <f t="shared" si="220"/>
        <v>132</v>
      </c>
      <c r="K247" s="83">
        <f t="shared" si="221"/>
        <v>94.82</v>
      </c>
      <c r="L247" s="136">
        <f t="shared" si="222"/>
        <v>71.833333333333329</v>
      </c>
      <c r="M247" s="116">
        <v>26470</v>
      </c>
      <c r="N247" s="47">
        <f t="shared" ref="N247:N248" si="223">F247*M247</f>
        <v>2509885.4</v>
      </c>
    </row>
    <row r="248" spans="1:14" ht="16">
      <c r="A248" s="138">
        <v>46100</v>
      </c>
      <c r="B248" s="164" t="s">
        <v>51</v>
      </c>
      <c r="C248" s="83">
        <v>305996</v>
      </c>
      <c r="D248" s="83">
        <v>306297</v>
      </c>
      <c r="E248" s="11">
        <f t="shared" si="218"/>
        <v>301</v>
      </c>
      <c r="F248" s="141">
        <v>99.55</v>
      </c>
      <c r="G248" s="13">
        <f t="shared" si="219"/>
        <v>33.073089700996675</v>
      </c>
      <c r="H248" s="125">
        <v>20109</v>
      </c>
      <c r="I248" s="125">
        <v>20466</v>
      </c>
      <c r="J248" s="83">
        <f t="shared" si="220"/>
        <v>357</v>
      </c>
      <c r="K248" s="83">
        <f t="shared" si="221"/>
        <v>99.55</v>
      </c>
      <c r="L248" s="136">
        <f t="shared" si="222"/>
        <v>27.88515406162465</v>
      </c>
      <c r="M248" s="116">
        <v>27020</v>
      </c>
      <c r="N248" s="47">
        <f t="shared" si="223"/>
        <v>2689841</v>
      </c>
    </row>
    <row r="249" spans="1:14" ht="16">
      <c r="A249" s="138"/>
      <c r="B249" s="164" t="s">
        <v>51</v>
      </c>
      <c r="C249" s="83"/>
      <c r="D249" s="83"/>
      <c r="E249" s="11">
        <f t="shared" si="218"/>
        <v>0</v>
      </c>
      <c r="F249" s="141"/>
      <c r="G249" s="13" t="e">
        <f t="shared" si="219"/>
        <v>#DIV/0!</v>
      </c>
      <c r="H249" s="83"/>
      <c r="I249" s="125"/>
      <c r="J249" s="83">
        <f t="shared" si="220"/>
        <v>0</v>
      </c>
      <c r="K249" s="83">
        <f t="shared" si="221"/>
        <v>0</v>
      </c>
      <c r="L249" s="136" t="e">
        <f t="shared" si="222"/>
        <v>#DIV/0!</v>
      </c>
      <c r="M249" s="116"/>
      <c r="N249" s="47">
        <f>M249*K249</f>
        <v>0</v>
      </c>
    </row>
    <row r="250" spans="1:14" ht="16">
      <c r="A250" s="138"/>
      <c r="B250" s="60"/>
      <c r="C250" s="59"/>
      <c r="D250" s="59" t="s">
        <v>19</v>
      </c>
      <c r="E250" s="59">
        <f t="shared" ref="E250:F250" si="224">SUM(E245:E249)</f>
        <v>790</v>
      </c>
      <c r="F250" s="59">
        <f t="shared" si="224"/>
        <v>268.57</v>
      </c>
      <c r="G250" s="61" t="e">
        <f>AVERAGE(G245:G249)</f>
        <v>#DIV/0!</v>
      </c>
      <c r="H250" s="59"/>
      <c r="I250" s="62"/>
      <c r="J250" s="59">
        <f t="shared" ref="J250:K250" si="225">SUM(J245:J249)</f>
        <v>758</v>
      </c>
      <c r="K250" s="59">
        <f t="shared" si="225"/>
        <v>268.57</v>
      </c>
      <c r="L250" s="61" t="e">
        <f>AVERAGE(L245:L249)</f>
        <v>#DIV/0!</v>
      </c>
      <c r="M250" s="64"/>
      <c r="N250" s="65">
        <f>SUM(N245:N249)</f>
        <v>8129560.4000000004</v>
      </c>
    </row>
    <row r="251" spans="1:14" ht="16">
      <c r="A251" s="138">
        <v>46088</v>
      </c>
      <c r="B251" s="172" t="s">
        <v>62</v>
      </c>
      <c r="C251" s="83"/>
      <c r="D251" s="12"/>
      <c r="E251" s="36">
        <f t="shared" ref="E251:E255" si="226">D251-C251</f>
        <v>0</v>
      </c>
      <c r="F251" s="37"/>
      <c r="G251" s="13" t="e">
        <f t="shared" ref="G251:G255" si="227">(F251/E251)*100</f>
        <v>#DIV/0!</v>
      </c>
      <c r="H251" s="83"/>
      <c r="I251" s="126"/>
      <c r="J251" s="39">
        <f t="shared" ref="J251:J255" si="228">I251-H251</f>
        <v>0</v>
      </c>
      <c r="K251" s="39">
        <f t="shared" ref="K251:K255" si="229">F251</f>
        <v>0</v>
      </c>
      <c r="L251" s="136" t="e">
        <f t="shared" ref="L251:L255" si="230">(K251/J251)*100</f>
        <v>#DIV/0!</v>
      </c>
      <c r="M251" s="68"/>
      <c r="N251" s="121">
        <v>5000000</v>
      </c>
    </row>
    <row r="252" spans="1:14" ht="16">
      <c r="A252" s="138">
        <v>46084</v>
      </c>
      <c r="B252" s="172" t="s">
        <v>62</v>
      </c>
      <c r="C252" s="83"/>
      <c r="D252" s="83"/>
      <c r="E252" s="11">
        <f t="shared" si="226"/>
        <v>0</v>
      </c>
      <c r="F252" s="141"/>
      <c r="G252" s="13" t="e">
        <f t="shared" si="227"/>
        <v>#DIV/0!</v>
      </c>
      <c r="H252" s="83"/>
      <c r="I252" s="125"/>
      <c r="J252" s="83">
        <f t="shared" si="228"/>
        <v>0</v>
      </c>
      <c r="K252" s="83">
        <f t="shared" si="229"/>
        <v>0</v>
      </c>
      <c r="L252" s="136" t="e">
        <f t="shared" si="230"/>
        <v>#DIV/0!</v>
      </c>
      <c r="M252" s="116"/>
      <c r="N252" s="121">
        <v>8700000</v>
      </c>
    </row>
    <row r="253" spans="1:14" ht="16">
      <c r="A253" s="138">
        <v>46104</v>
      </c>
      <c r="B253" s="172" t="s">
        <v>62</v>
      </c>
      <c r="C253" s="83"/>
      <c r="D253" s="83"/>
      <c r="E253" s="11">
        <f t="shared" si="226"/>
        <v>0</v>
      </c>
      <c r="F253" s="141"/>
      <c r="G253" s="13" t="e">
        <f t="shared" si="227"/>
        <v>#DIV/0!</v>
      </c>
      <c r="H253" s="83"/>
      <c r="I253" s="125"/>
      <c r="J253" s="83">
        <f t="shared" si="228"/>
        <v>0</v>
      </c>
      <c r="K253" s="83">
        <f t="shared" si="229"/>
        <v>0</v>
      </c>
      <c r="L253" s="136" t="e">
        <f t="shared" si="230"/>
        <v>#DIV/0!</v>
      </c>
      <c r="M253" s="116"/>
      <c r="N253" s="121">
        <v>3000000</v>
      </c>
    </row>
    <row r="254" spans="1:14" ht="16">
      <c r="A254" s="138">
        <v>46106</v>
      </c>
      <c r="B254" s="172" t="s">
        <v>62</v>
      </c>
      <c r="C254" s="83"/>
      <c r="D254" s="83"/>
      <c r="E254" s="11">
        <f t="shared" si="226"/>
        <v>0</v>
      </c>
      <c r="F254" s="141"/>
      <c r="G254" s="13" t="e">
        <f t="shared" si="227"/>
        <v>#DIV/0!</v>
      </c>
      <c r="H254" s="83"/>
      <c r="I254" s="125"/>
      <c r="J254" s="83">
        <f t="shared" si="228"/>
        <v>0</v>
      </c>
      <c r="K254" s="83">
        <f t="shared" si="229"/>
        <v>0</v>
      </c>
      <c r="L254" s="136" t="e">
        <f t="shared" si="230"/>
        <v>#DIV/0!</v>
      </c>
      <c r="M254" s="116"/>
      <c r="N254" s="121">
        <v>4000000</v>
      </c>
    </row>
    <row r="255" spans="1:14" ht="16">
      <c r="A255" s="138">
        <v>46108</v>
      </c>
      <c r="B255" s="172" t="s">
        <v>62</v>
      </c>
      <c r="C255" s="83"/>
      <c r="D255" s="83"/>
      <c r="E255" s="11">
        <f t="shared" si="226"/>
        <v>0</v>
      </c>
      <c r="F255" s="141"/>
      <c r="G255" s="13" t="e">
        <f t="shared" si="227"/>
        <v>#DIV/0!</v>
      </c>
      <c r="H255" s="83"/>
      <c r="I255" s="125"/>
      <c r="J255" s="83">
        <f t="shared" si="228"/>
        <v>0</v>
      </c>
      <c r="K255" s="83">
        <f t="shared" si="229"/>
        <v>0</v>
      </c>
      <c r="L255" s="136" t="e">
        <f t="shared" si="230"/>
        <v>#DIV/0!</v>
      </c>
      <c r="M255" s="116"/>
      <c r="N255" s="121">
        <v>3000000</v>
      </c>
    </row>
    <row r="256" spans="1:14" ht="16">
      <c r="A256" s="59"/>
      <c r="B256" s="60"/>
      <c r="C256" s="59"/>
      <c r="D256" s="59"/>
      <c r="E256" s="59">
        <f t="shared" ref="E256:F256" si="231">SUM(E251:E255)</f>
        <v>0</v>
      </c>
      <c r="F256" s="59">
        <f t="shared" si="231"/>
        <v>0</v>
      </c>
      <c r="G256" s="61" t="e">
        <f>AVERAGE(G251:G255)</f>
        <v>#DIV/0!</v>
      </c>
      <c r="H256" s="59"/>
      <c r="I256" s="62"/>
      <c r="J256" s="59">
        <f t="shared" ref="J256:K256" si="232">SUM(J251:J255)</f>
        <v>0</v>
      </c>
      <c r="K256" s="59">
        <f t="shared" si="232"/>
        <v>0</v>
      </c>
      <c r="L256" s="61" t="e">
        <f>AVERAGE(L251:L255)</f>
        <v>#DIV/0!</v>
      </c>
      <c r="M256" s="64"/>
      <c r="N256" s="65">
        <f>SUM(N251:N255)</f>
        <v>23700000</v>
      </c>
    </row>
    <row r="257" spans="1:14" ht="16">
      <c r="A257" s="66">
        <v>46085</v>
      </c>
      <c r="B257" s="140" t="s">
        <v>54</v>
      </c>
      <c r="C257" s="83"/>
      <c r="D257" s="12"/>
      <c r="E257" s="36">
        <f t="shared" ref="E257:E262" si="233">D257-C257</f>
        <v>0</v>
      </c>
      <c r="F257" s="37"/>
      <c r="G257" s="13" t="e">
        <f t="shared" ref="G257:G262" si="234">(F257/E257)*100</f>
        <v>#DIV/0!</v>
      </c>
      <c r="H257" s="83"/>
      <c r="I257" s="126"/>
      <c r="J257" s="39">
        <f t="shared" ref="J257:J264" si="235">I257-H257</f>
        <v>0</v>
      </c>
      <c r="K257" s="39"/>
      <c r="L257" s="136" t="e">
        <f t="shared" ref="L257:L264" si="236">(K257/J257)*100</f>
        <v>#DIV/0!</v>
      </c>
      <c r="M257" s="68"/>
      <c r="N257" s="47">
        <v>8700000</v>
      </c>
    </row>
    <row r="258" spans="1:14" ht="16">
      <c r="A258" s="33">
        <v>46083</v>
      </c>
      <c r="B258" s="140" t="s">
        <v>54</v>
      </c>
      <c r="C258" s="83"/>
      <c r="D258" s="83"/>
      <c r="E258" s="11">
        <f t="shared" si="233"/>
        <v>0</v>
      </c>
      <c r="F258" s="141"/>
      <c r="G258" s="13" t="e">
        <f t="shared" si="234"/>
        <v>#DIV/0!</v>
      </c>
      <c r="H258" s="83"/>
      <c r="I258" s="125"/>
      <c r="J258" s="83">
        <f t="shared" si="235"/>
        <v>0</v>
      </c>
      <c r="K258" s="83">
        <f t="shared" ref="K258:K264" si="237">F258</f>
        <v>0</v>
      </c>
      <c r="L258" s="136" t="e">
        <f t="shared" si="236"/>
        <v>#DIV/0!</v>
      </c>
      <c r="M258" s="116"/>
      <c r="N258" s="47">
        <v>3000000</v>
      </c>
    </row>
    <row r="259" spans="1:14" ht="16">
      <c r="A259" s="33">
        <v>46102</v>
      </c>
      <c r="B259" s="140" t="s">
        <v>54</v>
      </c>
      <c r="C259" s="83"/>
      <c r="D259" s="83"/>
      <c r="E259" s="11">
        <f t="shared" si="233"/>
        <v>0</v>
      </c>
      <c r="F259" s="141"/>
      <c r="G259" s="13" t="e">
        <f t="shared" si="234"/>
        <v>#DIV/0!</v>
      </c>
      <c r="H259" s="83"/>
      <c r="I259" s="125"/>
      <c r="J259" s="83">
        <f t="shared" si="235"/>
        <v>0</v>
      </c>
      <c r="K259" s="83">
        <f t="shared" si="237"/>
        <v>0</v>
      </c>
      <c r="L259" s="136" t="e">
        <f t="shared" si="236"/>
        <v>#DIV/0!</v>
      </c>
      <c r="M259" s="116"/>
      <c r="N259" s="47">
        <v>3000000</v>
      </c>
    </row>
    <row r="260" spans="1:14" ht="16">
      <c r="A260" s="33">
        <v>46108</v>
      </c>
      <c r="B260" s="140" t="s">
        <v>54</v>
      </c>
      <c r="C260" s="83"/>
      <c r="D260" s="83"/>
      <c r="E260" s="11">
        <f t="shared" si="233"/>
        <v>0</v>
      </c>
      <c r="F260" s="141"/>
      <c r="G260" s="13" t="e">
        <f t="shared" si="234"/>
        <v>#DIV/0!</v>
      </c>
      <c r="H260" s="83"/>
      <c r="I260" s="125"/>
      <c r="J260" s="83">
        <f t="shared" si="235"/>
        <v>0</v>
      </c>
      <c r="K260" s="83">
        <f t="shared" si="237"/>
        <v>0</v>
      </c>
      <c r="L260" s="136" t="e">
        <f t="shared" si="236"/>
        <v>#DIV/0!</v>
      </c>
      <c r="M260" s="116"/>
      <c r="N260" s="47">
        <v>5000000</v>
      </c>
    </row>
    <row r="261" spans="1:14" ht="16">
      <c r="A261" s="33">
        <v>46092</v>
      </c>
      <c r="B261" s="140" t="s">
        <v>54</v>
      </c>
      <c r="C261" s="83"/>
      <c r="D261" s="83"/>
      <c r="E261" s="11">
        <f t="shared" si="233"/>
        <v>0</v>
      </c>
      <c r="F261" s="141"/>
      <c r="G261" s="13" t="e">
        <f t="shared" si="234"/>
        <v>#DIV/0!</v>
      </c>
      <c r="H261" s="83"/>
      <c r="I261" s="125"/>
      <c r="J261" s="83">
        <f t="shared" si="235"/>
        <v>0</v>
      </c>
      <c r="K261" s="83">
        <f t="shared" si="237"/>
        <v>0</v>
      </c>
      <c r="L261" s="136" t="e">
        <f t="shared" si="236"/>
        <v>#DIV/0!</v>
      </c>
      <c r="M261" s="116"/>
      <c r="N261" s="47">
        <v>10000000</v>
      </c>
    </row>
    <row r="262" spans="1:14" ht="16">
      <c r="A262" s="33">
        <v>46091</v>
      </c>
      <c r="B262" s="140" t="s">
        <v>54</v>
      </c>
      <c r="C262" s="83"/>
      <c r="D262" s="83"/>
      <c r="E262" s="11">
        <f t="shared" si="233"/>
        <v>0</v>
      </c>
      <c r="F262" s="141"/>
      <c r="G262" s="13" t="e">
        <f t="shared" si="234"/>
        <v>#DIV/0!</v>
      </c>
      <c r="H262" s="83"/>
      <c r="I262" s="125"/>
      <c r="J262" s="83">
        <f t="shared" si="235"/>
        <v>0</v>
      </c>
      <c r="K262" s="83">
        <f t="shared" si="237"/>
        <v>0</v>
      </c>
      <c r="L262" s="136" t="e">
        <f t="shared" si="236"/>
        <v>#DIV/0!</v>
      </c>
      <c r="M262" s="116"/>
      <c r="N262" s="47">
        <v>2000000</v>
      </c>
    </row>
    <row r="263" spans="1:14" ht="16">
      <c r="A263" s="33"/>
      <c r="B263" s="140" t="s">
        <v>54</v>
      </c>
      <c r="C263" s="83"/>
      <c r="D263" s="83"/>
      <c r="E263" s="11"/>
      <c r="F263" s="141"/>
      <c r="G263" s="13"/>
      <c r="H263" s="83"/>
      <c r="I263" s="125"/>
      <c r="J263" s="83">
        <f t="shared" si="235"/>
        <v>0</v>
      </c>
      <c r="K263" s="83">
        <f t="shared" si="237"/>
        <v>0</v>
      </c>
      <c r="L263" s="136" t="e">
        <f t="shared" si="236"/>
        <v>#DIV/0!</v>
      </c>
      <c r="M263" s="116"/>
      <c r="N263" s="47">
        <f t="shared" ref="N263:N264" si="238">M263*F263</f>
        <v>0</v>
      </c>
    </row>
    <row r="264" spans="1:14" ht="16">
      <c r="A264" s="33"/>
      <c r="B264" s="140" t="s">
        <v>54</v>
      </c>
      <c r="C264" s="83"/>
      <c r="D264" s="83"/>
      <c r="E264" s="11">
        <f>D264-C264</f>
        <v>0</v>
      </c>
      <c r="F264" s="141"/>
      <c r="G264" s="13" t="e">
        <f>(F264/E264)*100</f>
        <v>#DIV/0!</v>
      </c>
      <c r="H264" s="83"/>
      <c r="I264" s="125"/>
      <c r="J264" s="83">
        <f t="shared" si="235"/>
        <v>0</v>
      </c>
      <c r="K264" s="83">
        <f t="shared" si="237"/>
        <v>0</v>
      </c>
      <c r="L264" s="136" t="e">
        <f t="shared" si="236"/>
        <v>#DIV/0!</v>
      </c>
      <c r="M264" s="116"/>
      <c r="N264" s="47">
        <f t="shared" si="238"/>
        <v>0</v>
      </c>
    </row>
    <row r="265" spans="1:14" ht="16">
      <c r="A265" s="66"/>
      <c r="B265" s="60"/>
      <c r="C265" s="59"/>
      <c r="D265" s="59" t="s">
        <v>19</v>
      </c>
      <c r="E265" s="59">
        <f t="shared" ref="E265:F265" si="239">SUM(E257:E264)</f>
        <v>0</v>
      </c>
      <c r="F265" s="59">
        <f t="shared" si="239"/>
        <v>0</v>
      </c>
      <c r="G265" s="61" t="e">
        <f>AVERAGE(G257:G264)</f>
        <v>#DIV/0!</v>
      </c>
      <c r="H265" s="59"/>
      <c r="I265" s="62"/>
      <c r="J265" s="59">
        <f t="shared" ref="J265:K265" si="240">SUM(J257:J264)</f>
        <v>0</v>
      </c>
      <c r="K265" s="59">
        <f t="shared" si="240"/>
        <v>0</v>
      </c>
      <c r="L265" s="61" t="e">
        <f>AVERAGE(L257:L264)</f>
        <v>#DIV/0!</v>
      </c>
      <c r="M265" s="64"/>
      <c r="N265" s="65">
        <f>SUM(N257:N264)</f>
        <v>31700000</v>
      </c>
    </row>
    <row r="266" spans="1:14" ht="16">
      <c r="A266" s="66">
        <v>46084</v>
      </c>
      <c r="B266" s="140" t="s">
        <v>69</v>
      </c>
      <c r="C266" s="83"/>
      <c r="D266" s="12"/>
      <c r="E266" s="36">
        <f t="shared" ref="E266:E271" si="241">D266-C266</f>
        <v>0</v>
      </c>
      <c r="F266" s="37"/>
      <c r="G266" s="13" t="e">
        <f t="shared" ref="G266:G271" si="242">(F266/E266)*100</f>
        <v>#DIV/0!</v>
      </c>
      <c r="H266" s="83"/>
      <c r="I266" s="126"/>
      <c r="J266" s="39">
        <f t="shared" ref="J266:J271" si="243">I266-H266</f>
        <v>0</v>
      </c>
      <c r="K266" s="39">
        <f t="shared" ref="K266:K271" si="244">F266</f>
        <v>0</v>
      </c>
      <c r="L266" s="67" t="e">
        <f t="shared" ref="L266:L271" si="245">(K266/J266)*100</f>
        <v>#DIV/0!</v>
      </c>
      <c r="M266" s="68"/>
      <c r="N266" s="47">
        <v>1000000</v>
      </c>
    </row>
    <row r="267" spans="1:14" ht="16">
      <c r="A267" s="33">
        <v>46084</v>
      </c>
      <c r="B267" s="140" t="s">
        <v>69</v>
      </c>
      <c r="C267" s="83"/>
      <c r="D267" s="83"/>
      <c r="E267" s="11">
        <f t="shared" si="241"/>
        <v>0</v>
      </c>
      <c r="F267" s="141"/>
      <c r="G267" s="13" t="e">
        <f t="shared" si="242"/>
        <v>#DIV/0!</v>
      </c>
      <c r="H267" s="83"/>
      <c r="I267" s="125"/>
      <c r="J267" s="35">
        <f t="shared" si="243"/>
        <v>0</v>
      </c>
      <c r="K267" s="35">
        <f t="shared" si="244"/>
        <v>0</v>
      </c>
      <c r="L267" s="46" t="e">
        <f t="shared" si="245"/>
        <v>#DIV/0!</v>
      </c>
      <c r="M267" s="116"/>
      <c r="N267" s="47">
        <v>6000000</v>
      </c>
    </row>
    <row r="268" spans="1:14" ht="16">
      <c r="A268" s="33">
        <v>46088</v>
      </c>
      <c r="B268" s="140" t="s">
        <v>69</v>
      </c>
      <c r="C268" s="83"/>
      <c r="D268" s="12"/>
      <c r="E268" s="36">
        <f t="shared" si="241"/>
        <v>0</v>
      </c>
      <c r="F268" s="37"/>
      <c r="G268" s="13" t="e">
        <f t="shared" si="242"/>
        <v>#DIV/0!</v>
      </c>
      <c r="H268" s="83"/>
      <c r="I268" s="126"/>
      <c r="J268" s="39">
        <f t="shared" si="243"/>
        <v>0</v>
      </c>
      <c r="K268" s="39">
        <f t="shared" si="244"/>
        <v>0</v>
      </c>
      <c r="L268" s="67" t="e">
        <f t="shared" si="245"/>
        <v>#DIV/0!</v>
      </c>
      <c r="M268" s="68"/>
      <c r="N268" s="47">
        <v>2000000</v>
      </c>
    </row>
    <row r="269" spans="1:14" ht="16">
      <c r="A269" s="33">
        <v>46092</v>
      </c>
      <c r="B269" s="140" t="s">
        <v>69</v>
      </c>
      <c r="C269" s="83"/>
      <c r="D269" s="83"/>
      <c r="E269" s="11">
        <f t="shared" si="241"/>
        <v>0</v>
      </c>
      <c r="F269" s="141">
        <v>250</v>
      </c>
      <c r="G269" s="13" t="e">
        <f t="shared" si="242"/>
        <v>#DIV/0!</v>
      </c>
      <c r="H269" s="83"/>
      <c r="I269" s="125"/>
      <c r="J269" s="35">
        <f t="shared" si="243"/>
        <v>0</v>
      </c>
      <c r="K269" s="35">
        <f t="shared" si="244"/>
        <v>250</v>
      </c>
      <c r="L269" s="46" t="e">
        <f t="shared" si="245"/>
        <v>#DIV/0!</v>
      </c>
      <c r="M269" s="116">
        <v>30710</v>
      </c>
      <c r="N269" s="47">
        <f>M269*F269</f>
        <v>7677500</v>
      </c>
    </row>
    <row r="270" spans="1:14" ht="16">
      <c r="A270" s="33">
        <v>46099</v>
      </c>
      <c r="B270" s="140" t="s">
        <v>69</v>
      </c>
      <c r="C270" s="83"/>
      <c r="D270" s="83"/>
      <c r="E270" s="11">
        <f t="shared" si="241"/>
        <v>0</v>
      </c>
      <c r="F270" s="141"/>
      <c r="G270" s="13" t="e">
        <f t="shared" si="242"/>
        <v>#DIV/0!</v>
      </c>
      <c r="H270" s="83"/>
      <c r="I270" s="125"/>
      <c r="J270" s="35">
        <f t="shared" si="243"/>
        <v>0</v>
      </c>
      <c r="K270" s="35">
        <f t="shared" si="244"/>
        <v>0</v>
      </c>
      <c r="L270" s="73" t="e">
        <f t="shared" si="245"/>
        <v>#DIV/0!</v>
      </c>
      <c r="M270" s="116"/>
      <c r="N270" s="47">
        <v>2000000</v>
      </c>
    </row>
    <row r="271" spans="1:14" ht="16">
      <c r="A271" s="33">
        <v>46100</v>
      </c>
      <c r="B271" s="140" t="s">
        <v>69</v>
      </c>
      <c r="C271" s="83"/>
      <c r="D271" s="83"/>
      <c r="E271" s="11">
        <f t="shared" si="241"/>
        <v>0</v>
      </c>
      <c r="F271" s="141"/>
      <c r="G271" s="13" t="e">
        <f t="shared" si="242"/>
        <v>#DIV/0!</v>
      </c>
      <c r="H271" s="83"/>
      <c r="I271" s="125"/>
      <c r="J271" s="83">
        <f t="shared" si="243"/>
        <v>0</v>
      </c>
      <c r="K271" s="83">
        <f t="shared" si="244"/>
        <v>0</v>
      </c>
      <c r="L271" s="136" t="e">
        <f t="shared" si="245"/>
        <v>#DIV/0!</v>
      </c>
      <c r="M271" s="116"/>
      <c r="N271" s="47">
        <v>7780000</v>
      </c>
    </row>
    <row r="272" spans="1:14" ht="16">
      <c r="A272" s="66"/>
      <c r="B272" s="60"/>
      <c r="C272" s="59"/>
      <c r="D272" s="59" t="s">
        <v>19</v>
      </c>
      <c r="E272" s="59">
        <f t="shared" ref="E272:F272" si="246">SUM(E266:E271)</f>
        <v>0</v>
      </c>
      <c r="F272" s="59">
        <f t="shared" si="246"/>
        <v>250</v>
      </c>
      <c r="G272" s="61" t="e">
        <f>AVERAGE(G266:G271)</f>
        <v>#DIV/0!</v>
      </c>
      <c r="H272" s="59"/>
      <c r="I272" s="62"/>
      <c r="J272" s="59">
        <f t="shared" ref="J272:K272" si="247">SUM(J266:J271)</f>
        <v>0</v>
      </c>
      <c r="K272" s="59">
        <f t="shared" si="247"/>
        <v>250</v>
      </c>
      <c r="L272" s="61" t="e">
        <f>AVERAGE(L266:L271)</f>
        <v>#DIV/0!</v>
      </c>
      <c r="M272" s="64"/>
      <c r="N272" s="65">
        <f>SUM(N266:N271)</f>
        <v>26457500</v>
      </c>
    </row>
    <row r="273" spans="1:14" ht="16">
      <c r="A273" s="66">
        <v>46085</v>
      </c>
      <c r="B273" s="174" t="s">
        <v>63</v>
      </c>
      <c r="C273" s="12">
        <v>151415</v>
      </c>
      <c r="D273" s="83">
        <v>152261</v>
      </c>
      <c r="E273" s="36">
        <f t="shared" ref="E273:E278" si="248">D273-C273</f>
        <v>846</v>
      </c>
      <c r="F273" s="37"/>
      <c r="G273" s="13">
        <f t="shared" ref="G273:G278" si="249">(F273/E273)*100</f>
        <v>0</v>
      </c>
      <c r="H273" s="83">
        <v>151342</v>
      </c>
      <c r="I273" s="83">
        <v>152101</v>
      </c>
      <c r="J273" s="39">
        <f t="shared" ref="J273:J278" si="250">I273-H273</f>
        <v>759</v>
      </c>
      <c r="K273" s="39">
        <f t="shared" ref="K273:K278" si="251">F273</f>
        <v>0</v>
      </c>
      <c r="L273" s="136">
        <f t="shared" ref="L273:L278" si="252">(K273/J273)*100</f>
        <v>0</v>
      </c>
      <c r="M273" s="68">
        <v>19270</v>
      </c>
      <c r="N273" s="47">
        <v>5000000</v>
      </c>
    </row>
    <row r="274" spans="1:14" ht="16">
      <c r="A274" s="33">
        <v>46093</v>
      </c>
      <c r="B274" s="174" t="s">
        <v>63</v>
      </c>
      <c r="C274" s="83">
        <v>152261</v>
      </c>
      <c r="D274" s="12">
        <v>153284</v>
      </c>
      <c r="E274" s="11">
        <f t="shared" si="248"/>
        <v>1023</v>
      </c>
      <c r="F274" s="141">
        <v>289.01</v>
      </c>
      <c r="G274" s="13">
        <f t="shared" si="249"/>
        <v>28.251221896383189</v>
      </c>
      <c r="H274" s="83">
        <v>152101</v>
      </c>
      <c r="I274" s="83">
        <v>153156</v>
      </c>
      <c r="J274" s="39">
        <f t="shared" si="250"/>
        <v>1055</v>
      </c>
      <c r="K274" s="35">
        <f t="shared" si="251"/>
        <v>289.01</v>
      </c>
      <c r="L274" s="136">
        <f t="shared" si="252"/>
        <v>27.394312796208531</v>
      </c>
      <c r="M274" s="68">
        <v>26470</v>
      </c>
      <c r="N274" s="47">
        <v>7650000</v>
      </c>
    </row>
    <row r="275" spans="1:14" ht="16">
      <c r="A275" s="33">
        <v>46102</v>
      </c>
      <c r="B275" s="174" t="s">
        <v>63</v>
      </c>
      <c r="C275" s="12">
        <v>153284</v>
      </c>
      <c r="D275" s="83">
        <v>154172</v>
      </c>
      <c r="E275" s="11">
        <f t="shared" si="248"/>
        <v>888</v>
      </c>
      <c r="F275" s="141">
        <v>89.77</v>
      </c>
      <c r="G275" s="13">
        <f t="shared" si="249"/>
        <v>10.109234234234235</v>
      </c>
      <c r="H275" s="83">
        <v>153156</v>
      </c>
      <c r="I275" s="83">
        <v>154017</v>
      </c>
      <c r="J275" s="83">
        <f t="shared" si="250"/>
        <v>861</v>
      </c>
      <c r="K275" s="35">
        <f t="shared" si="251"/>
        <v>89.77</v>
      </c>
      <c r="L275" s="136">
        <f t="shared" si="252"/>
        <v>10.426248548199766</v>
      </c>
      <c r="M275" s="116">
        <v>33420</v>
      </c>
      <c r="N275" s="47">
        <f>M275*F275</f>
        <v>3000113.4</v>
      </c>
    </row>
    <row r="276" spans="1:14" ht="16">
      <c r="A276" s="211">
        <v>46107</v>
      </c>
      <c r="B276" s="174" t="s">
        <v>63</v>
      </c>
      <c r="C276" s="212"/>
      <c r="D276" s="212"/>
      <c r="E276" s="213">
        <f t="shared" si="248"/>
        <v>0</v>
      </c>
      <c r="F276" s="214"/>
      <c r="G276" s="215" t="e">
        <f t="shared" si="249"/>
        <v>#DIV/0!</v>
      </c>
      <c r="H276" s="212"/>
      <c r="I276" s="212"/>
      <c r="J276" s="212">
        <f t="shared" si="250"/>
        <v>0</v>
      </c>
      <c r="K276" s="216">
        <f t="shared" si="251"/>
        <v>0</v>
      </c>
      <c r="L276" s="217" t="e">
        <f t="shared" si="252"/>
        <v>#DIV/0!</v>
      </c>
      <c r="M276" s="218"/>
      <c r="N276" s="219">
        <v>13150000</v>
      </c>
    </row>
    <row r="277" spans="1:14" ht="16">
      <c r="A277" s="33"/>
      <c r="B277" s="174" t="s">
        <v>63</v>
      </c>
      <c r="C277" s="35"/>
      <c r="D277" s="83"/>
      <c r="E277" s="11">
        <f t="shared" si="248"/>
        <v>0</v>
      </c>
      <c r="F277" s="141"/>
      <c r="G277" s="13" t="e">
        <f t="shared" si="249"/>
        <v>#DIV/0!</v>
      </c>
      <c r="H277" s="83"/>
      <c r="I277" s="125"/>
      <c r="J277" s="83">
        <f t="shared" si="250"/>
        <v>0</v>
      </c>
      <c r="K277" s="35">
        <f t="shared" si="251"/>
        <v>0</v>
      </c>
      <c r="L277" s="136" t="e">
        <f t="shared" si="252"/>
        <v>#DIV/0!</v>
      </c>
      <c r="M277" s="116"/>
      <c r="N277" s="47">
        <f t="shared" ref="N277:N278" si="253">M277*F277</f>
        <v>0</v>
      </c>
    </row>
    <row r="278" spans="1:14" ht="16">
      <c r="A278" s="138"/>
      <c r="B278" s="174" t="s">
        <v>63</v>
      </c>
      <c r="C278" s="83"/>
      <c r="D278" s="83"/>
      <c r="E278" s="11">
        <f t="shared" si="248"/>
        <v>0</v>
      </c>
      <c r="F278" s="141"/>
      <c r="G278" s="13" t="e">
        <f t="shared" si="249"/>
        <v>#DIV/0!</v>
      </c>
      <c r="H278" s="83"/>
      <c r="I278" s="125"/>
      <c r="J278" s="83">
        <f t="shared" si="250"/>
        <v>0</v>
      </c>
      <c r="K278" s="35">
        <f t="shared" si="251"/>
        <v>0</v>
      </c>
      <c r="L278" s="136" t="e">
        <f t="shared" si="252"/>
        <v>#DIV/0!</v>
      </c>
      <c r="M278" s="116"/>
      <c r="N278" s="47">
        <f t="shared" si="253"/>
        <v>0</v>
      </c>
    </row>
    <row r="279" spans="1:14" ht="16">
      <c r="A279" s="59"/>
      <c r="B279" s="60"/>
      <c r="C279" s="59"/>
      <c r="D279" s="59" t="s">
        <v>19</v>
      </c>
      <c r="E279" s="59">
        <f t="shared" ref="E279:F279" si="254">SUM(E273:E278)</f>
        <v>2757</v>
      </c>
      <c r="F279" s="59">
        <f t="shared" si="254"/>
        <v>378.78</v>
      </c>
      <c r="G279" s="61" t="e">
        <f>AVERAGE(G273:G278)</f>
        <v>#DIV/0!</v>
      </c>
      <c r="H279" s="59"/>
      <c r="I279" s="62"/>
      <c r="J279" s="59">
        <f t="shared" ref="J279:K279" si="255">SUM(J273:J278)</f>
        <v>2675</v>
      </c>
      <c r="K279" s="59">
        <f t="shared" si="255"/>
        <v>378.78</v>
      </c>
      <c r="L279" s="61" t="e">
        <f>AVERAGE(L273:L278)</f>
        <v>#DIV/0!</v>
      </c>
      <c r="M279" s="64"/>
      <c r="N279" s="65">
        <f>SUM(N273:N278)</f>
        <v>28800113.399999999</v>
      </c>
    </row>
    <row r="280" spans="1:14" ht="16">
      <c r="A280" s="66">
        <v>46085</v>
      </c>
      <c r="B280" s="174" t="s">
        <v>57</v>
      </c>
      <c r="C280" s="83">
        <v>6822</v>
      </c>
      <c r="D280" s="83">
        <v>7387</v>
      </c>
      <c r="E280" s="11">
        <f t="shared" ref="E280:E287" si="256">D280-C280</f>
        <v>565</v>
      </c>
      <c r="F280" s="37">
        <v>155.66999999999999</v>
      </c>
      <c r="G280" s="13">
        <f t="shared" ref="G280:G287" si="257">(F280/E280)*100</f>
        <v>27.552212389380532</v>
      </c>
      <c r="H280" s="125"/>
      <c r="I280" s="125">
        <v>7343</v>
      </c>
      <c r="J280" s="39">
        <f t="shared" ref="J280:J287" si="258">I280-H280</f>
        <v>7343</v>
      </c>
      <c r="K280" s="39">
        <f t="shared" ref="K280:K287" si="259">F280</f>
        <v>155.66999999999999</v>
      </c>
      <c r="L280" s="136">
        <f t="shared" ref="L280:L287" si="260">(K280/J280)*100</f>
        <v>2.1199782105406508</v>
      </c>
      <c r="M280" s="68">
        <v>19270</v>
      </c>
      <c r="N280" s="47">
        <f t="shared" ref="N280:N287" si="261">M280*F280</f>
        <v>2999760.9</v>
      </c>
    </row>
    <row r="281" spans="1:14" ht="16">
      <c r="A281" s="33">
        <v>46088</v>
      </c>
      <c r="B281" s="174" t="s">
        <v>57</v>
      </c>
      <c r="C281" s="83">
        <v>7387</v>
      </c>
      <c r="D281" s="12">
        <v>7761</v>
      </c>
      <c r="E281" s="11">
        <f t="shared" si="256"/>
        <v>374</v>
      </c>
      <c r="F281" s="141">
        <v>86.84</v>
      </c>
      <c r="G281" s="13">
        <f t="shared" si="257"/>
        <v>23.219251336898399</v>
      </c>
      <c r="H281" s="125">
        <v>7343</v>
      </c>
      <c r="I281" s="125">
        <v>7781</v>
      </c>
      <c r="J281" s="83">
        <f t="shared" si="258"/>
        <v>438</v>
      </c>
      <c r="K281" s="39">
        <f t="shared" si="259"/>
        <v>86.84</v>
      </c>
      <c r="L281" s="136">
        <f t="shared" si="260"/>
        <v>19.826484018264843</v>
      </c>
      <c r="M281" s="68">
        <v>23030</v>
      </c>
      <c r="N281" s="47">
        <f t="shared" si="261"/>
        <v>1999925.2000000002</v>
      </c>
    </row>
    <row r="282" spans="1:14" ht="16">
      <c r="A282" s="33">
        <v>46091</v>
      </c>
      <c r="B282" s="174" t="s">
        <v>57</v>
      </c>
      <c r="C282" s="12">
        <v>7761</v>
      </c>
      <c r="D282" s="83">
        <v>8017</v>
      </c>
      <c r="E282" s="11">
        <f t="shared" si="256"/>
        <v>256</v>
      </c>
      <c r="F282" s="141">
        <v>66.16</v>
      </c>
      <c r="G282" s="13">
        <f t="shared" si="257"/>
        <v>25.84375</v>
      </c>
      <c r="H282" s="125">
        <v>7781</v>
      </c>
      <c r="I282" s="125">
        <v>7960</v>
      </c>
      <c r="J282" s="83">
        <f t="shared" si="258"/>
        <v>179</v>
      </c>
      <c r="K282" s="35">
        <f t="shared" si="259"/>
        <v>66.16</v>
      </c>
      <c r="L282" s="136">
        <f t="shared" si="260"/>
        <v>36.960893854748598</v>
      </c>
      <c r="M282" s="68">
        <v>30230</v>
      </c>
      <c r="N282" s="47">
        <f t="shared" si="261"/>
        <v>2000016.7999999998</v>
      </c>
    </row>
    <row r="283" spans="1:14" ht="16">
      <c r="A283" s="33">
        <v>46093</v>
      </c>
      <c r="B283" s="174" t="s">
        <v>57</v>
      </c>
      <c r="C283" s="83">
        <v>8017</v>
      </c>
      <c r="D283" s="83">
        <v>8209</v>
      </c>
      <c r="E283" s="11">
        <f t="shared" si="256"/>
        <v>192</v>
      </c>
      <c r="F283" s="141">
        <v>97.09</v>
      </c>
      <c r="G283" s="13">
        <f t="shared" si="257"/>
        <v>50.567708333333336</v>
      </c>
      <c r="H283" s="125">
        <v>7960</v>
      </c>
      <c r="I283" s="125">
        <v>8156</v>
      </c>
      <c r="J283" s="83">
        <f t="shared" si="258"/>
        <v>196</v>
      </c>
      <c r="K283" s="35">
        <f t="shared" si="259"/>
        <v>97.09</v>
      </c>
      <c r="L283" s="136">
        <f t="shared" si="260"/>
        <v>49.535714285714292</v>
      </c>
      <c r="M283" s="116">
        <v>26470</v>
      </c>
      <c r="N283" s="47">
        <f t="shared" si="261"/>
        <v>2569972.3000000003</v>
      </c>
    </row>
    <row r="284" spans="1:14" ht="16">
      <c r="A284" s="33">
        <v>46099</v>
      </c>
      <c r="B284" s="174" t="s">
        <v>57</v>
      </c>
      <c r="C284" s="83">
        <v>8209</v>
      </c>
      <c r="D284" s="83">
        <v>8761</v>
      </c>
      <c r="E284" s="11">
        <f t="shared" si="256"/>
        <v>552</v>
      </c>
      <c r="F284" s="141">
        <v>172.72</v>
      </c>
      <c r="G284" s="13">
        <f t="shared" si="257"/>
        <v>31.289855072463769</v>
      </c>
      <c r="H284" s="125">
        <v>8156</v>
      </c>
      <c r="I284" s="125">
        <v>8742</v>
      </c>
      <c r="J284" s="83">
        <f t="shared" si="258"/>
        <v>586</v>
      </c>
      <c r="K284" s="35">
        <f t="shared" si="259"/>
        <v>172.72</v>
      </c>
      <c r="L284" s="136">
        <f t="shared" si="260"/>
        <v>29.474402730375427</v>
      </c>
      <c r="M284" s="116">
        <v>27020</v>
      </c>
      <c r="N284" s="47">
        <f t="shared" si="261"/>
        <v>4666894.4000000004</v>
      </c>
    </row>
    <row r="285" spans="1:14" ht="16">
      <c r="A285" s="138">
        <v>46104</v>
      </c>
      <c r="B285" s="174" t="s">
        <v>57</v>
      </c>
      <c r="C285" s="83">
        <v>8761</v>
      </c>
      <c r="D285" s="83">
        <v>9343</v>
      </c>
      <c r="E285" s="11">
        <f t="shared" si="256"/>
        <v>582</v>
      </c>
      <c r="F285" s="141">
        <v>89.77</v>
      </c>
      <c r="G285" s="13">
        <f t="shared" si="257"/>
        <v>15.424398625429554</v>
      </c>
      <c r="H285" s="125">
        <v>8742</v>
      </c>
      <c r="I285" s="125">
        <v>9320</v>
      </c>
      <c r="J285" s="83">
        <f t="shared" si="258"/>
        <v>578</v>
      </c>
      <c r="K285" s="35">
        <f t="shared" si="259"/>
        <v>89.77</v>
      </c>
      <c r="L285" s="136">
        <f t="shared" si="260"/>
        <v>15.53114186851211</v>
      </c>
      <c r="M285" s="116">
        <v>33420</v>
      </c>
      <c r="N285" s="47">
        <f t="shared" si="261"/>
        <v>3000113.4</v>
      </c>
    </row>
    <row r="286" spans="1:14" ht="16">
      <c r="A286" s="138">
        <v>46106</v>
      </c>
      <c r="B286" s="174" t="s">
        <v>57</v>
      </c>
      <c r="C286" s="83">
        <v>9343</v>
      </c>
      <c r="D286" s="83">
        <v>9402</v>
      </c>
      <c r="E286" s="11">
        <f t="shared" si="256"/>
        <v>59</v>
      </c>
      <c r="F286" s="141">
        <v>89.77</v>
      </c>
      <c r="G286" s="13">
        <f t="shared" si="257"/>
        <v>152.15254237288133</v>
      </c>
      <c r="H286" s="125">
        <v>9320</v>
      </c>
      <c r="I286" s="125">
        <v>9464</v>
      </c>
      <c r="J286" s="83">
        <f t="shared" si="258"/>
        <v>144</v>
      </c>
      <c r="K286" s="35">
        <f t="shared" si="259"/>
        <v>89.77</v>
      </c>
      <c r="L286" s="136">
        <f t="shared" si="260"/>
        <v>62.340277777777771</v>
      </c>
      <c r="M286" s="116">
        <v>33420</v>
      </c>
      <c r="N286" s="47">
        <f t="shared" si="261"/>
        <v>3000113.4</v>
      </c>
    </row>
    <row r="287" spans="1:14" ht="16">
      <c r="A287" s="138">
        <v>46111</v>
      </c>
      <c r="B287" s="174" t="s">
        <v>57</v>
      </c>
      <c r="C287" s="83">
        <v>9402</v>
      </c>
      <c r="D287" s="83">
        <v>9931</v>
      </c>
      <c r="E287" s="11">
        <f t="shared" si="256"/>
        <v>529</v>
      </c>
      <c r="F287" s="141">
        <v>84.65</v>
      </c>
      <c r="G287" s="13">
        <f t="shared" si="257"/>
        <v>16.001890359168243</v>
      </c>
      <c r="H287" s="125">
        <v>9464</v>
      </c>
      <c r="I287" s="125">
        <v>9937</v>
      </c>
      <c r="J287" s="83">
        <f t="shared" si="258"/>
        <v>473</v>
      </c>
      <c r="K287" s="35">
        <f t="shared" si="259"/>
        <v>84.65</v>
      </c>
      <c r="L287" s="136">
        <f t="shared" si="260"/>
        <v>17.896405919661735</v>
      </c>
      <c r="M287" s="116">
        <v>35440</v>
      </c>
      <c r="N287" s="47">
        <f t="shared" si="261"/>
        <v>2999996</v>
      </c>
    </row>
    <row r="288" spans="1:14" ht="16">
      <c r="A288" s="59"/>
      <c r="B288" s="60"/>
      <c r="C288" s="59"/>
      <c r="D288" s="59" t="s">
        <v>19</v>
      </c>
      <c r="E288" s="59">
        <f>SUM(E280:E285)</f>
        <v>2521</v>
      </c>
      <c r="F288" s="59">
        <f>SUM(F280:F287)</f>
        <v>842.67</v>
      </c>
      <c r="G288" s="61">
        <f>AVERAGE(G280:G285)</f>
        <v>28.982862626250935</v>
      </c>
      <c r="H288" s="59"/>
      <c r="I288" s="62"/>
      <c r="J288" s="59">
        <f t="shared" ref="J288:K288" si="262">SUM(J280:J285)</f>
        <v>9320</v>
      </c>
      <c r="K288" s="59">
        <f t="shared" si="262"/>
        <v>668.25</v>
      </c>
      <c r="L288" s="61">
        <f>AVERAGE(L280:L285)</f>
        <v>25.574769161359324</v>
      </c>
      <c r="M288" s="64"/>
      <c r="N288" s="65">
        <f>SUM(N280:N287)</f>
        <v>23236792.399999999</v>
      </c>
    </row>
    <row r="289" spans="1:14" ht="16">
      <c r="A289" s="66">
        <v>46083</v>
      </c>
      <c r="B289" s="174" t="s">
        <v>58</v>
      </c>
      <c r="C289" s="83">
        <v>6321</v>
      </c>
      <c r="D289" s="83">
        <v>7130</v>
      </c>
      <c r="E289" s="11">
        <f t="shared" ref="E289:E297" si="263">D289-C289</f>
        <v>809</v>
      </c>
      <c r="F289" s="37">
        <v>197.2</v>
      </c>
      <c r="G289" s="13">
        <f t="shared" ref="G289:G297" si="264">(F289/E289)*100</f>
        <v>24.375772558714463</v>
      </c>
      <c r="H289" s="125"/>
      <c r="I289" s="125">
        <v>6859</v>
      </c>
      <c r="J289" s="83">
        <f t="shared" ref="J289:J297" si="265">I289-H289</f>
        <v>6859</v>
      </c>
      <c r="K289" s="39">
        <f t="shared" ref="K289:K297" si="266">F289</f>
        <v>197.2</v>
      </c>
      <c r="L289" s="136">
        <f t="shared" ref="L289:L297" si="267">(K289/J289)*100</f>
        <v>2.8750546726928126</v>
      </c>
      <c r="M289" s="68">
        <v>19270</v>
      </c>
      <c r="N289" s="47">
        <f t="shared" ref="N289:N297" si="268">M289*F289</f>
        <v>3800044</v>
      </c>
    </row>
    <row r="290" spans="1:14" ht="16">
      <c r="A290" s="33">
        <v>46086</v>
      </c>
      <c r="B290" s="174" t="s">
        <v>58</v>
      </c>
      <c r="C290" s="83">
        <v>7130</v>
      </c>
      <c r="D290" s="12">
        <v>7478</v>
      </c>
      <c r="E290" s="11">
        <f t="shared" si="263"/>
        <v>348</v>
      </c>
      <c r="F290" s="141">
        <v>122.73</v>
      </c>
      <c r="G290" s="13">
        <f t="shared" si="264"/>
        <v>35.267241379310342</v>
      </c>
      <c r="H290" s="125">
        <v>6859</v>
      </c>
      <c r="I290" s="125">
        <v>7250</v>
      </c>
      <c r="J290" s="83">
        <f t="shared" si="265"/>
        <v>391</v>
      </c>
      <c r="K290" s="35">
        <f t="shared" si="266"/>
        <v>122.73</v>
      </c>
      <c r="L290" s="136">
        <f t="shared" si="267"/>
        <v>31.388746803069058</v>
      </c>
      <c r="M290" s="68">
        <v>19270</v>
      </c>
      <c r="N290" s="47">
        <f t="shared" si="268"/>
        <v>2365007.1</v>
      </c>
    </row>
    <row r="291" spans="1:14" ht="16">
      <c r="A291" s="33">
        <v>46088</v>
      </c>
      <c r="B291" s="174" t="s">
        <v>58</v>
      </c>
      <c r="C291" s="12">
        <v>7478</v>
      </c>
      <c r="D291" s="83">
        <v>7948</v>
      </c>
      <c r="E291" s="11">
        <f t="shared" si="263"/>
        <v>470</v>
      </c>
      <c r="F291" s="141">
        <v>66.16</v>
      </c>
      <c r="G291" s="13">
        <f t="shared" si="264"/>
        <v>14.07659574468085</v>
      </c>
      <c r="H291" s="125">
        <v>7250</v>
      </c>
      <c r="I291" s="125">
        <v>7641</v>
      </c>
      <c r="J291" s="83">
        <f t="shared" si="265"/>
        <v>391</v>
      </c>
      <c r="K291" s="35">
        <f t="shared" si="266"/>
        <v>66.16</v>
      </c>
      <c r="L291" s="136">
        <f t="shared" si="267"/>
        <v>16.92071611253197</v>
      </c>
      <c r="M291" s="116">
        <v>30230</v>
      </c>
      <c r="N291" s="47">
        <f t="shared" si="268"/>
        <v>2000016.7999999998</v>
      </c>
    </row>
    <row r="292" spans="1:14" ht="16">
      <c r="A292" s="33">
        <v>46090</v>
      </c>
      <c r="B292" s="174" t="s">
        <v>58</v>
      </c>
      <c r="C292" s="83">
        <v>7948</v>
      </c>
      <c r="D292" s="83">
        <v>8076</v>
      </c>
      <c r="E292" s="11">
        <f t="shared" si="263"/>
        <v>128</v>
      </c>
      <c r="F292" s="141">
        <v>66.16</v>
      </c>
      <c r="G292" s="13">
        <f t="shared" si="264"/>
        <v>51.6875</v>
      </c>
      <c r="H292" s="125">
        <v>7641</v>
      </c>
      <c r="I292" s="125"/>
      <c r="J292" s="83">
        <f t="shared" si="265"/>
        <v>-7641</v>
      </c>
      <c r="K292" s="35">
        <f t="shared" si="266"/>
        <v>66.16</v>
      </c>
      <c r="L292" s="136">
        <f t="shared" si="267"/>
        <v>-0.86585525454783396</v>
      </c>
      <c r="M292" s="116">
        <v>30230</v>
      </c>
      <c r="N292" s="47">
        <f t="shared" si="268"/>
        <v>2000016.7999999998</v>
      </c>
    </row>
    <row r="293" spans="1:14" ht="16">
      <c r="A293" s="33">
        <v>46092</v>
      </c>
      <c r="B293" s="174" t="s">
        <v>58</v>
      </c>
      <c r="C293" s="83">
        <v>8076</v>
      </c>
      <c r="D293" s="83">
        <v>8359</v>
      </c>
      <c r="E293" s="11">
        <f t="shared" si="263"/>
        <v>283</v>
      </c>
      <c r="F293" s="141">
        <v>162.81</v>
      </c>
      <c r="G293" s="13">
        <f t="shared" si="264"/>
        <v>57.530035335689043</v>
      </c>
      <c r="H293" s="125"/>
      <c r="I293" s="125">
        <v>8058</v>
      </c>
      <c r="J293" s="83">
        <f t="shared" si="265"/>
        <v>8058</v>
      </c>
      <c r="K293" s="35">
        <f t="shared" si="266"/>
        <v>162.81</v>
      </c>
      <c r="L293" s="136">
        <f t="shared" si="267"/>
        <v>2.0204765450483988</v>
      </c>
      <c r="M293" s="116">
        <v>30710</v>
      </c>
      <c r="N293" s="47">
        <f t="shared" si="268"/>
        <v>4999895.0999999996</v>
      </c>
    </row>
    <row r="294" spans="1:14" ht="16">
      <c r="A294" s="138">
        <v>46098</v>
      </c>
      <c r="B294" s="174" t="s">
        <v>58</v>
      </c>
      <c r="C294" s="83">
        <v>8359</v>
      </c>
      <c r="D294" s="83">
        <v>8842</v>
      </c>
      <c r="E294" s="11">
        <f t="shared" si="263"/>
        <v>483</v>
      </c>
      <c r="F294" s="141">
        <v>155.44</v>
      </c>
      <c r="G294" s="13">
        <f t="shared" si="264"/>
        <v>32.182194616977227</v>
      </c>
      <c r="H294" s="125">
        <v>8058</v>
      </c>
      <c r="I294" s="125">
        <v>8530</v>
      </c>
      <c r="J294" s="83">
        <f t="shared" si="265"/>
        <v>472</v>
      </c>
      <c r="K294" s="35">
        <f t="shared" si="266"/>
        <v>155.44</v>
      </c>
      <c r="L294" s="136">
        <f t="shared" si="267"/>
        <v>32.932203389830505</v>
      </c>
      <c r="M294" s="116">
        <v>27020</v>
      </c>
      <c r="N294" s="47">
        <f t="shared" si="268"/>
        <v>4199988.8</v>
      </c>
    </row>
    <row r="295" spans="1:14" ht="16">
      <c r="A295" s="138">
        <v>46105</v>
      </c>
      <c r="B295" s="174" t="s">
        <v>58</v>
      </c>
      <c r="C295" s="83">
        <v>8842</v>
      </c>
      <c r="D295" s="83">
        <v>9399</v>
      </c>
      <c r="E295" s="11">
        <f t="shared" si="263"/>
        <v>557</v>
      </c>
      <c r="F295" s="141">
        <v>89.77</v>
      </c>
      <c r="G295" s="13">
        <f t="shared" si="264"/>
        <v>16.11669658886894</v>
      </c>
      <c r="H295" s="125">
        <v>8530</v>
      </c>
      <c r="I295" s="125">
        <v>9090</v>
      </c>
      <c r="J295" s="83">
        <f t="shared" si="265"/>
        <v>560</v>
      </c>
      <c r="K295" s="35">
        <f t="shared" si="266"/>
        <v>89.77</v>
      </c>
      <c r="L295" s="136">
        <f t="shared" si="267"/>
        <v>16.030357142857142</v>
      </c>
      <c r="M295" s="116">
        <v>33420</v>
      </c>
      <c r="N295" s="47">
        <f t="shared" si="268"/>
        <v>3000113.4</v>
      </c>
    </row>
    <row r="296" spans="1:14" ht="16">
      <c r="A296" s="138">
        <v>46106</v>
      </c>
      <c r="B296" s="174" t="s">
        <v>58</v>
      </c>
      <c r="C296" s="83">
        <v>9399</v>
      </c>
      <c r="D296" s="83">
        <v>9647</v>
      </c>
      <c r="E296" s="11">
        <f t="shared" si="263"/>
        <v>248</v>
      </c>
      <c r="F296" s="141">
        <v>168.93</v>
      </c>
      <c r="G296" s="13">
        <f t="shared" si="264"/>
        <v>68.116935483870961</v>
      </c>
      <c r="H296" s="125">
        <v>9090</v>
      </c>
      <c r="I296" s="125">
        <v>9341</v>
      </c>
      <c r="J296" s="83">
        <f t="shared" si="265"/>
        <v>251</v>
      </c>
      <c r="K296" s="35">
        <f t="shared" si="266"/>
        <v>168.93</v>
      </c>
      <c r="L296" s="136">
        <f t="shared" si="267"/>
        <v>67.302788844621517</v>
      </c>
      <c r="M296" s="116">
        <v>39660</v>
      </c>
      <c r="N296" s="47">
        <f t="shared" si="268"/>
        <v>6699763.7999999998</v>
      </c>
    </row>
    <row r="297" spans="1:14" ht="16">
      <c r="A297" s="138">
        <v>46112</v>
      </c>
      <c r="B297" s="174" t="s">
        <v>58</v>
      </c>
      <c r="C297" s="83">
        <v>9647</v>
      </c>
      <c r="D297" s="83">
        <v>10168</v>
      </c>
      <c r="E297" s="11">
        <f t="shared" si="263"/>
        <v>521</v>
      </c>
      <c r="F297" s="141">
        <v>84.65</v>
      </c>
      <c r="G297" s="13">
        <f t="shared" si="264"/>
        <v>16.247600767754321</v>
      </c>
      <c r="H297" s="125">
        <v>9341</v>
      </c>
      <c r="I297" s="125">
        <v>9934</v>
      </c>
      <c r="J297" s="83">
        <f t="shared" si="265"/>
        <v>593</v>
      </c>
      <c r="K297" s="35">
        <f t="shared" si="266"/>
        <v>84.65</v>
      </c>
      <c r="L297" s="136">
        <f t="shared" si="267"/>
        <v>14.274873524451939</v>
      </c>
      <c r="M297" s="116">
        <v>35440</v>
      </c>
      <c r="N297" s="47">
        <f t="shared" si="268"/>
        <v>2999996</v>
      </c>
    </row>
    <row r="298" spans="1:14" ht="16">
      <c r="A298" s="59"/>
      <c r="B298" s="60"/>
      <c r="C298" s="59"/>
      <c r="D298" s="59" t="s">
        <v>19</v>
      </c>
      <c r="E298" s="59">
        <f>SUM(E289:E294)</f>
        <v>2521</v>
      </c>
      <c r="F298" s="59">
        <f>SUM(F289:F295)</f>
        <v>860.27</v>
      </c>
      <c r="G298" s="61">
        <f>AVERAGE(G289:G294)</f>
        <v>35.853223272561983</v>
      </c>
      <c r="H298" s="59"/>
      <c r="I298" s="62"/>
      <c r="J298" s="59">
        <f t="shared" ref="J298:K298" si="269">SUM(J289:J294)</f>
        <v>8530</v>
      </c>
      <c r="K298" s="59">
        <f t="shared" si="269"/>
        <v>770.5</v>
      </c>
      <c r="L298" s="61">
        <f>AVERAGE(L289:L294)</f>
        <v>14.211890378104153</v>
      </c>
      <c r="M298" s="64"/>
      <c r="N298" s="65">
        <f>SUM(N289:N297)</f>
        <v>32064841.799999997</v>
      </c>
    </row>
    <row r="299" spans="1:14" ht="16">
      <c r="A299" s="66">
        <v>46089</v>
      </c>
      <c r="B299" s="207" t="s">
        <v>70</v>
      </c>
      <c r="C299" s="83"/>
      <c r="D299" s="83"/>
      <c r="E299" s="11">
        <f t="shared" ref="E299:E304" si="270">D299-C299</f>
        <v>0</v>
      </c>
      <c r="F299" s="37"/>
      <c r="G299" s="13" t="e">
        <f t="shared" ref="G299:G304" si="271">(F299/E299)*100</f>
        <v>#DIV/0!</v>
      </c>
      <c r="H299" s="125"/>
      <c r="I299" s="125"/>
      <c r="J299" s="39">
        <f t="shared" ref="J299:J304" si="272">I299-H299</f>
        <v>0</v>
      </c>
      <c r="K299" s="39">
        <f t="shared" ref="K299:K304" si="273">F299</f>
        <v>0</v>
      </c>
      <c r="L299" s="136" t="e">
        <f t="shared" ref="L299:L304" si="274">(K299/J299)*100</f>
        <v>#DIV/0!</v>
      </c>
      <c r="M299" s="68"/>
      <c r="N299" s="47">
        <v>2000000</v>
      </c>
    </row>
    <row r="300" spans="1:14" ht="16">
      <c r="A300" s="33">
        <v>46112</v>
      </c>
      <c r="B300" s="207" t="s">
        <v>70</v>
      </c>
      <c r="C300" s="83"/>
      <c r="D300" s="12"/>
      <c r="E300" s="11">
        <f t="shared" si="270"/>
        <v>0</v>
      </c>
      <c r="F300" s="141"/>
      <c r="G300" s="13" t="e">
        <f t="shared" si="271"/>
        <v>#DIV/0!</v>
      </c>
      <c r="H300" s="125"/>
      <c r="I300" s="125"/>
      <c r="J300" s="83">
        <f t="shared" si="272"/>
        <v>0</v>
      </c>
      <c r="K300" s="35">
        <f t="shared" si="273"/>
        <v>0</v>
      </c>
      <c r="L300" s="136" t="e">
        <f t="shared" si="274"/>
        <v>#DIV/0!</v>
      </c>
      <c r="M300" s="68"/>
      <c r="N300" s="47">
        <v>3000000</v>
      </c>
    </row>
    <row r="301" spans="1:14" ht="16">
      <c r="A301" s="33"/>
      <c r="B301" s="207" t="s">
        <v>70</v>
      </c>
      <c r="C301" s="12"/>
      <c r="D301" s="83"/>
      <c r="E301" s="11">
        <f t="shared" si="270"/>
        <v>0</v>
      </c>
      <c r="F301" s="141"/>
      <c r="G301" s="13" t="e">
        <f t="shared" si="271"/>
        <v>#DIV/0!</v>
      </c>
      <c r="H301" s="125"/>
      <c r="I301" s="125"/>
      <c r="J301" s="83">
        <f t="shared" si="272"/>
        <v>0</v>
      </c>
      <c r="K301" s="35">
        <f t="shared" si="273"/>
        <v>0</v>
      </c>
      <c r="L301" s="136" t="e">
        <f t="shared" si="274"/>
        <v>#DIV/0!</v>
      </c>
      <c r="M301" s="116"/>
      <c r="N301" s="47">
        <f t="shared" ref="N301:N304" si="275">M301*F301</f>
        <v>0</v>
      </c>
    </row>
    <row r="302" spans="1:14" ht="16">
      <c r="A302" s="33"/>
      <c r="B302" s="207" t="s">
        <v>70</v>
      </c>
      <c r="C302" s="83"/>
      <c r="D302" s="83"/>
      <c r="E302" s="11">
        <f t="shared" si="270"/>
        <v>0</v>
      </c>
      <c r="F302" s="141"/>
      <c r="G302" s="13" t="e">
        <f t="shared" si="271"/>
        <v>#DIV/0!</v>
      </c>
      <c r="H302" s="125"/>
      <c r="I302" s="125"/>
      <c r="J302" s="83">
        <f t="shared" si="272"/>
        <v>0</v>
      </c>
      <c r="K302" s="35">
        <f t="shared" si="273"/>
        <v>0</v>
      </c>
      <c r="L302" s="136" t="e">
        <f t="shared" si="274"/>
        <v>#DIV/0!</v>
      </c>
      <c r="M302" s="116"/>
      <c r="N302" s="47">
        <f t="shared" si="275"/>
        <v>0</v>
      </c>
    </row>
    <row r="303" spans="1:14" ht="16">
      <c r="A303" s="33"/>
      <c r="B303" s="207" t="s">
        <v>70</v>
      </c>
      <c r="C303" s="35"/>
      <c r="D303" s="83"/>
      <c r="E303" s="11">
        <f t="shared" si="270"/>
        <v>0</v>
      </c>
      <c r="F303" s="141"/>
      <c r="G303" s="13" t="e">
        <f t="shared" si="271"/>
        <v>#DIV/0!</v>
      </c>
      <c r="H303" s="83"/>
      <c r="I303" s="125"/>
      <c r="J303" s="83">
        <f t="shared" si="272"/>
        <v>0</v>
      </c>
      <c r="K303" s="35">
        <f t="shared" si="273"/>
        <v>0</v>
      </c>
      <c r="L303" s="136" t="e">
        <f t="shared" si="274"/>
        <v>#DIV/0!</v>
      </c>
      <c r="M303" s="116"/>
      <c r="N303" s="47">
        <f t="shared" si="275"/>
        <v>0</v>
      </c>
    </row>
    <row r="304" spans="1:14" ht="16">
      <c r="A304" s="138"/>
      <c r="B304" s="207" t="s">
        <v>70</v>
      </c>
      <c r="C304" s="83"/>
      <c r="D304" s="83"/>
      <c r="E304" s="11">
        <f t="shared" si="270"/>
        <v>0</v>
      </c>
      <c r="F304" s="141"/>
      <c r="G304" s="13" t="e">
        <f t="shared" si="271"/>
        <v>#DIV/0!</v>
      </c>
      <c r="H304" s="83"/>
      <c r="I304" s="125"/>
      <c r="J304" s="83">
        <f t="shared" si="272"/>
        <v>0</v>
      </c>
      <c r="K304" s="35">
        <f t="shared" si="273"/>
        <v>0</v>
      </c>
      <c r="L304" s="136" t="e">
        <f t="shared" si="274"/>
        <v>#DIV/0!</v>
      </c>
      <c r="M304" s="116"/>
      <c r="N304" s="47">
        <f t="shared" si="275"/>
        <v>0</v>
      </c>
    </row>
    <row r="305" spans="1:14" ht="16">
      <c r="A305" s="59"/>
      <c r="B305" s="60"/>
      <c r="C305" s="59"/>
      <c r="D305" s="59" t="s">
        <v>19</v>
      </c>
      <c r="E305" s="59">
        <f t="shared" ref="E305:F305" si="276">SUM(E299:E304)</f>
        <v>0</v>
      </c>
      <c r="F305" s="59">
        <f t="shared" si="276"/>
        <v>0</v>
      </c>
      <c r="G305" s="61" t="e">
        <f>AVERAGE(G299:G304)</f>
        <v>#DIV/0!</v>
      </c>
      <c r="H305" s="59"/>
      <c r="I305" s="62"/>
      <c r="J305" s="59">
        <f t="shared" ref="J305:K305" si="277">SUM(J299:J304)</f>
        <v>0</v>
      </c>
      <c r="K305" s="59">
        <f t="shared" si="277"/>
        <v>0</v>
      </c>
      <c r="L305" s="61" t="e">
        <f>AVERAGE(L299:L304)</f>
        <v>#DIV/0!</v>
      </c>
      <c r="M305" s="64"/>
      <c r="N305" s="65">
        <f>SUM(N299:N304)</f>
        <v>5000000</v>
      </c>
    </row>
    <row r="306" spans="1:14" ht="16">
      <c r="A306" s="66">
        <v>46093</v>
      </c>
      <c r="B306" s="174" t="s">
        <v>60</v>
      </c>
      <c r="C306" s="83"/>
      <c r="D306" s="83">
        <v>5727</v>
      </c>
      <c r="E306" s="11">
        <f t="shared" ref="E306:E311" si="278">D306-C306</f>
        <v>5727</v>
      </c>
      <c r="F306" s="37">
        <v>132.22999999999999</v>
      </c>
      <c r="G306" s="13">
        <f t="shared" ref="G306:G311" si="279">(F306/E306)*100</f>
        <v>2.3088877248122928</v>
      </c>
      <c r="H306" s="125"/>
      <c r="I306" s="125"/>
      <c r="J306" s="39">
        <f t="shared" ref="J306:J311" si="280">I306-H306</f>
        <v>0</v>
      </c>
      <c r="K306" s="39">
        <f t="shared" ref="K306:K311" si="281">F306</f>
        <v>132.22999999999999</v>
      </c>
      <c r="L306" s="136" t="e">
        <f t="shared" ref="L306:L311" si="282">(K306/J306)*100</f>
        <v>#DIV/0!</v>
      </c>
      <c r="M306" s="68">
        <v>26470</v>
      </c>
      <c r="N306" s="47">
        <f t="shared" ref="N306:N311" si="283">M306*F306</f>
        <v>3500128.0999999996</v>
      </c>
    </row>
    <row r="307" spans="1:14" ht="16">
      <c r="A307" s="33">
        <v>46097</v>
      </c>
      <c r="B307" s="174" t="s">
        <v>60</v>
      </c>
      <c r="C307" s="83">
        <v>5727</v>
      </c>
      <c r="D307" s="12">
        <v>6717</v>
      </c>
      <c r="E307" s="11">
        <f t="shared" si="278"/>
        <v>990</v>
      </c>
      <c r="F307" s="141">
        <v>236.86</v>
      </c>
      <c r="G307" s="13">
        <f t="shared" si="279"/>
        <v>23.925252525252528</v>
      </c>
      <c r="H307" s="125"/>
      <c r="I307" s="125"/>
      <c r="J307" s="83">
        <f t="shared" si="280"/>
        <v>0</v>
      </c>
      <c r="K307" s="35">
        <f t="shared" si="281"/>
        <v>236.86</v>
      </c>
      <c r="L307" s="136" t="e">
        <f t="shared" si="282"/>
        <v>#DIV/0!</v>
      </c>
      <c r="M307" s="68">
        <v>27020</v>
      </c>
      <c r="N307" s="47">
        <f t="shared" si="283"/>
        <v>6399957.2000000002</v>
      </c>
    </row>
    <row r="308" spans="1:14" ht="16">
      <c r="A308" s="33">
        <v>46104</v>
      </c>
      <c r="B308" s="174" t="s">
        <v>60</v>
      </c>
      <c r="C308" s="12">
        <v>6717</v>
      </c>
      <c r="D308" s="83">
        <v>7582</v>
      </c>
      <c r="E308" s="11">
        <f t="shared" si="278"/>
        <v>865</v>
      </c>
      <c r="F308" s="141">
        <v>89.77</v>
      </c>
      <c r="G308" s="13">
        <f t="shared" si="279"/>
        <v>10.378034682080925</v>
      </c>
      <c r="H308" s="125"/>
      <c r="I308" s="125"/>
      <c r="J308" s="83">
        <f t="shared" si="280"/>
        <v>0</v>
      </c>
      <c r="K308" s="35">
        <f t="shared" si="281"/>
        <v>89.77</v>
      </c>
      <c r="L308" s="136" t="e">
        <f t="shared" si="282"/>
        <v>#DIV/0!</v>
      </c>
      <c r="M308" s="116">
        <v>33420</v>
      </c>
      <c r="N308" s="47">
        <f t="shared" si="283"/>
        <v>3000113.4</v>
      </c>
    </row>
    <row r="309" spans="1:14" ht="16">
      <c r="A309" s="33">
        <v>46104</v>
      </c>
      <c r="B309" s="174" t="s">
        <v>60</v>
      </c>
      <c r="C309" s="83">
        <v>7582</v>
      </c>
      <c r="D309" s="83">
        <v>7583</v>
      </c>
      <c r="E309" s="11">
        <f t="shared" si="278"/>
        <v>1</v>
      </c>
      <c r="F309" s="141">
        <v>159.434</v>
      </c>
      <c r="G309" s="178">
        <f t="shared" si="279"/>
        <v>15943.4</v>
      </c>
      <c r="H309" s="125"/>
      <c r="I309" s="125"/>
      <c r="J309" s="83">
        <f t="shared" si="280"/>
        <v>0</v>
      </c>
      <c r="K309" s="35">
        <f t="shared" si="281"/>
        <v>159.434</v>
      </c>
      <c r="L309" s="136" t="e">
        <f t="shared" si="282"/>
        <v>#DIV/0!</v>
      </c>
      <c r="M309" s="116">
        <v>33420</v>
      </c>
      <c r="N309" s="47">
        <f t="shared" si="283"/>
        <v>5328284.28</v>
      </c>
    </row>
    <row r="310" spans="1:14" ht="16">
      <c r="A310" s="33"/>
      <c r="B310" s="174" t="s">
        <v>60</v>
      </c>
      <c r="C310" s="35"/>
      <c r="D310" s="83"/>
      <c r="E310" s="11">
        <f t="shared" si="278"/>
        <v>0</v>
      </c>
      <c r="F310" s="141"/>
      <c r="G310" s="13" t="e">
        <f t="shared" si="279"/>
        <v>#DIV/0!</v>
      </c>
      <c r="H310" s="83"/>
      <c r="I310" s="125"/>
      <c r="J310" s="83">
        <f t="shared" si="280"/>
        <v>0</v>
      </c>
      <c r="K310" s="35">
        <f t="shared" si="281"/>
        <v>0</v>
      </c>
      <c r="L310" s="136" t="e">
        <f t="shared" si="282"/>
        <v>#DIV/0!</v>
      </c>
      <c r="M310" s="116"/>
      <c r="N310" s="47">
        <f t="shared" si="283"/>
        <v>0</v>
      </c>
    </row>
    <row r="311" spans="1:14" ht="16">
      <c r="A311" s="138"/>
      <c r="B311" s="174" t="s">
        <v>60</v>
      </c>
      <c r="C311" s="83"/>
      <c r="D311" s="83"/>
      <c r="E311" s="11">
        <f t="shared" si="278"/>
        <v>0</v>
      </c>
      <c r="F311" s="141"/>
      <c r="G311" s="13" t="e">
        <f t="shared" si="279"/>
        <v>#DIV/0!</v>
      </c>
      <c r="H311" s="83"/>
      <c r="I311" s="125"/>
      <c r="J311" s="83">
        <f t="shared" si="280"/>
        <v>0</v>
      </c>
      <c r="K311" s="35">
        <f t="shared" si="281"/>
        <v>0</v>
      </c>
      <c r="L311" s="136" t="e">
        <f t="shared" si="282"/>
        <v>#DIV/0!</v>
      </c>
      <c r="M311" s="116"/>
      <c r="N311" s="47">
        <f t="shared" si="283"/>
        <v>0</v>
      </c>
    </row>
    <row r="312" spans="1:14" ht="16">
      <c r="A312" s="59"/>
      <c r="B312" s="60"/>
      <c r="C312" s="59"/>
      <c r="D312" s="59" t="s">
        <v>19</v>
      </c>
      <c r="E312" s="59">
        <f t="shared" ref="E312:F312" si="284">SUM(E306:E311)</f>
        <v>7583</v>
      </c>
      <c r="F312" s="59">
        <f t="shared" si="284"/>
        <v>618.29399999999998</v>
      </c>
      <c r="G312" s="61" t="e">
        <f>AVERAGE(G306:G311)</f>
        <v>#DIV/0!</v>
      </c>
      <c r="H312" s="59"/>
      <c r="I312" s="62"/>
      <c r="J312" s="59">
        <f t="shared" ref="J312:K312" si="285">SUM(J306:J311)</f>
        <v>0</v>
      </c>
      <c r="K312" s="59">
        <f t="shared" si="285"/>
        <v>618.29399999999998</v>
      </c>
      <c r="L312" s="61" t="e">
        <f>AVERAGE(L306:L311)</f>
        <v>#DIV/0!</v>
      </c>
      <c r="M312" s="64"/>
      <c r="N312" s="65">
        <f>SUM(N306:N311)</f>
        <v>18228482.98</v>
      </c>
    </row>
    <row r="313" spans="1:14" ht="16">
      <c r="A313" s="66">
        <v>46100</v>
      </c>
      <c r="B313" s="174" t="s">
        <v>61</v>
      </c>
      <c r="C313" s="83"/>
      <c r="D313" s="83"/>
      <c r="E313" s="11">
        <f t="shared" ref="E313:E318" si="286">D313-C313</f>
        <v>0</v>
      </c>
      <c r="F313" s="37">
        <v>210.96</v>
      </c>
      <c r="G313" s="13" t="e">
        <f t="shared" ref="G313:G318" si="287">(F313/E313)*100</f>
        <v>#DIV/0!</v>
      </c>
      <c r="H313" s="125"/>
      <c r="I313" s="125"/>
      <c r="J313" s="39">
        <f t="shared" ref="J313:J318" si="288">I313-H313</f>
        <v>0</v>
      </c>
      <c r="K313" s="39">
        <f t="shared" ref="K313:K318" si="289">F313</f>
        <v>210.96</v>
      </c>
      <c r="L313" s="136" t="e">
        <f t="shared" ref="L313:L318" si="290">(K313/J313)*100</f>
        <v>#DIV/0!</v>
      </c>
      <c r="M313" s="68">
        <v>27020</v>
      </c>
      <c r="N313" s="47">
        <f t="shared" ref="N313:N318" si="291">M313*F313</f>
        <v>5700139.2000000002</v>
      </c>
    </row>
    <row r="314" spans="1:14" ht="16">
      <c r="A314" s="33"/>
      <c r="B314" s="174" t="s">
        <v>61</v>
      </c>
      <c r="C314" s="83"/>
      <c r="D314" s="12"/>
      <c r="E314" s="11">
        <f t="shared" si="286"/>
        <v>0</v>
      </c>
      <c r="F314" s="141"/>
      <c r="G314" s="13" t="e">
        <f t="shared" si="287"/>
        <v>#DIV/0!</v>
      </c>
      <c r="H314" s="125"/>
      <c r="I314" s="125"/>
      <c r="J314" s="83">
        <f t="shared" si="288"/>
        <v>0</v>
      </c>
      <c r="K314" s="35">
        <f t="shared" si="289"/>
        <v>0</v>
      </c>
      <c r="L314" s="136" t="e">
        <f t="shared" si="290"/>
        <v>#DIV/0!</v>
      </c>
      <c r="M314" s="68"/>
      <c r="N314" s="47">
        <f t="shared" si="291"/>
        <v>0</v>
      </c>
    </row>
    <row r="315" spans="1:14" ht="16">
      <c r="A315" s="33"/>
      <c r="B315" s="174" t="s">
        <v>61</v>
      </c>
      <c r="C315" s="12"/>
      <c r="D315" s="83"/>
      <c r="E315" s="11">
        <f t="shared" si="286"/>
        <v>0</v>
      </c>
      <c r="F315" s="141"/>
      <c r="G315" s="13" t="e">
        <f t="shared" si="287"/>
        <v>#DIV/0!</v>
      </c>
      <c r="H315" s="125"/>
      <c r="I315" s="125"/>
      <c r="J315" s="83">
        <f t="shared" si="288"/>
        <v>0</v>
      </c>
      <c r="K315" s="35">
        <f t="shared" si="289"/>
        <v>0</v>
      </c>
      <c r="L315" s="136" t="e">
        <f t="shared" si="290"/>
        <v>#DIV/0!</v>
      </c>
      <c r="M315" s="116"/>
      <c r="N315" s="47">
        <f t="shared" si="291"/>
        <v>0</v>
      </c>
    </row>
    <row r="316" spans="1:14" ht="16">
      <c r="A316" s="33"/>
      <c r="B316" s="174" t="s">
        <v>61</v>
      </c>
      <c r="C316" s="83"/>
      <c r="D316" s="83"/>
      <c r="E316" s="11">
        <f t="shared" si="286"/>
        <v>0</v>
      </c>
      <c r="F316" s="141"/>
      <c r="G316" s="13" t="e">
        <f t="shared" si="287"/>
        <v>#DIV/0!</v>
      </c>
      <c r="H316" s="125"/>
      <c r="I316" s="125"/>
      <c r="J316" s="83">
        <f t="shared" si="288"/>
        <v>0</v>
      </c>
      <c r="K316" s="35">
        <f t="shared" si="289"/>
        <v>0</v>
      </c>
      <c r="L316" s="136" t="e">
        <f t="shared" si="290"/>
        <v>#DIV/0!</v>
      </c>
      <c r="M316" s="116"/>
      <c r="N316" s="47">
        <f t="shared" si="291"/>
        <v>0</v>
      </c>
    </row>
    <row r="317" spans="1:14" ht="16">
      <c r="A317" s="33"/>
      <c r="B317" s="174" t="s">
        <v>61</v>
      </c>
      <c r="C317" s="35"/>
      <c r="D317" s="83"/>
      <c r="E317" s="11">
        <f t="shared" si="286"/>
        <v>0</v>
      </c>
      <c r="F317" s="141"/>
      <c r="G317" s="13" t="e">
        <f t="shared" si="287"/>
        <v>#DIV/0!</v>
      </c>
      <c r="H317" s="83"/>
      <c r="I317" s="125"/>
      <c r="J317" s="83">
        <f t="shared" si="288"/>
        <v>0</v>
      </c>
      <c r="K317" s="35">
        <f t="shared" si="289"/>
        <v>0</v>
      </c>
      <c r="L317" s="136" t="e">
        <f t="shared" si="290"/>
        <v>#DIV/0!</v>
      </c>
      <c r="M317" s="116"/>
      <c r="N317" s="47">
        <f t="shared" si="291"/>
        <v>0</v>
      </c>
    </row>
    <row r="318" spans="1:14" ht="16">
      <c r="A318" s="138"/>
      <c r="B318" s="174" t="s">
        <v>61</v>
      </c>
      <c r="C318" s="83"/>
      <c r="D318" s="83"/>
      <c r="E318" s="11">
        <f t="shared" si="286"/>
        <v>0</v>
      </c>
      <c r="F318" s="141"/>
      <c r="G318" s="13" t="e">
        <f t="shared" si="287"/>
        <v>#DIV/0!</v>
      </c>
      <c r="H318" s="83"/>
      <c r="I318" s="125"/>
      <c r="J318" s="83">
        <f t="shared" si="288"/>
        <v>0</v>
      </c>
      <c r="K318" s="35">
        <f t="shared" si="289"/>
        <v>0</v>
      </c>
      <c r="L318" s="136" t="e">
        <f t="shared" si="290"/>
        <v>#DIV/0!</v>
      </c>
      <c r="M318" s="116"/>
      <c r="N318" s="47">
        <f t="shared" si="291"/>
        <v>0</v>
      </c>
    </row>
    <row r="319" spans="1:14" ht="16">
      <c r="A319" s="59"/>
      <c r="B319" s="60"/>
      <c r="C319" s="59"/>
      <c r="D319" s="59" t="s">
        <v>19</v>
      </c>
      <c r="E319" s="59">
        <f t="shared" ref="E319:F319" si="292">SUM(E313:E318)</f>
        <v>0</v>
      </c>
      <c r="F319" s="59">
        <f t="shared" si="292"/>
        <v>210.96</v>
      </c>
      <c r="G319" s="61" t="e">
        <f>AVERAGE(G313:G318)</f>
        <v>#DIV/0!</v>
      </c>
      <c r="H319" s="59"/>
      <c r="I319" s="62"/>
      <c r="J319" s="59">
        <f t="shared" ref="J319:K319" si="293">SUM(J313:J318)</f>
        <v>0</v>
      </c>
      <c r="K319" s="59">
        <f t="shared" si="293"/>
        <v>210.96</v>
      </c>
      <c r="L319" s="61" t="e">
        <f>AVERAGE(L313:L318)</f>
        <v>#DIV/0!</v>
      </c>
      <c r="M319" s="64"/>
      <c r="N319" s="65">
        <f>SUM(N313:N318)</f>
        <v>5700139.2000000002</v>
      </c>
    </row>
    <row r="320" spans="1:14" ht="14">
      <c r="A320" s="354" t="s">
        <v>64</v>
      </c>
      <c r="B320" s="355"/>
      <c r="C320" s="355"/>
      <c r="D320" s="355"/>
      <c r="E320" s="355"/>
      <c r="F320" s="355"/>
      <c r="G320" s="355"/>
      <c r="H320" s="355"/>
      <c r="I320" s="355"/>
      <c r="J320" s="355"/>
      <c r="K320" s="355"/>
      <c r="L320" s="356"/>
      <c r="M320" s="64"/>
      <c r="N320" s="65">
        <f>SUM(N214:N319)/2</f>
        <v>276520401.38</v>
      </c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</sheetData>
  <mergeCells count="2">
    <mergeCell ref="A1:N1"/>
    <mergeCell ref="A320:L3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11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46057</v>
      </c>
      <c r="B3" s="34" t="s">
        <v>11</v>
      </c>
      <c r="C3" s="221">
        <v>200012</v>
      </c>
      <c r="D3" s="221">
        <v>200310</v>
      </c>
      <c r="E3" s="11">
        <f t="shared" ref="E3:E10" si="0">D3-C3</f>
        <v>298</v>
      </c>
      <c r="F3" s="37">
        <v>40</v>
      </c>
      <c r="G3" s="13">
        <f t="shared" ref="G3:G10" si="1">(F3/E3)*100</f>
        <v>13.422818791946309</v>
      </c>
      <c r="H3" s="55">
        <v>29204</v>
      </c>
      <c r="I3" s="55">
        <v>29582</v>
      </c>
      <c r="J3" s="35">
        <f t="shared" ref="J3:J10" si="2">I3-H3</f>
        <v>378</v>
      </c>
      <c r="K3" s="77">
        <f t="shared" ref="K3:K10" si="3">F3</f>
        <v>40</v>
      </c>
      <c r="L3" s="67">
        <f t="shared" ref="L3:L10" si="4">(K3/J3)*100</f>
        <v>10.582010582010582</v>
      </c>
      <c r="M3" s="68">
        <v>18170</v>
      </c>
      <c r="N3" s="121">
        <f t="shared" ref="N3:N10" si="5">F3*M3</f>
        <v>726800</v>
      </c>
    </row>
    <row r="4" spans="1:18" ht="16">
      <c r="A4" s="33">
        <v>46062</v>
      </c>
      <c r="B4" s="44" t="s">
        <v>11</v>
      </c>
      <c r="C4" s="221">
        <v>200310</v>
      </c>
      <c r="D4" s="50">
        <v>200597</v>
      </c>
      <c r="E4" s="11">
        <f t="shared" si="0"/>
        <v>287</v>
      </c>
      <c r="F4" s="45">
        <v>40</v>
      </c>
      <c r="G4" s="13">
        <f t="shared" si="1"/>
        <v>13.937282229965156</v>
      </c>
      <c r="H4" s="55">
        <v>29582</v>
      </c>
      <c r="I4" s="38">
        <v>29852</v>
      </c>
      <c r="J4" s="35">
        <f t="shared" si="2"/>
        <v>270</v>
      </c>
      <c r="K4" s="50">
        <f t="shared" si="3"/>
        <v>40</v>
      </c>
      <c r="L4" s="46">
        <f t="shared" si="4"/>
        <v>14.814814814814813</v>
      </c>
      <c r="M4" s="48">
        <v>18450</v>
      </c>
      <c r="N4" s="47">
        <f t="shared" si="5"/>
        <v>738000</v>
      </c>
      <c r="O4" s="76">
        <v>1</v>
      </c>
      <c r="P4" s="222" t="s">
        <v>12</v>
      </c>
      <c r="Q4" s="223">
        <f>N19</f>
        <v>4569180</v>
      </c>
      <c r="R4" s="223">
        <f t="shared" ref="R4:R15" si="6">Q4</f>
        <v>4569180</v>
      </c>
    </row>
    <row r="5" spans="1:18" ht="16">
      <c r="A5" s="33">
        <v>46066</v>
      </c>
      <c r="B5" s="44" t="s">
        <v>11</v>
      </c>
      <c r="C5" s="50">
        <v>200597</v>
      </c>
      <c r="D5" s="50">
        <v>200887</v>
      </c>
      <c r="E5" s="11">
        <f t="shared" si="0"/>
        <v>290</v>
      </c>
      <c r="F5" s="52">
        <v>40</v>
      </c>
      <c r="G5" s="13">
        <f t="shared" si="1"/>
        <v>13.793103448275861</v>
      </c>
      <c r="H5" s="38">
        <v>29852</v>
      </c>
      <c r="I5" s="38">
        <v>30224</v>
      </c>
      <c r="J5" s="35">
        <f t="shared" si="2"/>
        <v>372</v>
      </c>
      <c r="K5" s="50">
        <f t="shared" si="3"/>
        <v>40</v>
      </c>
      <c r="L5" s="46">
        <f t="shared" si="4"/>
        <v>10.75268817204301</v>
      </c>
      <c r="M5" s="48">
        <v>18460</v>
      </c>
      <c r="N5" s="47">
        <f t="shared" si="5"/>
        <v>738400</v>
      </c>
      <c r="O5" s="76">
        <v>2</v>
      </c>
      <c r="P5" s="222" t="s">
        <v>13</v>
      </c>
      <c r="Q5" s="223">
        <f>N29</f>
        <v>3936790</v>
      </c>
      <c r="R5" s="223">
        <f t="shared" si="6"/>
        <v>3936790</v>
      </c>
    </row>
    <row r="6" spans="1:18" ht="16">
      <c r="A6" s="33">
        <v>46078</v>
      </c>
      <c r="B6" s="44" t="s">
        <v>11</v>
      </c>
      <c r="C6" s="50">
        <v>200887</v>
      </c>
      <c r="D6" s="50">
        <v>201139</v>
      </c>
      <c r="E6" s="11">
        <f t="shared" si="0"/>
        <v>252</v>
      </c>
      <c r="F6" s="52">
        <v>35</v>
      </c>
      <c r="G6" s="13">
        <f t="shared" si="1"/>
        <v>13.888888888888889</v>
      </c>
      <c r="H6" s="38">
        <v>30224</v>
      </c>
      <c r="I6" s="38">
        <v>30467</v>
      </c>
      <c r="J6" s="35">
        <f t="shared" si="2"/>
        <v>243</v>
      </c>
      <c r="K6" s="50">
        <f t="shared" si="3"/>
        <v>35</v>
      </c>
      <c r="L6" s="46">
        <f t="shared" si="4"/>
        <v>14.403292181069959</v>
      </c>
      <c r="M6" s="48">
        <v>18520</v>
      </c>
      <c r="N6" s="47">
        <f t="shared" si="5"/>
        <v>648200</v>
      </c>
      <c r="O6" s="76">
        <v>3</v>
      </c>
      <c r="P6" s="222" t="s">
        <v>14</v>
      </c>
      <c r="Q6" s="223">
        <f>N38</f>
        <v>3139700</v>
      </c>
      <c r="R6" s="223">
        <f t="shared" si="6"/>
        <v>3139700</v>
      </c>
    </row>
    <row r="7" spans="1:18" ht="16">
      <c r="A7" s="33">
        <v>46081</v>
      </c>
      <c r="B7" s="44" t="s">
        <v>11</v>
      </c>
      <c r="C7" s="50">
        <v>201139</v>
      </c>
      <c r="D7" s="50">
        <v>201481</v>
      </c>
      <c r="E7" s="11">
        <f t="shared" si="0"/>
        <v>342</v>
      </c>
      <c r="F7" s="52">
        <v>40</v>
      </c>
      <c r="G7" s="13">
        <f t="shared" si="1"/>
        <v>11.695906432748536</v>
      </c>
      <c r="H7" s="38">
        <v>30467</v>
      </c>
      <c r="I7" s="38">
        <v>30842</v>
      </c>
      <c r="J7" s="35">
        <f t="shared" si="2"/>
        <v>375</v>
      </c>
      <c r="K7" s="50">
        <f t="shared" si="3"/>
        <v>40</v>
      </c>
      <c r="L7" s="46">
        <f t="shared" si="4"/>
        <v>10.666666666666668</v>
      </c>
      <c r="M7" s="224">
        <v>19270</v>
      </c>
      <c r="N7" s="47">
        <f t="shared" si="5"/>
        <v>770800</v>
      </c>
      <c r="O7" s="76">
        <v>4</v>
      </c>
      <c r="P7" s="222" t="s">
        <v>15</v>
      </c>
      <c r="Q7" s="223">
        <f>N48</f>
        <v>3575240</v>
      </c>
      <c r="R7" s="223">
        <f t="shared" si="6"/>
        <v>3575240</v>
      </c>
    </row>
    <row r="8" spans="1:18" ht="16">
      <c r="A8" s="33"/>
      <c r="B8" s="44" t="s">
        <v>11</v>
      </c>
      <c r="C8" s="50"/>
      <c r="D8" s="50"/>
      <c r="E8" s="11">
        <f t="shared" si="0"/>
        <v>0</v>
      </c>
      <c r="F8" s="52"/>
      <c r="G8" s="13" t="e">
        <f t="shared" si="1"/>
        <v>#DIV/0!</v>
      </c>
      <c r="H8" s="38"/>
      <c r="I8" s="38"/>
      <c r="J8" s="35">
        <f t="shared" si="2"/>
        <v>0</v>
      </c>
      <c r="K8" s="50">
        <f t="shared" si="3"/>
        <v>0</v>
      </c>
      <c r="L8" s="46" t="e">
        <f t="shared" si="4"/>
        <v>#DIV/0!</v>
      </c>
      <c r="M8" s="224"/>
      <c r="N8" s="47">
        <f t="shared" si="5"/>
        <v>0</v>
      </c>
      <c r="O8" s="76">
        <v>5</v>
      </c>
      <c r="P8" s="222" t="s">
        <v>16</v>
      </c>
      <c r="Q8" s="223">
        <f>N60</f>
        <v>3999170</v>
      </c>
      <c r="R8" s="223">
        <f t="shared" si="6"/>
        <v>3999170</v>
      </c>
    </row>
    <row r="9" spans="1:18" ht="16">
      <c r="A9" s="33"/>
      <c r="B9" s="44" t="s">
        <v>11</v>
      </c>
      <c r="C9" s="50"/>
      <c r="D9" s="221"/>
      <c r="E9" s="11">
        <f t="shared" si="0"/>
        <v>0</v>
      </c>
      <c r="F9" s="225"/>
      <c r="G9" s="13" t="e">
        <f t="shared" si="1"/>
        <v>#DIV/0!</v>
      </c>
      <c r="H9" s="38"/>
      <c r="I9" s="55"/>
      <c r="J9" s="35">
        <f t="shared" si="2"/>
        <v>0</v>
      </c>
      <c r="K9" s="50">
        <f t="shared" si="3"/>
        <v>0</v>
      </c>
      <c r="L9" s="46" t="e">
        <f t="shared" si="4"/>
        <v>#DIV/0!</v>
      </c>
      <c r="M9" s="226"/>
      <c r="N9" s="47">
        <f t="shared" si="5"/>
        <v>0</v>
      </c>
      <c r="O9" s="76">
        <v>6</v>
      </c>
      <c r="P9" s="222" t="s">
        <v>17</v>
      </c>
      <c r="Q9" s="223">
        <f>N11</f>
        <v>3622200</v>
      </c>
      <c r="R9" s="223">
        <f t="shared" si="6"/>
        <v>3622200</v>
      </c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 t="shared" si="2"/>
        <v>0</v>
      </c>
      <c r="K10" s="50">
        <f t="shared" si="3"/>
        <v>0</v>
      </c>
      <c r="L10" s="46" t="e">
        <f t="shared" si="4"/>
        <v>#DIV/0!</v>
      </c>
      <c r="M10" s="226"/>
      <c r="N10" s="57">
        <f t="shared" si="5"/>
        <v>0</v>
      </c>
      <c r="O10" s="76">
        <v>7</v>
      </c>
      <c r="P10" s="222" t="s">
        <v>18</v>
      </c>
      <c r="Q10" s="223">
        <f>N70</f>
        <v>3366900</v>
      </c>
      <c r="R10" s="223">
        <f t="shared" si="6"/>
        <v>3366900</v>
      </c>
    </row>
    <row r="11" spans="1:18" ht="16">
      <c r="A11" s="59"/>
      <c r="B11" s="60"/>
      <c r="C11" s="59"/>
      <c r="D11" s="59" t="s">
        <v>19</v>
      </c>
      <c r="E11" s="59">
        <f t="shared" ref="E11:F11" si="7">SUM(E3:E10)</f>
        <v>1469</v>
      </c>
      <c r="F11" s="59">
        <f t="shared" si="7"/>
        <v>195</v>
      </c>
      <c r="G11" s="61" t="e">
        <f>AVERAGE(G3:G10)</f>
        <v>#DIV/0!</v>
      </c>
      <c r="H11" s="59"/>
      <c r="I11" s="62"/>
      <c r="J11" s="59">
        <f t="shared" ref="J11:K11" si="8">SUM(J3:J10)</f>
        <v>1638</v>
      </c>
      <c r="K11" s="59">
        <f t="shared" si="8"/>
        <v>195</v>
      </c>
      <c r="L11" s="61" t="e">
        <f>AVERAGE(L3:L10)</f>
        <v>#DIV/0!</v>
      </c>
      <c r="M11" s="64"/>
      <c r="N11" s="65">
        <f>SUM(N3:N10)</f>
        <v>3622200</v>
      </c>
      <c r="O11" s="76">
        <v>8</v>
      </c>
      <c r="P11" s="222" t="s">
        <v>20</v>
      </c>
      <c r="Q11" s="223">
        <f>N78</f>
        <v>3472630</v>
      </c>
      <c r="R11" s="223">
        <f t="shared" si="6"/>
        <v>3472630</v>
      </c>
    </row>
    <row r="12" spans="1:18" ht="16">
      <c r="A12" s="33">
        <v>46055</v>
      </c>
      <c r="B12" s="34" t="s">
        <v>12</v>
      </c>
      <c r="C12" s="35">
        <v>163003</v>
      </c>
      <c r="D12" s="35">
        <v>163354</v>
      </c>
      <c r="E12" s="36">
        <f t="shared" ref="E12:E18" si="9">D12-C12</f>
        <v>351</v>
      </c>
      <c r="F12" s="37">
        <v>50</v>
      </c>
      <c r="G12" s="13">
        <f t="shared" ref="G12:G18" si="10">(F12/E12)*100</f>
        <v>14.245014245014245</v>
      </c>
      <c r="H12" s="38">
        <v>29978</v>
      </c>
      <c r="I12" s="38">
        <v>30376</v>
      </c>
      <c r="J12" s="39">
        <f t="shared" ref="J12:J18" si="11">I12-H12</f>
        <v>398</v>
      </c>
      <c r="K12" s="77">
        <f t="shared" ref="K12:K18" si="12">F12</f>
        <v>50</v>
      </c>
      <c r="L12" s="40">
        <f t="shared" ref="L12:L18" si="13">(K12/J12)*100</f>
        <v>12.562814070351758</v>
      </c>
      <c r="M12" s="41">
        <v>18170</v>
      </c>
      <c r="N12" s="42">
        <f t="shared" ref="N12:N18" si="14">F12*M12</f>
        <v>908500</v>
      </c>
      <c r="O12" s="76">
        <v>9</v>
      </c>
      <c r="P12" s="222" t="s">
        <v>21</v>
      </c>
      <c r="Q12" s="223">
        <f>N86</f>
        <v>4342670</v>
      </c>
      <c r="R12" s="223">
        <f t="shared" si="6"/>
        <v>4342670</v>
      </c>
    </row>
    <row r="13" spans="1:18" ht="16">
      <c r="A13" s="43">
        <v>46058</v>
      </c>
      <c r="B13" s="44" t="s">
        <v>12</v>
      </c>
      <c r="C13" s="35">
        <v>163354</v>
      </c>
      <c r="D13" s="35">
        <v>163709</v>
      </c>
      <c r="E13" s="11">
        <f t="shared" si="9"/>
        <v>355</v>
      </c>
      <c r="F13" s="45">
        <v>53</v>
      </c>
      <c r="G13" s="13">
        <f t="shared" si="10"/>
        <v>14.929577464788732</v>
      </c>
      <c r="H13" s="38">
        <v>30376</v>
      </c>
      <c r="I13" s="38">
        <v>30758</v>
      </c>
      <c r="J13" s="35">
        <f t="shared" si="11"/>
        <v>382</v>
      </c>
      <c r="K13" s="50">
        <f t="shared" si="12"/>
        <v>53</v>
      </c>
      <c r="L13" s="46">
        <f t="shared" si="13"/>
        <v>13.874345549738221</v>
      </c>
      <c r="M13" s="41">
        <v>18170</v>
      </c>
      <c r="N13" s="47">
        <f t="shared" si="14"/>
        <v>963010</v>
      </c>
      <c r="O13" s="76">
        <v>10</v>
      </c>
      <c r="P13" s="222" t="s">
        <v>22</v>
      </c>
      <c r="Q13" s="223">
        <f>N94</f>
        <v>3638050</v>
      </c>
      <c r="R13" s="223">
        <f t="shared" si="6"/>
        <v>3638050</v>
      </c>
    </row>
    <row r="14" spans="1:18" ht="16">
      <c r="A14" s="43">
        <v>46063</v>
      </c>
      <c r="B14" s="44" t="s">
        <v>12</v>
      </c>
      <c r="C14" s="35">
        <v>163709</v>
      </c>
      <c r="D14" s="35">
        <v>164067</v>
      </c>
      <c r="E14" s="11">
        <f t="shared" si="9"/>
        <v>358</v>
      </c>
      <c r="F14" s="45">
        <v>53</v>
      </c>
      <c r="G14" s="13">
        <f t="shared" si="10"/>
        <v>14.804469273743019</v>
      </c>
      <c r="H14" s="38">
        <v>30758</v>
      </c>
      <c r="I14" s="38">
        <v>31170</v>
      </c>
      <c r="J14" s="35">
        <f t="shared" si="11"/>
        <v>412</v>
      </c>
      <c r="K14" s="50">
        <f t="shared" si="12"/>
        <v>53</v>
      </c>
      <c r="L14" s="46">
        <f t="shared" si="13"/>
        <v>12.864077669902912</v>
      </c>
      <c r="M14" s="48">
        <v>18450</v>
      </c>
      <c r="N14" s="47">
        <f t="shared" si="14"/>
        <v>977850</v>
      </c>
      <c r="O14" s="76">
        <v>11</v>
      </c>
      <c r="P14" s="222" t="s">
        <v>23</v>
      </c>
      <c r="Q14" s="223">
        <f>N101</f>
        <v>3930100</v>
      </c>
      <c r="R14" s="223">
        <f t="shared" si="6"/>
        <v>3930100</v>
      </c>
    </row>
    <row r="15" spans="1:18" ht="16">
      <c r="A15" s="43">
        <v>46076</v>
      </c>
      <c r="B15" s="49" t="s">
        <v>12</v>
      </c>
      <c r="C15" s="35">
        <v>164067</v>
      </c>
      <c r="D15" s="50">
        <v>164380</v>
      </c>
      <c r="E15" s="51">
        <f t="shared" si="9"/>
        <v>313</v>
      </c>
      <c r="F15" s="52">
        <v>45</v>
      </c>
      <c r="G15" s="13">
        <f t="shared" si="10"/>
        <v>14.376996805111823</v>
      </c>
      <c r="H15" s="38">
        <v>31170</v>
      </c>
      <c r="I15" s="38">
        <v>31499</v>
      </c>
      <c r="J15" s="35">
        <f t="shared" si="11"/>
        <v>329</v>
      </c>
      <c r="K15" s="50">
        <f t="shared" si="12"/>
        <v>45</v>
      </c>
      <c r="L15" s="46">
        <f t="shared" si="13"/>
        <v>13.677811550151976</v>
      </c>
      <c r="M15" s="48">
        <v>18520</v>
      </c>
      <c r="N15" s="47">
        <f t="shared" si="14"/>
        <v>833400</v>
      </c>
      <c r="O15" s="76">
        <v>12</v>
      </c>
      <c r="P15" s="222" t="s">
        <v>24</v>
      </c>
      <c r="Q15" s="223">
        <f>N109</f>
        <v>4132630</v>
      </c>
      <c r="R15" s="223">
        <f t="shared" si="6"/>
        <v>4132630</v>
      </c>
    </row>
    <row r="16" spans="1:18" ht="16">
      <c r="A16" s="43">
        <v>46080</v>
      </c>
      <c r="B16" s="44" t="s">
        <v>12</v>
      </c>
      <c r="C16" s="50">
        <v>164380</v>
      </c>
      <c r="D16" s="35">
        <v>164687</v>
      </c>
      <c r="E16" s="11">
        <f t="shared" si="9"/>
        <v>307</v>
      </c>
      <c r="F16" s="45">
        <v>46</v>
      </c>
      <c r="G16" s="13">
        <f t="shared" si="10"/>
        <v>14.983713355048861</v>
      </c>
      <c r="H16" s="38">
        <v>31499</v>
      </c>
      <c r="I16" s="38">
        <v>31857</v>
      </c>
      <c r="J16" s="35">
        <f t="shared" si="11"/>
        <v>358</v>
      </c>
      <c r="K16" s="50">
        <f t="shared" si="12"/>
        <v>46</v>
      </c>
      <c r="L16" s="46">
        <f t="shared" si="13"/>
        <v>12.849162011173185</v>
      </c>
      <c r="M16" s="48">
        <v>19270</v>
      </c>
      <c r="N16" s="47">
        <f t="shared" si="14"/>
        <v>886420</v>
      </c>
      <c r="O16" s="76">
        <v>13</v>
      </c>
      <c r="P16" s="222" t="s">
        <v>25</v>
      </c>
      <c r="Q16" s="223">
        <f>N117</f>
        <v>4297210</v>
      </c>
      <c r="R16" s="223">
        <f>N117</f>
        <v>4297210</v>
      </c>
    </row>
    <row r="17" spans="1:18" ht="16">
      <c r="A17" s="43"/>
      <c r="B17" s="44" t="s">
        <v>12</v>
      </c>
      <c r="C17" s="35"/>
      <c r="D17" s="35"/>
      <c r="E17" s="11">
        <f t="shared" si="9"/>
        <v>0</v>
      </c>
      <c r="F17" s="45"/>
      <c r="G17" s="13" t="e">
        <f t="shared" si="10"/>
        <v>#DIV/0!</v>
      </c>
      <c r="H17" s="38"/>
      <c r="I17" s="38"/>
      <c r="J17" s="35">
        <f t="shared" si="11"/>
        <v>0</v>
      </c>
      <c r="K17" s="50">
        <f t="shared" si="12"/>
        <v>0</v>
      </c>
      <c r="L17" s="46" t="e">
        <f t="shared" si="13"/>
        <v>#DIV/0!</v>
      </c>
      <c r="M17" s="48"/>
      <c r="N17" s="47">
        <f t="shared" si="14"/>
        <v>0</v>
      </c>
      <c r="O17" s="76">
        <v>14</v>
      </c>
      <c r="P17" s="222" t="s">
        <v>26</v>
      </c>
      <c r="Q17" s="223">
        <f>N125</f>
        <v>4323900</v>
      </c>
      <c r="R17" s="223">
        <f t="shared" ref="R17:R28" si="15">Q17</f>
        <v>4323900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5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76">
        <f t="shared" ref="O18:O27" si="16">O17+1</f>
        <v>15</v>
      </c>
      <c r="P18" s="227" t="s">
        <v>27</v>
      </c>
      <c r="Q18" s="223">
        <f>N134</f>
        <v>7619000</v>
      </c>
      <c r="R18" s="223">
        <f t="shared" si="15"/>
        <v>7619000</v>
      </c>
    </row>
    <row r="19" spans="1:18" ht="16">
      <c r="A19" s="59"/>
      <c r="B19" s="60"/>
      <c r="C19" s="59"/>
      <c r="D19" s="59" t="s">
        <v>19</v>
      </c>
      <c r="E19" s="59">
        <f>SUM(E12:E18)</f>
        <v>1684</v>
      </c>
      <c r="F19" s="59">
        <f>SUM(F11:F18)</f>
        <v>442</v>
      </c>
      <c r="G19" s="61" t="e">
        <f>AVERAGE(G12:G18)</f>
        <v>#DIV/0!</v>
      </c>
      <c r="H19" s="59"/>
      <c r="I19" s="62"/>
      <c r="J19" s="59">
        <f t="shared" ref="J19:K19" si="17">SUM(J12:J18)</f>
        <v>1879</v>
      </c>
      <c r="K19" s="59">
        <f t="shared" si="17"/>
        <v>247</v>
      </c>
      <c r="L19" s="61" t="e">
        <f>AVERAGE(L12:L18)</f>
        <v>#DIV/0!</v>
      </c>
      <c r="M19" s="64"/>
      <c r="N19" s="65">
        <f>SUM(N12:N18)</f>
        <v>4569180</v>
      </c>
      <c r="O19" s="76">
        <f t="shared" si="16"/>
        <v>16</v>
      </c>
      <c r="P19" s="227" t="s">
        <v>28</v>
      </c>
      <c r="Q19" s="223">
        <f>N143</f>
        <v>3674000</v>
      </c>
      <c r="R19" s="223">
        <f t="shared" si="15"/>
        <v>3674000</v>
      </c>
    </row>
    <row r="20" spans="1:18" ht="16">
      <c r="A20" s="66">
        <v>46055</v>
      </c>
      <c r="B20" s="34" t="s">
        <v>13</v>
      </c>
      <c r="C20" s="35">
        <v>180734</v>
      </c>
      <c r="D20" s="35">
        <v>181034</v>
      </c>
      <c r="E20" s="11">
        <f t="shared" ref="E20:E28" si="18">D20-C20</f>
        <v>300</v>
      </c>
      <c r="F20" s="37">
        <v>45</v>
      </c>
      <c r="G20" s="13">
        <f t="shared" ref="G20:G28" si="19">(F20/E20)*100</f>
        <v>15</v>
      </c>
      <c r="H20" s="38">
        <v>32358</v>
      </c>
      <c r="I20" s="38">
        <v>32676</v>
      </c>
      <c r="J20" s="39">
        <f t="shared" ref="J20:J28" si="20">I20-H20</f>
        <v>318</v>
      </c>
      <c r="K20" s="77">
        <f t="shared" ref="K20:K28" si="21">F20</f>
        <v>45</v>
      </c>
      <c r="L20" s="67">
        <f t="shared" ref="L20:L28" si="22">(K20/J20)*100</f>
        <v>14.150943396226415</v>
      </c>
      <c r="M20" s="68">
        <v>18170</v>
      </c>
      <c r="N20" s="42">
        <f t="shared" ref="N20:N28" si="23">F20*M20</f>
        <v>817650</v>
      </c>
      <c r="O20" s="76">
        <f t="shared" si="16"/>
        <v>17</v>
      </c>
      <c r="P20" s="227" t="s">
        <v>29</v>
      </c>
      <c r="Q20" s="223">
        <f>N152</f>
        <v>3304000</v>
      </c>
      <c r="R20" s="223">
        <f t="shared" si="15"/>
        <v>3304000</v>
      </c>
    </row>
    <row r="21" spans="1:18" ht="16">
      <c r="A21" s="66">
        <v>46060</v>
      </c>
      <c r="B21" s="44" t="s">
        <v>13</v>
      </c>
      <c r="C21" s="35">
        <v>181034</v>
      </c>
      <c r="D21" s="35">
        <v>181364</v>
      </c>
      <c r="E21" s="11">
        <f t="shared" si="18"/>
        <v>330</v>
      </c>
      <c r="F21" s="37">
        <v>45</v>
      </c>
      <c r="G21" s="13">
        <f t="shared" si="19"/>
        <v>13.636363636363635</v>
      </c>
      <c r="H21" s="38">
        <v>32676</v>
      </c>
      <c r="I21" s="38">
        <v>32979</v>
      </c>
      <c r="J21" s="35">
        <f t="shared" si="20"/>
        <v>303</v>
      </c>
      <c r="K21" s="50">
        <f t="shared" si="21"/>
        <v>45</v>
      </c>
      <c r="L21" s="46">
        <f t="shared" si="22"/>
        <v>14.85148514851485</v>
      </c>
      <c r="M21" s="68">
        <v>18450</v>
      </c>
      <c r="N21" s="47">
        <f t="shared" si="23"/>
        <v>830250</v>
      </c>
      <c r="O21" s="76">
        <f t="shared" si="16"/>
        <v>18</v>
      </c>
      <c r="P21" s="227" t="s">
        <v>30</v>
      </c>
      <c r="Q21" s="223">
        <f>N161</f>
        <v>5869000</v>
      </c>
      <c r="R21" s="223">
        <f t="shared" si="15"/>
        <v>5869000</v>
      </c>
    </row>
    <row r="22" spans="1:18" ht="16">
      <c r="A22" s="33">
        <v>46065</v>
      </c>
      <c r="B22" s="44" t="s">
        <v>13</v>
      </c>
      <c r="C22" s="35">
        <v>181364</v>
      </c>
      <c r="D22" s="35">
        <v>181675</v>
      </c>
      <c r="E22" s="11">
        <f t="shared" si="18"/>
        <v>311</v>
      </c>
      <c r="F22" s="45">
        <v>40</v>
      </c>
      <c r="G22" s="13">
        <f t="shared" si="19"/>
        <v>12.861736334405144</v>
      </c>
      <c r="H22" s="38">
        <v>32979</v>
      </c>
      <c r="I22" s="38">
        <v>33413</v>
      </c>
      <c r="J22" s="35">
        <f t="shared" si="20"/>
        <v>434</v>
      </c>
      <c r="K22" s="50">
        <f t="shared" si="21"/>
        <v>40</v>
      </c>
      <c r="L22" s="46">
        <f t="shared" si="22"/>
        <v>9.216589861751153</v>
      </c>
      <c r="M22" s="68">
        <v>18450</v>
      </c>
      <c r="N22" s="47">
        <f t="shared" si="23"/>
        <v>738000</v>
      </c>
      <c r="O22" s="76">
        <f t="shared" si="16"/>
        <v>19</v>
      </c>
      <c r="P22" s="227" t="s">
        <v>31</v>
      </c>
      <c r="Q22" s="223">
        <f>N170</f>
        <v>6481000</v>
      </c>
      <c r="R22" s="223">
        <f t="shared" si="15"/>
        <v>6481000</v>
      </c>
    </row>
    <row r="23" spans="1:18" ht="16">
      <c r="A23" s="33">
        <v>46077</v>
      </c>
      <c r="B23" s="44" t="s">
        <v>13</v>
      </c>
      <c r="C23" s="35">
        <v>181675</v>
      </c>
      <c r="D23" s="35">
        <v>181930</v>
      </c>
      <c r="E23" s="11">
        <f t="shared" si="18"/>
        <v>255</v>
      </c>
      <c r="F23" s="45">
        <v>39</v>
      </c>
      <c r="G23" s="13">
        <f t="shared" si="19"/>
        <v>15.294117647058824</v>
      </c>
      <c r="H23" s="38">
        <v>33413</v>
      </c>
      <c r="I23" s="35">
        <v>33642</v>
      </c>
      <c r="J23" s="35">
        <f t="shared" si="20"/>
        <v>229</v>
      </c>
      <c r="K23" s="50">
        <f t="shared" si="21"/>
        <v>39</v>
      </c>
      <c r="L23" s="46">
        <f t="shared" si="22"/>
        <v>17.030567685589521</v>
      </c>
      <c r="M23" s="48">
        <v>18520</v>
      </c>
      <c r="N23" s="47">
        <f t="shared" si="23"/>
        <v>722280</v>
      </c>
      <c r="O23" s="76">
        <f t="shared" si="16"/>
        <v>20</v>
      </c>
      <c r="P23" s="227" t="s">
        <v>32</v>
      </c>
      <c r="Q23" s="223">
        <f>N179</f>
        <v>4428000</v>
      </c>
      <c r="R23" s="223">
        <f t="shared" si="15"/>
        <v>4428000</v>
      </c>
    </row>
    <row r="24" spans="1:18" ht="16">
      <c r="A24" s="33">
        <v>46079</v>
      </c>
      <c r="B24" s="44" t="s">
        <v>13</v>
      </c>
      <c r="C24" s="35">
        <v>181930</v>
      </c>
      <c r="D24" s="35">
        <v>182224</v>
      </c>
      <c r="E24" s="11">
        <f t="shared" si="18"/>
        <v>294</v>
      </c>
      <c r="F24" s="45">
        <v>43</v>
      </c>
      <c r="G24" s="13">
        <f t="shared" si="19"/>
        <v>14.625850340136054</v>
      </c>
      <c r="H24" s="35">
        <v>33642</v>
      </c>
      <c r="I24" s="35">
        <v>33998</v>
      </c>
      <c r="J24" s="35">
        <f t="shared" si="20"/>
        <v>356</v>
      </c>
      <c r="K24" s="50">
        <f t="shared" si="21"/>
        <v>43</v>
      </c>
      <c r="L24" s="46">
        <f t="shared" si="22"/>
        <v>12.078651685393259</v>
      </c>
      <c r="M24" s="48">
        <v>19270</v>
      </c>
      <c r="N24" s="47">
        <f t="shared" si="23"/>
        <v>828610</v>
      </c>
      <c r="O24" s="76">
        <f t="shared" si="16"/>
        <v>21</v>
      </c>
      <c r="P24" s="227" t="s">
        <v>33</v>
      </c>
      <c r="Q24" s="223">
        <f>N187</f>
        <v>2048000</v>
      </c>
      <c r="R24" s="223">
        <f t="shared" si="15"/>
        <v>2048000</v>
      </c>
    </row>
    <row r="25" spans="1:18" ht="16">
      <c r="A25" s="33"/>
      <c r="B25" s="44" t="s">
        <v>13</v>
      </c>
      <c r="C25" s="35"/>
      <c r="D25" s="35"/>
      <c r="E25" s="11">
        <f t="shared" si="18"/>
        <v>0</v>
      </c>
      <c r="F25" s="45"/>
      <c r="G25" s="13" t="e">
        <f t="shared" si="19"/>
        <v>#DIV/0!</v>
      </c>
      <c r="H25" s="35"/>
      <c r="I25" s="35"/>
      <c r="J25" s="35">
        <f t="shared" si="20"/>
        <v>0</v>
      </c>
      <c r="K25" s="50">
        <f t="shared" si="21"/>
        <v>0</v>
      </c>
      <c r="L25" s="46" t="e">
        <f t="shared" si="22"/>
        <v>#DIV/0!</v>
      </c>
      <c r="M25" s="48"/>
      <c r="N25" s="47">
        <f t="shared" si="23"/>
        <v>0</v>
      </c>
      <c r="O25" s="76">
        <f t="shared" si="16"/>
        <v>22</v>
      </c>
      <c r="P25" s="227" t="s">
        <v>34</v>
      </c>
      <c r="Q25" s="223">
        <f>N195</f>
        <v>1273000</v>
      </c>
      <c r="R25" s="223">
        <f t="shared" si="15"/>
        <v>1273000</v>
      </c>
    </row>
    <row r="26" spans="1:18" ht="16">
      <c r="A26" s="33"/>
      <c r="B26" s="44" t="s">
        <v>13</v>
      </c>
      <c r="C26" s="35"/>
      <c r="D26" s="35"/>
      <c r="E26" s="11">
        <f t="shared" si="18"/>
        <v>0</v>
      </c>
      <c r="F26" s="45"/>
      <c r="G26" s="13" t="e">
        <f t="shared" si="19"/>
        <v>#DIV/0!</v>
      </c>
      <c r="H26" s="35"/>
      <c r="I26" s="35"/>
      <c r="J26" s="35">
        <f t="shared" si="20"/>
        <v>0</v>
      </c>
      <c r="K26" s="50">
        <f t="shared" si="21"/>
        <v>0</v>
      </c>
      <c r="L26" s="46" t="e">
        <f t="shared" si="22"/>
        <v>#DIV/0!</v>
      </c>
      <c r="M26" s="48"/>
      <c r="N26" s="47">
        <f t="shared" si="23"/>
        <v>0</v>
      </c>
      <c r="O26" s="76">
        <f t="shared" si="16"/>
        <v>23</v>
      </c>
      <c r="R26" s="76">
        <f t="shared" si="15"/>
        <v>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76">
        <f t="shared" si="16"/>
        <v>24</v>
      </c>
      <c r="R27" s="76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76">
        <f>O26+1</f>
        <v>24</v>
      </c>
      <c r="R28" s="76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1490</v>
      </c>
      <c r="F29" s="59">
        <f>SUM(F20:F28)</f>
        <v>212</v>
      </c>
      <c r="G29" s="61" t="e">
        <f>AVERAGE(G20:G26)</f>
        <v>#DIV/0!</v>
      </c>
      <c r="H29" s="59"/>
      <c r="I29" s="62"/>
      <c r="J29" s="59">
        <f t="shared" ref="J29:K29" si="24">SUM(J20:J26)</f>
        <v>1640</v>
      </c>
      <c r="K29" s="59">
        <f t="shared" si="24"/>
        <v>212</v>
      </c>
      <c r="L29" s="61" t="e">
        <f>AVERAGE(L20:L26)</f>
        <v>#DIV/0!</v>
      </c>
      <c r="M29" s="64"/>
      <c r="N29" s="65">
        <f>SUM(N20:N28)</f>
        <v>3936790</v>
      </c>
      <c r="P29" s="228" t="s">
        <v>19</v>
      </c>
      <c r="Q29" s="223">
        <f>SUM(Q4:Q25)</f>
        <v>89042370</v>
      </c>
      <c r="R29" s="223"/>
    </row>
    <row r="30" spans="1:18" ht="16">
      <c r="A30" s="66">
        <v>46058</v>
      </c>
      <c r="B30" s="34" t="s">
        <v>14</v>
      </c>
      <c r="C30" s="53">
        <v>183971</v>
      </c>
      <c r="D30" s="53">
        <v>184379</v>
      </c>
      <c r="E30" s="36">
        <f t="shared" ref="E30:E37" si="25">D30-C30</f>
        <v>408</v>
      </c>
      <c r="F30" s="37">
        <v>50</v>
      </c>
      <c r="G30" s="13">
        <f t="shared" ref="G30:G37" si="26">(F30/E30)*100</f>
        <v>12.254901960784313</v>
      </c>
      <c r="H30" s="55">
        <v>24176</v>
      </c>
      <c r="I30" s="55">
        <v>24646</v>
      </c>
      <c r="J30" s="39">
        <f t="shared" ref="J30:J37" si="27">I30-H30</f>
        <v>470</v>
      </c>
      <c r="K30" s="50">
        <f t="shared" ref="K30:K37" si="28">F30</f>
        <v>50</v>
      </c>
      <c r="L30" s="67">
        <f t="shared" ref="L30:L37" si="29">(K30/J30)*100</f>
        <v>10.638297872340425</v>
      </c>
      <c r="M30" s="68">
        <v>18450</v>
      </c>
      <c r="N30" s="42">
        <f t="shared" ref="N30:N37" si="30">F30*M30</f>
        <v>922500</v>
      </c>
      <c r="R30" s="76">
        <f t="shared" ref="R30:R44" si="31">Q30</f>
        <v>0</v>
      </c>
    </row>
    <row r="31" spans="1:18" ht="16">
      <c r="A31" s="33">
        <v>46063</v>
      </c>
      <c r="B31" s="44" t="s">
        <v>14</v>
      </c>
      <c r="C31" s="53">
        <v>184379</v>
      </c>
      <c r="D31" s="35">
        <v>184732</v>
      </c>
      <c r="E31" s="11">
        <f t="shared" si="25"/>
        <v>353</v>
      </c>
      <c r="F31" s="45">
        <v>40</v>
      </c>
      <c r="G31" s="13">
        <f t="shared" si="26"/>
        <v>11.3314447592068</v>
      </c>
      <c r="H31" s="55">
        <v>24646</v>
      </c>
      <c r="I31" s="38">
        <v>25031</v>
      </c>
      <c r="J31" s="35">
        <f t="shared" si="27"/>
        <v>385</v>
      </c>
      <c r="K31" s="50">
        <f t="shared" si="28"/>
        <v>40</v>
      </c>
      <c r="L31" s="46">
        <f t="shared" si="29"/>
        <v>10.38961038961039</v>
      </c>
      <c r="M31" s="68">
        <v>18450</v>
      </c>
      <c r="N31" s="47">
        <f t="shared" si="30"/>
        <v>738000</v>
      </c>
      <c r="R31" s="76">
        <f t="shared" si="31"/>
        <v>0</v>
      </c>
    </row>
    <row r="32" spans="1:18" ht="16">
      <c r="A32" s="33">
        <v>46066</v>
      </c>
      <c r="B32" s="34" t="s">
        <v>14</v>
      </c>
      <c r="C32" s="35">
        <v>184732</v>
      </c>
      <c r="D32" s="35">
        <v>185025</v>
      </c>
      <c r="E32" s="11">
        <f t="shared" si="25"/>
        <v>293</v>
      </c>
      <c r="F32" s="45">
        <v>40</v>
      </c>
      <c r="G32" s="13">
        <f t="shared" si="26"/>
        <v>13.651877133105803</v>
      </c>
      <c r="H32" s="38">
        <v>25031</v>
      </c>
      <c r="I32" s="38">
        <v>25397</v>
      </c>
      <c r="J32" s="35">
        <f t="shared" si="27"/>
        <v>366</v>
      </c>
      <c r="K32" s="50">
        <f t="shared" si="28"/>
        <v>40</v>
      </c>
      <c r="L32" s="46">
        <f t="shared" si="29"/>
        <v>10.928961748633879</v>
      </c>
      <c r="M32" s="68">
        <v>18460</v>
      </c>
      <c r="N32" s="47">
        <f t="shared" si="30"/>
        <v>738400</v>
      </c>
      <c r="R32" s="76">
        <f t="shared" si="31"/>
        <v>0</v>
      </c>
    </row>
    <row r="33" spans="1:18" ht="16">
      <c r="A33" s="33">
        <v>46078</v>
      </c>
      <c r="B33" s="44" t="s">
        <v>14</v>
      </c>
      <c r="C33" s="35">
        <v>185025</v>
      </c>
      <c r="D33" s="35">
        <v>185368</v>
      </c>
      <c r="E33" s="11">
        <f t="shared" si="25"/>
        <v>343</v>
      </c>
      <c r="F33" s="45">
        <v>40</v>
      </c>
      <c r="G33" s="13">
        <f t="shared" si="26"/>
        <v>11.661807580174926</v>
      </c>
      <c r="H33" s="38">
        <v>25397</v>
      </c>
      <c r="I33" s="38">
        <v>25754</v>
      </c>
      <c r="J33" s="35">
        <f t="shared" si="27"/>
        <v>357</v>
      </c>
      <c r="K33" s="50">
        <f t="shared" si="28"/>
        <v>40</v>
      </c>
      <c r="L33" s="46">
        <f t="shared" si="29"/>
        <v>11.204481792717088</v>
      </c>
      <c r="M33" s="68">
        <v>18520</v>
      </c>
      <c r="N33" s="47">
        <f t="shared" si="30"/>
        <v>740800</v>
      </c>
      <c r="R33" s="76">
        <f t="shared" si="31"/>
        <v>0</v>
      </c>
    </row>
    <row r="34" spans="1:18" ht="16">
      <c r="A34" s="33"/>
      <c r="B34" s="44" t="s">
        <v>14</v>
      </c>
      <c r="C34" s="35"/>
      <c r="D34" s="35"/>
      <c r="E34" s="11">
        <f t="shared" si="25"/>
        <v>0</v>
      </c>
      <c r="F34" s="45"/>
      <c r="G34" s="13" t="e">
        <f t="shared" si="26"/>
        <v>#DIV/0!</v>
      </c>
      <c r="H34" s="38"/>
      <c r="I34" s="38"/>
      <c r="J34" s="35">
        <f t="shared" si="27"/>
        <v>0</v>
      </c>
      <c r="K34" s="50">
        <f t="shared" si="28"/>
        <v>0</v>
      </c>
      <c r="L34" s="46" t="e">
        <f t="shared" si="29"/>
        <v>#DIV/0!</v>
      </c>
      <c r="M34" s="48"/>
      <c r="N34" s="47">
        <f t="shared" si="30"/>
        <v>0</v>
      </c>
      <c r="R34" s="76">
        <f t="shared" si="31"/>
        <v>0</v>
      </c>
    </row>
    <row r="35" spans="1:18" ht="16">
      <c r="A35" s="33"/>
      <c r="B35" s="44" t="s">
        <v>14</v>
      </c>
      <c r="C35" s="35"/>
      <c r="D35" s="35"/>
      <c r="E35" s="11">
        <f t="shared" si="25"/>
        <v>0</v>
      </c>
      <c r="F35" s="45"/>
      <c r="G35" s="13" t="e">
        <f t="shared" si="26"/>
        <v>#DIV/0!</v>
      </c>
      <c r="H35" s="38"/>
      <c r="I35" s="38"/>
      <c r="J35" s="35">
        <f t="shared" si="27"/>
        <v>0</v>
      </c>
      <c r="K35" s="50">
        <f t="shared" si="28"/>
        <v>0</v>
      </c>
      <c r="L35" s="46" t="e">
        <f t="shared" si="29"/>
        <v>#DIV/0!</v>
      </c>
      <c r="M35" s="48"/>
      <c r="N35" s="47">
        <f t="shared" si="30"/>
        <v>0</v>
      </c>
      <c r="R35" s="76">
        <f t="shared" si="31"/>
        <v>0</v>
      </c>
    </row>
    <row r="36" spans="1:18" ht="16">
      <c r="A36" s="33"/>
      <c r="B36" s="44" t="s">
        <v>14</v>
      </c>
      <c r="C36" s="35"/>
      <c r="D36" s="35"/>
      <c r="E36" s="11">
        <f t="shared" si="25"/>
        <v>0</v>
      </c>
      <c r="F36" s="45"/>
      <c r="G36" s="13" t="e">
        <f t="shared" si="26"/>
        <v>#DIV/0!</v>
      </c>
      <c r="H36" s="38"/>
      <c r="I36" s="38"/>
      <c r="J36" s="35">
        <f t="shared" si="27"/>
        <v>0</v>
      </c>
      <c r="K36" s="50">
        <f t="shared" si="28"/>
        <v>0</v>
      </c>
      <c r="L36" s="46" t="e">
        <f t="shared" si="29"/>
        <v>#DIV/0!</v>
      </c>
      <c r="M36" s="48"/>
      <c r="N36" s="47">
        <f t="shared" si="30"/>
        <v>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1397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1578</v>
      </c>
      <c r="K38" s="59">
        <f t="shared" si="32"/>
        <v>170</v>
      </c>
      <c r="L38" s="61" t="e">
        <f>AVERAGE(L30:L37)</f>
        <v>#DIV/0!</v>
      </c>
      <c r="M38" s="64"/>
      <c r="N38" s="65">
        <f>SUM(N30:N37)</f>
        <v>3139700</v>
      </c>
      <c r="R38" s="76">
        <f t="shared" si="31"/>
        <v>0</v>
      </c>
    </row>
    <row r="39" spans="1:18" ht="16">
      <c r="A39" s="66">
        <v>46056</v>
      </c>
      <c r="B39" s="34" t="s">
        <v>15</v>
      </c>
      <c r="C39" s="35">
        <v>171480</v>
      </c>
      <c r="D39" s="35">
        <v>171766</v>
      </c>
      <c r="E39" s="36">
        <f t="shared" ref="E39:E47" si="33">D39-C39</f>
        <v>286</v>
      </c>
      <c r="F39" s="37">
        <v>35</v>
      </c>
      <c r="G39" s="13">
        <f t="shared" ref="G39:G47" si="34">(F39/E39)*100</f>
        <v>12.237762237762238</v>
      </c>
      <c r="H39" s="38">
        <v>30580</v>
      </c>
      <c r="I39" s="38">
        <v>30826</v>
      </c>
      <c r="J39" s="39">
        <f t="shared" ref="J39:J47" si="35">I39-H39</f>
        <v>246</v>
      </c>
      <c r="K39" s="77">
        <f t="shared" ref="K39:K47" si="36">F39</f>
        <v>35</v>
      </c>
      <c r="L39" s="67">
        <f t="shared" ref="L39:L47" si="37">(K39/J39)*100</f>
        <v>14.227642276422763</v>
      </c>
      <c r="M39" s="53">
        <v>18170</v>
      </c>
      <c r="N39" s="42">
        <f t="shared" ref="N39:N47" si="38">F39*M39</f>
        <v>635950</v>
      </c>
      <c r="R39" s="76">
        <f t="shared" si="31"/>
        <v>0</v>
      </c>
    </row>
    <row r="40" spans="1:18" ht="16">
      <c r="A40" s="33">
        <v>46058</v>
      </c>
      <c r="B40" s="44" t="s">
        <v>15</v>
      </c>
      <c r="C40" s="35">
        <v>171766</v>
      </c>
      <c r="D40" s="35">
        <v>172100</v>
      </c>
      <c r="E40" s="11">
        <f t="shared" si="33"/>
        <v>334</v>
      </c>
      <c r="F40" s="45">
        <v>38</v>
      </c>
      <c r="G40" s="13">
        <f t="shared" si="34"/>
        <v>11.377245508982035</v>
      </c>
      <c r="H40" s="38">
        <v>30826</v>
      </c>
      <c r="I40" s="38">
        <v>31192</v>
      </c>
      <c r="J40" s="35">
        <f t="shared" si="35"/>
        <v>366</v>
      </c>
      <c r="K40" s="50">
        <f t="shared" si="36"/>
        <v>38</v>
      </c>
      <c r="L40" s="46">
        <f t="shared" si="37"/>
        <v>10.382513661202186</v>
      </c>
      <c r="M40" s="53">
        <v>18450</v>
      </c>
      <c r="N40" s="47">
        <f t="shared" si="38"/>
        <v>701100</v>
      </c>
      <c r="P40" s="78"/>
      <c r="R40" s="76">
        <f t="shared" si="31"/>
        <v>0</v>
      </c>
    </row>
    <row r="41" spans="1:18" ht="16">
      <c r="A41" s="33">
        <v>46063</v>
      </c>
      <c r="B41" s="44" t="s">
        <v>15</v>
      </c>
      <c r="C41" s="35">
        <v>172100</v>
      </c>
      <c r="D41" s="35">
        <v>172430</v>
      </c>
      <c r="E41" s="11">
        <f t="shared" si="33"/>
        <v>330</v>
      </c>
      <c r="F41" s="45">
        <v>39</v>
      </c>
      <c r="G41" s="13">
        <f t="shared" si="34"/>
        <v>11.818181818181818</v>
      </c>
      <c r="H41" s="38">
        <v>31192</v>
      </c>
      <c r="I41" s="38">
        <v>31556</v>
      </c>
      <c r="J41" s="35">
        <f t="shared" si="35"/>
        <v>364</v>
      </c>
      <c r="K41" s="50">
        <f t="shared" si="36"/>
        <v>39</v>
      </c>
      <c r="L41" s="46">
        <f t="shared" si="37"/>
        <v>10.714285714285714</v>
      </c>
      <c r="M41" s="53">
        <v>18450</v>
      </c>
      <c r="N41" s="47">
        <f t="shared" si="38"/>
        <v>719550</v>
      </c>
      <c r="R41" s="76">
        <f t="shared" si="31"/>
        <v>0</v>
      </c>
    </row>
    <row r="42" spans="1:18" ht="16">
      <c r="A42" s="33">
        <v>46075</v>
      </c>
      <c r="B42" s="44" t="s">
        <v>15</v>
      </c>
      <c r="C42" s="35">
        <v>172430</v>
      </c>
      <c r="D42" s="35">
        <v>172778</v>
      </c>
      <c r="E42" s="11">
        <f t="shared" si="33"/>
        <v>348</v>
      </c>
      <c r="F42" s="45">
        <v>47</v>
      </c>
      <c r="G42" s="13">
        <f t="shared" si="34"/>
        <v>13.505747126436782</v>
      </c>
      <c r="H42" s="38">
        <v>31556</v>
      </c>
      <c r="I42" s="38">
        <v>31854</v>
      </c>
      <c r="J42" s="35">
        <f t="shared" si="35"/>
        <v>298</v>
      </c>
      <c r="K42" s="50">
        <f t="shared" si="36"/>
        <v>47</v>
      </c>
      <c r="L42" s="46">
        <f t="shared" si="37"/>
        <v>15.771812080536913</v>
      </c>
      <c r="M42" s="53">
        <v>18520</v>
      </c>
      <c r="N42" s="47">
        <f t="shared" si="38"/>
        <v>870440</v>
      </c>
      <c r="R42" s="76">
        <f t="shared" si="31"/>
        <v>0</v>
      </c>
    </row>
    <row r="43" spans="1:18" ht="16">
      <c r="A43" s="33">
        <v>46078</v>
      </c>
      <c r="B43" s="44" t="s">
        <v>15</v>
      </c>
      <c r="C43" s="35">
        <v>172778</v>
      </c>
      <c r="D43" s="35">
        <v>173090</v>
      </c>
      <c r="E43" s="11">
        <f t="shared" si="33"/>
        <v>312</v>
      </c>
      <c r="F43" s="45">
        <v>35</v>
      </c>
      <c r="G43" s="13">
        <f t="shared" si="34"/>
        <v>11.217948717948719</v>
      </c>
      <c r="H43" s="38">
        <v>31854</v>
      </c>
      <c r="I43" s="38">
        <v>32277</v>
      </c>
      <c r="J43" s="35">
        <f t="shared" si="35"/>
        <v>423</v>
      </c>
      <c r="K43" s="50">
        <f t="shared" si="36"/>
        <v>35</v>
      </c>
      <c r="L43" s="46">
        <f t="shared" si="37"/>
        <v>8.2742316784869967</v>
      </c>
      <c r="M43" s="53">
        <v>18520</v>
      </c>
      <c r="N43" s="47">
        <f t="shared" si="38"/>
        <v>648200</v>
      </c>
      <c r="R43" s="76">
        <f t="shared" si="31"/>
        <v>0</v>
      </c>
    </row>
    <row r="44" spans="1:18" ht="16">
      <c r="A44" s="33"/>
      <c r="B44" s="44" t="s">
        <v>15</v>
      </c>
      <c r="C44" s="35"/>
      <c r="D44" s="35"/>
      <c r="E44" s="11">
        <f t="shared" si="33"/>
        <v>0</v>
      </c>
      <c r="F44" s="45"/>
      <c r="G44" s="13" t="e">
        <f t="shared" si="34"/>
        <v>#DIV/0!</v>
      </c>
      <c r="H44" s="38"/>
      <c r="I44" s="38"/>
      <c r="J44" s="35">
        <f t="shared" si="35"/>
        <v>0</v>
      </c>
      <c r="K44" s="50">
        <f t="shared" si="36"/>
        <v>0</v>
      </c>
      <c r="L44" s="46" t="e">
        <f t="shared" si="37"/>
        <v>#DIV/0!</v>
      </c>
      <c r="M44" s="48"/>
      <c r="N44" s="47">
        <f t="shared" si="38"/>
        <v>0</v>
      </c>
      <c r="R44" s="76">
        <f t="shared" si="31"/>
        <v>0</v>
      </c>
    </row>
    <row r="45" spans="1:18" ht="16">
      <c r="A45" s="33"/>
      <c r="B45" s="44" t="s">
        <v>15</v>
      </c>
      <c r="C45" s="35"/>
      <c r="D45" s="35"/>
      <c r="E45" s="11">
        <f t="shared" si="33"/>
        <v>0</v>
      </c>
      <c r="F45" s="45"/>
      <c r="G45" s="13" t="e">
        <f t="shared" si="34"/>
        <v>#DIV/0!</v>
      </c>
      <c r="H45" s="38"/>
      <c r="I45" s="38"/>
      <c r="J45" s="35">
        <f t="shared" si="35"/>
        <v>0</v>
      </c>
      <c r="K45" s="50">
        <f t="shared" si="36"/>
        <v>0</v>
      </c>
      <c r="L45" s="46" t="e">
        <f t="shared" si="37"/>
        <v>#DIV/0!</v>
      </c>
      <c r="M45" s="48"/>
      <c r="N45" s="47">
        <f t="shared" si="38"/>
        <v>0</v>
      </c>
    </row>
    <row r="46" spans="1:18" ht="16">
      <c r="A46" s="33"/>
      <c r="B46" s="44" t="s">
        <v>15</v>
      </c>
      <c r="C46" s="35"/>
      <c r="D46" s="35"/>
      <c r="E46" s="11">
        <f t="shared" si="33"/>
        <v>0</v>
      </c>
      <c r="F46" s="45"/>
      <c r="G46" s="13" t="e">
        <f t="shared" si="34"/>
        <v>#DIV/0!</v>
      </c>
      <c r="H46" s="38"/>
      <c r="I46" s="38"/>
      <c r="J46" s="35">
        <f t="shared" si="35"/>
        <v>0</v>
      </c>
      <c r="K46" s="50">
        <f t="shared" si="36"/>
        <v>0</v>
      </c>
      <c r="L46" s="46" t="e">
        <f t="shared" si="37"/>
        <v>#DIV/0!</v>
      </c>
      <c r="M46" s="48"/>
      <c r="N46" s="47">
        <f t="shared" si="38"/>
        <v>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6" si="39">Q47</f>
        <v>0</v>
      </c>
    </row>
    <row r="48" spans="1:18" ht="16">
      <c r="A48" s="59"/>
      <c r="B48" s="60"/>
      <c r="C48" s="59"/>
      <c r="D48" s="59" t="s">
        <v>19</v>
      </c>
      <c r="E48" s="59">
        <f t="shared" ref="E48:F48" si="40">SUM(E39:E47)</f>
        <v>1610</v>
      </c>
      <c r="F48" s="59">
        <f t="shared" si="40"/>
        <v>194</v>
      </c>
      <c r="G48" s="61" t="e">
        <f>AVERAGE(G39:G47)</f>
        <v>#DIV/0!</v>
      </c>
      <c r="H48" s="59"/>
      <c r="I48" s="62"/>
      <c r="J48" s="59">
        <f t="shared" ref="J48:K48" si="41">SUM(J39:J47)</f>
        <v>1697</v>
      </c>
      <c r="K48" s="59">
        <f t="shared" si="41"/>
        <v>194</v>
      </c>
      <c r="L48" s="61" t="e">
        <f>AVERAGE(L39:L47)</f>
        <v>#DIV/0!</v>
      </c>
      <c r="M48" s="64"/>
      <c r="N48" s="65">
        <f>SUM(N39:N47)</f>
        <v>3575240</v>
      </c>
      <c r="R48" s="76">
        <f t="shared" si="39"/>
        <v>0</v>
      </c>
    </row>
    <row r="49" spans="1:18" ht="16">
      <c r="A49" s="66">
        <v>46057</v>
      </c>
      <c r="B49" s="34" t="s">
        <v>16</v>
      </c>
      <c r="C49" s="35">
        <v>148185</v>
      </c>
      <c r="D49" s="35">
        <v>148473</v>
      </c>
      <c r="E49" s="36">
        <f t="shared" ref="E49:E59" si="42">D49-C49</f>
        <v>288</v>
      </c>
      <c r="F49" s="37">
        <v>38</v>
      </c>
      <c r="G49" s="13">
        <f t="shared" ref="G49:G59" si="43">(F49/E49)*100</f>
        <v>13.194444444444445</v>
      </c>
      <c r="H49" s="38">
        <v>32950</v>
      </c>
      <c r="I49" s="38">
        <v>33327</v>
      </c>
      <c r="J49" s="39">
        <f t="shared" ref="J49:J59" si="44">I49-H49</f>
        <v>377</v>
      </c>
      <c r="K49" s="77">
        <f t="shared" ref="K49:K59" si="45">F49</f>
        <v>38</v>
      </c>
      <c r="L49" s="67">
        <f t="shared" ref="L49:L59" si="46">(K49/J49)*100</f>
        <v>10.079575596816976</v>
      </c>
      <c r="M49" s="68">
        <v>18170</v>
      </c>
      <c r="N49" s="42">
        <f t="shared" ref="N49:N59" si="47">F49*M49</f>
        <v>690460</v>
      </c>
      <c r="R49" s="76">
        <f t="shared" si="39"/>
        <v>0</v>
      </c>
    </row>
    <row r="50" spans="1:18" ht="16">
      <c r="A50" s="66">
        <v>46060</v>
      </c>
      <c r="B50" s="44" t="s">
        <v>16</v>
      </c>
      <c r="C50" s="35">
        <v>148473</v>
      </c>
      <c r="D50" s="35">
        <v>148783</v>
      </c>
      <c r="E50" s="11">
        <f t="shared" si="42"/>
        <v>310</v>
      </c>
      <c r="F50" s="45">
        <v>43</v>
      </c>
      <c r="G50" s="13">
        <f t="shared" si="43"/>
        <v>13.870967741935484</v>
      </c>
      <c r="H50" s="38">
        <v>33327</v>
      </c>
      <c r="I50" s="38">
        <v>33609</v>
      </c>
      <c r="J50" s="35">
        <f t="shared" si="44"/>
        <v>282</v>
      </c>
      <c r="K50" s="50">
        <f t="shared" si="45"/>
        <v>43</v>
      </c>
      <c r="L50" s="46">
        <f t="shared" si="46"/>
        <v>15.24822695035461</v>
      </c>
      <c r="M50" s="48">
        <v>18450</v>
      </c>
      <c r="N50" s="47">
        <f t="shared" si="47"/>
        <v>793350</v>
      </c>
      <c r="R50" s="76">
        <f t="shared" si="39"/>
        <v>0</v>
      </c>
    </row>
    <row r="51" spans="1:18" ht="16">
      <c r="A51" s="80">
        <v>46065</v>
      </c>
      <c r="B51" s="44" t="s">
        <v>16</v>
      </c>
      <c r="C51" s="35">
        <v>148783</v>
      </c>
      <c r="D51" s="35">
        <v>149101</v>
      </c>
      <c r="E51" s="11">
        <f t="shared" si="42"/>
        <v>318</v>
      </c>
      <c r="F51" s="45">
        <v>48</v>
      </c>
      <c r="G51" s="13">
        <f t="shared" si="43"/>
        <v>15.09433962264151</v>
      </c>
      <c r="H51" s="38">
        <v>33609</v>
      </c>
      <c r="I51" s="38">
        <v>33947</v>
      </c>
      <c r="J51" s="35">
        <f t="shared" si="44"/>
        <v>338</v>
      </c>
      <c r="K51" s="50">
        <f t="shared" si="45"/>
        <v>48</v>
      </c>
      <c r="L51" s="46">
        <f t="shared" si="46"/>
        <v>14.201183431952662</v>
      </c>
      <c r="M51" s="48">
        <v>18450</v>
      </c>
      <c r="N51" s="47">
        <f t="shared" si="47"/>
        <v>885600</v>
      </c>
      <c r="R51" s="76">
        <f t="shared" si="39"/>
        <v>0</v>
      </c>
    </row>
    <row r="52" spans="1:18" ht="16">
      <c r="A52" s="80">
        <v>46076</v>
      </c>
      <c r="B52" s="44" t="s">
        <v>16</v>
      </c>
      <c r="C52" s="35">
        <v>149101</v>
      </c>
      <c r="D52" s="35">
        <v>149569</v>
      </c>
      <c r="E52" s="11">
        <f t="shared" si="42"/>
        <v>468</v>
      </c>
      <c r="F52" s="45">
        <v>43</v>
      </c>
      <c r="G52" s="13">
        <f t="shared" si="43"/>
        <v>9.1880341880341891</v>
      </c>
      <c r="H52" s="38">
        <v>33947</v>
      </c>
      <c r="I52" s="38">
        <v>34534</v>
      </c>
      <c r="J52" s="35">
        <f t="shared" si="44"/>
        <v>587</v>
      </c>
      <c r="K52" s="50">
        <f t="shared" si="45"/>
        <v>43</v>
      </c>
      <c r="L52" s="46">
        <f t="shared" si="46"/>
        <v>7.3253833049403747</v>
      </c>
      <c r="M52" s="48">
        <v>18520</v>
      </c>
      <c r="N52" s="47">
        <f t="shared" si="47"/>
        <v>796360</v>
      </c>
      <c r="R52" s="76">
        <f t="shared" si="39"/>
        <v>0</v>
      </c>
    </row>
    <row r="53" spans="1:18" ht="16">
      <c r="A53" s="80">
        <v>46079</v>
      </c>
      <c r="B53" s="44" t="s">
        <v>16</v>
      </c>
      <c r="C53" s="35">
        <v>149569</v>
      </c>
      <c r="D53" s="35">
        <v>149936</v>
      </c>
      <c r="E53" s="11">
        <f t="shared" si="42"/>
        <v>367</v>
      </c>
      <c r="F53" s="45">
        <v>45</v>
      </c>
      <c r="G53" s="13">
        <f t="shared" si="43"/>
        <v>12.26158038147139</v>
      </c>
      <c r="H53" s="38">
        <v>34534</v>
      </c>
      <c r="I53" s="38">
        <v>34857</v>
      </c>
      <c r="J53" s="35">
        <f t="shared" si="44"/>
        <v>323</v>
      </c>
      <c r="K53" s="50">
        <f t="shared" si="45"/>
        <v>45</v>
      </c>
      <c r="L53" s="46">
        <f t="shared" si="46"/>
        <v>13.93188854489164</v>
      </c>
      <c r="M53" s="48">
        <v>18520</v>
      </c>
      <c r="N53" s="47">
        <f t="shared" si="47"/>
        <v>833400</v>
      </c>
      <c r="P53" s="78"/>
      <c r="R53" s="76">
        <f t="shared" si="39"/>
        <v>0</v>
      </c>
    </row>
    <row r="54" spans="1:18" ht="16">
      <c r="A54" s="80"/>
      <c r="B54" s="44" t="s">
        <v>16</v>
      </c>
      <c r="C54" s="35"/>
      <c r="D54" s="35"/>
      <c r="E54" s="11">
        <f t="shared" si="42"/>
        <v>0</v>
      </c>
      <c r="F54" s="45"/>
      <c r="G54" s="13" t="e">
        <f t="shared" si="43"/>
        <v>#DIV/0!</v>
      </c>
      <c r="H54" s="38"/>
      <c r="I54" s="38"/>
      <c r="J54" s="35">
        <f t="shared" si="44"/>
        <v>0</v>
      </c>
      <c r="K54" s="50">
        <f t="shared" si="45"/>
        <v>0</v>
      </c>
      <c r="L54" s="46" t="e">
        <f t="shared" si="46"/>
        <v>#DIV/0!</v>
      </c>
      <c r="M54" s="48"/>
      <c r="N54" s="47">
        <f t="shared" si="47"/>
        <v>0</v>
      </c>
      <c r="R54" s="76">
        <f t="shared" si="39"/>
        <v>0</v>
      </c>
    </row>
    <row r="55" spans="1:18" ht="16">
      <c r="A55" s="80"/>
      <c r="B55" s="44" t="s">
        <v>16</v>
      </c>
      <c r="C55" s="35"/>
      <c r="D55" s="35"/>
      <c r="E55" s="11">
        <f t="shared" si="42"/>
        <v>0</v>
      </c>
      <c r="F55" s="45"/>
      <c r="G55" s="13" t="e">
        <f t="shared" si="43"/>
        <v>#DIV/0!</v>
      </c>
      <c r="H55" s="38"/>
      <c r="I55" s="38"/>
      <c r="J55" s="35">
        <f t="shared" si="44"/>
        <v>0</v>
      </c>
      <c r="K55" s="50">
        <f t="shared" si="45"/>
        <v>0</v>
      </c>
      <c r="L55" s="46" t="e">
        <f t="shared" si="46"/>
        <v>#DIV/0!</v>
      </c>
      <c r="M55" s="48"/>
      <c r="N55" s="47">
        <f t="shared" si="47"/>
        <v>0</v>
      </c>
      <c r="R55" s="76">
        <f t="shared" si="39"/>
        <v>0</v>
      </c>
    </row>
    <row r="56" spans="1:18" ht="16">
      <c r="A56" s="80"/>
      <c r="B56" s="44" t="s">
        <v>16</v>
      </c>
      <c r="C56" s="35"/>
      <c r="D56" s="35"/>
      <c r="E56" s="11">
        <f t="shared" si="42"/>
        <v>0</v>
      </c>
      <c r="F56" s="45"/>
      <c r="G56" s="13" t="e">
        <f t="shared" si="43"/>
        <v>#DIV/0!</v>
      </c>
      <c r="H56" s="38"/>
      <c r="I56" s="38"/>
      <c r="J56" s="35">
        <f t="shared" si="44"/>
        <v>0</v>
      </c>
      <c r="K56" s="50">
        <f t="shared" si="45"/>
        <v>0</v>
      </c>
      <c r="L56" s="46" t="e">
        <f t="shared" si="46"/>
        <v>#DIV/0!</v>
      </c>
      <c r="M56" s="48"/>
      <c r="N56" s="47">
        <f t="shared" si="47"/>
        <v>0</v>
      </c>
      <c r="R56" s="76">
        <f t="shared" si="39"/>
        <v>0</v>
      </c>
    </row>
    <row r="57" spans="1:18" ht="16">
      <c r="A57" s="80"/>
      <c r="B57" s="44" t="s">
        <v>16</v>
      </c>
      <c r="C57" s="35"/>
      <c r="D57" s="35"/>
      <c r="E57" s="11">
        <f t="shared" si="42"/>
        <v>0</v>
      </c>
      <c r="F57" s="45"/>
      <c r="G57" s="13" t="e">
        <f t="shared" si="43"/>
        <v>#DIV/0!</v>
      </c>
      <c r="H57" s="38"/>
      <c r="I57" s="38"/>
      <c r="J57" s="35">
        <f t="shared" si="44"/>
        <v>0</v>
      </c>
      <c r="K57" s="50">
        <f t="shared" si="45"/>
        <v>0</v>
      </c>
      <c r="L57" s="46" t="e">
        <f t="shared" si="46"/>
        <v>#DIV/0!</v>
      </c>
      <c r="M57" s="48"/>
      <c r="N57" s="47">
        <f t="shared" si="47"/>
        <v>0</v>
      </c>
    </row>
    <row r="58" spans="1:18" ht="16">
      <c r="A58" s="80"/>
      <c r="B58" s="44" t="s">
        <v>16</v>
      </c>
      <c r="C58" s="35"/>
      <c r="D58" s="35"/>
      <c r="E58" s="11">
        <f t="shared" si="42"/>
        <v>0</v>
      </c>
      <c r="F58" s="45"/>
      <c r="G58" s="13" t="e">
        <f t="shared" si="43"/>
        <v>#DIV/0!</v>
      </c>
      <c r="H58" s="38"/>
      <c r="I58" s="38"/>
      <c r="J58" s="35">
        <f t="shared" si="44"/>
        <v>0</v>
      </c>
      <c r="K58" s="50">
        <f t="shared" si="45"/>
        <v>0</v>
      </c>
      <c r="L58" s="46" t="e">
        <f t="shared" si="46"/>
        <v>#DIV/0!</v>
      </c>
      <c r="M58" s="48"/>
      <c r="N58" s="47">
        <f t="shared" si="47"/>
        <v>0</v>
      </c>
      <c r="R58" s="76">
        <f t="shared" ref="R58:R63" si="48">Q58</f>
        <v>0</v>
      </c>
    </row>
    <row r="59" spans="1:18" ht="16">
      <c r="A59" s="80"/>
      <c r="B59" s="44" t="s">
        <v>16</v>
      </c>
      <c r="C59" s="53"/>
      <c r="D59" s="53"/>
      <c r="E59" s="24">
        <f t="shared" si="42"/>
        <v>0</v>
      </c>
      <c r="F59" s="45"/>
      <c r="G59" s="54" t="e">
        <f t="shared" si="43"/>
        <v>#DIV/0!</v>
      </c>
      <c r="H59" s="53"/>
      <c r="I59" s="55"/>
      <c r="J59" s="53">
        <f t="shared" si="44"/>
        <v>0</v>
      </c>
      <c r="K59" s="50">
        <f t="shared" si="45"/>
        <v>0</v>
      </c>
      <c r="L59" s="73" t="e">
        <f t="shared" si="46"/>
        <v>#DIV/0!</v>
      </c>
      <c r="M59" s="48"/>
      <c r="N59" s="57">
        <f t="shared" si="47"/>
        <v>0</v>
      </c>
      <c r="R59" s="76">
        <f t="shared" si="48"/>
        <v>0</v>
      </c>
    </row>
    <row r="60" spans="1:18" ht="16">
      <c r="A60" s="59"/>
      <c r="B60" s="60"/>
      <c r="C60" s="81"/>
      <c r="D60" s="59" t="s">
        <v>19</v>
      </c>
      <c r="E60" s="59">
        <f>SUM(E49:E59)</f>
        <v>1751</v>
      </c>
      <c r="F60" s="37"/>
      <c r="G60" s="61" t="e">
        <f>AVERAGE(G49:G59)</f>
        <v>#DIV/0!</v>
      </c>
      <c r="H60" s="59"/>
      <c r="I60" s="62"/>
      <c r="J60" s="59">
        <f t="shared" ref="J60:K60" si="49">SUM(J49:J59)</f>
        <v>1907</v>
      </c>
      <c r="K60" s="59">
        <f t="shared" si="49"/>
        <v>217</v>
      </c>
      <c r="L60" s="61" t="e">
        <f>AVERAGE(L49:L59)</f>
        <v>#DIV/0!</v>
      </c>
      <c r="M60" s="64"/>
      <c r="N60" s="65">
        <f>SUM(N49:N59)</f>
        <v>3999170</v>
      </c>
      <c r="R60" s="76">
        <f t="shared" si="48"/>
        <v>0</v>
      </c>
    </row>
    <row r="61" spans="1:18" ht="16">
      <c r="A61" s="66">
        <v>46057</v>
      </c>
      <c r="B61" s="82" t="s">
        <v>18</v>
      </c>
      <c r="C61" s="50">
        <v>152861</v>
      </c>
      <c r="D61" s="50">
        <v>153209</v>
      </c>
      <c r="E61" s="36">
        <f t="shared" ref="E61:E69" si="50">D61-C61</f>
        <v>348</v>
      </c>
      <c r="F61" s="37">
        <v>45</v>
      </c>
      <c r="G61" s="13">
        <f t="shared" ref="G61:G69" si="51">(F61/E61)*100</f>
        <v>12.931034482758621</v>
      </c>
      <c r="H61" s="38">
        <v>25051</v>
      </c>
      <c r="I61" s="38">
        <v>25443</v>
      </c>
      <c r="J61" s="39">
        <f t="shared" ref="J61:J69" si="52">I61-H61</f>
        <v>392</v>
      </c>
      <c r="K61" s="77">
        <f t="shared" ref="K61:K69" si="53">F61</f>
        <v>45</v>
      </c>
      <c r="L61" s="67">
        <f t="shared" ref="L61:L69" si="54">(K61/J61)*100</f>
        <v>11.479591836734695</v>
      </c>
      <c r="M61" s="68">
        <v>18170</v>
      </c>
      <c r="N61" s="42">
        <f t="shared" ref="N61:N69" si="55">F61*M61</f>
        <v>817650</v>
      </c>
      <c r="R61" s="76">
        <f t="shared" si="48"/>
        <v>0</v>
      </c>
    </row>
    <row r="62" spans="1:18" ht="16">
      <c r="A62" s="33">
        <v>46063</v>
      </c>
      <c r="B62" s="44" t="s">
        <v>18</v>
      </c>
      <c r="C62" s="50">
        <v>153209</v>
      </c>
      <c r="D62" s="35">
        <v>153585</v>
      </c>
      <c r="E62" s="11">
        <f t="shared" si="50"/>
        <v>376</v>
      </c>
      <c r="F62" s="45">
        <v>46</v>
      </c>
      <c r="G62" s="13">
        <f t="shared" si="51"/>
        <v>12.23404255319149</v>
      </c>
      <c r="H62" s="38">
        <v>25443</v>
      </c>
      <c r="I62" s="38">
        <v>25893</v>
      </c>
      <c r="J62" s="35">
        <f t="shared" si="52"/>
        <v>450</v>
      </c>
      <c r="K62" s="50">
        <f t="shared" si="53"/>
        <v>46</v>
      </c>
      <c r="L62" s="46">
        <f t="shared" si="54"/>
        <v>10.222222222222223</v>
      </c>
      <c r="M62" s="48">
        <v>18450</v>
      </c>
      <c r="N62" s="47">
        <f t="shared" si="55"/>
        <v>848700</v>
      </c>
      <c r="R62" s="76">
        <f t="shared" si="48"/>
        <v>0</v>
      </c>
    </row>
    <row r="63" spans="1:18" ht="16">
      <c r="A63" s="33">
        <v>46077</v>
      </c>
      <c r="B63" s="44" t="s">
        <v>18</v>
      </c>
      <c r="C63" s="35">
        <v>153585</v>
      </c>
      <c r="D63" s="35">
        <v>153894</v>
      </c>
      <c r="E63" s="11">
        <f t="shared" si="50"/>
        <v>309</v>
      </c>
      <c r="F63" s="45">
        <v>45</v>
      </c>
      <c r="G63" s="13">
        <f t="shared" si="51"/>
        <v>14.563106796116504</v>
      </c>
      <c r="H63" s="38">
        <v>25893</v>
      </c>
      <c r="I63" s="38">
        <v>26201</v>
      </c>
      <c r="J63" s="35">
        <f t="shared" si="52"/>
        <v>308</v>
      </c>
      <c r="K63" s="50">
        <f t="shared" si="53"/>
        <v>45</v>
      </c>
      <c r="L63" s="46">
        <f t="shared" si="54"/>
        <v>14.61038961038961</v>
      </c>
      <c r="M63" s="48">
        <v>18520</v>
      </c>
      <c r="N63" s="47">
        <f t="shared" si="55"/>
        <v>833400</v>
      </c>
      <c r="R63" s="76">
        <f t="shared" si="48"/>
        <v>0</v>
      </c>
    </row>
    <row r="64" spans="1:18" ht="16">
      <c r="A64" s="33">
        <v>46080</v>
      </c>
      <c r="B64" s="44" t="s">
        <v>18</v>
      </c>
      <c r="C64" s="35">
        <v>153894</v>
      </c>
      <c r="D64" s="35">
        <v>154207</v>
      </c>
      <c r="E64" s="11">
        <f t="shared" si="50"/>
        <v>313</v>
      </c>
      <c r="F64" s="45">
        <v>45</v>
      </c>
      <c r="G64" s="13">
        <f t="shared" si="51"/>
        <v>14.376996805111823</v>
      </c>
      <c r="H64" s="38">
        <v>26201</v>
      </c>
      <c r="I64" s="38">
        <v>26611</v>
      </c>
      <c r="J64" s="35">
        <f t="shared" si="52"/>
        <v>410</v>
      </c>
      <c r="K64" s="50">
        <f t="shared" si="53"/>
        <v>45</v>
      </c>
      <c r="L64" s="46">
        <f t="shared" si="54"/>
        <v>10.975609756097562</v>
      </c>
      <c r="M64" s="48">
        <v>19270</v>
      </c>
      <c r="N64" s="47">
        <f t="shared" si="55"/>
        <v>867150</v>
      </c>
    </row>
    <row r="65" spans="1:18" ht="16">
      <c r="A65" s="33"/>
      <c r="B65" s="44" t="s">
        <v>18</v>
      </c>
      <c r="C65" s="35"/>
      <c r="D65" s="35"/>
      <c r="E65" s="11">
        <f t="shared" si="50"/>
        <v>0</v>
      </c>
      <c r="F65" s="45"/>
      <c r="G65" s="13" t="e">
        <f t="shared" si="51"/>
        <v>#DIV/0!</v>
      </c>
      <c r="H65" s="38"/>
      <c r="I65" s="38"/>
      <c r="J65" s="35">
        <f t="shared" si="52"/>
        <v>0</v>
      </c>
      <c r="K65" s="50">
        <f t="shared" si="53"/>
        <v>0</v>
      </c>
      <c r="L65" s="46" t="e">
        <f t="shared" si="54"/>
        <v>#DIV/0!</v>
      </c>
      <c r="M65" s="48"/>
      <c r="N65" s="47">
        <f t="shared" si="55"/>
        <v>0</v>
      </c>
      <c r="R65" s="76">
        <f t="shared" ref="R65:R161" si="56">Q65</f>
        <v>0</v>
      </c>
    </row>
    <row r="66" spans="1:18" ht="16">
      <c r="A66" s="33"/>
      <c r="B66" s="44" t="s">
        <v>18</v>
      </c>
      <c r="C66" s="35"/>
      <c r="D66" s="35"/>
      <c r="E66" s="11">
        <f t="shared" si="50"/>
        <v>0</v>
      </c>
      <c r="F66" s="45"/>
      <c r="G66" s="13" t="e">
        <f t="shared" si="51"/>
        <v>#DIV/0!</v>
      </c>
      <c r="H66" s="38"/>
      <c r="I66" s="38"/>
      <c r="J66" s="35">
        <f t="shared" si="52"/>
        <v>0</v>
      </c>
      <c r="K66" s="50">
        <f t="shared" si="53"/>
        <v>0</v>
      </c>
      <c r="L66" s="46" t="e">
        <f t="shared" si="54"/>
        <v>#DIV/0!</v>
      </c>
      <c r="M66" s="48"/>
      <c r="N66" s="47">
        <f t="shared" si="55"/>
        <v>0</v>
      </c>
      <c r="R66" s="76">
        <f t="shared" si="56"/>
        <v>0</v>
      </c>
    </row>
    <row r="67" spans="1:18" ht="16">
      <c r="A67" s="33"/>
      <c r="B67" s="44" t="s">
        <v>18</v>
      </c>
      <c r="C67" s="35"/>
      <c r="D67" s="35"/>
      <c r="E67" s="51">
        <f t="shared" si="50"/>
        <v>0</v>
      </c>
      <c r="F67" s="45"/>
      <c r="G67" s="13" t="e">
        <f t="shared" si="51"/>
        <v>#DIV/0!</v>
      </c>
      <c r="H67" s="38"/>
      <c r="I67" s="38"/>
      <c r="J67" s="35">
        <f t="shared" si="52"/>
        <v>0</v>
      </c>
      <c r="K67" s="50">
        <f t="shared" si="53"/>
        <v>0</v>
      </c>
      <c r="L67" s="46" t="e">
        <f t="shared" si="54"/>
        <v>#DIV/0!</v>
      </c>
      <c r="M67" s="48"/>
      <c r="N67" s="47">
        <f t="shared" si="55"/>
        <v>0</v>
      </c>
      <c r="R67" s="76">
        <f t="shared" si="56"/>
        <v>0</v>
      </c>
    </row>
    <row r="68" spans="1:18" ht="16">
      <c r="A68" s="43"/>
      <c r="B68" s="49" t="s">
        <v>18</v>
      </c>
      <c r="C68" s="35"/>
      <c r="D68" s="50"/>
      <c r="E68" s="51">
        <f t="shared" si="50"/>
        <v>0</v>
      </c>
      <c r="F68" s="45"/>
      <c r="G68" s="13" t="e">
        <f t="shared" si="51"/>
        <v>#DIV/0!</v>
      </c>
      <c r="H68" s="38"/>
      <c r="I68" s="38"/>
      <c r="J68" s="35">
        <f t="shared" si="52"/>
        <v>0</v>
      </c>
      <c r="K68" s="50">
        <f t="shared" si="53"/>
        <v>0</v>
      </c>
      <c r="L68" s="46" t="e">
        <f t="shared" si="54"/>
        <v>#DIV/0!</v>
      </c>
      <c r="M68" s="48"/>
      <c r="N68" s="47">
        <f t="shared" si="55"/>
        <v>0</v>
      </c>
      <c r="R68" s="76">
        <f t="shared" si="56"/>
        <v>0</v>
      </c>
    </row>
    <row r="69" spans="1:18" ht="16">
      <c r="A69" s="33"/>
      <c r="B69" s="44" t="s">
        <v>18</v>
      </c>
      <c r="C69" s="12"/>
      <c r="D69" s="53"/>
      <c r="E69" s="24">
        <f t="shared" si="50"/>
        <v>0</v>
      </c>
      <c r="F69" s="45"/>
      <c r="G69" s="54" t="e">
        <f t="shared" si="51"/>
        <v>#DIV/0!</v>
      </c>
      <c r="H69" s="53"/>
      <c r="I69" s="55"/>
      <c r="J69" s="53">
        <f t="shared" si="52"/>
        <v>0</v>
      </c>
      <c r="K69" s="50">
        <f t="shared" si="53"/>
        <v>0</v>
      </c>
      <c r="L69" s="73" t="e">
        <f t="shared" si="54"/>
        <v>#DIV/0!</v>
      </c>
      <c r="M69" s="48"/>
      <c r="N69" s="57">
        <f t="shared" si="55"/>
        <v>0</v>
      </c>
      <c r="R69" s="76">
        <f t="shared" si="56"/>
        <v>0</v>
      </c>
    </row>
    <row r="70" spans="1:18" ht="16">
      <c r="A70" s="59"/>
      <c r="B70" s="60"/>
      <c r="C70" s="63"/>
      <c r="D70" s="59" t="s">
        <v>19</v>
      </c>
      <c r="E70" s="59">
        <f t="shared" ref="E70:F70" si="57">SUM(E61:E69)</f>
        <v>1346</v>
      </c>
      <c r="F70" s="59">
        <f t="shared" si="57"/>
        <v>181</v>
      </c>
      <c r="G70" s="61" t="e">
        <f>AVERAGE(G61:G69)</f>
        <v>#DIV/0!</v>
      </c>
      <c r="H70" s="59"/>
      <c r="I70" s="62"/>
      <c r="J70" s="59">
        <f t="shared" ref="J70:K70" si="58">SUM(J61:J69)</f>
        <v>1560</v>
      </c>
      <c r="K70" s="59">
        <f t="shared" si="58"/>
        <v>181</v>
      </c>
      <c r="L70" s="61" t="e">
        <f>AVERAGE(L61:L69)</f>
        <v>#DIV/0!</v>
      </c>
      <c r="M70" s="64"/>
      <c r="N70" s="65">
        <f>SUM(N61:N69)</f>
        <v>3366900</v>
      </c>
      <c r="R70" s="76">
        <f t="shared" si="56"/>
        <v>0</v>
      </c>
    </row>
    <row r="71" spans="1:18" ht="16">
      <c r="A71" s="66">
        <v>46058</v>
      </c>
      <c r="B71" s="34" t="s">
        <v>20</v>
      </c>
      <c r="C71" s="35">
        <v>399392</v>
      </c>
      <c r="D71" s="35">
        <v>399932</v>
      </c>
      <c r="E71" s="36">
        <f t="shared" ref="E71:E77" si="59">D71-C71</f>
        <v>540</v>
      </c>
      <c r="F71" s="37">
        <v>69</v>
      </c>
      <c r="G71" s="13">
        <f t="shared" ref="G71:G77" si="60">(F71/E71)*100</f>
        <v>12.777777777777777</v>
      </c>
      <c r="H71" s="38">
        <v>31510</v>
      </c>
      <c r="I71" s="38">
        <v>32000</v>
      </c>
      <c r="J71" s="39">
        <f t="shared" ref="J71:J77" si="61">I71-H71</f>
        <v>490</v>
      </c>
      <c r="K71" s="77">
        <f t="shared" ref="K71:K77" si="62">F71</f>
        <v>69</v>
      </c>
      <c r="L71" s="67">
        <f t="shared" ref="L71:L77" si="63">(K71/J71)*100</f>
        <v>14.081632653061224</v>
      </c>
      <c r="M71" s="68">
        <v>18170</v>
      </c>
      <c r="N71" s="42">
        <f t="shared" ref="N71:N77" si="64">F71*M71</f>
        <v>1253730</v>
      </c>
      <c r="R71" s="76">
        <f t="shared" si="56"/>
        <v>0</v>
      </c>
    </row>
    <row r="72" spans="1:18" ht="16">
      <c r="A72" s="33">
        <v>46063</v>
      </c>
      <c r="B72" s="44" t="s">
        <v>20</v>
      </c>
      <c r="C72" s="35">
        <v>399932</v>
      </c>
      <c r="D72" s="35">
        <v>400271</v>
      </c>
      <c r="E72" s="11">
        <f t="shared" si="59"/>
        <v>339</v>
      </c>
      <c r="F72" s="45">
        <v>50</v>
      </c>
      <c r="G72" s="13">
        <f t="shared" si="60"/>
        <v>14.749262536873156</v>
      </c>
      <c r="H72" s="38">
        <v>32000</v>
      </c>
      <c r="I72" s="83">
        <v>32328</v>
      </c>
      <c r="J72" s="35">
        <f t="shared" si="61"/>
        <v>328</v>
      </c>
      <c r="K72" s="50">
        <f t="shared" si="62"/>
        <v>50</v>
      </c>
      <c r="L72" s="46">
        <f t="shared" si="63"/>
        <v>15.24390243902439</v>
      </c>
      <c r="M72" s="48">
        <v>18450</v>
      </c>
      <c r="N72" s="47">
        <f t="shared" si="64"/>
        <v>922500</v>
      </c>
      <c r="R72" s="76">
        <f t="shared" si="56"/>
        <v>0</v>
      </c>
    </row>
    <row r="73" spans="1:18" ht="16">
      <c r="A73" s="33">
        <v>46077</v>
      </c>
      <c r="B73" s="44" t="s">
        <v>20</v>
      </c>
      <c r="C73" s="35">
        <v>400271</v>
      </c>
      <c r="D73" s="35">
        <v>400787</v>
      </c>
      <c r="E73" s="11">
        <f t="shared" si="59"/>
        <v>516</v>
      </c>
      <c r="F73" s="45">
        <v>70</v>
      </c>
      <c r="G73" s="13">
        <f t="shared" si="60"/>
        <v>13.565891472868216</v>
      </c>
      <c r="H73" s="83">
        <v>32328</v>
      </c>
      <c r="I73" s="38">
        <v>32831</v>
      </c>
      <c r="J73" s="35">
        <f t="shared" si="61"/>
        <v>503</v>
      </c>
      <c r="K73" s="50">
        <f t="shared" si="62"/>
        <v>70</v>
      </c>
      <c r="L73" s="46">
        <f t="shared" si="63"/>
        <v>13.916500994035786</v>
      </c>
      <c r="M73" s="48">
        <v>18520</v>
      </c>
      <c r="N73" s="47">
        <f t="shared" si="64"/>
        <v>1296400</v>
      </c>
      <c r="R73" s="76">
        <f t="shared" si="56"/>
        <v>0</v>
      </c>
    </row>
    <row r="74" spans="1:18" ht="16">
      <c r="A74" s="33"/>
      <c r="B74" s="44" t="s">
        <v>20</v>
      </c>
      <c r="C74" s="35"/>
      <c r="D74" s="35"/>
      <c r="E74" s="11">
        <f t="shared" si="59"/>
        <v>0</v>
      </c>
      <c r="F74" s="45"/>
      <c r="G74" s="13" t="e">
        <f t="shared" si="60"/>
        <v>#DIV/0!</v>
      </c>
      <c r="H74" s="38"/>
      <c r="I74" s="38"/>
      <c r="J74" s="35">
        <f t="shared" si="61"/>
        <v>0</v>
      </c>
      <c r="K74" s="50">
        <f t="shared" si="62"/>
        <v>0</v>
      </c>
      <c r="L74" s="46" t="e">
        <f t="shared" si="63"/>
        <v>#DIV/0!</v>
      </c>
      <c r="M74" s="48"/>
      <c r="N74" s="47">
        <f t="shared" si="64"/>
        <v>0</v>
      </c>
      <c r="R74" s="76">
        <f t="shared" si="56"/>
        <v>0</v>
      </c>
    </row>
    <row r="75" spans="1:18" ht="16">
      <c r="A75" s="33"/>
      <c r="B75" s="44" t="s">
        <v>20</v>
      </c>
      <c r="C75" s="35"/>
      <c r="D75" s="35"/>
      <c r="E75" s="11">
        <f t="shared" si="59"/>
        <v>0</v>
      </c>
      <c r="F75" s="45"/>
      <c r="G75" s="13" t="e">
        <f t="shared" si="60"/>
        <v>#DIV/0!</v>
      </c>
      <c r="H75" s="38"/>
      <c r="I75" s="38"/>
      <c r="J75" s="35">
        <f t="shared" si="61"/>
        <v>0</v>
      </c>
      <c r="K75" s="50">
        <f t="shared" si="62"/>
        <v>0</v>
      </c>
      <c r="L75" s="46" t="e">
        <f t="shared" si="63"/>
        <v>#DIV/0!</v>
      </c>
      <c r="M75" s="48"/>
      <c r="N75" s="47">
        <f t="shared" si="64"/>
        <v>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84"/>
      <c r="G76" s="13" t="e">
        <f t="shared" si="60"/>
        <v>#DIV/0!</v>
      </c>
      <c r="H76" s="35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87"/>
      <c r="B77" s="44" t="s">
        <v>20</v>
      </c>
      <c r="C77" s="53"/>
      <c r="D77" s="53"/>
      <c r="E77" s="24">
        <f t="shared" si="59"/>
        <v>0</v>
      </c>
      <c r="F77" s="45"/>
      <c r="G77" s="54" t="e">
        <f t="shared" si="60"/>
        <v>#DIV/0!</v>
      </c>
      <c r="H77" s="53"/>
      <c r="I77" s="55"/>
      <c r="J77" s="53">
        <f t="shared" si="61"/>
        <v>0</v>
      </c>
      <c r="K77" s="50">
        <f t="shared" si="62"/>
        <v>0</v>
      </c>
      <c r="L77" s="73" t="e">
        <f t="shared" si="63"/>
        <v>#DIV/0!</v>
      </c>
      <c r="M77" s="56"/>
      <c r="N77" s="57">
        <f t="shared" si="64"/>
        <v>0</v>
      </c>
      <c r="R77" s="76">
        <f t="shared" si="56"/>
        <v>0</v>
      </c>
    </row>
    <row r="78" spans="1:18" ht="16">
      <c r="A78" s="59"/>
      <c r="B78" s="60"/>
      <c r="C78" s="59"/>
      <c r="D78" s="59" t="s">
        <v>19</v>
      </c>
      <c r="E78" s="59">
        <f>SUM(E71:E77)</f>
        <v>1395</v>
      </c>
      <c r="F78" s="37"/>
      <c r="G78" s="61" t="e">
        <f>AVERAGE(G71:G77)</f>
        <v>#DIV/0!</v>
      </c>
      <c r="H78" s="59"/>
      <c r="I78" s="62"/>
      <c r="J78" s="59">
        <f>SUM(J71:J77)</f>
        <v>1321</v>
      </c>
      <c r="K78" s="59">
        <f>SUM(K72:K77)</f>
        <v>120</v>
      </c>
      <c r="L78" s="61" t="e">
        <f>AVERAGE(L71:L77)</f>
        <v>#DIV/0!</v>
      </c>
      <c r="M78" s="64"/>
      <c r="N78" s="65">
        <f>SUM(N71:N77)</f>
        <v>3472630</v>
      </c>
      <c r="R78" s="76">
        <f t="shared" si="56"/>
        <v>0</v>
      </c>
    </row>
    <row r="79" spans="1:18" ht="16">
      <c r="A79" s="85">
        <v>46058</v>
      </c>
      <c r="B79" s="34" t="s">
        <v>21</v>
      </c>
      <c r="C79" s="35">
        <v>381321</v>
      </c>
      <c r="D79" s="35">
        <v>381937</v>
      </c>
      <c r="E79" s="36">
        <f t="shared" ref="E79:E85" si="65">D79-C79</f>
        <v>616</v>
      </c>
      <c r="F79" s="37">
        <v>80</v>
      </c>
      <c r="G79" s="13">
        <f t="shared" ref="G79:G85" si="66">(F79/E79)*100</f>
        <v>12.987012987012985</v>
      </c>
      <c r="H79" s="38">
        <v>24569</v>
      </c>
      <c r="I79" s="38">
        <v>25230</v>
      </c>
      <c r="J79" s="39">
        <f t="shared" ref="J79:J85" si="67">I79-H79</f>
        <v>661</v>
      </c>
      <c r="K79" s="77">
        <f t="shared" ref="K79:K85" si="68">F79</f>
        <v>80</v>
      </c>
      <c r="L79" s="67">
        <f t="shared" ref="L79:L85" si="69">(K79/J79)*100</f>
        <v>12.102874432677762</v>
      </c>
      <c r="M79" s="68">
        <v>18450</v>
      </c>
      <c r="N79" s="42">
        <f t="shared" ref="N79:N85" si="70">F79*M79</f>
        <v>1476000</v>
      </c>
      <c r="R79" s="76">
        <f t="shared" si="56"/>
        <v>0</v>
      </c>
    </row>
    <row r="80" spans="1:18" ht="16">
      <c r="A80" s="86">
        <v>46066</v>
      </c>
      <c r="B80" s="44" t="s">
        <v>21</v>
      </c>
      <c r="C80" s="35">
        <v>381937</v>
      </c>
      <c r="D80" s="35">
        <v>382505</v>
      </c>
      <c r="E80" s="11">
        <f t="shared" si="65"/>
        <v>568</v>
      </c>
      <c r="F80" s="45">
        <v>77</v>
      </c>
      <c r="G80" s="13">
        <f t="shared" si="66"/>
        <v>13.556338028169016</v>
      </c>
      <c r="H80" s="38">
        <v>25230</v>
      </c>
      <c r="I80" s="38">
        <v>25783</v>
      </c>
      <c r="J80" s="35">
        <f t="shared" si="67"/>
        <v>553</v>
      </c>
      <c r="K80" s="50">
        <f t="shared" si="68"/>
        <v>77</v>
      </c>
      <c r="L80" s="46">
        <f t="shared" si="69"/>
        <v>13.924050632911392</v>
      </c>
      <c r="M80" s="68">
        <v>18460</v>
      </c>
      <c r="N80" s="47">
        <f t="shared" si="70"/>
        <v>1421420</v>
      </c>
      <c r="R80" s="76">
        <f t="shared" si="56"/>
        <v>0</v>
      </c>
    </row>
    <row r="81" spans="1:18" ht="16">
      <c r="A81" s="86">
        <v>46081</v>
      </c>
      <c r="B81" s="44" t="s">
        <v>21</v>
      </c>
      <c r="C81" s="35">
        <v>382505</v>
      </c>
      <c r="D81" s="35">
        <v>383070</v>
      </c>
      <c r="E81" s="11">
        <f t="shared" si="65"/>
        <v>565</v>
      </c>
      <c r="F81" s="45">
        <v>75</v>
      </c>
      <c r="G81" s="13">
        <f t="shared" si="66"/>
        <v>13.274336283185843</v>
      </c>
      <c r="H81" s="38">
        <v>25783</v>
      </c>
      <c r="I81" s="38">
        <v>26394</v>
      </c>
      <c r="J81" s="35">
        <f t="shared" si="67"/>
        <v>611</v>
      </c>
      <c r="K81" s="50">
        <f t="shared" si="68"/>
        <v>75</v>
      </c>
      <c r="L81" s="46">
        <f t="shared" si="69"/>
        <v>12.274959083469723</v>
      </c>
      <c r="M81" s="48">
        <v>19270</v>
      </c>
      <c r="N81" s="47">
        <f t="shared" si="70"/>
        <v>1445250</v>
      </c>
      <c r="R81" s="76">
        <f t="shared" si="56"/>
        <v>0</v>
      </c>
    </row>
    <row r="82" spans="1:18" ht="16">
      <c r="A82" s="86"/>
      <c r="B82" s="44" t="s">
        <v>21</v>
      </c>
      <c r="C82" s="35"/>
      <c r="D82" s="35"/>
      <c r="E82" s="11">
        <f t="shared" si="65"/>
        <v>0</v>
      </c>
      <c r="F82" s="45"/>
      <c r="G82" s="13" t="e">
        <f t="shared" si="66"/>
        <v>#DIV/0!</v>
      </c>
      <c r="H82" s="38"/>
      <c r="I82" s="38"/>
      <c r="J82" s="35">
        <f t="shared" si="67"/>
        <v>0</v>
      </c>
      <c r="K82" s="50">
        <f t="shared" si="68"/>
        <v>0</v>
      </c>
      <c r="L82" s="46" t="e">
        <f t="shared" si="69"/>
        <v>#DIV/0!</v>
      </c>
      <c r="M82" s="48"/>
      <c r="N82" s="47">
        <f t="shared" si="70"/>
        <v>0</v>
      </c>
      <c r="R82" s="76">
        <f t="shared" si="56"/>
        <v>0</v>
      </c>
    </row>
    <row r="83" spans="1:18" ht="16">
      <c r="A83" s="33"/>
      <c r="B83" s="44" t="s">
        <v>21</v>
      </c>
      <c r="C83" s="35"/>
      <c r="D83" s="35"/>
      <c r="E83" s="11">
        <f t="shared" si="65"/>
        <v>0</v>
      </c>
      <c r="F83" s="45"/>
      <c r="G83" s="13" t="e">
        <f t="shared" si="66"/>
        <v>#DIV/0!</v>
      </c>
      <c r="H83" s="38"/>
      <c r="I83" s="38"/>
      <c r="J83" s="35">
        <f t="shared" si="67"/>
        <v>0</v>
      </c>
      <c r="K83" s="50">
        <f t="shared" si="68"/>
        <v>0</v>
      </c>
      <c r="L83" s="46" t="e">
        <f t="shared" si="69"/>
        <v>#DIV/0!</v>
      </c>
      <c r="M83" s="48"/>
      <c r="N83" s="47">
        <f t="shared" si="70"/>
        <v>0</v>
      </c>
      <c r="R83" s="76">
        <f t="shared" si="56"/>
        <v>0</v>
      </c>
    </row>
    <row r="84" spans="1:18" ht="16">
      <c r="A84" s="86"/>
      <c r="B84" s="44" t="s">
        <v>37</v>
      </c>
      <c r="C84" s="35"/>
      <c r="D84" s="35"/>
      <c r="E84" s="11">
        <f t="shared" si="65"/>
        <v>0</v>
      </c>
      <c r="F84" s="45"/>
      <c r="G84" s="13" t="e">
        <f t="shared" si="66"/>
        <v>#DIV/0!</v>
      </c>
      <c r="H84" s="35"/>
      <c r="I84" s="38"/>
      <c r="J84" s="35">
        <f t="shared" si="67"/>
        <v>0</v>
      </c>
      <c r="K84" s="50">
        <f t="shared" si="68"/>
        <v>0</v>
      </c>
      <c r="L84" s="46" t="e">
        <f t="shared" si="69"/>
        <v>#DIV/0!</v>
      </c>
      <c r="M84" s="48"/>
      <c r="N84" s="47">
        <f t="shared" si="70"/>
        <v>0</v>
      </c>
      <c r="R84" s="76">
        <f t="shared" si="56"/>
        <v>0</v>
      </c>
    </row>
    <row r="85" spans="1:18" ht="16">
      <c r="A85" s="87"/>
      <c r="B85" s="44" t="s">
        <v>37</v>
      </c>
      <c r="C85" s="53"/>
      <c r="D85" s="53"/>
      <c r="E85" s="24">
        <f t="shared" si="65"/>
        <v>0</v>
      </c>
      <c r="F85" s="45"/>
      <c r="G85" s="54" t="e">
        <f t="shared" si="66"/>
        <v>#DIV/0!</v>
      </c>
      <c r="H85" s="53"/>
      <c r="I85" s="55"/>
      <c r="J85" s="53">
        <f t="shared" si="67"/>
        <v>0</v>
      </c>
      <c r="K85" s="50">
        <f t="shared" si="68"/>
        <v>0</v>
      </c>
      <c r="L85" s="73" t="e">
        <f t="shared" si="69"/>
        <v>#DIV/0!</v>
      </c>
      <c r="M85" s="56"/>
      <c r="N85" s="57">
        <f t="shared" si="70"/>
        <v>0</v>
      </c>
      <c r="R85" s="76">
        <f t="shared" si="56"/>
        <v>0</v>
      </c>
    </row>
    <row r="86" spans="1:18" ht="16">
      <c r="A86" s="59"/>
      <c r="B86" s="60"/>
      <c r="C86" s="59"/>
      <c r="D86" s="59" t="s">
        <v>19</v>
      </c>
      <c r="E86" s="59">
        <f>SUM(E79:E85)</f>
        <v>1749</v>
      </c>
      <c r="F86" s="37"/>
      <c r="G86" s="61" t="e">
        <f>AVERAGE(G79:G85)</f>
        <v>#DIV/0!</v>
      </c>
      <c r="H86" s="59"/>
      <c r="I86" s="62"/>
      <c r="J86" s="59">
        <f t="shared" ref="J86:K86" si="71">SUM(J79:J85)</f>
        <v>1825</v>
      </c>
      <c r="K86" s="59">
        <f t="shared" si="71"/>
        <v>232</v>
      </c>
      <c r="L86" s="61" t="e">
        <f>AVERAGE(L79:L85)</f>
        <v>#DIV/0!</v>
      </c>
      <c r="M86" s="64"/>
      <c r="N86" s="65">
        <f>SUM(N79:N85)</f>
        <v>4342670</v>
      </c>
      <c r="R86" s="76">
        <f t="shared" si="56"/>
        <v>0</v>
      </c>
    </row>
    <row r="87" spans="1:18" ht="16">
      <c r="A87" s="33">
        <v>46055</v>
      </c>
      <c r="B87" s="82" t="s">
        <v>22</v>
      </c>
      <c r="C87" s="35">
        <v>214299</v>
      </c>
      <c r="D87" s="35">
        <v>214786</v>
      </c>
      <c r="E87" s="36">
        <f t="shared" ref="E87:E93" si="72">D87-C87</f>
        <v>487</v>
      </c>
      <c r="F87" s="37">
        <v>68</v>
      </c>
      <c r="G87" s="13">
        <f t="shared" ref="G87:G93" si="73">(F87/E87)*100</f>
        <v>13.963039014373715</v>
      </c>
      <c r="H87" s="38">
        <v>23428</v>
      </c>
      <c r="I87" s="38">
        <v>23963</v>
      </c>
      <c r="J87" s="39">
        <f t="shared" ref="J87:J93" si="74">I87-H87</f>
        <v>535</v>
      </c>
      <c r="K87" s="77">
        <f t="shared" ref="K87:K93" si="75">F87</f>
        <v>68</v>
      </c>
      <c r="L87" s="67">
        <f t="shared" ref="L87:L93" si="76">(K87/J87)*100</f>
        <v>12.710280373831775</v>
      </c>
      <c r="M87" s="68">
        <v>18170</v>
      </c>
      <c r="N87" s="42">
        <f t="shared" ref="N87:N93" si="77">F87*M87</f>
        <v>1235560</v>
      </c>
      <c r="R87" s="76">
        <f t="shared" si="56"/>
        <v>0</v>
      </c>
    </row>
    <row r="88" spans="1:18" ht="16">
      <c r="A88" s="33">
        <v>46060</v>
      </c>
      <c r="B88" s="44" t="s">
        <v>22</v>
      </c>
      <c r="C88" s="35">
        <v>214786</v>
      </c>
      <c r="D88" s="35">
        <v>215370</v>
      </c>
      <c r="E88" s="11">
        <f t="shared" si="72"/>
        <v>584</v>
      </c>
      <c r="F88" s="45">
        <v>73</v>
      </c>
      <c r="G88" s="13">
        <f t="shared" si="73"/>
        <v>12.5</v>
      </c>
      <c r="H88" s="38">
        <v>23963</v>
      </c>
      <c r="I88" s="38">
        <v>24538</v>
      </c>
      <c r="J88" s="35">
        <f t="shared" si="74"/>
        <v>575</v>
      </c>
      <c r="K88" s="50">
        <f t="shared" si="75"/>
        <v>73</v>
      </c>
      <c r="L88" s="46">
        <f t="shared" si="76"/>
        <v>12.695652173913045</v>
      </c>
      <c r="M88" s="48">
        <v>18450</v>
      </c>
      <c r="N88" s="47">
        <f t="shared" si="77"/>
        <v>1346850</v>
      </c>
      <c r="R88" s="76">
        <f t="shared" si="56"/>
        <v>0</v>
      </c>
    </row>
    <row r="89" spans="1:18" ht="16">
      <c r="A89" s="33">
        <v>46076</v>
      </c>
      <c r="B89" s="44" t="s">
        <v>22</v>
      </c>
      <c r="C89" s="35">
        <v>215370</v>
      </c>
      <c r="D89" s="35">
        <v>215810</v>
      </c>
      <c r="E89" s="11">
        <f t="shared" si="72"/>
        <v>440</v>
      </c>
      <c r="F89" s="45">
        <v>57</v>
      </c>
      <c r="G89" s="13">
        <f t="shared" si="73"/>
        <v>12.954545454545455</v>
      </c>
      <c r="H89" s="38">
        <v>24538</v>
      </c>
      <c r="I89" s="38">
        <v>25068</v>
      </c>
      <c r="J89" s="35">
        <f t="shared" si="74"/>
        <v>530</v>
      </c>
      <c r="K89" s="50">
        <f t="shared" si="75"/>
        <v>57</v>
      </c>
      <c r="L89" s="46">
        <f t="shared" si="76"/>
        <v>10.754716981132075</v>
      </c>
      <c r="M89" s="48">
        <v>18520</v>
      </c>
      <c r="N89" s="47">
        <f t="shared" si="77"/>
        <v>1055640</v>
      </c>
      <c r="R89" s="76">
        <f t="shared" si="56"/>
        <v>0</v>
      </c>
    </row>
    <row r="90" spans="1:18" ht="16">
      <c r="A90" s="33"/>
      <c r="B90" s="44" t="s">
        <v>22</v>
      </c>
      <c r="C90" s="35"/>
      <c r="D90" s="35"/>
      <c r="E90" s="11">
        <f t="shared" si="72"/>
        <v>0</v>
      </c>
      <c r="F90" s="45"/>
      <c r="G90" s="13" t="e">
        <f t="shared" si="73"/>
        <v>#DIV/0!</v>
      </c>
      <c r="H90" s="38"/>
      <c r="I90" s="38"/>
      <c r="J90" s="35">
        <f t="shared" si="74"/>
        <v>0</v>
      </c>
      <c r="K90" s="50">
        <f t="shared" si="75"/>
        <v>0</v>
      </c>
      <c r="L90" s="46" t="e">
        <f t="shared" si="76"/>
        <v>#DIV/0!</v>
      </c>
      <c r="M90" s="48"/>
      <c r="N90" s="47">
        <f t="shared" si="77"/>
        <v>0</v>
      </c>
      <c r="R90" s="76">
        <f t="shared" si="56"/>
        <v>0</v>
      </c>
    </row>
    <row r="91" spans="1:18" ht="16">
      <c r="A91" s="33"/>
      <c r="B91" s="44" t="s">
        <v>22</v>
      </c>
      <c r="C91" s="35"/>
      <c r="D91" s="35"/>
      <c r="E91" s="11">
        <f t="shared" si="72"/>
        <v>0</v>
      </c>
      <c r="F91" s="45"/>
      <c r="G91" s="13" t="e">
        <f t="shared" si="73"/>
        <v>#DIV/0!</v>
      </c>
      <c r="H91" s="38"/>
      <c r="I91" s="38"/>
      <c r="J91" s="35">
        <f t="shared" si="74"/>
        <v>0</v>
      </c>
      <c r="K91" s="50">
        <f t="shared" si="75"/>
        <v>0</v>
      </c>
      <c r="L91" s="46" t="e">
        <f t="shared" si="76"/>
        <v>#DIV/0!</v>
      </c>
      <c r="M91" s="48"/>
      <c r="N91" s="47">
        <f t="shared" si="77"/>
        <v>0</v>
      </c>
      <c r="R91" s="76">
        <f t="shared" si="56"/>
        <v>0</v>
      </c>
    </row>
    <row r="92" spans="1:18" ht="16">
      <c r="A92" s="86"/>
      <c r="B92" s="44" t="s">
        <v>22</v>
      </c>
      <c r="C92" s="35"/>
      <c r="D92" s="35"/>
      <c r="E92" s="11">
        <f t="shared" si="72"/>
        <v>0</v>
      </c>
      <c r="F92" s="45"/>
      <c r="G92" s="13" t="e">
        <f t="shared" si="73"/>
        <v>#DIV/0!</v>
      </c>
      <c r="H92" s="35"/>
      <c r="I92" s="38"/>
      <c r="J92" s="35">
        <f t="shared" si="74"/>
        <v>0</v>
      </c>
      <c r="K92" s="50">
        <f t="shared" si="75"/>
        <v>0</v>
      </c>
      <c r="L92" s="46" t="e">
        <f t="shared" si="76"/>
        <v>#DIV/0!</v>
      </c>
      <c r="M92" s="48"/>
      <c r="N92" s="47">
        <f t="shared" si="77"/>
        <v>0</v>
      </c>
      <c r="R92" s="76">
        <f t="shared" si="56"/>
        <v>0</v>
      </c>
    </row>
    <row r="93" spans="1:18" ht="16">
      <c r="A93" s="88"/>
      <c r="B93" s="44" t="s">
        <v>22</v>
      </c>
      <c r="C93" s="53"/>
      <c r="D93" s="53"/>
      <c r="E93" s="24">
        <f t="shared" si="72"/>
        <v>0</v>
      </c>
      <c r="F93" s="45"/>
      <c r="G93" s="54" t="e">
        <f t="shared" si="73"/>
        <v>#DIV/0!</v>
      </c>
      <c r="H93" s="53"/>
      <c r="I93" s="55"/>
      <c r="J93" s="53">
        <f t="shared" si="74"/>
        <v>0</v>
      </c>
      <c r="K93" s="50">
        <f t="shared" si="75"/>
        <v>0</v>
      </c>
      <c r="L93" s="73" t="e">
        <f t="shared" si="76"/>
        <v>#DIV/0!</v>
      </c>
      <c r="M93" s="56"/>
      <c r="N93" s="57">
        <f t="shared" si="77"/>
        <v>0</v>
      </c>
      <c r="R93" s="76">
        <f t="shared" si="56"/>
        <v>0</v>
      </c>
    </row>
    <row r="94" spans="1:18" ht="16">
      <c r="A94" s="59"/>
      <c r="B94" s="60"/>
      <c r="C94" s="59"/>
      <c r="D94" s="59" t="s">
        <v>19</v>
      </c>
      <c r="E94" s="59">
        <f>SUM(E87:E93)</f>
        <v>1511</v>
      </c>
      <c r="F94" s="59">
        <f>SUM(F86:F93)</f>
        <v>198</v>
      </c>
      <c r="G94" s="61" t="e">
        <f>AVERAGE(G87:G93)</f>
        <v>#DIV/0!</v>
      </c>
      <c r="H94" s="59"/>
      <c r="I94" s="62"/>
      <c r="J94" s="59">
        <f t="shared" ref="J94:K94" si="78">SUM(J87:J93)</f>
        <v>1640</v>
      </c>
      <c r="K94" s="59">
        <f t="shared" si="78"/>
        <v>198</v>
      </c>
      <c r="L94" s="61" t="e">
        <f>AVERAGE(L87:L93)</f>
        <v>#DIV/0!</v>
      </c>
      <c r="M94" s="64"/>
      <c r="N94" s="65">
        <f>SUM(N87:N93)</f>
        <v>3638050</v>
      </c>
      <c r="R94" s="76">
        <f t="shared" si="56"/>
        <v>0</v>
      </c>
    </row>
    <row r="95" spans="1:18" ht="16">
      <c r="A95" s="89">
        <v>46024</v>
      </c>
      <c r="B95" s="90" t="s">
        <v>38</v>
      </c>
      <c r="C95" s="35">
        <v>170516</v>
      </c>
      <c r="D95" s="35">
        <v>171121</v>
      </c>
      <c r="E95" s="36">
        <f t="shared" ref="E95:E100" si="79">D95-C95</f>
        <v>605</v>
      </c>
      <c r="F95" s="37">
        <v>80</v>
      </c>
      <c r="G95" s="13">
        <f t="shared" ref="G95:G100" si="80">(F95/E95)*100</f>
        <v>13.223140495867769</v>
      </c>
      <c r="H95" s="38">
        <v>26034</v>
      </c>
      <c r="I95" s="38">
        <v>26665</v>
      </c>
      <c r="J95" s="39">
        <f t="shared" ref="J95:J100" si="81">I95-H95</f>
        <v>631</v>
      </c>
      <c r="K95" s="77">
        <f t="shared" ref="K95:K100" si="82">F95</f>
        <v>80</v>
      </c>
      <c r="L95" s="67">
        <f t="shared" ref="L95:L100" si="83">(K95/J95)*100</f>
        <v>12.678288431061807</v>
      </c>
      <c r="M95" s="68">
        <v>18170</v>
      </c>
      <c r="N95" s="42">
        <f t="shared" ref="N95:N100" si="84">F95*M95</f>
        <v>1453600</v>
      </c>
      <c r="R95" s="76">
        <f t="shared" si="56"/>
        <v>0</v>
      </c>
    </row>
    <row r="96" spans="1:18" ht="16">
      <c r="A96" s="80">
        <v>46064</v>
      </c>
      <c r="B96" s="44" t="s">
        <v>38</v>
      </c>
      <c r="C96" s="35">
        <v>171121</v>
      </c>
      <c r="D96" s="35">
        <v>171765</v>
      </c>
      <c r="E96" s="11">
        <f t="shared" si="79"/>
        <v>644</v>
      </c>
      <c r="F96" s="45">
        <v>74</v>
      </c>
      <c r="G96" s="13">
        <f t="shared" si="80"/>
        <v>11.490683229813664</v>
      </c>
      <c r="H96" s="38">
        <v>26665</v>
      </c>
      <c r="I96" s="38">
        <v>27270</v>
      </c>
      <c r="J96" s="35">
        <f t="shared" si="81"/>
        <v>605</v>
      </c>
      <c r="K96" s="50">
        <f t="shared" si="82"/>
        <v>74</v>
      </c>
      <c r="L96" s="46">
        <f t="shared" si="83"/>
        <v>12.231404958677686</v>
      </c>
      <c r="M96" s="68">
        <v>18450</v>
      </c>
      <c r="N96" s="47">
        <f t="shared" si="84"/>
        <v>1365300</v>
      </c>
      <c r="R96" s="76">
        <f t="shared" si="56"/>
        <v>0</v>
      </c>
    </row>
    <row r="97" spans="1:26" ht="16">
      <c r="A97" s="80">
        <v>46078</v>
      </c>
      <c r="B97" s="44" t="s">
        <v>38</v>
      </c>
      <c r="C97" s="35">
        <v>171765</v>
      </c>
      <c r="D97" s="35">
        <v>172311</v>
      </c>
      <c r="E97" s="11">
        <f t="shared" si="79"/>
        <v>546</v>
      </c>
      <c r="F97" s="45">
        <v>60</v>
      </c>
      <c r="G97" s="13">
        <f t="shared" si="80"/>
        <v>10.989010989010989</v>
      </c>
      <c r="H97" s="38">
        <v>27270</v>
      </c>
      <c r="I97" s="38"/>
      <c r="J97" s="35">
        <f t="shared" si="81"/>
        <v>-27270</v>
      </c>
      <c r="K97" s="50">
        <f t="shared" si="82"/>
        <v>60</v>
      </c>
      <c r="L97" s="46">
        <f t="shared" si="83"/>
        <v>-0.22002200220022</v>
      </c>
      <c r="M97" s="48">
        <v>18520</v>
      </c>
      <c r="N97" s="47">
        <f t="shared" si="84"/>
        <v>1111200</v>
      </c>
      <c r="R97" s="76">
        <f t="shared" si="56"/>
        <v>0</v>
      </c>
    </row>
    <row r="98" spans="1:26" ht="16">
      <c r="A98" s="80"/>
      <c r="B98" s="44" t="s">
        <v>38</v>
      </c>
      <c r="C98" s="35"/>
      <c r="D98" s="35"/>
      <c r="E98" s="11">
        <f t="shared" si="79"/>
        <v>0</v>
      </c>
      <c r="F98" s="45"/>
      <c r="G98" s="13" t="e">
        <f t="shared" si="80"/>
        <v>#DIV/0!</v>
      </c>
      <c r="H98" s="38"/>
      <c r="I98" s="38"/>
      <c r="J98" s="35">
        <f t="shared" si="81"/>
        <v>0</v>
      </c>
      <c r="K98" s="50">
        <f t="shared" si="82"/>
        <v>0</v>
      </c>
      <c r="L98" s="46" t="e">
        <f t="shared" si="83"/>
        <v>#DIV/0!</v>
      </c>
      <c r="M98" s="48"/>
      <c r="N98" s="47">
        <f t="shared" si="84"/>
        <v>0</v>
      </c>
      <c r="R98" s="76">
        <f t="shared" si="56"/>
        <v>0</v>
      </c>
    </row>
    <row r="99" spans="1:26" ht="16">
      <c r="A99" s="80"/>
      <c r="B99" s="44" t="s">
        <v>38</v>
      </c>
      <c r="C99" s="35"/>
      <c r="D99" s="91"/>
      <c r="E99" s="11">
        <f t="shared" si="79"/>
        <v>0</v>
      </c>
      <c r="F99" s="45"/>
      <c r="G99" s="13" t="e">
        <f t="shared" si="80"/>
        <v>#DIV/0!</v>
      </c>
      <c r="H99" s="38"/>
      <c r="I99" s="38"/>
      <c r="J99" s="35">
        <f t="shared" si="81"/>
        <v>0</v>
      </c>
      <c r="K99" s="50">
        <f t="shared" si="82"/>
        <v>0</v>
      </c>
      <c r="L99" s="46" t="e">
        <f t="shared" si="83"/>
        <v>#DIV/0!</v>
      </c>
      <c r="M99" s="48"/>
      <c r="N99" s="47">
        <f t="shared" si="84"/>
        <v>0</v>
      </c>
      <c r="R99" s="76">
        <f t="shared" si="56"/>
        <v>0</v>
      </c>
    </row>
    <row r="100" spans="1:26" ht="16">
      <c r="A100" s="92"/>
      <c r="B100" s="93" t="s">
        <v>38</v>
      </c>
      <c r="C100" s="94"/>
      <c r="D100" s="95"/>
      <c r="E100" s="11">
        <f t="shared" si="79"/>
        <v>0</v>
      </c>
      <c r="F100" s="45"/>
      <c r="G100" s="96" t="e">
        <f t="shared" si="80"/>
        <v>#DIV/0!</v>
      </c>
      <c r="H100" s="97"/>
      <c r="I100" s="98"/>
      <c r="J100" s="97">
        <f t="shared" si="81"/>
        <v>0</v>
      </c>
      <c r="K100" s="50">
        <f t="shared" si="82"/>
        <v>0</v>
      </c>
      <c r="L100" s="99" t="e">
        <f t="shared" si="83"/>
        <v>#DIV/0!</v>
      </c>
      <c r="M100" s="100"/>
      <c r="N100" s="101">
        <f t="shared" si="84"/>
        <v>0</v>
      </c>
      <c r="R100" s="76">
        <f t="shared" si="56"/>
        <v>0</v>
      </c>
    </row>
    <row r="101" spans="1:26" ht="16">
      <c r="A101" s="102"/>
      <c r="B101" s="103"/>
      <c r="C101" s="104"/>
      <c r="D101" s="105" t="s">
        <v>19</v>
      </c>
      <c r="E101" s="106">
        <f>SUM(E95:E100)</f>
        <v>1795</v>
      </c>
      <c r="F101" s="59">
        <f>SUM(F93:F100)</f>
        <v>412</v>
      </c>
      <c r="G101" s="107" t="e">
        <f>AVERAGE(G95:G100)</f>
        <v>#DIV/0!</v>
      </c>
      <c r="H101" s="104"/>
      <c r="I101" s="108"/>
      <c r="J101" s="105">
        <f t="shared" ref="J101:K101" si="85">SUM(J95:J100)</f>
        <v>-26034</v>
      </c>
      <c r="K101" s="105">
        <f t="shared" si="85"/>
        <v>214</v>
      </c>
      <c r="L101" s="109" t="e">
        <f>AVERAGE(L95:L100)</f>
        <v>#DIV/0!</v>
      </c>
      <c r="M101" s="110"/>
      <c r="N101" s="111">
        <f>SUM(N95:N100)</f>
        <v>3930100</v>
      </c>
      <c r="R101" s="76">
        <f t="shared" si="56"/>
        <v>0</v>
      </c>
    </row>
    <row r="102" spans="1:26" ht="16">
      <c r="A102" s="112">
        <v>46058</v>
      </c>
      <c r="B102" s="113" t="s">
        <v>39</v>
      </c>
      <c r="C102" s="35">
        <v>122830</v>
      </c>
      <c r="D102" s="35">
        <v>123596</v>
      </c>
      <c r="E102" s="36">
        <f t="shared" ref="E102:E108" si="86">D102-C102</f>
        <v>766</v>
      </c>
      <c r="F102" s="37">
        <v>83</v>
      </c>
      <c r="G102" s="114">
        <f t="shared" ref="G102:G108" si="87">(F102/E102)*100</f>
        <v>10.835509138381202</v>
      </c>
      <c r="H102" s="35">
        <v>27154</v>
      </c>
      <c r="I102" s="35">
        <v>27899</v>
      </c>
      <c r="J102" s="83">
        <f t="shared" ref="J102:J108" si="88">I102-H102</f>
        <v>745</v>
      </c>
      <c r="K102" s="50">
        <f t="shared" ref="K102:K108" si="89">F102</f>
        <v>83</v>
      </c>
      <c r="L102" s="115">
        <f t="shared" ref="L102:L108" si="90">(K102/J102)*100</f>
        <v>11.140939597315436</v>
      </c>
      <c r="M102" s="116">
        <v>18170</v>
      </c>
      <c r="N102" s="47">
        <f t="shared" ref="N102:N108" si="91">F102*M102</f>
        <v>1508110</v>
      </c>
      <c r="R102" s="76">
        <f t="shared" si="56"/>
        <v>0</v>
      </c>
    </row>
    <row r="103" spans="1:26" ht="16">
      <c r="A103" s="117">
        <v>46063</v>
      </c>
      <c r="B103" s="44" t="s">
        <v>39</v>
      </c>
      <c r="C103" s="35">
        <v>123596</v>
      </c>
      <c r="D103" s="35">
        <v>124395</v>
      </c>
      <c r="E103" s="11">
        <f t="shared" si="86"/>
        <v>799</v>
      </c>
      <c r="F103" s="45">
        <v>76</v>
      </c>
      <c r="G103" s="13">
        <f t="shared" si="87"/>
        <v>9.5118898623279104</v>
      </c>
      <c r="H103" s="35">
        <v>27899</v>
      </c>
      <c r="I103" s="12">
        <v>28679</v>
      </c>
      <c r="J103" s="35">
        <f t="shared" si="88"/>
        <v>780</v>
      </c>
      <c r="K103" s="50">
        <f t="shared" si="89"/>
        <v>76</v>
      </c>
      <c r="L103" s="46">
        <f t="shared" si="90"/>
        <v>9.7435897435897445</v>
      </c>
      <c r="M103" s="48">
        <v>18450</v>
      </c>
      <c r="N103" s="47">
        <f t="shared" si="91"/>
        <v>1402200</v>
      </c>
      <c r="R103" s="76">
        <f t="shared" si="56"/>
        <v>0</v>
      </c>
      <c r="S103" s="229"/>
      <c r="T103" s="229"/>
      <c r="U103" s="229"/>
      <c r="V103" s="229"/>
      <c r="W103" s="229"/>
      <c r="X103" s="229"/>
      <c r="Y103" s="229"/>
      <c r="Z103" s="229"/>
    </row>
    <row r="104" spans="1:26" ht="16">
      <c r="A104" s="117">
        <v>46076</v>
      </c>
      <c r="B104" s="44" t="s">
        <v>39</v>
      </c>
      <c r="C104" s="35">
        <v>124395</v>
      </c>
      <c r="D104" s="35">
        <v>125010</v>
      </c>
      <c r="E104" s="11">
        <f t="shared" si="86"/>
        <v>615</v>
      </c>
      <c r="F104" s="45">
        <v>66</v>
      </c>
      <c r="G104" s="13">
        <f t="shared" si="87"/>
        <v>10.731707317073171</v>
      </c>
      <c r="H104" s="12">
        <v>28679</v>
      </c>
      <c r="I104" s="35">
        <v>29355</v>
      </c>
      <c r="J104" s="35">
        <f t="shared" si="88"/>
        <v>676</v>
      </c>
      <c r="K104" s="50">
        <f t="shared" si="89"/>
        <v>66</v>
      </c>
      <c r="L104" s="46">
        <f t="shared" si="90"/>
        <v>9.7633136094674562</v>
      </c>
      <c r="M104" s="48">
        <v>18520</v>
      </c>
      <c r="N104" s="47">
        <f t="shared" si="91"/>
        <v>1222320</v>
      </c>
      <c r="P104" s="78"/>
      <c r="R104" s="76">
        <f t="shared" si="56"/>
        <v>0</v>
      </c>
    </row>
    <row r="105" spans="1:26" ht="16">
      <c r="A105" s="117"/>
      <c r="B105" s="44" t="s">
        <v>39</v>
      </c>
      <c r="C105" s="35"/>
      <c r="D105" s="35"/>
      <c r="E105" s="11">
        <f t="shared" si="86"/>
        <v>0</v>
      </c>
      <c r="F105" s="45"/>
      <c r="G105" s="13" t="e">
        <f t="shared" si="87"/>
        <v>#DIV/0!</v>
      </c>
      <c r="H105" s="35"/>
      <c r="I105" s="35"/>
      <c r="J105" s="35">
        <f t="shared" si="88"/>
        <v>0</v>
      </c>
      <c r="K105" s="50">
        <f t="shared" si="89"/>
        <v>0</v>
      </c>
      <c r="L105" s="46" t="e">
        <f t="shared" si="90"/>
        <v>#DIV/0!</v>
      </c>
      <c r="M105" s="48"/>
      <c r="N105" s="47">
        <f t="shared" si="91"/>
        <v>0</v>
      </c>
      <c r="R105" s="76">
        <f t="shared" si="56"/>
        <v>0</v>
      </c>
    </row>
    <row r="106" spans="1:26" ht="16">
      <c r="A106" s="33"/>
      <c r="B106" s="44" t="s">
        <v>39</v>
      </c>
      <c r="C106" s="35"/>
      <c r="D106" s="35"/>
      <c r="E106" s="11">
        <f t="shared" si="86"/>
        <v>0</v>
      </c>
      <c r="F106" s="45"/>
      <c r="G106" s="13" t="e">
        <f t="shared" si="87"/>
        <v>#DIV/0!</v>
      </c>
      <c r="H106" s="35"/>
      <c r="I106" s="38"/>
      <c r="J106" s="35">
        <f t="shared" si="88"/>
        <v>0</v>
      </c>
      <c r="K106" s="50">
        <f t="shared" si="89"/>
        <v>0</v>
      </c>
      <c r="L106" s="46" t="e">
        <f t="shared" si="90"/>
        <v>#DIV/0!</v>
      </c>
      <c r="M106" s="48"/>
      <c r="N106" s="47">
        <f t="shared" si="91"/>
        <v>0</v>
      </c>
      <c r="R106" s="76">
        <f t="shared" si="56"/>
        <v>0</v>
      </c>
    </row>
    <row r="107" spans="1:26" ht="16">
      <c r="A107" s="230"/>
      <c r="B107" s="44" t="s">
        <v>39</v>
      </c>
      <c r="C107" s="35"/>
      <c r="D107" s="35"/>
      <c r="E107" s="11">
        <f t="shared" si="86"/>
        <v>0</v>
      </c>
      <c r="F107" s="45"/>
      <c r="G107" s="13" t="e">
        <f t="shared" si="87"/>
        <v>#DIV/0!</v>
      </c>
      <c r="H107" s="35"/>
      <c r="I107" s="38"/>
      <c r="J107" s="35">
        <f t="shared" si="88"/>
        <v>0</v>
      </c>
      <c r="K107" s="50">
        <f t="shared" si="89"/>
        <v>0</v>
      </c>
      <c r="L107" s="46" t="e">
        <f t="shared" si="90"/>
        <v>#DIV/0!</v>
      </c>
      <c r="M107" s="48"/>
      <c r="N107" s="47">
        <f t="shared" si="91"/>
        <v>0</v>
      </c>
      <c r="R107" s="76">
        <f t="shared" si="56"/>
        <v>0</v>
      </c>
    </row>
    <row r="108" spans="1:26" ht="16">
      <c r="A108" s="87"/>
      <c r="B108" s="44" t="s">
        <v>39</v>
      </c>
      <c r="C108" s="53"/>
      <c r="D108" s="53"/>
      <c r="E108" s="24">
        <f t="shared" si="86"/>
        <v>0</v>
      </c>
      <c r="F108" s="45"/>
      <c r="G108" s="54" t="e">
        <f t="shared" si="87"/>
        <v>#DIV/0!</v>
      </c>
      <c r="H108" s="53"/>
      <c r="I108" s="55"/>
      <c r="J108" s="53">
        <f t="shared" si="88"/>
        <v>0</v>
      </c>
      <c r="K108" s="50">
        <f t="shared" si="89"/>
        <v>0</v>
      </c>
      <c r="L108" s="73" t="e">
        <f t="shared" si="90"/>
        <v>#DIV/0!</v>
      </c>
      <c r="M108" s="56"/>
      <c r="N108" s="47">
        <f t="shared" si="91"/>
        <v>0</v>
      </c>
      <c r="R108" s="76">
        <f t="shared" si="56"/>
        <v>0</v>
      </c>
    </row>
    <row r="109" spans="1:26" ht="16">
      <c r="A109" s="59"/>
      <c r="B109" s="60"/>
      <c r="C109" s="59"/>
      <c r="D109" s="59" t="s">
        <v>19</v>
      </c>
      <c r="E109" s="59">
        <f>SUM(E95:E108)</f>
        <v>5770</v>
      </c>
      <c r="F109" s="59">
        <f>SUM(F101:F108)</f>
        <v>637</v>
      </c>
      <c r="G109" s="61" t="e">
        <f>AVERAGE(G95:G108)</f>
        <v>#DIV/0!</v>
      </c>
      <c r="H109" s="59"/>
      <c r="I109" s="62"/>
      <c r="J109" s="59">
        <f t="shared" ref="J109:K109" si="92">SUM(J95:J108)</f>
        <v>-49867</v>
      </c>
      <c r="K109" s="59">
        <f t="shared" si="92"/>
        <v>653</v>
      </c>
      <c r="L109" s="61" t="e">
        <f>AVERAGE(L95:L108)</f>
        <v>#DIV/0!</v>
      </c>
      <c r="M109" s="64"/>
      <c r="N109" s="65">
        <f>SUM(N102:N108)</f>
        <v>4132630</v>
      </c>
      <c r="R109" s="76">
        <f t="shared" si="56"/>
        <v>0</v>
      </c>
    </row>
    <row r="110" spans="1:26" ht="16">
      <c r="A110" s="66">
        <v>46056</v>
      </c>
      <c r="B110" s="90" t="s">
        <v>40</v>
      </c>
      <c r="C110" s="12">
        <v>118825</v>
      </c>
      <c r="D110" s="12">
        <v>119574</v>
      </c>
      <c r="E110" s="36">
        <f t="shared" ref="E110:E116" si="93">D110-C110</f>
        <v>749</v>
      </c>
      <c r="F110" s="37">
        <v>89</v>
      </c>
      <c r="G110" s="13">
        <f t="shared" ref="G110:G116" si="94">(F110/E110)*100</f>
        <v>11.882510013351135</v>
      </c>
      <c r="H110" s="38">
        <v>117012</v>
      </c>
      <c r="I110" s="38">
        <v>117673</v>
      </c>
      <c r="J110" s="39">
        <f t="shared" ref="J110:J116" si="95">I110-H110</f>
        <v>661</v>
      </c>
      <c r="K110" s="77">
        <f t="shared" ref="K110:K116" si="96">F110</f>
        <v>89</v>
      </c>
      <c r="L110" s="67">
        <f t="shared" ref="L110:L116" si="97">(K110/J110)*100</f>
        <v>13.464447806354011</v>
      </c>
      <c r="M110" s="68">
        <v>18170</v>
      </c>
      <c r="N110" s="42">
        <f t="shared" ref="N110:N116" si="98">F110*M110</f>
        <v>1617130</v>
      </c>
      <c r="R110" s="76">
        <f t="shared" si="56"/>
        <v>0</v>
      </c>
    </row>
    <row r="111" spans="1:26" ht="16">
      <c r="A111" s="43">
        <v>46063</v>
      </c>
      <c r="B111" s="49" t="s">
        <v>40</v>
      </c>
      <c r="C111" s="12">
        <v>119574</v>
      </c>
      <c r="D111" s="10">
        <v>120254</v>
      </c>
      <c r="E111" s="51">
        <f t="shared" si="93"/>
        <v>680</v>
      </c>
      <c r="F111" s="52">
        <v>76</v>
      </c>
      <c r="G111" s="13">
        <f t="shared" si="94"/>
        <v>11.176470588235295</v>
      </c>
      <c r="H111" s="38">
        <v>117673</v>
      </c>
      <c r="I111" s="38">
        <v>118324</v>
      </c>
      <c r="J111" s="35">
        <f t="shared" si="95"/>
        <v>651</v>
      </c>
      <c r="K111" s="50">
        <f t="shared" si="96"/>
        <v>76</v>
      </c>
      <c r="L111" s="46">
        <f t="shared" si="97"/>
        <v>11.674347158218126</v>
      </c>
      <c r="M111" s="48">
        <v>18450</v>
      </c>
      <c r="N111" s="47">
        <f t="shared" si="98"/>
        <v>1402200</v>
      </c>
      <c r="R111" s="76">
        <f t="shared" si="56"/>
        <v>0</v>
      </c>
    </row>
    <row r="112" spans="1:26" ht="16">
      <c r="A112" s="33">
        <v>46077</v>
      </c>
      <c r="B112" s="44" t="s">
        <v>40</v>
      </c>
      <c r="C112" s="10">
        <v>120254</v>
      </c>
      <c r="D112" s="12">
        <v>120809</v>
      </c>
      <c r="E112" s="11">
        <f t="shared" si="93"/>
        <v>555</v>
      </c>
      <c r="F112" s="45">
        <v>69</v>
      </c>
      <c r="G112" s="13">
        <f t="shared" si="94"/>
        <v>12.432432432432433</v>
      </c>
      <c r="H112" s="38">
        <v>118324</v>
      </c>
      <c r="I112" s="38">
        <v>118875</v>
      </c>
      <c r="J112" s="35">
        <f t="shared" si="95"/>
        <v>551</v>
      </c>
      <c r="K112" s="50">
        <f t="shared" si="96"/>
        <v>69</v>
      </c>
      <c r="L112" s="46">
        <f t="shared" si="97"/>
        <v>12.522686025408348</v>
      </c>
      <c r="M112" s="48">
        <v>18520</v>
      </c>
      <c r="N112" s="47">
        <f t="shared" si="98"/>
        <v>1277880</v>
      </c>
      <c r="R112" s="76">
        <f t="shared" si="56"/>
        <v>0</v>
      </c>
    </row>
    <row r="113" spans="1:18" ht="16">
      <c r="A113" s="33"/>
      <c r="B113" s="44" t="s">
        <v>40</v>
      </c>
      <c r="C113" s="12"/>
      <c r="D113" s="12"/>
      <c r="E113" s="11">
        <f t="shared" si="93"/>
        <v>0</v>
      </c>
      <c r="F113" s="45"/>
      <c r="G113" s="13" t="e">
        <f t="shared" si="94"/>
        <v>#DIV/0!</v>
      </c>
      <c r="H113" s="38"/>
      <c r="I113" s="38"/>
      <c r="J113" s="35">
        <f t="shared" si="95"/>
        <v>0</v>
      </c>
      <c r="K113" s="50">
        <f t="shared" si="96"/>
        <v>0</v>
      </c>
      <c r="L113" s="46" t="e">
        <f t="shared" si="97"/>
        <v>#DIV/0!</v>
      </c>
      <c r="M113" s="48"/>
      <c r="N113" s="47">
        <f t="shared" si="98"/>
        <v>0</v>
      </c>
      <c r="R113" s="76">
        <f t="shared" si="56"/>
        <v>0</v>
      </c>
    </row>
    <row r="114" spans="1:18" ht="16">
      <c r="A114" s="33"/>
      <c r="B114" s="44" t="s">
        <v>40</v>
      </c>
      <c r="C114" s="12"/>
      <c r="D114" s="35"/>
      <c r="E114" s="11">
        <f t="shared" si="93"/>
        <v>0</v>
      </c>
      <c r="F114" s="45"/>
      <c r="G114" s="13" t="e">
        <f t="shared" si="94"/>
        <v>#DIV/0!</v>
      </c>
      <c r="H114" s="38"/>
      <c r="I114" s="38"/>
      <c r="J114" s="35">
        <f t="shared" si="95"/>
        <v>0</v>
      </c>
      <c r="K114" s="50">
        <f t="shared" si="96"/>
        <v>0</v>
      </c>
      <c r="L114" s="46" t="e">
        <f t="shared" si="97"/>
        <v>#DIV/0!</v>
      </c>
      <c r="M114" s="48"/>
      <c r="N114" s="47">
        <f t="shared" si="98"/>
        <v>0</v>
      </c>
      <c r="R114" s="76">
        <f t="shared" si="56"/>
        <v>0</v>
      </c>
    </row>
    <row r="115" spans="1:18" ht="16">
      <c r="A115" s="122"/>
      <c r="B115" s="44" t="s">
        <v>40</v>
      </c>
      <c r="C115" s="35"/>
      <c r="D115" s="35"/>
      <c r="E115" s="11">
        <f t="shared" si="93"/>
        <v>0</v>
      </c>
      <c r="F115" s="45"/>
      <c r="G115" s="13" t="e">
        <f t="shared" si="94"/>
        <v>#DIV/0!</v>
      </c>
      <c r="H115" s="35"/>
      <c r="I115" s="38"/>
      <c r="J115" s="35">
        <f t="shared" si="95"/>
        <v>0</v>
      </c>
      <c r="K115" s="50">
        <f t="shared" si="96"/>
        <v>0</v>
      </c>
      <c r="L115" s="46" t="e">
        <f t="shared" si="97"/>
        <v>#DIV/0!</v>
      </c>
      <c r="M115" s="48"/>
      <c r="N115" s="47">
        <f t="shared" si="98"/>
        <v>0</v>
      </c>
      <c r="R115" s="76">
        <f t="shared" si="56"/>
        <v>0</v>
      </c>
    </row>
    <row r="116" spans="1:18" ht="16">
      <c r="A116" s="87"/>
      <c r="B116" s="44" t="s">
        <v>40</v>
      </c>
      <c r="C116" s="53"/>
      <c r="D116" s="53"/>
      <c r="E116" s="24">
        <f t="shared" si="93"/>
        <v>0</v>
      </c>
      <c r="F116" s="45"/>
      <c r="G116" s="54" t="e">
        <f t="shared" si="94"/>
        <v>#DIV/0!</v>
      </c>
      <c r="H116" s="53"/>
      <c r="I116" s="55"/>
      <c r="J116" s="53">
        <f t="shared" si="95"/>
        <v>0</v>
      </c>
      <c r="K116" s="50">
        <f t="shared" si="96"/>
        <v>0</v>
      </c>
      <c r="L116" s="73" t="e">
        <f t="shared" si="97"/>
        <v>#DIV/0!</v>
      </c>
      <c r="M116" s="56"/>
      <c r="N116" s="57">
        <f t="shared" si="98"/>
        <v>0</v>
      </c>
      <c r="R116" s="76">
        <f t="shared" si="56"/>
        <v>0</v>
      </c>
    </row>
    <row r="117" spans="1:18" ht="16">
      <c r="A117" s="59"/>
      <c r="B117" s="60"/>
      <c r="C117" s="59"/>
      <c r="D117" s="59" t="s">
        <v>19</v>
      </c>
      <c r="E117" s="59">
        <f>SUM(E110:E116)</f>
        <v>1984</v>
      </c>
      <c r="F117" s="37"/>
      <c r="G117" s="61" t="e">
        <f>AVERAGE(G110:G116)</f>
        <v>#DIV/0!</v>
      </c>
      <c r="H117" s="59"/>
      <c r="I117" s="62"/>
      <c r="J117" s="59">
        <f t="shared" ref="J117:K117" si="99">SUM(J110:J116)</f>
        <v>1863</v>
      </c>
      <c r="K117" s="59">
        <f t="shared" si="99"/>
        <v>234</v>
      </c>
      <c r="L117" s="61" t="e">
        <f>AVERAGE(L110:L116)</f>
        <v>#DIV/0!</v>
      </c>
      <c r="M117" s="64"/>
      <c r="N117" s="65">
        <f>SUM(N110:N116)</f>
        <v>4297210</v>
      </c>
      <c r="R117" s="76">
        <f t="shared" si="56"/>
        <v>0</v>
      </c>
    </row>
    <row r="118" spans="1:18" ht="16">
      <c r="A118" s="66">
        <v>46058</v>
      </c>
      <c r="B118" s="90" t="s">
        <v>41</v>
      </c>
      <c r="C118" s="35">
        <v>174834</v>
      </c>
      <c r="D118" s="35">
        <v>175112</v>
      </c>
      <c r="E118" s="36">
        <f t="shared" ref="E118:E124" si="100">D118-C118</f>
        <v>278</v>
      </c>
      <c r="F118" s="37">
        <v>76</v>
      </c>
      <c r="G118" s="13">
        <f t="shared" ref="G118:G124" si="101">(F118/E118)*100</f>
        <v>27.338129496402878</v>
      </c>
      <c r="H118" s="38">
        <v>15964</v>
      </c>
      <c r="I118" s="38">
        <v>16621</v>
      </c>
      <c r="J118" s="39">
        <f t="shared" ref="J118:J124" si="102">I118-H118</f>
        <v>657</v>
      </c>
      <c r="K118" s="77">
        <f t="shared" ref="K118:K124" si="103">F118</f>
        <v>76</v>
      </c>
      <c r="L118" s="67">
        <f t="shared" ref="L118:L124" si="104">(K118/J118)*100</f>
        <v>11.56773211567732</v>
      </c>
      <c r="M118" s="41">
        <v>18170</v>
      </c>
      <c r="N118" s="42">
        <f t="shared" ref="N118:N124" si="105">F118*M118</f>
        <v>1380920</v>
      </c>
      <c r="R118" s="76">
        <f t="shared" si="56"/>
        <v>0</v>
      </c>
    </row>
    <row r="119" spans="1:18" ht="16">
      <c r="A119" s="118">
        <v>46065</v>
      </c>
      <c r="B119" s="119" t="s">
        <v>41</v>
      </c>
      <c r="C119" s="35">
        <v>175112</v>
      </c>
      <c r="D119" s="51">
        <v>175545</v>
      </c>
      <c r="E119" s="51">
        <f t="shared" si="100"/>
        <v>433</v>
      </c>
      <c r="F119" s="120">
        <v>77</v>
      </c>
      <c r="G119" s="13">
        <f t="shared" si="101"/>
        <v>17.782909930715935</v>
      </c>
      <c r="H119" s="38">
        <v>16621</v>
      </c>
      <c r="I119" s="38">
        <v>17344</v>
      </c>
      <c r="J119" s="35">
        <f t="shared" si="102"/>
        <v>723</v>
      </c>
      <c r="K119" s="50">
        <f t="shared" si="103"/>
        <v>77</v>
      </c>
      <c r="L119" s="46">
        <f t="shared" si="104"/>
        <v>10.650069156293222</v>
      </c>
      <c r="M119" s="48">
        <v>18450</v>
      </c>
      <c r="N119" s="121">
        <f t="shared" si="105"/>
        <v>1420650</v>
      </c>
      <c r="R119" s="76">
        <f t="shared" si="56"/>
        <v>0</v>
      </c>
    </row>
    <row r="120" spans="1:18" ht="16">
      <c r="A120" s="118">
        <v>46080</v>
      </c>
      <c r="B120" s="119" t="s">
        <v>41</v>
      </c>
      <c r="C120" s="51">
        <v>175545</v>
      </c>
      <c r="D120" s="51">
        <v>175962</v>
      </c>
      <c r="E120" s="51">
        <f t="shared" si="100"/>
        <v>417</v>
      </c>
      <c r="F120" s="120">
        <v>79</v>
      </c>
      <c r="G120" s="13">
        <f t="shared" si="101"/>
        <v>18.944844124700239</v>
      </c>
      <c r="H120" s="38">
        <v>17344</v>
      </c>
      <c r="I120" s="35">
        <v>18119</v>
      </c>
      <c r="J120" s="35">
        <f t="shared" si="102"/>
        <v>775</v>
      </c>
      <c r="K120" s="50">
        <f t="shared" si="103"/>
        <v>79</v>
      </c>
      <c r="L120" s="46">
        <f t="shared" si="104"/>
        <v>10.193548387096774</v>
      </c>
      <c r="M120" s="48">
        <v>19270</v>
      </c>
      <c r="N120" s="121">
        <f t="shared" si="105"/>
        <v>1522330</v>
      </c>
      <c r="R120" s="76">
        <f t="shared" si="56"/>
        <v>0</v>
      </c>
    </row>
    <row r="121" spans="1:18" ht="16">
      <c r="A121" s="33"/>
      <c r="B121" s="44" t="s">
        <v>41</v>
      </c>
      <c r="C121" s="51"/>
      <c r="D121" s="35"/>
      <c r="E121" s="11">
        <f t="shared" si="100"/>
        <v>0</v>
      </c>
      <c r="F121" s="45"/>
      <c r="G121" s="13" t="e">
        <f t="shared" si="101"/>
        <v>#DIV/0!</v>
      </c>
      <c r="H121" s="35"/>
      <c r="I121" s="38"/>
      <c r="J121" s="35">
        <f t="shared" si="102"/>
        <v>0</v>
      </c>
      <c r="K121" s="50">
        <f t="shared" si="103"/>
        <v>0</v>
      </c>
      <c r="L121" s="46" t="e">
        <f t="shared" si="104"/>
        <v>#DIV/0!</v>
      </c>
      <c r="M121" s="48"/>
      <c r="N121" s="121">
        <f t="shared" si="105"/>
        <v>0</v>
      </c>
      <c r="R121" s="76">
        <f t="shared" si="56"/>
        <v>0</v>
      </c>
    </row>
    <row r="122" spans="1:18" ht="16">
      <c r="A122" s="124"/>
      <c r="B122" s="49" t="s">
        <v>41</v>
      </c>
      <c r="C122" s="50"/>
      <c r="D122" s="50"/>
      <c r="E122" s="11">
        <f t="shared" si="100"/>
        <v>0</v>
      </c>
      <c r="F122" s="45"/>
      <c r="G122" s="13" t="e">
        <f t="shared" si="101"/>
        <v>#DIV/0!</v>
      </c>
      <c r="H122" s="35"/>
      <c r="I122" s="38"/>
      <c r="J122" s="35">
        <f t="shared" si="102"/>
        <v>0</v>
      </c>
      <c r="K122" s="50">
        <f t="shared" si="103"/>
        <v>0</v>
      </c>
      <c r="L122" s="46" t="e">
        <f t="shared" si="104"/>
        <v>#DIV/0!</v>
      </c>
      <c r="M122" s="48"/>
      <c r="N122" s="121">
        <f t="shared" si="105"/>
        <v>0</v>
      </c>
      <c r="R122" s="76">
        <f t="shared" si="56"/>
        <v>0</v>
      </c>
    </row>
    <row r="123" spans="1:18" ht="16">
      <c r="A123" s="122"/>
      <c r="B123" s="44" t="s">
        <v>41</v>
      </c>
      <c r="C123" s="35"/>
      <c r="D123" s="35"/>
      <c r="E123" s="11">
        <f t="shared" si="100"/>
        <v>0</v>
      </c>
      <c r="F123" s="45"/>
      <c r="G123" s="13" t="e">
        <f t="shared" si="101"/>
        <v>#DIV/0!</v>
      </c>
      <c r="H123" s="35"/>
      <c r="I123" s="38"/>
      <c r="J123" s="35">
        <f t="shared" si="102"/>
        <v>0</v>
      </c>
      <c r="K123" s="50">
        <f t="shared" si="103"/>
        <v>0</v>
      </c>
      <c r="L123" s="46" t="e">
        <f t="shared" si="104"/>
        <v>#DIV/0!</v>
      </c>
      <c r="M123" s="48"/>
      <c r="N123" s="121">
        <f t="shared" si="105"/>
        <v>0</v>
      </c>
      <c r="R123" s="76">
        <f t="shared" si="56"/>
        <v>0</v>
      </c>
    </row>
    <row r="124" spans="1:18" ht="16">
      <c r="A124" s="87"/>
      <c r="B124" s="44" t="s">
        <v>41</v>
      </c>
      <c r="C124" s="53"/>
      <c r="D124" s="53"/>
      <c r="E124" s="24">
        <f t="shared" si="100"/>
        <v>0</v>
      </c>
      <c r="F124" s="45"/>
      <c r="G124" s="54" t="e">
        <f t="shared" si="101"/>
        <v>#DIV/0!</v>
      </c>
      <c r="H124" s="53"/>
      <c r="I124" s="55"/>
      <c r="J124" s="53">
        <f t="shared" si="102"/>
        <v>0</v>
      </c>
      <c r="K124" s="50">
        <f t="shared" si="103"/>
        <v>0</v>
      </c>
      <c r="L124" s="73" t="e">
        <f t="shared" si="104"/>
        <v>#DIV/0!</v>
      </c>
      <c r="M124" s="56"/>
      <c r="N124" s="123">
        <f t="shared" si="105"/>
        <v>0</v>
      </c>
      <c r="R124" s="76">
        <f t="shared" si="56"/>
        <v>0</v>
      </c>
    </row>
    <row r="125" spans="1:18" ht="16">
      <c r="A125" s="59"/>
      <c r="B125" s="60"/>
      <c r="C125" s="59"/>
      <c r="D125" s="59" t="s">
        <v>19</v>
      </c>
      <c r="E125" s="59">
        <f>SUM(E118:E124)</f>
        <v>1128</v>
      </c>
      <c r="F125" s="59">
        <f>SUM(F117:F124)</f>
        <v>232</v>
      </c>
      <c r="G125" s="61" t="e">
        <f>AVERAGE(G118:G124)</f>
        <v>#DIV/0!</v>
      </c>
      <c r="H125" s="59"/>
      <c r="I125" s="62"/>
      <c r="J125" s="59">
        <f t="shared" ref="J125:K125" si="106">SUM(J118:J124)</f>
        <v>2155</v>
      </c>
      <c r="K125" s="59">
        <f t="shared" si="106"/>
        <v>232</v>
      </c>
      <c r="L125" s="61" t="e">
        <f>AVERAGE(L118:L124)</f>
        <v>#DIV/0!</v>
      </c>
      <c r="M125" s="64"/>
      <c r="N125" s="65">
        <f>SUM(N118:N124)</f>
        <v>4323900</v>
      </c>
      <c r="R125" s="76">
        <f t="shared" si="56"/>
        <v>0</v>
      </c>
    </row>
    <row r="126" spans="1:18" ht="16">
      <c r="A126" s="66">
        <v>46054</v>
      </c>
      <c r="B126" s="90" t="s">
        <v>27</v>
      </c>
      <c r="C126" s="83"/>
      <c r="D126" s="12"/>
      <c r="E126" s="36">
        <f t="shared" ref="E126:E133" si="107">D126-C126</f>
        <v>0</v>
      </c>
      <c r="F126" s="37"/>
      <c r="G126" s="13" t="e">
        <f t="shared" ref="G126:G133" si="108">(F126/E126)*100</f>
        <v>#DIV/0!</v>
      </c>
      <c r="H126" s="125"/>
      <c r="I126" s="126"/>
      <c r="J126" s="39">
        <f t="shared" ref="J126:J133" si="109">I126-H126</f>
        <v>0</v>
      </c>
      <c r="K126" s="50">
        <f t="shared" ref="K126:K130" si="110">F126</f>
        <v>0</v>
      </c>
      <c r="L126" s="67" t="e">
        <f t="shared" ref="L126:L133" si="111">(K126/J126)*100</f>
        <v>#DIV/0!</v>
      </c>
      <c r="M126" s="68"/>
      <c r="N126" s="42">
        <v>1036000</v>
      </c>
      <c r="R126" s="76">
        <f t="shared" si="56"/>
        <v>0</v>
      </c>
    </row>
    <row r="127" spans="1:18" ht="16">
      <c r="A127" s="33">
        <v>46057</v>
      </c>
      <c r="B127" s="44" t="s">
        <v>27</v>
      </c>
      <c r="C127" s="35"/>
      <c r="D127" s="12"/>
      <c r="E127" s="11">
        <f t="shared" si="107"/>
        <v>0</v>
      </c>
      <c r="F127" s="45"/>
      <c r="G127" s="13" t="e">
        <f t="shared" si="108"/>
        <v>#DIV/0!</v>
      </c>
      <c r="H127" s="38"/>
      <c r="I127" s="38"/>
      <c r="J127" s="35">
        <f t="shared" si="109"/>
        <v>0</v>
      </c>
      <c r="K127" s="50">
        <f t="shared" si="110"/>
        <v>0</v>
      </c>
      <c r="L127" s="46" t="e">
        <f t="shared" si="111"/>
        <v>#DIV/0!</v>
      </c>
      <c r="M127" s="48"/>
      <c r="N127" s="47">
        <v>1036000</v>
      </c>
      <c r="R127" s="76">
        <f t="shared" si="56"/>
        <v>0</v>
      </c>
    </row>
    <row r="128" spans="1:18" ht="16">
      <c r="A128" s="33">
        <v>46060</v>
      </c>
      <c r="B128" s="44" t="s">
        <v>27</v>
      </c>
      <c r="C128" s="35"/>
      <c r="D128" s="35"/>
      <c r="E128" s="11">
        <f t="shared" si="107"/>
        <v>0</v>
      </c>
      <c r="F128" s="45"/>
      <c r="G128" s="13" t="e">
        <f t="shared" si="108"/>
        <v>#DIV/0!</v>
      </c>
      <c r="H128" s="35"/>
      <c r="I128" s="38"/>
      <c r="J128" s="35">
        <f t="shared" si="109"/>
        <v>0</v>
      </c>
      <c r="K128" s="50">
        <f t="shared" si="110"/>
        <v>0</v>
      </c>
      <c r="L128" s="46" t="e">
        <f t="shared" si="111"/>
        <v>#DIV/0!</v>
      </c>
      <c r="M128" s="48"/>
      <c r="N128" s="47">
        <v>1144000</v>
      </c>
      <c r="R128" s="76">
        <f t="shared" si="56"/>
        <v>0</v>
      </c>
    </row>
    <row r="129" spans="1:18" ht="16">
      <c r="A129" s="33">
        <v>46063</v>
      </c>
      <c r="B129" s="44" t="s">
        <v>27</v>
      </c>
      <c r="C129" s="35"/>
      <c r="D129" s="35"/>
      <c r="E129" s="11">
        <f t="shared" si="107"/>
        <v>0</v>
      </c>
      <c r="F129" s="45"/>
      <c r="G129" s="13" t="e">
        <f t="shared" si="108"/>
        <v>#DIV/0!</v>
      </c>
      <c r="H129" s="35"/>
      <c r="I129" s="38"/>
      <c r="J129" s="35">
        <f t="shared" si="109"/>
        <v>0</v>
      </c>
      <c r="K129" s="50">
        <f t="shared" si="110"/>
        <v>0</v>
      </c>
      <c r="L129" s="46" t="e">
        <f t="shared" si="111"/>
        <v>#DIV/0!</v>
      </c>
      <c r="M129" s="48"/>
      <c r="N129" s="47">
        <v>1033000</v>
      </c>
      <c r="R129" s="76">
        <f t="shared" si="56"/>
        <v>0</v>
      </c>
    </row>
    <row r="130" spans="1:18" ht="16">
      <c r="A130" s="33">
        <v>46068</v>
      </c>
      <c r="B130" s="44" t="s">
        <v>27</v>
      </c>
      <c r="C130" s="35"/>
      <c r="D130" s="35"/>
      <c r="E130" s="11">
        <f t="shared" si="107"/>
        <v>0</v>
      </c>
      <c r="F130" s="45"/>
      <c r="G130" s="13" t="e">
        <f t="shared" si="108"/>
        <v>#DIV/0!</v>
      </c>
      <c r="H130" s="35"/>
      <c r="I130" s="38"/>
      <c r="J130" s="35">
        <f t="shared" si="109"/>
        <v>0</v>
      </c>
      <c r="K130" s="50">
        <f t="shared" si="110"/>
        <v>0</v>
      </c>
      <c r="L130" s="46" t="e">
        <f t="shared" si="111"/>
        <v>#DIV/0!</v>
      </c>
      <c r="M130" s="48"/>
      <c r="N130" s="47">
        <v>1145000</v>
      </c>
      <c r="R130" s="76">
        <f t="shared" si="56"/>
        <v>0</v>
      </c>
    </row>
    <row r="131" spans="1:18" ht="16">
      <c r="A131" s="33">
        <v>46077</v>
      </c>
      <c r="B131" s="44" t="s">
        <v>27</v>
      </c>
      <c r="C131" s="35"/>
      <c r="D131" s="35"/>
      <c r="E131" s="11">
        <f t="shared" si="107"/>
        <v>0</v>
      </c>
      <c r="F131" s="45"/>
      <c r="G131" s="13" t="e">
        <f t="shared" si="108"/>
        <v>#DIV/0!</v>
      </c>
      <c r="H131" s="35"/>
      <c r="I131" s="38"/>
      <c r="J131" s="35">
        <f t="shared" si="109"/>
        <v>0</v>
      </c>
      <c r="K131" s="50"/>
      <c r="L131" s="46" t="e">
        <f t="shared" si="111"/>
        <v>#DIV/0!</v>
      </c>
      <c r="M131" s="48"/>
      <c r="N131" s="47">
        <v>1204000</v>
      </c>
      <c r="R131" s="76">
        <f t="shared" si="56"/>
        <v>0</v>
      </c>
    </row>
    <row r="132" spans="1:18" ht="16">
      <c r="A132" s="33">
        <v>46080</v>
      </c>
      <c r="B132" s="44" t="s">
        <v>27</v>
      </c>
      <c r="C132" s="35"/>
      <c r="D132" s="35"/>
      <c r="E132" s="11">
        <f t="shared" si="107"/>
        <v>0</v>
      </c>
      <c r="F132" s="45"/>
      <c r="G132" s="13" t="e">
        <f t="shared" si="108"/>
        <v>#DIV/0!</v>
      </c>
      <c r="H132" s="35"/>
      <c r="I132" s="38"/>
      <c r="J132" s="35">
        <f t="shared" si="109"/>
        <v>0</v>
      </c>
      <c r="K132" s="50"/>
      <c r="L132" s="46" t="e">
        <f t="shared" si="111"/>
        <v>#DIV/0!</v>
      </c>
      <c r="M132" s="48"/>
      <c r="N132" s="47">
        <v>1021000</v>
      </c>
      <c r="R132" s="76">
        <f t="shared" si="56"/>
        <v>0</v>
      </c>
    </row>
    <row r="133" spans="1:18" ht="16">
      <c r="A133" s="209"/>
      <c r="B133" s="79" t="s">
        <v>27</v>
      </c>
      <c r="C133" s="53"/>
      <c r="D133" s="53"/>
      <c r="E133" s="24">
        <f t="shared" si="107"/>
        <v>0</v>
      </c>
      <c r="F133" s="45"/>
      <c r="G133" s="54" t="e">
        <f t="shared" si="108"/>
        <v>#DIV/0!</v>
      </c>
      <c r="H133" s="53"/>
      <c r="I133" s="55"/>
      <c r="J133" s="53">
        <f t="shared" si="109"/>
        <v>0</v>
      </c>
      <c r="K133" s="50"/>
      <c r="L133" s="73" t="e">
        <f t="shared" si="111"/>
        <v>#DIV/0!</v>
      </c>
      <c r="M133" s="56"/>
      <c r="N133" s="47">
        <f>M133*K133</f>
        <v>0</v>
      </c>
      <c r="R133" s="76">
        <f t="shared" si="56"/>
        <v>0</v>
      </c>
    </row>
    <row r="134" spans="1:18" ht="16">
      <c r="A134" s="59"/>
      <c r="B134" s="60"/>
      <c r="C134" s="59"/>
      <c r="D134" s="59" t="s">
        <v>19</v>
      </c>
      <c r="E134" s="59">
        <f t="shared" ref="E134:F134" si="112">SUM(E126:E133)</f>
        <v>0</v>
      </c>
      <c r="F134" s="59">
        <f t="shared" si="112"/>
        <v>0</v>
      </c>
      <c r="G134" s="61" t="e">
        <f>AVERAGE(G126:G133)</f>
        <v>#DIV/0!</v>
      </c>
      <c r="H134" s="59"/>
      <c r="I134" s="62"/>
      <c r="J134" s="59">
        <f t="shared" ref="J134:K134" si="113">SUM(J126:J133)</f>
        <v>0</v>
      </c>
      <c r="K134" s="59">
        <f t="shared" si="113"/>
        <v>0</v>
      </c>
      <c r="L134" s="61" t="e">
        <f>AVERAGE(L126:L133)</f>
        <v>#DIV/0!</v>
      </c>
      <c r="M134" s="64"/>
      <c r="N134" s="132">
        <f>SUM(N126:N133)</f>
        <v>7619000</v>
      </c>
      <c r="R134" s="76">
        <f t="shared" si="56"/>
        <v>0</v>
      </c>
    </row>
    <row r="135" spans="1:18" ht="16">
      <c r="A135" s="66">
        <v>46055</v>
      </c>
      <c r="B135" s="90" t="s">
        <v>28</v>
      </c>
      <c r="C135" s="83"/>
      <c r="D135" s="12"/>
      <c r="E135" s="36">
        <f t="shared" ref="E135:E142" si="114">D135-C135</f>
        <v>0</v>
      </c>
      <c r="F135" s="37"/>
      <c r="G135" s="13" t="e">
        <f t="shared" ref="G135:G142" si="115">(F135/E135)*100</f>
        <v>#DIV/0!</v>
      </c>
      <c r="H135" s="125"/>
      <c r="I135" s="126"/>
      <c r="J135" s="39">
        <f t="shared" ref="J135:J142" si="116">I135-H135</f>
        <v>0</v>
      </c>
      <c r="K135" s="77"/>
      <c r="L135" s="67" t="e">
        <f t="shared" ref="L135:L138" si="117">(K135/J135)*100</f>
        <v>#DIV/0!</v>
      </c>
      <c r="M135" s="68"/>
      <c r="N135" s="47">
        <v>1090000</v>
      </c>
      <c r="R135" s="76">
        <f t="shared" si="56"/>
        <v>0</v>
      </c>
    </row>
    <row r="136" spans="1:18" ht="16">
      <c r="A136" s="33">
        <v>46059</v>
      </c>
      <c r="B136" s="90" t="s">
        <v>28</v>
      </c>
      <c r="C136" s="35"/>
      <c r="D136" s="12"/>
      <c r="E136" s="11">
        <f t="shared" si="114"/>
        <v>0</v>
      </c>
      <c r="F136" s="45"/>
      <c r="G136" s="13" t="e">
        <f t="shared" si="115"/>
        <v>#DIV/0!</v>
      </c>
      <c r="H136" s="38"/>
      <c r="I136" s="38"/>
      <c r="J136" s="35">
        <f t="shared" si="116"/>
        <v>0</v>
      </c>
      <c r="K136" s="50"/>
      <c r="L136" s="67" t="e">
        <f t="shared" si="117"/>
        <v>#DIV/0!</v>
      </c>
      <c r="M136" s="48"/>
      <c r="N136" s="47">
        <v>1292000</v>
      </c>
      <c r="R136" s="76">
        <f t="shared" si="56"/>
        <v>0</v>
      </c>
    </row>
    <row r="137" spans="1:18" ht="16">
      <c r="A137" s="33">
        <v>46063</v>
      </c>
      <c r="B137" s="90" t="s">
        <v>28</v>
      </c>
      <c r="C137" s="35"/>
      <c r="D137" s="35"/>
      <c r="E137" s="11">
        <f t="shared" si="114"/>
        <v>0</v>
      </c>
      <c r="F137" s="45"/>
      <c r="G137" s="13" t="e">
        <f t="shared" si="115"/>
        <v>#DIV/0!</v>
      </c>
      <c r="H137" s="35"/>
      <c r="I137" s="38"/>
      <c r="J137" s="35">
        <f t="shared" si="116"/>
        <v>0</v>
      </c>
      <c r="K137" s="50"/>
      <c r="L137" s="46" t="e">
        <f t="shared" si="117"/>
        <v>#DIV/0!</v>
      </c>
      <c r="M137" s="48"/>
      <c r="N137" s="47">
        <v>1292000</v>
      </c>
      <c r="R137" s="76">
        <f t="shared" si="56"/>
        <v>0</v>
      </c>
    </row>
    <row r="138" spans="1:18" ht="16">
      <c r="A138" s="33"/>
      <c r="B138" s="90" t="s">
        <v>28</v>
      </c>
      <c r="C138" s="35"/>
      <c r="D138" s="35"/>
      <c r="E138" s="11">
        <f t="shared" si="114"/>
        <v>0</v>
      </c>
      <c r="F138" s="45"/>
      <c r="G138" s="13" t="e">
        <f t="shared" si="115"/>
        <v>#DIV/0!</v>
      </c>
      <c r="H138" s="35"/>
      <c r="I138" s="38"/>
      <c r="J138" s="35">
        <f t="shared" si="116"/>
        <v>0</v>
      </c>
      <c r="K138" s="50"/>
      <c r="L138" s="46" t="e">
        <f t="shared" si="117"/>
        <v>#DIV/0!</v>
      </c>
      <c r="M138" s="48"/>
      <c r="N138" s="47">
        <f t="shared" ref="N138:N140" si="118">M138*K138</f>
        <v>0</v>
      </c>
      <c r="R138" s="76">
        <f t="shared" si="56"/>
        <v>0</v>
      </c>
    </row>
    <row r="139" spans="1:18" ht="16">
      <c r="A139" s="33"/>
      <c r="B139" s="90" t="s">
        <v>28</v>
      </c>
      <c r="C139" s="35"/>
      <c r="D139" s="35"/>
      <c r="E139" s="11">
        <f t="shared" si="114"/>
        <v>0</v>
      </c>
      <c r="F139" s="45"/>
      <c r="G139" s="13" t="e">
        <f t="shared" si="115"/>
        <v>#DIV/0!</v>
      </c>
      <c r="H139" s="35"/>
      <c r="I139" s="38"/>
      <c r="J139" s="35">
        <f t="shared" si="116"/>
        <v>0</v>
      </c>
      <c r="K139" s="50"/>
      <c r="L139" s="46"/>
      <c r="M139" s="48"/>
      <c r="N139" s="47">
        <f t="shared" si="118"/>
        <v>0</v>
      </c>
      <c r="R139" s="76">
        <f t="shared" si="56"/>
        <v>0</v>
      </c>
    </row>
    <row r="140" spans="1:18" ht="16">
      <c r="A140" s="33"/>
      <c r="B140" s="90" t="s">
        <v>28</v>
      </c>
      <c r="C140" s="35"/>
      <c r="D140" s="35"/>
      <c r="E140" s="11">
        <f t="shared" si="114"/>
        <v>0</v>
      </c>
      <c r="F140" s="45"/>
      <c r="G140" s="13" t="e">
        <f t="shared" si="115"/>
        <v>#DIV/0!</v>
      </c>
      <c r="H140" s="35"/>
      <c r="I140" s="38"/>
      <c r="J140" s="35">
        <f t="shared" si="116"/>
        <v>0</v>
      </c>
      <c r="K140" s="50"/>
      <c r="L140" s="46" t="e">
        <f t="shared" ref="L140:L142" si="119">(K140/J140)*100</f>
        <v>#DIV/0!</v>
      </c>
      <c r="M140" s="48"/>
      <c r="N140" s="47">
        <f t="shared" si="118"/>
        <v>0</v>
      </c>
      <c r="R140" s="76">
        <f t="shared" si="56"/>
        <v>0</v>
      </c>
    </row>
    <row r="141" spans="1:18" ht="16">
      <c r="A141" s="33"/>
      <c r="B141" s="90" t="s">
        <v>28</v>
      </c>
      <c r="C141" s="35"/>
      <c r="D141" s="35"/>
      <c r="E141" s="11">
        <f t="shared" si="114"/>
        <v>0</v>
      </c>
      <c r="F141" s="45"/>
      <c r="G141" s="13" t="e">
        <f t="shared" si="115"/>
        <v>#DIV/0!</v>
      </c>
      <c r="H141" s="35"/>
      <c r="I141" s="38"/>
      <c r="J141" s="35">
        <f t="shared" si="116"/>
        <v>0</v>
      </c>
      <c r="K141" s="50">
        <f t="shared" ref="K141:K142" si="120">F141</f>
        <v>0</v>
      </c>
      <c r="L141" s="46" t="e">
        <f t="shared" si="119"/>
        <v>#DIV/0!</v>
      </c>
      <c r="M141" s="48"/>
      <c r="N141" s="47">
        <f>F141*M141</f>
        <v>0</v>
      </c>
      <c r="R141" s="76">
        <f t="shared" si="56"/>
        <v>0</v>
      </c>
    </row>
    <row r="142" spans="1:18" ht="16">
      <c r="A142" s="88"/>
      <c r="B142" s="90" t="s">
        <v>28</v>
      </c>
      <c r="C142" s="53"/>
      <c r="D142" s="53"/>
      <c r="E142" s="24">
        <f t="shared" si="114"/>
        <v>0</v>
      </c>
      <c r="F142" s="45"/>
      <c r="G142" s="54" t="e">
        <f t="shared" si="115"/>
        <v>#DIV/0!</v>
      </c>
      <c r="H142" s="53"/>
      <c r="I142" s="55"/>
      <c r="J142" s="53">
        <f t="shared" si="116"/>
        <v>0</v>
      </c>
      <c r="K142" s="50">
        <f t="shared" si="120"/>
        <v>0</v>
      </c>
      <c r="L142" s="73" t="e">
        <f t="shared" si="119"/>
        <v>#DIV/0!</v>
      </c>
      <c r="M142" s="56"/>
      <c r="N142" s="47">
        <f>M142*K142</f>
        <v>0</v>
      </c>
      <c r="R142" s="76">
        <f t="shared" si="56"/>
        <v>0</v>
      </c>
    </row>
    <row r="143" spans="1:18" ht="16">
      <c r="A143" s="59"/>
      <c r="B143" s="60"/>
      <c r="C143" s="59"/>
      <c r="D143" s="59" t="s">
        <v>19</v>
      </c>
      <c r="E143" s="59">
        <f t="shared" ref="E143:F143" si="121">SUM(E135:E142)</f>
        <v>0</v>
      </c>
      <c r="F143" s="59">
        <f t="shared" si="121"/>
        <v>0</v>
      </c>
      <c r="G143" s="61" t="e">
        <f>AVERAGE(G135:G142)</f>
        <v>#DIV/0!</v>
      </c>
      <c r="H143" s="59"/>
      <c r="I143" s="62"/>
      <c r="J143" s="59">
        <f t="shared" ref="J143:K143" si="122">SUM(J135:J142)</f>
        <v>0</v>
      </c>
      <c r="K143" s="59">
        <f t="shared" si="122"/>
        <v>0</v>
      </c>
      <c r="L143" s="61" t="e">
        <f>AVERAGE(L135:L142)</f>
        <v>#DIV/0!</v>
      </c>
      <c r="M143" s="64"/>
      <c r="N143" s="132">
        <f>SUM(N135:N142)</f>
        <v>3674000</v>
      </c>
      <c r="R143" s="76">
        <f t="shared" si="56"/>
        <v>0</v>
      </c>
    </row>
    <row r="144" spans="1:18" ht="16">
      <c r="A144" s="85">
        <v>46058</v>
      </c>
      <c r="B144" s="90" t="s">
        <v>43</v>
      </c>
      <c r="C144" s="83"/>
      <c r="D144" s="12"/>
      <c r="E144" s="36">
        <f t="shared" ref="E144:E151" si="123">D144-C144</f>
        <v>0</v>
      </c>
      <c r="F144" s="37"/>
      <c r="G144" s="13" t="e">
        <f t="shared" ref="G144:G151" si="124">(F144/E144)*100</f>
        <v>#DIV/0!</v>
      </c>
      <c r="H144" s="125"/>
      <c r="I144" s="126"/>
      <c r="J144" s="39">
        <f t="shared" ref="J144:J151" si="125">I144-H144</f>
        <v>0</v>
      </c>
      <c r="K144" s="50">
        <f t="shared" ref="K144:K146" si="126">F144</f>
        <v>0</v>
      </c>
      <c r="L144" s="67" t="e">
        <f t="shared" ref="L144:L151" si="127">(K144/J144)*100</f>
        <v>#DIV/0!</v>
      </c>
      <c r="M144" s="68"/>
      <c r="N144" s="47">
        <v>1127000</v>
      </c>
      <c r="R144" s="76">
        <f t="shared" si="56"/>
        <v>0</v>
      </c>
    </row>
    <row r="145" spans="1:18" ht="16">
      <c r="A145" s="33">
        <v>46062</v>
      </c>
      <c r="B145" s="44" t="s">
        <v>43</v>
      </c>
      <c r="C145" s="35"/>
      <c r="D145" s="12"/>
      <c r="E145" s="11">
        <f t="shared" si="123"/>
        <v>0</v>
      </c>
      <c r="F145" s="45"/>
      <c r="G145" s="13" t="e">
        <f t="shared" si="124"/>
        <v>#DIV/0!</v>
      </c>
      <c r="H145" s="38"/>
      <c r="I145" s="38"/>
      <c r="J145" s="35">
        <f t="shared" si="125"/>
        <v>0</v>
      </c>
      <c r="K145" s="50">
        <f t="shared" si="126"/>
        <v>0</v>
      </c>
      <c r="L145" s="46" t="e">
        <f t="shared" si="127"/>
        <v>#DIV/0!</v>
      </c>
      <c r="M145" s="48"/>
      <c r="N145" s="47">
        <v>1070000</v>
      </c>
      <c r="R145" s="76">
        <f t="shared" si="56"/>
        <v>0</v>
      </c>
    </row>
    <row r="146" spans="1:18" ht="16">
      <c r="A146" s="33">
        <v>46065</v>
      </c>
      <c r="B146" s="44" t="s">
        <v>43</v>
      </c>
      <c r="C146" s="35"/>
      <c r="D146" s="35"/>
      <c r="E146" s="11">
        <f t="shared" si="123"/>
        <v>0</v>
      </c>
      <c r="F146" s="45"/>
      <c r="G146" s="13" t="e">
        <f t="shared" si="124"/>
        <v>#DIV/0!</v>
      </c>
      <c r="H146" s="35"/>
      <c r="I146" s="38"/>
      <c r="J146" s="35">
        <f t="shared" si="125"/>
        <v>0</v>
      </c>
      <c r="K146" s="50">
        <f t="shared" si="126"/>
        <v>0</v>
      </c>
      <c r="L146" s="46" t="e">
        <f t="shared" si="127"/>
        <v>#DIV/0!</v>
      </c>
      <c r="M146" s="48"/>
      <c r="N146" s="47">
        <v>1107000</v>
      </c>
      <c r="R146" s="76">
        <f t="shared" si="56"/>
        <v>0</v>
      </c>
    </row>
    <row r="147" spans="1:18" ht="16">
      <c r="A147" s="33"/>
      <c r="B147" s="44" t="s">
        <v>43</v>
      </c>
      <c r="C147" s="35"/>
      <c r="D147" s="35"/>
      <c r="E147" s="11">
        <f t="shared" si="123"/>
        <v>0</v>
      </c>
      <c r="F147" s="45"/>
      <c r="G147" s="13" t="e">
        <f t="shared" si="124"/>
        <v>#DIV/0!</v>
      </c>
      <c r="H147" s="35"/>
      <c r="I147" s="38"/>
      <c r="J147" s="35">
        <f t="shared" si="125"/>
        <v>0</v>
      </c>
      <c r="K147" s="50"/>
      <c r="L147" s="46" t="e">
        <f t="shared" si="127"/>
        <v>#DIV/0!</v>
      </c>
      <c r="M147" s="48"/>
      <c r="N147" s="47">
        <f>M147*K147</f>
        <v>0</v>
      </c>
      <c r="R147" s="76">
        <f t="shared" si="56"/>
        <v>0</v>
      </c>
    </row>
    <row r="148" spans="1:18" ht="16">
      <c r="A148" s="33"/>
      <c r="B148" s="44" t="s">
        <v>43</v>
      </c>
      <c r="C148" s="35"/>
      <c r="D148" s="35"/>
      <c r="E148" s="11">
        <f t="shared" si="123"/>
        <v>0</v>
      </c>
      <c r="F148" s="45"/>
      <c r="G148" s="13" t="e">
        <f t="shared" si="124"/>
        <v>#DIV/0!</v>
      </c>
      <c r="H148" s="35"/>
      <c r="I148" s="38"/>
      <c r="J148" s="35">
        <f t="shared" si="125"/>
        <v>0</v>
      </c>
      <c r="K148" s="50"/>
      <c r="L148" s="46" t="e">
        <f t="shared" si="127"/>
        <v>#DIV/0!</v>
      </c>
      <c r="M148" s="48"/>
      <c r="N148" s="47">
        <f t="shared" ref="N148:N150" si="128">F148*M148</f>
        <v>0</v>
      </c>
      <c r="R148" s="76">
        <f t="shared" si="56"/>
        <v>0</v>
      </c>
    </row>
    <row r="149" spans="1:18" ht="16">
      <c r="A149" s="33"/>
      <c r="B149" s="44" t="s">
        <v>43</v>
      </c>
      <c r="C149" s="35"/>
      <c r="D149" s="35"/>
      <c r="E149" s="11">
        <f t="shared" si="123"/>
        <v>0</v>
      </c>
      <c r="F149" s="45"/>
      <c r="G149" s="13" t="e">
        <f t="shared" si="124"/>
        <v>#DIV/0!</v>
      </c>
      <c r="H149" s="35"/>
      <c r="I149" s="38"/>
      <c r="J149" s="35">
        <f t="shared" si="125"/>
        <v>0</v>
      </c>
      <c r="K149" s="50">
        <f t="shared" ref="K149:K151" si="129">F149</f>
        <v>0</v>
      </c>
      <c r="L149" s="46" t="e">
        <f t="shared" si="127"/>
        <v>#DIV/0!</v>
      </c>
      <c r="M149" s="48"/>
      <c r="N149" s="47">
        <f t="shared" si="128"/>
        <v>0</v>
      </c>
      <c r="R149" s="76">
        <f t="shared" si="56"/>
        <v>0</v>
      </c>
    </row>
    <row r="150" spans="1:18" ht="16">
      <c r="A150" s="33"/>
      <c r="B150" s="44" t="s">
        <v>43</v>
      </c>
      <c r="C150" s="35"/>
      <c r="D150" s="35"/>
      <c r="E150" s="11">
        <f t="shared" si="123"/>
        <v>0</v>
      </c>
      <c r="F150" s="45"/>
      <c r="G150" s="13" t="e">
        <f t="shared" si="124"/>
        <v>#DIV/0!</v>
      </c>
      <c r="H150" s="35"/>
      <c r="I150" s="38"/>
      <c r="J150" s="35">
        <f t="shared" si="125"/>
        <v>0</v>
      </c>
      <c r="K150" s="50">
        <f t="shared" si="129"/>
        <v>0</v>
      </c>
      <c r="L150" s="46" t="e">
        <f t="shared" si="127"/>
        <v>#DIV/0!</v>
      </c>
      <c r="M150" s="48"/>
      <c r="N150" s="47">
        <f t="shared" si="128"/>
        <v>0</v>
      </c>
      <c r="R150" s="76">
        <f t="shared" si="56"/>
        <v>0</v>
      </c>
    </row>
    <row r="151" spans="1:18" ht="16">
      <c r="A151" s="88"/>
      <c r="B151" s="44" t="s">
        <v>43</v>
      </c>
      <c r="C151" s="53"/>
      <c r="D151" s="53"/>
      <c r="E151" s="24">
        <f t="shared" si="123"/>
        <v>0</v>
      </c>
      <c r="F151" s="45"/>
      <c r="G151" s="54" t="e">
        <f t="shared" si="124"/>
        <v>#DIV/0!</v>
      </c>
      <c r="H151" s="53"/>
      <c r="I151" s="55"/>
      <c r="J151" s="53">
        <f t="shared" si="125"/>
        <v>0</v>
      </c>
      <c r="K151" s="50">
        <f t="shared" si="129"/>
        <v>0</v>
      </c>
      <c r="L151" s="73" t="e">
        <f t="shared" si="127"/>
        <v>#DIV/0!</v>
      </c>
      <c r="M151" s="48"/>
      <c r="N151" s="47">
        <f>M151*K151</f>
        <v>0</v>
      </c>
      <c r="R151" s="76">
        <f t="shared" si="56"/>
        <v>0</v>
      </c>
    </row>
    <row r="152" spans="1:18" ht="16">
      <c r="A152" s="59"/>
      <c r="B152" s="60"/>
      <c r="C152" s="59"/>
      <c r="D152" s="59" t="s">
        <v>19</v>
      </c>
      <c r="E152" s="59">
        <f>SUM(E144:E151)</f>
        <v>0</v>
      </c>
      <c r="F152" s="37"/>
      <c r="G152" s="61" t="e">
        <f>AVERAGE(G144:G151)</f>
        <v>#DIV/0!</v>
      </c>
      <c r="H152" s="59"/>
      <c r="I152" s="62"/>
      <c r="J152" s="59">
        <f t="shared" ref="J152:K152" si="130">SUM(J144:J151)</f>
        <v>0</v>
      </c>
      <c r="K152" s="59">
        <f t="shared" si="130"/>
        <v>0</v>
      </c>
      <c r="L152" s="61" t="e">
        <f>AVERAGE(L144:L151)</f>
        <v>#DIV/0!</v>
      </c>
      <c r="M152" s="68"/>
      <c r="N152" s="132">
        <f>SUM(N144:N151)</f>
        <v>3304000</v>
      </c>
      <c r="R152" s="76">
        <f t="shared" si="56"/>
        <v>0</v>
      </c>
    </row>
    <row r="153" spans="1:18" ht="16">
      <c r="A153" s="66">
        <v>46056</v>
      </c>
      <c r="B153" s="90" t="s">
        <v>30</v>
      </c>
      <c r="C153" s="83"/>
      <c r="D153" s="12"/>
      <c r="E153" s="36">
        <f t="shared" ref="E153:E160" si="131">D153-C153</f>
        <v>0</v>
      </c>
      <c r="F153" s="37"/>
      <c r="G153" s="13" t="e">
        <f t="shared" ref="G153:G160" si="132">(F153/E153)*100</f>
        <v>#DIV/0!</v>
      </c>
      <c r="H153" s="125"/>
      <c r="I153" s="126"/>
      <c r="J153" s="39">
        <f t="shared" ref="J153:J160" si="133">I153-H153</f>
        <v>0</v>
      </c>
      <c r="K153" s="50">
        <f t="shared" ref="K153:K160" si="134">F153</f>
        <v>0</v>
      </c>
      <c r="L153" s="67" t="e">
        <f t="shared" ref="L153:L160" si="135">(K153/J153)*100</f>
        <v>#DIV/0!</v>
      </c>
      <c r="M153" s="68"/>
      <c r="N153" s="47">
        <v>1435000</v>
      </c>
      <c r="R153" s="76">
        <f t="shared" si="56"/>
        <v>0</v>
      </c>
    </row>
    <row r="154" spans="1:18" ht="16">
      <c r="A154" s="33">
        <v>46060</v>
      </c>
      <c r="B154" s="44" t="s">
        <v>30</v>
      </c>
      <c r="C154" s="35"/>
      <c r="D154" s="12"/>
      <c r="E154" s="11">
        <f t="shared" si="131"/>
        <v>0</v>
      </c>
      <c r="F154" s="45"/>
      <c r="G154" s="13" t="e">
        <f t="shared" si="132"/>
        <v>#DIV/0!</v>
      </c>
      <c r="H154" s="38"/>
      <c r="I154" s="38"/>
      <c r="J154" s="35">
        <f t="shared" si="133"/>
        <v>0</v>
      </c>
      <c r="K154" s="50">
        <f t="shared" si="134"/>
        <v>0</v>
      </c>
      <c r="L154" s="46" t="e">
        <f t="shared" si="135"/>
        <v>#DIV/0!</v>
      </c>
      <c r="M154" s="48"/>
      <c r="N154" s="47">
        <v>1476000</v>
      </c>
      <c r="R154" s="76">
        <f t="shared" si="56"/>
        <v>0</v>
      </c>
    </row>
    <row r="155" spans="1:18" ht="16">
      <c r="A155" s="33">
        <v>46067</v>
      </c>
      <c r="B155" s="44" t="s">
        <v>30</v>
      </c>
      <c r="C155" s="35"/>
      <c r="D155" s="35"/>
      <c r="E155" s="11">
        <f t="shared" si="131"/>
        <v>0</v>
      </c>
      <c r="F155" s="45"/>
      <c r="G155" s="13" t="e">
        <f t="shared" si="132"/>
        <v>#DIV/0!</v>
      </c>
      <c r="H155" s="35"/>
      <c r="I155" s="38"/>
      <c r="J155" s="35">
        <f t="shared" si="133"/>
        <v>0</v>
      </c>
      <c r="K155" s="50">
        <f t="shared" si="134"/>
        <v>0</v>
      </c>
      <c r="L155" s="46" t="e">
        <f t="shared" si="135"/>
        <v>#DIV/0!</v>
      </c>
      <c r="M155" s="48"/>
      <c r="N155" s="47">
        <v>1495000</v>
      </c>
      <c r="R155" s="76">
        <f t="shared" si="56"/>
        <v>0</v>
      </c>
    </row>
    <row r="156" spans="1:18" ht="16">
      <c r="A156" s="33">
        <v>46078</v>
      </c>
      <c r="B156" s="44" t="s">
        <v>30</v>
      </c>
      <c r="C156" s="35"/>
      <c r="D156" s="35"/>
      <c r="E156" s="11">
        <f t="shared" si="131"/>
        <v>0</v>
      </c>
      <c r="F156" s="45"/>
      <c r="G156" s="13" t="e">
        <f t="shared" si="132"/>
        <v>#DIV/0!</v>
      </c>
      <c r="H156" s="35"/>
      <c r="I156" s="38"/>
      <c r="J156" s="35">
        <f t="shared" si="133"/>
        <v>0</v>
      </c>
      <c r="K156" s="50">
        <f t="shared" si="134"/>
        <v>0</v>
      </c>
      <c r="L156" s="46" t="e">
        <f t="shared" si="135"/>
        <v>#DIV/0!</v>
      </c>
      <c r="M156" s="48"/>
      <c r="N156" s="47">
        <v>1463000</v>
      </c>
      <c r="R156" s="76">
        <f t="shared" si="56"/>
        <v>0</v>
      </c>
    </row>
    <row r="157" spans="1:18" ht="16">
      <c r="A157" s="33"/>
      <c r="B157" s="44" t="s">
        <v>30</v>
      </c>
      <c r="C157" s="35"/>
      <c r="D157" s="35"/>
      <c r="E157" s="11">
        <f t="shared" si="131"/>
        <v>0</v>
      </c>
      <c r="F157" s="45"/>
      <c r="G157" s="13" t="e">
        <f t="shared" si="132"/>
        <v>#DIV/0!</v>
      </c>
      <c r="H157" s="35"/>
      <c r="I157" s="38"/>
      <c r="J157" s="35">
        <f t="shared" si="133"/>
        <v>0</v>
      </c>
      <c r="K157" s="50">
        <f t="shared" si="134"/>
        <v>0</v>
      </c>
      <c r="L157" s="46" t="e">
        <f t="shared" si="135"/>
        <v>#DIV/0!</v>
      </c>
      <c r="M157" s="48"/>
      <c r="N157" s="47">
        <f t="shared" ref="N157:N159" si="136">F157*M157</f>
        <v>0</v>
      </c>
      <c r="R157" s="76">
        <f t="shared" si="56"/>
        <v>0</v>
      </c>
    </row>
    <row r="158" spans="1:18" ht="16">
      <c r="A158" s="33"/>
      <c r="B158" s="44" t="s">
        <v>30</v>
      </c>
      <c r="C158" s="35"/>
      <c r="D158" s="35"/>
      <c r="E158" s="11">
        <f t="shared" si="131"/>
        <v>0</v>
      </c>
      <c r="F158" s="45"/>
      <c r="G158" s="13" t="e">
        <f t="shared" si="132"/>
        <v>#DIV/0!</v>
      </c>
      <c r="H158" s="35"/>
      <c r="I158" s="38"/>
      <c r="J158" s="35">
        <f t="shared" si="133"/>
        <v>0</v>
      </c>
      <c r="K158" s="50">
        <f t="shared" si="134"/>
        <v>0</v>
      </c>
      <c r="L158" s="46" t="e">
        <f t="shared" si="135"/>
        <v>#DIV/0!</v>
      </c>
      <c r="M158" s="48"/>
      <c r="N158" s="47">
        <f t="shared" si="136"/>
        <v>0</v>
      </c>
      <c r="R158" s="76">
        <f t="shared" si="56"/>
        <v>0</v>
      </c>
    </row>
    <row r="159" spans="1:18" ht="16">
      <c r="A159" s="33"/>
      <c r="B159" s="44" t="s">
        <v>30</v>
      </c>
      <c r="C159" s="35"/>
      <c r="D159" s="35"/>
      <c r="E159" s="11">
        <f t="shared" si="131"/>
        <v>0</v>
      </c>
      <c r="F159" s="45"/>
      <c r="G159" s="13" t="e">
        <f t="shared" si="132"/>
        <v>#DIV/0!</v>
      </c>
      <c r="H159" s="35"/>
      <c r="I159" s="38"/>
      <c r="J159" s="35">
        <f t="shared" si="133"/>
        <v>0</v>
      </c>
      <c r="K159" s="50">
        <f t="shared" si="134"/>
        <v>0</v>
      </c>
      <c r="L159" s="73" t="e">
        <f t="shared" si="135"/>
        <v>#DIV/0!</v>
      </c>
      <c r="M159" s="48"/>
      <c r="N159" s="47">
        <f t="shared" si="136"/>
        <v>0</v>
      </c>
      <c r="R159" s="76">
        <f t="shared" si="56"/>
        <v>0</v>
      </c>
    </row>
    <row r="160" spans="1:18" ht="16">
      <c r="A160" s="133"/>
      <c r="B160" s="44" t="s">
        <v>30</v>
      </c>
      <c r="C160" s="134"/>
      <c r="D160" s="134"/>
      <c r="E160" s="24">
        <f t="shared" si="131"/>
        <v>0</v>
      </c>
      <c r="F160" s="37"/>
      <c r="G160" s="54" t="e">
        <f t="shared" si="132"/>
        <v>#DIV/0!</v>
      </c>
      <c r="H160" s="134"/>
      <c r="I160" s="135"/>
      <c r="J160" s="134">
        <f t="shared" si="133"/>
        <v>0</v>
      </c>
      <c r="K160" s="50">
        <f t="shared" si="134"/>
        <v>0</v>
      </c>
      <c r="L160" s="136" t="e">
        <f t="shared" si="135"/>
        <v>#DIV/0!</v>
      </c>
      <c r="M160" s="137"/>
      <c r="N160" s="47">
        <f>M160*K160</f>
        <v>0</v>
      </c>
      <c r="R160" s="76">
        <f t="shared" si="56"/>
        <v>0</v>
      </c>
    </row>
    <row r="161" spans="1:18" ht="16">
      <c r="A161" s="59"/>
      <c r="B161" s="60"/>
      <c r="C161" s="59"/>
      <c r="D161" s="59" t="s">
        <v>19</v>
      </c>
      <c r="E161" s="59">
        <f t="shared" ref="E161:F161" si="137">SUM(E153:E160)</f>
        <v>0</v>
      </c>
      <c r="F161" s="59">
        <f t="shared" si="137"/>
        <v>0</v>
      </c>
      <c r="G161" s="61" t="e">
        <f>AVERAGE(G153:G160)</f>
        <v>#DIV/0!</v>
      </c>
      <c r="H161" s="59"/>
      <c r="I161" s="62"/>
      <c r="J161" s="59">
        <f t="shared" ref="J161:K161" si="138">SUM(J153:J160)</f>
        <v>0</v>
      </c>
      <c r="K161" s="59">
        <f t="shared" si="138"/>
        <v>0</v>
      </c>
      <c r="L161" s="61" t="e">
        <f>AVERAGE(L153:L160)</f>
        <v>#DIV/0!</v>
      </c>
      <c r="M161" s="64"/>
      <c r="N161" s="65">
        <f>SUM(N153:N160)</f>
        <v>5869000</v>
      </c>
      <c r="R161" s="76">
        <f t="shared" si="56"/>
        <v>0</v>
      </c>
    </row>
    <row r="162" spans="1:18" ht="16">
      <c r="A162" s="138">
        <v>46054</v>
      </c>
      <c r="B162" s="90" t="s">
        <v>44</v>
      </c>
      <c r="C162" s="83"/>
      <c r="D162" s="12"/>
      <c r="E162" s="11">
        <f t="shared" ref="E162:E169" si="139">D162-C162</f>
        <v>0</v>
      </c>
      <c r="F162" s="37"/>
      <c r="G162" s="13" t="e">
        <f t="shared" ref="G162:G169" si="140">(F162/E162)*100</f>
        <v>#DIV/0!</v>
      </c>
      <c r="H162" s="125"/>
      <c r="I162" s="126"/>
      <c r="J162" s="39">
        <f t="shared" ref="J162:J169" si="141">I162-H162</f>
        <v>0</v>
      </c>
      <c r="K162" s="50">
        <f t="shared" ref="K162:K169" si="142">F162</f>
        <v>0</v>
      </c>
      <c r="L162" s="67" t="e">
        <f t="shared" ref="L162:L169" si="143">(K162/J162)*100</f>
        <v>#DIV/0!</v>
      </c>
      <c r="M162" s="68"/>
      <c r="N162" s="121">
        <v>1272000</v>
      </c>
    </row>
    <row r="163" spans="1:18" ht="16">
      <c r="A163" s="33">
        <v>46058</v>
      </c>
      <c r="B163" s="90" t="s">
        <v>44</v>
      </c>
      <c r="C163" s="35"/>
      <c r="D163" s="12"/>
      <c r="E163" s="11">
        <f t="shared" si="139"/>
        <v>0</v>
      </c>
      <c r="F163" s="45"/>
      <c r="G163" s="13" t="e">
        <f t="shared" si="140"/>
        <v>#DIV/0!</v>
      </c>
      <c r="H163" s="38"/>
      <c r="I163" s="38"/>
      <c r="J163" s="35">
        <f t="shared" si="141"/>
        <v>0</v>
      </c>
      <c r="K163" s="50">
        <f t="shared" si="142"/>
        <v>0</v>
      </c>
      <c r="L163" s="46" t="e">
        <f t="shared" si="143"/>
        <v>#DIV/0!</v>
      </c>
      <c r="M163" s="68"/>
      <c r="N163" s="121">
        <v>1272000</v>
      </c>
    </row>
    <row r="164" spans="1:18" ht="16">
      <c r="A164" s="33">
        <v>46063</v>
      </c>
      <c r="B164" s="90" t="s">
        <v>44</v>
      </c>
      <c r="C164" s="35"/>
      <c r="D164" s="35"/>
      <c r="E164" s="11">
        <f t="shared" si="139"/>
        <v>0</v>
      </c>
      <c r="F164" s="45"/>
      <c r="G164" s="13" t="e">
        <f t="shared" si="140"/>
        <v>#DIV/0!</v>
      </c>
      <c r="H164" s="35"/>
      <c r="I164" s="38"/>
      <c r="J164" s="35">
        <f t="shared" si="141"/>
        <v>0</v>
      </c>
      <c r="K164" s="50">
        <f t="shared" si="142"/>
        <v>0</v>
      </c>
      <c r="L164" s="46" t="e">
        <f t="shared" si="143"/>
        <v>#DIV/0!</v>
      </c>
      <c r="M164" s="68"/>
      <c r="N164" s="121">
        <v>1292000</v>
      </c>
    </row>
    <row r="165" spans="1:18" ht="16">
      <c r="A165" s="33">
        <v>46077</v>
      </c>
      <c r="B165" s="90" t="s">
        <v>44</v>
      </c>
      <c r="C165" s="35"/>
      <c r="D165" s="35"/>
      <c r="E165" s="11">
        <f t="shared" si="139"/>
        <v>0</v>
      </c>
      <c r="F165" s="45"/>
      <c r="G165" s="13" t="e">
        <f t="shared" si="140"/>
        <v>#DIV/0!</v>
      </c>
      <c r="H165" s="35"/>
      <c r="I165" s="38"/>
      <c r="J165" s="35">
        <f t="shared" si="141"/>
        <v>0</v>
      </c>
      <c r="K165" s="50">
        <f t="shared" si="142"/>
        <v>0</v>
      </c>
      <c r="L165" s="46" t="e">
        <f t="shared" si="143"/>
        <v>#DIV/0!</v>
      </c>
      <c r="M165" s="68"/>
      <c r="N165" s="121">
        <v>1296000</v>
      </c>
    </row>
    <row r="166" spans="1:18" ht="16">
      <c r="A166" s="33">
        <v>46081</v>
      </c>
      <c r="B166" s="90" t="s">
        <v>44</v>
      </c>
      <c r="C166" s="35"/>
      <c r="D166" s="35"/>
      <c r="E166" s="11">
        <f t="shared" si="139"/>
        <v>0</v>
      </c>
      <c r="F166" s="45"/>
      <c r="G166" s="13" t="e">
        <f t="shared" si="140"/>
        <v>#DIV/0!</v>
      </c>
      <c r="H166" s="35"/>
      <c r="I166" s="38"/>
      <c r="J166" s="35">
        <f t="shared" si="141"/>
        <v>0</v>
      </c>
      <c r="K166" s="50">
        <f t="shared" si="142"/>
        <v>0</v>
      </c>
      <c r="L166" s="46" t="e">
        <f t="shared" si="143"/>
        <v>#DIV/0!</v>
      </c>
      <c r="M166" s="68"/>
      <c r="N166" s="121">
        <v>1349000</v>
      </c>
    </row>
    <row r="167" spans="1:18" ht="16">
      <c r="A167" s="33"/>
      <c r="B167" s="90" t="s">
        <v>44</v>
      </c>
      <c r="C167" s="35"/>
      <c r="D167" s="35"/>
      <c r="E167" s="11">
        <f t="shared" si="139"/>
        <v>0</v>
      </c>
      <c r="F167" s="45"/>
      <c r="G167" s="13" t="e">
        <f t="shared" si="140"/>
        <v>#DIV/0!</v>
      </c>
      <c r="H167" s="35"/>
      <c r="I167" s="38"/>
      <c r="J167" s="35">
        <f t="shared" si="141"/>
        <v>0</v>
      </c>
      <c r="K167" s="50">
        <f t="shared" si="142"/>
        <v>0</v>
      </c>
      <c r="L167" s="46" t="e">
        <f t="shared" si="143"/>
        <v>#DIV/0!</v>
      </c>
      <c r="M167" s="68"/>
      <c r="N167" s="121">
        <f t="shared" ref="N167:N169" si="144">M167*K167</f>
        <v>0</v>
      </c>
    </row>
    <row r="168" spans="1:18" ht="16">
      <c r="A168" s="33"/>
      <c r="B168" s="90" t="s">
        <v>44</v>
      </c>
      <c r="C168" s="35"/>
      <c r="D168" s="35"/>
      <c r="E168" s="11">
        <f t="shared" si="139"/>
        <v>0</v>
      </c>
      <c r="F168" s="45"/>
      <c r="G168" s="13" t="e">
        <f t="shared" si="140"/>
        <v>#DIV/0!</v>
      </c>
      <c r="H168" s="35"/>
      <c r="I168" s="38"/>
      <c r="J168" s="35">
        <f t="shared" si="141"/>
        <v>0</v>
      </c>
      <c r="K168" s="50">
        <f t="shared" si="142"/>
        <v>0</v>
      </c>
      <c r="L168" s="46" t="e">
        <f t="shared" si="143"/>
        <v>#DIV/0!</v>
      </c>
      <c r="M168" s="48"/>
      <c r="N168" s="121">
        <f t="shared" si="144"/>
        <v>0</v>
      </c>
    </row>
    <row r="169" spans="1:18" ht="16">
      <c r="A169" s="88"/>
      <c r="B169" s="90" t="s">
        <v>44</v>
      </c>
      <c r="C169" s="53"/>
      <c r="D169" s="53"/>
      <c r="E169" s="24">
        <f t="shared" si="139"/>
        <v>0</v>
      </c>
      <c r="F169" s="45"/>
      <c r="G169" s="54" t="e">
        <f t="shared" si="140"/>
        <v>#DIV/0!</v>
      </c>
      <c r="H169" s="53"/>
      <c r="I169" s="55"/>
      <c r="J169" s="53">
        <f t="shared" si="141"/>
        <v>0</v>
      </c>
      <c r="K169" s="50">
        <f t="shared" si="142"/>
        <v>0</v>
      </c>
      <c r="L169" s="73" t="e">
        <f t="shared" si="143"/>
        <v>#DIV/0!</v>
      </c>
      <c r="M169" s="56"/>
      <c r="N169" s="47">
        <f t="shared" si="144"/>
        <v>0</v>
      </c>
    </row>
    <row r="170" spans="1:18" ht="16">
      <c r="A170" s="59"/>
      <c r="B170" s="60"/>
      <c r="C170" s="59"/>
      <c r="D170" s="59" t="s">
        <v>19</v>
      </c>
      <c r="E170" s="59">
        <f t="shared" ref="E170:F170" si="145">SUM(E162:E169)</f>
        <v>0</v>
      </c>
      <c r="F170" s="59">
        <f t="shared" si="145"/>
        <v>0</v>
      </c>
      <c r="G170" s="61" t="e">
        <f>AVERAGE(G162:G169)</f>
        <v>#DIV/0!</v>
      </c>
      <c r="H170" s="59"/>
      <c r="I170" s="62"/>
      <c r="J170" s="59">
        <f t="shared" ref="J170:K170" si="146">SUM(J162:J169)</f>
        <v>0</v>
      </c>
      <c r="K170" s="59">
        <f t="shared" si="146"/>
        <v>0</v>
      </c>
      <c r="L170" s="61" t="e">
        <f>AVERAGE(L162:L169)</f>
        <v>#DIV/0!</v>
      </c>
      <c r="M170" s="64"/>
      <c r="N170" s="65">
        <f>SUM(N162:N169)</f>
        <v>6481000</v>
      </c>
    </row>
    <row r="171" spans="1:18" ht="16">
      <c r="A171" s="139">
        <v>46055</v>
      </c>
      <c r="B171" s="140" t="s">
        <v>32</v>
      </c>
      <c r="C171" s="83"/>
      <c r="D171" s="12"/>
      <c r="E171" s="36">
        <f t="shared" ref="E171:E178" si="147">D171-C171</f>
        <v>0</v>
      </c>
      <c r="F171" s="37"/>
      <c r="G171" s="13" t="e">
        <f t="shared" ref="G171:G178" si="148">(F171/E171)*100</f>
        <v>#DIV/0!</v>
      </c>
      <c r="H171" s="125"/>
      <c r="I171" s="126"/>
      <c r="J171" s="39">
        <f t="shared" ref="J171:J178" si="149">I171-H171</f>
        <v>0</v>
      </c>
      <c r="K171" s="50">
        <f t="shared" ref="K171:K175" si="150">F171</f>
        <v>0</v>
      </c>
      <c r="L171" s="136" t="e">
        <f t="shared" ref="L171:L178" si="151">(K171/J171)*100</f>
        <v>#DIV/0!</v>
      </c>
      <c r="M171" s="68"/>
      <c r="N171" s="121">
        <v>1545000</v>
      </c>
    </row>
    <row r="172" spans="1:18" ht="16">
      <c r="A172" s="138">
        <v>46063</v>
      </c>
      <c r="B172" s="140" t="s">
        <v>32</v>
      </c>
      <c r="C172" s="83"/>
      <c r="D172" s="12"/>
      <c r="E172" s="36">
        <f t="shared" si="147"/>
        <v>0</v>
      </c>
      <c r="F172" s="45"/>
      <c r="G172" s="13" t="e">
        <f t="shared" si="148"/>
        <v>#DIV/0!</v>
      </c>
      <c r="H172" s="38"/>
      <c r="I172" s="38"/>
      <c r="J172" s="35">
        <f t="shared" si="149"/>
        <v>0</v>
      </c>
      <c r="K172" s="50">
        <f t="shared" si="150"/>
        <v>0</v>
      </c>
      <c r="L172" s="136" t="e">
        <f t="shared" si="151"/>
        <v>#DIV/0!</v>
      </c>
      <c r="M172" s="116"/>
      <c r="N172" s="121">
        <v>1587000</v>
      </c>
    </row>
    <row r="173" spans="1:18" ht="16">
      <c r="A173" s="138">
        <v>46077</v>
      </c>
      <c r="B173" s="140" t="s">
        <v>32</v>
      </c>
      <c r="C173" s="83"/>
      <c r="D173" s="83"/>
      <c r="E173" s="11">
        <f t="shared" si="147"/>
        <v>0</v>
      </c>
      <c r="F173" s="141"/>
      <c r="G173" s="13" t="e">
        <f t="shared" si="148"/>
        <v>#DIV/0!</v>
      </c>
      <c r="H173" s="35"/>
      <c r="I173" s="38"/>
      <c r="J173" s="35">
        <f t="shared" si="149"/>
        <v>0</v>
      </c>
      <c r="K173" s="50">
        <f t="shared" si="150"/>
        <v>0</v>
      </c>
      <c r="L173" s="136" t="e">
        <f t="shared" si="151"/>
        <v>#DIV/0!</v>
      </c>
      <c r="M173" s="116"/>
      <c r="N173" s="121">
        <v>1296000</v>
      </c>
    </row>
    <row r="174" spans="1:18" ht="16">
      <c r="A174" s="138"/>
      <c r="B174" s="140" t="s">
        <v>32</v>
      </c>
      <c r="C174" s="83"/>
      <c r="D174" s="83"/>
      <c r="E174" s="11">
        <f t="shared" si="147"/>
        <v>0</v>
      </c>
      <c r="F174" s="141"/>
      <c r="G174" s="13" t="e">
        <f t="shared" si="148"/>
        <v>#DIV/0!</v>
      </c>
      <c r="H174" s="35"/>
      <c r="I174" s="38"/>
      <c r="J174" s="35">
        <f t="shared" si="149"/>
        <v>0</v>
      </c>
      <c r="K174" s="50">
        <f t="shared" si="150"/>
        <v>0</v>
      </c>
      <c r="L174" s="136" t="e">
        <f t="shared" si="151"/>
        <v>#DIV/0!</v>
      </c>
      <c r="M174" s="116"/>
      <c r="N174" s="121">
        <f t="shared" ref="N174:N178" si="152">M174*K174</f>
        <v>0</v>
      </c>
    </row>
    <row r="175" spans="1:18" ht="16">
      <c r="A175" s="138"/>
      <c r="B175" s="140" t="s">
        <v>32</v>
      </c>
      <c r="C175" s="83"/>
      <c r="D175" s="83"/>
      <c r="E175" s="11">
        <f t="shared" si="147"/>
        <v>0</v>
      </c>
      <c r="F175" s="141"/>
      <c r="G175" s="13" t="e">
        <f t="shared" si="148"/>
        <v>#DIV/0!</v>
      </c>
      <c r="H175" s="35"/>
      <c r="I175" s="38"/>
      <c r="J175" s="35">
        <f t="shared" si="149"/>
        <v>0</v>
      </c>
      <c r="K175" s="50">
        <f t="shared" si="150"/>
        <v>0</v>
      </c>
      <c r="L175" s="136" t="e">
        <f t="shared" si="151"/>
        <v>#DIV/0!</v>
      </c>
      <c r="M175" s="116"/>
      <c r="N175" s="121">
        <f t="shared" si="152"/>
        <v>0</v>
      </c>
    </row>
    <row r="176" spans="1:18" ht="16">
      <c r="A176" s="138"/>
      <c r="B176" s="140" t="s">
        <v>32</v>
      </c>
      <c r="C176" s="83"/>
      <c r="D176" s="83"/>
      <c r="E176" s="11">
        <f t="shared" si="147"/>
        <v>0</v>
      </c>
      <c r="F176" s="141"/>
      <c r="G176" s="13" t="e">
        <f t="shared" si="148"/>
        <v>#DIV/0!</v>
      </c>
      <c r="H176" s="35"/>
      <c r="I176" s="38"/>
      <c r="J176" s="35">
        <f t="shared" si="149"/>
        <v>0</v>
      </c>
      <c r="K176" s="50"/>
      <c r="L176" s="136" t="e">
        <f t="shared" si="151"/>
        <v>#DIV/0!</v>
      </c>
      <c r="M176" s="116"/>
      <c r="N176" s="121">
        <f t="shared" si="152"/>
        <v>0</v>
      </c>
    </row>
    <row r="177" spans="1:18" ht="16">
      <c r="A177" s="138"/>
      <c r="B177" s="140" t="s">
        <v>32</v>
      </c>
      <c r="C177" s="83"/>
      <c r="D177" s="83"/>
      <c r="E177" s="11">
        <f t="shared" si="147"/>
        <v>0</v>
      </c>
      <c r="F177" s="141"/>
      <c r="G177" s="13" t="e">
        <f t="shared" si="148"/>
        <v>#DIV/0!</v>
      </c>
      <c r="H177" s="83"/>
      <c r="I177" s="125"/>
      <c r="J177" s="83">
        <f t="shared" si="149"/>
        <v>0</v>
      </c>
      <c r="K177" s="50"/>
      <c r="L177" s="136" t="e">
        <f t="shared" si="151"/>
        <v>#DIV/0!</v>
      </c>
      <c r="M177" s="116"/>
      <c r="N177" s="121">
        <f t="shared" si="152"/>
        <v>0</v>
      </c>
    </row>
    <row r="178" spans="1:18" ht="16">
      <c r="A178" s="142"/>
      <c r="B178" s="140" t="s">
        <v>32</v>
      </c>
      <c r="C178" s="134"/>
      <c r="D178" s="134"/>
      <c r="E178" s="24">
        <f t="shared" si="147"/>
        <v>0</v>
      </c>
      <c r="F178" s="143"/>
      <c r="G178" s="54" t="e">
        <f t="shared" si="148"/>
        <v>#DIV/0!</v>
      </c>
      <c r="H178" s="134"/>
      <c r="I178" s="135"/>
      <c r="J178" s="134">
        <f t="shared" si="149"/>
        <v>0</v>
      </c>
      <c r="K178" s="50"/>
      <c r="L178" s="136" t="e">
        <f t="shared" si="151"/>
        <v>#DIV/0!</v>
      </c>
      <c r="M178" s="137"/>
      <c r="N178" s="47">
        <f t="shared" si="152"/>
        <v>0</v>
      </c>
    </row>
    <row r="179" spans="1:18" ht="16">
      <c r="A179" s="142"/>
      <c r="B179" s="60"/>
      <c r="C179" s="59"/>
      <c r="D179" s="59" t="s">
        <v>19</v>
      </c>
      <c r="E179" s="59">
        <f t="shared" ref="E179:F179" si="153">SUM(E171:E178)</f>
        <v>0</v>
      </c>
      <c r="F179" s="59">
        <f t="shared" si="153"/>
        <v>0</v>
      </c>
      <c r="G179" s="61" t="e">
        <f>AVERAGE(G171:G178)</f>
        <v>#DIV/0!</v>
      </c>
      <c r="H179" s="59"/>
      <c r="I179" s="62"/>
      <c r="J179" s="59">
        <f t="shared" ref="J179:K179" si="154">SUM(J171:J178)</f>
        <v>0</v>
      </c>
      <c r="K179" s="59">
        <f t="shared" si="154"/>
        <v>0</v>
      </c>
      <c r="L179" s="61" t="e">
        <f>AVERAGE(L171:L178)</f>
        <v>#DIV/0!</v>
      </c>
      <c r="M179" s="64"/>
      <c r="N179" s="65">
        <f>SUM(N171:N178)</f>
        <v>4428000</v>
      </c>
    </row>
    <row r="180" spans="1:18" ht="16">
      <c r="A180" s="139">
        <v>46062</v>
      </c>
      <c r="B180" s="144" t="s">
        <v>33</v>
      </c>
      <c r="C180" s="83"/>
      <c r="D180" s="145"/>
      <c r="E180" s="36">
        <f t="shared" ref="E180:E186" si="155">D180-C180</f>
        <v>0</v>
      </c>
      <c r="F180" s="37"/>
      <c r="G180" s="114" t="e">
        <f t="shared" ref="G180:G186" si="156">(F180/E180)*100</f>
        <v>#DIV/0!</v>
      </c>
      <c r="H180" s="125"/>
      <c r="I180" s="126"/>
      <c r="J180" s="39">
        <f t="shared" ref="J180:J186" si="157">I180-H180</f>
        <v>0</v>
      </c>
      <c r="K180" s="50">
        <f t="shared" ref="K180:K186" si="158">F180</f>
        <v>0</v>
      </c>
      <c r="L180" s="146" t="e">
        <f t="shared" ref="L180:L186" si="159">(K180/J180)*100</f>
        <v>#DIV/0!</v>
      </c>
      <c r="M180" s="68"/>
      <c r="N180" s="121">
        <v>1014000</v>
      </c>
      <c r="R180" s="76">
        <f t="shared" ref="R180:R186" si="160">Q180</f>
        <v>0</v>
      </c>
    </row>
    <row r="181" spans="1:18" ht="16">
      <c r="A181" s="138">
        <v>46066</v>
      </c>
      <c r="B181" s="140" t="s">
        <v>33</v>
      </c>
      <c r="C181" s="83"/>
      <c r="D181" s="12"/>
      <c r="E181" s="36">
        <f t="shared" si="155"/>
        <v>0</v>
      </c>
      <c r="F181" s="45"/>
      <c r="G181" s="13" t="e">
        <f t="shared" si="156"/>
        <v>#DIV/0!</v>
      </c>
      <c r="H181" s="38"/>
      <c r="I181" s="38"/>
      <c r="J181" s="35">
        <f t="shared" si="157"/>
        <v>0</v>
      </c>
      <c r="K181" s="50">
        <f t="shared" si="158"/>
        <v>0</v>
      </c>
      <c r="L181" s="136" t="e">
        <f t="shared" si="159"/>
        <v>#DIV/0!</v>
      </c>
      <c r="M181" s="116"/>
      <c r="N181" s="121">
        <v>1034000</v>
      </c>
      <c r="R181" s="76">
        <f t="shared" si="160"/>
        <v>0</v>
      </c>
    </row>
    <row r="182" spans="1:18" ht="16">
      <c r="A182" s="138"/>
      <c r="B182" s="140" t="s">
        <v>33</v>
      </c>
      <c r="C182" s="83"/>
      <c r="D182" s="83"/>
      <c r="E182" s="11">
        <f t="shared" si="155"/>
        <v>0</v>
      </c>
      <c r="F182" s="141"/>
      <c r="G182" s="13" t="e">
        <f t="shared" si="156"/>
        <v>#DIV/0!</v>
      </c>
      <c r="H182" s="35"/>
      <c r="I182" s="38"/>
      <c r="J182" s="35">
        <f t="shared" si="157"/>
        <v>0</v>
      </c>
      <c r="K182" s="50">
        <f t="shared" si="158"/>
        <v>0</v>
      </c>
      <c r="L182" s="136" t="e">
        <f t="shared" si="159"/>
        <v>#DIV/0!</v>
      </c>
      <c r="M182" s="116"/>
      <c r="N182" s="121">
        <f t="shared" ref="N182:N186" si="161">M182*K182</f>
        <v>0</v>
      </c>
      <c r="R182" s="76">
        <f t="shared" si="160"/>
        <v>0</v>
      </c>
    </row>
    <row r="183" spans="1:18" ht="16">
      <c r="A183" s="138"/>
      <c r="B183" s="140" t="s">
        <v>33</v>
      </c>
      <c r="C183" s="83"/>
      <c r="D183" s="83"/>
      <c r="E183" s="11">
        <f t="shared" si="155"/>
        <v>0</v>
      </c>
      <c r="F183" s="141"/>
      <c r="G183" s="13" t="e">
        <f t="shared" si="156"/>
        <v>#DIV/0!</v>
      </c>
      <c r="H183" s="35"/>
      <c r="I183" s="38"/>
      <c r="J183" s="35">
        <f t="shared" si="157"/>
        <v>0</v>
      </c>
      <c r="K183" s="50">
        <f t="shared" si="158"/>
        <v>0</v>
      </c>
      <c r="L183" s="136" t="e">
        <f t="shared" si="159"/>
        <v>#DIV/0!</v>
      </c>
      <c r="M183" s="116"/>
      <c r="N183" s="121">
        <f t="shared" si="161"/>
        <v>0</v>
      </c>
      <c r="R183" s="76">
        <f t="shared" si="160"/>
        <v>0</v>
      </c>
    </row>
    <row r="184" spans="1:18" ht="16">
      <c r="A184" s="138"/>
      <c r="B184" s="140" t="s">
        <v>33</v>
      </c>
      <c r="C184" s="83"/>
      <c r="D184" s="83"/>
      <c r="E184" s="11">
        <f t="shared" si="155"/>
        <v>0</v>
      </c>
      <c r="F184" s="141"/>
      <c r="G184" s="13" t="e">
        <f t="shared" si="156"/>
        <v>#DIV/0!</v>
      </c>
      <c r="H184" s="35"/>
      <c r="I184" s="38"/>
      <c r="J184" s="35">
        <f t="shared" si="157"/>
        <v>0</v>
      </c>
      <c r="K184" s="50">
        <f t="shared" si="158"/>
        <v>0</v>
      </c>
      <c r="L184" s="136" t="e">
        <f t="shared" si="159"/>
        <v>#DIV/0!</v>
      </c>
      <c r="M184" s="116"/>
      <c r="N184" s="121">
        <f t="shared" si="161"/>
        <v>0</v>
      </c>
      <c r="R184" s="76">
        <f t="shared" si="160"/>
        <v>0</v>
      </c>
    </row>
    <row r="185" spans="1:18" ht="16">
      <c r="A185" s="138"/>
      <c r="B185" s="140" t="s">
        <v>33</v>
      </c>
      <c r="C185" s="83"/>
      <c r="D185" s="83"/>
      <c r="E185" s="11">
        <f t="shared" si="155"/>
        <v>0</v>
      </c>
      <c r="F185" s="141"/>
      <c r="G185" s="13" t="e">
        <f t="shared" si="156"/>
        <v>#DIV/0!</v>
      </c>
      <c r="H185" s="35"/>
      <c r="I185" s="38"/>
      <c r="J185" s="35">
        <f t="shared" si="157"/>
        <v>0</v>
      </c>
      <c r="K185" s="50">
        <f t="shared" si="158"/>
        <v>0</v>
      </c>
      <c r="L185" s="136" t="e">
        <f t="shared" si="159"/>
        <v>#DIV/0!</v>
      </c>
      <c r="M185" s="116"/>
      <c r="N185" s="121">
        <f t="shared" si="161"/>
        <v>0</v>
      </c>
      <c r="R185" s="76">
        <f t="shared" si="160"/>
        <v>0</v>
      </c>
    </row>
    <row r="186" spans="1:18" ht="16">
      <c r="A186" s="138"/>
      <c r="B186" s="140" t="s">
        <v>33</v>
      </c>
      <c r="C186" s="83"/>
      <c r="D186" s="83"/>
      <c r="E186" s="11">
        <f t="shared" si="155"/>
        <v>0</v>
      </c>
      <c r="F186" s="141"/>
      <c r="G186" s="13" t="e">
        <f t="shared" si="156"/>
        <v>#DIV/0!</v>
      </c>
      <c r="H186" s="83"/>
      <c r="I186" s="125"/>
      <c r="J186" s="83">
        <f t="shared" si="157"/>
        <v>0</v>
      </c>
      <c r="K186" s="50">
        <f t="shared" si="158"/>
        <v>0</v>
      </c>
      <c r="L186" s="136" t="e">
        <f t="shared" si="159"/>
        <v>#DIV/0!</v>
      </c>
      <c r="M186" s="116"/>
      <c r="N186" s="121">
        <f t="shared" si="161"/>
        <v>0</v>
      </c>
      <c r="R186" s="76">
        <f t="shared" si="160"/>
        <v>0</v>
      </c>
    </row>
    <row r="187" spans="1:18" ht="16">
      <c r="A187" s="138"/>
      <c r="B187" s="60"/>
      <c r="C187" s="59"/>
      <c r="D187" s="59" t="s">
        <v>19</v>
      </c>
      <c r="E187" s="59">
        <f t="shared" ref="E187:F187" si="162">SUM(E174:E186)</f>
        <v>0</v>
      </c>
      <c r="F187" s="59">
        <f t="shared" si="162"/>
        <v>0</v>
      </c>
      <c r="G187" s="61" t="e">
        <f>AVERAGE(G174:G186)</f>
        <v>#DIV/0!</v>
      </c>
      <c r="H187" s="59"/>
      <c r="I187" s="62"/>
      <c r="J187" s="59">
        <f>SUM(J174:J186)</f>
        <v>0</v>
      </c>
      <c r="K187" s="59">
        <f>SUM(K180:K186)</f>
        <v>0</v>
      </c>
      <c r="L187" s="61" t="e">
        <f>AVERAGE(L174:L186)</f>
        <v>#DIV/0!</v>
      </c>
      <c r="M187" s="64"/>
      <c r="N187" s="132">
        <f>SUM(N180:N186)</f>
        <v>2048000</v>
      </c>
    </row>
    <row r="188" spans="1:18" ht="16">
      <c r="A188" s="138">
        <v>46063</v>
      </c>
      <c r="B188" s="140" t="s">
        <v>34</v>
      </c>
      <c r="C188" s="83"/>
      <c r="D188" s="145"/>
      <c r="E188" s="36">
        <f t="shared" ref="E188:E194" si="163">D188-C188</f>
        <v>0</v>
      </c>
      <c r="F188" s="37"/>
      <c r="G188" s="114" t="e">
        <f t="shared" ref="G188:G194" si="164">(F188/E188)*100</f>
        <v>#DIV/0!</v>
      </c>
      <c r="H188" s="125"/>
      <c r="I188" s="126"/>
      <c r="J188" s="39">
        <f t="shared" ref="J188:J194" si="165">I188-H188</f>
        <v>0</v>
      </c>
      <c r="K188" s="50">
        <f t="shared" ref="K188:K194" si="166">F188</f>
        <v>0</v>
      </c>
      <c r="L188" s="146" t="e">
        <f t="shared" ref="L188:L194" si="167">(K188/J188)*100</f>
        <v>#DIV/0!</v>
      </c>
      <c r="M188" s="68"/>
      <c r="N188" s="121">
        <v>1273000</v>
      </c>
    </row>
    <row r="189" spans="1:18" ht="16">
      <c r="A189" s="138"/>
      <c r="B189" s="140" t="s">
        <v>34</v>
      </c>
      <c r="C189" s="83"/>
      <c r="D189" s="12"/>
      <c r="E189" s="36">
        <f t="shared" si="163"/>
        <v>0</v>
      </c>
      <c r="F189" s="45"/>
      <c r="G189" s="13" t="e">
        <f t="shared" si="164"/>
        <v>#DIV/0!</v>
      </c>
      <c r="H189" s="38"/>
      <c r="I189" s="38"/>
      <c r="J189" s="35">
        <f t="shared" si="165"/>
        <v>0</v>
      </c>
      <c r="K189" s="50">
        <f t="shared" si="166"/>
        <v>0</v>
      </c>
      <c r="L189" s="136" t="e">
        <f t="shared" si="167"/>
        <v>#DIV/0!</v>
      </c>
      <c r="M189" s="116"/>
      <c r="N189" s="121">
        <f t="shared" ref="N189:N194" si="168">M189*K189</f>
        <v>0</v>
      </c>
    </row>
    <row r="190" spans="1:18" ht="16">
      <c r="A190" s="138"/>
      <c r="B190" s="140" t="s">
        <v>34</v>
      </c>
      <c r="C190" s="83"/>
      <c r="D190" s="83"/>
      <c r="E190" s="11">
        <f t="shared" si="163"/>
        <v>0</v>
      </c>
      <c r="F190" s="141"/>
      <c r="G190" s="13" t="e">
        <f t="shared" si="164"/>
        <v>#DIV/0!</v>
      </c>
      <c r="H190" s="35"/>
      <c r="I190" s="38"/>
      <c r="J190" s="35">
        <f t="shared" si="165"/>
        <v>0</v>
      </c>
      <c r="K190" s="50">
        <f t="shared" si="166"/>
        <v>0</v>
      </c>
      <c r="L190" s="136" t="e">
        <f t="shared" si="167"/>
        <v>#DIV/0!</v>
      </c>
      <c r="M190" s="116"/>
      <c r="N190" s="121">
        <f t="shared" si="168"/>
        <v>0</v>
      </c>
    </row>
    <row r="191" spans="1:18" ht="16">
      <c r="A191" s="138"/>
      <c r="B191" s="140" t="s">
        <v>34</v>
      </c>
      <c r="C191" s="83"/>
      <c r="D191" s="83"/>
      <c r="E191" s="11">
        <f t="shared" si="163"/>
        <v>0</v>
      </c>
      <c r="F191" s="141"/>
      <c r="G191" s="13" t="e">
        <f t="shared" si="164"/>
        <v>#DIV/0!</v>
      </c>
      <c r="H191" s="35"/>
      <c r="I191" s="38"/>
      <c r="J191" s="35">
        <f t="shared" si="165"/>
        <v>0</v>
      </c>
      <c r="K191" s="50">
        <f t="shared" si="166"/>
        <v>0</v>
      </c>
      <c r="L191" s="136" t="e">
        <f t="shared" si="167"/>
        <v>#DIV/0!</v>
      </c>
      <c r="M191" s="116"/>
      <c r="N191" s="121">
        <f t="shared" si="168"/>
        <v>0</v>
      </c>
    </row>
    <row r="192" spans="1:18" ht="16">
      <c r="A192" s="138"/>
      <c r="B192" s="140" t="s">
        <v>34</v>
      </c>
      <c r="C192" s="83"/>
      <c r="D192" s="83"/>
      <c r="E192" s="11">
        <f t="shared" si="163"/>
        <v>0</v>
      </c>
      <c r="F192" s="141"/>
      <c r="G192" s="13" t="e">
        <f t="shared" si="164"/>
        <v>#DIV/0!</v>
      </c>
      <c r="H192" s="35"/>
      <c r="I192" s="38"/>
      <c r="J192" s="35">
        <f t="shared" si="165"/>
        <v>0</v>
      </c>
      <c r="K192" s="50">
        <f t="shared" si="166"/>
        <v>0</v>
      </c>
      <c r="L192" s="136" t="e">
        <f t="shared" si="167"/>
        <v>#DIV/0!</v>
      </c>
      <c r="M192" s="116"/>
      <c r="N192" s="121">
        <f t="shared" si="168"/>
        <v>0</v>
      </c>
    </row>
    <row r="193" spans="1:18" ht="16">
      <c r="A193" s="138"/>
      <c r="B193" s="140" t="s">
        <v>34</v>
      </c>
      <c r="C193" s="83"/>
      <c r="D193" s="83"/>
      <c r="E193" s="11">
        <f t="shared" si="163"/>
        <v>0</v>
      </c>
      <c r="F193" s="141"/>
      <c r="G193" s="13" t="e">
        <f t="shared" si="164"/>
        <v>#DIV/0!</v>
      </c>
      <c r="H193" s="35"/>
      <c r="I193" s="38"/>
      <c r="J193" s="35">
        <f t="shared" si="165"/>
        <v>0</v>
      </c>
      <c r="K193" s="50">
        <f t="shared" si="166"/>
        <v>0</v>
      </c>
      <c r="L193" s="136" t="e">
        <f t="shared" si="167"/>
        <v>#DIV/0!</v>
      </c>
      <c r="M193" s="116"/>
      <c r="N193" s="121">
        <f t="shared" si="168"/>
        <v>0</v>
      </c>
    </row>
    <row r="194" spans="1:18" ht="16">
      <c r="A194" s="138"/>
      <c r="B194" s="140" t="s">
        <v>34</v>
      </c>
      <c r="C194" s="83"/>
      <c r="D194" s="83"/>
      <c r="E194" s="11">
        <f t="shared" si="163"/>
        <v>0</v>
      </c>
      <c r="F194" s="141"/>
      <c r="G194" s="13" t="e">
        <f t="shared" si="164"/>
        <v>#DIV/0!</v>
      </c>
      <c r="H194" s="83"/>
      <c r="I194" s="125"/>
      <c r="J194" s="83">
        <f t="shared" si="165"/>
        <v>0</v>
      </c>
      <c r="K194" s="50">
        <f t="shared" si="166"/>
        <v>0</v>
      </c>
      <c r="L194" s="136" t="e">
        <f t="shared" si="167"/>
        <v>#DIV/0!</v>
      </c>
      <c r="M194" s="116"/>
      <c r="N194" s="121">
        <f t="shared" si="168"/>
        <v>0</v>
      </c>
      <c r="R194" s="76">
        <f t="shared" ref="R194:R196" si="169">Q194</f>
        <v>0</v>
      </c>
    </row>
    <row r="195" spans="1:18" ht="16">
      <c r="A195" s="138"/>
      <c r="B195" s="60"/>
      <c r="C195" s="59"/>
      <c r="D195" s="59" t="s">
        <v>19</v>
      </c>
      <c r="E195" s="59">
        <f t="shared" ref="E195:F195" si="170">SUM(E180:E194)</f>
        <v>0</v>
      </c>
      <c r="F195" s="59">
        <f t="shared" si="170"/>
        <v>0</v>
      </c>
      <c r="G195" s="61" t="e">
        <f>AVERAGE(G180:G194)</f>
        <v>#DIV/0!</v>
      </c>
      <c r="H195" s="59"/>
      <c r="I195" s="62"/>
      <c r="J195" s="59">
        <f>SUM(J180:J194)</f>
        <v>0</v>
      </c>
      <c r="K195" s="59">
        <f>SUM(K188:K194)</f>
        <v>0</v>
      </c>
      <c r="L195" s="61" t="e">
        <f>AVERAGE(L180:L194)</f>
        <v>#DIV/0!</v>
      </c>
      <c r="M195" s="64"/>
      <c r="N195" s="132">
        <f>SUM(N188:N194)</f>
        <v>1273000</v>
      </c>
      <c r="Q195" s="76">
        <f>127500/2</f>
        <v>63750</v>
      </c>
      <c r="R195" s="76">
        <f t="shared" si="169"/>
        <v>63750</v>
      </c>
    </row>
    <row r="196" spans="1:18" ht="18">
      <c r="A196" s="138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8"/>
      <c r="N196" s="149">
        <f>N11+N19+N38+N48+N60+N70+N78+N86+N94+N101+N109+N117+N125+N134+N143+N152+N161+N170+N179+N187+N195+N29</f>
        <v>89042370</v>
      </c>
      <c r="O196" s="76">
        <v>89040800</v>
      </c>
      <c r="R196" s="76">
        <f t="shared" si="169"/>
        <v>0</v>
      </c>
    </row>
    <row r="197" spans="1:18" ht="14">
      <c r="A197" s="138"/>
      <c r="G197" s="150"/>
      <c r="L197" s="150"/>
      <c r="N197" s="151"/>
    </row>
    <row r="198" spans="1:18" ht="31.5" customHeight="1">
      <c r="A198" s="138"/>
      <c r="D198" s="152" t="s">
        <v>45</v>
      </c>
      <c r="E198" s="153"/>
      <c r="G198" s="150"/>
      <c r="L198" s="150"/>
      <c r="N198" s="151"/>
    </row>
    <row r="199" spans="1:18" ht="16">
      <c r="A199" s="138"/>
      <c r="B199" s="154" t="s">
        <v>2</v>
      </c>
      <c r="C199" s="148" t="s">
        <v>3</v>
      </c>
      <c r="D199" s="148" t="s">
        <v>4</v>
      </c>
      <c r="E199" s="148" t="s">
        <v>5</v>
      </c>
      <c r="F199" s="148" t="s">
        <v>6</v>
      </c>
      <c r="G199" s="155" t="s">
        <v>7</v>
      </c>
      <c r="H199" s="156" t="s">
        <v>8</v>
      </c>
      <c r="I199" s="157" t="s">
        <v>8</v>
      </c>
      <c r="J199" s="148" t="s">
        <v>5</v>
      </c>
      <c r="K199" s="148" t="s">
        <v>6</v>
      </c>
      <c r="L199" s="155" t="s">
        <v>7</v>
      </c>
      <c r="M199" s="148" t="s">
        <v>9</v>
      </c>
      <c r="N199" s="158" t="s">
        <v>10</v>
      </c>
      <c r="O199" s="76">
        <v>1</v>
      </c>
      <c r="P199" s="222" t="s">
        <v>46</v>
      </c>
      <c r="Q199" s="231">
        <f>N205</f>
        <v>15199819.300000001</v>
      </c>
    </row>
    <row r="200" spans="1:18" ht="16">
      <c r="A200" s="138">
        <v>46058</v>
      </c>
      <c r="B200" s="161" t="s">
        <v>46</v>
      </c>
      <c r="C200" s="12">
        <v>412015</v>
      </c>
      <c r="D200" s="12">
        <v>413355</v>
      </c>
      <c r="E200" s="11">
        <f t="shared" ref="E200:E204" si="171">D200-C200</f>
        <v>1340</v>
      </c>
      <c r="F200" s="35">
        <v>411.92</v>
      </c>
      <c r="G200" s="13">
        <f t="shared" ref="G200:G204" si="172">(F200/E200)*100</f>
        <v>30.740298507462686</v>
      </c>
      <c r="H200" s="83"/>
      <c r="I200" s="126"/>
      <c r="J200" s="39">
        <f t="shared" ref="J200:J204" si="173">I200-H200</f>
        <v>0</v>
      </c>
      <c r="K200" s="35">
        <v>411.92</v>
      </c>
      <c r="L200" s="67" t="e">
        <f t="shared" ref="L200:L204" si="174">(K200/J200)*100</f>
        <v>#DIV/0!</v>
      </c>
      <c r="M200" s="68">
        <v>18450</v>
      </c>
      <c r="N200" s="47">
        <f t="shared" ref="N200:N204" si="175">M200*K200</f>
        <v>7599924</v>
      </c>
      <c r="O200" s="76">
        <v>2</v>
      </c>
      <c r="P200" s="222" t="s">
        <v>47</v>
      </c>
      <c r="Q200" s="231">
        <f>N211</f>
        <v>14100953.800000001</v>
      </c>
    </row>
    <row r="201" spans="1:18" ht="16">
      <c r="A201" s="138">
        <v>46081</v>
      </c>
      <c r="B201" s="162" t="s">
        <v>46</v>
      </c>
      <c r="C201" s="12">
        <v>413355</v>
      </c>
      <c r="D201" s="12">
        <v>414541</v>
      </c>
      <c r="E201" s="11">
        <f t="shared" si="171"/>
        <v>1186</v>
      </c>
      <c r="F201" s="45">
        <v>394.39</v>
      </c>
      <c r="G201" s="13">
        <f t="shared" si="172"/>
        <v>33.253794266441822</v>
      </c>
      <c r="H201" s="126"/>
      <c r="I201" s="38">
        <v>414601</v>
      </c>
      <c r="J201" s="35">
        <f t="shared" si="173"/>
        <v>414601</v>
      </c>
      <c r="K201" s="50">
        <f t="shared" ref="K201:K204" si="176">F201</f>
        <v>394.39</v>
      </c>
      <c r="L201" s="46">
        <f t="shared" si="174"/>
        <v>9.5125192655106952E-2</v>
      </c>
      <c r="M201" s="48">
        <v>19270</v>
      </c>
      <c r="N201" s="47">
        <f t="shared" si="175"/>
        <v>7599895.2999999998</v>
      </c>
      <c r="O201" s="76">
        <v>3</v>
      </c>
      <c r="P201" s="222" t="s">
        <v>48</v>
      </c>
      <c r="Q201" s="231">
        <f>N217</f>
        <v>5300406.2</v>
      </c>
    </row>
    <row r="202" spans="1:18" ht="16">
      <c r="A202" s="138"/>
      <c r="B202" s="162" t="s">
        <v>46</v>
      </c>
      <c r="C202" s="12"/>
      <c r="D202" s="35"/>
      <c r="E202" s="11">
        <f t="shared" si="171"/>
        <v>0</v>
      </c>
      <c r="F202" s="45"/>
      <c r="G202" s="13" t="e">
        <f t="shared" si="172"/>
        <v>#DIV/0!</v>
      </c>
      <c r="H202" s="35"/>
      <c r="I202" s="38"/>
      <c r="J202" s="35">
        <f t="shared" si="173"/>
        <v>0</v>
      </c>
      <c r="K202" s="35">
        <f t="shared" si="176"/>
        <v>0</v>
      </c>
      <c r="L202" s="46" t="e">
        <f t="shared" si="174"/>
        <v>#DIV/0!</v>
      </c>
      <c r="M202" s="48"/>
      <c r="N202" s="47">
        <f t="shared" si="175"/>
        <v>0</v>
      </c>
      <c r="O202" s="76">
        <v>4</v>
      </c>
      <c r="P202" s="222" t="s">
        <v>49</v>
      </c>
      <c r="Q202" s="231">
        <f>N223</f>
        <v>4299957</v>
      </c>
    </row>
    <row r="203" spans="1:18" ht="16">
      <c r="A203" s="138"/>
      <c r="B203" s="162" t="s">
        <v>46</v>
      </c>
      <c r="C203" s="35"/>
      <c r="D203" s="35"/>
      <c r="E203" s="11">
        <f t="shared" si="171"/>
        <v>0</v>
      </c>
      <c r="F203" s="45"/>
      <c r="G203" s="13" t="e">
        <f t="shared" si="172"/>
        <v>#DIV/0!</v>
      </c>
      <c r="H203" s="35"/>
      <c r="I203" s="38"/>
      <c r="J203" s="35">
        <f t="shared" si="173"/>
        <v>0</v>
      </c>
      <c r="K203" s="35">
        <f t="shared" si="176"/>
        <v>0</v>
      </c>
      <c r="L203" s="46" t="e">
        <f t="shared" si="174"/>
        <v>#DIV/0!</v>
      </c>
      <c r="M203" s="48"/>
      <c r="N203" s="47">
        <f t="shared" si="175"/>
        <v>0</v>
      </c>
      <c r="O203" s="76">
        <v>5</v>
      </c>
      <c r="P203" s="222" t="s">
        <v>50</v>
      </c>
      <c r="Q203" s="231">
        <f>N229</f>
        <v>4100143.5</v>
      </c>
    </row>
    <row r="204" spans="1:18" ht="16">
      <c r="A204" s="138"/>
      <c r="B204" s="162" t="s">
        <v>46</v>
      </c>
      <c r="C204" s="35"/>
      <c r="D204" s="35"/>
      <c r="E204" s="11">
        <f t="shared" si="171"/>
        <v>0</v>
      </c>
      <c r="F204" s="45"/>
      <c r="G204" s="13" t="e">
        <f t="shared" si="172"/>
        <v>#DIV/0!</v>
      </c>
      <c r="H204" s="35"/>
      <c r="I204" s="38"/>
      <c r="J204" s="35">
        <f t="shared" si="173"/>
        <v>0</v>
      </c>
      <c r="K204" s="35">
        <f t="shared" si="176"/>
        <v>0</v>
      </c>
      <c r="L204" s="73" t="e">
        <f t="shared" si="174"/>
        <v>#DIV/0!</v>
      </c>
      <c r="M204" s="48"/>
      <c r="N204" s="47">
        <f t="shared" si="175"/>
        <v>0</v>
      </c>
      <c r="O204" s="76">
        <v>6</v>
      </c>
      <c r="P204" s="222" t="s">
        <v>51</v>
      </c>
      <c r="Q204" s="231">
        <f>N235</f>
        <v>8200048.0999999996</v>
      </c>
    </row>
    <row r="205" spans="1:18" ht="16">
      <c r="A205" s="138"/>
      <c r="B205" s="60"/>
      <c r="C205" s="59"/>
      <c r="D205" s="59" t="s">
        <v>19</v>
      </c>
      <c r="E205" s="59">
        <f t="shared" ref="E205:F205" si="177">SUM(E200:E204)</f>
        <v>2526</v>
      </c>
      <c r="F205" s="59">
        <f t="shared" si="177"/>
        <v>806.31</v>
      </c>
      <c r="G205" s="61" t="e">
        <f>AVERAGE(G200:G204)</f>
        <v>#DIV/0!</v>
      </c>
      <c r="H205" s="59"/>
      <c r="I205" s="62"/>
      <c r="J205" s="59">
        <f t="shared" ref="J205:K205" si="178">SUM(J200:J204)</f>
        <v>414601</v>
      </c>
      <c r="K205" s="59">
        <f t="shared" si="178"/>
        <v>806.31</v>
      </c>
      <c r="L205" s="61" t="e">
        <f>AVERAGE(L200:L204)</f>
        <v>#DIV/0!</v>
      </c>
      <c r="M205" s="64"/>
      <c r="N205" s="65">
        <f>SUM(N200:N204)</f>
        <v>15199819.300000001</v>
      </c>
      <c r="O205" s="76">
        <v>7</v>
      </c>
      <c r="P205" s="232" t="s">
        <v>52</v>
      </c>
      <c r="Q205" s="231">
        <f>N264</f>
        <v>8900001.0999999996</v>
      </c>
    </row>
    <row r="206" spans="1:18" ht="16">
      <c r="A206" s="138">
        <v>46055</v>
      </c>
      <c r="B206" s="164" t="s">
        <v>53</v>
      </c>
      <c r="C206" s="83">
        <v>507266</v>
      </c>
      <c r="D206" s="83">
        <v>508122</v>
      </c>
      <c r="E206" s="11">
        <f t="shared" ref="E206:E207" si="179">D206-C206</f>
        <v>856</v>
      </c>
      <c r="F206" s="141">
        <v>264.23</v>
      </c>
      <c r="G206" s="13">
        <f t="shared" ref="G206:G210" si="180">(F206/E206)*100</f>
        <v>30.867990654205606</v>
      </c>
      <c r="H206" s="125"/>
      <c r="I206" s="125"/>
      <c r="J206" s="83">
        <f>I206-H206</f>
        <v>0</v>
      </c>
      <c r="K206" s="83">
        <f t="shared" ref="K206:K210" si="181">F206</f>
        <v>264.23</v>
      </c>
      <c r="L206" s="136" t="e">
        <f t="shared" ref="L206:L210" si="182">(K206/J206)*100</f>
        <v>#DIV/0!</v>
      </c>
      <c r="M206" s="116">
        <v>18170</v>
      </c>
      <c r="N206" s="42">
        <f t="shared" ref="N206:N210" si="183">F206*M206</f>
        <v>4801059.1000000006</v>
      </c>
      <c r="O206" s="76">
        <v>8</v>
      </c>
      <c r="P206" s="222" t="s">
        <v>54</v>
      </c>
      <c r="Q206" s="231">
        <f>N250</f>
        <v>23400000</v>
      </c>
    </row>
    <row r="207" spans="1:18" ht="16">
      <c r="A207" s="138">
        <v>46063</v>
      </c>
      <c r="B207" s="164" t="s">
        <v>53</v>
      </c>
      <c r="C207" s="83">
        <v>508122</v>
      </c>
      <c r="D207" s="83">
        <v>508888</v>
      </c>
      <c r="E207" s="11">
        <f t="shared" si="179"/>
        <v>766</v>
      </c>
      <c r="F207" s="141">
        <v>254.74</v>
      </c>
      <c r="G207" s="13">
        <f t="shared" si="180"/>
        <v>33.255874673629243</v>
      </c>
      <c r="H207" s="125"/>
      <c r="I207" s="125">
        <v>508599</v>
      </c>
      <c r="J207" s="83"/>
      <c r="K207" s="83">
        <f t="shared" si="181"/>
        <v>254.74</v>
      </c>
      <c r="L207" s="136" t="e">
        <f t="shared" si="182"/>
        <v>#DIV/0!</v>
      </c>
      <c r="M207" s="116">
        <v>18450</v>
      </c>
      <c r="N207" s="47">
        <f t="shared" si="183"/>
        <v>4699953</v>
      </c>
      <c r="O207" s="76">
        <v>9</v>
      </c>
      <c r="P207" s="222" t="s">
        <v>69</v>
      </c>
      <c r="Q207" s="231">
        <f>N257</f>
        <v>7953000</v>
      </c>
    </row>
    <row r="208" spans="1:18" ht="16">
      <c r="A208" s="138">
        <v>46080</v>
      </c>
      <c r="B208" s="164" t="s">
        <v>53</v>
      </c>
      <c r="C208" s="83"/>
      <c r="D208" s="83">
        <v>505630</v>
      </c>
      <c r="E208" s="11"/>
      <c r="F208" s="141">
        <v>238.71</v>
      </c>
      <c r="G208" s="13" t="e">
        <f t="shared" si="180"/>
        <v>#DIV/0!</v>
      </c>
      <c r="H208" s="125">
        <v>508599</v>
      </c>
      <c r="I208" s="125">
        <v>509285</v>
      </c>
      <c r="J208" s="83">
        <f t="shared" ref="J208:J210" si="184">I208-H208</f>
        <v>686</v>
      </c>
      <c r="K208" s="83">
        <f t="shared" si="181"/>
        <v>238.71</v>
      </c>
      <c r="L208" s="136">
        <f t="shared" si="182"/>
        <v>34.79737609329446</v>
      </c>
      <c r="M208" s="116">
        <v>19270</v>
      </c>
      <c r="N208" s="47">
        <f t="shared" si="183"/>
        <v>4599941.7</v>
      </c>
      <c r="O208" s="76">
        <v>10</v>
      </c>
      <c r="P208" s="232" t="s">
        <v>56</v>
      </c>
      <c r="Q208" s="231">
        <f>N241</f>
        <v>12000000</v>
      </c>
    </row>
    <row r="209" spans="1:17" ht="16">
      <c r="A209" s="138"/>
      <c r="B209" s="164" t="s">
        <v>53</v>
      </c>
      <c r="C209" s="83"/>
      <c r="D209" s="83"/>
      <c r="E209" s="11">
        <f t="shared" ref="E209:E210" si="185">D209-C209</f>
        <v>0</v>
      </c>
      <c r="F209" s="141"/>
      <c r="G209" s="13" t="e">
        <f t="shared" si="180"/>
        <v>#DIV/0!</v>
      </c>
      <c r="H209" s="125"/>
      <c r="I209" s="125"/>
      <c r="J209" s="83">
        <f t="shared" si="184"/>
        <v>0</v>
      </c>
      <c r="K209" s="83">
        <f t="shared" si="181"/>
        <v>0</v>
      </c>
      <c r="L209" s="136" t="e">
        <f t="shared" si="182"/>
        <v>#DIV/0!</v>
      </c>
      <c r="M209" s="116"/>
      <c r="N209" s="47">
        <f t="shared" si="183"/>
        <v>0</v>
      </c>
      <c r="O209" s="76">
        <v>11</v>
      </c>
      <c r="P209" s="207" t="s">
        <v>57</v>
      </c>
      <c r="Q209" s="223">
        <f>N271</f>
        <v>12640338.699999999</v>
      </c>
    </row>
    <row r="210" spans="1:17" ht="16">
      <c r="A210" s="138"/>
      <c r="B210" s="164" t="s">
        <v>53</v>
      </c>
      <c r="C210" s="83"/>
      <c r="D210" s="83"/>
      <c r="E210" s="11">
        <f t="shared" si="185"/>
        <v>0</v>
      </c>
      <c r="F210" s="141"/>
      <c r="G210" s="13" t="e">
        <f t="shared" si="180"/>
        <v>#DIV/0!</v>
      </c>
      <c r="H210" s="125"/>
      <c r="I210" s="125"/>
      <c r="J210" s="83">
        <f t="shared" si="184"/>
        <v>0</v>
      </c>
      <c r="K210" s="83">
        <f t="shared" si="181"/>
        <v>0</v>
      </c>
      <c r="L210" s="136" t="e">
        <f t="shared" si="182"/>
        <v>#DIV/0!</v>
      </c>
      <c r="M210" s="116"/>
      <c r="N210" s="47">
        <f t="shared" si="183"/>
        <v>0</v>
      </c>
      <c r="O210" s="76">
        <v>12</v>
      </c>
      <c r="P210" s="207" t="s">
        <v>58</v>
      </c>
      <c r="Q210" s="223">
        <f>N278</f>
        <v>12329948.200000001</v>
      </c>
    </row>
    <row r="211" spans="1:17" ht="16">
      <c r="A211" s="138"/>
      <c r="B211" s="60"/>
      <c r="C211" s="59"/>
      <c r="D211" s="59" t="s">
        <v>19</v>
      </c>
      <c r="E211" s="59">
        <f t="shared" ref="E211:F211" si="186">SUM(E206:E210)</f>
        <v>1622</v>
      </c>
      <c r="F211" s="59">
        <f t="shared" si="186"/>
        <v>757.68000000000006</v>
      </c>
      <c r="G211" s="61" t="e">
        <f>AVERAGE(G206:G210)</f>
        <v>#DIV/0!</v>
      </c>
      <c r="H211" s="59"/>
      <c r="I211" s="62"/>
      <c r="J211" s="59">
        <f t="shared" ref="J211:K211" si="187">SUM(J206:J210)</f>
        <v>686</v>
      </c>
      <c r="K211" s="59">
        <f t="shared" si="187"/>
        <v>757.68000000000006</v>
      </c>
      <c r="L211" s="61" t="e">
        <f>AVERAGE(L206:L210)</f>
        <v>#DIV/0!</v>
      </c>
      <c r="M211" s="64"/>
      <c r="N211" s="65">
        <f>SUM(N206:N210)</f>
        <v>14100953.800000001</v>
      </c>
      <c r="O211" s="76">
        <v>13</v>
      </c>
      <c r="P211" s="207" t="s">
        <v>70</v>
      </c>
      <c r="Q211" s="223">
        <f>N285</f>
        <v>5700000</v>
      </c>
    </row>
    <row r="212" spans="1:17" ht="16">
      <c r="A212" s="138">
        <v>46080</v>
      </c>
      <c r="B212" s="164" t="s">
        <v>48</v>
      </c>
      <c r="C212" s="83"/>
      <c r="D212" s="12"/>
      <c r="E212" s="36">
        <f t="shared" ref="E212:E216" si="188">D212-C212</f>
        <v>0</v>
      </c>
      <c r="F212" s="141">
        <v>275.06</v>
      </c>
      <c r="G212" s="13" t="e">
        <f t="shared" ref="G212:G216" si="189">(F212/E212)*100</f>
        <v>#DIV/0!</v>
      </c>
      <c r="H212" s="83"/>
      <c r="I212" s="126"/>
      <c r="J212" s="39">
        <f t="shared" ref="J212:J216" si="190">I212-H212</f>
        <v>0</v>
      </c>
      <c r="K212" s="39"/>
      <c r="L212" s="136" t="e">
        <f t="shared" ref="L212:L216" si="191">(K212/J212)*100</f>
        <v>#DIV/0!</v>
      </c>
      <c r="M212" s="68">
        <v>19270</v>
      </c>
      <c r="N212" s="121">
        <f t="shared" ref="N212:N216" si="192">F212*M212</f>
        <v>5300406.2</v>
      </c>
      <c r="P212" s="228" t="s">
        <v>19</v>
      </c>
      <c r="Q212" s="223">
        <f>SUM(Q199:Q211)</f>
        <v>134124615.90000001</v>
      </c>
    </row>
    <row r="213" spans="1:17" ht="16">
      <c r="A213" s="138"/>
      <c r="B213" s="164" t="s">
        <v>48</v>
      </c>
      <c r="C213" s="83"/>
      <c r="D213" s="12"/>
      <c r="E213" s="11">
        <f t="shared" si="188"/>
        <v>0</v>
      </c>
      <c r="F213" s="141"/>
      <c r="G213" s="13" t="e">
        <f t="shared" si="189"/>
        <v>#DIV/0!</v>
      </c>
      <c r="H213" s="83"/>
      <c r="I213" s="125"/>
      <c r="J213" s="83">
        <f t="shared" si="190"/>
        <v>0</v>
      </c>
      <c r="K213" s="35"/>
      <c r="L213" s="136" t="e">
        <f t="shared" si="191"/>
        <v>#DIV/0!</v>
      </c>
      <c r="M213" s="116"/>
      <c r="N213" s="121">
        <f t="shared" si="192"/>
        <v>0</v>
      </c>
    </row>
    <row r="214" spans="1:17" ht="16">
      <c r="A214" s="138"/>
      <c r="B214" s="164" t="s">
        <v>48</v>
      </c>
      <c r="C214" s="83"/>
      <c r="D214" s="83"/>
      <c r="E214" s="11">
        <f t="shared" si="188"/>
        <v>0</v>
      </c>
      <c r="F214" s="141"/>
      <c r="G214" s="13" t="e">
        <f t="shared" si="189"/>
        <v>#DIV/0!</v>
      </c>
      <c r="H214" s="83"/>
      <c r="I214" s="125"/>
      <c r="J214" s="83">
        <f t="shared" si="190"/>
        <v>0</v>
      </c>
      <c r="K214" s="35"/>
      <c r="L214" s="136" t="e">
        <f t="shared" si="191"/>
        <v>#DIV/0!</v>
      </c>
      <c r="M214" s="116"/>
      <c r="N214" s="121">
        <f t="shared" si="192"/>
        <v>0</v>
      </c>
    </row>
    <row r="215" spans="1:17" ht="16">
      <c r="A215" s="138"/>
      <c r="B215" s="164" t="s">
        <v>48</v>
      </c>
      <c r="C215" s="83"/>
      <c r="D215" s="83"/>
      <c r="E215" s="11">
        <f t="shared" si="188"/>
        <v>0</v>
      </c>
      <c r="F215" s="141"/>
      <c r="G215" s="13" t="e">
        <f t="shared" si="189"/>
        <v>#DIV/0!</v>
      </c>
      <c r="H215" s="83"/>
      <c r="I215" s="125"/>
      <c r="J215" s="83">
        <f t="shared" si="190"/>
        <v>0</v>
      </c>
      <c r="K215" s="35"/>
      <c r="L215" s="136" t="e">
        <f t="shared" si="191"/>
        <v>#DIV/0!</v>
      </c>
      <c r="M215" s="116"/>
      <c r="N215" s="121">
        <f t="shared" si="192"/>
        <v>0</v>
      </c>
    </row>
    <row r="216" spans="1:17" ht="16">
      <c r="A216" s="138"/>
      <c r="B216" s="164" t="s">
        <v>48</v>
      </c>
      <c r="C216" s="83"/>
      <c r="D216" s="83"/>
      <c r="E216" s="11">
        <f t="shared" si="188"/>
        <v>0</v>
      </c>
      <c r="F216" s="141"/>
      <c r="G216" s="13" t="e">
        <f t="shared" si="189"/>
        <v>#DIV/0!</v>
      </c>
      <c r="H216" s="83"/>
      <c r="I216" s="125"/>
      <c r="J216" s="83">
        <f t="shared" si="190"/>
        <v>0</v>
      </c>
      <c r="K216" s="35"/>
      <c r="L216" s="136" t="e">
        <f t="shared" si="191"/>
        <v>#DIV/0!</v>
      </c>
      <c r="M216" s="116"/>
      <c r="N216" s="121">
        <f t="shared" si="192"/>
        <v>0</v>
      </c>
    </row>
    <row r="217" spans="1:17" ht="16">
      <c r="A217" s="138"/>
      <c r="B217" s="60"/>
      <c r="C217" s="59"/>
      <c r="D217" s="59" t="s">
        <v>19</v>
      </c>
      <c r="E217" s="59">
        <f t="shared" ref="E217:F217" si="193">SUM(E212:E216)</f>
        <v>0</v>
      </c>
      <c r="F217" s="59">
        <f t="shared" si="193"/>
        <v>275.06</v>
      </c>
      <c r="G217" s="61" t="e">
        <f>AVERAGE(G212:G216)</f>
        <v>#DIV/0!</v>
      </c>
      <c r="H217" s="59"/>
      <c r="I217" s="62"/>
      <c r="J217" s="59">
        <f t="shared" ref="J217:K217" si="194">SUM(J212:J216)</f>
        <v>0</v>
      </c>
      <c r="K217" s="59">
        <f t="shared" si="194"/>
        <v>0</v>
      </c>
      <c r="L217" s="61" t="e">
        <f>AVERAGE(L212:L216)</f>
        <v>#DIV/0!</v>
      </c>
      <c r="M217" s="64"/>
      <c r="N217" s="65">
        <f>SUM(N212:N216)</f>
        <v>5300406.2</v>
      </c>
    </row>
    <row r="218" spans="1:17" ht="16">
      <c r="A218" s="138">
        <v>46060</v>
      </c>
      <c r="B218" s="140" t="s">
        <v>49</v>
      </c>
      <c r="C218" s="83"/>
      <c r="D218" s="12"/>
      <c r="E218" s="36">
        <f t="shared" ref="E218:E222" si="195">D218-C218</f>
        <v>0</v>
      </c>
      <c r="F218" s="37">
        <v>233.06</v>
      </c>
      <c r="G218" s="13" t="e">
        <f t="shared" ref="G218:G222" si="196">(F218/E218)*100</f>
        <v>#DIV/0!</v>
      </c>
      <c r="H218" s="83"/>
      <c r="I218" s="126"/>
      <c r="J218" s="39">
        <f t="shared" ref="J218:J222" si="197">I218-H218</f>
        <v>0</v>
      </c>
      <c r="K218" s="39">
        <f t="shared" ref="K218:K222" si="198">F218</f>
        <v>233.06</v>
      </c>
      <c r="L218" s="46" t="e">
        <f t="shared" ref="L218:L222" si="199">(K218/J218)*100</f>
        <v>#DIV/0!</v>
      </c>
      <c r="M218" s="68">
        <v>18450</v>
      </c>
      <c r="N218" s="121">
        <f t="shared" ref="N218:N221" si="200">M218*K218</f>
        <v>4299957</v>
      </c>
    </row>
    <row r="219" spans="1:17" ht="16">
      <c r="A219" s="138"/>
      <c r="B219" s="140" t="s">
        <v>49</v>
      </c>
      <c r="C219" s="12"/>
      <c r="D219" s="83"/>
      <c r="E219" s="11">
        <f t="shared" si="195"/>
        <v>0</v>
      </c>
      <c r="F219" s="141"/>
      <c r="G219" s="13" t="e">
        <f t="shared" si="196"/>
        <v>#DIV/0!</v>
      </c>
      <c r="H219" s="83"/>
      <c r="I219" s="125"/>
      <c r="J219" s="83">
        <f t="shared" si="197"/>
        <v>0</v>
      </c>
      <c r="K219" s="83">
        <f t="shared" si="198"/>
        <v>0</v>
      </c>
      <c r="L219" s="136" t="e">
        <f t="shared" si="199"/>
        <v>#DIV/0!</v>
      </c>
      <c r="M219" s="116"/>
      <c r="N219" s="121">
        <f t="shared" si="200"/>
        <v>0</v>
      </c>
    </row>
    <row r="220" spans="1:17" ht="16">
      <c r="A220" s="138"/>
      <c r="B220" s="140" t="s">
        <v>49</v>
      </c>
      <c r="C220" s="83"/>
      <c r="D220" s="83"/>
      <c r="E220" s="11">
        <f t="shared" si="195"/>
        <v>0</v>
      </c>
      <c r="F220" s="141"/>
      <c r="G220" s="13" t="e">
        <f t="shared" si="196"/>
        <v>#DIV/0!</v>
      </c>
      <c r="H220" s="83"/>
      <c r="I220" s="125"/>
      <c r="J220" s="83">
        <f t="shared" si="197"/>
        <v>0</v>
      </c>
      <c r="K220" s="83">
        <f t="shared" si="198"/>
        <v>0</v>
      </c>
      <c r="L220" s="136" t="e">
        <f t="shared" si="199"/>
        <v>#DIV/0!</v>
      </c>
      <c r="M220" s="116"/>
      <c r="N220" s="121">
        <f t="shared" si="200"/>
        <v>0</v>
      </c>
    </row>
    <row r="221" spans="1:17" ht="16">
      <c r="A221" s="138"/>
      <c r="B221" s="140" t="s">
        <v>49</v>
      </c>
      <c r="C221" s="83"/>
      <c r="D221" s="83"/>
      <c r="E221" s="11">
        <f t="shared" si="195"/>
        <v>0</v>
      </c>
      <c r="F221" s="141"/>
      <c r="G221" s="13" t="e">
        <f t="shared" si="196"/>
        <v>#DIV/0!</v>
      </c>
      <c r="H221" s="83"/>
      <c r="I221" s="125"/>
      <c r="J221" s="83">
        <f t="shared" si="197"/>
        <v>0</v>
      </c>
      <c r="K221" s="83">
        <f t="shared" si="198"/>
        <v>0</v>
      </c>
      <c r="L221" s="136" t="e">
        <f t="shared" si="199"/>
        <v>#DIV/0!</v>
      </c>
      <c r="M221" s="116"/>
      <c r="N221" s="121">
        <f t="shared" si="200"/>
        <v>0</v>
      </c>
    </row>
    <row r="222" spans="1:17" ht="16">
      <c r="A222" s="138"/>
      <c r="B222" s="140" t="s">
        <v>49</v>
      </c>
      <c r="C222" s="83"/>
      <c r="D222" s="83"/>
      <c r="E222" s="11">
        <f t="shared" si="195"/>
        <v>0</v>
      </c>
      <c r="F222" s="141"/>
      <c r="G222" s="13" t="e">
        <f t="shared" si="196"/>
        <v>#DIV/0!</v>
      </c>
      <c r="H222" s="83"/>
      <c r="I222" s="125"/>
      <c r="J222" s="83">
        <f t="shared" si="197"/>
        <v>0</v>
      </c>
      <c r="K222" s="83">
        <f t="shared" si="198"/>
        <v>0</v>
      </c>
      <c r="L222" s="136" t="e">
        <f t="shared" si="199"/>
        <v>#DIV/0!</v>
      </c>
      <c r="M222" s="116"/>
      <c r="N222" s="121">
        <f>F222*M222</f>
        <v>0</v>
      </c>
    </row>
    <row r="223" spans="1:17" ht="16">
      <c r="A223" s="138"/>
      <c r="B223" s="60"/>
      <c r="C223" s="59"/>
      <c r="D223" s="59" t="s">
        <v>19</v>
      </c>
      <c r="E223" s="59">
        <f t="shared" ref="E223:F223" si="201">SUM(E218:E222)</f>
        <v>0</v>
      </c>
      <c r="F223" s="59">
        <f t="shared" si="201"/>
        <v>233.06</v>
      </c>
      <c r="G223" s="61" t="e">
        <f>AVERAGE(G218:G222)</f>
        <v>#DIV/0!</v>
      </c>
      <c r="H223" s="59"/>
      <c r="I223" s="62"/>
      <c r="J223" s="59">
        <f t="shared" ref="J223:K223" si="202">SUM(J218:J222)</f>
        <v>0</v>
      </c>
      <c r="K223" s="59">
        <f t="shared" si="202"/>
        <v>233.06</v>
      </c>
      <c r="L223" s="61" t="e">
        <f>AVERAGE(L218:L222)</f>
        <v>#DIV/0!</v>
      </c>
      <c r="M223" s="64"/>
      <c r="N223" s="65">
        <f>SUM(N218:N222)</f>
        <v>4299957</v>
      </c>
    </row>
    <row r="224" spans="1:17" ht="16">
      <c r="A224" s="138">
        <v>46063</v>
      </c>
      <c r="B224" s="140" t="s">
        <v>50</v>
      </c>
      <c r="C224" s="83"/>
      <c r="D224" s="12"/>
      <c r="E224" s="36"/>
      <c r="F224" s="37">
        <v>222.23</v>
      </c>
      <c r="G224" s="13" t="e">
        <f t="shared" ref="G224:G228" si="203">(F224/E224)*100</f>
        <v>#DIV/0!</v>
      </c>
      <c r="H224" s="83"/>
      <c r="I224" s="126"/>
      <c r="J224" s="83">
        <f t="shared" ref="J224:J228" si="204">I224-H224</f>
        <v>0</v>
      </c>
      <c r="K224" s="83">
        <f t="shared" ref="K224:K228" si="205">F224</f>
        <v>222.23</v>
      </c>
      <c r="L224" s="136" t="e">
        <f t="shared" ref="L224:L228" si="206">(K224/J224)*100</f>
        <v>#DIV/0!</v>
      </c>
      <c r="M224" s="68">
        <v>18450</v>
      </c>
      <c r="N224" s="47">
        <f>F224*M224</f>
        <v>4100143.5</v>
      </c>
    </row>
    <row r="225" spans="1:14" ht="16">
      <c r="A225" s="138"/>
      <c r="B225" s="140" t="s">
        <v>50</v>
      </c>
      <c r="C225" s="83"/>
      <c r="D225" s="83"/>
      <c r="E225" s="11">
        <f t="shared" ref="E225:E228" si="207">D225-C225</f>
        <v>0</v>
      </c>
      <c r="F225" s="141"/>
      <c r="G225" s="13" t="e">
        <f t="shared" si="203"/>
        <v>#DIV/0!</v>
      </c>
      <c r="H225" s="83"/>
      <c r="I225" s="125"/>
      <c r="J225" s="83">
        <f t="shared" si="204"/>
        <v>0</v>
      </c>
      <c r="K225" s="83">
        <f t="shared" si="205"/>
        <v>0</v>
      </c>
      <c r="L225" s="136" t="e">
        <f t="shared" si="206"/>
        <v>#DIV/0!</v>
      </c>
      <c r="M225" s="116"/>
      <c r="N225" s="47">
        <f>M225*K225</f>
        <v>0</v>
      </c>
    </row>
    <row r="226" spans="1:14" ht="16">
      <c r="A226" s="138"/>
      <c r="B226" s="140" t="s">
        <v>50</v>
      </c>
      <c r="C226" s="83"/>
      <c r="D226" s="83"/>
      <c r="E226" s="11">
        <f t="shared" si="207"/>
        <v>0</v>
      </c>
      <c r="F226" s="141"/>
      <c r="G226" s="13" t="e">
        <f t="shared" si="203"/>
        <v>#DIV/0!</v>
      </c>
      <c r="H226" s="83"/>
      <c r="I226" s="125"/>
      <c r="J226" s="83">
        <f t="shared" si="204"/>
        <v>0</v>
      </c>
      <c r="K226" s="83">
        <f t="shared" si="205"/>
        <v>0</v>
      </c>
      <c r="L226" s="136" t="e">
        <f t="shared" si="206"/>
        <v>#DIV/0!</v>
      </c>
      <c r="M226" s="116"/>
      <c r="N226" s="47">
        <f t="shared" ref="N226:N228" si="208">F226*M226</f>
        <v>0</v>
      </c>
    </row>
    <row r="227" spans="1:14" ht="16">
      <c r="A227" s="138"/>
      <c r="B227" s="140" t="s">
        <v>50</v>
      </c>
      <c r="C227" s="83"/>
      <c r="D227" s="83"/>
      <c r="E227" s="11">
        <f t="shared" si="207"/>
        <v>0</v>
      </c>
      <c r="F227" s="141"/>
      <c r="G227" s="13" t="e">
        <f t="shared" si="203"/>
        <v>#DIV/0!</v>
      </c>
      <c r="H227" s="83"/>
      <c r="I227" s="125"/>
      <c r="J227" s="83">
        <f t="shared" si="204"/>
        <v>0</v>
      </c>
      <c r="K227" s="83">
        <f t="shared" si="205"/>
        <v>0</v>
      </c>
      <c r="L227" s="136" t="e">
        <f t="shared" si="206"/>
        <v>#DIV/0!</v>
      </c>
      <c r="M227" s="116"/>
      <c r="N227" s="47">
        <f t="shared" si="208"/>
        <v>0</v>
      </c>
    </row>
    <row r="228" spans="1:14" ht="16">
      <c r="A228" s="138"/>
      <c r="B228" s="140" t="s">
        <v>50</v>
      </c>
      <c r="C228" s="83"/>
      <c r="D228" s="83"/>
      <c r="E228" s="11">
        <f t="shared" si="207"/>
        <v>0</v>
      </c>
      <c r="F228" s="141"/>
      <c r="G228" s="13" t="e">
        <f t="shared" si="203"/>
        <v>#DIV/0!</v>
      </c>
      <c r="H228" s="83"/>
      <c r="I228" s="125"/>
      <c r="J228" s="83">
        <f t="shared" si="204"/>
        <v>0</v>
      </c>
      <c r="K228" s="83">
        <f t="shared" si="205"/>
        <v>0</v>
      </c>
      <c r="L228" s="136" t="e">
        <f t="shared" si="206"/>
        <v>#DIV/0!</v>
      </c>
      <c r="M228" s="116"/>
      <c r="N228" s="47">
        <f t="shared" si="208"/>
        <v>0</v>
      </c>
    </row>
    <row r="229" spans="1:14" ht="16">
      <c r="A229" s="138"/>
      <c r="B229" s="60"/>
      <c r="C229" s="59"/>
      <c r="D229" s="59" t="s">
        <v>19</v>
      </c>
      <c r="E229" s="59">
        <f t="shared" ref="E229:F229" si="209">SUM(E224:E228)</f>
        <v>0</v>
      </c>
      <c r="F229" s="59">
        <f t="shared" si="209"/>
        <v>222.23</v>
      </c>
      <c r="G229" s="61" t="e">
        <f>AVERAGE(G224:G228)</f>
        <v>#DIV/0!</v>
      </c>
      <c r="H229" s="59"/>
      <c r="I229" s="62"/>
      <c r="J229" s="59">
        <f t="shared" ref="J229:K229" si="210">SUM(J224:J228)</f>
        <v>0</v>
      </c>
      <c r="K229" s="59">
        <f t="shared" si="210"/>
        <v>222.23</v>
      </c>
      <c r="L229" s="61" t="e">
        <f>AVERAGE(L224:L228)</f>
        <v>#DIV/0!</v>
      </c>
      <c r="M229" s="64"/>
      <c r="N229" s="65">
        <f>SUM(N224:N228)</f>
        <v>4100143.5</v>
      </c>
    </row>
    <row r="230" spans="1:14" ht="16">
      <c r="A230" s="138">
        <v>46059</v>
      </c>
      <c r="B230" s="164" t="s">
        <v>51</v>
      </c>
      <c r="C230" s="83">
        <v>304048</v>
      </c>
      <c r="D230" s="83">
        <v>304533</v>
      </c>
      <c r="E230" s="11">
        <f t="shared" ref="E230:E234" si="211">D230-C230</f>
        <v>485</v>
      </c>
      <c r="F230" s="37">
        <v>146.35</v>
      </c>
      <c r="G230" s="13">
        <f t="shared" ref="G230:G234" si="212">(F230/E230)*100</f>
        <v>30.175257731958759</v>
      </c>
      <c r="H230" s="125">
        <v>18259</v>
      </c>
      <c r="I230" s="125">
        <v>18898</v>
      </c>
      <c r="J230" s="39">
        <f t="shared" ref="J230:J234" si="213">I230-H230</f>
        <v>639</v>
      </c>
      <c r="K230" s="39">
        <f t="shared" ref="K230:K234" si="214">F230</f>
        <v>146.35</v>
      </c>
      <c r="L230" s="136">
        <f t="shared" ref="L230:L234" si="215">(K230/J230)*100</f>
        <v>22.902973395931141</v>
      </c>
      <c r="M230" s="68">
        <v>18450</v>
      </c>
      <c r="N230" s="47">
        <f t="shared" ref="N230:N233" si="216">F230*M230</f>
        <v>2700157.5</v>
      </c>
    </row>
    <row r="231" spans="1:14" ht="16">
      <c r="A231" s="138">
        <v>46065</v>
      </c>
      <c r="B231" s="164" t="s">
        <v>51</v>
      </c>
      <c r="C231" s="83">
        <v>304533</v>
      </c>
      <c r="D231" s="83">
        <v>305035</v>
      </c>
      <c r="E231" s="11">
        <f t="shared" si="211"/>
        <v>502</v>
      </c>
      <c r="F231" s="141">
        <v>146.26</v>
      </c>
      <c r="G231" s="13">
        <f t="shared" si="212"/>
        <v>29.135458167330675</v>
      </c>
      <c r="H231" s="125">
        <v>18898</v>
      </c>
      <c r="I231" s="125">
        <v>19238</v>
      </c>
      <c r="J231" s="83">
        <f t="shared" si="213"/>
        <v>340</v>
      </c>
      <c r="K231" s="83">
        <f t="shared" si="214"/>
        <v>146.26</v>
      </c>
      <c r="L231" s="136">
        <f t="shared" si="215"/>
        <v>43.017647058823528</v>
      </c>
      <c r="M231" s="116">
        <v>18460</v>
      </c>
      <c r="N231" s="47">
        <f t="shared" si="216"/>
        <v>2699959.5999999996</v>
      </c>
    </row>
    <row r="232" spans="1:14" ht="16">
      <c r="A232" s="138">
        <v>46081</v>
      </c>
      <c r="B232" s="164" t="s">
        <v>51</v>
      </c>
      <c r="C232" s="83">
        <v>305035</v>
      </c>
      <c r="D232" s="83">
        <v>305507</v>
      </c>
      <c r="E232" s="11">
        <f t="shared" si="211"/>
        <v>472</v>
      </c>
      <c r="F232" s="141">
        <v>145.30000000000001</v>
      </c>
      <c r="G232" s="13">
        <f t="shared" si="212"/>
        <v>30.783898305084751</v>
      </c>
      <c r="H232" s="125">
        <v>19238</v>
      </c>
      <c r="I232" s="125">
        <v>19708</v>
      </c>
      <c r="J232" s="83">
        <f t="shared" si="213"/>
        <v>470</v>
      </c>
      <c r="K232" s="83">
        <f t="shared" si="214"/>
        <v>145.30000000000001</v>
      </c>
      <c r="L232" s="136">
        <f t="shared" si="215"/>
        <v>30.914893617021278</v>
      </c>
      <c r="M232" s="116">
        <v>19270</v>
      </c>
      <c r="N232" s="47">
        <f t="shared" si="216"/>
        <v>2799931</v>
      </c>
    </row>
    <row r="233" spans="1:14" ht="16">
      <c r="A233" s="138"/>
      <c r="B233" s="164" t="s">
        <v>51</v>
      </c>
      <c r="C233" s="83"/>
      <c r="D233" s="83"/>
      <c r="E233" s="11">
        <f t="shared" si="211"/>
        <v>0</v>
      </c>
      <c r="F233" s="141"/>
      <c r="G233" s="13" t="e">
        <f t="shared" si="212"/>
        <v>#DIV/0!</v>
      </c>
      <c r="H233" s="83"/>
      <c r="I233" s="125"/>
      <c r="J233" s="83">
        <f t="shared" si="213"/>
        <v>0</v>
      </c>
      <c r="K233" s="83">
        <f t="shared" si="214"/>
        <v>0</v>
      </c>
      <c r="L233" s="136" t="e">
        <f t="shared" si="215"/>
        <v>#DIV/0!</v>
      </c>
      <c r="M233" s="116"/>
      <c r="N233" s="47">
        <f t="shared" si="216"/>
        <v>0</v>
      </c>
    </row>
    <row r="234" spans="1:14" ht="16">
      <c r="A234" s="138"/>
      <c r="B234" s="164" t="s">
        <v>51</v>
      </c>
      <c r="C234" s="83"/>
      <c r="D234" s="83"/>
      <c r="E234" s="11">
        <f t="shared" si="211"/>
        <v>0</v>
      </c>
      <c r="F234" s="141"/>
      <c r="G234" s="13" t="e">
        <f t="shared" si="212"/>
        <v>#DIV/0!</v>
      </c>
      <c r="H234" s="83"/>
      <c r="I234" s="125"/>
      <c r="J234" s="83">
        <f t="shared" si="213"/>
        <v>0</v>
      </c>
      <c r="K234" s="83">
        <f t="shared" si="214"/>
        <v>0</v>
      </c>
      <c r="L234" s="136" t="e">
        <f t="shared" si="215"/>
        <v>#DIV/0!</v>
      </c>
      <c r="M234" s="116"/>
      <c r="N234" s="47">
        <f>M234*K234</f>
        <v>0</v>
      </c>
    </row>
    <row r="235" spans="1:14" ht="16">
      <c r="A235" s="138"/>
      <c r="B235" s="60"/>
      <c r="C235" s="59"/>
      <c r="D235" s="59" t="s">
        <v>19</v>
      </c>
      <c r="E235" s="59">
        <f t="shared" ref="E235:F235" si="217">SUM(E230:E234)</f>
        <v>1459</v>
      </c>
      <c r="F235" s="59">
        <f t="shared" si="217"/>
        <v>437.91</v>
      </c>
      <c r="G235" s="61" t="e">
        <f>AVERAGE(G230:G234)</f>
        <v>#DIV/0!</v>
      </c>
      <c r="H235" s="59"/>
      <c r="I235" s="62"/>
      <c r="J235" s="59">
        <f t="shared" ref="J235:K235" si="218">SUM(J230:J234)</f>
        <v>1449</v>
      </c>
      <c r="K235" s="59">
        <f t="shared" si="218"/>
        <v>437.91</v>
      </c>
      <c r="L235" s="61" t="e">
        <f>AVERAGE(L230:L234)</f>
        <v>#DIV/0!</v>
      </c>
      <c r="M235" s="64"/>
      <c r="N235" s="65">
        <f>SUM(N230:N234)</f>
        <v>8200048.0999999996</v>
      </c>
    </row>
    <row r="236" spans="1:14" ht="16">
      <c r="A236" s="138">
        <v>46055</v>
      </c>
      <c r="B236" s="172" t="s">
        <v>62</v>
      </c>
      <c r="C236" s="83"/>
      <c r="D236" s="12"/>
      <c r="E236" s="36">
        <f t="shared" ref="E236:E240" si="219">D236-C236</f>
        <v>0</v>
      </c>
      <c r="F236" s="37"/>
      <c r="G236" s="13" t="e">
        <f t="shared" ref="G236:G240" si="220">(F236/E236)*100</f>
        <v>#DIV/0!</v>
      </c>
      <c r="H236" s="83"/>
      <c r="I236" s="126"/>
      <c r="J236" s="39">
        <f t="shared" ref="J236:J240" si="221">I236-H236</f>
        <v>0</v>
      </c>
      <c r="K236" s="39">
        <f t="shared" ref="K236:K240" si="222">F236</f>
        <v>0</v>
      </c>
      <c r="L236" s="136" t="e">
        <f t="shared" ref="L236:L240" si="223">(K236/J236)*100</f>
        <v>#DIV/0!</v>
      </c>
      <c r="M236" s="68"/>
      <c r="N236" s="121">
        <v>5000000</v>
      </c>
    </row>
    <row r="237" spans="1:14" ht="16">
      <c r="A237" s="138">
        <v>46063</v>
      </c>
      <c r="B237" s="172" t="s">
        <v>62</v>
      </c>
      <c r="C237" s="83"/>
      <c r="D237" s="83"/>
      <c r="E237" s="11">
        <f t="shared" si="219"/>
        <v>0</v>
      </c>
      <c r="F237" s="141"/>
      <c r="G237" s="13" t="e">
        <f t="shared" si="220"/>
        <v>#DIV/0!</v>
      </c>
      <c r="H237" s="83"/>
      <c r="I237" s="125"/>
      <c r="J237" s="83">
        <f t="shared" si="221"/>
        <v>0</v>
      </c>
      <c r="K237" s="83">
        <f t="shared" si="222"/>
        <v>0</v>
      </c>
      <c r="L237" s="136" t="e">
        <f t="shared" si="223"/>
        <v>#DIV/0!</v>
      </c>
      <c r="M237" s="116"/>
      <c r="N237" s="121">
        <v>3000000</v>
      </c>
    </row>
    <row r="238" spans="1:14" ht="16">
      <c r="A238" s="138">
        <v>46076</v>
      </c>
      <c r="B238" s="172" t="s">
        <v>62</v>
      </c>
      <c r="C238" s="83"/>
      <c r="D238" s="83"/>
      <c r="E238" s="11">
        <f t="shared" si="219"/>
        <v>0</v>
      </c>
      <c r="F238" s="141"/>
      <c r="G238" s="13" t="e">
        <f t="shared" si="220"/>
        <v>#DIV/0!</v>
      </c>
      <c r="H238" s="83"/>
      <c r="I238" s="125"/>
      <c r="J238" s="83">
        <f t="shared" si="221"/>
        <v>0</v>
      </c>
      <c r="K238" s="83">
        <f t="shared" si="222"/>
        <v>0</v>
      </c>
      <c r="L238" s="136" t="e">
        <f t="shared" si="223"/>
        <v>#DIV/0!</v>
      </c>
      <c r="M238" s="116"/>
      <c r="N238" s="121">
        <v>4000000</v>
      </c>
    </row>
    <row r="239" spans="1:14" ht="16">
      <c r="A239" s="138"/>
      <c r="B239" s="172" t="s">
        <v>62</v>
      </c>
      <c r="C239" s="83"/>
      <c r="D239" s="83"/>
      <c r="E239" s="11">
        <f t="shared" si="219"/>
        <v>0</v>
      </c>
      <c r="F239" s="141"/>
      <c r="G239" s="13" t="e">
        <f t="shared" si="220"/>
        <v>#DIV/0!</v>
      </c>
      <c r="H239" s="83"/>
      <c r="I239" s="125"/>
      <c r="J239" s="83">
        <f t="shared" si="221"/>
        <v>0</v>
      </c>
      <c r="K239" s="83">
        <f t="shared" si="222"/>
        <v>0</v>
      </c>
      <c r="L239" s="136" t="e">
        <f t="shared" si="223"/>
        <v>#DIV/0!</v>
      </c>
      <c r="M239" s="116"/>
      <c r="N239" s="121">
        <f t="shared" ref="N239:N240" si="224">F239*M239</f>
        <v>0</v>
      </c>
    </row>
    <row r="240" spans="1:14" ht="16">
      <c r="A240" s="138"/>
      <c r="B240" s="172" t="s">
        <v>62</v>
      </c>
      <c r="C240" s="83"/>
      <c r="D240" s="83"/>
      <c r="E240" s="11">
        <f t="shared" si="219"/>
        <v>0</v>
      </c>
      <c r="F240" s="141"/>
      <c r="G240" s="13" t="e">
        <f t="shared" si="220"/>
        <v>#DIV/0!</v>
      </c>
      <c r="H240" s="83"/>
      <c r="I240" s="125"/>
      <c r="J240" s="83">
        <f t="shared" si="221"/>
        <v>0</v>
      </c>
      <c r="K240" s="83">
        <f t="shared" si="222"/>
        <v>0</v>
      </c>
      <c r="L240" s="136" t="e">
        <f t="shared" si="223"/>
        <v>#DIV/0!</v>
      </c>
      <c r="M240" s="116"/>
      <c r="N240" s="121">
        <f t="shared" si="224"/>
        <v>0</v>
      </c>
    </row>
    <row r="241" spans="1:14" ht="16">
      <c r="A241" s="59"/>
      <c r="B241" s="60"/>
      <c r="C241" s="59"/>
      <c r="D241" s="59"/>
      <c r="E241" s="59">
        <f t="shared" ref="E241:F241" si="225">SUM(E236:E240)</f>
        <v>0</v>
      </c>
      <c r="F241" s="59">
        <f t="shared" si="225"/>
        <v>0</v>
      </c>
      <c r="G241" s="61" t="e">
        <f>AVERAGE(G236:G240)</f>
        <v>#DIV/0!</v>
      </c>
      <c r="H241" s="59"/>
      <c r="I241" s="62"/>
      <c r="J241" s="59">
        <f t="shared" ref="J241:K241" si="226">SUM(J236:J240)</f>
        <v>0</v>
      </c>
      <c r="K241" s="59">
        <f t="shared" si="226"/>
        <v>0</v>
      </c>
      <c r="L241" s="61" t="e">
        <f>AVERAGE(L236:L240)</f>
        <v>#DIV/0!</v>
      </c>
      <c r="M241" s="64"/>
      <c r="N241" s="65">
        <f>SUM(N236:N240)</f>
        <v>12000000</v>
      </c>
    </row>
    <row r="242" spans="1:14" ht="16">
      <c r="A242" s="66">
        <v>46055</v>
      </c>
      <c r="B242" s="140" t="s">
        <v>54</v>
      </c>
      <c r="C242" s="83"/>
      <c r="D242" s="12"/>
      <c r="E242" s="36">
        <f t="shared" ref="E242:E247" si="227">D242-C242</f>
        <v>0</v>
      </c>
      <c r="F242" s="37"/>
      <c r="G242" s="13" t="e">
        <f t="shared" ref="G242:G247" si="228">(F242/E242)*100</f>
        <v>#DIV/0!</v>
      </c>
      <c r="H242" s="83"/>
      <c r="I242" s="126"/>
      <c r="J242" s="39">
        <f t="shared" ref="J242:J249" si="229">I242-H242</f>
        <v>0</v>
      </c>
      <c r="K242" s="39"/>
      <c r="L242" s="136" t="e">
        <f t="shared" ref="L242:L249" si="230">(K242/J242)*100</f>
        <v>#DIV/0!</v>
      </c>
      <c r="M242" s="68"/>
      <c r="N242" s="47">
        <v>2000000</v>
      </c>
    </row>
    <row r="243" spans="1:14" ht="16">
      <c r="A243" s="33">
        <v>46057</v>
      </c>
      <c r="B243" s="140" t="s">
        <v>54</v>
      </c>
      <c r="C243" s="83"/>
      <c r="D243" s="83"/>
      <c r="E243" s="11">
        <f t="shared" si="227"/>
        <v>0</v>
      </c>
      <c r="F243" s="141"/>
      <c r="G243" s="13" t="e">
        <f t="shared" si="228"/>
        <v>#DIV/0!</v>
      </c>
      <c r="H243" s="83"/>
      <c r="I243" s="125"/>
      <c r="J243" s="83">
        <f t="shared" si="229"/>
        <v>0</v>
      </c>
      <c r="K243" s="83">
        <f t="shared" ref="K243:K249" si="231">F243</f>
        <v>0</v>
      </c>
      <c r="L243" s="136" t="e">
        <f t="shared" si="230"/>
        <v>#DIV/0!</v>
      </c>
      <c r="M243" s="116"/>
      <c r="N243" s="47">
        <v>6000000</v>
      </c>
    </row>
    <row r="244" spans="1:14" ht="16">
      <c r="A244" s="33">
        <v>46061</v>
      </c>
      <c r="B244" s="140" t="s">
        <v>54</v>
      </c>
      <c r="C244" s="83"/>
      <c r="D244" s="83"/>
      <c r="E244" s="11">
        <f t="shared" si="227"/>
        <v>0</v>
      </c>
      <c r="F244" s="141"/>
      <c r="G244" s="13" t="e">
        <f t="shared" si="228"/>
        <v>#DIV/0!</v>
      </c>
      <c r="H244" s="83"/>
      <c r="I244" s="125"/>
      <c r="J244" s="83">
        <f t="shared" si="229"/>
        <v>0</v>
      </c>
      <c r="K244" s="83">
        <f t="shared" si="231"/>
        <v>0</v>
      </c>
      <c r="L244" s="136" t="e">
        <f t="shared" si="230"/>
        <v>#DIV/0!</v>
      </c>
      <c r="M244" s="116"/>
      <c r="N244" s="47">
        <v>3000000</v>
      </c>
    </row>
    <row r="245" spans="1:14" ht="16">
      <c r="A245" s="33">
        <v>46063</v>
      </c>
      <c r="B245" s="140" t="s">
        <v>54</v>
      </c>
      <c r="C245" s="83"/>
      <c r="D245" s="83"/>
      <c r="E245" s="11">
        <f t="shared" si="227"/>
        <v>0</v>
      </c>
      <c r="F245" s="141"/>
      <c r="G245" s="13" t="e">
        <f t="shared" si="228"/>
        <v>#DIV/0!</v>
      </c>
      <c r="H245" s="83"/>
      <c r="I245" s="125"/>
      <c r="J245" s="83">
        <f t="shared" si="229"/>
        <v>0</v>
      </c>
      <c r="K245" s="83">
        <f t="shared" si="231"/>
        <v>0</v>
      </c>
      <c r="L245" s="136" t="e">
        <f t="shared" si="230"/>
        <v>#DIV/0!</v>
      </c>
      <c r="M245" s="116"/>
      <c r="N245" s="47">
        <v>7400000</v>
      </c>
    </row>
    <row r="246" spans="1:14" ht="16">
      <c r="A246" s="33">
        <v>46077</v>
      </c>
      <c r="B246" s="140" t="s">
        <v>54</v>
      </c>
      <c r="C246" s="83"/>
      <c r="D246" s="83"/>
      <c r="E246" s="11">
        <f t="shared" si="227"/>
        <v>0</v>
      </c>
      <c r="F246" s="141"/>
      <c r="G246" s="13" t="e">
        <f t="shared" si="228"/>
        <v>#DIV/0!</v>
      </c>
      <c r="H246" s="83"/>
      <c r="I246" s="125"/>
      <c r="J246" s="83">
        <f t="shared" si="229"/>
        <v>0</v>
      </c>
      <c r="K246" s="83">
        <f t="shared" si="231"/>
        <v>0</v>
      </c>
      <c r="L246" s="136" t="e">
        <f t="shared" si="230"/>
        <v>#DIV/0!</v>
      </c>
      <c r="M246" s="116"/>
      <c r="N246" s="47">
        <v>5000000</v>
      </c>
    </row>
    <row r="247" spans="1:14" ht="16">
      <c r="A247" s="33"/>
      <c r="B247" s="140" t="s">
        <v>54</v>
      </c>
      <c r="C247" s="83"/>
      <c r="D247" s="83"/>
      <c r="E247" s="11">
        <f t="shared" si="227"/>
        <v>0</v>
      </c>
      <c r="F247" s="141"/>
      <c r="G247" s="13" t="e">
        <f t="shared" si="228"/>
        <v>#DIV/0!</v>
      </c>
      <c r="H247" s="83"/>
      <c r="I247" s="125"/>
      <c r="J247" s="83">
        <f t="shared" si="229"/>
        <v>0</v>
      </c>
      <c r="K247" s="83">
        <f t="shared" si="231"/>
        <v>0</v>
      </c>
      <c r="L247" s="136" t="e">
        <f t="shared" si="230"/>
        <v>#DIV/0!</v>
      </c>
      <c r="M247" s="116"/>
      <c r="N247" s="47"/>
    </row>
    <row r="248" spans="1:14" ht="16">
      <c r="A248" s="33"/>
      <c r="B248" s="140" t="s">
        <v>54</v>
      </c>
      <c r="C248" s="83"/>
      <c r="D248" s="83"/>
      <c r="E248" s="11"/>
      <c r="F248" s="141"/>
      <c r="G248" s="13"/>
      <c r="H248" s="83"/>
      <c r="I248" s="125"/>
      <c r="J248" s="83">
        <f t="shared" si="229"/>
        <v>0</v>
      </c>
      <c r="K248" s="83">
        <f t="shared" si="231"/>
        <v>0</v>
      </c>
      <c r="L248" s="136" t="e">
        <f t="shared" si="230"/>
        <v>#DIV/0!</v>
      </c>
      <c r="M248" s="116"/>
      <c r="N248" s="47">
        <f t="shared" ref="N248:N249" si="232">M248*F248</f>
        <v>0</v>
      </c>
    </row>
    <row r="249" spans="1:14" ht="16">
      <c r="A249" s="33"/>
      <c r="B249" s="140" t="s">
        <v>54</v>
      </c>
      <c r="C249" s="83"/>
      <c r="D249" s="83"/>
      <c r="E249" s="11">
        <f>D249-C249</f>
        <v>0</v>
      </c>
      <c r="F249" s="141"/>
      <c r="G249" s="13" t="e">
        <f>(F249/E249)*100</f>
        <v>#DIV/0!</v>
      </c>
      <c r="H249" s="83"/>
      <c r="I249" s="125"/>
      <c r="J249" s="83">
        <f t="shared" si="229"/>
        <v>0</v>
      </c>
      <c r="K249" s="83">
        <f t="shared" si="231"/>
        <v>0</v>
      </c>
      <c r="L249" s="136" t="e">
        <f t="shared" si="230"/>
        <v>#DIV/0!</v>
      </c>
      <c r="M249" s="116"/>
      <c r="N249" s="47">
        <f t="shared" si="232"/>
        <v>0</v>
      </c>
    </row>
    <row r="250" spans="1:14" ht="16">
      <c r="A250" s="66"/>
      <c r="B250" s="60"/>
      <c r="C250" s="59"/>
      <c r="D250" s="59" t="s">
        <v>19</v>
      </c>
      <c r="E250" s="59">
        <f t="shared" ref="E250:F250" si="233">SUM(E242:E249)</f>
        <v>0</v>
      </c>
      <c r="F250" s="59">
        <f t="shared" si="233"/>
        <v>0</v>
      </c>
      <c r="G250" s="61" t="e">
        <f>AVERAGE(G242:G249)</f>
        <v>#DIV/0!</v>
      </c>
      <c r="H250" s="59"/>
      <c r="I250" s="62"/>
      <c r="J250" s="59">
        <f t="shared" ref="J250:K250" si="234">SUM(J242:J249)</f>
        <v>0</v>
      </c>
      <c r="K250" s="59">
        <f t="shared" si="234"/>
        <v>0</v>
      </c>
      <c r="L250" s="61" t="e">
        <f>AVERAGE(L242:L249)</f>
        <v>#DIV/0!</v>
      </c>
      <c r="M250" s="64"/>
      <c r="N250" s="65">
        <f>SUM(N242:N249)</f>
        <v>23400000</v>
      </c>
    </row>
    <row r="251" spans="1:14" ht="16">
      <c r="A251" s="66">
        <v>46057</v>
      </c>
      <c r="B251" s="140" t="s">
        <v>69</v>
      </c>
      <c r="C251" s="83"/>
      <c r="D251" s="12"/>
      <c r="E251" s="36">
        <f t="shared" ref="E251:E256" si="235">D251-C251</f>
        <v>0</v>
      </c>
      <c r="F251" s="37"/>
      <c r="G251" s="13" t="e">
        <f t="shared" ref="G251:G256" si="236">(F251/E251)*100</f>
        <v>#DIV/0!</v>
      </c>
      <c r="H251" s="83"/>
      <c r="I251" s="126"/>
      <c r="J251" s="39">
        <f t="shared" ref="J251:J256" si="237">I251-H251</f>
        <v>0</v>
      </c>
      <c r="K251" s="39">
        <f t="shared" ref="K251:K256" si="238">F251</f>
        <v>0</v>
      </c>
      <c r="L251" s="67" t="e">
        <f t="shared" ref="L251:L256" si="239">(K251/J251)*100</f>
        <v>#DIV/0!</v>
      </c>
      <c r="M251" s="68"/>
      <c r="N251" s="47">
        <v>5953000</v>
      </c>
    </row>
    <row r="252" spans="1:14" ht="16">
      <c r="A252" s="33">
        <v>46079</v>
      </c>
      <c r="B252" s="140" t="s">
        <v>69</v>
      </c>
      <c r="C252" s="83"/>
      <c r="D252" s="83"/>
      <c r="E252" s="11">
        <f t="shared" si="235"/>
        <v>0</v>
      </c>
      <c r="F252" s="141"/>
      <c r="G252" s="13" t="e">
        <f t="shared" si="236"/>
        <v>#DIV/0!</v>
      </c>
      <c r="H252" s="83"/>
      <c r="I252" s="125"/>
      <c r="J252" s="35">
        <f t="shared" si="237"/>
        <v>0</v>
      </c>
      <c r="K252" s="35">
        <f t="shared" si="238"/>
        <v>0</v>
      </c>
      <c r="L252" s="46" t="e">
        <f t="shared" si="239"/>
        <v>#DIV/0!</v>
      </c>
      <c r="M252" s="116"/>
      <c r="N252" s="47">
        <v>2000000</v>
      </c>
    </row>
    <row r="253" spans="1:14" ht="16">
      <c r="A253" s="33"/>
      <c r="B253" s="140" t="s">
        <v>69</v>
      </c>
      <c r="C253" s="83"/>
      <c r="D253" s="12"/>
      <c r="E253" s="36">
        <f t="shared" si="235"/>
        <v>0</v>
      </c>
      <c r="F253" s="37"/>
      <c r="G253" s="13" t="e">
        <f t="shared" si="236"/>
        <v>#DIV/0!</v>
      </c>
      <c r="H253" s="83"/>
      <c r="I253" s="126"/>
      <c r="J253" s="39">
        <f t="shared" si="237"/>
        <v>0</v>
      </c>
      <c r="K253" s="39">
        <f t="shared" si="238"/>
        <v>0</v>
      </c>
      <c r="L253" s="67" t="e">
        <f t="shared" si="239"/>
        <v>#DIV/0!</v>
      </c>
      <c r="M253" s="68"/>
      <c r="N253" s="47"/>
    </row>
    <row r="254" spans="1:14" ht="16">
      <c r="A254" s="33"/>
      <c r="B254" s="140" t="s">
        <v>69</v>
      </c>
      <c r="C254" s="83"/>
      <c r="D254" s="83"/>
      <c r="E254" s="11">
        <f t="shared" si="235"/>
        <v>0</v>
      </c>
      <c r="F254" s="141"/>
      <c r="G254" s="13" t="e">
        <f t="shared" si="236"/>
        <v>#DIV/0!</v>
      </c>
      <c r="H254" s="83"/>
      <c r="I254" s="125"/>
      <c r="J254" s="35">
        <f t="shared" si="237"/>
        <v>0</v>
      </c>
      <c r="K254" s="35">
        <f t="shared" si="238"/>
        <v>0</v>
      </c>
      <c r="L254" s="46" t="e">
        <f t="shared" si="239"/>
        <v>#DIV/0!</v>
      </c>
      <c r="M254" s="116"/>
      <c r="N254" s="47">
        <f t="shared" ref="N254:N256" si="240">M254*F254</f>
        <v>0</v>
      </c>
    </row>
    <row r="255" spans="1:14" ht="16">
      <c r="A255" s="33"/>
      <c r="B255" s="140" t="s">
        <v>69</v>
      </c>
      <c r="C255" s="83"/>
      <c r="D255" s="83"/>
      <c r="E255" s="11">
        <f t="shared" si="235"/>
        <v>0</v>
      </c>
      <c r="F255" s="141"/>
      <c r="G255" s="13" t="e">
        <f t="shared" si="236"/>
        <v>#DIV/0!</v>
      </c>
      <c r="H255" s="83"/>
      <c r="I255" s="125"/>
      <c r="J255" s="35">
        <f t="shared" si="237"/>
        <v>0</v>
      </c>
      <c r="K255" s="35">
        <f t="shared" si="238"/>
        <v>0</v>
      </c>
      <c r="L255" s="73" t="e">
        <f t="shared" si="239"/>
        <v>#DIV/0!</v>
      </c>
      <c r="M255" s="116"/>
      <c r="N255" s="47">
        <f t="shared" si="240"/>
        <v>0</v>
      </c>
    </row>
    <row r="256" spans="1:14" ht="16">
      <c r="A256" s="33"/>
      <c r="B256" s="140" t="s">
        <v>69</v>
      </c>
      <c r="C256" s="83"/>
      <c r="D256" s="83"/>
      <c r="E256" s="11">
        <f t="shared" si="235"/>
        <v>0</v>
      </c>
      <c r="F256" s="141"/>
      <c r="G256" s="13" t="e">
        <f t="shared" si="236"/>
        <v>#DIV/0!</v>
      </c>
      <c r="H256" s="83"/>
      <c r="I256" s="125"/>
      <c r="J256" s="83">
        <f t="shared" si="237"/>
        <v>0</v>
      </c>
      <c r="K256" s="83">
        <f t="shared" si="238"/>
        <v>0</v>
      </c>
      <c r="L256" s="136" t="e">
        <f t="shared" si="239"/>
        <v>#DIV/0!</v>
      </c>
      <c r="M256" s="116"/>
      <c r="N256" s="47">
        <f t="shared" si="240"/>
        <v>0</v>
      </c>
    </row>
    <row r="257" spans="1:14" ht="16">
      <c r="A257" s="66"/>
      <c r="B257" s="60"/>
      <c r="C257" s="59"/>
      <c r="D257" s="59" t="s">
        <v>19</v>
      </c>
      <c r="E257" s="59">
        <f t="shared" ref="E257:F257" si="241">SUM(E251:E256)</f>
        <v>0</v>
      </c>
      <c r="F257" s="59">
        <f t="shared" si="241"/>
        <v>0</v>
      </c>
      <c r="G257" s="61" t="e">
        <f>AVERAGE(G251:G256)</f>
        <v>#DIV/0!</v>
      </c>
      <c r="H257" s="59"/>
      <c r="I257" s="62"/>
      <c r="J257" s="59">
        <f t="shared" ref="J257:K257" si="242">SUM(J251:J256)</f>
        <v>0</v>
      </c>
      <c r="K257" s="59">
        <f t="shared" si="242"/>
        <v>0</v>
      </c>
      <c r="L257" s="61" t="e">
        <f>AVERAGE(L251:L256)</f>
        <v>#DIV/0!</v>
      </c>
      <c r="M257" s="64"/>
      <c r="N257" s="65">
        <f>SUM(N251:N256)</f>
        <v>7953000</v>
      </c>
    </row>
    <row r="258" spans="1:14" ht="16">
      <c r="A258" s="66">
        <v>46057</v>
      </c>
      <c r="B258" s="174" t="s">
        <v>63</v>
      </c>
      <c r="C258" s="83">
        <v>149814</v>
      </c>
      <c r="D258" s="83">
        <v>150563</v>
      </c>
      <c r="E258" s="36">
        <f t="shared" ref="E258:E263" si="243">D258-C258</f>
        <v>749</v>
      </c>
      <c r="F258" s="37">
        <v>231.15</v>
      </c>
      <c r="G258" s="13">
        <f t="shared" ref="G258:G263" si="244">(F258/E258)*100</f>
        <v>30.861148197596794</v>
      </c>
      <c r="H258" s="125"/>
      <c r="I258" s="125"/>
      <c r="J258" s="39">
        <f>I258-H258</f>
        <v>0</v>
      </c>
      <c r="K258" s="39">
        <f t="shared" ref="K258:K263" si="245">F258</f>
        <v>231.15</v>
      </c>
      <c r="L258" s="136" t="e">
        <f t="shared" ref="L258:L263" si="246">(K258/J258)*100</f>
        <v>#DIV/0!</v>
      </c>
      <c r="M258" s="68">
        <v>18170</v>
      </c>
      <c r="N258" s="47">
        <f t="shared" ref="N258:N263" si="247">M258*F258</f>
        <v>4199995.5</v>
      </c>
    </row>
    <row r="259" spans="1:14" ht="16">
      <c r="A259" s="33">
        <v>46076</v>
      </c>
      <c r="B259" s="174" t="s">
        <v>63</v>
      </c>
      <c r="C259" s="83">
        <v>150563</v>
      </c>
      <c r="D259" s="12">
        <v>151415</v>
      </c>
      <c r="E259" s="11">
        <f t="shared" si="243"/>
        <v>852</v>
      </c>
      <c r="F259" s="141">
        <v>253.78</v>
      </c>
      <c r="G259" s="13">
        <f t="shared" si="244"/>
        <v>29.78638497652582</v>
      </c>
      <c r="H259" s="83"/>
      <c r="I259" s="125">
        <v>151342</v>
      </c>
      <c r="J259" s="83"/>
      <c r="K259" s="35">
        <f t="shared" si="245"/>
        <v>253.78</v>
      </c>
      <c r="L259" s="136" t="e">
        <f t="shared" si="246"/>
        <v>#DIV/0!</v>
      </c>
      <c r="M259" s="68">
        <v>18520</v>
      </c>
      <c r="N259" s="47">
        <f t="shared" si="247"/>
        <v>4700005.5999999996</v>
      </c>
    </row>
    <row r="260" spans="1:14" ht="16">
      <c r="A260" s="33"/>
      <c r="B260" s="174" t="s">
        <v>63</v>
      </c>
      <c r="C260" s="12"/>
      <c r="D260" s="83"/>
      <c r="E260" s="11">
        <f t="shared" si="243"/>
        <v>0</v>
      </c>
      <c r="F260" s="141"/>
      <c r="G260" s="13" t="e">
        <f t="shared" si="244"/>
        <v>#DIV/0!</v>
      </c>
      <c r="H260" s="83"/>
      <c r="I260" s="125"/>
      <c r="J260" s="83">
        <f t="shared" ref="J260:J263" si="248">I260-H260</f>
        <v>0</v>
      </c>
      <c r="K260" s="35">
        <f t="shared" si="245"/>
        <v>0</v>
      </c>
      <c r="L260" s="136" t="e">
        <f t="shared" si="246"/>
        <v>#DIV/0!</v>
      </c>
      <c r="M260" s="116"/>
      <c r="N260" s="47">
        <f t="shared" si="247"/>
        <v>0</v>
      </c>
    </row>
    <row r="261" spans="1:14" ht="16">
      <c r="A261" s="33"/>
      <c r="B261" s="174" t="s">
        <v>63</v>
      </c>
      <c r="C261" s="83"/>
      <c r="D261" s="83"/>
      <c r="E261" s="11">
        <f t="shared" si="243"/>
        <v>0</v>
      </c>
      <c r="F261" s="141"/>
      <c r="G261" s="13" t="e">
        <f t="shared" si="244"/>
        <v>#DIV/0!</v>
      </c>
      <c r="H261" s="125"/>
      <c r="I261" s="125"/>
      <c r="J261" s="83">
        <f t="shared" si="248"/>
        <v>0</v>
      </c>
      <c r="K261" s="35">
        <f t="shared" si="245"/>
        <v>0</v>
      </c>
      <c r="L261" s="136" t="e">
        <f t="shared" si="246"/>
        <v>#DIV/0!</v>
      </c>
      <c r="M261" s="116"/>
      <c r="N261" s="47">
        <f t="shared" si="247"/>
        <v>0</v>
      </c>
    </row>
    <row r="262" spans="1:14" ht="16">
      <c r="A262" s="33"/>
      <c r="B262" s="174" t="s">
        <v>63</v>
      </c>
      <c r="C262" s="35"/>
      <c r="D262" s="83"/>
      <c r="E262" s="11">
        <f t="shared" si="243"/>
        <v>0</v>
      </c>
      <c r="F262" s="141"/>
      <c r="G262" s="13" t="e">
        <f t="shared" si="244"/>
        <v>#DIV/0!</v>
      </c>
      <c r="H262" s="83"/>
      <c r="I262" s="125"/>
      <c r="J262" s="83">
        <f t="shared" si="248"/>
        <v>0</v>
      </c>
      <c r="K262" s="35">
        <f t="shared" si="245"/>
        <v>0</v>
      </c>
      <c r="L262" s="136" t="e">
        <f t="shared" si="246"/>
        <v>#DIV/0!</v>
      </c>
      <c r="M262" s="116"/>
      <c r="N262" s="47">
        <f t="shared" si="247"/>
        <v>0</v>
      </c>
    </row>
    <row r="263" spans="1:14" ht="16">
      <c r="A263" s="138"/>
      <c r="B263" s="174" t="s">
        <v>63</v>
      </c>
      <c r="C263" s="83"/>
      <c r="D263" s="83"/>
      <c r="E263" s="11">
        <f t="shared" si="243"/>
        <v>0</v>
      </c>
      <c r="F263" s="141"/>
      <c r="G263" s="13" t="e">
        <f t="shared" si="244"/>
        <v>#DIV/0!</v>
      </c>
      <c r="H263" s="83"/>
      <c r="I263" s="125"/>
      <c r="J263" s="83">
        <f t="shared" si="248"/>
        <v>0</v>
      </c>
      <c r="K263" s="35">
        <f t="shared" si="245"/>
        <v>0</v>
      </c>
      <c r="L263" s="136" t="e">
        <f t="shared" si="246"/>
        <v>#DIV/0!</v>
      </c>
      <c r="M263" s="116"/>
      <c r="N263" s="47">
        <f t="shared" si="247"/>
        <v>0</v>
      </c>
    </row>
    <row r="264" spans="1:14" ht="16">
      <c r="A264" s="59"/>
      <c r="B264" s="60"/>
      <c r="C264" s="59"/>
      <c r="D264" s="59" t="s">
        <v>19</v>
      </c>
      <c r="E264" s="59">
        <f t="shared" ref="E264:F264" si="249">SUM(E258:E263)</f>
        <v>1601</v>
      </c>
      <c r="F264" s="59">
        <f t="shared" si="249"/>
        <v>484.93</v>
      </c>
      <c r="G264" s="61" t="e">
        <f>AVERAGE(G258:G263)</f>
        <v>#DIV/0!</v>
      </c>
      <c r="H264" s="59"/>
      <c r="I264" s="62"/>
      <c r="J264" s="59">
        <f t="shared" ref="J264:K264" si="250">SUM(J258:J263)</f>
        <v>0</v>
      </c>
      <c r="K264" s="59">
        <f t="shared" si="250"/>
        <v>484.93</v>
      </c>
      <c r="L264" s="61" t="e">
        <f>AVERAGE(L258:L263)</f>
        <v>#DIV/0!</v>
      </c>
      <c r="M264" s="64"/>
      <c r="N264" s="65">
        <f>SUM(N258:N263)</f>
        <v>8900001.0999999996</v>
      </c>
    </row>
    <row r="265" spans="1:14" ht="16">
      <c r="A265" s="66">
        <v>46057</v>
      </c>
      <c r="B265" s="174" t="s">
        <v>57</v>
      </c>
      <c r="C265" s="83">
        <v>4485</v>
      </c>
      <c r="D265" s="83">
        <v>5076</v>
      </c>
      <c r="E265" s="11">
        <f t="shared" ref="E265:E270" si="251">D265-C265</f>
        <v>591</v>
      </c>
      <c r="F265" s="37">
        <v>183.28</v>
      </c>
      <c r="G265" s="13">
        <f t="shared" ref="G265:G270" si="252">(F265/E265)*100</f>
        <v>31.011844331641285</v>
      </c>
      <c r="H265" s="125">
        <v>2384</v>
      </c>
      <c r="I265" s="125">
        <v>2931</v>
      </c>
      <c r="J265" s="39">
        <f t="shared" ref="J265:J270" si="253">I265-H265</f>
        <v>547</v>
      </c>
      <c r="K265" s="39">
        <f t="shared" ref="K265:K270" si="254">F265</f>
        <v>183.28</v>
      </c>
      <c r="L265" s="136">
        <f t="shared" ref="L265:L270" si="255">(K265/J265)*100</f>
        <v>33.506398537477153</v>
      </c>
      <c r="M265" s="68">
        <v>18170</v>
      </c>
      <c r="N265" s="47">
        <f t="shared" ref="N265:N267" si="256">M265*F265</f>
        <v>3330197.6</v>
      </c>
    </row>
    <row r="266" spans="1:14" ht="16">
      <c r="A266" s="33">
        <v>46063</v>
      </c>
      <c r="B266" s="174" t="s">
        <v>57</v>
      </c>
      <c r="C266" s="83">
        <v>5076</v>
      </c>
      <c r="D266" s="12">
        <v>5716</v>
      </c>
      <c r="E266" s="11">
        <f t="shared" si="251"/>
        <v>640</v>
      </c>
      <c r="F266" s="141">
        <v>189.71</v>
      </c>
      <c r="G266" s="13">
        <f t="shared" si="252"/>
        <v>29.642187499999999</v>
      </c>
      <c r="H266" s="125">
        <v>2931</v>
      </c>
      <c r="I266" s="125">
        <v>3583</v>
      </c>
      <c r="J266" s="83">
        <f t="shared" si="253"/>
        <v>652</v>
      </c>
      <c r="K266" s="35">
        <f t="shared" si="254"/>
        <v>189.71</v>
      </c>
      <c r="L266" s="136">
        <f t="shared" si="255"/>
        <v>29.096625766871163</v>
      </c>
      <c r="M266" s="68">
        <v>18450</v>
      </c>
      <c r="N266" s="47">
        <f t="shared" si="256"/>
        <v>3500149.5</v>
      </c>
    </row>
    <row r="267" spans="1:14" ht="16">
      <c r="A267" s="33">
        <v>46076</v>
      </c>
      <c r="B267" s="174" t="s">
        <v>57</v>
      </c>
      <c r="C267" s="12">
        <v>5716</v>
      </c>
      <c r="D267" s="83">
        <v>6135</v>
      </c>
      <c r="E267" s="11">
        <f t="shared" si="251"/>
        <v>419</v>
      </c>
      <c r="F267" s="141">
        <v>119.33</v>
      </c>
      <c r="G267" s="13">
        <f t="shared" si="252"/>
        <v>28.479713603818613</v>
      </c>
      <c r="H267" s="125">
        <v>3583</v>
      </c>
      <c r="I267" s="125">
        <v>4166</v>
      </c>
      <c r="J267" s="83">
        <f t="shared" si="253"/>
        <v>583</v>
      </c>
      <c r="K267" s="35">
        <f t="shared" si="254"/>
        <v>119.33</v>
      </c>
      <c r="L267" s="136">
        <f t="shared" si="255"/>
        <v>20.468267581475128</v>
      </c>
      <c r="M267" s="68">
        <v>18520</v>
      </c>
      <c r="N267" s="47">
        <f t="shared" si="256"/>
        <v>2209991.6</v>
      </c>
    </row>
    <row r="268" spans="1:14" ht="16">
      <c r="A268" s="33">
        <v>46081</v>
      </c>
      <c r="B268" s="174" t="s">
        <v>57</v>
      </c>
      <c r="C268" s="83">
        <v>6135</v>
      </c>
      <c r="D268" s="83">
        <v>6822</v>
      </c>
      <c r="E268" s="11">
        <f t="shared" si="251"/>
        <v>687</v>
      </c>
      <c r="F268" s="141">
        <v>186</v>
      </c>
      <c r="G268" s="13">
        <f t="shared" si="252"/>
        <v>27.074235807860266</v>
      </c>
      <c r="H268" s="125">
        <v>4166</v>
      </c>
      <c r="I268" s="125">
        <v>4707</v>
      </c>
      <c r="J268" s="83">
        <f t="shared" si="253"/>
        <v>541</v>
      </c>
      <c r="K268" s="35">
        <f t="shared" si="254"/>
        <v>186</v>
      </c>
      <c r="L268" s="136">
        <f t="shared" si="255"/>
        <v>34.380776340110906</v>
      </c>
      <c r="M268" s="116">
        <v>19720</v>
      </c>
      <c r="N268" s="219">
        <v>3600000</v>
      </c>
    </row>
    <row r="269" spans="1:14" ht="16">
      <c r="A269" s="33"/>
      <c r="B269" s="174" t="s">
        <v>57</v>
      </c>
      <c r="C269" s="35"/>
      <c r="D269" s="83"/>
      <c r="E269" s="11">
        <f t="shared" si="251"/>
        <v>0</v>
      </c>
      <c r="F269" s="141"/>
      <c r="G269" s="13" t="e">
        <f t="shared" si="252"/>
        <v>#DIV/0!</v>
      </c>
      <c r="H269" s="83"/>
      <c r="I269" s="125"/>
      <c r="J269" s="83">
        <f t="shared" si="253"/>
        <v>0</v>
      </c>
      <c r="K269" s="35">
        <f t="shared" si="254"/>
        <v>0</v>
      </c>
      <c r="L269" s="136" t="e">
        <f t="shared" si="255"/>
        <v>#DIV/0!</v>
      </c>
      <c r="M269" s="116"/>
      <c r="N269" s="47">
        <f t="shared" ref="N269:N270" si="257">M269*F269</f>
        <v>0</v>
      </c>
    </row>
    <row r="270" spans="1:14" ht="16">
      <c r="A270" s="138"/>
      <c r="B270" s="174" t="s">
        <v>57</v>
      </c>
      <c r="C270" s="83"/>
      <c r="D270" s="83"/>
      <c r="E270" s="11">
        <f t="shared" si="251"/>
        <v>0</v>
      </c>
      <c r="F270" s="141"/>
      <c r="G270" s="13" t="e">
        <f t="shared" si="252"/>
        <v>#DIV/0!</v>
      </c>
      <c r="H270" s="83"/>
      <c r="I270" s="125"/>
      <c r="J270" s="83">
        <f t="shared" si="253"/>
        <v>0</v>
      </c>
      <c r="K270" s="35">
        <f t="shared" si="254"/>
        <v>0</v>
      </c>
      <c r="L270" s="136" t="e">
        <f t="shared" si="255"/>
        <v>#DIV/0!</v>
      </c>
      <c r="M270" s="116"/>
      <c r="N270" s="47">
        <f t="shared" si="257"/>
        <v>0</v>
      </c>
    </row>
    <row r="271" spans="1:14" ht="16">
      <c r="A271" s="59"/>
      <c r="B271" s="60"/>
      <c r="C271" s="59"/>
      <c r="D271" s="59" t="s">
        <v>19</v>
      </c>
      <c r="E271" s="59">
        <f t="shared" ref="E271:F271" si="258">SUM(E265:E270)</f>
        <v>2337</v>
      </c>
      <c r="F271" s="59">
        <f t="shared" si="258"/>
        <v>678.31999999999994</v>
      </c>
      <c r="G271" s="61" t="e">
        <f>AVERAGE(G265:G270)</f>
        <v>#DIV/0!</v>
      </c>
      <c r="H271" s="59"/>
      <c r="I271" s="62"/>
      <c r="J271" s="59">
        <f t="shared" ref="J271:K271" si="259">SUM(J265:J270)</f>
        <v>2323</v>
      </c>
      <c r="K271" s="59">
        <f t="shared" si="259"/>
        <v>678.31999999999994</v>
      </c>
      <c r="L271" s="61" t="e">
        <f>AVERAGE(L265:L270)</f>
        <v>#DIV/0!</v>
      </c>
      <c r="M271" s="64"/>
      <c r="N271" s="65">
        <f>SUM(N265:N270)</f>
        <v>12640338.699999999</v>
      </c>
    </row>
    <row r="272" spans="1:14" ht="16">
      <c r="A272" s="66">
        <v>46055</v>
      </c>
      <c r="B272" s="174" t="s">
        <v>58</v>
      </c>
      <c r="C272" s="83">
        <v>3879</v>
      </c>
      <c r="D272" s="83">
        <v>4684</v>
      </c>
      <c r="E272" s="11">
        <f t="shared" ref="E272:E277" si="260">D272-C272</f>
        <v>805</v>
      </c>
      <c r="F272" s="37">
        <v>216.29</v>
      </c>
      <c r="G272" s="13">
        <f t="shared" ref="G272:G277" si="261">(F272/E272)*100</f>
        <v>26.868322981366461</v>
      </c>
      <c r="H272" s="125">
        <v>1877</v>
      </c>
      <c r="I272" s="125">
        <v>2694</v>
      </c>
      <c r="J272" s="39">
        <f t="shared" ref="J272:J277" si="262">I272-H272</f>
        <v>817</v>
      </c>
      <c r="K272" s="39">
        <f t="shared" ref="K272:K277" si="263">F272</f>
        <v>216.29</v>
      </c>
      <c r="L272" s="136">
        <f t="shared" ref="L272:L277" si="264">(K272/J272)*100</f>
        <v>26.473684210526315</v>
      </c>
      <c r="M272" s="68">
        <v>18170</v>
      </c>
      <c r="N272" s="47">
        <f t="shared" ref="N272:N277" si="265">M272*F272</f>
        <v>3929989.3</v>
      </c>
    </row>
    <row r="273" spans="1:14" ht="16">
      <c r="A273" s="33">
        <v>46060</v>
      </c>
      <c r="B273" s="174" t="s">
        <v>58</v>
      </c>
      <c r="C273" s="83">
        <v>4684</v>
      </c>
      <c r="D273" s="12">
        <v>5505</v>
      </c>
      <c r="E273" s="11">
        <f t="shared" si="260"/>
        <v>821</v>
      </c>
      <c r="F273" s="141">
        <v>205.97</v>
      </c>
      <c r="G273" s="13">
        <f t="shared" si="261"/>
        <v>25.087697929354448</v>
      </c>
      <c r="H273" s="125">
        <v>2694</v>
      </c>
      <c r="I273" s="125">
        <v>3539</v>
      </c>
      <c r="J273" s="83">
        <f t="shared" si="262"/>
        <v>845</v>
      </c>
      <c r="K273" s="35">
        <f t="shared" si="263"/>
        <v>205.97</v>
      </c>
      <c r="L273" s="136">
        <f t="shared" si="264"/>
        <v>24.375147928994082</v>
      </c>
      <c r="M273" s="68">
        <v>18450</v>
      </c>
      <c r="N273" s="47">
        <f t="shared" si="265"/>
        <v>3800146.5</v>
      </c>
    </row>
    <row r="274" spans="1:14" ht="16">
      <c r="A274" s="33">
        <v>46077</v>
      </c>
      <c r="B274" s="174" t="s">
        <v>58</v>
      </c>
      <c r="C274" s="12">
        <v>5505</v>
      </c>
      <c r="D274" s="83">
        <v>6089</v>
      </c>
      <c r="E274" s="11">
        <f t="shared" si="260"/>
        <v>584</v>
      </c>
      <c r="F274" s="141">
        <v>172.78</v>
      </c>
      <c r="G274" s="13">
        <f t="shared" si="261"/>
        <v>29.585616438356166</v>
      </c>
      <c r="H274" s="125">
        <v>3539</v>
      </c>
      <c r="I274" s="125">
        <v>4149</v>
      </c>
      <c r="J274" s="83">
        <f t="shared" si="262"/>
        <v>610</v>
      </c>
      <c r="K274" s="35">
        <f t="shared" si="263"/>
        <v>172.78</v>
      </c>
      <c r="L274" s="136">
        <f t="shared" si="264"/>
        <v>28.324590163934428</v>
      </c>
      <c r="M274" s="116">
        <v>18520</v>
      </c>
      <c r="N274" s="47">
        <f t="shared" si="265"/>
        <v>3199885.6</v>
      </c>
    </row>
    <row r="275" spans="1:14" ht="16">
      <c r="A275" s="33">
        <v>46079</v>
      </c>
      <c r="B275" s="174" t="s">
        <v>58</v>
      </c>
      <c r="C275" s="83">
        <v>6089</v>
      </c>
      <c r="D275" s="83">
        <v>6321</v>
      </c>
      <c r="E275" s="11">
        <f t="shared" si="260"/>
        <v>232</v>
      </c>
      <c r="F275" s="141">
        <v>75.59</v>
      </c>
      <c r="G275" s="13">
        <f t="shared" si="261"/>
        <v>32.581896551724135</v>
      </c>
      <c r="H275" s="125">
        <v>4149</v>
      </c>
      <c r="I275" s="125">
        <v>4444</v>
      </c>
      <c r="J275" s="83">
        <f t="shared" si="262"/>
        <v>295</v>
      </c>
      <c r="K275" s="35">
        <f t="shared" si="263"/>
        <v>75.59</v>
      </c>
      <c r="L275" s="136">
        <f t="shared" si="264"/>
        <v>25.623728813559321</v>
      </c>
      <c r="M275" s="116">
        <v>18520</v>
      </c>
      <c r="N275" s="47">
        <f t="shared" si="265"/>
        <v>1399926.8</v>
      </c>
    </row>
    <row r="276" spans="1:14" ht="16">
      <c r="A276" s="33"/>
      <c r="B276" s="174" t="s">
        <v>58</v>
      </c>
      <c r="C276" s="35"/>
      <c r="D276" s="83"/>
      <c r="E276" s="11">
        <f t="shared" si="260"/>
        <v>0</v>
      </c>
      <c r="F276" s="141"/>
      <c r="G276" s="13" t="e">
        <f t="shared" si="261"/>
        <v>#DIV/0!</v>
      </c>
      <c r="H276" s="83"/>
      <c r="I276" s="125"/>
      <c r="J276" s="83">
        <f t="shared" si="262"/>
        <v>0</v>
      </c>
      <c r="K276" s="35">
        <f t="shared" si="263"/>
        <v>0</v>
      </c>
      <c r="L276" s="136" t="e">
        <f t="shared" si="264"/>
        <v>#DIV/0!</v>
      </c>
      <c r="M276" s="116"/>
      <c r="N276" s="47">
        <f t="shared" si="265"/>
        <v>0</v>
      </c>
    </row>
    <row r="277" spans="1:14" ht="16">
      <c r="A277" s="138"/>
      <c r="B277" s="174" t="s">
        <v>58</v>
      </c>
      <c r="C277" s="83"/>
      <c r="D277" s="83"/>
      <c r="E277" s="11">
        <f t="shared" si="260"/>
        <v>0</v>
      </c>
      <c r="F277" s="141"/>
      <c r="G277" s="13" t="e">
        <f t="shared" si="261"/>
        <v>#DIV/0!</v>
      </c>
      <c r="H277" s="83"/>
      <c r="I277" s="125"/>
      <c r="J277" s="83">
        <f t="shared" si="262"/>
        <v>0</v>
      </c>
      <c r="K277" s="35">
        <f t="shared" si="263"/>
        <v>0</v>
      </c>
      <c r="L277" s="136" t="e">
        <f t="shared" si="264"/>
        <v>#DIV/0!</v>
      </c>
      <c r="M277" s="116"/>
      <c r="N277" s="47">
        <f t="shared" si="265"/>
        <v>0</v>
      </c>
    </row>
    <row r="278" spans="1:14" ht="16">
      <c r="A278" s="59"/>
      <c r="B278" s="60"/>
      <c r="C278" s="59"/>
      <c r="D278" s="59" t="s">
        <v>19</v>
      </c>
      <c r="E278" s="59">
        <f t="shared" ref="E278:F278" si="266">SUM(E272:E277)</f>
        <v>2442</v>
      </c>
      <c r="F278" s="59">
        <f t="shared" si="266"/>
        <v>670.63</v>
      </c>
      <c r="G278" s="61" t="e">
        <f>AVERAGE(G272:G277)</f>
        <v>#DIV/0!</v>
      </c>
      <c r="H278" s="59"/>
      <c r="I278" s="62"/>
      <c r="J278" s="59">
        <f t="shared" ref="J278:K278" si="267">SUM(J272:J277)</f>
        <v>2567</v>
      </c>
      <c r="K278" s="59">
        <f t="shared" si="267"/>
        <v>670.63</v>
      </c>
      <c r="L278" s="61" t="e">
        <f>AVERAGE(L272:L277)</f>
        <v>#DIV/0!</v>
      </c>
      <c r="M278" s="64"/>
      <c r="N278" s="65">
        <f>SUM(N272:N277)</f>
        <v>12329948.200000001</v>
      </c>
    </row>
    <row r="279" spans="1:14" ht="16">
      <c r="A279" s="66">
        <v>46055</v>
      </c>
      <c r="B279" s="207" t="s">
        <v>70</v>
      </c>
      <c r="C279" s="83"/>
      <c r="D279" s="83"/>
      <c r="E279" s="11">
        <f t="shared" ref="E279:E284" si="268">D279-C279</f>
        <v>0</v>
      </c>
      <c r="F279" s="37"/>
      <c r="G279" s="13" t="e">
        <f t="shared" ref="G279:G284" si="269">(F279/E279)*100</f>
        <v>#DIV/0!</v>
      </c>
      <c r="H279" s="125"/>
      <c r="I279" s="125"/>
      <c r="J279" s="39">
        <f t="shared" ref="J279:J284" si="270">I279-H279</f>
        <v>0</v>
      </c>
      <c r="K279" s="39">
        <f t="shared" ref="K279:K284" si="271">F279</f>
        <v>0</v>
      </c>
      <c r="L279" s="136" t="e">
        <f t="shared" ref="L279:L284" si="272">(K279/J279)*100</f>
        <v>#DIV/0!</v>
      </c>
      <c r="M279" s="68"/>
      <c r="N279" s="47">
        <v>3600000</v>
      </c>
    </row>
    <row r="280" spans="1:14" ht="16">
      <c r="A280" s="33">
        <v>46066</v>
      </c>
      <c r="B280" s="207" t="s">
        <v>70</v>
      </c>
      <c r="C280" s="83"/>
      <c r="D280" s="12"/>
      <c r="E280" s="11">
        <f t="shared" si="268"/>
        <v>0</v>
      </c>
      <c r="F280" s="141"/>
      <c r="G280" s="13" t="e">
        <f t="shared" si="269"/>
        <v>#DIV/0!</v>
      </c>
      <c r="H280" s="125"/>
      <c r="I280" s="125"/>
      <c r="J280" s="83">
        <f t="shared" si="270"/>
        <v>0</v>
      </c>
      <c r="K280" s="35">
        <f t="shared" si="271"/>
        <v>0</v>
      </c>
      <c r="L280" s="136" t="e">
        <f t="shared" si="272"/>
        <v>#DIV/0!</v>
      </c>
      <c r="M280" s="68"/>
      <c r="N280" s="47">
        <v>2100000</v>
      </c>
    </row>
    <row r="281" spans="1:14" ht="16">
      <c r="A281" s="33"/>
      <c r="B281" s="207" t="s">
        <v>70</v>
      </c>
      <c r="C281" s="12"/>
      <c r="D281" s="83"/>
      <c r="E281" s="11">
        <f t="shared" si="268"/>
        <v>0</v>
      </c>
      <c r="F281" s="141"/>
      <c r="G281" s="13" t="e">
        <f t="shared" si="269"/>
        <v>#DIV/0!</v>
      </c>
      <c r="H281" s="125"/>
      <c r="I281" s="125"/>
      <c r="J281" s="83">
        <f t="shared" si="270"/>
        <v>0</v>
      </c>
      <c r="K281" s="35">
        <f t="shared" si="271"/>
        <v>0</v>
      </c>
      <c r="L281" s="136" t="e">
        <f t="shared" si="272"/>
        <v>#DIV/0!</v>
      </c>
      <c r="M281" s="116"/>
      <c r="N281" s="47">
        <f t="shared" ref="N281:N284" si="273">M281*F281</f>
        <v>0</v>
      </c>
    </row>
    <row r="282" spans="1:14" ht="16">
      <c r="A282" s="33"/>
      <c r="B282" s="207" t="s">
        <v>70</v>
      </c>
      <c r="C282" s="83"/>
      <c r="D282" s="83"/>
      <c r="E282" s="11">
        <f t="shared" si="268"/>
        <v>0</v>
      </c>
      <c r="F282" s="141"/>
      <c r="G282" s="13" t="e">
        <f t="shared" si="269"/>
        <v>#DIV/0!</v>
      </c>
      <c r="H282" s="125"/>
      <c r="I282" s="125"/>
      <c r="J282" s="83">
        <f t="shared" si="270"/>
        <v>0</v>
      </c>
      <c r="K282" s="35">
        <f t="shared" si="271"/>
        <v>0</v>
      </c>
      <c r="L282" s="136" t="e">
        <f t="shared" si="272"/>
        <v>#DIV/0!</v>
      </c>
      <c r="M282" s="116"/>
      <c r="N282" s="47">
        <f t="shared" si="273"/>
        <v>0</v>
      </c>
    </row>
    <row r="283" spans="1:14" ht="16">
      <c r="A283" s="33"/>
      <c r="B283" s="207" t="s">
        <v>70</v>
      </c>
      <c r="C283" s="35"/>
      <c r="D283" s="83"/>
      <c r="E283" s="11">
        <f t="shared" si="268"/>
        <v>0</v>
      </c>
      <c r="F283" s="141"/>
      <c r="G283" s="13" t="e">
        <f t="shared" si="269"/>
        <v>#DIV/0!</v>
      </c>
      <c r="H283" s="83"/>
      <c r="I283" s="125"/>
      <c r="J283" s="83">
        <f t="shared" si="270"/>
        <v>0</v>
      </c>
      <c r="K283" s="35">
        <f t="shared" si="271"/>
        <v>0</v>
      </c>
      <c r="L283" s="136" t="e">
        <f t="shared" si="272"/>
        <v>#DIV/0!</v>
      </c>
      <c r="M283" s="116"/>
      <c r="N283" s="47">
        <f t="shared" si="273"/>
        <v>0</v>
      </c>
    </row>
    <row r="284" spans="1:14" ht="16">
      <c r="A284" s="138"/>
      <c r="B284" s="207" t="s">
        <v>70</v>
      </c>
      <c r="C284" s="83"/>
      <c r="D284" s="83"/>
      <c r="E284" s="11">
        <f t="shared" si="268"/>
        <v>0</v>
      </c>
      <c r="F284" s="141"/>
      <c r="G284" s="13" t="e">
        <f t="shared" si="269"/>
        <v>#DIV/0!</v>
      </c>
      <c r="H284" s="83"/>
      <c r="I284" s="125"/>
      <c r="J284" s="83">
        <f t="shared" si="270"/>
        <v>0</v>
      </c>
      <c r="K284" s="35">
        <f t="shared" si="271"/>
        <v>0</v>
      </c>
      <c r="L284" s="136" t="e">
        <f t="shared" si="272"/>
        <v>#DIV/0!</v>
      </c>
      <c r="M284" s="116"/>
      <c r="N284" s="47">
        <f t="shared" si="273"/>
        <v>0</v>
      </c>
    </row>
    <row r="285" spans="1:14" ht="16">
      <c r="A285" s="59"/>
      <c r="B285" s="60"/>
      <c r="C285" s="59"/>
      <c r="D285" s="59" t="s">
        <v>19</v>
      </c>
      <c r="E285" s="59">
        <f t="shared" ref="E285:F285" si="274">SUM(E279:E284)</f>
        <v>0</v>
      </c>
      <c r="F285" s="59">
        <f t="shared" si="274"/>
        <v>0</v>
      </c>
      <c r="G285" s="61" t="e">
        <f>AVERAGE(G279:G284)</f>
        <v>#DIV/0!</v>
      </c>
      <c r="H285" s="59"/>
      <c r="I285" s="62"/>
      <c r="J285" s="59">
        <f t="shared" ref="J285:K285" si="275">SUM(J279:J284)</f>
        <v>0</v>
      </c>
      <c r="K285" s="59">
        <f t="shared" si="275"/>
        <v>0</v>
      </c>
      <c r="L285" s="61" t="e">
        <f>AVERAGE(L279:L284)</f>
        <v>#DIV/0!</v>
      </c>
      <c r="M285" s="64"/>
      <c r="N285" s="65">
        <f>SUM(N279:N284)</f>
        <v>5700000</v>
      </c>
    </row>
    <row r="286" spans="1:14" ht="14">
      <c r="A286" s="354" t="s">
        <v>64</v>
      </c>
      <c r="B286" s="355"/>
      <c r="C286" s="355"/>
      <c r="D286" s="355"/>
      <c r="E286" s="355"/>
      <c r="F286" s="355"/>
      <c r="G286" s="355"/>
      <c r="H286" s="355"/>
      <c r="I286" s="355"/>
      <c r="J286" s="355"/>
      <c r="K286" s="355"/>
      <c r="L286" s="356"/>
      <c r="M286" s="64"/>
      <c r="N286" s="65">
        <f>SUM(N285+N278+N271+N264+N257+N250+N241+N235+N229+N223+N217+N211+N205)</f>
        <v>134124615.89999999</v>
      </c>
    </row>
    <row r="287" spans="1:14" ht="13">
      <c r="G287" s="150"/>
      <c r="L287" s="150"/>
      <c r="N287" s="151"/>
    </row>
    <row r="288" spans="1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</sheetData>
  <mergeCells count="2">
    <mergeCell ref="A1:N1"/>
    <mergeCell ref="A286:L2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11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46028</v>
      </c>
      <c r="B3" s="34" t="s">
        <v>11</v>
      </c>
      <c r="C3" s="221">
        <v>197795</v>
      </c>
      <c r="D3" s="50">
        <v>198096</v>
      </c>
      <c r="E3" s="11">
        <f t="shared" ref="E3:E10" si="0">D3-C3</f>
        <v>301</v>
      </c>
      <c r="F3" s="37">
        <v>40</v>
      </c>
      <c r="G3" s="13">
        <f t="shared" ref="G3:G10" si="1">(F3/E3)*100</f>
        <v>13.2890365448505</v>
      </c>
      <c r="H3" s="55">
        <v>26734</v>
      </c>
      <c r="I3" s="38">
        <v>27074</v>
      </c>
      <c r="J3" s="35">
        <f t="shared" ref="J3:J10" si="2">I3-H3</f>
        <v>340</v>
      </c>
      <c r="K3" s="77">
        <f t="shared" ref="K3:K10" si="3">F3</f>
        <v>40</v>
      </c>
      <c r="L3" s="67">
        <f t="shared" ref="L3:L10" si="4">(K3/J3)*100</f>
        <v>11.76470588235294</v>
      </c>
      <c r="M3" s="68">
        <v>17250</v>
      </c>
      <c r="N3" s="121">
        <f t="shared" ref="N3:N10" si="5">F3*M3</f>
        <v>690000</v>
      </c>
    </row>
    <row r="4" spans="1:18" ht="16">
      <c r="A4" s="33">
        <v>46031</v>
      </c>
      <c r="B4" s="44" t="s">
        <v>11</v>
      </c>
      <c r="C4" s="50">
        <v>198096</v>
      </c>
      <c r="D4" s="50">
        <v>198411</v>
      </c>
      <c r="E4" s="11">
        <f t="shared" si="0"/>
        <v>315</v>
      </c>
      <c r="F4" s="45">
        <v>50</v>
      </c>
      <c r="G4" s="13">
        <f t="shared" si="1"/>
        <v>15.873015873015872</v>
      </c>
      <c r="H4" s="38">
        <v>27074</v>
      </c>
      <c r="I4" s="38">
        <v>27434</v>
      </c>
      <c r="J4" s="35">
        <f t="shared" si="2"/>
        <v>360</v>
      </c>
      <c r="K4" s="50">
        <f t="shared" si="3"/>
        <v>50</v>
      </c>
      <c r="L4" s="46">
        <f t="shared" si="4"/>
        <v>13.888888888888889</v>
      </c>
      <c r="M4" s="48">
        <v>17060</v>
      </c>
      <c r="N4" s="47">
        <f t="shared" si="5"/>
        <v>853000</v>
      </c>
      <c r="O4" s="76">
        <v>1</v>
      </c>
      <c r="P4" s="222" t="s">
        <v>12</v>
      </c>
      <c r="Q4" s="223">
        <f>N19</f>
        <v>5057100</v>
      </c>
      <c r="R4" s="223">
        <f t="shared" ref="R4:R15" si="6">Q4</f>
        <v>5057100</v>
      </c>
    </row>
    <row r="5" spans="1:18" ht="16">
      <c r="A5" s="33">
        <v>46037</v>
      </c>
      <c r="B5" s="44" t="s">
        <v>11</v>
      </c>
      <c r="C5" s="50">
        <v>198411</v>
      </c>
      <c r="D5" s="50">
        <v>198747</v>
      </c>
      <c r="E5" s="11">
        <f t="shared" si="0"/>
        <v>336</v>
      </c>
      <c r="F5" s="52">
        <v>40</v>
      </c>
      <c r="G5" s="13">
        <f t="shared" si="1"/>
        <v>11.904761904761903</v>
      </c>
      <c r="H5" s="38">
        <v>27434</v>
      </c>
      <c r="I5" s="38">
        <v>27795</v>
      </c>
      <c r="J5" s="35">
        <f t="shared" si="2"/>
        <v>361</v>
      </c>
      <c r="K5" s="50">
        <f t="shared" si="3"/>
        <v>40</v>
      </c>
      <c r="L5" s="46">
        <f t="shared" si="4"/>
        <v>11.080332409972298</v>
      </c>
      <c r="M5" s="48">
        <v>17280</v>
      </c>
      <c r="N5" s="47">
        <f t="shared" si="5"/>
        <v>691200</v>
      </c>
      <c r="O5" s="76">
        <v>2</v>
      </c>
      <c r="P5" s="222" t="s">
        <v>13</v>
      </c>
      <c r="Q5" s="223">
        <f>N29</f>
        <v>5406690</v>
      </c>
      <c r="R5" s="223">
        <f t="shared" si="6"/>
        <v>5406690</v>
      </c>
    </row>
    <row r="6" spans="1:18" ht="16">
      <c r="A6" s="33">
        <v>46042</v>
      </c>
      <c r="B6" s="44" t="s">
        <v>11</v>
      </c>
      <c r="C6" s="50">
        <v>198747</v>
      </c>
      <c r="D6" s="50">
        <v>199065</v>
      </c>
      <c r="E6" s="11">
        <f t="shared" si="0"/>
        <v>318</v>
      </c>
      <c r="F6" s="52">
        <v>40</v>
      </c>
      <c r="G6" s="13">
        <f t="shared" si="1"/>
        <v>12.578616352201259</v>
      </c>
      <c r="H6" s="38">
        <v>27795</v>
      </c>
      <c r="I6" s="38">
        <v>28143</v>
      </c>
      <c r="J6" s="35">
        <f t="shared" si="2"/>
        <v>348</v>
      </c>
      <c r="K6" s="50">
        <f t="shared" si="3"/>
        <v>40</v>
      </c>
      <c r="L6" s="46">
        <f t="shared" si="4"/>
        <v>11.494252873563218</v>
      </c>
      <c r="M6" s="48">
        <v>17280</v>
      </c>
      <c r="N6" s="47">
        <f t="shared" si="5"/>
        <v>691200</v>
      </c>
      <c r="O6" s="76">
        <v>3</v>
      </c>
      <c r="P6" s="222" t="s">
        <v>14</v>
      </c>
      <c r="Q6" s="223">
        <f>N38</f>
        <v>5760500</v>
      </c>
      <c r="R6" s="223">
        <f t="shared" si="6"/>
        <v>5760500</v>
      </c>
    </row>
    <row r="7" spans="1:18" ht="16">
      <c r="A7" s="33">
        <v>46044</v>
      </c>
      <c r="B7" s="44" t="s">
        <v>11</v>
      </c>
      <c r="C7" s="50">
        <v>199065</v>
      </c>
      <c r="D7" s="50">
        <v>199398</v>
      </c>
      <c r="E7" s="11">
        <f t="shared" si="0"/>
        <v>333</v>
      </c>
      <c r="F7" s="52">
        <v>40</v>
      </c>
      <c r="G7" s="13">
        <f t="shared" si="1"/>
        <v>12.012012012012011</v>
      </c>
      <c r="H7" s="38">
        <v>28143</v>
      </c>
      <c r="I7" s="38">
        <v>28518</v>
      </c>
      <c r="J7" s="35">
        <f t="shared" si="2"/>
        <v>375</v>
      </c>
      <c r="K7" s="50">
        <f t="shared" si="3"/>
        <v>40</v>
      </c>
      <c r="L7" s="46">
        <f t="shared" si="4"/>
        <v>10.666666666666668</v>
      </c>
      <c r="M7" s="224">
        <v>17700</v>
      </c>
      <c r="N7" s="47">
        <f t="shared" si="5"/>
        <v>708000</v>
      </c>
      <c r="O7" s="76">
        <v>4</v>
      </c>
      <c r="P7" s="222" t="s">
        <v>15</v>
      </c>
      <c r="Q7" s="223">
        <f>N48</f>
        <v>5179250</v>
      </c>
      <c r="R7" s="223">
        <f t="shared" si="6"/>
        <v>5179250</v>
      </c>
    </row>
    <row r="8" spans="1:18" ht="16">
      <c r="A8" s="33">
        <v>46049</v>
      </c>
      <c r="B8" s="44" t="s">
        <v>11</v>
      </c>
      <c r="C8" s="50">
        <v>199398</v>
      </c>
      <c r="D8" s="50">
        <v>199686</v>
      </c>
      <c r="E8" s="11">
        <f t="shared" si="0"/>
        <v>288</v>
      </c>
      <c r="F8" s="52">
        <v>40</v>
      </c>
      <c r="G8" s="13">
        <f t="shared" si="1"/>
        <v>13.888888888888889</v>
      </c>
      <c r="H8" s="38">
        <v>28518</v>
      </c>
      <c r="I8" s="38">
        <v>28839</v>
      </c>
      <c r="J8" s="35">
        <f t="shared" si="2"/>
        <v>321</v>
      </c>
      <c r="K8" s="50">
        <f t="shared" si="3"/>
        <v>40</v>
      </c>
      <c r="L8" s="46">
        <f t="shared" si="4"/>
        <v>12.461059190031152</v>
      </c>
      <c r="M8" s="224">
        <v>17700</v>
      </c>
      <c r="N8" s="47">
        <f t="shared" si="5"/>
        <v>708000</v>
      </c>
      <c r="O8" s="76">
        <v>5</v>
      </c>
      <c r="P8" s="222" t="s">
        <v>16</v>
      </c>
      <c r="Q8" s="223">
        <f>N60</f>
        <v>7124810</v>
      </c>
      <c r="R8" s="223">
        <f t="shared" si="6"/>
        <v>7124810</v>
      </c>
    </row>
    <row r="9" spans="1:18" ht="16">
      <c r="A9" s="33">
        <v>46052</v>
      </c>
      <c r="B9" s="44" t="s">
        <v>11</v>
      </c>
      <c r="C9" s="50">
        <v>199686</v>
      </c>
      <c r="D9" s="221">
        <v>200012</v>
      </c>
      <c r="E9" s="11">
        <f t="shared" si="0"/>
        <v>326</v>
      </c>
      <c r="F9" s="225">
        <v>40</v>
      </c>
      <c r="G9" s="13">
        <f t="shared" si="1"/>
        <v>12.269938650306749</v>
      </c>
      <c r="H9" s="38">
        <v>28839</v>
      </c>
      <c r="I9" s="55">
        <v>29204</v>
      </c>
      <c r="J9" s="35">
        <f t="shared" si="2"/>
        <v>365</v>
      </c>
      <c r="K9" s="50">
        <f t="shared" si="3"/>
        <v>40</v>
      </c>
      <c r="L9" s="46">
        <f t="shared" si="4"/>
        <v>10.95890410958904</v>
      </c>
      <c r="M9" s="226">
        <v>18170</v>
      </c>
      <c r="N9" s="47">
        <f t="shared" si="5"/>
        <v>726800</v>
      </c>
      <c r="O9" s="76">
        <v>6</v>
      </c>
      <c r="P9" s="222" t="s">
        <v>17</v>
      </c>
      <c r="Q9" s="223">
        <f>N11</f>
        <v>5068200</v>
      </c>
      <c r="R9" s="223">
        <f t="shared" si="6"/>
        <v>5068200</v>
      </c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 t="shared" si="2"/>
        <v>0</v>
      </c>
      <c r="K10" s="50">
        <f t="shared" si="3"/>
        <v>0</v>
      </c>
      <c r="L10" s="46" t="e">
        <f t="shared" si="4"/>
        <v>#DIV/0!</v>
      </c>
      <c r="M10" s="226"/>
      <c r="N10" s="57">
        <f t="shared" si="5"/>
        <v>0</v>
      </c>
      <c r="O10" s="76">
        <v>7</v>
      </c>
      <c r="P10" s="222" t="s">
        <v>18</v>
      </c>
      <c r="Q10" s="223">
        <f>N70</f>
        <v>6123960</v>
      </c>
      <c r="R10" s="223">
        <f t="shared" si="6"/>
        <v>6123960</v>
      </c>
    </row>
    <row r="11" spans="1:18" ht="16">
      <c r="A11" s="59"/>
      <c r="B11" s="60"/>
      <c r="C11" s="59"/>
      <c r="D11" s="59" t="s">
        <v>19</v>
      </c>
      <c r="E11" s="59">
        <f t="shared" ref="E11:F11" si="7">SUM(E3:E10)</f>
        <v>2217</v>
      </c>
      <c r="F11" s="59">
        <f t="shared" si="7"/>
        <v>290</v>
      </c>
      <c r="G11" s="61" t="e">
        <f>AVERAGE(G3:G10)</f>
        <v>#DIV/0!</v>
      </c>
      <c r="H11" s="59"/>
      <c r="I11" s="62"/>
      <c r="J11" s="59">
        <f t="shared" ref="J11:K11" si="8">SUM(J3:J10)</f>
        <v>2470</v>
      </c>
      <c r="K11" s="59">
        <f t="shared" si="8"/>
        <v>290</v>
      </c>
      <c r="L11" s="61" t="e">
        <f>AVERAGE(L3:L10)</f>
        <v>#DIV/0!</v>
      </c>
      <c r="M11" s="64"/>
      <c r="N11" s="65">
        <f>SUM(N3:N10)</f>
        <v>5068200</v>
      </c>
      <c r="O11" s="76">
        <v>8</v>
      </c>
      <c r="P11" s="222" t="s">
        <v>20</v>
      </c>
      <c r="Q11" s="223">
        <f>N78</f>
        <v>6591180</v>
      </c>
      <c r="R11" s="223">
        <f t="shared" si="6"/>
        <v>6591180</v>
      </c>
    </row>
    <row r="12" spans="1:18" ht="16">
      <c r="A12" s="233" t="s">
        <v>76</v>
      </c>
      <c r="B12" s="34" t="s">
        <v>12</v>
      </c>
      <c r="C12" s="35">
        <v>160900</v>
      </c>
      <c r="D12" s="53">
        <v>161246</v>
      </c>
      <c r="E12" s="36">
        <f t="shared" ref="E12:E18" si="9">D12-C12</f>
        <v>346</v>
      </c>
      <c r="F12" s="37">
        <v>48</v>
      </c>
      <c r="G12" s="13">
        <f t="shared" ref="G12:G18" si="10">(F12/E12)*100</f>
        <v>13.872832369942195</v>
      </c>
      <c r="H12" s="38">
        <v>27650</v>
      </c>
      <c r="I12" s="55">
        <v>28100</v>
      </c>
      <c r="J12" s="39">
        <f t="shared" ref="J12:J18" si="11">I12-H12</f>
        <v>450</v>
      </c>
      <c r="K12" s="77">
        <f t="shared" ref="K12:K18" si="12">F12</f>
        <v>48</v>
      </c>
      <c r="L12" s="40">
        <f t="shared" ref="L12:L18" si="13">(K12/J12)*100</f>
        <v>10.666666666666668</v>
      </c>
      <c r="M12" s="41">
        <v>17250</v>
      </c>
      <c r="N12" s="42">
        <f t="shared" ref="N12:N18" si="14">F12*M12</f>
        <v>828000</v>
      </c>
      <c r="O12" s="76">
        <v>9</v>
      </c>
      <c r="P12" s="222" t="s">
        <v>21</v>
      </c>
      <c r="Q12" s="223">
        <f>N86</f>
        <v>6846650</v>
      </c>
      <c r="R12" s="223">
        <f t="shared" si="6"/>
        <v>6846650</v>
      </c>
    </row>
    <row r="13" spans="1:18" ht="16">
      <c r="A13" s="43">
        <v>46029</v>
      </c>
      <c r="B13" s="44" t="s">
        <v>12</v>
      </c>
      <c r="C13" s="53">
        <v>161246</v>
      </c>
      <c r="D13" s="35">
        <v>161597</v>
      </c>
      <c r="E13" s="11">
        <f t="shared" si="9"/>
        <v>351</v>
      </c>
      <c r="F13" s="45">
        <v>50</v>
      </c>
      <c r="G13" s="13">
        <f t="shared" si="10"/>
        <v>14.245014245014245</v>
      </c>
      <c r="H13" s="55">
        <v>28100</v>
      </c>
      <c r="I13" s="38">
        <v>28442</v>
      </c>
      <c r="J13" s="35">
        <f t="shared" si="11"/>
        <v>342</v>
      </c>
      <c r="K13" s="50">
        <f t="shared" si="12"/>
        <v>50</v>
      </c>
      <c r="L13" s="46">
        <f t="shared" si="13"/>
        <v>14.619883040935672</v>
      </c>
      <c r="M13" s="41">
        <v>17250</v>
      </c>
      <c r="N13" s="47">
        <f t="shared" si="14"/>
        <v>862500</v>
      </c>
      <c r="O13" s="76">
        <v>10</v>
      </c>
      <c r="P13" s="222" t="s">
        <v>22</v>
      </c>
      <c r="Q13" s="223">
        <f>N94</f>
        <v>4861550</v>
      </c>
      <c r="R13" s="223">
        <f t="shared" si="6"/>
        <v>4861550</v>
      </c>
    </row>
    <row r="14" spans="1:18" ht="16">
      <c r="A14" s="43">
        <v>46034</v>
      </c>
      <c r="B14" s="44" t="s">
        <v>12</v>
      </c>
      <c r="C14" s="35">
        <v>161597</v>
      </c>
      <c r="D14" s="35">
        <v>161915</v>
      </c>
      <c r="E14" s="11">
        <f t="shared" si="9"/>
        <v>318</v>
      </c>
      <c r="F14" s="45">
        <v>42</v>
      </c>
      <c r="G14" s="13">
        <f t="shared" si="10"/>
        <v>13.20754716981132</v>
      </c>
      <c r="H14" s="38">
        <v>28442</v>
      </c>
      <c r="I14" s="38">
        <v>28777</v>
      </c>
      <c r="J14" s="35">
        <f t="shared" si="11"/>
        <v>335</v>
      </c>
      <c r="K14" s="50">
        <f t="shared" si="12"/>
        <v>42</v>
      </c>
      <c r="L14" s="46">
        <f t="shared" si="13"/>
        <v>12.53731343283582</v>
      </c>
      <c r="M14" s="48">
        <v>17060</v>
      </c>
      <c r="N14" s="47">
        <f t="shared" si="14"/>
        <v>716520</v>
      </c>
      <c r="O14" s="76">
        <v>11</v>
      </c>
      <c r="P14" s="222" t="s">
        <v>23</v>
      </c>
      <c r="Q14" s="223">
        <f>N101</f>
        <v>4611760</v>
      </c>
      <c r="R14" s="223">
        <f t="shared" si="6"/>
        <v>4611760</v>
      </c>
    </row>
    <row r="15" spans="1:18" ht="16">
      <c r="A15" s="43">
        <v>46037</v>
      </c>
      <c r="B15" s="49" t="s">
        <v>12</v>
      </c>
      <c r="C15" s="35">
        <v>161915</v>
      </c>
      <c r="D15" s="50">
        <v>162252</v>
      </c>
      <c r="E15" s="51">
        <f t="shared" si="9"/>
        <v>337</v>
      </c>
      <c r="F15" s="52">
        <v>48</v>
      </c>
      <c r="G15" s="13">
        <f t="shared" si="10"/>
        <v>14.243323442136498</v>
      </c>
      <c r="H15" s="38">
        <v>28777</v>
      </c>
      <c r="I15" s="38">
        <v>29144</v>
      </c>
      <c r="J15" s="35">
        <f t="shared" si="11"/>
        <v>367</v>
      </c>
      <c r="K15" s="50">
        <f t="shared" si="12"/>
        <v>48</v>
      </c>
      <c r="L15" s="46">
        <f t="shared" si="13"/>
        <v>13.079019073569482</v>
      </c>
      <c r="M15" s="48">
        <v>17280</v>
      </c>
      <c r="N15" s="47">
        <f t="shared" si="14"/>
        <v>829440</v>
      </c>
      <c r="O15" s="76">
        <v>12</v>
      </c>
      <c r="P15" s="222" t="s">
        <v>24</v>
      </c>
      <c r="Q15" s="223">
        <f>N109</f>
        <v>4350700</v>
      </c>
      <c r="R15" s="223">
        <f t="shared" si="6"/>
        <v>4350700</v>
      </c>
    </row>
    <row r="16" spans="1:18" ht="16">
      <c r="A16" s="43">
        <v>46044</v>
      </c>
      <c r="B16" s="44" t="s">
        <v>12</v>
      </c>
      <c r="C16" s="50">
        <v>162252</v>
      </c>
      <c r="D16" s="35">
        <v>162584</v>
      </c>
      <c r="E16" s="11">
        <f t="shared" si="9"/>
        <v>332</v>
      </c>
      <c r="F16" s="45">
        <v>48</v>
      </c>
      <c r="G16" s="13">
        <f t="shared" si="10"/>
        <v>14.457831325301203</v>
      </c>
      <c r="H16" s="38">
        <v>29144</v>
      </c>
      <c r="I16" s="38">
        <v>29507</v>
      </c>
      <c r="J16" s="35">
        <f t="shared" si="11"/>
        <v>363</v>
      </c>
      <c r="K16" s="50">
        <f t="shared" si="12"/>
        <v>48</v>
      </c>
      <c r="L16" s="46">
        <f t="shared" si="13"/>
        <v>13.223140495867769</v>
      </c>
      <c r="M16" s="48">
        <v>17280</v>
      </c>
      <c r="N16" s="47">
        <f t="shared" si="14"/>
        <v>829440</v>
      </c>
      <c r="O16" s="76">
        <v>13</v>
      </c>
      <c r="P16" s="222" t="s">
        <v>25</v>
      </c>
      <c r="Q16" s="223">
        <f>N117</f>
        <v>5365160</v>
      </c>
      <c r="R16" s="223">
        <f>N117</f>
        <v>5365160</v>
      </c>
    </row>
    <row r="17" spans="1:18" ht="16">
      <c r="A17" s="43">
        <v>46050</v>
      </c>
      <c r="B17" s="44" t="s">
        <v>12</v>
      </c>
      <c r="C17" s="35">
        <v>162584</v>
      </c>
      <c r="D17" s="35">
        <v>163003</v>
      </c>
      <c r="E17" s="11">
        <f t="shared" si="9"/>
        <v>419</v>
      </c>
      <c r="F17" s="45">
        <v>56</v>
      </c>
      <c r="G17" s="13">
        <f t="shared" si="10"/>
        <v>13.365155131264917</v>
      </c>
      <c r="H17" s="38">
        <v>29507</v>
      </c>
      <c r="I17" s="38">
        <v>29978</v>
      </c>
      <c r="J17" s="35">
        <f t="shared" si="11"/>
        <v>471</v>
      </c>
      <c r="K17" s="50">
        <f t="shared" si="12"/>
        <v>56</v>
      </c>
      <c r="L17" s="46">
        <f t="shared" si="13"/>
        <v>11.8895966029724</v>
      </c>
      <c r="M17" s="48">
        <v>17700</v>
      </c>
      <c r="N17" s="47">
        <f t="shared" si="14"/>
        <v>991200</v>
      </c>
      <c r="O17" s="76">
        <v>14</v>
      </c>
      <c r="P17" s="222" t="s">
        <v>26</v>
      </c>
      <c r="Q17" s="223">
        <f>N125</f>
        <v>5228650</v>
      </c>
      <c r="R17" s="223">
        <f t="shared" ref="R17:R28" si="15">Q17</f>
        <v>5228650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5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76">
        <f t="shared" ref="O18:O28" si="16">O17+1</f>
        <v>15</v>
      </c>
      <c r="P18" s="227" t="s">
        <v>27</v>
      </c>
      <c r="Q18" s="223">
        <f>N134</f>
        <v>7913090</v>
      </c>
      <c r="R18" s="223">
        <f t="shared" si="15"/>
        <v>7913090</v>
      </c>
    </row>
    <row r="19" spans="1:18" ht="16">
      <c r="A19" s="59"/>
      <c r="B19" s="60"/>
      <c r="C19" s="59"/>
      <c r="D19" s="59" t="s">
        <v>19</v>
      </c>
      <c r="E19" s="59">
        <f>SUM(E12:E18)</f>
        <v>2103</v>
      </c>
      <c r="F19" s="59">
        <f>SUM(F11:F18)</f>
        <v>582</v>
      </c>
      <c r="G19" s="61" t="e">
        <f>AVERAGE(G12:G18)</f>
        <v>#DIV/0!</v>
      </c>
      <c r="H19" s="59"/>
      <c r="I19" s="62"/>
      <c r="J19" s="59">
        <f t="shared" ref="J19:K19" si="17">SUM(J12:J18)</f>
        <v>2328</v>
      </c>
      <c r="K19" s="59">
        <f t="shared" si="17"/>
        <v>292</v>
      </c>
      <c r="L19" s="61" t="e">
        <f>AVERAGE(L12:L18)</f>
        <v>#DIV/0!</v>
      </c>
      <c r="M19" s="64"/>
      <c r="N19" s="65">
        <f>SUM(N12:N18)</f>
        <v>5057100</v>
      </c>
      <c r="O19" s="76">
        <f t="shared" si="16"/>
        <v>16</v>
      </c>
      <c r="P19" s="227" t="s">
        <v>28</v>
      </c>
      <c r="Q19" s="223">
        <f>N143</f>
        <v>3463700</v>
      </c>
      <c r="R19" s="223">
        <f t="shared" si="15"/>
        <v>3463700</v>
      </c>
    </row>
    <row r="20" spans="1:18" ht="16">
      <c r="A20" s="66">
        <v>46029</v>
      </c>
      <c r="B20" s="34" t="s">
        <v>13</v>
      </c>
      <c r="C20" s="71">
        <v>178370</v>
      </c>
      <c r="D20" s="35">
        <v>178723</v>
      </c>
      <c r="E20" s="11">
        <f t="shared" ref="E20:E28" si="18">D20-C20</f>
        <v>353</v>
      </c>
      <c r="F20" s="37">
        <v>51</v>
      </c>
      <c r="G20" s="13">
        <f t="shared" ref="G20:G28" si="19">(F20/E20)*100</f>
        <v>14.447592067988669</v>
      </c>
      <c r="H20" s="72">
        <v>29700</v>
      </c>
      <c r="I20" s="38">
        <v>30089</v>
      </c>
      <c r="J20" s="39">
        <f t="shared" ref="J20:J28" si="20">I20-H20</f>
        <v>389</v>
      </c>
      <c r="K20" s="77">
        <f t="shared" ref="K20:K28" si="21">F20</f>
        <v>51</v>
      </c>
      <c r="L20" s="67">
        <f t="shared" ref="L20:L28" si="22">(K20/J20)*100</f>
        <v>13.110539845758353</v>
      </c>
      <c r="M20" s="68">
        <v>17250</v>
      </c>
      <c r="N20" s="42">
        <f t="shared" ref="N20:N28" si="23">F20*M20</f>
        <v>879750</v>
      </c>
      <c r="O20" s="76">
        <f t="shared" si="16"/>
        <v>17</v>
      </c>
      <c r="P20" s="227" t="s">
        <v>29</v>
      </c>
      <c r="Q20" s="223">
        <f>N152</f>
        <v>6066000</v>
      </c>
      <c r="R20" s="223">
        <f t="shared" si="15"/>
        <v>6066000</v>
      </c>
    </row>
    <row r="21" spans="1:18" ht="16">
      <c r="A21" s="66">
        <v>46033</v>
      </c>
      <c r="B21" s="44" t="s">
        <v>13</v>
      </c>
      <c r="C21" s="35">
        <v>178723</v>
      </c>
      <c r="D21" s="35">
        <v>179080</v>
      </c>
      <c r="E21" s="11">
        <f t="shared" si="18"/>
        <v>357</v>
      </c>
      <c r="F21" s="37">
        <v>48</v>
      </c>
      <c r="G21" s="13">
        <f t="shared" si="19"/>
        <v>13.445378151260504</v>
      </c>
      <c r="H21" s="38">
        <v>30089</v>
      </c>
      <c r="I21" s="38">
        <v>30496</v>
      </c>
      <c r="J21" s="35">
        <f t="shared" si="20"/>
        <v>407</v>
      </c>
      <c r="K21" s="50">
        <f t="shared" si="21"/>
        <v>48</v>
      </c>
      <c r="L21" s="46">
        <f t="shared" si="22"/>
        <v>11.793611793611793</v>
      </c>
      <c r="M21" s="68">
        <v>17060</v>
      </c>
      <c r="N21" s="47">
        <f t="shared" si="23"/>
        <v>818880</v>
      </c>
      <c r="O21" s="76">
        <f t="shared" si="16"/>
        <v>18</v>
      </c>
      <c r="P21" s="227" t="s">
        <v>30</v>
      </c>
      <c r="Q21" s="223">
        <f>N162</f>
        <v>6461250</v>
      </c>
      <c r="R21" s="223">
        <f t="shared" si="15"/>
        <v>6461250</v>
      </c>
    </row>
    <row r="22" spans="1:18" ht="16">
      <c r="A22" s="33">
        <v>46037</v>
      </c>
      <c r="B22" s="44" t="s">
        <v>13</v>
      </c>
      <c r="C22" s="35">
        <v>179080</v>
      </c>
      <c r="D22" s="35">
        <v>179458</v>
      </c>
      <c r="E22" s="11">
        <f t="shared" si="18"/>
        <v>378</v>
      </c>
      <c r="F22" s="45">
        <v>45</v>
      </c>
      <c r="G22" s="13">
        <f t="shared" si="19"/>
        <v>11.904761904761903</v>
      </c>
      <c r="H22" s="38">
        <v>30496</v>
      </c>
      <c r="I22" s="38">
        <v>30902</v>
      </c>
      <c r="J22" s="35">
        <f t="shared" si="20"/>
        <v>406</v>
      </c>
      <c r="K22" s="50">
        <f t="shared" si="21"/>
        <v>45</v>
      </c>
      <c r="L22" s="46">
        <f t="shared" si="22"/>
        <v>11.083743842364532</v>
      </c>
      <c r="M22" s="68">
        <v>17060</v>
      </c>
      <c r="N22" s="47">
        <f t="shared" si="23"/>
        <v>767700</v>
      </c>
      <c r="O22" s="76">
        <f t="shared" si="16"/>
        <v>19</v>
      </c>
      <c r="P22" s="227" t="s">
        <v>31</v>
      </c>
      <c r="Q22" s="223">
        <f>N171</f>
        <v>10295500</v>
      </c>
      <c r="R22" s="223">
        <f t="shared" si="15"/>
        <v>10295500</v>
      </c>
    </row>
    <row r="23" spans="1:18" ht="16">
      <c r="A23" s="33">
        <v>46042</v>
      </c>
      <c r="B23" s="44" t="s">
        <v>13</v>
      </c>
      <c r="C23" s="35">
        <v>179458</v>
      </c>
      <c r="D23" s="35">
        <v>179736</v>
      </c>
      <c r="E23" s="11">
        <f t="shared" si="18"/>
        <v>278</v>
      </c>
      <c r="F23" s="45">
        <v>37</v>
      </c>
      <c r="G23" s="13">
        <f t="shared" si="19"/>
        <v>13.309352517985612</v>
      </c>
      <c r="H23" s="38">
        <v>30902</v>
      </c>
      <c r="I23" s="38">
        <v>31330</v>
      </c>
      <c r="J23" s="35">
        <f t="shared" si="20"/>
        <v>428</v>
      </c>
      <c r="K23" s="50">
        <f t="shared" si="21"/>
        <v>37</v>
      </c>
      <c r="L23" s="46">
        <f t="shared" si="22"/>
        <v>8.6448598130841123</v>
      </c>
      <c r="M23" s="48">
        <v>17280</v>
      </c>
      <c r="N23" s="47">
        <f t="shared" si="23"/>
        <v>639360</v>
      </c>
      <c r="O23" s="76">
        <f t="shared" si="16"/>
        <v>20</v>
      </c>
      <c r="P23" s="227" t="s">
        <v>32</v>
      </c>
      <c r="Q23" s="223">
        <f>N180</f>
        <v>5562920</v>
      </c>
      <c r="R23" s="223">
        <f t="shared" si="15"/>
        <v>5562920</v>
      </c>
    </row>
    <row r="24" spans="1:18" ht="16">
      <c r="A24" s="33">
        <v>46044</v>
      </c>
      <c r="B24" s="44" t="s">
        <v>13</v>
      </c>
      <c r="C24" s="35">
        <v>179736</v>
      </c>
      <c r="D24" s="35">
        <v>180074</v>
      </c>
      <c r="E24" s="11">
        <f t="shared" si="18"/>
        <v>338</v>
      </c>
      <c r="F24" s="45">
        <v>44</v>
      </c>
      <c r="G24" s="13">
        <f t="shared" si="19"/>
        <v>13.017751479289942</v>
      </c>
      <c r="H24" s="38">
        <v>31330</v>
      </c>
      <c r="I24" s="38">
        <v>31579</v>
      </c>
      <c r="J24" s="35">
        <f t="shared" si="20"/>
        <v>249</v>
      </c>
      <c r="K24" s="50">
        <f t="shared" si="21"/>
        <v>44</v>
      </c>
      <c r="L24" s="46">
        <f t="shared" si="22"/>
        <v>17.670682730923694</v>
      </c>
      <c r="M24" s="48">
        <v>17700</v>
      </c>
      <c r="N24" s="47">
        <f t="shared" si="23"/>
        <v>778800</v>
      </c>
      <c r="O24" s="76">
        <f t="shared" si="16"/>
        <v>21</v>
      </c>
      <c r="P24" s="227" t="s">
        <v>33</v>
      </c>
      <c r="Q24" s="223">
        <f>N188</f>
        <v>5767890</v>
      </c>
      <c r="R24" s="223">
        <f t="shared" si="15"/>
        <v>5767890</v>
      </c>
    </row>
    <row r="25" spans="1:18" ht="16">
      <c r="A25" s="33">
        <v>46049</v>
      </c>
      <c r="B25" s="44" t="s">
        <v>13</v>
      </c>
      <c r="C25" s="35">
        <v>180074</v>
      </c>
      <c r="D25" s="35">
        <v>180400</v>
      </c>
      <c r="E25" s="11">
        <f t="shared" si="18"/>
        <v>326</v>
      </c>
      <c r="F25" s="45">
        <v>42</v>
      </c>
      <c r="G25" s="13">
        <f t="shared" si="19"/>
        <v>12.883435582822086</v>
      </c>
      <c r="H25" s="234">
        <v>31579</v>
      </c>
      <c r="I25" s="234">
        <v>31949</v>
      </c>
      <c r="J25" s="35">
        <f t="shared" si="20"/>
        <v>370</v>
      </c>
      <c r="K25" s="50">
        <f t="shared" si="21"/>
        <v>42</v>
      </c>
      <c r="L25" s="46">
        <f t="shared" si="22"/>
        <v>11.351351351351353</v>
      </c>
      <c r="M25" s="48">
        <v>17700</v>
      </c>
      <c r="N25" s="47">
        <f t="shared" si="23"/>
        <v>743400</v>
      </c>
      <c r="O25" s="76">
        <f t="shared" si="16"/>
        <v>22</v>
      </c>
      <c r="P25" s="227" t="s">
        <v>34</v>
      </c>
      <c r="Q25" s="223">
        <f>N196</f>
        <v>4617570</v>
      </c>
      <c r="R25" s="223">
        <f t="shared" si="15"/>
        <v>4617570</v>
      </c>
    </row>
    <row r="26" spans="1:18" ht="16">
      <c r="A26" s="33">
        <v>46051</v>
      </c>
      <c r="B26" s="44" t="s">
        <v>13</v>
      </c>
      <c r="C26" s="35">
        <v>180400</v>
      </c>
      <c r="D26" s="35">
        <v>180734</v>
      </c>
      <c r="E26" s="11">
        <f t="shared" si="18"/>
        <v>334</v>
      </c>
      <c r="F26" s="45">
        <v>44</v>
      </c>
      <c r="G26" s="13">
        <f t="shared" si="19"/>
        <v>13.17365269461078</v>
      </c>
      <c r="H26" s="234">
        <v>31949</v>
      </c>
      <c r="I26" s="38">
        <v>32358</v>
      </c>
      <c r="J26" s="35">
        <f t="shared" si="20"/>
        <v>409</v>
      </c>
      <c r="K26" s="50">
        <f t="shared" si="21"/>
        <v>44</v>
      </c>
      <c r="L26" s="46">
        <f t="shared" si="22"/>
        <v>10.757946210268948</v>
      </c>
      <c r="M26" s="48">
        <v>17700</v>
      </c>
      <c r="N26" s="47">
        <f t="shared" si="23"/>
        <v>778800</v>
      </c>
      <c r="O26" s="76">
        <f t="shared" si="16"/>
        <v>23</v>
      </c>
      <c r="R26" s="76">
        <f t="shared" si="15"/>
        <v>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8"/>
      <c r="I27" s="38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76">
        <f t="shared" si="16"/>
        <v>24</v>
      </c>
      <c r="R27" s="76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76">
        <f t="shared" si="16"/>
        <v>25</v>
      </c>
      <c r="R28" s="76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2364</v>
      </c>
      <c r="F29" s="59">
        <f>SUM(F20:F28)</f>
        <v>311</v>
      </c>
      <c r="G29" s="61">
        <f>AVERAGE(G20:G26)</f>
        <v>13.168846342674215</v>
      </c>
      <c r="H29" s="59"/>
      <c r="I29" s="62"/>
      <c r="J29" s="59">
        <f t="shared" ref="J29:K29" si="24">SUM(J20:J26)</f>
        <v>2658</v>
      </c>
      <c r="K29" s="59">
        <f t="shared" si="24"/>
        <v>311</v>
      </c>
      <c r="L29" s="61">
        <f>AVERAGE(L20:L26)</f>
        <v>12.058962226766113</v>
      </c>
      <c r="M29" s="64"/>
      <c r="N29" s="65">
        <f>SUM(N20:N28)</f>
        <v>5406690</v>
      </c>
      <c r="P29" s="228" t="s">
        <v>19</v>
      </c>
      <c r="Q29" s="223">
        <f>SUM(Q4:Q25)</f>
        <v>127724080</v>
      </c>
      <c r="R29" s="223"/>
    </row>
    <row r="30" spans="1:18" ht="16">
      <c r="A30" s="66">
        <v>46025</v>
      </c>
      <c r="B30" s="34" t="s">
        <v>14</v>
      </c>
      <c r="C30" s="35">
        <v>181382</v>
      </c>
      <c r="D30" s="35">
        <v>181689</v>
      </c>
      <c r="E30" s="36">
        <f t="shared" ref="E30:E37" si="25">D30-C30</f>
        <v>307</v>
      </c>
      <c r="F30" s="37">
        <v>40</v>
      </c>
      <c r="G30" s="13">
        <f t="shared" ref="G30:G37" si="26">(F30/E30)*100</f>
        <v>13.029315960912053</v>
      </c>
      <c r="H30" s="38">
        <v>21272</v>
      </c>
      <c r="I30" s="38">
        <v>21730</v>
      </c>
      <c r="J30" s="39">
        <f t="shared" ref="J30:J37" si="27">I30-H30</f>
        <v>458</v>
      </c>
      <c r="K30" s="50">
        <f t="shared" ref="K30:K37" si="28">F30</f>
        <v>40</v>
      </c>
      <c r="L30" s="67">
        <f t="shared" ref="L30:L37" si="29">(K30/J30)*100</f>
        <v>8.7336244541484707</v>
      </c>
      <c r="M30" s="68">
        <v>17250</v>
      </c>
      <c r="N30" s="42">
        <f t="shared" ref="N30:N37" si="30">F30*M30</f>
        <v>690000</v>
      </c>
      <c r="R30" s="76">
        <f t="shared" ref="R30:R44" si="31">Q30</f>
        <v>0</v>
      </c>
    </row>
    <row r="31" spans="1:18" ht="16">
      <c r="A31" s="33">
        <v>46029</v>
      </c>
      <c r="B31" s="44" t="s">
        <v>14</v>
      </c>
      <c r="C31" s="35">
        <v>181689</v>
      </c>
      <c r="D31" s="35">
        <v>182022</v>
      </c>
      <c r="E31" s="11">
        <f t="shared" si="25"/>
        <v>333</v>
      </c>
      <c r="F31" s="45">
        <v>40</v>
      </c>
      <c r="G31" s="13">
        <f t="shared" si="26"/>
        <v>12.012012012012011</v>
      </c>
      <c r="H31" s="38">
        <v>21730</v>
      </c>
      <c r="I31" s="38">
        <v>21988</v>
      </c>
      <c r="J31" s="35">
        <f t="shared" si="27"/>
        <v>258</v>
      </c>
      <c r="K31" s="50">
        <f t="shared" si="28"/>
        <v>40</v>
      </c>
      <c r="L31" s="46">
        <f t="shared" si="29"/>
        <v>15.503875968992247</v>
      </c>
      <c r="M31" s="68">
        <v>17250</v>
      </c>
      <c r="N31" s="47">
        <f t="shared" si="30"/>
        <v>690000</v>
      </c>
      <c r="R31" s="76">
        <f t="shared" si="31"/>
        <v>0</v>
      </c>
    </row>
    <row r="32" spans="1:18" ht="16">
      <c r="A32" s="33">
        <v>46032</v>
      </c>
      <c r="B32" s="34" t="s">
        <v>14</v>
      </c>
      <c r="C32" s="35">
        <v>182022</v>
      </c>
      <c r="D32" s="35">
        <v>182323</v>
      </c>
      <c r="E32" s="11">
        <f t="shared" si="25"/>
        <v>301</v>
      </c>
      <c r="F32" s="45">
        <v>40</v>
      </c>
      <c r="G32" s="13">
        <f t="shared" si="26"/>
        <v>13.2890365448505</v>
      </c>
      <c r="H32" s="38">
        <v>21988</v>
      </c>
      <c r="I32" s="38">
        <v>22339</v>
      </c>
      <c r="J32" s="35">
        <f t="shared" si="27"/>
        <v>351</v>
      </c>
      <c r="K32" s="50">
        <f t="shared" si="28"/>
        <v>40</v>
      </c>
      <c r="L32" s="46">
        <f t="shared" si="29"/>
        <v>11.396011396011396</v>
      </c>
      <c r="M32" s="68">
        <v>17060</v>
      </c>
      <c r="N32" s="47">
        <f t="shared" si="30"/>
        <v>682400</v>
      </c>
      <c r="R32" s="76">
        <f t="shared" si="31"/>
        <v>0</v>
      </c>
    </row>
    <row r="33" spans="1:18" ht="16">
      <c r="A33" s="33">
        <v>46037</v>
      </c>
      <c r="B33" s="44" t="s">
        <v>14</v>
      </c>
      <c r="C33" s="35">
        <v>182323</v>
      </c>
      <c r="D33" s="35">
        <v>182649</v>
      </c>
      <c r="E33" s="11">
        <f t="shared" si="25"/>
        <v>326</v>
      </c>
      <c r="F33" s="45">
        <v>40</v>
      </c>
      <c r="G33" s="13">
        <f t="shared" si="26"/>
        <v>12.269938650306749</v>
      </c>
      <c r="H33" s="38">
        <v>22339</v>
      </c>
      <c r="I33" s="38">
        <v>22691</v>
      </c>
      <c r="J33" s="35">
        <f t="shared" si="27"/>
        <v>352</v>
      </c>
      <c r="K33" s="50">
        <f t="shared" si="28"/>
        <v>40</v>
      </c>
      <c r="L33" s="46">
        <f t="shared" si="29"/>
        <v>11.363636363636363</v>
      </c>
      <c r="M33" s="68">
        <v>17060</v>
      </c>
      <c r="N33" s="47">
        <f t="shared" si="30"/>
        <v>682400</v>
      </c>
      <c r="R33" s="76">
        <f t="shared" si="31"/>
        <v>0</v>
      </c>
    </row>
    <row r="34" spans="1:18" ht="16">
      <c r="A34" s="33">
        <v>46042</v>
      </c>
      <c r="B34" s="44" t="s">
        <v>14</v>
      </c>
      <c r="C34" s="35">
        <v>182649</v>
      </c>
      <c r="D34" s="35">
        <v>182988</v>
      </c>
      <c r="E34" s="11">
        <f t="shared" si="25"/>
        <v>339</v>
      </c>
      <c r="F34" s="45">
        <v>40</v>
      </c>
      <c r="G34" s="13">
        <f t="shared" si="26"/>
        <v>11.799410029498524</v>
      </c>
      <c r="H34" s="38">
        <v>22691</v>
      </c>
      <c r="I34" s="38">
        <v>23087</v>
      </c>
      <c r="J34" s="35">
        <f t="shared" si="27"/>
        <v>396</v>
      </c>
      <c r="K34" s="50">
        <f t="shared" si="28"/>
        <v>40</v>
      </c>
      <c r="L34" s="46">
        <f t="shared" si="29"/>
        <v>10.1010101010101</v>
      </c>
      <c r="M34" s="48">
        <v>17280</v>
      </c>
      <c r="N34" s="47">
        <f t="shared" si="30"/>
        <v>691200</v>
      </c>
      <c r="R34" s="76">
        <f t="shared" si="31"/>
        <v>0</v>
      </c>
    </row>
    <row r="35" spans="1:18" ht="16">
      <c r="A35" s="33">
        <v>46045</v>
      </c>
      <c r="B35" s="44" t="s">
        <v>14</v>
      </c>
      <c r="C35" s="35">
        <v>182988</v>
      </c>
      <c r="D35" s="35">
        <v>183285</v>
      </c>
      <c r="E35" s="11">
        <f t="shared" si="25"/>
        <v>297</v>
      </c>
      <c r="F35" s="45">
        <v>40</v>
      </c>
      <c r="G35" s="13">
        <f t="shared" si="26"/>
        <v>13.468013468013467</v>
      </c>
      <c r="H35" s="38">
        <v>23087</v>
      </c>
      <c r="I35" s="38">
        <v>23450</v>
      </c>
      <c r="J35" s="35">
        <f t="shared" si="27"/>
        <v>363</v>
      </c>
      <c r="K35" s="50">
        <f t="shared" si="28"/>
        <v>40</v>
      </c>
      <c r="L35" s="46">
        <f t="shared" si="29"/>
        <v>11.019283746556475</v>
      </c>
      <c r="M35" s="48">
        <v>17700</v>
      </c>
      <c r="N35" s="47">
        <f t="shared" si="30"/>
        <v>708000</v>
      </c>
      <c r="R35" s="76">
        <f t="shared" si="31"/>
        <v>0</v>
      </c>
    </row>
    <row r="36" spans="1:18" ht="16">
      <c r="A36" s="33">
        <v>46050</v>
      </c>
      <c r="B36" s="44" t="s">
        <v>14</v>
      </c>
      <c r="C36" s="35">
        <v>183285</v>
      </c>
      <c r="D36" s="35">
        <v>183607</v>
      </c>
      <c r="E36" s="11">
        <f t="shared" si="25"/>
        <v>322</v>
      </c>
      <c r="F36" s="45">
        <v>40</v>
      </c>
      <c r="G36" s="13">
        <f t="shared" si="26"/>
        <v>12.422360248447205</v>
      </c>
      <c r="H36" s="38">
        <v>23450</v>
      </c>
      <c r="I36" s="38">
        <v>23766</v>
      </c>
      <c r="J36" s="35">
        <f t="shared" si="27"/>
        <v>316</v>
      </c>
      <c r="K36" s="50">
        <f t="shared" si="28"/>
        <v>40</v>
      </c>
      <c r="L36" s="46">
        <f t="shared" si="29"/>
        <v>12.658227848101266</v>
      </c>
      <c r="M36" s="48">
        <v>17700</v>
      </c>
      <c r="N36" s="47">
        <f t="shared" si="30"/>
        <v>708000</v>
      </c>
      <c r="R36" s="76">
        <f t="shared" si="31"/>
        <v>0</v>
      </c>
    </row>
    <row r="37" spans="1:18" ht="16">
      <c r="A37" s="33">
        <v>46053</v>
      </c>
      <c r="B37" s="44" t="s">
        <v>14</v>
      </c>
      <c r="C37" s="35">
        <v>183607</v>
      </c>
      <c r="D37" s="53">
        <v>183971</v>
      </c>
      <c r="E37" s="11">
        <f t="shared" si="25"/>
        <v>364</v>
      </c>
      <c r="F37" s="45">
        <v>50</v>
      </c>
      <c r="G37" s="54">
        <f t="shared" si="26"/>
        <v>13.736263736263737</v>
      </c>
      <c r="H37" s="38">
        <v>23766</v>
      </c>
      <c r="I37" s="55">
        <v>24176</v>
      </c>
      <c r="J37" s="53">
        <f t="shared" si="27"/>
        <v>410</v>
      </c>
      <c r="K37" s="50">
        <f t="shared" si="28"/>
        <v>50</v>
      </c>
      <c r="L37" s="73">
        <f t="shared" si="29"/>
        <v>12.195121951219512</v>
      </c>
      <c r="M37" s="48">
        <v>18170</v>
      </c>
      <c r="N37" s="57">
        <f t="shared" si="30"/>
        <v>908500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2589</v>
      </c>
      <c r="F38" s="37"/>
      <c r="G38" s="61">
        <f>AVERAGE(G30:G37)</f>
        <v>12.753293831288032</v>
      </c>
      <c r="H38" s="59"/>
      <c r="I38" s="62"/>
      <c r="J38" s="59">
        <f t="shared" ref="J38:K38" si="32">SUM(J30:J37)</f>
        <v>2904</v>
      </c>
      <c r="K38" s="59">
        <f t="shared" si="32"/>
        <v>330</v>
      </c>
      <c r="L38" s="61">
        <f>AVERAGE(L30:L37)</f>
        <v>11.621348978709477</v>
      </c>
      <c r="M38" s="64"/>
      <c r="N38" s="65">
        <f>SUM(N30:N37)</f>
        <v>5760500</v>
      </c>
      <c r="R38" s="76">
        <f t="shared" si="31"/>
        <v>0</v>
      </c>
    </row>
    <row r="39" spans="1:18" ht="16">
      <c r="A39" s="66">
        <v>46027</v>
      </c>
      <c r="B39" s="34" t="s">
        <v>15</v>
      </c>
      <c r="C39" s="53">
        <v>168991</v>
      </c>
      <c r="D39" s="35">
        <v>169313</v>
      </c>
      <c r="E39" s="36">
        <f t="shared" ref="E39:E47" si="33">D39-C39</f>
        <v>322</v>
      </c>
      <c r="F39" s="37">
        <v>35</v>
      </c>
      <c r="G39" s="13">
        <f t="shared" ref="G39:G47" si="34">(F39/E39)*100</f>
        <v>10.869565217391305</v>
      </c>
      <c r="H39" s="55">
        <v>28064</v>
      </c>
      <c r="I39" s="38">
        <v>28500</v>
      </c>
      <c r="J39" s="39">
        <f t="shared" ref="J39:J47" si="35">I39-H39</f>
        <v>436</v>
      </c>
      <c r="K39" s="77">
        <f t="shared" ref="K39:K47" si="36">F39</f>
        <v>35</v>
      </c>
      <c r="L39" s="67">
        <f t="shared" ref="L39:L47" si="37">(K39/J39)*100</f>
        <v>8.0275229357798175</v>
      </c>
      <c r="M39" s="53">
        <v>17250</v>
      </c>
      <c r="N39" s="42">
        <f t="shared" ref="N39:N47" si="38">F39*M39</f>
        <v>603750</v>
      </c>
      <c r="R39" s="76">
        <f t="shared" si="31"/>
        <v>0</v>
      </c>
    </row>
    <row r="40" spans="1:18" ht="16">
      <c r="A40" s="33">
        <v>46029</v>
      </c>
      <c r="B40" s="44" t="s">
        <v>15</v>
      </c>
      <c r="C40" s="35">
        <v>169313</v>
      </c>
      <c r="D40" s="35">
        <v>169652</v>
      </c>
      <c r="E40" s="11">
        <f t="shared" si="33"/>
        <v>339</v>
      </c>
      <c r="F40" s="45">
        <v>42</v>
      </c>
      <c r="G40" s="13">
        <f t="shared" si="34"/>
        <v>12.389380530973451</v>
      </c>
      <c r="H40" s="38">
        <v>28500</v>
      </c>
      <c r="I40" s="38">
        <v>28751</v>
      </c>
      <c r="J40" s="35">
        <f t="shared" si="35"/>
        <v>251</v>
      </c>
      <c r="K40" s="50">
        <f t="shared" si="36"/>
        <v>42</v>
      </c>
      <c r="L40" s="46">
        <f t="shared" si="37"/>
        <v>16.733067729083665</v>
      </c>
      <c r="M40" s="53">
        <v>17250</v>
      </c>
      <c r="N40" s="47">
        <f t="shared" si="38"/>
        <v>724500</v>
      </c>
      <c r="P40" s="78"/>
      <c r="R40" s="76">
        <f t="shared" si="31"/>
        <v>0</v>
      </c>
    </row>
    <row r="41" spans="1:18" ht="16">
      <c r="A41" s="33">
        <v>46032</v>
      </c>
      <c r="B41" s="44" t="s">
        <v>15</v>
      </c>
      <c r="C41" s="35">
        <v>169652</v>
      </c>
      <c r="D41" s="35">
        <v>169956</v>
      </c>
      <c r="E41" s="11">
        <f t="shared" si="33"/>
        <v>304</v>
      </c>
      <c r="F41" s="45">
        <v>38</v>
      </c>
      <c r="G41" s="13">
        <f t="shared" si="34"/>
        <v>12.5</v>
      </c>
      <c r="H41" s="38">
        <v>28751</v>
      </c>
      <c r="I41" s="38">
        <v>29023</v>
      </c>
      <c r="J41" s="35">
        <f t="shared" si="35"/>
        <v>272</v>
      </c>
      <c r="K41" s="50">
        <f t="shared" si="36"/>
        <v>38</v>
      </c>
      <c r="L41" s="46">
        <f t="shared" si="37"/>
        <v>13.970588235294118</v>
      </c>
      <c r="M41" s="48">
        <v>17060</v>
      </c>
      <c r="N41" s="47">
        <f t="shared" si="38"/>
        <v>648280</v>
      </c>
      <c r="R41" s="76">
        <f t="shared" si="31"/>
        <v>0</v>
      </c>
    </row>
    <row r="42" spans="1:18" ht="16">
      <c r="A42" s="33">
        <v>46037</v>
      </c>
      <c r="B42" s="44" t="s">
        <v>15</v>
      </c>
      <c r="C42" s="35">
        <v>169956</v>
      </c>
      <c r="D42" s="35">
        <v>170235</v>
      </c>
      <c r="E42" s="11">
        <f t="shared" si="33"/>
        <v>279</v>
      </c>
      <c r="F42" s="45">
        <v>31</v>
      </c>
      <c r="G42" s="13">
        <f t="shared" si="34"/>
        <v>11.111111111111111</v>
      </c>
      <c r="H42" s="38">
        <v>29023</v>
      </c>
      <c r="I42" s="38">
        <v>29331</v>
      </c>
      <c r="J42" s="35">
        <f t="shared" si="35"/>
        <v>308</v>
      </c>
      <c r="K42" s="50">
        <f t="shared" si="36"/>
        <v>31</v>
      </c>
      <c r="L42" s="46">
        <f t="shared" si="37"/>
        <v>10.064935064935066</v>
      </c>
      <c r="M42" s="48">
        <v>17060</v>
      </c>
      <c r="N42" s="47">
        <f t="shared" si="38"/>
        <v>528860</v>
      </c>
      <c r="R42" s="76">
        <f t="shared" si="31"/>
        <v>0</v>
      </c>
    </row>
    <row r="43" spans="1:18" ht="16">
      <c r="A43" s="33">
        <v>46041</v>
      </c>
      <c r="B43" s="44" t="s">
        <v>15</v>
      </c>
      <c r="C43" s="35">
        <v>170235</v>
      </c>
      <c r="D43" s="35">
        <v>170551</v>
      </c>
      <c r="E43" s="11">
        <f t="shared" si="33"/>
        <v>316</v>
      </c>
      <c r="F43" s="45">
        <v>42</v>
      </c>
      <c r="G43" s="13">
        <f t="shared" si="34"/>
        <v>13.291139240506327</v>
      </c>
      <c r="H43" s="38">
        <v>29331</v>
      </c>
      <c r="I43" s="38">
        <v>29616</v>
      </c>
      <c r="J43" s="35">
        <f t="shared" si="35"/>
        <v>285</v>
      </c>
      <c r="K43" s="50">
        <f t="shared" si="36"/>
        <v>42</v>
      </c>
      <c r="L43" s="46">
        <f t="shared" si="37"/>
        <v>14.736842105263156</v>
      </c>
      <c r="M43" s="48">
        <v>17280</v>
      </c>
      <c r="N43" s="47">
        <f t="shared" si="38"/>
        <v>725760</v>
      </c>
      <c r="R43" s="76">
        <f t="shared" si="31"/>
        <v>0</v>
      </c>
    </row>
    <row r="44" spans="1:18" ht="16">
      <c r="A44" s="33">
        <v>46045</v>
      </c>
      <c r="B44" s="44" t="s">
        <v>15</v>
      </c>
      <c r="C44" s="35">
        <v>170551</v>
      </c>
      <c r="D44" s="35">
        <v>170864</v>
      </c>
      <c r="E44" s="11">
        <f t="shared" si="33"/>
        <v>313</v>
      </c>
      <c r="F44" s="45">
        <v>37</v>
      </c>
      <c r="G44" s="13">
        <f t="shared" si="34"/>
        <v>11.821086261980831</v>
      </c>
      <c r="H44" s="38">
        <v>29616</v>
      </c>
      <c r="I44" s="38">
        <v>30000</v>
      </c>
      <c r="J44" s="35">
        <f t="shared" si="35"/>
        <v>384</v>
      </c>
      <c r="K44" s="50">
        <f t="shared" si="36"/>
        <v>37</v>
      </c>
      <c r="L44" s="46">
        <f t="shared" si="37"/>
        <v>9.6354166666666679</v>
      </c>
      <c r="M44" s="48">
        <v>17700</v>
      </c>
      <c r="N44" s="47">
        <f t="shared" si="38"/>
        <v>654900</v>
      </c>
      <c r="R44" s="76">
        <f t="shared" si="31"/>
        <v>0</v>
      </c>
    </row>
    <row r="45" spans="1:18" ht="16">
      <c r="A45" s="33">
        <v>46049</v>
      </c>
      <c r="B45" s="44" t="s">
        <v>15</v>
      </c>
      <c r="C45" s="35">
        <v>170864</v>
      </c>
      <c r="D45" s="35">
        <v>171188</v>
      </c>
      <c r="E45" s="11">
        <f t="shared" si="33"/>
        <v>324</v>
      </c>
      <c r="F45" s="45">
        <v>32</v>
      </c>
      <c r="G45" s="13">
        <f t="shared" si="34"/>
        <v>9.8765432098765427</v>
      </c>
      <c r="H45" s="38">
        <v>30000</v>
      </c>
      <c r="I45" s="38">
        <v>30340</v>
      </c>
      <c r="J45" s="35">
        <f t="shared" si="35"/>
        <v>340</v>
      </c>
      <c r="K45" s="50">
        <f t="shared" si="36"/>
        <v>32</v>
      </c>
      <c r="L45" s="46">
        <f t="shared" si="37"/>
        <v>9.4117647058823533</v>
      </c>
      <c r="M45" s="48">
        <v>17700</v>
      </c>
      <c r="N45" s="47">
        <f t="shared" si="38"/>
        <v>566400</v>
      </c>
    </row>
    <row r="46" spans="1:18" ht="16">
      <c r="A46" s="33">
        <v>46052</v>
      </c>
      <c r="B46" s="44" t="s">
        <v>15</v>
      </c>
      <c r="C46" s="35">
        <v>171188</v>
      </c>
      <c r="D46" s="35">
        <v>171480</v>
      </c>
      <c r="E46" s="11">
        <f t="shared" si="33"/>
        <v>292</v>
      </c>
      <c r="F46" s="45">
        <v>40</v>
      </c>
      <c r="G46" s="13">
        <f t="shared" si="34"/>
        <v>13.698630136986301</v>
      </c>
      <c r="H46" s="38">
        <v>30340</v>
      </c>
      <c r="I46" s="38">
        <v>30580</v>
      </c>
      <c r="J46" s="35">
        <f t="shared" si="35"/>
        <v>240</v>
      </c>
      <c r="K46" s="50">
        <f t="shared" si="36"/>
        <v>40</v>
      </c>
      <c r="L46" s="46">
        <f t="shared" si="37"/>
        <v>16.666666666666664</v>
      </c>
      <c r="M46" s="48">
        <v>18170</v>
      </c>
      <c r="N46" s="47">
        <f t="shared" si="38"/>
        <v>726800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6" si="39">Q47</f>
        <v>0</v>
      </c>
    </row>
    <row r="48" spans="1:18" ht="16">
      <c r="A48" s="59"/>
      <c r="B48" s="60"/>
      <c r="C48" s="59"/>
      <c r="D48" s="59" t="s">
        <v>19</v>
      </c>
      <c r="E48" s="59">
        <f t="shared" ref="E48:F48" si="40">SUM(E39:E47)</f>
        <v>2489</v>
      </c>
      <c r="F48" s="59">
        <f t="shared" si="40"/>
        <v>297</v>
      </c>
      <c r="G48" s="61" t="e">
        <f>AVERAGE(G39:G47)</f>
        <v>#DIV/0!</v>
      </c>
      <c r="H48" s="59"/>
      <c r="I48" s="62"/>
      <c r="J48" s="59">
        <f t="shared" ref="J48:K48" si="41">SUM(J39:J47)</f>
        <v>2516</v>
      </c>
      <c r="K48" s="59">
        <f t="shared" si="41"/>
        <v>297</v>
      </c>
      <c r="L48" s="61" t="e">
        <f>AVERAGE(L39:L47)</f>
        <v>#DIV/0!</v>
      </c>
      <c r="M48" s="64"/>
      <c r="N48" s="65">
        <f>SUM(N39:N47)</f>
        <v>5179250</v>
      </c>
      <c r="R48" s="76">
        <f t="shared" si="39"/>
        <v>0</v>
      </c>
    </row>
    <row r="49" spans="1:18" ht="16">
      <c r="A49" s="66">
        <v>46024</v>
      </c>
      <c r="B49" s="34" t="s">
        <v>16</v>
      </c>
      <c r="C49" s="35">
        <v>145148</v>
      </c>
      <c r="D49" s="35">
        <v>145418</v>
      </c>
      <c r="E49" s="36">
        <f t="shared" ref="E49:E59" si="42">D49-C49</f>
        <v>270</v>
      </c>
      <c r="F49" s="37">
        <v>38</v>
      </c>
      <c r="G49" s="13">
        <f t="shared" ref="G49:G59" si="43">(F49/E49)*100</f>
        <v>14.074074074074074</v>
      </c>
      <c r="H49" s="38">
        <v>29646</v>
      </c>
      <c r="I49" s="38">
        <v>29955</v>
      </c>
      <c r="J49" s="39">
        <f t="shared" ref="J49:J59" si="44">I49-H49</f>
        <v>309</v>
      </c>
      <c r="K49" s="77">
        <f t="shared" ref="K49:K59" si="45">F49</f>
        <v>38</v>
      </c>
      <c r="L49" s="67">
        <f t="shared" ref="L49:L59" si="46">(K49/J49)*100</f>
        <v>12.297734627831716</v>
      </c>
      <c r="M49" s="68">
        <v>17250</v>
      </c>
      <c r="N49" s="42">
        <f t="shared" ref="N49:N59" si="47">F49*M49</f>
        <v>655500</v>
      </c>
      <c r="R49" s="76">
        <f t="shared" si="39"/>
        <v>0</v>
      </c>
    </row>
    <row r="50" spans="1:18" ht="16">
      <c r="A50" s="80">
        <v>46029</v>
      </c>
      <c r="B50" s="44" t="s">
        <v>16</v>
      </c>
      <c r="C50" s="35">
        <v>145418</v>
      </c>
      <c r="D50" s="35">
        <v>145764</v>
      </c>
      <c r="E50" s="11">
        <f t="shared" si="42"/>
        <v>346</v>
      </c>
      <c r="F50" s="45">
        <v>45</v>
      </c>
      <c r="G50" s="13">
        <f t="shared" si="43"/>
        <v>13.005780346820808</v>
      </c>
      <c r="H50" s="38">
        <v>29955</v>
      </c>
      <c r="I50" s="38">
        <v>30311</v>
      </c>
      <c r="J50" s="35">
        <f t="shared" si="44"/>
        <v>356</v>
      </c>
      <c r="K50" s="50">
        <f t="shared" si="45"/>
        <v>45</v>
      </c>
      <c r="L50" s="46">
        <f t="shared" si="46"/>
        <v>12.640449438202248</v>
      </c>
      <c r="M50" s="48">
        <v>17250</v>
      </c>
      <c r="N50" s="47">
        <f t="shared" si="47"/>
        <v>776250</v>
      </c>
      <c r="R50" s="76">
        <f t="shared" si="39"/>
        <v>0</v>
      </c>
    </row>
    <row r="51" spans="1:18" ht="16">
      <c r="A51" s="80">
        <v>46034</v>
      </c>
      <c r="B51" s="44" t="s">
        <v>16</v>
      </c>
      <c r="C51" s="35">
        <v>145764</v>
      </c>
      <c r="D51" s="35">
        <v>146027</v>
      </c>
      <c r="E51" s="11">
        <f t="shared" si="42"/>
        <v>263</v>
      </c>
      <c r="F51" s="45">
        <v>37</v>
      </c>
      <c r="G51" s="13">
        <f t="shared" si="43"/>
        <v>14.068441064638785</v>
      </c>
      <c r="H51" s="38">
        <v>30311</v>
      </c>
      <c r="I51" s="38">
        <v>30612</v>
      </c>
      <c r="J51" s="35">
        <f t="shared" si="44"/>
        <v>301</v>
      </c>
      <c r="K51" s="50">
        <f t="shared" si="45"/>
        <v>37</v>
      </c>
      <c r="L51" s="46">
        <f t="shared" si="46"/>
        <v>12.29235880398671</v>
      </c>
      <c r="M51" s="48">
        <v>17060</v>
      </c>
      <c r="N51" s="47">
        <f t="shared" si="47"/>
        <v>631220</v>
      </c>
      <c r="R51" s="76">
        <f t="shared" si="39"/>
        <v>0</v>
      </c>
    </row>
    <row r="52" spans="1:18" ht="16">
      <c r="A52" s="80">
        <v>46036</v>
      </c>
      <c r="B52" s="44" t="s">
        <v>16</v>
      </c>
      <c r="C52" s="35">
        <v>146027</v>
      </c>
      <c r="D52" s="35">
        <v>146331</v>
      </c>
      <c r="E52" s="11">
        <f t="shared" si="42"/>
        <v>304</v>
      </c>
      <c r="F52" s="45">
        <v>36</v>
      </c>
      <c r="G52" s="13">
        <f t="shared" si="43"/>
        <v>11.842105263157894</v>
      </c>
      <c r="H52" s="38">
        <v>30612</v>
      </c>
      <c r="I52" s="38">
        <v>31035</v>
      </c>
      <c r="J52" s="35">
        <f t="shared" si="44"/>
        <v>423</v>
      </c>
      <c r="K52" s="50">
        <f t="shared" si="45"/>
        <v>36</v>
      </c>
      <c r="L52" s="46">
        <f t="shared" si="46"/>
        <v>8.5106382978723403</v>
      </c>
      <c r="M52" s="48">
        <v>17060</v>
      </c>
      <c r="N52" s="47">
        <f t="shared" si="47"/>
        <v>614160</v>
      </c>
      <c r="R52" s="76">
        <f t="shared" si="39"/>
        <v>0</v>
      </c>
    </row>
    <row r="53" spans="1:18" ht="16">
      <c r="A53" s="80">
        <v>46038</v>
      </c>
      <c r="B53" s="44" t="s">
        <v>16</v>
      </c>
      <c r="C53" s="35">
        <v>146331</v>
      </c>
      <c r="D53" s="35">
        <v>146637</v>
      </c>
      <c r="E53" s="11">
        <f t="shared" si="42"/>
        <v>306</v>
      </c>
      <c r="F53" s="45">
        <v>42</v>
      </c>
      <c r="G53" s="13">
        <f t="shared" si="43"/>
        <v>13.725490196078432</v>
      </c>
      <c r="H53" s="38">
        <v>31035</v>
      </c>
      <c r="I53" s="38">
        <v>31317</v>
      </c>
      <c r="J53" s="35">
        <f t="shared" si="44"/>
        <v>282</v>
      </c>
      <c r="K53" s="50">
        <f t="shared" si="45"/>
        <v>42</v>
      </c>
      <c r="L53" s="46">
        <f t="shared" si="46"/>
        <v>14.893617021276595</v>
      </c>
      <c r="M53" s="48">
        <v>17280</v>
      </c>
      <c r="N53" s="47">
        <f t="shared" si="47"/>
        <v>725760</v>
      </c>
      <c r="P53" s="78"/>
      <c r="R53" s="76">
        <f t="shared" si="39"/>
        <v>0</v>
      </c>
    </row>
    <row r="54" spans="1:18" ht="16">
      <c r="A54" s="80">
        <v>46043</v>
      </c>
      <c r="B54" s="44" t="s">
        <v>16</v>
      </c>
      <c r="C54" s="35">
        <v>146637</v>
      </c>
      <c r="D54" s="35">
        <v>146961</v>
      </c>
      <c r="E54" s="11">
        <f t="shared" si="42"/>
        <v>324</v>
      </c>
      <c r="F54" s="45">
        <v>42</v>
      </c>
      <c r="G54" s="13">
        <f t="shared" si="43"/>
        <v>12.962962962962962</v>
      </c>
      <c r="H54" s="38">
        <v>31317</v>
      </c>
      <c r="I54" s="38">
        <v>31618</v>
      </c>
      <c r="J54" s="35">
        <f t="shared" si="44"/>
        <v>301</v>
      </c>
      <c r="K54" s="50">
        <f t="shared" si="45"/>
        <v>42</v>
      </c>
      <c r="L54" s="46">
        <f t="shared" si="46"/>
        <v>13.953488372093023</v>
      </c>
      <c r="M54" s="48">
        <v>17280</v>
      </c>
      <c r="N54" s="47">
        <f t="shared" si="47"/>
        <v>725760</v>
      </c>
      <c r="R54" s="76">
        <f t="shared" si="39"/>
        <v>0</v>
      </c>
    </row>
    <row r="55" spans="1:18" ht="16">
      <c r="A55" s="80">
        <v>46045</v>
      </c>
      <c r="B55" s="44" t="s">
        <v>16</v>
      </c>
      <c r="C55" s="35">
        <v>146961</v>
      </c>
      <c r="D55" s="35">
        <v>147267</v>
      </c>
      <c r="E55" s="11">
        <f t="shared" si="42"/>
        <v>306</v>
      </c>
      <c r="F55" s="45">
        <v>40</v>
      </c>
      <c r="G55" s="13">
        <f t="shared" si="43"/>
        <v>13.071895424836603</v>
      </c>
      <c r="H55" s="38">
        <v>31618</v>
      </c>
      <c r="I55" s="38">
        <v>32037</v>
      </c>
      <c r="J55" s="35">
        <f t="shared" si="44"/>
        <v>419</v>
      </c>
      <c r="K55" s="50">
        <f t="shared" si="45"/>
        <v>40</v>
      </c>
      <c r="L55" s="46">
        <f t="shared" si="46"/>
        <v>9.5465393794749396</v>
      </c>
      <c r="M55" s="48">
        <v>17700</v>
      </c>
      <c r="N55" s="47">
        <f t="shared" si="47"/>
        <v>708000</v>
      </c>
      <c r="R55" s="76">
        <f t="shared" si="39"/>
        <v>0</v>
      </c>
    </row>
    <row r="56" spans="1:18" ht="16">
      <c r="A56" s="80">
        <v>46049</v>
      </c>
      <c r="B56" s="44" t="s">
        <v>16</v>
      </c>
      <c r="C56" s="35">
        <v>147267</v>
      </c>
      <c r="D56" s="35">
        <v>147538</v>
      </c>
      <c r="E56" s="11">
        <f t="shared" si="42"/>
        <v>271</v>
      </c>
      <c r="F56" s="45">
        <v>40</v>
      </c>
      <c r="G56" s="13">
        <f t="shared" si="43"/>
        <v>14.760147601476014</v>
      </c>
      <c r="H56" s="38">
        <v>32037</v>
      </c>
      <c r="I56" s="38">
        <v>32244</v>
      </c>
      <c r="J56" s="35">
        <f t="shared" si="44"/>
        <v>207</v>
      </c>
      <c r="K56" s="50">
        <f t="shared" si="45"/>
        <v>40</v>
      </c>
      <c r="L56" s="46">
        <f t="shared" si="46"/>
        <v>19.323671497584542</v>
      </c>
      <c r="M56" s="48">
        <v>17700</v>
      </c>
      <c r="N56" s="47">
        <f t="shared" si="47"/>
        <v>708000</v>
      </c>
      <c r="R56" s="76">
        <f t="shared" si="39"/>
        <v>0</v>
      </c>
    </row>
    <row r="57" spans="1:18" ht="16">
      <c r="A57" s="80">
        <v>46051</v>
      </c>
      <c r="B57" s="44" t="s">
        <v>16</v>
      </c>
      <c r="C57" s="35">
        <v>147538</v>
      </c>
      <c r="D57" s="35">
        <v>147868</v>
      </c>
      <c r="E57" s="11">
        <f t="shared" si="42"/>
        <v>330</v>
      </c>
      <c r="F57" s="45">
        <v>40</v>
      </c>
      <c r="G57" s="13">
        <f t="shared" si="43"/>
        <v>12.121212121212121</v>
      </c>
      <c r="H57" s="38">
        <v>32244</v>
      </c>
      <c r="I57" s="38">
        <v>32624</v>
      </c>
      <c r="J57" s="35">
        <f t="shared" si="44"/>
        <v>380</v>
      </c>
      <c r="K57" s="50">
        <f t="shared" si="45"/>
        <v>40</v>
      </c>
      <c r="L57" s="46">
        <f t="shared" si="46"/>
        <v>10.526315789473683</v>
      </c>
      <c r="M57" s="48">
        <v>17700</v>
      </c>
      <c r="N57" s="47">
        <f t="shared" si="47"/>
        <v>708000</v>
      </c>
    </row>
    <row r="58" spans="1:18" ht="16">
      <c r="A58" s="80">
        <v>46053</v>
      </c>
      <c r="B58" s="44" t="s">
        <v>16</v>
      </c>
      <c r="C58" s="35">
        <v>147868</v>
      </c>
      <c r="D58" s="35">
        <v>148185</v>
      </c>
      <c r="E58" s="11">
        <f t="shared" si="42"/>
        <v>317</v>
      </c>
      <c r="F58" s="45">
        <v>48</v>
      </c>
      <c r="G58" s="13">
        <f t="shared" si="43"/>
        <v>15.141955835962145</v>
      </c>
      <c r="H58" s="38">
        <v>32624</v>
      </c>
      <c r="I58" s="38">
        <v>32950</v>
      </c>
      <c r="J58" s="35">
        <f t="shared" si="44"/>
        <v>326</v>
      </c>
      <c r="K58" s="50">
        <f t="shared" si="45"/>
        <v>48</v>
      </c>
      <c r="L58" s="46">
        <f t="shared" si="46"/>
        <v>14.723926380368098</v>
      </c>
      <c r="M58" s="48">
        <v>18170</v>
      </c>
      <c r="N58" s="47">
        <f t="shared" si="47"/>
        <v>872160</v>
      </c>
      <c r="R58" s="76">
        <f t="shared" ref="R58:R63" si="48">Q58</f>
        <v>0</v>
      </c>
    </row>
    <row r="59" spans="1:18" ht="16">
      <c r="A59" s="80"/>
      <c r="B59" s="44" t="s">
        <v>16</v>
      </c>
      <c r="C59" s="53"/>
      <c r="D59" s="53"/>
      <c r="E59" s="24">
        <f t="shared" si="42"/>
        <v>0</v>
      </c>
      <c r="F59" s="45"/>
      <c r="G59" s="54" t="e">
        <f t="shared" si="43"/>
        <v>#DIV/0!</v>
      </c>
      <c r="H59" s="53"/>
      <c r="I59" s="55"/>
      <c r="J59" s="53">
        <f t="shared" si="44"/>
        <v>0</v>
      </c>
      <c r="K59" s="50">
        <f t="shared" si="45"/>
        <v>0</v>
      </c>
      <c r="L59" s="73" t="e">
        <f t="shared" si="46"/>
        <v>#DIV/0!</v>
      </c>
      <c r="M59" s="48"/>
      <c r="N59" s="57">
        <f t="shared" si="47"/>
        <v>0</v>
      </c>
      <c r="R59" s="76">
        <f t="shared" si="48"/>
        <v>0</v>
      </c>
    </row>
    <row r="60" spans="1:18" ht="16">
      <c r="A60" s="59"/>
      <c r="B60" s="60"/>
      <c r="C60" s="81"/>
      <c r="D60" s="59" t="s">
        <v>19</v>
      </c>
      <c r="E60" s="59">
        <f>SUM(E49:E59)</f>
        <v>3037</v>
      </c>
      <c r="F60" s="37"/>
      <c r="G60" s="61" t="e">
        <f>AVERAGE(G49:G59)</f>
        <v>#DIV/0!</v>
      </c>
      <c r="H60" s="59"/>
      <c r="I60" s="62"/>
      <c r="J60" s="59">
        <f t="shared" ref="J60:K60" si="49">SUM(J49:J59)</f>
        <v>3304</v>
      </c>
      <c r="K60" s="59">
        <f t="shared" si="49"/>
        <v>408</v>
      </c>
      <c r="L60" s="61" t="e">
        <f>AVERAGE(L49:L59)</f>
        <v>#DIV/0!</v>
      </c>
      <c r="M60" s="64"/>
      <c r="N60" s="65">
        <f>SUM(N49:N59)</f>
        <v>7124810</v>
      </c>
      <c r="R60" s="76">
        <f t="shared" si="48"/>
        <v>0</v>
      </c>
    </row>
    <row r="61" spans="1:18" ht="16">
      <c r="A61" s="66">
        <v>46024</v>
      </c>
      <c r="B61" s="82" t="s">
        <v>18</v>
      </c>
      <c r="C61" s="35">
        <v>150067</v>
      </c>
      <c r="D61" s="35">
        <v>150406</v>
      </c>
      <c r="E61" s="36">
        <f t="shared" ref="E61:E69" si="50">D61-C61</f>
        <v>339</v>
      </c>
      <c r="F61" s="37">
        <v>43</v>
      </c>
      <c r="G61" s="13">
        <f t="shared" ref="G61:G69" si="51">(F61/E61)*100</f>
        <v>12.684365781710916</v>
      </c>
      <c r="H61" s="38">
        <v>21990</v>
      </c>
      <c r="I61" s="38">
        <v>22361</v>
      </c>
      <c r="J61" s="39">
        <f t="shared" ref="J61:J69" si="52">I61-H61</f>
        <v>371</v>
      </c>
      <c r="K61" s="77">
        <f t="shared" ref="K61:K69" si="53">F61</f>
        <v>43</v>
      </c>
      <c r="L61" s="67">
        <f t="shared" ref="L61:L69" si="54">(K61/J61)*100</f>
        <v>11.590296495956872</v>
      </c>
      <c r="M61" s="68">
        <v>17250</v>
      </c>
      <c r="N61" s="42">
        <f t="shared" ref="N61:N69" si="55">F61*M61</f>
        <v>741750</v>
      </c>
      <c r="R61" s="76">
        <f t="shared" si="48"/>
        <v>0</v>
      </c>
    </row>
    <row r="62" spans="1:18" ht="16">
      <c r="A62" s="33">
        <v>46028</v>
      </c>
      <c r="B62" s="44" t="s">
        <v>18</v>
      </c>
      <c r="C62" s="35">
        <v>150406</v>
      </c>
      <c r="D62" s="35">
        <v>150771</v>
      </c>
      <c r="E62" s="11">
        <f t="shared" si="50"/>
        <v>365</v>
      </c>
      <c r="F62" s="45">
        <v>45</v>
      </c>
      <c r="G62" s="13">
        <f t="shared" si="51"/>
        <v>12.328767123287671</v>
      </c>
      <c r="H62" s="38">
        <v>22361</v>
      </c>
      <c r="I62" s="38">
        <v>22718</v>
      </c>
      <c r="J62" s="35">
        <f t="shared" si="52"/>
        <v>357</v>
      </c>
      <c r="K62" s="50">
        <f t="shared" si="53"/>
        <v>45</v>
      </c>
      <c r="L62" s="46">
        <f t="shared" si="54"/>
        <v>12.605042016806722</v>
      </c>
      <c r="M62" s="48">
        <v>17250</v>
      </c>
      <c r="N62" s="47">
        <f t="shared" si="55"/>
        <v>776250</v>
      </c>
      <c r="R62" s="76">
        <f t="shared" si="48"/>
        <v>0</v>
      </c>
    </row>
    <row r="63" spans="1:18" ht="16">
      <c r="A63" s="33">
        <v>46031</v>
      </c>
      <c r="B63" s="44" t="s">
        <v>18</v>
      </c>
      <c r="C63" s="35">
        <v>150771</v>
      </c>
      <c r="D63" s="35">
        <v>151130</v>
      </c>
      <c r="E63" s="11">
        <f t="shared" si="50"/>
        <v>359</v>
      </c>
      <c r="F63" s="45">
        <v>43</v>
      </c>
      <c r="G63" s="13">
        <f t="shared" si="51"/>
        <v>11.977715877437326</v>
      </c>
      <c r="H63" s="38">
        <v>22718</v>
      </c>
      <c r="I63" s="38">
        <v>23141</v>
      </c>
      <c r="J63" s="35">
        <f t="shared" si="52"/>
        <v>423</v>
      </c>
      <c r="K63" s="50">
        <f t="shared" si="53"/>
        <v>43</v>
      </c>
      <c r="L63" s="46">
        <f t="shared" si="54"/>
        <v>10.16548463356974</v>
      </c>
      <c r="M63" s="48">
        <v>17060</v>
      </c>
      <c r="N63" s="47">
        <f t="shared" si="55"/>
        <v>733580</v>
      </c>
      <c r="R63" s="76">
        <f t="shared" si="48"/>
        <v>0</v>
      </c>
    </row>
    <row r="64" spans="1:18" ht="16">
      <c r="A64" s="33">
        <v>46035</v>
      </c>
      <c r="B64" s="44" t="s">
        <v>18</v>
      </c>
      <c r="C64" s="35">
        <v>151130</v>
      </c>
      <c r="D64" s="35">
        <v>151448</v>
      </c>
      <c r="E64" s="11">
        <f t="shared" si="50"/>
        <v>318</v>
      </c>
      <c r="F64" s="45">
        <v>40</v>
      </c>
      <c r="G64" s="13">
        <f t="shared" si="51"/>
        <v>12.578616352201259</v>
      </c>
      <c r="H64" s="38">
        <v>23141</v>
      </c>
      <c r="I64" s="38">
        <v>23500</v>
      </c>
      <c r="J64" s="35">
        <f t="shared" si="52"/>
        <v>359</v>
      </c>
      <c r="K64" s="50">
        <f t="shared" si="53"/>
        <v>40</v>
      </c>
      <c r="L64" s="46">
        <f t="shared" si="54"/>
        <v>11.142061281337048</v>
      </c>
      <c r="M64" s="48">
        <v>17060</v>
      </c>
      <c r="N64" s="47">
        <f t="shared" si="55"/>
        <v>682400</v>
      </c>
    </row>
    <row r="65" spans="1:18" ht="16">
      <c r="A65" s="33">
        <v>46041</v>
      </c>
      <c r="B65" s="44" t="s">
        <v>18</v>
      </c>
      <c r="C65" s="35">
        <v>151448</v>
      </c>
      <c r="D65" s="35">
        <v>151777</v>
      </c>
      <c r="E65" s="11">
        <f t="shared" si="50"/>
        <v>329</v>
      </c>
      <c r="F65" s="45">
        <v>42</v>
      </c>
      <c r="G65" s="13">
        <f t="shared" si="51"/>
        <v>12.76595744680851</v>
      </c>
      <c r="H65" s="38">
        <v>23500</v>
      </c>
      <c r="I65" s="38">
        <v>23849</v>
      </c>
      <c r="J65" s="35">
        <f t="shared" si="52"/>
        <v>349</v>
      </c>
      <c r="K65" s="50">
        <f t="shared" si="53"/>
        <v>42</v>
      </c>
      <c r="L65" s="46">
        <f t="shared" si="54"/>
        <v>12.034383954154727</v>
      </c>
      <c r="M65" s="48">
        <v>17280</v>
      </c>
      <c r="N65" s="47">
        <f t="shared" si="55"/>
        <v>725760</v>
      </c>
      <c r="R65" s="76">
        <f t="shared" ref="R65:R153" si="56">Q65</f>
        <v>0</v>
      </c>
    </row>
    <row r="66" spans="1:18" ht="16">
      <c r="A66" s="33">
        <v>46045</v>
      </c>
      <c r="B66" s="44" t="s">
        <v>18</v>
      </c>
      <c r="C66" s="35">
        <v>151777</v>
      </c>
      <c r="D66" s="35">
        <v>152093</v>
      </c>
      <c r="E66" s="11">
        <f t="shared" si="50"/>
        <v>316</v>
      </c>
      <c r="F66" s="45">
        <v>43</v>
      </c>
      <c r="G66" s="13">
        <f t="shared" si="51"/>
        <v>13.60759493670886</v>
      </c>
      <c r="H66" s="38">
        <v>23849</v>
      </c>
      <c r="I66" s="38">
        <v>24200</v>
      </c>
      <c r="J66" s="35">
        <f t="shared" si="52"/>
        <v>351</v>
      </c>
      <c r="K66" s="50">
        <f t="shared" si="53"/>
        <v>43</v>
      </c>
      <c r="L66" s="46">
        <f t="shared" si="54"/>
        <v>12.250712250712251</v>
      </c>
      <c r="M66" s="48">
        <v>17700</v>
      </c>
      <c r="N66" s="47">
        <f t="shared" si="55"/>
        <v>761100</v>
      </c>
      <c r="R66" s="76">
        <f t="shared" si="56"/>
        <v>0</v>
      </c>
    </row>
    <row r="67" spans="1:18" ht="16">
      <c r="A67" s="33">
        <v>46049</v>
      </c>
      <c r="B67" s="44" t="s">
        <v>18</v>
      </c>
      <c r="C67" s="35">
        <v>152093</v>
      </c>
      <c r="D67" s="35">
        <v>152509</v>
      </c>
      <c r="E67" s="51">
        <f t="shared" si="50"/>
        <v>416</v>
      </c>
      <c r="F67" s="45">
        <v>49</v>
      </c>
      <c r="G67" s="13">
        <f t="shared" si="51"/>
        <v>11.778846153846153</v>
      </c>
      <c r="H67" s="38">
        <v>24200</v>
      </c>
      <c r="I67" s="38">
        <v>24704</v>
      </c>
      <c r="J67" s="35">
        <f t="shared" si="52"/>
        <v>504</v>
      </c>
      <c r="K67" s="50">
        <f t="shared" si="53"/>
        <v>49</v>
      </c>
      <c r="L67" s="46">
        <f t="shared" si="54"/>
        <v>9.7222222222222232</v>
      </c>
      <c r="M67" s="48">
        <v>17700</v>
      </c>
      <c r="N67" s="47">
        <f t="shared" si="55"/>
        <v>867300</v>
      </c>
      <c r="R67" s="76">
        <f t="shared" si="56"/>
        <v>0</v>
      </c>
    </row>
    <row r="68" spans="1:18" ht="16">
      <c r="A68" s="43">
        <v>46053</v>
      </c>
      <c r="B68" s="49" t="s">
        <v>18</v>
      </c>
      <c r="C68" s="35">
        <v>152509</v>
      </c>
      <c r="D68" s="50">
        <v>152861</v>
      </c>
      <c r="E68" s="51">
        <f t="shared" si="50"/>
        <v>352</v>
      </c>
      <c r="F68" s="45">
        <v>46</v>
      </c>
      <c r="G68" s="13">
        <f t="shared" si="51"/>
        <v>13.068181818181818</v>
      </c>
      <c r="H68" s="38">
        <v>24704</v>
      </c>
      <c r="I68" s="38">
        <v>25051</v>
      </c>
      <c r="J68" s="35">
        <f t="shared" si="52"/>
        <v>347</v>
      </c>
      <c r="K68" s="50">
        <f t="shared" si="53"/>
        <v>46</v>
      </c>
      <c r="L68" s="46">
        <f t="shared" si="54"/>
        <v>13.256484149855908</v>
      </c>
      <c r="M68" s="48">
        <v>18170</v>
      </c>
      <c r="N68" s="47">
        <f t="shared" si="55"/>
        <v>835820</v>
      </c>
      <c r="R68" s="76">
        <f t="shared" si="56"/>
        <v>0</v>
      </c>
    </row>
    <row r="69" spans="1:18" ht="16">
      <c r="A69" s="33"/>
      <c r="B69" s="44" t="s">
        <v>18</v>
      </c>
      <c r="C69" s="12"/>
      <c r="D69" s="53"/>
      <c r="E69" s="24">
        <f t="shared" si="50"/>
        <v>0</v>
      </c>
      <c r="F69" s="45"/>
      <c r="G69" s="54" t="e">
        <f t="shared" si="51"/>
        <v>#DIV/0!</v>
      </c>
      <c r="H69" s="53"/>
      <c r="I69" s="55"/>
      <c r="J69" s="53">
        <f t="shared" si="52"/>
        <v>0</v>
      </c>
      <c r="K69" s="50">
        <f t="shared" si="53"/>
        <v>0</v>
      </c>
      <c r="L69" s="73" t="e">
        <f t="shared" si="54"/>
        <v>#DIV/0!</v>
      </c>
      <c r="M69" s="48"/>
      <c r="N69" s="57">
        <f t="shared" si="55"/>
        <v>0</v>
      </c>
      <c r="R69" s="76">
        <f t="shared" si="56"/>
        <v>0</v>
      </c>
    </row>
    <row r="70" spans="1:18" ht="16">
      <c r="A70" s="59"/>
      <c r="B70" s="60"/>
      <c r="C70" s="63"/>
      <c r="D70" s="59" t="s">
        <v>19</v>
      </c>
      <c r="E70" s="59">
        <f t="shared" ref="E70:F70" si="57">SUM(E61:E69)</f>
        <v>2794</v>
      </c>
      <c r="F70" s="59">
        <f t="shared" si="57"/>
        <v>351</v>
      </c>
      <c r="G70" s="61" t="e">
        <f>AVERAGE(G61:G69)</f>
        <v>#DIV/0!</v>
      </c>
      <c r="H70" s="59"/>
      <c r="I70" s="62"/>
      <c r="J70" s="59">
        <f t="shared" ref="J70:K70" si="58">SUM(J61:J69)</f>
        <v>3061</v>
      </c>
      <c r="K70" s="59">
        <f t="shared" si="58"/>
        <v>351</v>
      </c>
      <c r="L70" s="61" t="e">
        <f>AVERAGE(L61:L69)</f>
        <v>#DIV/0!</v>
      </c>
      <c r="M70" s="64"/>
      <c r="N70" s="65">
        <f>SUM(N61:N69)</f>
        <v>6123960</v>
      </c>
      <c r="R70" s="76">
        <f t="shared" si="56"/>
        <v>0</v>
      </c>
    </row>
    <row r="71" spans="1:18" ht="16">
      <c r="A71" s="66">
        <v>46027</v>
      </c>
      <c r="B71" s="34" t="s">
        <v>20</v>
      </c>
      <c r="C71" s="35">
        <v>396468</v>
      </c>
      <c r="D71" s="35">
        <v>397020</v>
      </c>
      <c r="E71" s="36">
        <f t="shared" ref="E71:E77" si="59">D71-C71</f>
        <v>552</v>
      </c>
      <c r="F71" s="37">
        <v>79</v>
      </c>
      <c r="G71" s="13">
        <f t="shared" ref="G71:G77" si="60">(F71/E71)*100</f>
        <v>14.311594202898551</v>
      </c>
      <c r="H71" s="38">
        <v>28648</v>
      </c>
      <c r="I71" s="38">
        <v>29159</v>
      </c>
      <c r="J71" s="39">
        <f t="shared" ref="J71:J77" si="61">I71-H71</f>
        <v>511</v>
      </c>
      <c r="K71" s="77">
        <f t="shared" ref="K71:K77" si="62">F71</f>
        <v>79</v>
      </c>
      <c r="L71" s="67">
        <f t="shared" ref="L71:L77" si="63">(K71/J71)*100</f>
        <v>15.459882583170254</v>
      </c>
      <c r="M71" s="68">
        <v>17250</v>
      </c>
      <c r="N71" s="42">
        <f t="shared" ref="N71:N77" si="64">F71*M71</f>
        <v>1362750</v>
      </c>
      <c r="R71" s="76">
        <f t="shared" si="56"/>
        <v>0</v>
      </c>
    </row>
    <row r="72" spans="1:18" ht="16">
      <c r="A72" s="33">
        <v>46034</v>
      </c>
      <c r="B72" s="44" t="s">
        <v>20</v>
      </c>
      <c r="C72" s="35">
        <v>397020</v>
      </c>
      <c r="D72" s="35">
        <v>397616</v>
      </c>
      <c r="E72" s="11">
        <f t="shared" si="59"/>
        <v>596</v>
      </c>
      <c r="F72" s="45">
        <v>78</v>
      </c>
      <c r="G72" s="13">
        <f t="shared" si="60"/>
        <v>13.087248322147651</v>
      </c>
      <c r="H72" s="38">
        <v>29159</v>
      </c>
      <c r="I72" s="83">
        <v>29790</v>
      </c>
      <c r="J72" s="35">
        <f t="shared" si="61"/>
        <v>631</v>
      </c>
      <c r="K72" s="50">
        <f t="shared" si="62"/>
        <v>78</v>
      </c>
      <c r="L72" s="46">
        <f t="shared" si="63"/>
        <v>12.361331220285262</v>
      </c>
      <c r="M72" s="48">
        <v>17060</v>
      </c>
      <c r="N72" s="47">
        <f t="shared" si="64"/>
        <v>1330680</v>
      </c>
      <c r="R72" s="76">
        <f t="shared" si="56"/>
        <v>0</v>
      </c>
    </row>
    <row r="73" spans="1:18" ht="16">
      <c r="A73" s="33">
        <v>46041</v>
      </c>
      <c r="B73" s="44" t="s">
        <v>20</v>
      </c>
      <c r="C73" s="35">
        <v>397616</v>
      </c>
      <c r="D73" s="35">
        <v>398236</v>
      </c>
      <c r="E73" s="11">
        <f t="shared" si="59"/>
        <v>620</v>
      </c>
      <c r="F73" s="45">
        <v>75</v>
      </c>
      <c r="G73" s="13">
        <f t="shared" si="60"/>
        <v>12.096774193548388</v>
      </c>
      <c r="H73" s="83">
        <v>29790</v>
      </c>
      <c r="I73" s="38">
        <v>30377</v>
      </c>
      <c r="J73" s="35">
        <f t="shared" si="61"/>
        <v>587</v>
      </c>
      <c r="K73" s="50">
        <f t="shared" si="62"/>
        <v>75</v>
      </c>
      <c r="L73" s="46">
        <f t="shared" si="63"/>
        <v>12.776831345826235</v>
      </c>
      <c r="M73" s="48">
        <v>17280</v>
      </c>
      <c r="N73" s="47">
        <f t="shared" si="64"/>
        <v>1296000</v>
      </c>
      <c r="R73" s="76">
        <f t="shared" si="56"/>
        <v>0</v>
      </c>
    </row>
    <row r="74" spans="1:18" ht="16">
      <c r="A74" s="33">
        <v>46048</v>
      </c>
      <c r="B74" s="44" t="s">
        <v>20</v>
      </c>
      <c r="C74" s="35">
        <v>398236</v>
      </c>
      <c r="D74" s="35">
        <v>398824</v>
      </c>
      <c r="E74" s="11">
        <f t="shared" si="59"/>
        <v>588</v>
      </c>
      <c r="F74" s="45">
        <v>70</v>
      </c>
      <c r="G74" s="13">
        <f t="shared" si="60"/>
        <v>11.904761904761903</v>
      </c>
      <c r="H74" s="38">
        <v>30377</v>
      </c>
      <c r="I74" s="38">
        <v>30919</v>
      </c>
      <c r="J74" s="35">
        <f t="shared" si="61"/>
        <v>542</v>
      </c>
      <c r="K74" s="50">
        <f t="shared" si="62"/>
        <v>70</v>
      </c>
      <c r="L74" s="46">
        <f t="shared" si="63"/>
        <v>12.915129151291513</v>
      </c>
      <c r="M74" s="48">
        <v>17700</v>
      </c>
      <c r="N74" s="47">
        <f t="shared" si="64"/>
        <v>1239000</v>
      </c>
      <c r="R74" s="76">
        <f t="shared" si="56"/>
        <v>0</v>
      </c>
    </row>
    <row r="75" spans="1:18" ht="16">
      <c r="A75" s="33">
        <v>46052</v>
      </c>
      <c r="B75" s="44" t="s">
        <v>20</v>
      </c>
      <c r="C75" s="35">
        <v>398824</v>
      </c>
      <c r="D75" s="35">
        <v>399392</v>
      </c>
      <c r="E75" s="11">
        <f t="shared" si="59"/>
        <v>568</v>
      </c>
      <c r="F75" s="45">
        <v>75</v>
      </c>
      <c r="G75" s="13">
        <f t="shared" si="60"/>
        <v>13.204225352112676</v>
      </c>
      <c r="H75" s="38">
        <v>30919</v>
      </c>
      <c r="I75" s="38">
        <v>31510</v>
      </c>
      <c r="J75" s="35">
        <f t="shared" si="61"/>
        <v>591</v>
      </c>
      <c r="K75" s="50">
        <f t="shared" si="62"/>
        <v>75</v>
      </c>
      <c r="L75" s="46">
        <f t="shared" si="63"/>
        <v>12.690355329949238</v>
      </c>
      <c r="M75" s="48">
        <v>18170</v>
      </c>
      <c r="N75" s="47">
        <f t="shared" si="64"/>
        <v>1362750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84"/>
      <c r="G76" s="13" t="e">
        <f t="shared" si="60"/>
        <v>#DIV/0!</v>
      </c>
      <c r="H76" s="35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87"/>
      <c r="B77" s="44" t="s">
        <v>20</v>
      </c>
      <c r="C77" s="53"/>
      <c r="D77" s="53"/>
      <c r="E77" s="24">
        <f t="shared" si="59"/>
        <v>0</v>
      </c>
      <c r="F77" s="45"/>
      <c r="G77" s="54" t="e">
        <f t="shared" si="60"/>
        <v>#DIV/0!</v>
      </c>
      <c r="H77" s="53"/>
      <c r="I77" s="55"/>
      <c r="J77" s="53">
        <f t="shared" si="61"/>
        <v>0</v>
      </c>
      <c r="K77" s="50">
        <f t="shared" si="62"/>
        <v>0</v>
      </c>
      <c r="L77" s="73" t="e">
        <f t="shared" si="63"/>
        <v>#DIV/0!</v>
      </c>
      <c r="M77" s="56"/>
      <c r="N77" s="57">
        <f t="shared" si="64"/>
        <v>0</v>
      </c>
      <c r="R77" s="76">
        <f t="shared" si="56"/>
        <v>0</v>
      </c>
    </row>
    <row r="78" spans="1:18" ht="16">
      <c r="A78" s="59"/>
      <c r="B78" s="60"/>
      <c r="C78" s="59"/>
      <c r="D78" s="59" t="s">
        <v>19</v>
      </c>
      <c r="E78" s="59">
        <f>SUM(E71:E77)</f>
        <v>2924</v>
      </c>
      <c r="F78" s="37"/>
      <c r="G78" s="61" t="e">
        <f>AVERAGE(G71:G77)</f>
        <v>#DIV/0!</v>
      </c>
      <c r="H78" s="59"/>
      <c r="I78" s="62"/>
      <c r="J78" s="59">
        <f>SUM(J71:J77)</f>
        <v>2862</v>
      </c>
      <c r="K78" s="59">
        <f>SUM(K72:K77)</f>
        <v>298</v>
      </c>
      <c r="L78" s="61" t="e">
        <f>AVERAGE(L71:L77)</f>
        <v>#DIV/0!</v>
      </c>
      <c r="M78" s="64"/>
      <c r="N78" s="65">
        <f>SUM(N71:N77)</f>
        <v>6591180</v>
      </c>
      <c r="R78" s="76">
        <f t="shared" si="56"/>
        <v>0</v>
      </c>
    </row>
    <row r="79" spans="1:18" ht="16">
      <c r="A79" s="85">
        <v>46028</v>
      </c>
      <c r="B79" s="34" t="s">
        <v>21</v>
      </c>
      <c r="C79" s="35">
        <v>378341</v>
      </c>
      <c r="D79" s="35">
        <v>378974</v>
      </c>
      <c r="E79" s="36">
        <f t="shared" ref="E79:E85" si="65">D79-C79</f>
        <v>633</v>
      </c>
      <c r="F79" s="37">
        <v>80</v>
      </c>
      <c r="G79" s="13">
        <f t="shared" ref="G79:G85" si="66">(F79/E79)*100</f>
        <v>12.638230647709319</v>
      </c>
      <c r="H79" s="38">
        <v>21595</v>
      </c>
      <c r="I79" s="38">
        <v>22213</v>
      </c>
      <c r="J79" s="39">
        <f t="shared" ref="J79:J85" si="67">I79-H79</f>
        <v>618</v>
      </c>
      <c r="K79" s="77">
        <f t="shared" ref="K79:K85" si="68">F79</f>
        <v>80</v>
      </c>
      <c r="L79" s="67">
        <f t="shared" ref="L79:L85" si="69">(K79/J79)*100</f>
        <v>12.944983818770226</v>
      </c>
      <c r="M79" s="68">
        <v>17250</v>
      </c>
      <c r="N79" s="42">
        <f t="shared" ref="N79:N85" si="70">F79*M79</f>
        <v>1380000</v>
      </c>
      <c r="R79" s="76">
        <f t="shared" si="56"/>
        <v>0</v>
      </c>
    </row>
    <row r="80" spans="1:18" ht="16">
      <c r="A80" s="86">
        <v>46035</v>
      </c>
      <c r="B80" s="44" t="s">
        <v>21</v>
      </c>
      <c r="C80" s="35">
        <v>378974</v>
      </c>
      <c r="D80" s="35">
        <v>379525</v>
      </c>
      <c r="E80" s="11">
        <f t="shared" si="65"/>
        <v>551</v>
      </c>
      <c r="F80" s="45">
        <v>72</v>
      </c>
      <c r="G80" s="13">
        <f t="shared" si="66"/>
        <v>13.06715063520871</v>
      </c>
      <c r="H80" s="38">
        <v>22213</v>
      </c>
      <c r="I80" s="38">
        <v>22763</v>
      </c>
      <c r="J80" s="35">
        <f t="shared" si="67"/>
        <v>550</v>
      </c>
      <c r="K80" s="50">
        <f t="shared" si="68"/>
        <v>72</v>
      </c>
      <c r="L80" s="46">
        <f t="shared" si="69"/>
        <v>13.090909090909092</v>
      </c>
      <c r="M80" s="48">
        <v>17060</v>
      </c>
      <c r="N80" s="47">
        <f t="shared" si="70"/>
        <v>1228320</v>
      </c>
      <c r="R80" s="76">
        <f t="shared" si="56"/>
        <v>0</v>
      </c>
    </row>
    <row r="81" spans="1:18" ht="16">
      <c r="A81" s="86">
        <v>46042</v>
      </c>
      <c r="B81" s="44" t="s">
        <v>21</v>
      </c>
      <c r="C81" s="35">
        <v>379525</v>
      </c>
      <c r="D81" s="35">
        <v>380086</v>
      </c>
      <c r="E81" s="11">
        <f t="shared" si="65"/>
        <v>561</v>
      </c>
      <c r="F81" s="45">
        <v>76</v>
      </c>
      <c r="G81" s="13">
        <f t="shared" si="66"/>
        <v>13.547237076648841</v>
      </c>
      <c r="H81" s="38">
        <v>22763</v>
      </c>
      <c r="I81" s="38">
        <v>23348</v>
      </c>
      <c r="J81" s="35">
        <f t="shared" si="67"/>
        <v>585</v>
      </c>
      <c r="K81" s="50">
        <f t="shared" si="68"/>
        <v>76</v>
      </c>
      <c r="L81" s="46">
        <f t="shared" si="69"/>
        <v>12.991452991452993</v>
      </c>
      <c r="M81" s="48">
        <v>17280</v>
      </c>
      <c r="N81" s="47">
        <f t="shared" si="70"/>
        <v>1313280</v>
      </c>
      <c r="R81" s="76">
        <f t="shared" si="56"/>
        <v>0</v>
      </c>
    </row>
    <row r="82" spans="1:18" ht="16">
      <c r="A82" s="86">
        <v>46047</v>
      </c>
      <c r="B82" s="44" t="s">
        <v>21</v>
      </c>
      <c r="C82" s="35">
        <v>380086</v>
      </c>
      <c r="D82" s="35">
        <v>380608</v>
      </c>
      <c r="E82" s="11">
        <f t="shared" si="65"/>
        <v>522</v>
      </c>
      <c r="F82" s="45">
        <v>78</v>
      </c>
      <c r="G82" s="13">
        <f t="shared" si="66"/>
        <v>14.942528735632186</v>
      </c>
      <c r="H82" s="38">
        <v>23348</v>
      </c>
      <c r="I82" s="38">
        <v>23950</v>
      </c>
      <c r="J82" s="35">
        <f t="shared" si="67"/>
        <v>602</v>
      </c>
      <c r="K82" s="50">
        <f t="shared" si="68"/>
        <v>78</v>
      </c>
      <c r="L82" s="46">
        <f t="shared" si="69"/>
        <v>12.956810631229235</v>
      </c>
      <c r="M82" s="48">
        <v>17700</v>
      </c>
      <c r="N82" s="47">
        <f t="shared" si="70"/>
        <v>1380600</v>
      </c>
      <c r="R82" s="76">
        <f t="shared" si="56"/>
        <v>0</v>
      </c>
    </row>
    <row r="83" spans="1:18" ht="16">
      <c r="A83" s="33">
        <v>46053</v>
      </c>
      <c r="B83" s="44" t="s">
        <v>21</v>
      </c>
      <c r="C83" s="35">
        <v>380608</v>
      </c>
      <c r="D83" s="35">
        <v>381321</v>
      </c>
      <c r="E83" s="11">
        <f t="shared" si="65"/>
        <v>713</v>
      </c>
      <c r="F83" s="45">
        <v>85</v>
      </c>
      <c r="G83" s="13">
        <f t="shared" si="66"/>
        <v>11.921458625525947</v>
      </c>
      <c r="H83" s="38">
        <v>23950</v>
      </c>
      <c r="I83" s="38">
        <v>24569</v>
      </c>
      <c r="J83" s="35">
        <f t="shared" si="67"/>
        <v>619</v>
      </c>
      <c r="K83" s="50">
        <f t="shared" si="68"/>
        <v>85</v>
      </c>
      <c r="L83" s="46">
        <f t="shared" si="69"/>
        <v>13.731825525040387</v>
      </c>
      <c r="M83" s="48">
        <v>18170</v>
      </c>
      <c r="N83" s="47">
        <f t="shared" si="70"/>
        <v>1544450</v>
      </c>
      <c r="R83" s="76">
        <f t="shared" si="56"/>
        <v>0</v>
      </c>
    </row>
    <row r="84" spans="1:18" ht="16">
      <c r="A84" s="86"/>
      <c r="B84" s="44" t="s">
        <v>37</v>
      </c>
      <c r="C84" s="35"/>
      <c r="D84" s="35"/>
      <c r="E84" s="11">
        <f t="shared" si="65"/>
        <v>0</v>
      </c>
      <c r="F84" s="45"/>
      <c r="G84" s="13" t="e">
        <f t="shared" si="66"/>
        <v>#DIV/0!</v>
      </c>
      <c r="H84" s="35"/>
      <c r="I84" s="38"/>
      <c r="J84" s="35">
        <f t="shared" si="67"/>
        <v>0</v>
      </c>
      <c r="K84" s="50">
        <f t="shared" si="68"/>
        <v>0</v>
      </c>
      <c r="L84" s="46" t="e">
        <f t="shared" si="69"/>
        <v>#DIV/0!</v>
      </c>
      <c r="M84" s="48"/>
      <c r="N84" s="47">
        <f t="shared" si="70"/>
        <v>0</v>
      </c>
      <c r="R84" s="76">
        <f t="shared" si="56"/>
        <v>0</v>
      </c>
    </row>
    <row r="85" spans="1:18" ht="16">
      <c r="A85" s="87"/>
      <c r="B85" s="44" t="s">
        <v>37</v>
      </c>
      <c r="C85" s="53"/>
      <c r="D85" s="53"/>
      <c r="E85" s="24">
        <f t="shared" si="65"/>
        <v>0</v>
      </c>
      <c r="F85" s="45"/>
      <c r="G85" s="54" t="e">
        <f t="shared" si="66"/>
        <v>#DIV/0!</v>
      </c>
      <c r="H85" s="53"/>
      <c r="I85" s="55"/>
      <c r="J85" s="53">
        <f t="shared" si="67"/>
        <v>0</v>
      </c>
      <c r="K85" s="50">
        <f t="shared" si="68"/>
        <v>0</v>
      </c>
      <c r="L85" s="73" t="e">
        <f t="shared" si="69"/>
        <v>#DIV/0!</v>
      </c>
      <c r="M85" s="56"/>
      <c r="N85" s="57">
        <f t="shared" si="70"/>
        <v>0</v>
      </c>
      <c r="R85" s="76">
        <f t="shared" si="56"/>
        <v>0</v>
      </c>
    </row>
    <row r="86" spans="1:18" ht="16">
      <c r="A86" s="59"/>
      <c r="B86" s="60"/>
      <c r="C86" s="59"/>
      <c r="D86" s="59" t="s">
        <v>19</v>
      </c>
      <c r="E86" s="59">
        <f>SUM(E79:E85)</f>
        <v>2980</v>
      </c>
      <c r="F86" s="37"/>
      <c r="G86" s="61" t="e">
        <f>AVERAGE(G79:G85)</f>
        <v>#DIV/0!</v>
      </c>
      <c r="H86" s="59"/>
      <c r="I86" s="62"/>
      <c r="J86" s="59">
        <f t="shared" ref="J86:K86" si="71">SUM(J79:J85)</f>
        <v>2974</v>
      </c>
      <c r="K86" s="59">
        <f t="shared" si="71"/>
        <v>391</v>
      </c>
      <c r="L86" s="61" t="e">
        <f>AVERAGE(L79:L85)</f>
        <v>#DIV/0!</v>
      </c>
      <c r="M86" s="64"/>
      <c r="N86" s="65">
        <f>SUM(N79:N85)</f>
        <v>6846650</v>
      </c>
      <c r="R86" s="76">
        <f t="shared" si="56"/>
        <v>0</v>
      </c>
    </row>
    <row r="87" spans="1:18" ht="16">
      <c r="A87" s="33">
        <v>46028</v>
      </c>
      <c r="B87" s="82" t="s">
        <v>22</v>
      </c>
      <c r="C87" s="35">
        <v>211980</v>
      </c>
      <c r="D87" s="35">
        <v>212416</v>
      </c>
      <c r="E87" s="36">
        <f t="shared" ref="E87:E93" si="72">D87-C87</f>
        <v>436</v>
      </c>
      <c r="F87" s="37">
        <v>53</v>
      </c>
      <c r="G87" s="13">
        <f t="shared" ref="G87:G93" si="73">(F87/E87)*100</f>
        <v>12.155963302752294</v>
      </c>
      <c r="H87" s="38">
        <v>21236</v>
      </c>
      <c r="I87" s="38">
        <v>21620</v>
      </c>
      <c r="J87" s="39">
        <f t="shared" ref="J87:J93" si="74">I87-H87</f>
        <v>384</v>
      </c>
      <c r="K87" s="77">
        <f t="shared" ref="K87:K93" si="75">F87</f>
        <v>53</v>
      </c>
      <c r="L87" s="67">
        <f t="shared" ref="L87:L93" si="76">(K87/J87)*100</f>
        <v>13.802083333333334</v>
      </c>
      <c r="M87" s="68">
        <v>17250</v>
      </c>
      <c r="N87" s="42">
        <f t="shared" ref="N87:N93" si="77">F87*M87</f>
        <v>914250</v>
      </c>
      <c r="R87" s="76">
        <f t="shared" si="56"/>
        <v>0</v>
      </c>
    </row>
    <row r="88" spans="1:18" ht="16">
      <c r="A88" s="33">
        <v>46034</v>
      </c>
      <c r="B88" s="44" t="s">
        <v>22</v>
      </c>
      <c r="C88" s="35">
        <v>212416</v>
      </c>
      <c r="D88" s="35">
        <v>212996</v>
      </c>
      <c r="E88" s="11">
        <f t="shared" si="72"/>
        <v>580</v>
      </c>
      <c r="F88" s="45">
        <v>67</v>
      </c>
      <c r="G88" s="13">
        <f t="shared" si="73"/>
        <v>11.551724137931034</v>
      </c>
      <c r="H88" s="38">
        <v>21620</v>
      </c>
      <c r="I88" s="38">
        <v>22247</v>
      </c>
      <c r="J88" s="35">
        <f t="shared" si="74"/>
        <v>627</v>
      </c>
      <c r="K88" s="50">
        <f t="shared" si="75"/>
        <v>67</v>
      </c>
      <c r="L88" s="46">
        <f t="shared" si="76"/>
        <v>10.685805422647528</v>
      </c>
      <c r="M88" s="48">
        <v>17060</v>
      </c>
      <c r="N88" s="47">
        <f t="shared" si="77"/>
        <v>1143020</v>
      </c>
      <c r="R88" s="76">
        <f t="shared" si="56"/>
        <v>0</v>
      </c>
    </row>
    <row r="89" spans="1:18" ht="16">
      <c r="A89" s="33">
        <v>46041</v>
      </c>
      <c r="B89" s="44" t="s">
        <v>22</v>
      </c>
      <c r="C89" s="35">
        <v>212996</v>
      </c>
      <c r="D89" s="35">
        <v>213542</v>
      </c>
      <c r="E89" s="11">
        <f t="shared" si="72"/>
        <v>546</v>
      </c>
      <c r="F89" s="45">
        <v>66</v>
      </c>
      <c r="G89" s="13">
        <f t="shared" si="73"/>
        <v>12.087912087912088</v>
      </c>
      <c r="H89" s="38">
        <v>22247</v>
      </c>
      <c r="I89" s="38">
        <v>22794</v>
      </c>
      <c r="J89" s="35">
        <f t="shared" si="74"/>
        <v>547</v>
      </c>
      <c r="K89" s="50">
        <f t="shared" si="75"/>
        <v>66</v>
      </c>
      <c r="L89" s="46">
        <f t="shared" si="76"/>
        <v>12.065813528336381</v>
      </c>
      <c r="M89" s="48">
        <v>17280</v>
      </c>
      <c r="N89" s="47">
        <f t="shared" si="77"/>
        <v>1140480</v>
      </c>
      <c r="R89" s="76">
        <f t="shared" si="56"/>
        <v>0</v>
      </c>
    </row>
    <row r="90" spans="1:18" ht="16">
      <c r="A90" s="33">
        <v>46048</v>
      </c>
      <c r="B90" s="44" t="s">
        <v>22</v>
      </c>
      <c r="C90" s="35">
        <v>213542</v>
      </c>
      <c r="D90" s="35">
        <v>214299</v>
      </c>
      <c r="E90" s="11">
        <f t="shared" si="72"/>
        <v>757</v>
      </c>
      <c r="F90" s="45">
        <v>94</v>
      </c>
      <c r="G90" s="13">
        <f t="shared" si="73"/>
        <v>12.417437252311757</v>
      </c>
      <c r="H90" s="38">
        <v>22794</v>
      </c>
      <c r="I90" s="38">
        <v>23428</v>
      </c>
      <c r="J90" s="35">
        <f t="shared" si="74"/>
        <v>634</v>
      </c>
      <c r="K90" s="50">
        <f t="shared" si="75"/>
        <v>94</v>
      </c>
      <c r="L90" s="46">
        <f t="shared" si="76"/>
        <v>14.826498422712934</v>
      </c>
      <c r="M90" s="48">
        <v>17700</v>
      </c>
      <c r="N90" s="47">
        <f t="shared" si="77"/>
        <v>1663800</v>
      </c>
      <c r="R90" s="76">
        <f t="shared" si="56"/>
        <v>0</v>
      </c>
    </row>
    <row r="91" spans="1:18" ht="16">
      <c r="A91" s="33"/>
      <c r="B91" s="44" t="s">
        <v>22</v>
      </c>
      <c r="C91" s="35"/>
      <c r="D91" s="35"/>
      <c r="E91" s="11">
        <f t="shared" si="72"/>
        <v>0</v>
      </c>
      <c r="F91" s="45"/>
      <c r="G91" s="13" t="e">
        <f t="shared" si="73"/>
        <v>#DIV/0!</v>
      </c>
      <c r="H91" s="38"/>
      <c r="I91" s="38"/>
      <c r="J91" s="35">
        <f t="shared" si="74"/>
        <v>0</v>
      </c>
      <c r="K91" s="50">
        <f t="shared" si="75"/>
        <v>0</v>
      </c>
      <c r="L91" s="46" t="e">
        <f t="shared" si="76"/>
        <v>#DIV/0!</v>
      </c>
      <c r="M91" s="48"/>
      <c r="N91" s="47">
        <f t="shared" si="77"/>
        <v>0</v>
      </c>
      <c r="R91" s="76">
        <f t="shared" si="56"/>
        <v>0</v>
      </c>
    </row>
    <row r="92" spans="1:18" ht="16">
      <c r="A92" s="86"/>
      <c r="B92" s="44" t="s">
        <v>22</v>
      </c>
      <c r="C92" s="35"/>
      <c r="D92" s="35"/>
      <c r="E92" s="11">
        <f t="shared" si="72"/>
        <v>0</v>
      </c>
      <c r="F92" s="45"/>
      <c r="G92" s="13" t="e">
        <f t="shared" si="73"/>
        <v>#DIV/0!</v>
      </c>
      <c r="H92" s="35"/>
      <c r="I92" s="38"/>
      <c r="J92" s="35">
        <f t="shared" si="74"/>
        <v>0</v>
      </c>
      <c r="K92" s="50">
        <f t="shared" si="75"/>
        <v>0</v>
      </c>
      <c r="L92" s="46" t="e">
        <f t="shared" si="76"/>
        <v>#DIV/0!</v>
      </c>
      <c r="M92" s="48"/>
      <c r="N92" s="47">
        <f t="shared" si="77"/>
        <v>0</v>
      </c>
      <c r="R92" s="76">
        <f t="shared" si="56"/>
        <v>0</v>
      </c>
    </row>
    <row r="93" spans="1:18" ht="16">
      <c r="A93" s="88"/>
      <c r="B93" s="44" t="s">
        <v>22</v>
      </c>
      <c r="C93" s="53"/>
      <c r="D93" s="53"/>
      <c r="E93" s="24">
        <f t="shared" si="72"/>
        <v>0</v>
      </c>
      <c r="F93" s="45"/>
      <c r="G93" s="54" t="e">
        <f t="shared" si="73"/>
        <v>#DIV/0!</v>
      </c>
      <c r="H93" s="53"/>
      <c r="I93" s="55"/>
      <c r="J93" s="53">
        <f t="shared" si="74"/>
        <v>0</v>
      </c>
      <c r="K93" s="50">
        <f t="shared" si="75"/>
        <v>0</v>
      </c>
      <c r="L93" s="73" t="e">
        <f t="shared" si="76"/>
        <v>#DIV/0!</v>
      </c>
      <c r="M93" s="56"/>
      <c r="N93" s="57">
        <f t="shared" si="77"/>
        <v>0</v>
      </c>
      <c r="R93" s="76">
        <f t="shared" si="56"/>
        <v>0</v>
      </c>
    </row>
    <row r="94" spans="1:18" ht="16">
      <c r="A94" s="59"/>
      <c r="B94" s="60"/>
      <c r="C94" s="59"/>
      <c r="D94" s="59" t="s">
        <v>19</v>
      </c>
      <c r="E94" s="59">
        <f>SUM(E87:E93)</f>
        <v>2319</v>
      </c>
      <c r="F94" s="59">
        <f>SUM(F86:F93)</f>
        <v>280</v>
      </c>
      <c r="G94" s="61" t="e">
        <f>AVERAGE(G87:G93)</f>
        <v>#DIV/0!</v>
      </c>
      <c r="H94" s="59"/>
      <c r="I94" s="62"/>
      <c r="J94" s="59">
        <f t="shared" ref="J94:K94" si="78">SUM(J87:J93)</f>
        <v>2192</v>
      </c>
      <c r="K94" s="59">
        <f t="shared" si="78"/>
        <v>280</v>
      </c>
      <c r="L94" s="61" t="e">
        <f>AVERAGE(L87:L93)</f>
        <v>#DIV/0!</v>
      </c>
      <c r="M94" s="64"/>
      <c r="N94" s="65">
        <f>SUM(N87:N93)</f>
        <v>4861550</v>
      </c>
      <c r="R94" s="76">
        <f t="shared" si="56"/>
        <v>0</v>
      </c>
    </row>
    <row r="95" spans="1:18" ht="16">
      <c r="A95" s="89">
        <v>46030</v>
      </c>
      <c r="B95" s="90" t="s">
        <v>38</v>
      </c>
      <c r="C95" s="91">
        <v>168294</v>
      </c>
      <c r="D95" s="35">
        <v>168804</v>
      </c>
      <c r="E95" s="36">
        <f t="shared" ref="E95:E100" si="79">D95-C95</f>
        <v>510</v>
      </c>
      <c r="F95" s="37">
        <v>65</v>
      </c>
      <c r="G95" s="13">
        <f t="shared" ref="G95:G100" si="80">(F95/E95)*100</f>
        <v>12.745098039215685</v>
      </c>
      <c r="H95" s="38">
        <v>23827</v>
      </c>
      <c r="I95" s="38">
        <v>24326</v>
      </c>
      <c r="J95" s="39">
        <f t="shared" ref="J95:J100" si="81">I95-H95</f>
        <v>499</v>
      </c>
      <c r="K95" s="77">
        <f t="shared" ref="K95:K100" si="82">F95</f>
        <v>65</v>
      </c>
      <c r="L95" s="67">
        <f t="shared" ref="L95:L100" si="83">(K95/J95)*100</f>
        <v>13.026052104208416</v>
      </c>
      <c r="M95" s="68">
        <v>17060</v>
      </c>
      <c r="N95" s="42">
        <f t="shared" ref="N95:N100" si="84">F95*M95</f>
        <v>1108900</v>
      </c>
      <c r="R95" s="76">
        <f t="shared" si="56"/>
        <v>0</v>
      </c>
    </row>
    <row r="96" spans="1:18" ht="16">
      <c r="A96" s="80">
        <v>46036</v>
      </c>
      <c r="B96" s="44" t="s">
        <v>38</v>
      </c>
      <c r="C96" s="35">
        <v>168804</v>
      </c>
      <c r="D96" s="35">
        <v>169407</v>
      </c>
      <c r="E96" s="11">
        <f t="shared" si="79"/>
        <v>603</v>
      </c>
      <c r="F96" s="45">
        <v>72</v>
      </c>
      <c r="G96" s="13">
        <f t="shared" si="80"/>
        <v>11.940298507462686</v>
      </c>
      <c r="H96" s="38">
        <v>24326</v>
      </c>
      <c r="I96" s="38">
        <v>25004</v>
      </c>
      <c r="J96" s="35">
        <f t="shared" si="81"/>
        <v>678</v>
      </c>
      <c r="K96" s="50">
        <f t="shared" si="82"/>
        <v>72</v>
      </c>
      <c r="L96" s="46">
        <f t="shared" si="83"/>
        <v>10.619469026548673</v>
      </c>
      <c r="M96" s="68">
        <v>17060</v>
      </c>
      <c r="N96" s="47">
        <f t="shared" si="84"/>
        <v>1228320</v>
      </c>
      <c r="R96" s="76">
        <f t="shared" si="56"/>
        <v>0</v>
      </c>
    </row>
    <row r="97" spans="1:26" ht="16">
      <c r="A97" s="80">
        <v>46041</v>
      </c>
      <c r="B97" s="44" t="s">
        <v>38</v>
      </c>
      <c r="C97" s="35">
        <v>169407</v>
      </c>
      <c r="D97" s="35">
        <v>169946</v>
      </c>
      <c r="E97" s="11">
        <f t="shared" si="79"/>
        <v>539</v>
      </c>
      <c r="F97" s="45">
        <v>63</v>
      </c>
      <c r="G97" s="13">
        <f t="shared" si="80"/>
        <v>11.688311688311687</v>
      </c>
      <c r="H97" s="38">
        <v>25004</v>
      </c>
      <c r="I97" s="38">
        <v>25464</v>
      </c>
      <c r="J97" s="35">
        <f t="shared" si="81"/>
        <v>460</v>
      </c>
      <c r="K97" s="50">
        <f t="shared" si="82"/>
        <v>63</v>
      </c>
      <c r="L97" s="46">
        <f t="shared" si="83"/>
        <v>13.695652173913043</v>
      </c>
      <c r="M97" s="48">
        <v>17280</v>
      </c>
      <c r="N97" s="47">
        <f t="shared" si="84"/>
        <v>1088640</v>
      </c>
      <c r="R97" s="76">
        <f t="shared" si="56"/>
        <v>0</v>
      </c>
    </row>
    <row r="98" spans="1:26" ht="16">
      <c r="A98" s="80">
        <v>46048</v>
      </c>
      <c r="B98" s="44" t="s">
        <v>38</v>
      </c>
      <c r="C98" s="35">
        <v>169946</v>
      </c>
      <c r="D98" s="35">
        <v>170516</v>
      </c>
      <c r="E98" s="11">
        <f t="shared" si="79"/>
        <v>570</v>
      </c>
      <c r="F98" s="45">
        <v>67</v>
      </c>
      <c r="G98" s="13">
        <f t="shared" si="80"/>
        <v>11.754385964912281</v>
      </c>
      <c r="H98" s="38">
        <v>25464</v>
      </c>
      <c r="I98" s="38">
        <v>26034</v>
      </c>
      <c r="J98" s="35">
        <f t="shared" si="81"/>
        <v>570</v>
      </c>
      <c r="K98" s="50">
        <f t="shared" si="82"/>
        <v>67</v>
      </c>
      <c r="L98" s="46">
        <f t="shared" si="83"/>
        <v>11.754385964912281</v>
      </c>
      <c r="M98" s="48">
        <v>17700</v>
      </c>
      <c r="N98" s="47">
        <f t="shared" si="84"/>
        <v>1185900</v>
      </c>
      <c r="R98" s="76">
        <f t="shared" si="56"/>
        <v>0</v>
      </c>
    </row>
    <row r="99" spans="1:26" ht="16">
      <c r="A99" s="80">
        <v>46108</v>
      </c>
      <c r="B99" s="44" t="s">
        <v>38</v>
      </c>
      <c r="C99" s="35">
        <v>170516</v>
      </c>
      <c r="D99" s="91"/>
      <c r="E99" s="11">
        <f t="shared" si="79"/>
        <v>-170516</v>
      </c>
      <c r="F99" s="45"/>
      <c r="G99" s="13">
        <f t="shared" si="80"/>
        <v>0</v>
      </c>
      <c r="H99" s="38">
        <v>26034</v>
      </c>
      <c r="I99" s="38"/>
      <c r="J99" s="35">
        <f t="shared" si="81"/>
        <v>-26034</v>
      </c>
      <c r="K99" s="50">
        <f t="shared" si="82"/>
        <v>0</v>
      </c>
      <c r="L99" s="46">
        <f t="shared" si="83"/>
        <v>0</v>
      </c>
      <c r="M99" s="48"/>
      <c r="N99" s="47">
        <f t="shared" si="84"/>
        <v>0</v>
      </c>
      <c r="R99" s="76">
        <f t="shared" si="56"/>
        <v>0</v>
      </c>
    </row>
    <row r="100" spans="1:26" ht="16">
      <c r="A100" s="92"/>
      <c r="B100" s="93" t="s">
        <v>38</v>
      </c>
      <c r="C100" s="94"/>
      <c r="D100" s="95"/>
      <c r="E100" s="11">
        <f t="shared" si="79"/>
        <v>0</v>
      </c>
      <c r="F100" s="45"/>
      <c r="G100" s="96" t="e">
        <f t="shared" si="80"/>
        <v>#DIV/0!</v>
      </c>
      <c r="H100" s="97"/>
      <c r="I100" s="98"/>
      <c r="J100" s="97">
        <f t="shared" si="81"/>
        <v>0</v>
      </c>
      <c r="K100" s="50">
        <f t="shared" si="82"/>
        <v>0</v>
      </c>
      <c r="L100" s="99" t="e">
        <f t="shared" si="83"/>
        <v>#DIV/0!</v>
      </c>
      <c r="M100" s="100"/>
      <c r="N100" s="101">
        <f t="shared" si="84"/>
        <v>0</v>
      </c>
      <c r="R100" s="76">
        <f t="shared" si="56"/>
        <v>0</v>
      </c>
    </row>
    <row r="101" spans="1:26" ht="16">
      <c r="A101" s="102"/>
      <c r="B101" s="103"/>
      <c r="C101" s="104"/>
      <c r="D101" s="105" t="s">
        <v>19</v>
      </c>
      <c r="E101" s="106">
        <f>SUM(E95:E100)</f>
        <v>-168294</v>
      </c>
      <c r="F101" s="59">
        <f>SUM(F93:F100)</f>
        <v>547</v>
      </c>
      <c r="G101" s="107" t="e">
        <f>AVERAGE(G95:G100)</f>
        <v>#DIV/0!</v>
      </c>
      <c r="H101" s="104"/>
      <c r="I101" s="108"/>
      <c r="J101" s="105">
        <f t="shared" ref="J101:K101" si="85">SUM(J95:J100)</f>
        <v>-23827</v>
      </c>
      <c r="K101" s="105">
        <f t="shared" si="85"/>
        <v>267</v>
      </c>
      <c r="L101" s="109" t="e">
        <f>AVERAGE(L95:L100)</f>
        <v>#DIV/0!</v>
      </c>
      <c r="M101" s="110"/>
      <c r="N101" s="111">
        <f>SUM(N95:N100)</f>
        <v>4611760</v>
      </c>
      <c r="R101" s="76">
        <f t="shared" si="56"/>
        <v>0</v>
      </c>
    </row>
    <row r="102" spans="1:26" ht="16">
      <c r="A102" s="112">
        <v>46031</v>
      </c>
      <c r="B102" s="113" t="s">
        <v>39</v>
      </c>
      <c r="C102" s="35">
        <v>120450</v>
      </c>
      <c r="D102" s="35">
        <v>121262</v>
      </c>
      <c r="E102" s="36">
        <f t="shared" ref="E102:E108" si="86">D102-C102</f>
        <v>812</v>
      </c>
      <c r="F102" s="37">
        <v>86</v>
      </c>
      <c r="G102" s="114">
        <f t="shared" ref="G102:G108" si="87">(F102/E102)*100</f>
        <v>10.591133004926109</v>
      </c>
      <c r="H102" s="38">
        <v>24846</v>
      </c>
      <c r="I102" s="38">
        <v>25810</v>
      </c>
      <c r="J102" s="83">
        <f t="shared" ref="J102:J108" si="88">I102-H102</f>
        <v>964</v>
      </c>
      <c r="K102" s="50">
        <f t="shared" ref="K102:K108" si="89">F102</f>
        <v>86</v>
      </c>
      <c r="L102" s="115">
        <f t="shared" ref="L102:L108" si="90">(K102/J102)*100</f>
        <v>8.9211618257261414</v>
      </c>
      <c r="M102" s="116">
        <v>17060</v>
      </c>
      <c r="N102" s="47">
        <f t="shared" ref="N102:N108" si="91">F102*M102</f>
        <v>1467160</v>
      </c>
      <c r="R102" s="76">
        <f t="shared" si="56"/>
        <v>0</v>
      </c>
    </row>
    <row r="103" spans="1:26" ht="16">
      <c r="A103" s="117">
        <v>46041</v>
      </c>
      <c r="B103" s="44" t="s">
        <v>39</v>
      </c>
      <c r="C103" s="35">
        <v>121262</v>
      </c>
      <c r="D103" s="35">
        <v>122078</v>
      </c>
      <c r="E103" s="11">
        <f t="shared" si="86"/>
        <v>816</v>
      </c>
      <c r="F103" s="45">
        <v>88</v>
      </c>
      <c r="G103" s="13">
        <f t="shared" si="87"/>
        <v>10.784313725490197</v>
      </c>
      <c r="H103" s="38">
        <v>25810</v>
      </c>
      <c r="I103" s="15">
        <v>26470</v>
      </c>
      <c r="J103" s="35">
        <f t="shared" si="88"/>
        <v>660</v>
      </c>
      <c r="K103" s="50">
        <f t="shared" si="89"/>
        <v>88</v>
      </c>
      <c r="L103" s="46">
        <f t="shared" si="90"/>
        <v>13.333333333333334</v>
      </c>
      <c r="M103" s="48">
        <v>17280</v>
      </c>
      <c r="N103" s="47">
        <f t="shared" si="91"/>
        <v>1520640</v>
      </c>
      <c r="R103" s="76">
        <f t="shared" si="56"/>
        <v>0</v>
      </c>
      <c r="S103" s="229"/>
      <c r="T103" s="229"/>
      <c r="U103" s="229"/>
      <c r="V103" s="229"/>
      <c r="W103" s="229"/>
      <c r="X103" s="229"/>
      <c r="Y103" s="229"/>
      <c r="Z103" s="229"/>
    </row>
    <row r="104" spans="1:26" ht="16">
      <c r="A104" s="117">
        <v>46049</v>
      </c>
      <c r="B104" s="44" t="s">
        <v>39</v>
      </c>
      <c r="C104" s="35">
        <v>122078</v>
      </c>
      <c r="D104" s="35">
        <v>122830</v>
      </c>
      <c r="E104" s="11">
        <f t="shared" si="86"/>
        <v>752</v>
      </c>
      <c r="F104" s="45">
        <v>77</v>
      </c>
      <c r="G104" s="13">
        <f t="shared" si="87"/>
        <v>10.23936170212766</v>
      </c>
      <c r="H104" s="235">
        <v>26470</v>
      </c>
      <c r="I104" s="234">
        <v>27154</v>
      </c>
      <c r="J104" s="35">
        <f t="shared" si="88"/>
        <v>684</v>
      </c>
      <c r="K104" s="50">
        <f t="shared" si="89"/>
        <v>77</v>
      </c>
      <c r="L104" s="46">
        <f t="shared" si="90"/>
        <v>11.257309941520468</v>
      </c>
      <c r="M104" s="48">
        <v>17700</v>
      </c>
      <c r="N104" s="47">
        <f t="shared" si="91"/>
        <v>1362900</v>
      </c>
      <c r="P104" s="78"/>
      <c r="R104" s="76">
        <f t="shared" si="56"/>
        <v>0</v>
      </c>
    </row>
    <row r="105" spans="1:26" ht="16">
      <c r="A105" s="117"/>
      <c r="B105" s="44" t="s">
        <v>39</v>
      </c>
      <c r="C105" s="35"/>
      <c r="D105" s="35"/>
      <c r="E105" s="11">
        <f t="shared" si="86"/>
        <v>0</v>
      </c>
      <c r="F105" s="45"/>
      <c r="G105" s="13" t="e">
        <f t="shared" si="87"/>
        <v>#DIV/0!</v>
      </c>
      <c r="H105" s="38"/>
      <c r="I105" s="38"/>
      <c r="J105" s="35">
        <f t="shared" si="88"/>
        <v>0</v>
      </c>
      <c r="K105" s="50">
        <f t="shared" si="89"/>
        <v>0</v>
      </c>
      <c r="L105" s="46" t="e">
        <f t="shared" si="90"/>
        <v>#DIV/0!</v>
      </c>
      <c r="M105" s="48"/>
      <c r="N105" s="47">
        <f t="shared" si="91"/>
        <v>0</v>
      </c>
      <c r="R105" s="76">
        <f t="shared" si="56"/>
        <v>0</v>
      </c>
    </row>
    <row r="106" spans="1:26" ht="16">
      <c r="A106" s="33"/>
      <c r="B106" s="44" t="s">
        <v>39</v>
      </c>
      <c r="C106" s="35"/>
      <c r="D106" s="35"/>
      <c r="E106" s="11">
        <f t="shared" si="86"/>
        <v>0</v>
      </c>
      <c r="F106" s="45"/>
      <c r="G106" s="13" t="e">
        <f t="shared" si="87"/>
        <v>#DIV/0!</v>
      </c>
      <c r="H106" s="35"/>
      <c r="I106" s="38"/>
      <c r="J106" s="35">
        <f t="shared" si="88"/>
        <v>0</v>
      </c>
      <c r="K106" s="50">
        <f t="shared" si="89"/>
        <v>0</v>
      </c>
      <c r="L106" s="46" t="e">
        <f t="shared" si="90"/>
        <v>#DIV/0!</v>
      </c>
      <c r="M106" s="48"/>
      <c r="N106" s="47">
        <f t="shared" si="91"/>
        <v>0</v>
      </c>
      <c r="R106" s="76">
        <f t="shared" si="56"/>
        <v>0</v>
      </c>
    </row>
    <row r="107" spans="1:26" ht="16">
      <c r="A107" s="230"/>
      <c r="B107" s="44" t="s">
        <v>39</v>
      </c>
      <c r="C107" s="35"/>
      <c r="D107" s="35"/>
      <c r="E107" s="11">
        <f t="shared" si="86"/>
        <v>0</v>
      </c>
      <c r="F107" s="45"/>
      <c r="G107" s="13" t="e">
        <f t="shared" si="87"/>
        <v>#DIV/0!</v>
      </c>
      <c r="H107" s="35"/>
      <c r="I107" s="38"/>
      <c r="J107" s="35">
        <f t="shared" si="88"/>
        <v>0</v>
      </c>
      <c r="K107" s="50">
        <f t="shared" si="89"/>
        <v>0</v>
      </c>
      <c r="L107" s="46" t="e">
        <f t="shared" si="90"/>
        <v>#DIV/0!</v>
      </c>
      <c r="M107" s="48"/>
      <c r="N107" s="47">
        <f t="shared" si="91"/>
        <v>0</v>
      </c>
      <c r="R107" s="76">
        <f t="shared" si="56"/>
        <v>0</v>
      </c>
    </row>
    <row r="108" spans="1:26" ht="16">
      <c r="A108" s="87"/>
      <c r="B108" s="44" t="s">
        <v>39</v>
      </c>
      <c r="C108" s="53"/>
      <c r="D108" s="53"/>
      <c r="E108" s="24">
        <f t="shared" si="86"/>
        <v>0</v>
      </c>
      <c r="F108" s="45"/>
      <c r="G108" s="54" t="e">
        <f t="shared" si="87"/>
        <v>#DIV/0!</v>
      </c>
      <c r="H108" s="53"/>
      <c r="I108" s="55"/>
      <c r="J108" s="53">
        <f t="shared" si="88"/>
        <v>0</v>
      </c>
      <c r="K108" s="50">
        <f t="shared" si="89"/>
        <v>0</v>
      </c>
      <c r="L108" s="73" t="e">
        <f t="shared" si="90"/>
        <v>#DIV/0!</v>
      </c>
      <c r="M108" s="56"/>
      <c r="N108" s="47">
        <f t="shared" si="91"/>
        <v>0</v>
      </c>
      <c r="R108" s="76">
        <f t="shared" si="56"/>
        <v>0</v>
      </c>
    </row>
    <row r="109" spans="1:26" ht="16">
      <c r="A109" s="59"/>
      <c r="B109" s="60"/>
      <c r="C109" s="59"/>
      <c r="D109" s="59" t="s">
        <v>19</v>
      </c>
      <c r="E109" s="59">
        <f>SUM(E95:E108)</f>
        <v>-334208</v>
      </c>
      <c r="F109" s="59">
        <f>SUM(F101:F108)</f>
        <v>798</v>
      </c>
      <c r="G109" s="61" t="e">
        <f>AVERAGE(G95:G108)</f>
        <v>#DIV/0!</v>
      </c>
      <c r="H109" s="59"/>
      <c r="I109" s="62"/>
      <c r="J109" s="59">
        <f t="shared" ref="J109:K109" si="92">SUM(J95:J108)</f>
        <v>-45346</v>
      </c>
      <c r="K109" s="59">
        <f t="shared" si="92"/>
        <v>785</v>
      </c>
      <c r="L109" s="61" t="e">
        <f>AVERAGE(L95:L108)</f>
        <v>#DIV/0!</v>
      </c>
      <c r="M109" s="64"/>
      <c r="N109" s="65">
        <f>SUM(N102:N108)</f>
        <v>4350700</v>
      </c>
      <c r="R109" s="76">
        <f t="shared" si="56"/>
        <v>0</v>
      </c>
    </row>
    <row r="110" spans="1:26" ht="16">
      <c r="A110" s="66">
        <v>46024</v>
      </c>
      <c r="B110" s="90" t="s">
        <v>40</v>
      </c>
      <c r="C110" s="12">
        <v>116062</v>
      </c>
      <c r="D110" s="35">
        <v>116742</v>
      </c>
      <c r="E110" s="36">
        <f t="shared" ref="E110:E116" si="93">D110-C110</f>
        <v>680</v>
      </c>
      <c r="F110" s="37">
        <v>78</v>
      </c>
      <c r="G110" s="13">
        <f t="shared" ref="G110:G116" si="94">(F110/E110)*100</f>
        <v>11.470588235294118</v>
      </c>
      <c r="H110" s="38">
        <v>114389</v>
      </c>
      <c r="I110" s="38">
        <v>115026</v>
      </c>
      <c r="J110" s="39">
        <f t="shared" ref="J110:J116" si="95">I110-H110</f>
        <v>637</v>
      </c>
      <c r="K110" s="77">
        <f t="shared" ref="K110:K116" si="96">F110</f>
        <v>78</v>
      </c>
      <c r="L110" s="67">
        <f t="shared" ref="L110:L116" si="97">(K110/J110)*100</f>
        <v>12.244897959183673</v>
      </c>
      <c r="M110" s="68">
        <v>17250</v>
      </c>
      <c r="N110" s="42">
        <f t="shared" ref="N110:N116" si="98">F110*M110</f>
        <v>1345500</v>
      </c>
      <c r="R110" s="76">
        <f t="shared" si="56"/>
        <v>0</v>
      </c>
    </row>
    <row r="111" spans="1:26" ht="16">
      <c r="A111" s="43">
        <v>46033</v>
      </c>
      <c r="B111" s="49" t="s">
        <v>40</v>
      </c>
      <c r="C111" s="35">
        <v>116742</v>
      </c>
      <c r="D111" s="10">
        <v>117496</v>
      </c>
      <c r="E111" s="51">
        <f t="shared" si="93"/>
        <v>754</v>
      </c>
      <c r="F111" s="52">
        <v>85</v>
      </c>
      <c r="G111" s="13">
        <f t="shared" si="94"/>
        <v>11.273209549071618</v>
      </c>
      <c r="H111" s="38">
        <v>115026</v>
      </c>
      <c r="I111" s="38">
        <v>115724</v>
      </c>
      <c r="J111" s="35">
        <f t="shared" si="95"/>
        <v>698</v>
      </c>
      <c r="K111" s="50">
        <f t="shared" si="96"/>
        <v>85</v>
      </c>
      <c r="L111" s="46">
        <f t="shared" si="97"/>
        <v>12.177650429799428</v>
      </c>
      <c r="M111" s="48">
        <v>17060</v>
      </c>
      <c r="N111" s="47">
        <f t="shared" si="98"/>
        <v>1450100</v>
      </c>
      <c r="R111" s="76">
        <f t="shared" si="56"/>
        <v>0</v>
      </c>
    </row>
    <row r="112" spans="1:26" ht="16">
      <c r="A112" s="33">
        <v>46039</v>
      </c>
      <c r="B112" s="44" t="s">
        <v>40</v>
      </c>
      <c r="C112" s="10">
        <v>117496</v>
      </c>
      <c r="D112" s="12">
        <v>118215</v>
      </c>
      <c r="E112" s="11">
        <f t="shared" si="93"/>
        <v>719</v>
      </c>
      <c r="F112" s="45">
        <v>77</v>
      </c>
      <c r="G112" s="13">
        <f t="shared" si="94"/>
        <v>10.70931849791377</v>
      </c>
      <c r="H112" s="38">
        <v>115724</v>
      </c>
      <c r="I112" s="38">
        <v>116396</v>
      </c>
      <c r="J112" s="35">
        <f t="shared" si="95"/>
        <v>672</v>
      </c>
      <c r="K112" s="50">
        <f t="shared" si="96"/>
        <v>77</v>
      </c>
      <c r="L112" s="46">
        <f t="shared" si="97"/>
        <v>11.458333333333332</v>
      </c>
      <c r="M112" s="48">
        <v>17280</v>
      </c>
      <c r="N112" s="47">
        <f t="shared" si="98"/>
        <v>1330560</v>
      </c>
      <c r="R112" s="76">
        <f t="shared" si="56"/>
        <v>0</v>
      </c>
    </row>
    <row r="113" spans="1:18" ht="16">
      <c r="A113" s="33">
        <v>46047</v>
      </c>
      <c r="B113" s="44" t="s">
        <v>40</v>
      </c>
      <c r="C113" s="12">
        <v>118215</v>
      </c>
      <c r="D113" s="12">
        <v>118825</v>
      </c>
      <c r="E113" s="11">
        <f t="shared" si="93"/>
        <v>610</v>
      </c>
      <c r="F113" s="45">
        <v>70</v>
      </c>
      <c r="G113" s="13">
        <f t="shared" si="94"/>
        <v>11.475409836065573</v>
      </c>
      <c r="H113" s="38">
        <v>116396</v>
      </c>
      <c r="I113" s="38">
        <v>117012</v>
      </c>
      <c r="J113" s="35">
        <f t="shared" si="95"/>
        <v>616</v>
      </c>
      <c r="K113" s="50">
        <f t="shared" si="96"/>
        <v>70</v>
      </c>
      <c r="L113" s="46">
        <f t="shared" si="97"/>
        <v>11.363636363636363</v>
      </c>
      <c r="M113" s="48">
        <v>17700</v>
      </c>
      <c r="N113" s="47">
        <f t="shared" si="98"/>
        <v>1239000</v>
      </c>
      <c r="R113" s="76">
        <f t="shared" si="56"/>
        <v>0</v>
      </c>
    </row>
    <row r="114" spans="1:18" ht="16">
      <c r="A114" s="33"/>
      <c r="B114" s="44" t="s">
        <v>40</v>
      </c>
      <c r="C114" s="12"/>
      <c r="D114" s="35"/>
      <c r="E114" s="11">
        <f t="shared" si="93"/>
        <v>0</v>
      </c>
      <c r="F114" s="45"/>
      <c r="G114" s="13" t="e">
        <f t="shared" si="94"/>
        <v>#DIV/0!</v>
      </c>
      <c r="H114" s="38"/>
      <c r="I114" s="38"/>
      <c r="J114" s="35">
        <f t="shared" si="95"/>
        <v>0</v>
      </c>
      <c r="K114" s="50">
        <f t="shared" si="96"/>
        <v>0</v>
      </c>
      <c r="L114" s="46" t="e">
        <f t="shared" si="97"/>
        <v>#DIV/0!</v>
      </c>
      <c r="M114" s="48"/>
      <c r="N114" s="47">
        <f t="shared" si="98"/>
        <v>0</v>
      </c>
      <c r="R114" s="76">
        <f t="shared" si="56"/>
        <v>0</v>
      </c>
    </row>
    <row r="115" spans="1:18" ht="16">
      <c r="A115" s="122"/>
      <c r="B115" s="44" t="s">
        <v>40</v>
      </c>
      <c r="C115" s="35"/>
      <c r="D115" s="35"/>
      <c r="E115" s="11">
        <f t="shared" si="93"/>
        <v>0</v>
      </c>
      <c r="F115" s="45"/>
      <c r="G115" s="13" t="e">
        <f t="shared" si="94"/>
        <v>#DIV/0!</v>
      </c>
      <c r="H115" s="35"/>
      <c r="I115" s="38"/>
      <c r="J115" s="35">
        <f t="shared" si="95"/>
        <v>0</v>
      </c>
      <c r="K115" s="50">
        <f t="shared" si="96"/>
        <v>0</v>
      </c>
      <c r="L115" s="46" t="e">
        <f t="shared" si="97"/>
        <v>#DIV/0!</v>
      </c>
      <c r="M115" s="48"/>
      <c r="N115" s="47">
        <f t="shared" si="98"/>
        <v>0</v>
      </c>
      <c r="R115" s="76">
        <f t="shared" si="56"/>
        <v>0</v>
      </c>
    </row>
    <row r="116" spans="1:18" ht="16">
      <c r="A116" s="87"/>
      <c r="B116" s="44" t="s">
        <v>40</v>
      </c>
      <c r="C116" s="53"/>
      <c r="D116" s="53"/>
      <c r="E116" s="24">
        <f t="shared" si="93"/>
        <v>0</v>
      </c>
      <c r="F116" s="45"/>
      <c r="G116" s="54" t="e">
        <f t="shared" si="94"/>
        <v>#DIV/0!</v>
      </c>
      <c r="H116" s="53"/>
      <c r="I116" s="55"/>
      <c r="J116" s="53">
        <f t="shared" si="95"/>
        <v>0</v>
      </c>
      <c r="K116" s="50">
        <f t="shared" si="96"/>
        <v>0</v>
      </c>
      <c r="L116" s="73" t="e">
        <f t="shared" si="97"/>
        <v>#DIV/0!</v>
      </c>
      <c r="M116" s="56"/>
      <c r="N116" s="57">
        <f t="shared" si="98"/>
        <v>0</v>
      </c>
      <c r="R116" s="76">
        <f t="shared" si="56"/>
        <v>0</v>
      </c>
    </row>
    <row r="117" spans="1:18" ht="16">
      <c r="A117" s="59"/>
      <c r="B117" s="60"/>
      <c r="C117" s="59"/>
      <c r="D117" s="59" t="s">
        <v>19</v>
      </c>
      <c r="E117" s="59">
        <f>SUM(E110:E116)</f>
        <v>2763</v>
      </c>
      <c r="F117" s="37"/>
      <c r="G117" s="61" t="e">
        <f>AVERAGE(G110:G116)</f>
        <v>#DIV/0!</v>
      </c>
      <c r="H117" s="59"/>
      <c r="I117" s="62"/>
      <c r="J117" s="59">
        <f t="shared" ref="J117:K117" si="99">SUM(J110:J116)</f>
        <v>2623</v>
      </c>
      <c r="K117" s="59">
        <f t="shared" si="99"/>
        <v>310</v>
      </c>
      <c r="L117" s="61" t="e">
        <f>AVERAGE(L110:L116)</f>
        <v>#DIV/0!</v>
      </c>
      <c r="M117" s="64"/>
      <c r="N117" s="65">
        <f>SUM(N110:N116)</f>
        <v>5365160</v>
      </c>
      <c r="R117" s="76">
        <f t="shared" si="56"/>
        <v>0</v>
      </c>
    </row>
    <row r="118" spans="1:18" ht="16">
      <c r="A118" s="66">
        <v>46027</v>
      </c>
      <c r="B118" s="90" t="s">
        <v>41</v>
      </c>
      <c r="C118" s="35">
        <v>171903</v>
      </c>
      <c r="D118" s="35">
        <v>172618</v>
      </c>
      <c r="E118" s="36">
        <f t="shared" ref="E118:E124" si="100">D118-C118</f>
        <v>715</v>
      </c>
      <c r="F118" s="37">
        <v>79</v>
      </c>
      <c r="G118" s="13">
        <f t="shared" ref="G118:G124" si="101">(F118/E118)*100</f>
        <v>11.048951048951048</v>
      </c>
      <c r="H118" s="38">
        <v>13200</v>
      </c>
      <c r="I118" s="38">
        <v>13890</v>
      </c>
      <c r="J118" s="39">
        <f t="shared" ref="J118:J124" si="102">I118-H118</f>
        <v>690</v>
      </c>
      <c r="K118" s="77">
        <f t="shared" ref="K118:K124" si="103">F118</f>
        <v>79</v>
      </c>
      <c r="L118" s="67">
        <f t="shared" ref="L118:L124" si="104">(K118/J118)*100</f>
        <v>11.44927536231884</v>
      </c>
      <c r="M118" s="41">
        <v>17250</v>
      </c>
      <c r="N118" s="42">
        <f t="shared" ref="N118:N124" si="105">F118*M118</f>
        <v>1362750</v>
      </c>
      <c r="R118" s="76">
        <f t="shared" si="56"/>
        <v>0</v>
      </c>
    </row>
    <row r="119" spans="1:18" ht="16">
      <c r="A119" s="118">
        <v>46036</v>
      </c>
      <c r="B119" s="119" t="s">
        <v>41</v>
      </c>
      <c r="C119" s="35">
        <v>172618</v>
      </c>
      <c r="D119" s="51">
        <v>173332</v>
      </c>
      <c r="E119" s="51">
        <f t="shared" si="100"/>
        <v>714</v>
      </c>
      <c r="F119" s="120">
        <v>77</v>
      </c>
      <c r="G119" s="13">
        <f t="shared" si="101"/>
        <v>10.784313725490197</v>
      </c>
      <c r="H119" s="38">
        <v>13890</v>
      </c>
      <c r="I119" s="38">
        <v>14699</v>
      </c>
      <c r="J119" s="35">
        <f t="shared" si="102"/>
        <v>809</v>
      </c>
      <c r="K119" s="50">
        <f t="shared" si="103"/>
        <v>77</v>
      </c>
      <c r="L119" s="46">
        <f t="shared" si="104"/>
        <v>9.5179233621755248</v>
      </c>
      <c r="M119" s="48">
        <v>17060</v>
      </c>
      <c r="N119" s="121">
        <f t="shared" si="105"/>
        <v>1313620</v>
      </c>
      <c r="R119" s="76">
        <f t="shared" si="56"/>
        <v>0</v>
      </c>
    </row>
    <row r="120" spans="1:18" ht="16">
      <c r="A120" s="118">
        <v>46042</v>
      </c>
      <c r="B120" s="119" t="s">
        <v>41</v>
      </c>
      <c r="C120" s="51">
        <v>173332</v>
      </c>
      <c r="D120" s="51">
        <v>174060</v>
      </c>
      <c r="E120" s="51">
        <f t="shared" si="100"/>
        <v>728</v>
      </c>
      <c r="F120" s="120">
        <v>76</v>
      </c>
      <c r="G120" s="13">
        <f t="shared" si="101"/>
        <v>10.43956043956044</v>
      </c>
      <c r="H120" s="38">
        <v>14699</v>
      </c>
      <c r="I120" s="35">
        <v>15310</v>
      </c>
      <c r="J120" s="35">
        <f t="shared" si="102"/>
        <v>611</v>
      </c>
      <c r="K120" s="50">
        <f t="shared" si="103"/>
        <v>76</v>
      </c>
      <c r="L120" s="46">
        <f t="shared" si="104"/>
        <v>12.438625204582651</v>
      </c>
      <c r="M120" s="48">
        <v>17280</v>
      </c>
      <c r="N120" s="121">
        <f t="shared" si="105"/>
        <v>1313280</v>
      </c>
      <c r="R120" s="76">
        <f t="shared" si="56"/>
        <v>0</v>
      </c>
    </row>
    <row r="121" spans="1:18" ht="16">
      <c r="A121" s="33">
        <v>46049</v>
      </c>
      <c r="B121" s="44" t="s">
        <v>41</v>
      </c>
      <c r="C121" s="51">
        <v>174060</v>
      </c>
      <c r="D121" s="35">
        <v>174834</v>
      </c>
      <c r="E121" s="11">
        <f t="shared" si="100"/>
        <v>774</v>
      </c>
      <c r="F121" s="45">
        <v>70</v>
      </c>
      <c r="G121" s="13">
        <f t="shared" si="101"/>
        <v>9.043927648578812</v>
      </c>
      <c r="H121" s="35">
        <v>15310</v>
      </c>
      <c r="I121" s="38">
        <v>15964</v>
      </c>
      <c r="J121" s="35">
        <f t="shared" si="102"/>
        <v>654</v>
      </c>
      <c r="K121" s="50">
        <f t="shared" si="103"/>
        <v>70</v>
      </c>
      <c r="L121" s="46">
        <f t="shared" si="104"/>
        <v>10.703363914373089</v>
      </c>
      <c r="M121" s="48">
        <v>17700</v>
      </c>
      <c r="N121" s="121">
        <f t="shared" si="105"/>
        <v>1239000</v>
      </c>
      <c r="R121" s="76">
        <f t="shared" si="56"/>
        <v>0</v>
      </c>
    </row>
    <row r="122" spans="1:18" ht="16">
      <c r="A122" s="124"/>
      <c r="B122" s="49" t="s">
        <v>41</v>
      </c>
      <c r="C122" s="50"/>
      <c r="D122" s="50"/>
      <c r="E122" s="11">
        <f t="shared" si="100"/>
        <v>0</v>
      </c>
      <c r="F122" s="45"/>
      <c r="G122" s="13" t="e">
        <f t="shared" si="101"/>
        <v>#DIV/0!</v>
      </c>
      <c r="H122" s="35"/>
      <c r="I122" s="38"/>
      <c r="J122" s="35">
        <f t="shared" si="102"/>
        <v>0</v>
      </c>
      <c r="K122" s="50">
        <f t="shared" si="103"/>
        <v>0</v>
      </c>
      <c r="L122" s="46" t="e">
        <f t="shared" si="104"/>
        <v>#DIV/0!</v>
      </c>
      <c r="M122" s="48"/>
      <c r="N122" s="121">
        <f t="shared" si="105"/>
        <v>0</v>
      </c>
      <c r="R122" s="76">
        <f t="shared" si="56"/>
        <v>0</v>
      </c>
    </row>
    <row r="123" spans="1:18" ht="16">
      <c r="A123" s="122"/>
      <c r="B123" s="44" t="s">
        <v>41</v>
      </c>
      <c r="C123" s="35"/>
      <c r="D123" s="35"/>
      <c r="E123" s="11">
        <f t="shared" si="100"/>
        <v>0</v>
      </c>
      <c r="F123" s="45"/>
      <c r="G123" s="13" t="e">
        <f t="shared" si="101"/>
        <v>#DIV/0!</v>
      </c>
      <c r="H123" s="35"/>
      <c r="I123" s="38"/>
      <c r="J123" s="35">
        <f t="shared" si="102"/>
        <v>0</v>
      </c>
      <c r="K123" s="50">
        <f t="shared" si="103"/>
        <v>0</v>
      </c>
      <c r="L123" s="46" t="e">
        <f t="shared" si="104"/>
        <v>#DIV/0!</v>
      </c>
      <c r="M123" s="48"/>
      <c r="N123" s="121">
        <f t="shared" si="105"/>
        <v>0</v>
      </c>
      <c r="R123" s="76">
        <f t="shared" si="56"/>
        <v>0</v>
      </c>
    </row>
    <row r="124" spans="1:18" ht="16">
      <c r="A124" s="87"/>
      <c r="B124" s="44" t="s">
        <v>41</v>
      </c>
      <c r="C124" s="53"/>
      <c r="D124" s="53"/>
      <c r="E124" s="24">
        <f t="shared" si="100"/>
        <v>0</v>
      </c>
      <c r="F124" s="45"/>
      <c r="G124" s="54" t="e">
        <f t="shared" si="101"/>
        <v>#DIV/0!</v>
      </c>
      <c r="H124" s="53"/>
      <c r="I124" s="55"/>
      <c r="J124" s="53">
        <f t="shared" si="102"/>
        <v>0</v>
      </c>
      <c r="K124" s="50">
        <f t="shared" si="103"/>
        <v>0</v>
      </c>
      <c r="L124" s="73" t="e">
        <f t="shared" si="104"/>
        <v>#DIV/0!</v>
      </c>
      <c r="M124" s="56"/>
      <c r="N124" s="123">
        <f t="shared" si="105"/>
        <v>0</v>
      </c>
      <c r="R124" s="76">
        <f t="shared" si="56"/>
        <v>0</v>
      </c>
    </row>
    <row r="125" spans="1:18" ht="16">
      <c r="A125" s="59"/>
      <c r="B125" s="60"/>
      <c r="C125" s="59"/>
      <c r="D125" s="59" t="s">
        <v>19</v>
      </c>
      <c r="E125" s="59">
        <f>SUM(E118:E124)</f>
        <v>2931</v>
      </c>
      <c r="F125" s="59">
        <f>SUM(F117:F124)</f>
        <v>302</v>
      </c>
      <c r="G125" s="61" t="e">
        <f>AVERAGE(G118:G124)</f>
        <v>#DIV/0!</v>
      </c>
      <c r="H125" s="59"/>
      <c r="I125" s="62"/>
      <c r="J125" s="59">
        <f t="shared" ref="J125:K125" si="106">SUM(J118:J124)</f>
        <v>2764</v>
      </c>
      <c r="K125" s="59">
        <f t="shared" si="106"/>
        <v>302</v>
      </c>
      <c r="L125" s="61" t="e">
        <f>AVERAGE(L118:L124)</f>
        <v>#DIV/0!</v>
      </c>
      <c r="M125" s="64"/>
      <c r="N125" s="65">
        <f>SUM(N118:N124)</f>
        <v>5228650</v>
      </c>
      <c r="R125" s="76">
        <f t="shared" si="56"/>
        <v>0</v>
      </c>
    </row>
    <row r="126" spans="1:18" ht="16">
      <c r="A126" s="66">
        <v>45660</v>
      </c>
      <c r="B126" s="90" t="s">
        <v>27</v>
      </c>
      <c r="C126" s="83"/>
      <c r="D126" s="12"/>
      <c r="E126" s="36">
        <f t="shared" ref="E126:E133" si="107">D126-C126</f>
        <v>0</v>
      </c>
      <c r="F126" s="37">
        <v>61</v>
      </c>
      <c r="G126" s="13" t="e">
        <f t="shared" ref="G126:G133" si="108">(F126/E126)*100</f>
        <v>#DIV/0!</v>
      </c>
      <c r="H126" s="125"/>
      <c r="I126" s="126"/>
      <c r="J126" s="39">
        <f t="shared" ref="J126:J133" si="109">I126-H126</f>
        <v>0</v>
      </c>
      <c r="K126" s="50">
        <f t="shared" ref="K126:K130" si="110">F126</f>
        <v>61</v>
      </c>
      <c r="L126" s="67" t="e">
        <f t="shared" ref="L126:L133" si="111">(K126/J126)*100</f>
        <v>#DIV/0!</v>
      </c>
      <c r="M126" s="68">
        <v>17250</v>
      </c>
      <c r="N126" s="42">
        <f t="shared" ref="N126:N133" si="112">M126*K126</f>
        <v>1052250</v>
      </c>
      <c r="R126" s="76">
        <f t="shared" si="56"/>
        <v>0</v>
      </c>
    </row>
    <row r="127" spans="1:18" ht="16">
      <c r="A127" s="33">
        <v>46029</v>
      </c>
      <c r="B127" s="44" t="s">
        <v>27</v>
      </c>
      <c r="C127" s="35"/>
      <c r="D127" s="12"/>
      <c r="E127" s="11">
        <f t="shared" si="107"/>
        <v>0</v>
      </c>
      <c r="F127" s="45">
        <v>56</v>
      </c>
      <c r="G127" s="13" t="e">
        <f t="shared" si="108"/>
        <v>#DIV/0!</v>
      </c>
      <c r="H127" s="38"/>
      <c r="I127" s="38"/>
      <c r="J127" s="35">
        <f t="shared" si="109"/>
        <v>0</v>
      </c>
      <c r="K127" s="50">
        <f t="shared" si="110"/>
        <v>56</v>
      </c>
      <c r="L127" s="46" t="e">
        <f t="shared" si="111"/>
        <v>#DIV/0!</v>
      </c>
      <c r="M127" s="48">
        <v>17250</v>
      </c>
      <c r="N127" s="47">
        <f t="shared" si="112"/>
        <v>966000</v>
      </c>
      <c r="R127" s="76">
        <f t="shared" si="56"/>
        <v>0</v>
      </c>
    </row>
    <row r="128" spans="1:18" ht="16">
      <c r="A128" s="33">
        <v>46035</v>
      </c>
      <c r="B128" s="44" t="s">
        <v>27</v>
      </c>
      <c r="C128" s="35"/>
      <c r="D128" s="35"/>
      <c r="E128" s="11">
        <f t="shared" si="107"/>
        <v>0</v>
      </c>
      <c r="F128" s="45">
        <v>61</v>
      </c>
      <c r="G128" s="13" t="e">
        <f t="shared" si="108"/>
        <v>#DIV/0!</v>
      </c>
      <c r="H128" s="35"/>
      <c r="I128" s="38"/>
      <c r="J128" s="35">
        <f t="shared" si="109"/>
        <v>0</v>
      </c>
      <c r="K128" s="50">
        <f t="shared" si="110"/>
        <v>61</v>
      </c>
      <c r="L128" s="46" t="e">
        <f t="shared" si="111"/>
        <v>#DIV/0!</v>
      </c>
      <c r="M128" s="48">
        <v>17060</v>
      </c>
      <c r="N128" s="47">
        <f t="shared" si="112"/>
        <v>1040660</v>
      </c>
      <c r="R128" s="76">
        <f t="shared" si="56"/>
        <v>0</v>
      </c>
    </row>
    <row r="129" spans="1:18" ht="16">
      <c r="A129" s="33">
        <v>46039</v>
      </c>
      <c r="B129" s="44" t="s">
        <v>27</v>
      </c>
      <c r="C129" s="35"/>
      <c r="D129" s="35"/>
      <c r="E129" s="11">
        <f t="shared" si="107"/>
        <v>0</v>
      </c>
      <c r="F129" s="45">
        <v>60</v>
      </c>
      <c r="G129" s="13" t="e">
        <f t="shared" si="108"/>
        <v>#DIV/0!</v>
      </c>
      <c r="H129" s="35"/>
      <c r="I129" s="38"/>
      <c r="J129" s="35">
        <f t="shared" si="109"/>
        <v>0</v>
      </c>
      <c r="K129" s="50">
        <f t="shared" si="110"/>
        <v>60</v>
      </c>
      <c r="L129" s="46" t="e">
        <f t="shared" si="111"/>
        <v>#DIV/0!</v>
      </c>
      <c r="M129" s="48">
        <v>17280</v>
      </c>
      <c r="N129" s="47">
        <f t="shared" si="112"/>
        <v>1036800</v>
      </c>
      <c r="R129" s="76">
        <f t="shared" si="56"/>
        <v>0</v>
      </c>
    </row>
    <row r="130" spans="1:18" ht="16">
      <c r="A130" s="33">
        <v>46042</v>
      </c>
      <c r="B130" s="44" t="s">
        <v>27</v>
      </c>
      <c r="C130" s="35"/>
      <c r="D130" s="35"/>
      <c r="E130" s="11">
        <f t="shared" si="107"/>
        <v>0</v>
      </c>
      <c r="F130" s="45">
        <v>56</v>
      </c>
      <c r="G130" s="13" t="e">
        <f t="shared" si="108"/>
        <v>#DIV/0!</v>
      </c>
      <c r="H130" s="35"/>
      <c r="I130" s="38"/>
      <c r="J130" s="35">
        <f t="shared" si="109"/>
        <v>0</v>
      </c>
      <c r="K130" s="50">
        <f t="shared" si="110"/>
        <v>56</v>
      </c>
      <c r="L130" s="46" t="e">
        <f t="shared" si="111"/>
        <v>#DIV/0!</v>
      </c>
      <c r="M130" s="48">
        <v>17280</v>
      </c>
      <c r="N130" s="47">
        <f t="shared" si="112"/>
        <v>967680</v>
      </c>
      <c r="R130" s="76">
        <f t="shared" si="56"/>
        <v>0</v>
      </c>
    </row>
    <row r="131" spans="1:18" ht="16">
      <c r="A131" s="33">
        <v>46046</v>
      </c>
      <c r="B131" s="44" t="s">
        <v>27</v>
      </c>
      <c r="C131" s="35"/>
      <c r="D131" s="35"/>
      <c r="E131" s="11">
        <f t="shared" si="107"/>
        <v>0</v>
      </c>
      <c r="F131" s="45">
        <v>58</v>
      </c>
      <c r="G131" s="13" t="e">
        <f t="shared" si="108"/>
        <v>#DIV/0!</v>
      </c>
      <c r="H131" s="35"/>
      <c r="I131" s="38"/>
      <c r="J131" s="35">
        <f t="shared" si="109"/>
        <v>0</v>
      </c>
      <c r="K131" s="50">
        <v>58</v>
      </c>
      <c r="L131" s="46" t="e">
        <f t="shared" si="111"/>
        <v>#DIV/0!</v>
      </c>
      <c r="M131" s="48">
        <v>17700</v>
      </c>
      <c r="N131" s="47">
        <f t="shared" si="112"/>
        <v>1026600</v>
      </c>
      <c r="R131" s="76">
        <f t="shared" si="56"/>
        <v>0</v>
      </c>
    </row>
    <row r="132" spans="1:18" ht="16">
      <c r="A132" s="33">
        <v>46049</v>
      </c>
      <c r="B132" s="44" t="s">
        <v>27</v>
      </c>
      <c r="C132" s="35"/>
      <c r="D132" s="35"/>
      <c r="E132" s="11">
        <f t="shared" si="107"/>
        <v>0</v>
      </c>
      <c r="F132" s="45">
        <v>53</v>
      </c>
      <c r="G132" s="13" t="e">
        <f t="shared" si="108"/>
        <v>#DIV/0!</v>
      </c>
      <c r="H132" s="35"/>
      <c r="I132" s="38"/>
      <c r="J132" s="35">
        <f t="shared" si="109"/>
        <v>0</v>
      </c>
      <c r="K132" s="50">
        <v>53</v>
      </c>
      <c r="L132" s="46" t="e">
        <f t="shared" si="111"/>
        <v>#DIV/0!</v>
      </c>
      <c r="M132" s="48">
        <v>17700</v>
      </c>
      <c r="N132" s="47">
        <f t="shared" si="112"/>
        <v>938100</v>
      </c>
      <c r="R132" s="76">
        <f t="shared" si="56"/>
        <v>0</v>
      </c>
    </row>
    <row r="133" spans="1:18" ht="16">
      <c r="A133" s="209">
        <v>46051</v>
      </c>
      <c r="B133" s="79" t="s">
        <v>27</v>
      </c>
      <c r="C133" s="53"/>
      <c r="D133" s="53"/>
      <c r="E133" s="24">
        <f t="shared" si="107"/>
        <v>0</v>
      </c>
      <c r="F133" s="45">
        <v>50</v>
      </c>
      <c r="G133" s="54" t="e">
        <f t="shared" si="108"/>
        <v>#DIV/0!</v>
      </c>
      <c r="H133" s="53"/>
      <c r="I133" s="55"/>
      <c r="J133" s="53">
        <f t="shared" si="109"/>
        <v>0</v>
      </c>
      <c r="K133" s="50">
        <v>50</v>
      </c>
      <c r="L133" s="73" t="e">
        <f t="shared" si="111"/>
        <v>#DIV/0!</v>
      </c>
      <c r="M133" s="56">
        <v>17700</v>
      </c>
      <c r="N133" s="47">
        <f t="shared" si="112"/>
        <v>885000</v>
      </c>
      <c r="R133" s="76">
        <f t="shared" si="56"/>
        <v>0</v>
      </c>
    </row>
    <row r="134" spans="1:18" ht="16">
      <c r="A134" s="59"/>
      <c r="B134" s="60"/>
      <c r="C134" s="59"/>
      <c r="D134" s="59" t="s">
        <v>19</v>
      </c>
      <c r="E134" s="59">
        <f t="shared" ref="E134:F134" si="113">SUM(E126:E133)</f>
        <v>0</v>
      </c>
      <c r="F134" s="59">
        <f t="shared" si="113"/>
        <v>455</v>
      </c>
      <c r="G134" s="61" t="e">
        <f>AVERAGE(G126:G133)</f>
        <v>#DIV/0!</v>
      </c>
      <c r="H134" s="59"/>
      <c r="I134" s="62"/>
      <c r="J134" s="59">
        <f t="shared" ref="J134:K134" si="114">SUM(J126:J133)</f>
        <v>0</v>
      </c>
      <c r="K134" s="59">
        <f t="shared" si="114"/>
        <v>455</v>
      </c>
      <c r="L134" s="61" t="e">
        <f>AVERAGE(L126:L133)</f>
        <v>#DIV/0!</v>
      </c>
      <c r="M134" s="64"/>
      <c r="N134" s="132">
        <f>SUM(N126:N133)</f>
        <v>7913090</v>
      </c>
      <c r="R134" s="76">
        <f t="shared" si="56"/>
        <v>0</v>
      </c>
    </row>
    <row r="135" spans="1:18" ht="16">
      <c r="A135" s="66">
        <v>46028</v>
      </c>
      <c r="B135" s="90" t="s">
        <v>28</v>
      </c>
      <c r="C135" s="83"/>
      <c r="D135" s="12"/>
      <c r="E135" s="36">
        <f t="shared" ref="E135:E142" si="115">D135-C135</f>
        <v>0</v>
      </c>
      <c r="F135" s="37">
        <v>70</v>
      </c>
      <c r="G135" s="13" t="e">
        <f t="shared" ref="G135:G142" si="116">(F135/E135)*100</f>
        <v>#DIV/0!</v>
      </c>
      <c r="H135" s="125"/>
      <c r="I135" s="126"/>
      <c r="J135" s="39">
        <f t="shared" ref="J135:J142" si="117">I135-H135</f>
        <v>0</v>
      </c>
      <c r="K135" s="77">
        <v>70</v>
      </c>
      <c r="L135" s="67" t="e">
        <f t="shared" ref="L135:L138" si="118">(K135/J135)*100</f>
        <v>#DIV/0!</v>
      </c>
      <c r="M135" s="68">
        <v>17250</v>
      </c>
      <c r="N135" s="47">
        <f t="shared" ref="N135:N140" si="119">M135*K135</f>
        <v>1207500</v>
      </c>
      <c r="R135" s="76">
        <f t="shared" si="56"/>
        <v>0</v>
      </c>
    </row>
    <row r="136" spans="1:18" ht="16">
      <c r="A136" s="33">
        <v>46032</v>
      </c>
      <c r="B136" s="90" t="s">
        <v>28</v>
      </c>
      <c r="C136" s="35"/>
      <c r="D136" s="12"/>
      <c r="E136" s="11">
        <f t="shared" si="115"/>
        <v>0</v>
      </c>
      <c r="F136" s="45">
        <v>70</v>
      </c>
      <c r="G136" s="13" t="e">
        <f t="shared" si="116"/>
        <v>#DIV/0!</v>
      </c>
      <c r="H136" s="38"/>
      <c r="I136" s="38"/>
      <c r="J136" s="35">
        <f t="shared" si="117"/>
        <v>0</v>
      </c>
      <c r="K136" s="50">
        <v>70</v>
      </c>
      <c r="L136" s="67" t="e">
        <f t="shared" si="118"/>
        <v>#DIV/0!</v>
      </c>
      <c r="M136" s="48">
        <v>17060</v>
      </c>
      <c r="N136" s="47">
        <f t="shared" si="119"/>
        <v>1194200</v>
      </c>
      <c r="R136" s="76">
        <f t="shared" si="56"/>
        <v>0</v>
      </c>
    </row>
    <row r="137" spans="1:18" ht="16">
      <c r="A137" s="33">
        <v>46051</v>
      </c>
      <c r="B137" s="90" t="s">
        <v>28</v>
      </c>
      <c r="C137" s="35"/>
      <c r="D137" s="35"/>
      <c r="E137" s="11">
        <f t="shared" si="115"/>
        <v>0</v>
      </c>
      <c r="F137" s="45">
        <v>60</v>
      </c>
      <c r="G137" s="13" t="e">
        <f t="shared" si="116"/>
        <v>#DIV/0!</v>
      </c>
      <c r="H137" s="35"/>
      <c r="I137" s="38"/>
      <c r="J137" s="35">
        <f t="shared" si="117"/>
        <v>0</v>
      </c>
      <c r="K137" s="50">
        <v>60</v>
      </c>
      <c r="L137" s="46" t="e">
        <f t="shared" si="118"/>
        <v>#DIV/0!</v>
      </c>
      <c r="M137" s="48">
        <v>17700</v>
      </c>
      <c r="N137" s="47">
        <f t="shared" si="119"/>
        <v>1062000</v>
      </c>
      <c r="R137" s="76">
        <f t="shared" si="56"/>
        <v>0</v>
      </c>
    </row>
    <row r="138" spans="1:18" ht="16">
      <c r="A138" s="33"/>
      <c r="B138" s="90" t="s">
        <v>28</v>
      </c>
      <c r="C138" s="35"/>
      <c r="D138" s="35"/>
      <c r="E138" s="11">
        <f t="shared" si="115"/>
        <v>0</v>
      </c>
      <c r="F138" s="45"/>
      <c r="G138" s="13" t="e">
        <f t="shared" si="116"/>
        <v>#DIV/0!</v>
      </c>
      <c r="H138" s="35"/>
      <c r="I138" s="38"/>
      <c r="J138" s="35">
        <f t="shared" si="117"/>
        <v>0</v>
      </c>
      <c r="K138" s="50"/>
      <c r="L138" s="46" t="e">
        <f t="shared" si="118"/>
        <v>#DIV/0!</v>
      </c>
      <c r="M138" s="48"/>
      <c r="N138" s="47">
        <f t="shared" si="119"/>
        <v>0</v>
      </c>
      <c r="R138" s="76">
        <f t="shared" si="56"/>
        <v>0</v>
      </c>
    </row>
    <row r="139" spans="1:18" ht="16">
      <c r="A139" s="33"/>
      <c r="B139" s="90" t="s">
        <v>28</v>
      </c>
      <c r="C139" s="35"/>
      <c r="D139" s="35"/>
      <c r="E139" s="11">
        <f t="shared" si="115"/>
        <v>0</v>
      </c>
      <c r="F139" s="45"/>
      <c r="G139" s="13" t="e">
        <f t="shared" si="116"/>
        <v>#DIV/0!</v>
      </c>
      <c r="H139" s="35"/>
      <c r="I139" s="38"/>
      <c r="J139" s="35">
        <f t="shared" si="117"/>
        <v>0</v>
      </c>
      <c r="K139" s="50"/>
      <c r="L139" s="46"/>
      <c r="M139" s="48"/>
      <c r="N139" s="47">
        <f t="shared" si="119"/>
        <v>0</v>
      </c>
      <c r="R139" s="76">
        <f t="shared" si="56"/>
        <v>0</v>
      </c>
    </row>
    <row r="140" spans="1:18" ht="16">
      <c r="A140" s="33"/>
      <c r="B140" s="90" t="s">
        <v>28</v>
      </c>
      <c r="C140" s="35"/>
      <c r="D140" s="35"/>
      <c r="E140" s="11">
        <f t="shared" si="115"/>
        <v>0</v>
      </c>
      <c r="F140" s="45"/>
      <c r="G140" s="13" t="e">
        <f t="shared" si="116"/>
        <v>#DIV/0!</v>
      </c>
      <c r="H140" s="35"/>
      <c r="I140" s="38"/>
      <c r="J140" s="35">
        <f t="shared" si="117"/>
        <v>0</v>
      </c>
      <c r="K140" s="50"/>
      <c r="L140" s="46" t="e">
        <f t="shared" ref="L140:L142" si="120">(K140/J140)*100</f>
        <v>#DIV/0!</v>
      </c>
      <c r="M140" s="48"/>
      <c r="N140" s="47">
        <f t="shared" si="119"/>
        <v>0</v>
      </c>
      <c r="R140" s="76">
        <f t="shared" si="56"/>
        <v>0</v>
      </c>
    </row>
    <row r="141" spans="1:18" ht="16">
      <c r="A141" s="33"/>
      <c r="B141" s="90" t="s">
        <v>28</v>
      </c>
      <c r="C141" s="35"/>
      <c r="D141" s="35"/>
      <c r="E141" s="11">
        <f t="shared" si="115"/>
        <v>0</v>
      </c>
      <c r="F141" s="45"/>
      <c r="G141" s="13" t="e">
        <f t="shared" si="116"/>
        <v>#DIV/0!</v>
      </c>
      <c r="H141" s="35"/>
      <c r="I141" s="38"/>
      <c r="J141" s="35">
        <f t="shared" si="117"/>
        <v>0</v>
      </c>
      <c r="K141" s="50">
        <f t="shared" ref="K141:K142" si="121">F141</f>
        <v>0</v>
      </c>
      <c r="L141" s="46" t="e">
        <f t="shared" si="120"/>
        <v>#DIV/0!</v>
      </c>
      <c r="M141" s="48"/>
      <c r="N141" s="47">
        <f>F141*M141</f>
        <v>0</v>
      </c>
      <c r="R141" s="76">
        <f t="shared" si="56"/>
        <v>0</v>
      </c>
    </row>
    <row r="142" spans="1:18" ht="16">
      <c r="A142" s="88"/>
      <c r="B142" s="90" t="s">
        <v>28</v>
      </c>
      <c r="C142" s="53"/>
      <c r="D142" s="53"/>
      <c r="E142" s="24">
        <f t="shared" si="115"/>
        <v>0</v>
      </c>
      <c r="F142" s="45"/>
      <c r="G142" s="54" t="e">
        <f t="shared" si="116"/>
        <v>#DIV/0!</v>
      </c>
      <c r="H142" s="53"/>
      <c r="I142" s="55"/>
      <c r="J142" s="53">
        <f t="shared" si="117"/>
        <v>0</v>
      </c>
      <c r="K142" s="50">
        <f t="shared" si="121"/>
        <v>0</v>
      </c>
      <c r="L142" s="73" t="e">
        <f t="shared" si="120"/>
        <v>#DIV/0!</v>
      </c>
      <c r="M142" s="56"/>
      <c r="N142" s="47">
        <f>M142*K142</f>
        <v>0</v>
      </c>
      <c r="R142" s="76">
        <f t="shared" si="56"/>
        <v>0</v>
      </c>
    </row>
    <row r="143" spans="1:18" ht="16">
      <c r="A143" s="59"/>
      <c r="B143" s="60"/>
      <c r="C143" s="59"/>
      <c r="D143" s="59" t="s">
        <v>19</v>
      </c>
      <c r="E143" s="59">
        <f t="shared" ref="E143:F143" si="122">SUM(E135:E142)</f>
        <v>0</v>
      </c>
      <c r="F143" s="59">
        <f t="shared" si="122"/>
        <v>200</v>
      </c>
      <c r="G143" s="61" t="e">
        <f>AVERAGE(G135:G142)</f>
        <v>#DIV/0!</v>
      </c>
      <c r="H143" s="59"/>
      <c r="I143" s="62"/>
      <c r="J143" s="59">
        <f t="shared" ref="J143:K143" si="123">SUM(J135:J142)</f>
        <v>0</v>
      </c>
      <c r="K143" s="59">
        <f t="shared" si="123"/>
        <v>200</v>
      </c>
      <c r="L143" s="61" t="e">
        <f>AVERAGE(L135:L142)</f>
        <v>#DIV/0!</v>
      </c>
      <c r="M143" s="64"/>
      <c r="N143" s="132">
        <f>SUM(N135:N142)</f>
        <v>3463700</v>
      </c>
      <c r="R143" s="76">
        <f t="shared" si="56"/>
        <v>0</v>
      </c>
    </row>
    <row r="144" spans="1:18" ht="16">
      <c r="A144" s="85">
        <v>46026</v>
      </c>
      <c r="B144" s="90" t="s">
        <v>43</v>
      </c>
      <c r="C144" s="83"/>
      <c r="D144" s="12"/>
      <c r="E144" s="36">
        <f t="shared" ref="E144:E151" si="124">D144-C144</f>
        <v>0</v>
      </c>
      <c r="F144" s="37">
        <v>60</v>
      </c>
      <c r="G144" s="13" t="e">
        <f t="shared" ref="G144:G151" si="125">(F144/E144)*100</f>
        <v>#DIV/0!</v>
      </c>
      <c r="H144" s="125"/>
      <c r="I144" s="126"/>
      <c r="J144" s="39">
        <f t="shared" ref="J144:J151" si="126">I144-H144</f>
        <v>0</v>
      </c>
      <c r="K144" s="50">
        <f t="shared" ref="K144:K146" si="127">F144</f>
        <v>60</v>
      </c>
      <c r="L144" s="67" t="e">
        <f t="shared" ref="L144:L151" si="128">(K144/J144)*100</f>
        <v>#DIV/0!</v>
      </c>
      <c r="M144" s="68">
        <v>17250</v>
      </c>
      <c r="N144" s="47">
        <f t="shared" ref="N144:N147" si="129">M144*K144</f>
        <v>1035000</v>
      </c>
      <c r="R144" s="76">
        <f t="shared" si="56"/>
        <v>0</v>
      </c>
    </row>
    <row r="145" spans="1:18" ht="16">
      <c r="A145" s="33">
        <v>46031</v>
      </c>
      <c r="B145" s="44" t="s">
        <v>43</v>
      </c>
      <c r="C145" s="35"/>
      <c r="D145" s="12"/>
      <c r="E145" s="11">
        <f t="shared" si="124"/>
        <v>0</v>
      </c>
      <c r="F145" s="45">
        <v>60</v>
      </c>
      <c r="G145" s="13" t="e">
        <f t="shared" si="125"/>
        <v>#DIV/0!</v>
      </c>
      <c r="H145" s="38"/>
      <c r="I145" s="38"/>
      <c r="J145" s="35">
        <f t="shared" si="126"/>
        <v>0</v>
      </c>
      <c r="K145" s="50">
        <f t="shared" si="127"/>
        <v>60</v>
      </c>
      <c r="L145" s="46" t="e">
        <f t="shared" si="128"/>
        <v>#DIV/0!</v>
      </c>
      <c r="M145" s="48">
        <v>17060</v>
      </c>
      <c r="N145" s="47">
        <f t="shared" si="129"/>
        <v>1023600</v>
      </c>
      <c r="R145" s="76">
        <f t="shared" si="56"/>
        <v>0</v>
      </c>
    </row>
    <row r="146" spans="1:18" ht="16">
      <c r="A146" s="33">
        <v>46036</v>
      </c>
      <c r="B146" s="44" t="s">
        <v>43</v>
      </c>
      <c r="C146" s="35"/>
      <c r="D146" s="35"/>
      <c r="E146" s="11">
        <f t="shared" si="124"/>
        <v>0</v>
      </c>
      <c r="F146" s="45">
        <v>60</v>
      </c>
      <c r="G146" s="13" t="e">
        <f t="shared" si="125"/>
        <v>#DIV/0!</v>
      </c>
      <c r="H146" s="35"/>
      <c r="I146" s="38"/>
      <c r="J146" s="35">
        <f t="shared" si="126"/>
        <v>0</v>
      </c>
      <c r="K146" s="50">
        <f t="shared" si="127"/>
        <v>60</v>
      </c>
      <c r="L146" s="46" t="e">
        <f t="shared" si="128"/>
        <v>#DIV/0!</v>
      </c>
      <c r="M146" s="48">
        <v>17060</v>
      </c>
      <c r="N146" s="47">
        <f t="shared" si="129"/>
        <v>1023600</v>
      </c>
      <c r="R146" s="76">
        <f t="shared" si="56"/>
        <v>0</v>
      </c>
    </row>
    <row r="147" spans="1:18" ht="16">
      <c r="A147" s="33">
        <v>46041</v>
      </c>
      <c r="B147" s="44" t="s">
        <v>43</v>
      </c>
      <c r="C147" s="35"/>
      <c r="D147" s="35"/>
      <c r="E147" s="11">
        <f t="shared" si="124"/>
        <v>0</v>
      </c>
      <c r="F147" s="45">
        <v>60</v>
      </c>
      <c r="G147" s="13" t="e">
        <f t="shared" si="125"/>
        <v>#DIV/0!</v>
      </c>
      <c r="H147" s="35"/>
      <c r="I147" s="38"/>
      <c r="J147" s="35">
        <f t="shared" si="126"/>
        <v>0</v>
      </c>
      <c r="K147" s="50">
        <v>60</v>
      </c>
      <c r="L147" s="46" t="e">
        <f t="shared" si="128"/>
        <v>#DIV/0!</v>
      </c>
      <c r="M147" s="48">
        <v>17280</v>
      </c>
      <c r="N147" s="47">
        <f t="shared" si="129"/>
        <v>1036800</v>
      </c>
      <c r="R147" s="76">
        <f t="shared" si="56"/>
        <v>0</v>
      </c>
    </row>
    <row r="148" spans="1:18" ht="16">
      <c r="A148" s="33">
        <v>46045</v>
      </c>
      <c r="B148" s="44" t="s">
        <v>43</v>
      </c>
      <c r="C148" s="35"/>
      <c r="D148" s="35"/>
      <c r="E148" s="11">
        <f t="shared" si="124"/>
        <v>0</v>
      </c>
      <c r="F148" s="45">
        <v>50</v>
      </c>
      <c r="G148" s="13" t="e">
        <f t="shared" si="125"/>
        <v>#DIV/0!</v>
      </c>
      <c r="H148" s="35"/>
      <c r="I148" s="38"/>
      <c r="J148" s="35">
        <f t="shared" si="126"/>
        <v>0</v>
      </c>
      <c r="K148" s="50">
        <v>50</v>
      </c>
      <c r="L148" s="46" t="e">
        <f t="shared" si="128"/>
        <v>#DIV/0!</v>
      </c>
      <c r="M148" s="48">
        <v>17700</v>
      </c>
      <c r="N148" s="47">
        <f t="shared" ref="N148:N150" si="130">F148*M148</f>
        <v>885000</v>
      </c>
      <c r="R148" s="76">
        <f t="shared" si="56"/>
        <v>0</v>
      </c>
    </row>
    <row r="149" spans="1:18" ht="16">
      <c r="A149" s="33">
        <v>46051</v>
      </c>
      <c r="B149" s="44" t="s">
        <v>43</v>
      </c>
      <c r="C149" s="35"/>
      <c r="D149" s="35"/>
      <c r="E149" s="11">
        <f t="shared" si="124"/>
        <v>0</v>
      </c>
      <c r="F149" s="45">
        <v>60</v>
      </c>
      <c r="G149" s="13" t="e">
        <f t="shared" si="125"/>
        <v>#DIV/0!</v>
      </c>
      <c r="H149" s="35"/>
      <c r="I149" s="38"/>
      <c r="J149" s="35">
        <f t="shared" si="126"/>
        <v>0</v>
      </c>
      <c r="K149" s="50">
        <f t="shared" ref="K149:K151" si="131">F149</f>
        <v>60</v>
      </c>
      <c r="L149" s="46" t="e">
        <f t="shared" si="128"/>
        <v>#DIV/0!</v>
      </c>
      <c r="M149" s="48">
        <v>17700</v>
      </c>
      <c r="N149" s="47">
        <f t="shared" si="130"/>
        <v>1062000</v>
      </c>
      <c r="R149" s="76">
        <f t="shared" si="56"/>
        <v>0</v>
      </c>
    </row>
    <row r="150" spans="1:18" ht="16">
      <c r="A150" s="33"/>
      <c r="B150" s="44" t="s">
        <v>43</v>
      </c>
      <c r="C150" s="35"/>
      <c r="D150" s="35"/>
      <c r="E150" s="11">
        <f t="shared" si="124"/>
        <v>0</v>
      </c>
      <c r="F150" s="45"/>
      <c r="G150" s="13" t="e">
        <f t="shared" si="125"/>
        <v>#DIV/0!</v>
      </c>
      <c r="H150" s="35"/>
      <c r="I150" s="38"/>
      <c r="J150" s="35">
        <f t="shared" si="126"/>
        <v>0</v>
      </c>
      <c r="K150" s="50">
        <f t="shared" si="131"/>
        <v>0</v>
      </c>
      <c r="L150" s="46" t="e">
        <f t="shared" si="128"/>
        <v>#DIV/0!</v>
      </c>
      <c r="M150" s="48"/>
      <c r="N150" s="47">
        <f t="shared" si="130"/>
        <v>0</v>
      </c>
      <c r="R150" s="76">
        <f t="shared" si="56"/>
        <v>0</v>
      </c>
    </row>
    <row r="151" spans="1:18" ht="16">
      <c r="A151" s="88"/>
      <c r="B151" s="44" t="s">
        <v>43</v>
      </c>
      <c r="C151" s="53"/>
      <c r="D151" s="53"/>
      <c r="E151" s="24">
        <f t="shared" si="124"/>
        <v>0</v>
      </c>
      <c r="F151" s="45"/>
      <c r="G151" s="54" t="e">
        <f t="shared" si="125"/>
        <v>#DIV/0!</v>
      </c>
      <c r="H151" s="53"/>
      <c r="I151" s="55"/>
      <c r="J151" s="53">
        <f t="shared" si="126"/>
        <v>0</v>
      </c>
      <c r="K151" s="50">
        <f t="shared" si="131"/>
        <v>0</v>
      </c>
      <c r="L151" s="73" t="e">
        <f t="shared" si="128"/>
        <v>#DIV/0!</v>
      </c>
      <c r="M151" s="48"/>
      <c r="N151" s="47">
        <f>M151*K151</f>
        <v>0</v>
      </c>
      <c r="R151" s="76">
        <f t="shared" si="56"/>
        <v>0</v>
      </c>
    </row>
    <row r="152" spans="1:18" ht="16">
      <c r="A152" s="59"/>
      <c r="B152" s="60"/>
      <c r="C152" s="59"/>
      <c r="D152" s="59" t="s">
        <v>19</v>
      </c>
      <c r="E152" s="59">
        <f>SUM(E144:E151)</f>
        <v>0</v>
      </c>
      <c r="F152" s="37"/>
      <c r="G152" s="61" t="e">
        <f>AVERAGE(G144:G151)</f>
        <v>#DIV/0!</v>
      </c>
      <c r="H152" s="59"/>
      <c r="I152" s="62"/>
      <c r="J152" s="59">
        <f t="shared" ref="J152:K152" si="132">SUM(J144:J151)</f>
        <v>0</v>
      </c>
      <c r="K152" s="59">
        <f t="shared" si="132"/>
        <v>350</v>
      </c>
      <c r="L152" s="61" t="e">
        <f>AVERAGE(L144:L151)</f>
        <v>#DIV/0!</v>
      </c>
      <c r="M152" s="68"/>
      <c r="N152" s="132">
        <f>SUM(N144:N151)</f>
        <v>6066000</v>
      </c>
      <c r="R152" s="76">
        <f t="shared" si="56"/>
        <v>0</v>
      </c>
    </row>
    <row r="153" spans="1:18" ht="16">
      <c r="A153" s="66">
        <v>46025</v>
      </c>
      <c r="B153" s="90" t="s">
        <v>30</v>
      </c>
      <c r="C153" s="83"/>
      <c r="D153" s="12"/>
      <c r="E153" s="36">
        <f>D153-C153</f>
        <v>0</v>
      </c>
      <c r="F153" s="37">
        <v>73</v>
      </c>
      <c r="G153" s="13" t="e">
        <f>(F153/E153)*100</f>
        <v>#DIV/0!</v>
      </c>
      <c r="H153" s="125"/>
      <c r="I153" s="126"/>
      <c r="J153" s="39">
        <f>I153-H153</f>
        <v>0</v>
      </c>
      <c r="K153" s="50">
        <f t="shared" ref="K153:K161" si="133">F153</f>
        <v>73</v>
      </c>
      <c r="L153" s="67" t="e">
        <f t="shared" ref="L153:L161" si="134">(K153/J153)*100</f>
        <v>#DIV/0!</v>
      </c>
      <c r="M153" s="68">
        <v>17250</v>
      </c>
      <c r="N153" s="47">
        <f t="shared" ref="N153:N157" si="135">M153*K153</f>
        <v>1259250</v>
      </c>
      <c r="R153" s="76">
        <f t="shared" si="56"/>
        <v>0</v>
      </c>
    </row>
    <row r="154" spans="1:18" ht="16">
      <c r="A154" s="138">
        <v>46032</v>
      </c>
      <c r="B154" s="90" t="s">
        <v>30</v>
      </c>
      <c r="C154" s="83"/>
      <c r="D154" s="12"/>
      <c r="E154" s="36"/>
      <c r="F154" s="141">
        <v>69</v>
      </c>
      <c r="G154" s="13"/>
      <c r="H154" s="125"/>
      <c r="I154" s="125"/>
      <c r="J154" s="83"/>
      <c r="K154" s="50">
        <f t="shared" si="133"/>
        <v>69</v>
      </c>
      <c r="L154" s="67" t="e">
        <f t="shared" si="134"/>
        <v>#DIV/0!</v>
      </c>
      <c r="M154" s="116">
        <v>17060</v>
      </c>
      <c r="N154" s="47">
        <f t="shared" si="135"/>
        <v>1177140</v>
      </c>
    </row>
    <row r="155" spans="1:18" ht="16">
      <c r="A155" s="33">
        <v>46038</v>
      </c>
      <c r="B155" s="44" t="s">
        <v>30</v>
      </c>
      <c r="C155" s="35"/>
      <c r="D155" s="12"/>
      <c r="E155" s="11">
        <f t="shared" ref="E155:E161" si="136">D155-C155</f>
        <v>0</v>
      </c>
      <c r="F155" s="45">
        <v>72</v>
      </c>
      <c r="G155" s="13" t="e">
        <f t="shared" ref="G155:G161" si="137">(F155/E155)*100</f>
        <v>#DIV/0!</v>
      </c>
      <c r="H155" s="38"/>
      <c r="I155" s="38"/>
      <c r="J155" s="35">
        <f t="shared" ref="J155:J161" si="138">I155-H155</f>
        <v>0</v>
      </c>
      <c r="K155" s="50">
        <f t="shared" si="133"/>
        <v>72</v>
      </c>
      <c r="L155" s="46" t="e">
        <f t="shared" si="134"/>
        <v>#DIV/0!</v>
      </c>
      <c r="M155" s="48">
        <v>17280</v>
      </c>
      <c r="N155" s="47">
        <f t="shared" si="135"/>
        <v>1244160</v>
      </c>
      <c r="R155" s="76">
        <f t="shared" ref="R155:R162" si="139">Q155</f>
        <v>0</v>
      </c>
    </row>
    <row r="156" spans="1:18" ht="16">
      <c r="A156" s="33">
        <v>46044</v>
      </c>
      <c r="B156" s="44" t="s">
        <v>30</v>
      </c>
      <c r="C156" s="35"/>
      <c r="D156" s="35"/>
      <c r="E156" s="11">
        <f t="shared" si="136"/>
        <v>0</v>
      </c>
      <c r="F156" s="45">
        <v>80</v>
      </c>
      <c r="G156" s="13" t="e">
        <f t="shared" si="137"/>
        <v>#DIV/0!</v>
      </c>
      <c r="H156" s="35"/>
      <c r="I156" s="38"/>
      <c r="J156" s="35">
        <f t="shared" si="138"/>
        <v>0</v>
      </c>
      <c r="K156" s="50">
        <f t="shared" si="133"/>
        <v>80</v>
      </c>
      <c r="L156" s="46" t="e">
        <f t="shared" si="134"/>
        <v>#DIV/0!</v>
      </c>
      <c r="M156" s="48">
        <v>17280</v>
      </c>
      <c r="N156" s="47">
        <f t="shared" si="135"/>
        <v>1382400</v>
      </c>
      <c r="R156" s="76">
        <f t="shared" si="139"/>
        <v>0</v>
      </c>
    </row>
    <row r="157" spans="1:18" ht="16">
      <c r="A157" s="33">
        <v>46050</v>
      </c>
      <c r="B157" s="44" t="s">
        <v>30</v>
      </c>
      <c r="C157" s="35"/>
      <c r="D157" s="35"/>
      <c r="E157" s="11">
        <f t="shared" si="136"/>
        <v>0</v>
      </c>
      <c r="F157" s="45">
        <v>79</v>
      </c>
      <c r="G157" s="13" t="e">
        <f t="shared" si="137"/>
        <v>#DIV/0!</v>
      </c>
      <c r="H157" s="35"/>
      <c r="I157" s="38"/>
      <c r="J157" s="35">
        <f t="shared" si="138"/>
        <v>0</v>
      </c>
      <c r="K157" s="50">
        <f t="shared" si="133"/>
        <v>79</v>
      </c>
      <c r="L157" s="46" t="e">
        <f t="shared" si="134"/>
        <v>#DIV/0!</v>
      </c>
      <c r="M157" s="48">
        <v>17700</v>
      </c>
      <c r="N157" s="47">
        <f t="shared" si="135"/>
        <v>1398300</v>
      </c>
      <c r="R157" s="76">
        <f t="shared" si="139"/>
        <v>0</v>
      </c>
    </row>
    <row r="158" spans="1:18" ht="16">
      <c r="A158" s="33"/>
      <c r="B158" s="44" t="s">
        <v>30</v>
      </c>
      <c r="C158" s="35"/>
      <c r="D158" s="35"/>
      <c r="E158" s="11">
        <f t="shared" si="136"/>
        <v>0</v>
      </c>
      <c r="F158" s="45"/>
      <c r="G158" s="13" t="e">
        <f t="shared" si="137"/>
        <v>#DIV/0!</v>
      </c>
      <c r="H158" s="35"/>
      <c r="I158" s="38"/>
      <c r="J158" s="35">
        <f t="shared" si="138"/>
        <v>0</v>
      </c>
      <c r="K158" s="50">
        <f t="shared" si="133"/>
        <v>0</v>
      </c>
      <c r="L158" s="46" t="e">
        <f t="shared" si="134"/>
        <v>#DIV/0!</v>
      </c>
      <c r="M158" s="48"/>
      <c r="N158" s="47">
        <f t="shared" ref="N158:N160" si="140">F158*M158</f>
        <v>0</v>
      </c>
      <c r="R158" s="76">
        <f t="shared" si="139"/>
        <v>0</v>
      </c>
    </row>
    <row r="159" spans="1:18" ht="16">
      <c r="A159" s="33"/>
      <c r="B159" s="44" t="s">
        <v>30</v>
      </c>
      <c r="C159" s="35"/>
      <c r="D159" s="35"/>
      <c r="E159" s="11">
        <f t="shared" si="136"/>
        <v>0</v>
      </c>
      <c r="F159" s="45"/>
      <c r="G159" s="13" t="e">
        <f t="shared" si="137"/>
        <v>#DIV/0!</v>
      </c>
      <c r="H159" s="35"/>
      <c r="I159" s="38"/>
      <c r="J159" s="35">
        <f t="shared" si="138"/>
        <v>0</v>
      </c>
      <c r="K159" s="50">
        <f t="shared" si="133"/>
        <v>0</v>
      </c>
      <c r="L159" s="46" t="e">
        <f t="shared" si="134"/>
        <v>#DIV/0!</v>
      </c>
      <c r="M159" s="48"/>
      <c r="N159" s="47">
        <f t="shared" si="140"/>
        <v>0</v>
      </c>
      <c r="R159" s="76">
        <f t="shared" si="139"/>
        <v>0</v>
      </c>
    </row>
    <row r="160" spans="1:18" ht="16">
      <c r="A160" s="33"/>
      <c r="B160" s="44" t="s">
        <v>30</v>
      </c>
      <c r="C160" s="35"/>
      <c r="D160" s="35"/>
      <c r="E160" s="11">
        <f t="shared" si="136"/>
        <v>0</v>
      </c>
      <c r="F160" s="45"/>
      <c r="G160" s="13" t="e">
        <f t="shared" si="137"/>
        <v>#DIV/0!</v>
      </c>
      <c r="H160" s="35"/>
      <c r="I160" s="38"/>
      <c r="J160" s="35">
        <f t="shared" si="138"/>
        <v>0</v>
      </c>
      <c r="K160" s="50">
        <f t="shared" si="133"/>
        <v>0</v>
      </c>
      <c r="L160" s="73" t="e">
        <f t="shared" si="134"/>
        <v>#DIV/0!</v>
      </c>
      <c r="M160" s="48"/>
      <c r="N160" s="47">
        <f t="shared" si="140"/>
        <v>0</v>
      </c>
      <c r="R160" s="76">
        <f t="shared" si="139"/>
        <v>0</v>
      </c>
    </row>
    <row r="161" spans="1:18" ht="16">
      <c r="A161" s="133"/>
      <c r="B161" s="44" t="s">
        <v>30</v>
      </c>
      <c r="C161" s="134"/>
      <c r="D161" s="134"/>
      <c r="E161" s="24">
        <f t="shared" si="136"/>
        <v>0</v>
      </c>
      <c r="F161" s="37"/>
      <c r="G161" s="54" t="e">
        <f t="shared" si="137"/>
        <v>#DIV/0!</v>
      </c>
      <c r="H161" s="134"/>
      <c r="I161" s="135"/>
      <c r="J161" s="134">
        <f t="shared" si="138"/>
        <v>0</v>
      </c>
      <c r="K161" s="50">
        <f t="shared" si="133"/>
        <v>0</v>
      </c>
      <c r="L161" s="136" t="e">
        <f t="shared" si="134"/>
        <v>#DIV/0!</v>
      </c>
      <c r="M161" s="137"/>
      <c r="N161" s="47">
        <f>M161*K161</f>
        <v>0</v>
      </c>
      <c r="R161" s="76">
        <f t="shared" si="139"/>
        <v>0</v>
      </c>
    </row>
    <row r="162" spans="1:18" ht="16">
      <c r="A162" s="59"/>
      <c r="B162" s="60"/>
      <c r="C162" s="59"/>
      <c r="D162" s="59" t="s">
        <v>19</v>
      </c>
      <c r="E162" s="59">
        <f t="shared" ref="E162:F162" si="141">SUM(E153:E161)</f>
        <v>0</v>
      </c>
      <c r="F162" s="59">
        <f t="shared" si="141"/>
        <v>373</v>
      </c>
      <c r="G162" s="61" t="e">
        <f>AVERAGE(G153:G161)</f>
        <v>#DIV/0!</v>
      </c>
      <c r="H162" s="59"/>
      <c r="I162" s="62"/>
      <c r="J162" s="59">
        <f t="shared" ref="J162:K162" si="142">SUM(J153:J161)</f>
        <v>0</v>
      </c>
      <c r="K162" s="59">
        <f t="shared" si="142"/>
        <v>373</v>
      </c>
      <c r="L162" s="61" t="e">
        <f>AVERAGE(L153:L161)</f>
        <v>#DIV/0!</v>
      </c>
      <c r="M162" s="64"/>
      <c r="N162" s="65">
        <f>SUM(N153:N161)</f>
        <v>6461250</v>
      </c>
      <c r="R162" s="76">
        <f t="shared" si="139"/>
        <v>0</v>
      </c>
    </row>
    <row r="163" spans="1:18" ht="16">
      <c r="A163" s="138">
        <v>46024</v>
      </c>
      <c r="B163" s="90" t="s">
        <v>44</v>
      </c>
      <c r="C163" s="83"/>
      <c r="D163" s="12"/>
      <c r="E163" s="11">
        <f t="shared" ref="E163:E170" si="143">D163-C163</f>
        <v>0</v>
      </c>
      <c r="F163" s="37">
        <v>70</v>
      </c>
      <c r="G163" s="13" t="e">
        <f t="shared" ref="G163:G170" si="144">(F163/E163)*100</f>
        <v>#DIV/0!</v>
      </c>
      <c r="H163" s="125"/>
      <c r="I163" s="126"/>
      <c r="J163" s="39">
        <f t="shared" ref="J163:J170" si="145">I163-H163</f>
        <v>0</v>
      </c>
      <c r="K163" s="50">
        <f t="shared" ref="K163:K170" si="146">F163</f>
        <v>70</v>
      </c>
      <c r="L163" s="67" t="e">
        <f t="shared" ref="L163:L170" si="147">(K163/J163)*100</f>
        <v>#DIV/0!</v>
      </c>
      <c r="M163" s="68">
        <v>17250</v>
      </c>
      <c r="N163" s="121">
        <f t="shared" ref="N163:N170" si="148">M163*K163</f>
        <v>1207500</v>
      </c>
    </row>
    <row r="164" spans="1:18" ht="16">
      <c r="A164" s="33">
        <v>46029</v>
      </c>
      <c r="B164" s="90" t="s">
        <v>44</v>
      </c>
      <c r="C164" s="35"/>
      <c r="D164" s="12"/>
      <c r="E164" s="11">
        <f t="shared" si="143"/>
        <v>0</v>
      </c>
      <c r="F164" s="45">
        <v>76</v>
      </c>
      <c r="G164" s="13" t="e">
        <f t="shared" si="144"/>
        <v>#DIV/0!</v>
      </c>
      <c r="H164" s="38"/>
      <c r="I164" s="38"/>
      <c r="J164" s="35">
        <f t="shared" si="145"/>
        <v>0</v>
      </c>
      <c r="K164" s="50">
        <f t="shared" si="146"/>
        <v>76</v>
      </c>
      <c r="L164" s="46" t="e">
        <f t="shared" si="147"/>
        <v>#DIV/0!</v>
      </c>
      <c r="M164" s="68">
        <v>17250</v>
      </c>
      <c r="N164" s="121">
        <f t="shared" si="148"/>
        <v>1311000</v>
      </c>
    </row>
    <row r="165" spans="1:18" ht="16">
      <c r="A165" s="33">
        <v>46032</v>
      </c>
      <c r="B165" s="90" t="s">
        <v>44</v>
      </c>
      <c r="C165" s="35"/>
      <c r="D165" s="35"/>
      <c r="E165" s="11">
        <f t="shared" si="143"/>
        <v>0</v>
      </c>
      <c r="F165" s="45">
        <v>60</v>
      </c>
      <c r="G165" s="13" t="e">
        <f t="shared" si="144"/>
        <v>#DIV/0!</v>
      </c>
      <c r="H165" s="35"/>
      <c r="I165" s="38"/>
      <c r="J165" s="35">
        <f t="shared" si="145"/>
        <v>0</v>
      </c>
      <c r="K165" s="50">
        <f t="shared" si="146"/>
        <v>60</v>
      </c>
      <c r="L165" s="46" t="e">
        <f t="shared" si="147"/>
        <v>#DIV/0!</v>
      </c>
      <c r="M165" s="68">
        <v>17060</v>
      </c>
      <c r="N165" s="121">
        <f t="shared" si="148"/>
        <v>1023600</v>
      </c>
    </row>
    <row r="166" spans="1:18" ht="16">
      <c r="A166" s="33">
        <v>46036</v>
      </c>
      <c r="B166" s="90" t="s">
        <v>44</v>
      </c>
      <c r="C166" s="35"/>
      <c r="D166" s="35"/>
      <c r="E166" s="11">
        <f t="shared" si="143"/>
        <v>0</v>
      </c>
      <c r="F166" s="45">
        <v>80</v>
      </c>
      <c r="G166" s="13" t="e">
        <f t="shared" si="144"/>
        <v>#DIV/0!</v>
      </c>
      <c r="H166" s="35"/>
      <c r="I166" s="38"/>
      <c r="J166" s="35">
        <f t="shared" si="145"/>
        <v>0</v>
      </c>
      <c r="K166" s="50">
        <f t="shared" si="146"/>
        <v>80</v>
      </c>
      <c r="L166" s="46" t="e">
        <f t="shared" si="147"/>
        <v>#DIV/0!</v>
      </c>
      <c r="M166" s="68">
        <v>17060</v>
      </c>
      <c r="N166" s="121">
        <f t="shared" si="148"/>
        <v>1364800</v>
      </c>
    </row>
    <row r="167" spans="1:18" ht="16">
      <c r="A167" s="33">
        <v>46041</v>
      </c>
      <c r="B167" s="90" t="s">
        <v>44</v>
      </c>
      <c r="C167" s="35"/>
      <c r="D167" s="35"/>
      <c r="E167" s="11">
        <f t="shared" si="143"/>
        <v>0</v>
      </c>
      <c r="F167" s="45">
        <v>70</v>
      </c>
      <c r="G167" s="13" t="e">
        <f t="shared" si="144"/>
        <v>#DIV/0!</v>
      </c>
      <c r="H167" s="35"/>
      <c r="I167" s="38"/>
      <c r="J167" s="35">
        <f t="shared" si="145"/>
        <v>0</v>
      </c>
      <c r="K167" s="50">
        <f t="shared" si="146"/>
        <v>70</v>
      </c>
      <c r="L167" s="46" t="e">
        <f t="shared" si="147"/>
        <v>#DIV/0!</v>
      </c>
      <c r="M167" s="68">
        <v>17280</v>
      </c>
      <c r="N167" s="121">
        <f t="shared" si="148"/>
        <v>1209600</v>
      </c>
    </row>
    <row r="168" spans="1:18" ht="16">
      <c r="A168" s="33">
        <v>46044</v>
      </c>
      <c r="B168" s="90" t="s">
        <v>44</v>
      </c>
      <c r="C168" s="35"/>
      <c r="D168" s="35"/>
      <c r="E168" s="11">
        <f t="shared" si="143"/>
        <v>0</v>
      </c>
      <c r="F168" s="45">
        <v>80</v>
      </c>
      <c r="G168" s="13" t="e">
        <f t="shared" si="144"/>
        <v>#DIV/0!</v>
      </c>
      <c r="H168" s="35"/>
      <c r="I168" s="38"/>
      <c r="J168" s="35">
        <f t="shared" si="145"/>
        <v>0</v>
      </c>
      <c r="K168" s="50">
        <f t="shared" si="146"/>
        <v>80</v>
      </c>
      <c r="L168" s="46" t="e">
        <f t="shared" si="147"/>
        <v>#DIV/0!</v>
      </c>
      <c r="M168" s="68">
        <v>17280</v>
      </c>
      <c r="N168" s="121">
        <f t="shared" si="148"/>
        <v>1382400</v>
      </c>
    </row>
    <row r="169" spans="1:18" ht="16">
      <c r="A169" s="33">
        <v>46047</v>
      </c>
      <c r="B169" s="90" t="s">
        <v>44</v>
      </c>
      <c r="C169" s="35"/>
      <c r="D169" s="35"/>
      <c r="E169" s="11">
        <f t="shared" si="143"/>
        <v>0</v>
      </c>
      <c r="F169" s="45">
        <v>80</v>
      </c>
      <c r="G169" s="13" t="e">
        <f t="shared" si="144"/>
        <v>#DIV/0!</v>
      </c>
      <c r="H169" s="35"/>
      <c r="I169" s="38"/>
      <c r="J169" s="35">
        <f t="shared" si="145"/>
        <v>0</v>
      </c>
      <c r="K169" s="50">
        <f t="shared" si="146"/>
        <v>80</v>
      </c>
      <c r="L169" s="46" t="e">
        <f t="shared" si="147"/>
        <v>#DIV/0!</v>
      </c>
      <c r="M169" s="48">
        <v>17700</v>
      </c>
      <c r="N169" s="121">
        <f t="shared" si="148"/>
        <v>1416000</v>
      </c>
    </row>
    <row r="170" spans="1:18" ht="16">
      <c r="A170" s="88">
        <v>46051</v>
      </c>
      <c r="B170" s="90" t="s">
        <v>44</v>
      </c>
      <c r="C170" s="53"/>
      <c r="D170" s="53"/>
      <c r="E170" s="24">
        <f t="shared" si="143"/>
        <v>0</v>
      </c>
      <c r="F170" s="45">
        <v>78</v>
      </c>
      <c r="G170" s="54" t="e">
        <f t="shared" si="144"/>
        <v>#DIV/0!</v>
      </c>
      <c r="H170" s="53"/>
      <c r="I170" s="55"/>
      <c r="J170" s="53">
        <f t="shared" si="145"/>
        <v>0</v>
      </c>
      <c r="K170" s="50">
        <f t="shared" si="146"/>
        <v>78</v>
      </c>
      <c r="L170" s="73" t="e">
        <f t="shared" si="147"/>
        <v>#DIV/0!</v>
      </c>
      <c r="M170" s="56">
        <v>17700</v>
      </c>
      <c r="N170" s="47">
        <f t="shared" si="148"/>
        <v>1380600</v>
      </c>
    </row>
    <row r="171" spans="1:18" ht="16">
      <c r="A171" s="59"/>
      <c r="B171" s="60"/>
      <c r="C171" s="59"/>
      <c r="D171" s="59" t="s">
        <v>19</v>
      </c>
      <c r="E171" s="59">
        <f t="shared" ref="E171:F171" si="149">SUM(E163:E170)</f>
        <v>0</v>
      </c>
      <c r="F171" s="59">
        <f t="shared" si="149"/>
        <v>594</v>
      </c>
      <c r="G171" s="61" t="e">
        <f>AVERAGE(G163:G170)</f>
        <v>#DIV/0!</v>
      </c>
      <c r="H171" s="59"/>
      <c r="I171" s="62"/>
      <c r="J171" s="59">
        <f t="shared" ref="J171:K171" si="150">SUM(J163:J170)</f>
        <v>0</v>
      </c>
      <c r="K171" s="59">
        <f t="shared" si="150"/>
        <v>594</v>
      </c>
      <c r="L171" s="61" t="e">
        <f>AVERAGE(L163:L170)</f>
        <v>#DIV/0!</v>
      </c>
      <c r="M171" s="64"/>
      <c r="N171" s="65">
        <f>SUM(N163:N170)</f>
        <v>10295500</v>
      </c>
    </row>
    <row r="172" spans="1:18" ht="16">
      <c r="A172" s="139">
        <v>46024</v>
      </c>
      <c r="B172" s="140" t="s">
        <v>32</v>
      </c>
      <c r="C172" s="83"/>
      <c r="D172" s="12"/>
      <c r="E172" s="36">
        <f t="shared" ref="E172:E179" si="151">D172-C172</f>
        <v>0</v>
      </c>
      <c r="F172" s="37">
        <v>80</v>
      </c>
      <c r="G172" s="13" t="e">
        <f t="shared" ref="G172:G179" si="152">(F172/E172)*100</f>
        <v>#DIV/0!</v>
      </c>
      <c r="H172" s="125"/>
      <c r="I172" s="126"/>
      <c r="J172" s="39">
        <f t="shared" ref="J172:J179" si="153">I172-H172</f>
        <v>0</v>
      </c>
      <c r="K172" s="50">
        <f t="shared" ref="K172:K176" si="154">F172</f>
        <v>80</v>
      </c>
      <c r="L172" s="136" t="e">
        <f t="shared" ref="L172:L179" si="155">(K172/J172)*100</f>
        <v>#DIV/0!</v>
      </c>
      <c r="M172" s="68">
        <v>17250</v>
      </c>
      <c r="N172" s="121">
        <f t="shared" ref="N172:N179" si="156">M172*K172</f>
        <v>1380000</v>
      </c>
    </row>
    <row r="173" spans="1:18" ht="16">
      <c r="A173" s="138">
        <v>46032</v>
      </c>
      <c r="B173" s="140" t="s">
        <v>32</v>
      </c>
      <c r="C173" s="83"/>
      <c r="D173" s="12"/>
      <c r="E173" s="36">
        <f t="shared" si="151"/>
        <v>0</v>
      </c>
      <c r="F173" s="45">
        <v>72</v>
      </c>
      <c r="G173" s="13" t="e">
        <f t="shared" si="152"/>
        <v>#DIV/0!</v>
      </c>
      <c r="H173" s="38"/>
      <c r="I173" s="38"/>
      <c r="J173" s="35">
        <f t="shared" si="153"/>
        <v>0</v>
      </c>
      <c r="K173" s="50">
        <f t="shared" si="154"/>
        <v>72</v>
      </c>
      <c r="L173" s="136" t="e">
        <f t="shared" si="155"/>
        <v>#DIV/0!</v>
      </c>
      <c r="M173" s="116">
        <v>17060</v>
      </c>
      <c r="N173" s="121">
        <f t="shared" si="156"/>
        <v>1228320</v>
      </c>
    </row>
    <row r="174" spans="1:18" ht="16">
      <c r="A174" s="138">
        <v>46037</v>
      </c>
      <c r="B174" s="140" t="s">
        <v>32</v>
      </c>
      <c r="C174" s="83"/>
      <c r="D174" s="83"/>
      <c r="E174" s="11">
        <f t="shared" si="151"/>
        <v>0</v>
      </c>
      <c r="F174" s="141">
        <v>85</v>
      </c>
      <c r="G174" s="13" t="e">
        <f t="shared" si="152"/>
        <v>#DIV/0!</v>
      </c>
      <c r="H174" s="35"/>
      <c r="I174" s="38"/>
      <c r="J174" s="35">
        <f t="shared" si="153"/>
        <v>0</v>
      </c>
      <c r="K174" s="50">
        <f t="shared" si="154"/>
        <v>85</v>
      </c>
      <c r="L174" s="136" t="e">
        <f t="shared" si="155"/>
        <v>#DIV/0!</v>
      </c>
      <c r="M174" s="116">
        <v>17060</v>
      </c>
      <c r="N174" s="121">
        <f t="shared" si="156"/>
        <v>1450100</v>
      </c>
    </row>
    <row r="175" spans="1:18" ht="16">
      <c r="A175" s="138">
        <v>46046</v>
      </c>
      <c r="B175" s="140" t="s">
        <v>32</v>
      </c>
      <c r="C175" s="83"/>
      <c r="D175" s="83"/>
      <c r="E175" s="11">
        <f t="shared" si="151"/>
        <v>0</v>
      </c>
      <c r="F175" s="141">
        <v>85</v>
      </c>
      <c r="G175" s="13" t="e">
        <f t="shared" si="152"/>
        <v>#DIV/0!</v>
      </c>
      <c r="H175" s="35"/>
      <c r="I175" s="38"/>
      <c r="J175" s="35">
        <f t="shared" si="153"/>
        <v>0</v>
      </c>
      <c r="K175" s="50">
        <f t="shared" si="154"/>
        <v>85</v>
      </c>
      <c r="L175" s="136" t="e">
        <f t="shared" si="155"/>
        <v>#DIV/0!</v>
      </c>
      <c r="M175" s="116">
        <v>17700</v>
      </c>
      <c r="N175" s="121">
        <f t="shared" si="156"/>
        <v>1504500</v>
      </c>
    </row>
    <row r="176" spans="1:18" ht="16">
      <c r="A176" s="138"/>
      <c r="B176" s="140" t="s">
        <v>32</v>
      </c>
      <c r="C176" s="83"/>
      <c r="D176" s="83"/>
      <c r="E176" s="11">
        <f t="shared" si="151"/>
        <v>0</v>
      </c>
      <c r="F176" s="141"/>
      <c r="G176" s="13" t="e">
        <f t="shared" si="152"/>
        <v>#DIV/0!</v>
      </c>
      <c r="H176" s="35"/>
      <c r="I176" s="38"/>
      <c r="J176" s="35">
        <f t="shared" si="153"/>
        <v>0</v>
      </c>
      <c r="K176" s="50">
        <f t="shared" si="154"/>
        <v>0</v>
      </c>
      <c r="L176" s="136" t="e">
        <f t="shared" si="155"/>
        <v>#DIV/0!</v>
      </c>
      <c r="M176" s="116"/>
      <c r="N176" s="121">
        <f t="shared" si="156"/>
        <v>0</v>
      </c>
    </row>
    <row r="177" spans="1:18" ht="16">
      <c r="A177" s="138"/>
      <c r="B177" s="140" t="s">
        <v>32</v>
      </c>
      <c r="C177" s="83"/>
      <c r="D177" s="83"/>
      <c r="E177" s="11">
        <f t="shared" si="151"/>
        <v>0</v>
      </c>
      <c r="F177" s="141"/>
      <c r="G177" s="13" t="e">
        <f t="shared" si="152"/>
        <v>#DIV/0!</v>
      </c>
      <c r="H177" s="35"/>
      <c r="I177" s="38"/>
      <c r="J177" s="35">
        <f t="shared" si="153"/>
        <v>0</v>
      </c>
      <c r="K177" s="50"/>
      <c r="L177" s="136" t="e">
        <f t="shared" si="155"/>
        <v>#DIV/0!</v>
      </c>
      <c r="M177" s="116"/>
      <c r="N177" s="121">
        <f t="shared" si="156"/>
        <v>0</v>
      </c>
    </row>
    <row r="178" spans="1:18" ht="16">
      <c r="A178" s="138"/>
      <c r="B178" s="140" t="s">
        <v>32</v>
      </c>
      <c r="C178" s="83"/>
      <c r="D178" s="83"/>
      <c r="E178" s="11">
        <f t="shared" si="151"/>
        <v>0</v>
      </c>
      <c r="F178" s="141"/>
      <c r="G178" s="13" t="e">
        <f t="shared" si="152"/>
        <v>#DIV/0!</v>
      </c>
      <c r="H178" s="83"/>
      <c r="I178" s="125"/>
      <c r="J178" s="83">
        <f t="shared" si="153"/>
        <v>0</v>
      </c>
      <c r="K178" s="50"/>
      <c r="L178" s="136" t="e">
        <f t="shared" si="155"/>
        <v>#DIV/0!</v>
      </c>
      <c r="M178" s="116"/>
      <c r="N178" s="121">
        <f t="shared" si="156"/>
        <v>0</v>
      </c>
    </row>
    <row r="179" spans="1:18" ht="16">
      <c r="A179" s="142"/>
      <c r="B179" s="140" t="s">
        <v>32</v>
      </c>
      <c r="C179" s="134"/>
      <c r="D179" s="134"/>
      <c r="E179" s="24">
        <f t="shared" si="151"/>
        <v>0</v>
      </c>
      <c r="F179" s="143"/>
      <c r="G179" s="54" t="e">
        <f t="shared" si="152"/>
        <v>#DIV/0!</v>
      </c>
      <c r="H179" s="134"/>
      <c r="I179" s="135"/>
      <c r="J179" s="134">
        <f t="shared" si="153"/>
        <v>0</v>
      </c>
      <c r="K179" s="50"/>
      <c r="L179" s="136" t="e">
        <f t="shared" si="155"/>
        <v>#DIV/0!</v>
      </c>
      <c r="M179" s="137"/>
      <c r="N179" s="47">
        <f t="shared" si="156"/>
        <v>0</v>
      </c>
    </row>
    <row r="180" spans="1:18" ht="16">
      <c r="A180" s="142"/>
      <c r="B180" s="60"/>
      <c r="C180" s="59"/>
      <c r="D180" s="59" t="s">
        <v>19</v>
      </c>
      <c r="E180" s="59">
        <f t="shared" ref="E180:F180" si="157">SUM(E172:E179)</f>
        <v>0</v>
      </c>
      <c r="F180" s="59">
        <f t="shared" si="157"/>
        <v>322</v>
      </c>
      <c r="G180" s="61" t="e">
        <f>AVERAGE(G172:G179)</f>
        <v>#DIV/0!</v>
      </c>
      <c r="H180" s="59"/>
      <c r="I180" s="62"/>
      <c r="J180" s="59">
        <f t="shared" ref="J180:K180" si="158">SUM(J172:J179)</f>
        <v>0</v>
      </c>
      <c r="K180" s="59">
        <f t="shared" si="158"/>
        <v>322</v>
      </c>
      <c r="L180" s="61" t="e">
        <f>AVERAGE(L172:L179)</f>
        <v>#DIV/0!</v>
      </c>
      <c r="M180" s="64"/>
      <c r="N180" s="65">
        <f>SUM(N172:N179)</f>
        <v>5562920</v>
      </c>
    </row>
    <row r="181" spans="1:18" ht="16">
      <c r="A181" s="139">
        <v>45660</v>
      </c>
      <c r="B181" s="144" t="s">
        <v>33</v>
      </c>
      <c r="C181" s="83"/>
      <c r="D181" s="145"/>
      <c r="E181" s="36">
        <f t="shared" ref="E181:E187" si="159">D181-C181</f>
        <v>0</v>
      </c>
      <c r="F181" s="37">
        <v>83</v>
      </c>
      <c r="G181" s="114" t="e">
        <f t="shared" ref="G181:G187" si="160">(F181/E181)*100</f>
        <v>#DIV/0!</v>
      </c>
      <c r="H181" s="125"/>
      <c r="I181" s="126"/>
      <c r="J181" s="39">
        <f t="shared" ref="J181:J187" si="161">I181-H181</f>
        <v>0</v>
      </c>
      <c r="K181" s="50">
        <f t="shared" ref="K181:K187" si="162">F181</f>
        <v>83</v>
      </c>
      <c r="L181" s="146" t="e">
        <f t="shared" ref="L181:L187" si="163">(K181/J181)*100</f>
        <v>#DIV/0!</v>
      </c>
      <c r="M181" s="68">
        <v>17250</v>
      </c>
      <c r="N181" s="121">
        <f t="shared" ref="N181:N187" si="164">M181*K181</f>
        <v>1431750</v>
      </c>
      <c r="R181" s="76">
        <f t="shared" ref="R181:R187" si="165">Q181</f>
        <v>0</v>
      </c>
    </row>
    <row r="182" spans="1:18" ht="16">
      <c r="A182" s="138">
        <v>46035</v>
      </c>
      <c r="B182" s="140" t="s">
        <v>33</v>
      </c>
      <c r="C182" s="83"/>
      <c r="D182" s="12"/>
      <c r="E182" s="36">
        <f t="shared" si="159"/>
        <v>0</v>
      </c>
      <c r="F182" s="45">
        <v>87</v>
      </c>
      <c r="G182" s="13" t="e">
        <f t="shared" si="160"/>
        <v>#DIV/0!</v>
      </c>
      <c r="H182" s="38"/>
      <c r="I182" s="38"/>
      <c r="J182" s="35">
        <f t="shared" si="161"/>
        <v>0</v>
      </c>
      <c r="K182" s="50">
        <f t="shared" si="162"/>
        <v>87</v>
      </c>
      <c r="L182" s="136" t="e">
        <f t="shared" si="163"/>
        <v>#DIV/0!</v>
      </c>
      <c r="M182" s="116">
        <v>17060</v>
      </c>
      <c r="N182" s="121">
        <f t="shared" si="164"/>
        <v>1484220</v>
      </c>
      <c r="R182" s="76">
        <f t="shared" si="165"/>
        <v>0</v>
      </c>
    </row>
    <row r="183" spans="1:18" ht="16">
      <c r="A183" s="138">
        <v>46038</v>
      </c>
      <c r="B183" s="140" t="s">
        <v>33</v>
      </c>
      <c r="C183" s="83"/>
      <c r="D183" s="83"/>
      <c r="E183" s="11">
        <f t="shared" si="159"/>
        <v>0</v>
      </c>
      <c r="F183" s="141">
        <v>79</v>
      </c>
      <c r="G183" s="13" t="e">
        <f t="shared" si="160"/>
        <v>#DIV/0!</v>
      </c>
      <c r="H183" s="35"/>
      <c r="I183" s="38"/>
      <c r="J183" s="35">
        <f t="shared" si="161"/>
        <v>0</v>
      </c>
      <c r="K183" s="50">
        <f t="shared" si="162"/>
        <v>79</v>
      </c>
      <c r="L183" s="136" t="e">
        <f t="shared" si="163"/>
        <v>#DIV/0!</v>
      </c>
      <c r="M183" s="116">
        <v>17280</v>
      </c>
      <c r="N183" s="121">
        <f t="shared" si="164"/>
        <v>1365120</v>
      </c>
      <c r="R183" s="76">
        <f t="shared" si="165"/>
        <v>0</v>
      </c>
    </row>
    <row r="184" spans="1:18" ht="16">
      <c r="A184" s="138">
        <v>46047</v>
      </c>
      <c r="B184" s="140" t="s">
        <v>33</v>
      </c>
      <c r="C184" s="83"/>
      <c r="D184" s="83"/>
      <c r="E184" s="11">
        <f t="shared" si="159"/>
        <v>0</v>
      </c>
      <c r="F184" s="141">
        <v>84</v>
      </c>
      <c r="G184" s="13" t="e">
        <f t="shared" si="160"/>
        <v>#DIV/0!</v>
      </c>
      <c r="H184" s="35"/>
      <c r="I184" s="38"/>
      <c r="J184" s="35">
        <f t="shared" si="161"/>
        <v>0</v>
      </c>
      <c r="K184" s="50">
        <f t="shared" si="162"/>
        <v>84</v>
      </c>
      <c r="L184" s="136" t="e">
        <f t="shared" si="163"/>
        <v>#DIV/0!</v>
      </c>
      <c r="M184" s="116">
        <v>17700</v>
      </c>
      <c r="N184" s="121">
        <f t="shared" si="164"/>
        <v>1486800</v>
      </c>
      <c r="R184" s="76">
        <f t="shared" si="165"/>
        <v>0</v>
      </c>
    </row>
    <row r="185" spans="1:18" ht="16">
      <c r="A185" s="138"/>
      <c r="B185" s="140" t="s">
        <v>33</v>
      </c>
      <c r="C185" s="83"/>
      <c r="D185" s="83"/>
      <c r="E185" s="11">
        <f t="shared" si="159"/>
        <v>0</v>
      </c>
      <c r="F185" s="141"/>
      <c r="G185" s="13" t="e">
        <f t="shared" si="160"/>
        <v>#DIV/0!</v>
      </c>
      <c r="H185" s="35"/>
      <c r="I185" s="38"/>
      <c r="J185" s="35">
        <f t="shared" si="161"/>
        <v>0</v>
      </c>
      <c r="K185" s="50">
        <f t="shared" si="162"/>
        <v>0</v>
      </c>
      <c r="L185" s="136" t="e">
        <f t="shared" si="163"/>
        <v>#DIV/0!</v>
      </c>
      <c r="M185" s="116"/>
      <c r="N185" s="121">
        <f t="shared" si="164"/>
        <v>0</v>
      </c>
      <c r="R185" s="76">
        <f t="shared" si="165"/>
        <v>0</v>
      </c>
    </row>
    <row r="186" spans="1:18" ht="16">
      <c r="A186" s="138"/>
      <c r="B186" s="140" t="s">
        <v>33</v>
      </c>
      <c r="C186" s="83"/>
      <c r="D186" s="83"/>
      <c r="E186" s="11">
        <f t="shared" si="159"/>
        <v>0</v>
      </c>
      <c r="F186" s="141"/>
      <c r="G186" s="13" t="e">
        <f t="shared" si="160"/>
        <v>#DIV/0!</v>
      </c>
      <c r="H186" s="35"/>
      <c r="I186" s="38"/>
      <c r="J186" s="35">
        <f t="shared" si="161"/>
        <v>0</v>
      </c>
      <c r="K186" s="50">
        <f t="shared" si="162"/>
        <v>0</v>
      </c>
      <c r="L186" s="136" t="e">
        <f t="shared" si="163"/>
        <v>#DIV/0!</v>
      </c>
      <c r="M186" s="116"/>
      <c r="N186" s="121">
        <f t="shared" si="164"/>
        <v>0</v>
      </c>
      <c r="R186" s="76">
        <f t="shared" si="165"/>
        <v>0</v>
      </c>
    </row>
    <row r="187" spans="1:18" ht="16">
      <c r="A187" s="138"/>
      <c r="B187" s="140" t="s">
        <v>33</v>
      </c>
      <c r="C187" s="83"/>
      <c r="D187" s="83"/>
      <c r="E187" s="11">
        <f t="shared" si="159"/>
        <v>0</v>
      </c>
      <c r="F187" s="141"/>
      <c r="G187" s="13" t="e">
        <f t="shared" si="160"/>
        <v>#DIV/0!</v>
      </c>
      <c r="H187" s="83"/>
      <c r="I187" s="125"/>
      <c r="J187" s="83">
        <f t="shared" si="161"/>
        <v>0</v>
      </c>
      <c r="K187" s="50">
        <f t="shared" si="162"/>
        <v>0</v>
      </c>
      <c r="L187" s="136" t="e">
        <f t="shared" si="163"/>
        <v>#DIV/0!</v>
      </c>
      <c r="M187" s="116"/>
      <c r="N187" s="121">
        <f t="shared" si="164"/>
        <v>0</v>
      </c>
      <c r="R187" s="76">
        <f t="shared" si="165"/>
        <v>0</v>
      </c>
    </row>
    <row r="188" spans="1:18" ht="16">
      <c r="A188" s="138"/>
      <c r="B188" s="60"/>
      <c r="C188" s="59"/>
      <c r="D188" s="59" t="s">
        <v>19</v>
      </c>
      <c r="E188" s="59">
        <f t="shared" ref="E188:F188" si="166">SUM(E175:E187)</f>
        <v>0</v>
      </c>
      <c r="F188" s="59">
        <f t="shared" si="166"/>
        <v>740</v>
      </c>
      <c r="G188" s="61" t="e">
        <f>AVERAGE(G175:G187)</f>
        <v>#DIV/0!</v>
      </c>
      <c r="H188" s="59"/>
      <c r="I188" s="62"/>
      <c r="J188" s="59">
        <f>SUM(J175:J187)</f>
        <v>0</v>
      </c>
      <c r="K188" s="59">
        <f>SUM(K181:K187)</f>
        <v>333</v>
      </c>
      <c r="L188" s="61" t="e">
        <f>AVERAGE(L175:L187)</f>
        <v>#DIV/0!</v>
      </c>
      <c r="M188" s="64"/>
      <c r="N188" s="132">
        <f>SUM(N181:N187)</f>
        <v>5767890</v>
      </c>
    </row>
    <row r="189" spans="1:18" ht="16">
      <c r="A189" s="138">
        <v>46029</v>
      </c>
      <c r="B189" s="140" t="s">
        <v>34</v>
      </c>
      <c r="C189" s="83"/>
      <c r="D189" s="145"/>
      <c r="E189" s="36">
        <f t="shared" ref="E189:E195" si="167">D189-C189</f>
        <v>0</v>
      </c>
      <c r="F189" s="37">
        <v>67</v>
      </c>
      <c r="G189" s="114" t="e">
        <f t="shared" ref="G189:G195" si="168">(F189/E189)*100</f>
        <v>#DIV/0!</v>
      </c>
      <c r="H189" s="125"/>
      <c r="I189" s="126"/>
      <c r="J189" s="39">
        <f t="shared" ref="J189:J195" si="169">I189-H189</f>
        <v>0</v>
      </c>
      <c r="K189" s="50">
        <f t="shared" ref="K189:K195" si="170">F189</f>
        <v>67</v>
      </c>
      <c r="L189" s="146" t="e">
        <f t="shared" ref="L189:L195" si="171">(K189/J189)*100</f>
        <v>#DIV/0!</v>
      </c>
      <c r="M189" s="68">
        <v>17250</v>
      </c>
      <c r="N189" s="121">
        <f t="shared" ref="N189:N195" si="172">M189*K189</f>
        <v>1155750</v>
      </c>
    </row>
    <row r="190" spans="1:18" ht="16">
      <c r="A190" s="138">
        <v>46035</v>
      </c>
      <c r="B190" s="140" t="s">
        <v>34</v>
      </c>
      <c r="C190" s="83"/>
      <c r="D190" s="12"/>
      <c r="E190" s="36">
        <f t="shared" si="167"/>
        <v>0</v>
      </c>
      <c r="F190" s="45">
        <v>60</v>
      </c>
      <c r="G190" s="13" t="e">
        <f t="shared" si="168"/>
        <v>#DIV/0!</v>
      </c>
      <c r="H190" s="38"/>
      <c r="I190" s="38"/>
      <c r="J190" s="35">
        <f t="shared" si="169"/>
        <v>0</v>
      </c>
      <c r="K190" s="50">
        <f t="shared" si="170"/>
        <v>60</v>
      </c>
      <c r="L190" s="136" t="e">
        <f t="shared" si="171"/>
        <v>#DIV/0!</v>
      </c>
      <c r="M190" s="116">
        <v>17060</v>
      </c>
      <c r="N190" s="121">
        <f t="shared" si="172"/>
        <v>1023600</v>
      </c>
    </row>
    <row r="191" spans="1:18" ht="16">
      <c r="A191" s="138">
        <v>46048</v>
      </c>
      <c r="B191" s="140" t="s">
        <v>34</v>
      </c>
      <c r="C191" s="83"/>
      <c r="D191" s="83"/>
      <c r="E191" s="11">
        <f t="shared" si="167"/>
        <v>0</v>
      </c>
      <c r="F191" s="141">
        <v>70</v>
      </c>
      <c r="G191" s="13" t="e">
        <f t="shared" si="168"/>
        <v>#DIV/0!</v>
      </c>
      <c r="H191" s="35"/>
      <c r="I191" s="38"/>
      <c r="J191" s="35">
        <f t="shared" si="169"/>
        <v>0</v>
      </c>
      <c r="K191" s="50">
        <f t="shared" si="170"/>
        <v>70</v>
      </c>
      <c r="L191" s="136" t="e">
        <f t="shared" si="171"/>
        <v>#DIV/0!</v>
      </c>
      <c r="M191" s="116">
        <v>17700</v>
      </c>
      <c r="N191" s="121">
        <f t="shared" si="172"/>
        <v>1239000</v>
      </c>
    </row>
    <row r="192" spans="1:18" ht="16">
      <c r="A192" s="138">
        <v>46052</v>
      </c>
      <c r="B192" s="140" t="s">
        <v>34</v>
      </c>
      <c r="C192" s="83"/>
      <c r="D192" s="83"/>
      <c r="E192" s="11">
        <f t="shared" si="167"/>
        <v>0</v>
      </c>
      <c r="F192" s="141">
        <v>66</v>
      </c>
      <c r="G192" s="13" t="e">
        <f t="shared" si="168"/>
        <v>#DIV/0!</v>
      </c>
      <c r="H192" s="35"/>
      <c r="I192" s="38"/>
      <c r="J192" s="35">
        <f t="shared" si="169"/>
        <v>0</v>
      </c>
      <c r="K192" s="50">
        <f t="shared" si="170"/>
        <v>66</v>
      </c>
      <c r="L192" s="136" t="e">
        <f t="shared" si="171"/>
        <v>#DIV/0!</v>
      </c>
      <c r="M192" s="116">
        <v>18170</v>
      </c>
      <c r="N192" s="121">
        <f t="shared" si="172"/>
        <v>1199220</v>
      </c>
    </row>
    <row r="193" spans="1:18" ht="16">
      <c r="A193" s="138"/>
      <c r="B193" s="140" t="s">
        <v>34</v>
      </c>
      <c r="C193" s="83"/>
      <c r="D193" s="83"/>
      <c r="E193" s="11">
        <f t="shared" si="167"/>
        <v>0</v>
      </c>
      <c r="F193" s="141"/>
      <c r="G193" s="13" t="e">
        <f t="shared" si="168"/>
        <v>#DIV/0!</v>
      </c>
      <c r="H193" s="35"/>
      <c r="I193" s="38"/>
      <c r="J193" s="35">
        <f t="shared" si="169"/>
        <v>0</v>
      </c>
      <c r="K193" s="50">
        <f t="shared" si="170"/>
        <v>0</v>
      </c>
      <c r="L193" s="136" t="e">
        <f t="shared" si="171"/>
        <v>#DIV/0!</v>
      </c>
      <c r="M193" s="116"/>
      <c r="N193" s="121">
        <f t="shared" si="172"/>
        <v>0</v>
      </c>
    </row>
    <row r="194" spans="1:18" ht="16">
      <c r="A194" s="138"/>
      <c r="B194" s="140" t="s">
        <v>34</v>
      </c>
      <c r="C194" s="83"/>
      <c r="D194" s="83"/>
      <c r="E194" s="11">
        <f t="shared" si="167"/>
        <v>0</v>
      </c>
      <c r="F194" s="141"/>
      <c r="G194" s="13" t="e">
        <f t="shared" si="168"/>
        <v>#DIV/0!</v>
      </c>
      <c r="H194" s="35"/>
      <c r="I194" s="38"/>
      <c r="J194" s="35">
        <f t="shared" si="169"/>
        <v>0</v>
      </c>
      <c r="K194" s="50">
        <f t="shared" si="170"/>
        <v>0</v>
      </c>
      <c r="L194" s="136" t="e">
        <f t="shared" si="171"/>
        <v>#DIV/0!</v>
      </c>
      <c r="M194" s="116"/>
      <c r="N194" s="121">
        <f t="shared" si="172"/>
        <v>0</v>
      </c>
    </row>
    <row r="195" spans="1:18" ht="16">
      <c r="A195" s="138"/>
      <c r="B195" s="140" t="s">
        <v>34</v>
      </c>
      <c r="C195" s="83"/>
      <c r="D195" s="83"/>
      <c r="E195" s="11">
        <f t="shared" si="167"/>
        <v>0</v>
      </c>
      <c r="F195" s="141"/>
      <c r="G195" s="13" t="e">
        <f t="shared" si="168"/>
        <v>#DIV/0!</v>
      </c>
      <c r="H195" s="83"/>
      <c r="I195" s="125"/>
      <c r="J195" s="83">
        <f t="shared" si="169"/>
        <v>0</v>
      </c>
      <c r="K195" s="50">
        <f t="shared" si="170"/>
        <v>0</v>
      </c>
      <c r="L195" s="136" t="e">
        <f t="shared" si="171"/>
        <v>#DIV/0!</v>
      </c>
      <c r="M195" s="116"/>
      <c r="N195" s="121">
        <f t="shared" si="172"/>
        <v>0</v>
      </c>
      <c r="R195" s="76">
        <f t="shared" ref="R195:R197" si="173">Q195</f>
        <v>0</v>
      </c>
    </row>
    <row r="196" spans="1:18" ht="16">
      <c r="A196" s="138"/>
      <c r="B196" s="60"/>
      <c r="C196" s="59"/>
      <c r="D196" s="59" t="s">
        <v>19</v>
      </c>
      <c r="E196" s="59">
        <f t="shared" ref="E196:F196" si="174">SUM(E181:E195)</f>
        <v>0</v>
      </c>
      <c r="F196" s="59">
        <f t="shared" si="174"/>
        <v>1336</v>
      </c>
      <c r="G196" s="61" t="e">
        <f>AVERAGE(G181:G195)</f>
        <v>#DIV/0!</v>
      </c>
      <c r="H196" s="59"/>
      <c r="I196" s="62"/>
      <c r="J196" s="59">
        <f>SUM(J181:J195)</f>
        <v>0</v>
      </c>
      <c r="K196" s="59">
        <f>SUM(K189:K195)</f>
        <v>263</v>
      </c>
      <c r="L196" s="61" t="e">
        <f>AVERAGE(L181:L195)</f>
        <v>#DIV/0!</v>
      </c>
      <c r="M196" s="64"/>
      <c r="N196" s="132">
        <f>SUM(N189:N195)</f>
        <v>4617570</v>
      </c>
      <c r="R196" s="76">
        <f t="shared" si="173"/>
        <v>0</v>
      </c>
    </row>
    <row r="197" spans="1:18" ht="18">
      <c r="A197" s="138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8"/>
      <c r="N197" s="149">
        <f>N11+N19+N38+N48+N60+N70+N78+N86+N94+N101+N109+N117+N125+N134+N143+N152+N162+N171+N180+N188+N196+N29</f>
        <v>127724080</v>
      </c>
      <c r="R197" s="76">
        <f t="shared" si="173"/>
        <v>0</v>
      </c>
    </row>
    <row r="198" spans="1:18" ht="14">
      <c r="A198" s="138"/>
      <c r="G198" s="150"/>
      <c r="L198" s="150"/>
      <c r="N198" s="151"/>
    </row>
    <row r="199" spans="1:18" ht="31.5" customHeight="1">
      <c r="A199" s="138"/>
      <c r="D199" s="152" t="s">
        <v>45</v>
      </c>
      <c r="E199" s="153"/>
      <c r="G199" s="150"/>
      <c r="L199" s="150"/>
      <c r="N199" s="151"/>
    </row>
    <row r="200" spans="1:18" ht="16">
      <c r="A200" s="138"/>
      <c r="B200" s="154" t="s">
        <v>2</v>
      </c>
      <c r="C200" s="148" t="s">
        <v>3</v>
      </c>
      <c r="D200" s="148" t="s">
        <v>4</v>
      </c>
      <c r="E200" s="148" t="s">
        <v>5</v>
      </c>
      <c r="F200" s="148" t="s">
        <v>6</v>
      </c>
      <c r="G200" s="155" t="s">
        <v>7</v>
      </c>
      <c r="H200" s="156" t="s">
        <v>8</v>
      </c>
      <c r="I200" s="157" t="s">
        <v>8</v>
      </c>
      <c r="J200" s="148" t="s">
        <v>5</v>
      </c>
      <c r="K200" s="148" t="s">
        <v>6</v>
      </c>
      <c r="L200" s="155" t="s">
        <v>7</v>
      </c>
      <c r="M200" s="148" t="s">
        <v>9</v>
      </c>
      <c r="N200" s="158" t="s">
        <v>10</v>
      </c>
      <c r="O200" s="76">
        <v>1</v>
      </c>
      <c r="P200" s="222" t="s">
        <v>46</v>
      </c>
      <c r="Q200" s="231">
        <f>N206</f>
        <v>14820746</v>
      </c>
    </row>
    <row r="201" spans="1:18" ht="16">
      <c r="A201" s="138">
        <v>46031</v>
      </c>
      <c r="B201" s="161" t="s">
        <v>46</v>
      </c>
      <c r="C201" s="35"/>
      <c r="D201" s="12"/>
      <c r="E201" s="11"/>
      <c r="F201" s="35">
        <v>434.98</v>
      </c>
      <c r="G201" s="13" t="e">
        <f t="shared" ref="G201:G205" si="175">(F201/E201)*100</f>
        <v>#DIV/0!</v>
      </c>
      <c r="H201" s="83"/>
      <c r="I201" s="126"/>
      <c r="J201" s="39">
        <f t="shared" ref="J201:J205" si="176">I201-H201</f>
        <v>0</v>
      </c>
      <c r="K201" s="50">
        <f t="shared" ref="K201:K205" si="177">F201</f>
        <v>434.98</v>
      </c>
      <c r="L201" s="67" t="e">
        <f t="shared" ref="L201:L205" si="178">(K201/J201)*100</f>
        <v>#DIV/0!</v>
      </c>
      <c r="M201" s="68">
        <v>17060</v>
      </c>
      <c r="N201" s="47">
        <f t="shared" ref="N201:N205" si="179">M201*K201</f>
        <v>7420758.8000000007</v>
      </c>
      <c r="O201" s="76">
        <v>2</v>
      </c>
      <c r="P201" s="222" t="s">
        <v>47</v>
      </c>
      <c r="Q201" s="231">
        <f>N212</f>
        <v>12425899.6</v>
      </c>
    </row>
    <row r="202" spans="1:18" ht="16">
      <c r="A202" s="138">
        <v>46044</v>
      </c>
      <c r="B202" s="162" t="s">
        <v>46</v>
      </c>
      <c r="C202" s="12"/>
      <c r="D202" s="12">
        <v>412015</v>
      </c>
      <c r="E202" s="11"/>
      <c r="F202" s="45">
        <v>428.24</v>
      </c>
      <c r="G202" s="13" t="e">
        <f t="shared" si="175"/>
        <v>#DIV/0!</v>
      </c>
      <c r="H202" s="35"/>
      <c r="I202" s="38"/>
      <c r="J202" s="35">
        <f t="shared" si="176"/>
        <v>0</v>
      </c>
      <c r="K202" s="50">
        <f t="shared" si="177"/>
        <v>428.24</v>
      </c>
      <c r="L202" s="46" t="e">
        <f t="shared" si="178"/>
        <v>#DIV/0!</v>
      </c>
      <c r="M202" s="48">
        <v>17280</v>
      </c>
      <c r="N202" s="47">
        <f t="shared" si="179"/>
        <v>7399987.2000000002</v>
      </c>
      <c r="O202" s="76">
        <v>3</v>
      </c>
      <c r="P202" s="222" t="s">
        <v>48</v>
      </c>
      <c r="Q202" s="231">
        <f>N218</f>
        <v>11811493.5</v>
      </c>
    </row>
    <row r="203" spans="1:18" ht="16">
      <c r="A203" s="138"/>
      <c r="B203" s="162" t="s">
        <v>46</v>
      </c>
      <c r="C203" s="12"/>
      <c r="D203" s="35"/>
      <c r="E203" s="11"/>
      <c r="F203" s="45"/>
      <c r="G203" s="13" t="e">
        <f t="shared" si="175"/>
        <v>#DIV/0!</v>
      </c>
      <c r="H203" s="35"/>
      <c r="I203" s="38"/>
      <c r="J203" s="35">
        <f t="shared" si="176"/>
        <v>0</v>
      </c>
      <c r="K203" s="35">
        <f t="shared" si="177"/>
        <v>0</v>
      </c>
      <c r="L203" s="46" t="e">
        <f t="shared" si="178"/>
        <v>#DIV/0!</v>
      </c>
      <c r="M203" s="48"/>
      <c r="N203" s="47">
        <f t="shared" si="179"/>
        <v>0</v>
      </c>
      <c r="O203" s="76">
        <v>4</v>
      </c>
      <c r="P203" s="222" t="s">
        <v>49</v>
      </c>
      <c r="Q203" s="231">
        <f>N224</f>
        <v>7909875.5999999996</v>
      </c>
    </row>
    <row r="204" spans="1:18" ht="16">
      <c r="A204" s="138"/>
      <c r="B204" s="162" t="s">
        <v>46</v>
      </c>
      <c r="C204" s="35"/>
      <c r="D204" s="35"/>
      <c r="E204" s="11">
        <f t="shared" ref="E204:E205" si="180">D204-C204</f>
        <v>0</v>
      </c>
      <c r="F204" s="45"/>
      <c r="G204" s="13" t="e">
        <f t="shared" si="175"/>
        <v>#DIV/0!</v>
      </c>
      <c r="H204" s="35"/>
      <c r="I204" s="38"/>
      <c r="J204" s="35">
        <f t="shared" si="176"/>
        <v>0</v>
      </c>
      <c r="K204" s="35">
        <f t="shared" si="177"/>
        <v>0</v>
      </c>
      <c r="L204" s="46" t="e">
        <f t="shared" si="178"/>
        <v>#DIV/0!</v>
      </c>
      <c r="M204" s="48"/>
      <c r="N204" s="47">
        <f t="shared" si="179"/>
        <v>0</v>
      </c>
      <c r="O204" s="76">
        <v>5</v>
      </c>
      <c r="P204" s="222" t="s">
        <v>50</v>
      </c>
      <c r="Q204" s="231">
        <f>N230</f>
        <v>7700276.5999999996</v>
      </c>
    </row>
    <row r="205" spans="1:18" ht="16">
      <c r="A205" s="138"/>
      <c r="B205" s="162" t="s">
        <v>46</v>
      </c>
      <c r="C205" s="35"/>
      <c r="D205" s="35"/>
      <c r="E205" s="11">
        <f t="shared" si="180"/>
        <v>0</v>
      </c>
      <c r="F205" s="45"/>
      <c r="G205" s="13" t="e">
        <f t="shared" si="175"/>
        <v>#DIV/0!</v>
      </c>
      <c r="H205" s="35"/>
      <c r="I205" s="38"/>
      <c r="J205" s="35">
        <f t="shared" si="176"/>
        <v>0</v>
      </c>
      <c r="K205" s="35">
        <f t="shared" si="177"/>
        <v>0</v>
      </c>
      <c r="L205" s="73" t="e">
        <f t="shared" si="178"/>
        <v>#DIV/0!</v>
      </c>
      <c r="M205" s="48"/>
      <c r="N205" s="47">
        <f t="shared" si="179"/>
        <v>0</v>
      </c>
      <c r="O205" s="76">
        <v>6</v>
      </c>
      <c r="P205" s="222" t="s">
        <v>51</v>
      </c>
      <c r="Q205" s="231">
        <f>N236</f>
        <v>8500325</v>
      </c>
    </row>
    <row r="206" spans="1:18" ht="16">
      <c r="A206" s="138"/>
      <c r="B206" s="60"/>
      <c r="C206" s="59"/>
      <c r="D206" s="59" t="s">
        <v>19</v>
      </c>
      <c r="E206" s="59">
        <f t="shared" ref="E206:F206" si="181">SUM(E201:E205)</f>
        <v>0</v>
      </c>
      <c r="F206" s="59">
        <f t="shared" si="181"/>
        <v>863.22</v>
      </c>
      <c r="G206" s="61" t="e">
        <f>AVERAGE(G201:G205)</f>
        <v>#DIV/0!</v>
      </c>
      <c r="H206" s="59"/>
      <c r="I206" s="62"/>
      <c r="J206" s="59">
        <f t="shared" ref="J206:K206" si="182">SUM(J201:J205)</f>
        <v>0</v>
      </c>
      <c r="K206" s="59">
        <f t="shared" si="182"/>
        <v>863.22</v>
      </c>
      <c r="L206" s="61" t="e">
        <f>AVERAGE(L201:L205)</f>
        <v>#DIV/0!</v>
      </c>
      <c r="M206" s="64"/>
      <c r="N206" s="65">
        <f>SUM(N201:N205)</f>
        <v>14820746</v>
      </c>
      <c r="O206" s="76">
        <v>7</v>
      </c>
      <c r="P206" s="232" t="s">
        <v>52</v>
      </c>
      <c r="Q206" s="231">
        <f>N265</f>
        <v>18500239.399999999</v>
      </c>
    </row>
    <row r="207" spans="1:18" ht="16">
      <c r="A207" s="138">
        <v>46029</v>
      </c>
      <c r="B207" s="164" t="s">
        <v>53</v>
      </c>
      <c r="C207" s="83">
        <v>504934</v>
      </c>
      <c r="D207" s="83">
        <v>505760</v>
      </c>
      <c r="E207" s="11">
        <f t="shared" ref="E207:E211" si="183">D207-C207</f>
        <v>826</v>
      </c>
      <c r="F207" s="141">
        <v>260.92</v>
      </c>
      <c r="G207" s="13">
        <f t="shared" ref="G207:G211" si="184">(F207/E207)*100</f>
        <v>31.588377723970947</v>
      </c>
      <c r="H207" s="125">
        <v>28200</v>
      </c>
      <c r="I207" s="125">
        <v>28952</v>
      </c>
      <c r="J207" s="83">
        <f t="shared" ref="J207:J211" si="185">I207-H207</f>
        <v>752</v>
      </c>
      <c r="K207" s="83">
        <f t="shared" ref="K207:K211" si="186">F207</f>
        <v>260.92</v>
      </c>
      <c r="L207" s="136">
        <f t="shared" ref="L207:L211" si="187">(K207/J207)*100</f>
        <v>34.696808510638299</v>
      </c>
      <c r="M207" s="116">
        <v>17250</v>
      </c>
      <c r="N207" s="42">
        <f t="shared" ref="N207:N211" si="188">F207*M207</f>
        <v>4500870</v>
      </c>
      <c r="O207" s="76">
        <v>8</v>
      </c>
      <c r="P207" s="222" t="s">
        <v>54</v>
      </c>
      <c r="Q207" s="231">
        <f>N251</f>
        <v>25000000</v>
      </c>
    </row>
    <row r="208" spans="1:18" ht="16">
      <c r="A208" s="138">
        <v>46037</v>
      </c>
      <c r="B208" s="164" t="s">
        <v>53</v>
      </c>
      <c r="C208" s="83">
        <v>505760</v>
      </c>
      <c r="D208" s="83">
        <v>506521</v>
      </c>
      <c r="E208" s="11">
        <f t="shared" si="183"/>
        <v>761</v>
      </c>
      <c r="F208" s="141">
        <v>205.16</v>
      </c>
      <c r="G208" s="13">
        <f t="shared" si="184"/>
        <v>26.959264126149801</v>
      </c>
      <c r="H208" s="125">
        <v>28952</v>
      </c>
      <c r="I208" s="125"/>
      <c r="J208" s="83">
        <f t="shared" si="185"/>
        <v>-28952</v>
      </c>
      <c r="K208" s="83">
        <f t="shared" si="186"/>
        <v>205.16</v>
      </c>
      <c r="L208" s="136">
        <f t="shared" si="187"/>
        <v>-0.70862116606797454</v>
      </c>
      <c r="M208" s="116">
        <v>17060</v>
      </c>
      <c r="N208" s="47">
        <f t="shared" si="188"/>
        <v>3500029.6</v>
      </c>
      <c r="O208" s="76">
        <v>9</v>
      </c>
      <c r="P208" s="222" t="s">
        <v>69</v>
      </c>
      <c r="Q208" s="231">
        <f>N258</f>
        <v>21164000</v>
      </c>
    </row>
    <row r="209" spans="1:17" ht="16">
      <c r="A209" s="138">
        <v>46044</v>
      </c>
      <c r="B209" s="164" t="s">
        <v>53</v>
      </c>
      <c r="C209" s="83">
        <v>506521</v>
      </c>
      <c r="D209" s="83">
        <v>507266</v>
      </c>
      <c r="E209" s="11">
        <f t="shared" si="183"/>
        <v>745</v>
      </c>
      <c r="F209" s="141">
        <v>250</v>
      </c>
      <c r="G209" s="13">
        <f t="shared" si="184"/>
        <v>33.557046979865774</v>
      </c>
      <c r="H209" s="125"/>
      <c r="I209" s="125">
        <v>29299</v>
      </c>
      <c r="J209" s="83">
        <f t="shared" si="185"/>
        <v>29299</v>
      </c>
      <c r="K209" s="83">
        <f t="shared" si="186"/>
        <v>250</v>
      </c>
      <c r="L209" s="136">
        <f t="shared" si="187"/>
        <v>0.85327144271135535</v>
      </c>
      <c r="M209" s="116">
        <v>17700</v>
      </c>
      <c r="N209" s="47">
        <f t="shared" si="188"/>
        <v>4425000</v>
      </c>
      <c r="O209" s="76">
        <v>10</v>
      </c>
      <c r="P209" s="232" t="s">
        <v>56</v>
      </c>
      <c r="Q209" s="231">
        <f>N242</f>
        <v>19300000</v>
      </c>
    </row>
    <row r="210" spans="1:17" ht="16">
      <c r="A210" s="138"/>
      <c r="B210" s="164" t="s">
        <v>53</v>
      </c>
      <c r="C210" s="83"/>
      <c r="D210" s="83"/>
      <c r="E210" s="11">
        <f t="shared" si="183"/>
        <v>0</v>
      </c>
      <c r="F210" s="141"/>
      <c r="G210" s="13" t="e">
        <f t="shared" si="184"/>
        <v>#DIV/0!</v>
      </c>
      <c r="H210" s="125"/>
      <c r="I210" s="125"/>
      <c r="J210" s="83">
        <f t="shared" si="185"/>
        <v>0</v>
      </c>
      <c r="K210" s="83">
        <f t="shared" si="186"/>
        <v>0</v>
      </c>
      <c r="L210" s="136" t="e">
        <f t="shared" si="187"/>
        <v>#DIV/0!</v>
      </c>
      <c r="M210" s="116"/>
      <c r="N210" s="47">
        <f t="shared" si="188"/>
        <v>0</v>
      </c>
      <c r="O210" s="76">
        <v>11</v>
      </c>
      <c r="P210" s="207" t="s">
        <v>57</v>
      </c>
      <c r="Q210" s="223">
        <f>N272</f>
        <v>13174194.6</v>
      </c>
    </row>
    <row r="211" spans="1:17" ht="16">
      <c r="A211" s="138"/>
      <c r="B211" s="164" t="s">
        <v>53</v>
      </c>
      <c r="C211" s="83"/>
      <c r="D211" s="83"/>
      <c r="E211" s="11">
        <f t="shared" si="183"/>
        <v>0</v>
      </c>
      <c r="F211" s="141"/>
      <c r="G211" s="13" t="e">
        <f t="shared" si="184"/>
        <v>#DIV/0!</v>
      </c>
      <c r="H211" s="125"/>
      <c r="I211" s="125"/>
      <c r="J211" s="83">
        <f t="shared" si="185"/>
        <v>0</v>
      </c>
      <c r="K211" s="83">
        <f t="shared" si="186"/>
        <v>0</v>
      </c>
      <c r="L211" s="136" t="e">
        <f t="shared" si="187"/>
        <v>#DIV/0!</v>
      </c>
      <c r="M211" s="116"/>
      <c r="N211" s="47">
        <f t="shared" si="188"/>
        <v>0</v>
      </c>
      <c r="O211" s="76">
        <v>12</v>
      </c>
      <c r="P211" s="207" t="s">
        <v>58</v>
      </c>
      <c r="Q211" s="223">
        <f>N279</f>
        <v>10713925.6</v>
      </c>
    </row>
    <row r="212" spans="1:17" ht="16">
      <c r="A212" s="138"/>
      <c r="B212" s="60"/>
      <c r="C212" s="59"/>
      <c r="D212" s="59" t="s">
        <v>19</v>
      </c>
      <c r="E212" s="59">
        <f t="shared" ref="E212:F212" si="189">SUM(E207:E211)</f>
        <v>2332</v>
      </c>
      <c r="F212" s="59">
        <f t="shared" si="189"/>
        <v>716.08</v>
      </c>
      <c r="G212" s="61" t="e">
        <f>AVERAGE(G207:G211)</f>
        <v>#DIV/0!</v>
      </c>
      <c r="H212" s="59"/>
      <c r="I212" s="62"/>
      <c r="J212" s="59">
        <f t="shared" ref="J212:K212" si="190">SUM(J207:J211)</f>
        <v>1099</v>
      </c>
      <c r="K212" s="59">
        <f t="shared" si="190"/>
        <v>716.08</v>
      </c>
      <c r="L212" s="61" t="e">
        <f>AVERAGE(L207:L211)</f>
        <v>#DIV/0!</v>
      </c>
      <c r="M212" s="64"/>
      <c r="N212" s="65">
        <f>SUM(N207:N211)</f>
        <v>12425899.6</v>
      </c>
    </row>
    <row r="213" spans="1:17" ht="16">
      <c r="A213" s="138">
        <v>46029</v>
      </c>
      <c r="B213" s="164" t="s">
        <v>48</v>
      </c>
      <c r="C213" s="83"/>
      <c r="D213" s="12"/>
      <c r="E213" s="36">
        <f t="shared" ref="E213:E217" si="191">D213-C213</f>
        <v>0</v>
      </c>
      <c r="F213" s="141">
        <v>231.97</v>
      </c>
      <c r="G213" s="13" t="e">
        <f t="shared" ref="G213:G217" si="192">(F213/E213)*100</f>
        <v>#DIV/0!</v>
      </c>
      <c r="H213" s="83"/>
      <c r="I213" s="126"/>
      <c r="J213" s="39">
        <f t="shared" ref="J213:J217" si="193">I213-H213</f>
        <v>0</v>
      </c>
      <c r="K213" s="39"/>
      <c r="L213" s="136" t="e">
        <f t="shared" ref="L213:L217" si="194">(K213/J213)*100</f>
        <v>#DIV/0!</v>
      </c>
      <c r="M213" s="68">
        <v>17250</v>
      </c>
      <c r="N213" s="121">
        <f t="shared" ref="N213:N217" si="195">F213*M213</f>
        <v>4001482.5</v>
      </c>
      <c r="P213" s="228" t="s">
        <v>19</v>
      </c>
      <c r="Q213" s="223">
        <f>SUM(Q200:Q211)</f>
        <v>171020975.89999998</v>
      </c>
    </row>
    <row r="214" spans="1:17" ht="16">
      <c r="A214" s="138">
        <v>46040</v>
      </c>
      <c r="B214" s="164" t="s">
        <v>48</v>
      </c>
      <c r="C214" s="83"/>
      <c r="D214" s="12"/>
      <c r="E214" s="11">
        <f t="shared" si="191"/>
        <v>0</v>
      </c>
      <c r="F214" s="141">
        <v>220.49</v>
      </c>
      <c r="G214" s="13" t="e">
        <f t="shared" si="192"/>
        <v>#DIV/0!</v>
      </c>
      <c r="H214" s="83"/>
      <c r="I214" s="125"/>
      <c r="J214" s="83">
        <f t="shared" si="193"/>
        <v>0</v>
      </c>
      <c r="K214" s="35"/>
      <c r="L214" s="136" t="e">
        <f t="shared" si="194"/>
        <v>#DIV/0!</v>
      </c>
      <c r="M214" s="116">
        <v>17280</v>
      </c>
      <c r="N214" s="121">
        <f t="shared" si="195"/>
        <v>3810067.2</v>
      </c>
    </row>
    <row r="215" spans="1:17" ht="16">
      <c r="A215" s="138">
        <v>46052</v>
      </c>
      <c r="B215" s="164" t="s">
        <v>48</v>
      </c>
      <c r="C215" s="83"/>
      <c r="D215" s="83"/>
      <c r="E215" s="11">
        <f t="shared" si="191"/>
        <v>0</v>
      </c>
      <c r="F215" s="141">
        <v>220.14</v>
      </c>
      <c r="G215" s="13" t="e">
        <f t="shared" si="192"/>
        <v>#DIV/0!</v>
      </c>
      <c r="H215" s="83"/>
      <c r="I215" s="125"/>
      <c r="J215" s="83">
        <f t="shared" si="193"/>
        <v>0</v>
      </c>
      <c r="K215" s="35"/>
      <c r="L215" s="136" t="e">
        <f t="shared" si="194"/>
        <v>#DIV/0!</v>
      </c>
      <c r="M215" s="116">
        <v>18170</v>
      </c>
      <c r="N215" s="121">
        <f t="shared" si="195"/>
        <v>3999943.8</v>
      </c>
    </row>
    <row r="216" spans="1:17" ht="16">
      <c r="A216" s="138"/>
      <c r="B216" s="164" t="s">
        <v>48</v>
      </c>
      <c r="C216" s="83"/>
      <c r="D216" s="83"/>
      <c r="E216" s="11">
        <f t="shared" si="191"/>
        <v>0</v>
      </c>
      <c r="F216" s="141"/>
      <c r="G216" s="13" t="e">
        <f t="shared" si="192"/>
        <v>#DIV/0!</v>
      </c>
      <c r="H216" s="83"/>
      <c r="I216" s="125"/>
      <c r="J216" s="83">
        <f t="shared" si="193"/>
        <v>0</v>
      </c>
      <c r="K216" s="35"/>
      <c r="L216" s="136" t="e">
        <f t="shared" si="194"/>
        <v>#DIV/0!</v>
      </c>
      <c r="M216" s="116"/>
      <c r="N216" s="121">
        <f t="shared" si="195"/>
        <v>0</v>
      </c>
    </row>
    <row r="217" spans="1:17" ht="16">
      <c r="A217" s="138"/>
      <c r="B217" s="164" t="s">
        <v>48</v>
      </c>
      <c r="C217" s="83"/>
      <c r="D217" s="83"/>
      <c r="E217" s="11">
        <f t="shared" si="191"/>
        <v>0</v>
      </c>
      <c r="F217" s="141"/>
      <c r="G217" s="13" t="e">
        <f t="shared" si="192"/>
        <v>#DIV/0!</v>
      </c>
      <c r="H217" s="83"/>
      <c r="I217" s="125"/>
      <c r="J217" s="83">
        <f t="shared" si="193"/>
        <v>0</v>
      </c>
      <c r="K217" s="35"/>
      <c r="L217" s="136" t="e">
        <f t="shared" si="194"/>
        <v>#DIV/0!</v>
      </c>
      <c r="M217" s="116"/>
      <c r="N217" s="121">
        <f t="shared" si="195"/>
        <v>0</v>
      </c>
    </row>
    <row r="218" spans="1:17" ht="16">
      <c r="A218" s="138"/>
      <c r="B218" s="60"/>
      <c r="C218" s="59"/>
      <c r="D218" s="59" t="s">
        <v>19</v>
      </c>
      <c r="E218" s="59">
        <f t="shared" ref="E218:F218" si="196">SUM(E213:E217)</f>
        <v>0</v>
      </c>
      <c r="F218" s="59">
        <f t="shared" si="196"/>
        <v>672.6</v>
      </c>
      <c r="G218" s="61" t="e">
        <f>AVERAGE(G213:G217)</f>
        <v>#DIV/0!</v>
      </c>
      <c r="H218" s="59"/>
      <c r="I218" s="62"/>
      <c r="J218" s="59">
        <f t="shared" ref="J218:K218" si="197">SUM(J213:J217)</f>
        <v>0</v>
      </c>
      <c r="K218" s="59">
        <f t="shared" si="197"/>
        <v>0</v>
      </c>
      <c r="L218" s="61" t="e">
        <f>AVERAGE(L213:L217)</f>
        <v>#DIV/0!</v>
      </c>
      <c r="M218" s="64"/>
      <c r="N218" s="65">
        <f>SUM(N213:N217)</f>
        <v>11811493.5</v>
      </c>
    </row>
    <row r="219" spans="1:17" ht="16">
      <c r="A219" s="138">
        <v>46028</v>
      </c>
      <c r="B219" s="164" t="s">
        <v>49</v>
      </c>
      <c r="C219" s="83"/>
      <c r="D219" s="12"/>
      <c r="E219" s="36">
        <f t="shared" ref="E219:E223" si="198">D219-C219</f>
        <v>0</v>
      </c>
      <c r="F219" s="37">
        <v>231.88</v>
      </c>
      <c r="G219" s="13" t="e">
        <f t="shared" ref="G219:G223" si="199">(F219/E219)*100</f>
        <v>#DIV/0!</v>
      </c>
      <c r="H219" s="83"/>
      <c r="I219" s="126"/>
      <c r="J219" s="39">
        <f t="shared" ref="J219:J223" si="200">I219-H219</f>
        <v>0</v>
      </c>
      <c r="K219" s="39">
        <f t="shared" ref="K219:K223" si="201">F219</f>
        <v>231.88</v>
      </c>
      <c r="L219" s="46" t="e">
        <f t="shared" ref="L219:L223" si="202">(K219/J219)*100</f>
        <v>#DIV/0!</v>
      </c>
      <c r="M219" s="68">
        <v>17250</v>
      </c>
      <c r="N219" s="121">
        <f t="shared" ref="N219:N222" si="203">M219*K219</f>
        <v>3999930</v>
      </c>
    </row>
    <row r="220" spans="1:17" ht="16">
      <c r="A220" s="138">
        <v>46044</v>
      </c>
      <c r="B220" s="164" t="s">
        <v>49</v>
      </c>
      <c r="C220" s="12"/>
      <c r="D220" s="83"/>
      <c r="E220" s="11">
        <f t="shared" si="198"/>
        <v>0</v>
      </c>
      <c r="F220" s="141">
        <v>226.27</v>
      </c>
      <c r="G220" s="13" t="e">
        <f t="shared" si="199"/>
        <v>#DIV/0!</v>
      </c>
      <c r="H220" s="83"/>
      <c r="I220" s="125"/>
      <c r="J220" s="83">
        <f t="shared" si="200"/>
        <v>0</v>
      </c>
      <c r="K220" s="83">
        <f t="shared" si="201"/>
        <v>226.27</v>
      </c>
      <c r="L220" s="136" t="e">
        <f t="shared" si="202"/>
        <v>#DIV/0!</v>
      </c>
      <c r="M220" s="116">
        <v>17280</v>
      </c>
      <c r="N220" s="121">
        <f t="shared" si="203"/>
        <v>3909945.6</v>
      </c>
    </row>
    <row r="221" spans="1:17" ht="16">
      <c r="A221" s="138"/>
      <c r="B221" s="164" t="s">
        <v>49</v>
      </c>
      <c r="C221" s="83"/>
      <c r="D221" s="83"/>
      <c r="E221" s="11">
        <f t="shared" si="198"/>
        <v>0</v>
      </c>
      <c r="F221" s="141"/>
      <c r="G221" s="13" t="e">
        <f t="shared" si="199"/>
        <v>#DIV/0!</v>
      </c>
      <c r="H221" s="83"/>
      <c r="I221" s="125"/>
      <c r="J221" s="83">
        <f t="shared" si="200"/>
        <v>0</v>
      </c>
      <c r="K221" s="83">
        <f t="shared" si="201"/>
        <v>0</v>
      </c>
      <c r="L221" s="136" t="e">
        <f t="shared" si="202"/>
        <v>#DIV/0!</v>
      </c>
      <c r="M221" s="116"/>
      <c r="N221" s="121">
        <f t="shared" si="203"/>
        <v>0</v>
      </c>
    </row>
    <row r="222" spans="1:17" ht="16">
      <c r="A222" s="138"/>
      <c r="B222" s="164" t="s">
        <v>49</v>
      </c>
      <c r="C222" s="83"/>
      <c r="D222" s="83"/>
      <c r="E222" s="11">
        <f t="shared" si="198"/>
        <v>0</v>
      </c>
      <c r="F222" s="141"/>
      <c r="G222" s="13" t="e">
        <f t="shared" si="199"/>
        <v>#DIV/0!</v>
      </c>
      <c r="H222" s="83"/>
      <c r="I222" s="125"/>
      <c r="J222" s="83">
        <f t="shared" si="200"/>
        <v>0</v>
      </c>
      <c r="K222" s="83">
        <f t="shared" si="201"/>
        <v>0</v>
      </c>
      <c r="L222" s="136" t="e">
        <f t="shared" si="202"/>
        <v>#DIV/0!</v>
      </c>
      <c r="M222" s="116"/>
      <c r="N222" s="121">
        <f t="shared" si="203"/>
        <v>0</v>
      </c>
    </row>
    <row r="223" spans="1:17" ht="16">
      <c r="A223" s="138"/>
      <c r="B223" s="164" t="s">
        <v>49</v>
      </c>
      <c r="C223" s="83"/>
      <c r="D223" s="83"/>
      <c r="E223" s="11">
        <f t="shared" si="198"/>
        <v>0</v>
      </c>
      <c r="F223" s="141"/>
      <c r="G223" s="13" t="e">
        <f t="shared" si="199"/>
        <v>#DIV/0!</v>
      </c>
      <c r="H223" s="83"/>
      <c r="I223" s="125"/>
      <c r="J223" s="83">
        <f t="shared" si="200"/>
        <v>0</v>
      </c>
      <c r="K223" s="83">
        <f t="shared" si="201"/>
        <v>0</v>
      </c>
      <c r="L223" s="136" t="e">
        <f t="shared" si="202"/>
        <v>#DIV/0!</v>
      </c>
      <c r="M223" s="116"/>
      <c r="N223" s="121">
        <f>F223*M223</f>
        <v>0</v>
      </c>
    </row>
    <row r="224" spans="1:17" ht="16">
      <c r="A224" s="138"/>
      <c r="B224" s="60"/>
      <c r="C224" s="59"/>
      <c r="D224" s="59" t="s">
        <v>19</v>
      </c>
      <c r="E224" s="59">
        <f t="shared" ref="E224:F224" si="204">SUM(E219:E223)</f>
        <v>0</v>
      </c>
      <c r="F224" s="59">
        <f t="shared" si="204"/>
        <v>458.15</v>
      </c>
      <c r="G224" s="61" t="e">
        <f>AVERAGE(G219:G223)</f>
        <v>#DIV/0!</v>
      </c>
      <c r="H224" s="59"/>
      <c r="I224" s="62"/>
      <c r="J224" s="59">
        <f t="shared" ref="J224:K224" si="205">SUM(J219:J223)</f>
        <v>0</v>
      </c>
      <c r="K224" s="59">
        <f t="shared" si="205"/>
        <v>458.15</v>
      </c>
      <c r="L224" s="61" t="e">
        <f>AVERAGE(L219:L223)</f>
        <v>#DIV/0!</v>
      </c>
      <c r="M224" s="64"/>
      <c r="N224" s="65">
        <f>SUM(N219:N223)</f>
        <v>7909875.5999999996</v>
      </c>
    </row>
    <row r="225" spans="1:14" ht="16">
      <c r="A225" s="138">
        <v>46032</v>
      </c>
      <c r="B225" s="164" t="s">
        <v>50</v>
      </c>
      <c r="C225" s="83"/>
      <c r="D225" s="12"/>
      <c r="E225" s="36"/>
      <c r="F225" s="37">
        <v>228.61</v>
      </c>
      <c r="G225" s="13" t="e">
        <f t="shared" ref="G225:G229" si="206">(F225/E225)*100</f>
        <v>#DIV/0!</v>
      </c>
      <c r="H225" s="83"/>
      <c r="I225" s="126"/>
      <c r="J225" s="83">
        <f t="shared" ref="J225:J229" si="207">I225-H225</f>
        <v>0</v>
      </c>
      <c r="K225" s="83">
        <f t="shared" ref="K225:K229" si="208">F225</f>
        <v>228.61</v>
      </c>
      <c r="L225" s="136" t="e">
        <f t="shared" ref="L225:L229" si="209">(K225/J225)*100</f>
        <v>#DIV/0!</v>
      </c>
      <c r="M225" s="68">
        <v>17060</v>
      </c>
      <c r="N225" s="47">
        <f>F225*M225</f>
        <v>3900086.6</v>
      </c>
    </row>
    <row r="226" spans="1:14" ht="16">
      <c r="A226" s="138">
        <v>46049</v>
      </c>
      <c r="B226" s="164" t="s">
        <v>50</v>
      </c>
      <c r="C226" s="83"/>
      <c r="D226" s="83"/>
      <c r="E226" s="11">
        <f t="shared" ref="E226:E229" si="210">D226-C226</f>
        <v>0</v>
      </c>
      <c r="F226" s="141">
        <v>214.7</v>
      </c>
      <c r="G226" s="13" t="e">
        <f t="shared" si="206"/>
        <v>#DIV/0!</v>
      </c>
      <c r="H226" s="83"/>
      <c r="I226" s="125"/>
      <c r="J226" s="83">
        <f t="shared" si="207"/>
        <v>0</v>
      </c>
      <c r="K226" s="83">
        <f t="shared" si="208"/>
        <v>214.7</v>
      </c>
      <c r="L226" s="136" t="e">
        <f t="shared" si="209"/>
        <v>#DIV/0!</v>
      </c>
      <c r="M226" s="116">
        <v>17700</v>
      </c>
      <c r="N226" s="47">
        <f>M226*K226</f>
        <v>3800190</v>
      </c>
    </row>
    <row r="227" spans="1:14" ht="16">
      <c r="A227" s="138"/>
      <c r="B227" s="164" t="s">
        <v>50</v>
      </c>
      <c r="C227" s="83"/>
      <c r="D227" s="83"/>
      <c r="E227" s="11">
        <f t="shared" si="210"/>
        <v>0</v>
      </c>
      <c r="F227" s="141"/>
      <c r="G227" s="13" t="e">
        <f t="shared" si="206"/>
        <v>#DIV/0!</v>
      </c>
      <c r="H227" s="83"/>
      <c r="I227" s="125"/>
      <c r="J227" s="83">
        <f t="shared" si="207"/>
        <v>0</v>
      </c>
      <c r="K227" s="83">
        <f t="shared" si="208"/>
        <v>0</v>
      </c>
      <c r="L227" s="136" t="e">
        <f t="shared" si="209"/>
        <v>#DIV/0!</v>
      </c>
      <c r="M227" s="116"/>
      <c r="N227" s="47">
        <f t="shared" ref="N227:N229" si="211">F227*M227</f>
        <v>0</v>
      </c>
    </row>
    <row r="228" spans="1:14" ht="16">
      <c r="A228" s="138"/>
      <c r="B228" s="164" t="s">
        <v>50</v>
      </c>
      <c r="C228" s="83"/>
      <c r="D228" s="83"/>
      <c r="E228" s="11">
        <f t="shared" si="210"/>
        <v>0</v>
      </c>
      <c r="F228" s="141"/>
      <c r="G228" s="13" t="e">
        <f t="shared" si="206"/>
        <v>#DIV/0!</v>
      </c>
      <c r="H228" s="83"/>
      <c r="I228" s="125"/>
      <c r="J228" s="83">
        <f t="shared" si="207"/>
        <v>0</v>
      </c>
      <c r="K228" s="83">
        <f t="shared" si="208"/>
        <v>0</v>
      </c>
      <c r="L228" s="136" t="e">
        <f t="shared" si="209"/>
        <v>#DIV/0!</v>
      </c>
      <c r="M228" s="116"/>
      <c r="N228" s="47">
        <f t="shared" si="211"/>
        <v>0</v>
      </c>
    </row>
    <row r="229" spans="1:14" ht="16">
      <c r="A229" s="138"/>
      <c r="B229" s="164" t="s">
        <v>50</v>
      </c>
      <c r="C229" s="83"/>
      <c r="D229" s="83"/>
      <c r="E229" s="11">
        <f t="shared" si="210"/>
        <v>0</v>
      </c>
      <c r="F229" s="141"/>
      <c r="G229" s="13" t="e">
        <f t="shared" si="206"/>
        <v>#DIV/0!</v>
      </c>
      <c r="H229" s="83"/>
      <c r="I229" s="125"/>
      <c r="J229" s="83">
        <f t="shared" si="207"/>
        <v>0</v>
      </c>
      <c r="K229" s="83">
        <f t="shared" si="208"/>
        <v>0</v>
      </c>
      <c r="L229" s="136" t="e">
        <f t="shared" si="209"/>
        <v>#DIV/0!</v>
      </c>
      <c r="M229" s="116"/>
      <c r="N229" s="47">
        <f t="shared" si="211"/>
        <v>0</v>
      </c>
    </row>
    <row r="230" spans="1:14" ht="16">
      <c r="A230" s="138"/>
      <c r="B230" s="60"/>
      <c r="C230" s="59"/>
      <c r="D230" s="59" t="s">
        <v>19</v>
      </c>
      <c r="E230" s="59">
        <f t="shared" ref="E230:F230" si="212">SUM(E225:E229)</f>
        <v>0</v>
      </c>
      <c r="F230" s="59">
        <f t="shared" si="212"/>
        <v>443.31</v>
      </c>
      <c r="G230" s="61" t="e">
        <f>AVERAGE(G225:G229)</f>
        <v>#DIV/0!</v>
      </c>
      <c r="H230" s="59"/>
      <c r="I230" s="62"/>
      <c r="J230" s="59">
        <f t="shared" ref="J230:K230" si="213">SUM(J225:J229)</f>
        <v>0</v>
      </c>
      <c r="K230" s="59">
        <f t="shared" si="213"/>
        <v>443.31</v>
      </c>
      <c r="L230" s="61" t="e">
        <f>AVERAGE(L225:L229)</f>
        <v>#DIV/0!</v>
      </c>
      <c r="M230" s="64"/>
      <c r="N230" s="65">
        <f>SUM(N225:N229)</f>
        <v>7700276.5999999996</v>
      </c>
    </row>
    <row r="231" spans="1:14" ht="16">
      <c r="A231" s="138">
        <v>46031</v>
      </c>
      <c r="B231" s="164" t="s">
        <v>51</v>
      </c>
      <c r="C231" s="83">
        <v>302821</v>
      </c>
      <c r="D231" s="12">
        <v>303216</v>
      </c>
      <c r="E231" s="11">
        <f t="shared" ref="E231:E235" si="214">D231-C231</f>
        <v>395</v>
      </c>
      <c r="F231" s="37">
        <v>158.29</v>
      </c>
      <c r="G231" s="13">
        <f t="shared" ref="G231:G235" si="215">(F231/E231)*100</f>
        <v>40.073417721518986</v>
      </c>
      <c r="H231" s="83"/>
      <c r="I231" s="126"/>
      <c r="J231" s="39">
        <f t="shared" ref="J231:J232" si="216">I231-H231</f>
        <v>0</v>
      </c>
      <c r="K231" s="39">
        <f t="shared" ref="K231:K235" si="217">F231</f>
        <v>158.29</v>
      </c>
      <c r="L231" s="136" t="e">
        <f t="shared" ref="L231:L235" si="218">(K231/J231)*100</f>
        <v>#DIV/0!</v>
      </c>
      <c r="M231" s="68">
        <v>17060</v>
      </c>
      <c r="N231" s="47">
        <f t="shared" ref="N231:N234" si="219">F231*M231</f>
        <v>2700427.4</v>
      </c>
    </row>
    <row r="232" spans="1:14" ht="16">
      <c r="A232" s="138">
        <v>46043</v>
      </c>
      <c r="B232" s="164" t="s">
        <v>51</v>
      </c>
      <c r="C232" s="12">
        <v>303216</v>
      </c>
      <c r="D232" s="83">
        <v>303646</v>
      </c>
      <c r="E232" s="11">
        <f t="shared" si="214"/>
        <v>430</v>
      </c>
      <c r="F232" s="141">
        <v>167.82</v>
      </c>
      <c r="G232" s="13">
        <f t="shared" si="215"/>
        <v>39.027906976744184</v>
      </c>
      <c r="H232" s="83"/>
      <c r="I232" s="125"/>
      <c r="J232" s="83">
        <f t="shared" si="216"/>
        <v>0</v>
      </c>
      <c r="K232" s="83">
        <f t="shared" si="217"/>
        <v>167.82</v>
      </c>
      <c r="L232" s="136" t="e">
        <f t="shared" si="218"/>
        <v>#DIV/0!</v>
      </c>
      <c r="M232" s="116">
        <v>17280</v>
      </c>
      <c r="N232" s="47">
        <f t="shared" si="219"/>
        <v>2899929.6</v>
      </c>
    </row>
    <row r="233" spans="1:14" ht="16">
      <c r="A233" s="138">
        <v>46051</v>
      </c>
      <c r="B233" s="164" t="s">
        <v>51</v>
      </c>
      <c r="C233" s="83">
        <v>303646</v>
      </c>
      <c r="D233" s="83">
        <v>304048</v>
      </c>
      <c r="E233" s="11">
        <f t="shared" si="214"/>
        <v>402</v>
      </c>
      <c r="F233" s="141">
        <v>163.84</v>
      </c>
      <c r="G233" s="13">
        <f t="shared" si="215"/>
        <v>40.756218905472636</v>
      </c>
      <c r="H233" s="83"/>
      <c r="I233" s="125">
        <v>18259</v>
      </c>
      <c r="J233" s="83"/>
      <c r="K233" s="83">
        <f t="shared" si="217"/>
        <v>163.84</v>
      </c>
      <c r="L233" s="136" t="e">
        <f t="shared" si="218"/>
        <v>#DIV/0!</v>
      </c>
      <c r="M233" s="116">
        <v>17700</v>
      </c>
      <c r="N233" s="47">
        <f t="shared" si="219"/>
        <v>2899968</v>
      </c>
    </row>
    <row r="234" spans="1:14" ht="16">
      <c r="A234" s="138"/>
      <c r="B234" s="164" t="s">
        <v>51</v>
      </c>
      <c r="C234" s="83"/>
      <c r="D234" s="83"/>
      <c r="E234" s="11">
        <f t="shared" si="214"/>
        <v>0</v>
      </c>
      <c r="F234" s="141"/>
      <c r="G234" s="13" t="e">
        <f t="shared" si="215"/>
        <v>#DIV/0!</v>
      </c>
      <c r="H234" s="83"/>
      <c r="I234" s="125"/>
      <c r="J234" s="83">
        <f t="shared" ref="J234:J235" si="220">I234-H234</f>
        <v>0</v>
      </c>
      <c r="K234" s="83">
        <f t="shared" si="217"/>
        <v>0</v>
      </c>
      <c r="L234" s="136" t="e">
        <f t="shared" si="218"/>
        <v>#DIV/0!</v>
      </c>
      <c r="M234" s="116"/>
      <c r="N234" s="47">
        <f t="shared" si="219"/>
        <v>0</v>
      </c>
    </row>
    <row r="235" spans="1:14" ht="16">
      <c r="A235" s="138"/>
      <c r="B235" s="164" t="s">
        <v>51</v>
      </c>
      <c r="C235" s="83"/>
      <c r="D235" s="83"/>
      <c r="E235" s="11">
        <f t="shared" si="214"/>
        <v>0</v>
      </c>
      <c r="F235" s="141"/>
      <c r="G235" s="13" t="e">
        <f t="shared" si="215"/>
        <v>#DIV/0!</v>
      </c>
      <c r="H235" s="83"/>
      <c r="I235" s="125"/>
      <c r="J235" s="83">
        <f t="shared" si="220"/>
        <v>0</v>
      </c>
      <c r="K235" s="83">
        <f t="shared" si="217"/>
        <v>0</v>
      </c>
      <c r="L235" s="136" t="e">
        <f t="shared" si="218"/>
        <v>#DIV/0!</v>
      </c>
      <c r="M235" s="116"/>
      <c r="N235" s="47">
        <f>M235*K235</f>
        <v>0</v>
      </c>
    </row>
    <row r="236" spans="1:14" ht="16">
      <c r="A236" s="138"/>
      <c r="B236" s="60"/>
      <c r="C236" s="59"/>
      <c r="D236" s="59" t="s">
        <v>19</v>
      </c>
      <c r="E236" s="59">
        <f t="shared" ref="E236:F236" si="221">SUM(E231:E235)</f>
        <v>1227</v>
      </c>
      <c r="F236" s="59">
        <f t="shared" si="221"/>
        <v>489.95000000000005</v>
      </c>
      <c r="G236" s="61" t="e">
        <f>AVERAGE(G231:G235)</f>
        <v>#DIV/0!</v>
      </c>
      <c r="H236" s="59"/>
      <c r="I236" s="62"/>
      <c r="J236" s="59">
        <f t="shared" ref="J236:K236" si="222">SUM(J231:J235)</f>
        <v>0</v>
      </c>
      <c r="K236" s="59">
        <f t="shared" si="222"/>
        <v>489.95000000000005</v>
      </c>
      <c r="L236" s="61" t="e">
        <f>AVERAGE(L231:L235)</f>
        <v>#DIV/0!</v>
      </c>
      <c r="M236" s="64"/>
      <c r="N236" s="65">
        <f>SUM(N231:N235)</f>
        <v>8500325</v>
      </c>
    </row>
    <row r="237" spans="1:14" ht="16">
      <c r="A237" s="138">
        <v>46024</v>
      </c>
      <c r="B237" s="172" t="s">
        <v>62</v>
      </c>
      <c r="C237" s="83"/>
      <c r="D237" s="12"/>
      <c r="E237" s="36">
        <f t="shared" ref="E237:E241" si="223">D237-C237</f>
        <v>0</v>
      </c>
      <c r="F237" s="37"/>
      <c r="G237" s="13" t="e">
        <f t="shared" ref="G237:G241" si="224">(F237/E237)*100</f>
        <v>#DIV/0!</v>
      </c>
      <c r="H237" s="83"/>
      <c r="I237" s="126"/>
      <c r="J237" s="39">
        <f t="shared" ref="J237:J241" si="225">I237-H237</f>
        <v>0</v>
      </c>
      <c r="K237" s="39">
        <f t="shared" ref="K237:K241" si="226">F237</f>
        <v>0</v>
      </c>
      <c r="L237" s="136" t="e">
        <f t="shared" ref="L237:L241" si="227">(K237/J237)*100</f>
        <v>#DIV/0!</v>
      </c>
      <c r="M237" s="68"/>
      <c r="N237" s="121">
        <v>9000000</v>
      </c>
    </row>
    <row r="238" spans="1:14" ht="16">
      <c r="A238" s="138">
        <v>46036</v>
      </c>
      <c r="B238" s="172" t="s">
        <v>62</v>
      </c>
      <c r="C238" s="83"/>
      <c r="D238" s="83"/>
      <c r="E238" s="11">
        <f t="shared" si="223"/>
        <v>0</v>
      </c>
      <c r="F238" s="141"/>
      <c r="G238" s="13" t="e">
        <f t="shared" si="224"/>
        <v>#DIV/0!</v>
      </c>
      <c r="H238" s="83"/>
      <c r="I238" s="125"/>
      <c r="J238" s="83">
        <f t="shared" si="225"/>
        <v>0</v>
      </c>
      <c r="K238" s="83">
        <f t="shared" si="226"/>
        <v>0</v>
      </c>
      <c r="L238" s="136" t="e">
        <f t="shared" si="227"/>
        <v>#DIV/0!</v>
      </c>
      <c r="M238" s="116"/>
      <c r="N238" s="121">
        <v>7300000</v>
      </c>
    </row>
    <row r="239" spans="1:14" ht="16">
      <c r="A239" s="138">
        <v>46051</v>
      </c>
      <c r="B239" s="172" t="s">
        <v>62</v>
      </c>
      <c r="C239" s="83"/>
      <c r="D239" s="83"/>
      <c r="E239" s="11">
        <f t="shared" si="223"/>
        <v>0</v>
      </c>
      <c r="F239" s="141"/>
      <c r="G239" s="13" t="e">
        <f t="shared" si="224"/>
        <v>#DIV/0!</v>
      </c>
      <c r="H239" s="83"/>
      <c r="I239" s="125"/>
      <c r="J239" s="83">
        <f t="shared" si="225"/>
        <v>0</v>
      </c>
      <c r="K239" s="83">
        <f t="shared" si="226"/>
        <v>0</v>
      </c>
      <c r="L239" s="136" t="e">
        <f t="shared" si="227"/>
        <v>#DIV/0!</v>
      </c>
      <c r="M239" s="116"/>
      <c r="N239" s="121">
        <v>3000000</v>
      </c>
    </row>
    <row r="240" spans="1:14" ht="16">
      <c r="A240" s="138"/>
      <c r="B240" s="172" t="s">
        <v>62</v>
      </c>
      <c r="C240" s="83"/>
      <c r="D240" s="83"/>
      <c r="E240" s="11">
        <f t="shared" si="223"/>
        <v>0</v>
      </c>
      <c r="F240" s="141"/>
      <c r="G240" s="13" t="e">
        <f t="shared" si="224"/>
        <v>#DIV/0!</v>
      </c>
      <c r="H240" s="83"/>
      <c r="I240" s="125"/>
      <c r="J240" s="83">
        <f t="shared" si="225"/>
        <v>0</v>
      </c>
      <c r="K240" s="83">
        <f t="shared" si="226"/>
        <v>0</v>
      </c>
      <c r="L240" s="136" t="e">
        <f t="shared" si="227"/>
        <v>#DIV/0!</v>
      </c>
      <c r="M240" s="116"/>
      <c r="N240" s="121">
        <f t="shared" ref="N240:N241" si="228">F240*M240</f>
        <v>0</v>
      </c>
    </row>
    <row r="241" spans="1:14" ht="16">
      <c r="A241" s="138"/>
      <c r="B241" s="172" t="s">
        <v>62</v>
      </c>
      <c r="C241" s="83"/>
      <c r="D241" s="83"/>
      <c r="E241" s="11">
        <f t="shared" si="223"/>
        <v>0</v>
      </c>
      <c r="F241" s="141"/>
      <c r="G241" s="13" t="e">
        <f t="shared" si="224"/>
        <v>#DIV/0!</v>
      </c>
      <c r="H241" s="83"/>
      <c r="I241" s="125"/>
      <c r="J241" s="83">
        <f t="shared" si="225"/>
        <v>0</v>
      </c>
      <c r="K241" s="83">
        <f t="shared" si="226"/>
        <v>0</v>
      </c>
      <c r="L241" s="136" t="e">
        <f t="shared" si="227"/>
        <v>#DIV/0!</v>
      </c>
      <c r="M241" s="116"/>
      <c r="N241" s="121">
        <f t="shared" si="228"/>
        <v>0</v>
      </c>
    </row>
    <row r="242" spans="1:14" ht="16">
      <c r="A242" s="59"/>
      <c r="B242" s="60"/>
      <c r="C242" s="59"/>
      <c r="D242" s="59"/>
      <c r="E242" s="59">
        <f t="shared" ref="E242:F242" si="229">SUM(E237:E241)</f>
        <v>0</v>
      </c>
      <c r="F242" s="59">
        <f t="shared" si="229"/>
        <v>0</v>
      </c>
      <c r="G242" s="61" t="e">
        <f>AVERAGE(G237:G241)</f>
        <v>#DIV/0!</v>
      </c>
      <c r="H242" s="59"/>
      <c r="I242" s="62"/>
      <c r="J242" s="59">
        <f t="shared" ref="J242:K242" si="230">SUM(J237:J241)</f>
        <v>0</v>
      </c>
      <c r="K242" s="59">
        <f t="shared" si="230"/>
        <v>0</v>
      </c>
      <c r="L242" s="61" t="e">
        <f>AVERAGE(L237:L241)</f>
        <v>#DIV/0!</v>
      </c>
      <c r="M242" s="64"/>
      <c r="N242" s="65">
        <f>SUM(N237:N241)</f>
        <v>19300000</v>
      </c>
    </row>
    <row r="243" spans="1:14" ht="16">
      <c r="A243" s="66">
        <v>46027</v>
      </c>
      <c r="B243" s="140" t="s">
        <v>54</v>
      </c>
      <c r="C243" s="83"/>
      <c r="D243" s="12"/>
      <c r="E243" s="36">
        <f t="shared" ref="E243:E248" si="231">D243-C243</f>
        <v>0</v>
      </c>
      <c r="F243" s="37"/>
      <c r="G243" s="13" t="e">
        <f t="shared" ref="G243:G248" si="232">(F243/E243)*100</f>
        <v>#DIV/0!</v>
      </c>
      <c r="H243" s="83"/>
      <c r="I243" s="126"/>
      <c r="J243" s="39">
        <f t="shared" ref="J243:J250" si="233">I243-H243</f>
        <v>0</v>
      </c>
      <c r="K243" s="39"/>
      <c r="L243" s="136" t="e">
        <f t="shared" ref="L243:L250" si="234">(K243/J243)*100</f>
        <v>#DIV/0!</v>
      </c>
      <c r="M243" s="68"/>
      <c r="N243" s="47">
        <v>2000000</v>
      </c>
    </row>
    <row r="244" spans="1:14" ht="16">
      <c r="A244" s="33">
        <v>46028</v>
      </c>
      <c r="B244" s="140" t="s">
        <v>54</v>
      </c>
      <c r="C244" s="83"/>
      <c r="D244" s="83"/>
      <c r="E244" s="11">
        <f t="shared" si="231"/>
        <v>0</v>
      </c>
      <c r="F244" s="141"/>
      <c r="G244" s="13" t="e">
        <f t="shared" si="232"/>
        <v>#DIV/0!</v>
      </c>
      <c r="H244" s="83"/>
      <c r="I244" s="125"/>
      <c r="J244" s="83">
        <f t="shared" si="233"/>
        <v>0</v>
      </c>
      <c r="K244" s="83">
        <f t="shared" ref="K244:K250" si="235">F244</f>
        <v>0</v>
      </c>
      <c r="L244" s="136" t="e">
        <f t="shared" si="234"/>
        <v>#DIV/0!</v>
      </c>
      <c r="M244" s="116"/>
      <c r="N244" s="47">
        <v>3000000</v>
      </c>
    </row>
    <row r="245" spans="1:14" ht="16">
      <c r="A245" s="33">
        <v>46031</v>
      </c>
      <c r="B245" s="140" t="s">
        <v>54</v>
      </c>
      <c r="C245" s="83"/>
      <c r="D245" s="83"/>
      <c r="E245" s="11">
        <f t="shared" si="231"/>
        <v>0</v>
      </c>
      <c r="F245" s="141"/>
      <c r="G245" s="13" t="e">
        <f t="shared" si="232"/>
        <v>#DIV/0!</v>
      </c>
      <c r="H245" s="83"/>
      <c r="I245" s="125"/>
      <c r="J245" s="83">
        <f t="shared" si="233"/>
        <v>0</v>
      </c>
      <c r="K245" s="83">
        <f t="shared" si="235"/>
        <v>0</v>
      </c>
      <c r="L245" s="136" t="e">
        <f t="shared" si="234"/>
        <v>#DIV/0!</v>
      </c>
      <c r="M245" s="116"/>
      <c r="N245" s="47">
        <v>5000000</v>
      </c>
    </row>
    <row r="246" spans="1:14" ht="16">
      <c r="A246" s="33">
        <v>46036</v>
      </c>
      <c r="B246" s="140" t="s">
        <v>54</v>
      </c>
      <c r="C246" s="83"/>
      <c r="D246" s="83"/>
      <c r="E246" s="11">
        <f t="shared" si="231"/>
        <v>0</v>
      </c>
      <c r="F246" s="141"/>
      <c r="G246" s="13" t="e">
        <f t="shared" si="232"/>
        <v>#DIV/0!</v>
      </c>
      <c r="H246" s="83"/>
      <c r="I246" s="125"/>
      <c r="J246" s="83">
        <f t="shared" si="233"/>
        <v>0</v>
      </c>
      <c r="K246" s="83">
        <f t="shared" si="235"/>
        <v>0</v>
      </c>
      <c r="L246" s="136" t="e">
        <f t="shared" si="234"/>
        <v>#DIV/0!</v>
      </c>
      <c r="M246" s="116"/>
      <c r="N246" s="47">
        <v>5000000</v>
      </c>
    </row>
    <row r="247" spans="1:14" ht="16">
      <c r="A247" s="33">
        <v>46044</v>
      </c>
      <c r="B247" s="140" t="s">
        <v>54</v>
      </c>
      <c r="C247" s="83"/>
      <c r="D247" s="83"/>
      <c r="E247" s="11">
        <f t="shared" si="231"/>
        <v>0</v>
      </c>
      <c r="F247" s="141"/>
      <c r="G247" s="13" t="e">
        <f t="shared" si="232"/>
        <v>#DIV/0!</v>
      </c>
      <c r="H247" s="83"/>
      <c r="I247" s="125"/>
      <c r="J247" s="83">
        <f t="shared" si="233"/>
        <v>0</v>
      </c>
      <c r="K247" s="83">
        <f t="shared" si="235"/>
        <v>0</v>
      </c>
      <c r="L247" s="136" t="e">
        <f t="shared" si="234"/>
        <v>#DIV/0!</v>
      </c>
      <c r="M247" s="116"/>
      <c r="N247" s="47">
        <v>5000000</v>
      </c>
    </row>
    <row r="248" spans="1:14" ht="16">
      <c r="A248" s="33">
        <v>46049</v>
      </c>
      <c r="B248" s="140" t="s">
        <v>54</v>
      </c>
      <c r="C248" s="83"/>
      <c r="D248" s="83"/>
      <c r="E248" s="11">
        <f t="shared" si="231"/>
        <v>0</v>
      </c>
      <c r="F248" s="141"/>
      <c r="G248" s="13" t="e">
        <f t="shared" si="232"/>
        <v>#DIV/0!</v>
      </c>
      <c r="H248" s="83"/>
      <c r="I248" s="125"/>
      <c r="J248" s="83">
        <f t="shared" si="233"/>
        <v>0</v>
      </c>
      <c r="K248" s="83">
        <f t="shared" si="235"/>
        <v>0</v>
      </c>
      <c r="L248" s="136" t="e">
        <f t="shared" si="234"/>
        <v>#DIV/0!</v>
      </c>
      <c r="M248" s="116"/>
      <c r="N248" s="47">
        <v>5000000</v>
      </c>
    </row>
    <row r="249" spans="1:14" ht="16">
      <c r="A249" s="33"/>
      <c r="B249" s="140" t="s">
        <v>54</v>
      </c>
      <c r="C249" s="83"/>
      <c r="D249" s="83"/>
      <c r="E249" s="11"/>
      <c r="F249" s="141"/>
      <c r="G249" s="13"/>
      <c r="H249" s="83"/>
      <c r="I249" s="125"/>
      <c r="J249" s="83">
        <f t="shared" si="233"/>
        <v>0</v>
      </c>
      <c r="K249" s="83">
        <f t="shared" si="235"/>
        <v>0</v>
      </c>
      <c r="L249" s="136" t="e">
        <f t="shared" si="234"/>
        <v>#DIV/0!</v>
      </c>
      <c r="M249" s="116"/>
      <c r="N249" s="47">
        <f t="shared" ref="N249:N250" si="236">M249*F249</f>
        <v>0</v>
      </c>
    </row>
    <row r="250" spans="1:14" ht="16">
      <c r="A250" s="33"/>
      <c r="B250" s="140" t="s">
        <v>54</v>
      </c>
      <c r="C250" s="83"/>
      <c r="D250" s="83"/>
      <c r="E250" s="11">
        <f>D250-C250</f>
        <v>0</v>
      </c>
      <c r="F250" s="141"/>
      <c r="G250" s="13" t="e">
        <f>(F250/E250)*100</f>
        <v>#DIV/0!</v>
      </c>
      <c r="H250" s="83"/>
      <c r="I250" s="125"/>
      <c r="J250" s="83">
        <f t="shared" si="233"/>
        <v>0</v>
      </c>
      <c r="K250" s="83">
        <f t="shared" si="235"/>
        <v>0</v>
      </c>
      <c r="L250" s="136" t="e">
        <f t="shared" si="234"/>
        <v>#DIV/0!</v>
      </c>
      <c r="M250" s="116"/>
      <c r="N250" s="47">
        <f t="shared" si="236"/>
        <v>0</v>
      </c>
    </row>
    <row r="251" spans="1:14" ht="16">
      <c r="A251" s="66"/>
      <c r="B251" s="60"/>
      <c r="C251" s="59"/>
      <c r="D251" s="59" t="s">
        <v>19</v>
      </c>
      <c r="E251" s="59">
        <f t="shared" ref="E251:F251" si="237">SUM(E243:E250)</f>
        <v>0</v>
      </c>
      <c r="F251" s="59">
        <f t="shared" si="237"/>
        <v>0</v>
      </c>
      <c r="G251" s="61" t="e">
        <f>AVERAGE(G243:G250)</f>
        <v>#DIV/0!</v>
      </c>
      <c r="H251" s="59"/>
      <c r="I251" s="62"/>
      <c r="J251" s="59">
        <f t="shared" ref="J251:K251" si="238">SUM(J243:J250)</f>
        <v>0</v>
      </c>
      <c r="K251" s="59">
        <f t="shared" si="238"/>
        <v>0</v>
      </c>
      <c r="L251" s="61" t="e">
        <f>AVERAGE(L243:L250)</f>
        <v>#DIV/0!</v>
      </c>
      <c r="M251" s="64"/>
      <c r="N251" s="65">
        <f>SUM(N243:N250)</f>
        <v>25000000</v>
      </c>
    </row>
    <row r="252" spans="1:14" ht="16">
      <c r="A252" s="66">
        <v>46024</v>
      </c>
      <c r="B252" s="140" t="s">
        <v>69</v>
      </c>
      <c r="C252" s="83"/>
      <c r="D252" s="12"/>
      <c r="E252" s="36">
        <f t="shared" ref="E252:E257" si="239">D252-C252</f>
        <v>0</v>
      </c>
      <c r="F252" s="37"/>
      <c r="G252" s="13" t="e">
        <f t="shared" ref="G252:G257" si="240">(F252/E252)*100</f>
        <v>#DIV/0!</v>
      </c>
      <c r="H252" s="83"/>
      <c r="I252" s="126"/>
      <c r="J252" s="39">
        <f t="shared" ref="J252:J257" si="241">I252-H252</f>
        <v>0</v>
      </c>
      <c r="K252" s="39">
        <f t="shared" ref="K252:K257" si="242">F252</f>
        <v>0</v>
      </c>
      <c r="L252" s="67" t="e">
        <f t="shared" ref="L252:L257" si="243">(K252/J252)*100</f>
        <v>#DIV/0!</v>
      </c>
      <c r="M252" s="68"/>
      <c r="N252" s="47">
        <v>5200000</v>
      </c>
    </row>
    <row r="253" spans="1:14" ht="16">
      <c r="A253" s="33">
        <v>46031</v>
      </c>
      <c r="B253" s="140" t="s">
        <v>69</v>
      </c>
      <c r="C253" s="83"/>
      <c r="D253" s="83"/>
      <c r="E253" s="11">
        <f t="shared" si="239"/>
        <v>0</v>
      </c>
      <c r="F253" s="141"/>
      <c r="G253" s="13" t="e">
        <f t="shared" si="240"/>
        <v>#DIV/0!</v>
      </c>
      <c r="H253" s="83"/>
      <c r="I253" s="125"/>
      <c r="J253" s="35">
        <f t="shared" si="241"/>
        <v>0</v>
      </c>
      <c r="K253" s="35">
        <f t="shared" si="242"/>
        <v>0</v>
      </c>
      <c r="L253" s="46" t="e">
        <f t="shared" si="243"/>
        <v>#DIV/0!</v>
      </c>
      <c r="M253" s="116"/>
      <c r="N253" s="47">
        <v>5000000</v>
      </c>
    </row>
    <row r="254" spans="1:14" ht="16">
      <c r="A254" s="33">
        <v>46043</v>
      </c>
      <c r="B254" s="140" t="s">
        <v>69</v>
      </c>
      <c r="C254" s="83"/>
      <c r="D254" s="12"/>
      <c r="E254" s="36">
        <f t="shared" si="239"/>
        <v>0</v>
      </c>
      <c r="F254" s="37"/>
      <c r="G254" s="13" t="e">
        <f t="shared" si="240"/>
        <v>#DIV/0!</v>
      </c>
      <c r="H254" s="83"/>
      <c r="I254" s="126"/>
      <c r="J254" s="39">
        <f t="shared" si="241"/>
        <v>0</v>
      </c>
      <c r="K254" s="39">
        <f t="shared" si="242"/>
        <v>0</v>
      </c>
      <c r="L254" s="67" t="e">
        <f t="shared" si="243"/>
        <v>#DIV/0!</v>
      </c>
      <c r="M254" s="68"/>
      <c r="N254" s="47">
        <v>5084000</v>
      </c>
    </row>
    <row r="255" spans="1:14" ht="16">
      <c r="A255" s="33">
        <v>46049</v>
      </c>
      <c r="B255" s="140" t="s">
        <v>69</v>
      </c>
      <c r="C255" s="83"/>
      <c r="D255" s="83"/>
      <c r="E255" s="11">
        <f t="shared" si="239"/>
        <v>0</v>
      </c>
      <c r="F255" s="141"/>
      <c r="G255" s="13" t="e">
        <f t="shared" si="240"/>
        <v>#DIV/0!</v>
      </c>
      <c r="H255" s="83"/>
      <c r="I255" s="125"/>
      <c r="J255" s="35">
        <f t="shared" si="241"/>
        <v>0</v>
      </c>
      <c r="K255" s="35">
        <f t="shared" si="242"/>
        <v>0</v>
      </c>
      <c r="L255" s="46" t="e">
        <f t="shared" si="243"/>
        <v>#DIV/0!</v>
      </c>
      <c r="M255" s="116"/>
      <c r="N255" s="47">
        <v>4880000</v>
      </c>
    </row>
    <row r="256" spans="1:14" ht="16">
      <c r="A256" s="33">
        <v>46051</v>
      </c>
      <c r="B256" s="140" t="s">
        <v>69</v>
      </c>
      <c r="C256" s="83"/>
      <c r="D256" s="83"/>
      <c r="E256" s="11">
        <f t="shared" si="239"/>
        <v>0</v>
      </c>
      <c r="F256" s="141"/>
      <c r="G256" s="13" t="e">
        <f t="shared" si="240"/>
        <v>#DIV/0!</v>
      </c>
      <c r="H256" s="83"/>
      <c r="I256" s="125"/>
      <c r="J256" s="35">
        <f t="shared" si="241"/>
        <v>0</v>
      </c>
      <c r="K256" s="35">
        <f t="shared" si="242"/>
        <v>0</v>
      </c>
      <c r="L256" s="73" t="e">
        <f t="shared" si="243"/>
        <v>#DIV/0!</v>
      </c>
      <c r="M256" s="116"/>
      <c r="N256" s="47">
        <v>1000000</v>
      </c>
    </row>
    <row r="257" spans="1:14" ht="16">
      <c r="A257" s="33"/>
      <c r="B257" s="140" t="s">
        <v>69</v>
      </c>
      <c r="C257" s="83"/>
      <c r="D257" s="83"/>
      <c r="E257" s="11">
        <f t="shared" si="239"/>
        <v>0</v>
      </c>
      <c r="F257" s="141"/>
      <c r="G257" s="13" t="e">
        <f t="shared" si="240"/>
        <v>#DIV/0!</v>
      </c>
      <c r="H257" s="83"/>
      <c r="I257" s="125"/>
      <c r="J257" s="83">
        <f t="shared" si="241"/>
        <v>0</v>
      </c>
      <c r="K257" s="83">
        <f t="shared" si="242"/>
        <v>0</v>
      </c>
      <c r="L257" s="136" t="e">
        <f t="shared" si="243"/>
        <v>#DIV/0!</v>
      </c>
      <c r="M257" s="116"/>
      <c r="N257" s="47">
        <f>M257*F257</f>
        <v>0</v>
      </c>
    </row>
    <row r="258" spans="1:14" ht="16">
      <c r="A258" s="66"/>
      <c r="B258" s="60"/>
      <c r="C258" s="59"/>
      <c r="D258" s="59" t="s">
        <v>19</v>
      </c>
      <c r="E258" s="59">
        <f t="shared" ref="E258:F258" si="244">SUM(E252:E257)</f>
        <v>0</v>
      </c>
      <c r="F258" s="59">
        <f t="shared" si="244"/>
        <v>0</v>
      </c>
      <c r="G258" s="61" t="e">
        <f>AVERAGE(G252:G257)</f>
        <v>#DIV/0!</v>
      </c>
      <c r="H258" s="59"/>
      <c r="I258" s="62"/>
      <c r="J258" s="59">
        <f t="shared" ref="J258:K258" si="245">SUM(J252:J257)</f>
        <v>0</v>
      </c>
      <c r="K258" s="59">
        <f t="shared" si="245"/>
        <v>0</v>
      </c>
      <c r="L258" s="61" t="e">
        <f>AVERAGE(L252:L257)</f>
        <v>#DIV/0!</v>
      </c>
      <c r="M258" s="64"/>
      <c r="N258" s="65">
        <f>SUM(N252:N257)</f>
        <v>21164000</v>
      </c>
    </row>
    <row r="259" spans="1:14" ht="16">
      <c r="A259" s="66">
        <v>46024</v>
      </c>
      <c r="B259" s="174" t="s">
        <v>63</v>
      </c>
      <c r="C259" s="83">
        <v>146546</v>
      </c>
      <c r="D259" s="12">
        <v>147151</v>
      </c>
      <c r="E259" s="36">
        <f t="shared" ref="E259:E264" si="246">D259-C259</f>
        <v>605</v>
      </c>
      <c r="F259" s="37">
        <v>284.06</v>
      </c>
      <c r="G259" s="13">
        <f t="shared" ref="G259:G264" si="247">(F259/E259)*100</f>
        <v>46.952066115702479</v>
      </c>
      <c r="H259" s="83"/>
      <c r="I259" s="126"/>
      <c r="J259" s="39">
        <f t="shared" ref="J259:J264" si="248">I259-H259</f>
        <v>0</v>
      </c>
      <c r="K259" s="39">
        <f t="shared" ref="K259:K264" si="249">F259</f>
        <v>284.06</v>
      </c>
      <c r="L259" s="136" t="e">
        <f t="shared" ref="L259:L264" si="250">(K259/J259)*100</f>
        <v>#DIV/0!</v>
      </c>
      <c r="M259" s="68">
        <v>17250</v>
      </c>
      <c r="N259" s="47">
        <f t="shared" ref="N259:N264" si="251">M259*F259</f>
        <v>4900035</v>
      </c>
    </row>
    <row r="260" spans="1:14" ht="16">
      <c r="A260" s="33">
        <v>46035</v>
      </c>
      <c r="B260" s="174" t="s">
        <v>63</v>
      </c>
      <c r="C260" s="12">
        <v>147151</v>
      </c>
      <c r="D260" s="12">
        <v>148205</v>
      </c>
      <c r="E260" s="11">
        <f t="shared" si="246"/>
        <v>1054</v>
      </c>
      <c r="F260" s="141">
        <v>287.23</v>
      </c>
      <c r="G260" s="13">
        <f t="shared" si="247"/>
        <v>27.251423149905126</v>
      </c>
      <c r="H260" s="83"/>
      <c r="I260" s="125"/>
      <c r="J260" s="83">
        <f t="shared" si="248"/>
        <v>0</v>
      </c>
      <c r="K260" s="35">
        <f t="shared" si="249"/>
        <v>287.23</v>
      </c>
      <c r="L260" s="136" t="e">
        <f t="shared" si="250"/>
        <v>#DIV/0!</v>
      </c>
      <c r="M260" s="68">
        <v>17060</v>
      </c>
      <c r="N260" s="47">
        <f t="shared" si="251"/>
        <v>4900143.8000000007</v>
      </c>
    </row>
    <row r="261" spans="1:14" ht="16">
      <c r="A261" s="33">
        <v>46044</v>
      </c>
      <c r="B261" s="174" t="s">
        <v>63</v>
      </c>
      <c r="C261" s="12">
        <v>148205</v>
      </c>
      <c r="D261" s="83">
        <v>149101</v>
      </c>
      <c r="E261" s="11">
        <f t="shared" si="246"/>
        <v>896</v>
      </c>
      <c r="F261" s="141">
        <v>277.77</v>
      </c>
      <c r="G261" s="13">
        <f t="shared" si="247"/>
        <v>31.001116071428569</v>
      </c>
      <c r="H261" s="83"/>
      <c r="I261" s="125"/>
      <c r="J261" s="83">
        <f t="shared" si="248"/>
        <v>0</v>
      </c>
      <c r="K261" s="35">
        <f t="shared" si="249"/>
        <v>277.77</v>
      </c>
      <c r="L261" s="136" t="e">
        <f t="shared" si="250"/>
        <v>#DIV/0!</v>
      </c>
      <c r="M261" s="116">
        <v>17280</v>
      </c>
      <c r="N261" s="47">
        <f t="shared" si="251"/>
        <v>4799865.5999999996</v>
      </c>
    </row>
    <row r="262" spans="1:14" ht="16">
      <c r="A262" s="33">
        <v>46051</v>
      </c>
      <c r="B262" s="174" t="s">
        <v>63</v>
      </c>
      <c r="C262" s="83">
        <v>149101</v>
      </c>
      <c r="D262" s="83">
        <v>149814</v>
      </c>
      <c r="E262" s="11">
        <f t="shared" si="246"/>
        <v>713</v>
      </c>
      <c r="F262" s="141">
        <v>220.35</v>
      </c>
      <c r="G262" s="13">
        <f t="shared" si="247"/>
        <v>30.904628330995791</v>
      </c>
      <c r="H262" s="125"/>
      <c r="I262" s="125">
        <v>7302</v>
      </c>
      <c r="J262" s="83">
        <f t="shared" si="248"/>
        <v>7302</v>
      </c>
      <c r="K262" s="35">
        <f t="shared" si="249"/>
        <v>220.35</v>
      </c>
      <c r="L262" s="136">
        <f t="shared" si="250"/>
        <v>3.0176663927691041</v>
      </c>
      <c r="M262" s="116">
        <v>17700</v>
      </c>
      <c r="N262" s="47">
        <f t="shared" si="251"/>
        <v>3900195</v>
      </c>
    </row>
    <row r="263" spans="1:14" ht="16">
      <c r="A263" s="33"/>
      <c r="B263" s="174" t="s">
        <v>63</v>
      </c>
      <c r="C263" s="35"/>
      <c r="D263" s="83"/>
      <c r="E263" s="11">
        <f t="shared" si="246"/>
        <v>0</v>
      </c>
      <c r="F263" s="141"/>
      <c r="G263" s="13" t="e">
        <f t="shared" si="247"/>
        <v>#DIV/0!</v>
      </c>
      <c r="H263" s="83"/>
      <c r="I263" s="125"/>
      <c r="J263" s="83">
        <f t="shared" si="248"/>
        <v>0</v>
      </c>
      <c r="K263" s="35">
        <f t="shared" si="249"/>
        <v>0</v>
      </c>
      <c r="L263" s="136" t="e">
        <f t="shared" si="250"/>
        <v>#DIV/0!</v>
      </c>
      <c r="M263" s="116"/>
      <c r="N263" s="47">
        <f t="shared" si="251"/>
        <v>0</v>
      </c>
    </row>
    <row r="264" spans="1:14" ht="16">
      <c r="A264" s="138"/>
      <c r="B264" s="174" t="s">
        <v>63</v>
      </c>
      <c r="C264" s="83"/>
      <c r="D264" s="83"/>
      <c r="E264" s="11">
        <f t="shared" si="246"/>
        <v>0</v>
      </c>
      <c r="F264" s="141"/>
      <c r="G264" s="13" t="e">
        <f t="shared" si="247"/>
        <v>#DIV/0!</v>
      </c>
      <c r="H264" s="83"/>
      <c r="I264" s="125"/>
      <c r="J264" s="83">
        <f t="shared" si="248"/>
        <v>0</v>
      </c>
      <c r="K264" s="35">
        <f t="shared" si="249"/>
        <v>0</v>
      </c>
      <c r="L264" s="136" t="e">
        <f t="shared" si="250"/>
        <v>#DIV/0!</v>
      </c>
      <c r="M264" s="116"/>
      <c r="N264" s="47">
        <f t="shared" si="251"/>
        <v>0</v>
      </c>
    </row>
    <row r="265" spans="1:14" ht="16">
      <c r="A265" s="59"/>
      <c r="B265" s="60"/>
      <c r="C265" s="59"/>
      <c r="D265" s="59" t="s">
        <v>19</v>
      </c>
      <c r="E265" s="59">
        <f t="shared" ref="E265:F265" si="252">SUM(E259:E264)</f>
        <v>3268</v>
      </c>
      <c r="F265" s="59">
        <f t="shared" si="252"/>
        <v>1069.4099999999999</v>
      </c>
      <c r="G265" s="61" t="e">
        <f>AVERAGE(G259:G264)</f>
        <v>#DIV/0!</v>
      </c>
      <c r="H265" s="59"/>
      <c r="I265" s="62"/>
      <c r="J265" s="59">
        <f t="shared" ref="J265:K265" si="253">SUM(J259:J264)</f>
        <v>7302</v>
      </c>
      <c r="K265" s="59">
        <f t="shared" si="253"/>
        <v>1069.4099999999999</v>
      </c>
      <c r="L265" s="61" t="e">
        <f>AVERAGE(L259:L264)</f>
        <v>#DIV/0!</v>
      </c>
      <c r="M265" s="64"/>
      <c r="N265" s="65">
        <f>SUM(N259:N264)</f>
        <v>18500239.399999999</v>
      </c>
    </row>
    <row r="266" spans="1:14" ht="16">
      <c r="A266" s="66">
        <v>46034</v>
      </c>
      <c r="B266" s="174" t="s">
        <v>57</v>
      </c>
      <c r="C266" s="83"/>
      <c r="D266" s="12">
        <v>2448</v>
      </c>
      <c r="E266" s="36"/>
      <c r="F266" s="37">
        <v>205.16</v>
      </c>
      <c r="G266" s="13" t="e">
        <f t="shared" ref="G266:G271" si="254">(F266/E266)*100</f>
        <v>#DIV/0!</v>
      </c>
      <c r="H266" s="83"/>
      <c r="I266" s="126"/>
      <c r="J266" s="39">
        <f t="shared" ref="J266:J271" si="255">I266-H266</f>
        <v>0</v>
      </c>
      <c r="K266" s="39">
        <f t="shared" ref="K266:K271" si="256">F266</f>
        <v>205.16</v>
      </c>
      <c r="L266" s="136" t="e">
        <f t="shared" ref="L266:L271" si="257">(K266/J266)*100</f>
        <v>#DIV/0!</v>
      </c>
      <c r="M266" s="68">
        <v>17060</v>
      </c>
      <c r="N266" s="47">
        <f t="shared" ref="N266:N271" si="258">M266*F266</f>
        <v>3500029.6</v>
      </c>
    </row>
    <row r="267" spans="1:14" ht="16">
      <c r="A267" s="33">
        <v>46038</v>
      </c>
      <c r="B267" s="174" t="s">
        <v>57</v>
      </c>
      <c r="C267" s="12">
        <v>2448</v>
      </c>
      <c r="D267" s="12">
        <v>3036</v>
      </c>
      <c r="E267" s="11">
        <f t="shared" ref="E267:E271" si="259">D267-C267</f>
        <v>588</v>
      </c>
      <c r="F267" s="141">
        <v>156.27000000000001</v>
      </c>
      <c r="G267" s="13">
        <f t="shared" si="254"/>
        <v>26.576530612244898</v>
      </c>
      <c r="H267" s="83"/>
      <c r="I267" s="125"/>
      <c r="J267" s="83">
        <f t="shared" si="255"/>
        <v>0</v>
      </c>
      <c r="K267" s="35">
        <f t="shared" si="256"/>
        <v>156.27000000000001</v>
      </c>
      <c r="L267" s="136" t="e">
        <f t="shared" si="257"/>
        <v>#DIV/0!</v>
      </c>
      <c r="M267" s="68">
        <v>17280</v>
      </c>
      <c r="N267" s="47">
        <f t="shared" si="258"/>
        <v>2700345.6</v>
      </c>
    </row>
    <row r="268" spans="1:14" ht="16">
      <c r="A268" s="33">
        <v>46044</v>
      </c>
      <c r="B268" s="174" t="s">
        <v>57</v>
      </c>
      <c r="C268" s="12">
        <v>3036</v>
      </c>
      <c r="D268" s="83">
        <v>3775</v>
      </c>
      <c r="E268" s="11">
        <f t="shared" si="259"/>
        <v>739</v>
      </c>
      <c r="F268" s="141">
        <v>203.35</v>
      </c>
      <c r="G268" s="13">
        <f t="shared" si="254"/>
        <v>27.516914749661701</v>
      </c>
      <c r="H268" s="83"/>
      <c r="I268" s="125"/>
      <c r="J268" s="83">
        <f t="shared" si="255"/>
        <v>0</v>
      </c>
      <c r="K268" s="35">
        <f t="shared" si="256"/>
        <v>203.35</v>
      </c>
      <c r="L268" s="136" t="e">
        <f t="shared" si="257"/>
        <v>#DIV/0!</v>
      </c>
      <c r="M268" s="68">
        <v>17280</v>
      </c>
      <c r="N268" s="47">
        <f t="shared" si="258"/>
        <v>3513888</v>
      </c>
    </row>
    <row r="269" spans="1:14" ht="16">
      <c r="A269" s="33">
        <v>46052</v>
      </c>
      <c r="B269" s="174" t="s">
        <v>57</v>
      </c>
      <c r="C269" s="83">
        <v>3775</v>
      </c>
      <c r="D269" s="83">
        <v>4485</v>
      </c>
      <c r="E269" s="11">
        <f t="shared" si="259"/>
        <v>710</v>
      </c>
      <c r="F269" s="141">
        <v>190.42</v>
      </c>
      <c r="G269" s="13">
        <f t="shared" si="254"/>
        <v>26.819718309859152</v>
      </c>
      <c r="H269" s="83"/>
      <c r="I269" s="125">
        <v>2384</v>
      </c>
      <c r="J269" s="83">
        <f t="shared" si="255"/>
        <v>2384</v>
      </c>
      <c r="K269" s="35">
        <f t="shared" si="256"/>
        <v>190.42</v>
      </c>
      <c r="L269" s="136">
        <f t="shared" si="257"/>
        <v>7.9874161073825505</v>
      </c>
      <c r="M269" s="116">
        <v>18170</v>
      </c>
      <c r="N269" s="47">
        <f t="shared" si="258"/>
        <v>3459931.4</v>
      </c>
    </row>
    <row r="270" spans="1:14" ht="16">
      <c r="A270" s="33"/>
      <c r="B270" s="174" t="s">
        <v>57</v>
      </c>
      <c r="C270" s="35"/>
      <c r="D270" s="83"/>
      <c r="E270" s="11">
        <f t="shared" si="259"/>
        <v>0</v>
      </c>
      <c r="F270" s="141"/>
      <c r="G270" s="13" t="e">
        <f t="shared" si="254"/>
        <v>#DIV/0!</v>
      </c>
      <c r="H270" s="83"/>
      <c r="I270" s="125"/>
      <c r="J270" s="83">
        <f t="shared" si="255"/>
        <v>0</v>
      </c>
      <c r="K270" s="35">
        <f t="shared" si="256"/>
        <v>0</v>
      </c>
      <c r="L270" s="136" t="e">
        <f t="shared" si="257"/>
        <v>#DIV/0!</v>
      </c>
      <c r="M270" s="116"/>
      <c r="N270" s="47">
        <f t="shared" si="258"/>
        <v>0</v>
      </c>
    </row>
    <row r="271" spans="1:14" ht="16">
      <c r="A271" s="138"/>
      <c r="B271" s="174" t="s">
        <v>57</v>
      </c>
      <c r="C271" s="83"/>
      <c r="D271" s="83"/>
      <c r="E271" s="11">
        <f t="shared" si="259"/>
        <v>0</v>
      </c>
      <c r="F271" s="141"/>
      <c r="G271" s="13" t="e">
        <f t="shared" si="254"/>
        <v>#DIV/0!</v>
      </c>
      <c r="H271" s="83"/>
      <c r="I271" s="125"/>
      <c r="J271" s="83">
        <f t="shared" si="255"/>
        <v>0</v>
      </c>
      <c r="K271" s="35">
        <f t="shared" si="256"/>
        <v>0</v>
      </c>
      <c r="L271" s="136" t="e">
        <f t="shared" si="257"/>
        <v>#DIV/0!</v>
      </c>
      <c r="M271" s="116"/>
      <c r="N271" s="47">
        <f t="shared" si="258"/>
        <v>0</v>
      </c>
    </row>
    <row r="272" spans="1:14" ht="16">
      <c r="A272" s="59"/>
      <c r="B272" s="60"/>
      <c r="C272" s="59"/>
      <c r="D272" s="59" t="s">
        <v>19</v>
      </c>
      <c r="E272" s="59">
        <f t="shared" ref="E272:F272" si="260">SUM(E266:E271)</f>
        <v>2037</v>
      </c>
      <c r="F272" s="59">
        <f t="shared" si="260"/>
        <v>755.19999999999993</v>
      </c>
      <c r="G272" s="61" t="e">
        <f>AVERAGE(G266:G271)</f>
        <v>#DIV/0!</v>
      </c>
      <c r="H272" s="59"/>
      <c r="I272" s="62"/>
      <c r="J272" s="59">
        <f t="shared" ref="J272:K272" si="261">SUM(J266:J271)</f>
        <v>2384</v>
      </c>
      <c r="K272" s="59">
        <f t="shared" si="261"/>
        <v>755.19999999999993</v>
      </c>
      <c r="L272" s="61" t="e">
        <f>AVERAGE(L266:L271)</f>
        <v>#DIV/0!</v>
      </c>
      <c r="M272" s="64"/>
      <c r="N272" s="65">
        <f>SUM(N266:N271)</f>
        <v>13174194.6</v>
      </c>
    </row>
    <row r="273" spans="1:14" ht="16">
      <c r="A273" s="66">
        <v>46034</v>
      </c>
      <c r="B273" s="174" t="s">
        <v>58</v>
      </c>
      <c r="C273" s="83"/>
      <c r="D273" s="12">
        <v>2327</v>
      </c>
      <c r="E273" s="36"/>
      <c r="F273" s="37">
        <v>205.16</v>
      </c>
      <c r="G273" s="13" t="e">
        <f t="shared" ref="G273:G278" si="262">(F273/E273)*100</f>
        <v>#DIV/0!</v>
      </c>
      <c r="H273" s="83"/>
      <c r="I273" s="126"/>
      <c r="J273" s="39">
        <f t="shared" ref="J273:J274" si="263">I273-H273</f>
        <v>0</v>
      </c>
      <c r="K273" s="39">
        <f t="shared" ref="K273:K278" si="264">F273</f>
        <v>205.16</v>
      </c>
      <c r="L273" s="136" t="e">
        <f t="shared" ref="L273:L278" si="265">(K273/J273)*100</f>
        <v>#DIV/0!</v>
      </c>
      <c r="M273" s="68">
        <v>17060</v>
      </c>
      <c r="N273" s="47">
        <f t="shared" ref="N273:N278" si="266">M273*F273</f>
        <v>3500029.6</v>
      </c>
    </row>
    <row r="274" spans="1:14" ht="16">
      <c r="A274" s="33">
        <v>46043</v>
      </c>
      <c r="B274" s="174" t="s">
        <v>58</v>
      </c>
      <c r="C274" s="12">
        <v>2327</v>
      </c>
      <c r="D274" s="12">
        <v>3104</v>
      </c>
      <c r="E274" s="11">
        <f t="shared" ref="E274:E278" si="267">D274-C274</f>
        <v>777</v>
      </c>
      <c r="F274" s="141">
        <v>203.35</v>
      </c>
      <c r="G274" s="13">
        <f t="shared" si="262"/>
        <v>26.171171171171171</v>
      </c>
      <c r="H274" s="83"/>
      <c r="I274" s="125"/>
      <c r="J274" s="83">
        <f t="shared" si="263"/>
        <v>0</v>
      </c>
      <c r="K274" s="35">
        <f t="shared" si="264"/>
        <v>203.35</v>
      </c>
      <c r="L274" s="136" t="e">
        <f t="shared" si="265"/>
        <v>#DIV/0!</v>
      </c>
      <c r="M274" s="68">
        <v>17280</v>
      </c>
      <c r="N274" s="47">
        <f t="shared" si="266"/>
        <v>3513888</v>
      </c>
    </row>
    <row r="275" spans="1:14" ht="16">
      <c r="A275" s="33">
        <v>46050</v>
      </c>
      <c r="B275" s="174" t="s">
        <v>58</v>
      </c>
      <c r="C275" s="12">
        <v>3104</v>
      </c>
      <c r="D275" s="83">
        <v>3879</v>
      </c>
      <c r="E275" s="11">
        <f t="shared" si="267"/>
        <v>775</v>
      </c>
      <c r="F275" s="141">
        <v>209.04</v>
      </c>
      <c r="G275" s="13">
        <f t="shared" si="262"/>
        <v>26.972903225806448</v>
      </c>
      <c r="H275" s="83"/>
      <c r="I275" s="125">
        <v>1877</v>
      </c>
      <c r="J275" s="83"/>
      <c r="K275" s="35">
        <f t="shared" si="264"/>
        <v>209.04</v>
      </c>
      <c r="L275" s="136" t="e">
        <f t="shared" si="265"/>
        <v>#DIV/0!</v>
      </c>
      <c r="M275" s="116">
        <v>17700</v>
      </c>
      <c r="N275" s="47">
        <f t="shared" si="266"/>
        <v>3700008</v>
      </c>
    </row>
    <row r="276" spans="1:14" ht="16">
      <c r="A276" s="33"/>
      <c r="B276" s="174" t="s">
        <v>58</v>
      </c>
      <c r="C276" s="83"/>
      <c r="D276" s="83"/>
      <c r="E276" s="11">
        <f t="shared" si="267"/>
        <v>0</v>
      </c>
      <c r="F276" s="141"/>
      <c r="G276" s="13" t="e">
        <f t="shared" si="262"/>
        <v>#DIV/0!</v>
      </c>
      <c r="H276" s="83"/>
      <c r="I276" s="125"/>
      <c r="J276" s="83">
        <f t="shared" ref="J276:J278" si="268">I276-H276</f>
        <v>0</v>
      </c>
      <c r="K276" s="35">
        <f t="shared" si="264"/>
        <v>0</v>
      </c>
      <c r="L276" s="136" t="e">
        <f t="shared" si="265"/>
        <v>#DIV/0!</v>
      </c>
      <c r="M276" s="116"/>
      <c r="N276" s="47">
        <f t="shared" si="266"/>
        <v>0</v>
      </c>
    </row>
    <row r="277" spans="1:14" ht="16">
      <c r="A277" s="33"/>
      <c r="B277" s="174" t="s">
        <v>58</v>
      </c>
      <c r="C277" s="35"/>
      <c r="D277" s="83"/>
      <c r="E277" s="11">
        <f t="shared" si="267"/>
        <v>0</v>
      </c>
      <c r="F277" s="141"/>
      <c r="G277" s="13" t="e">
        <f t="shared" si="262"/>
        <v>#DIV/0!</v>
      </c>
      <c r="H277" s="83"/>
      <c r="I277" s="125"/>
      <c r="J277" s="83">
        <f t="shared" si="268"/>
        <v>0</v>
      </c>
      <c r="K277" s="35">
        <f t="shared" si="264"/>
        <v>0</v>
      </c>
      <c r="L277" s="136" t="e">
        <f t="shared" si="265"/>
        <v>#DIV/0!</v>
      </c>
      <c r="M277" s="116"/>
      <c r="N277" s="47">
        <f t="shared" si="266"/>
        <v>0</v>
      </c>
    </row>
    <row r="278" spans="1:14" ht="16">
      <c r="A278" s="138"/>
      <c r="B278" s="174" t="s">
        <v>58</v>
      </c>
      <c r="C278" s="83"/>
      <c r="D278" s="83"/>
      <c r="E278" s="11">
        <f t="shared" si="267"/>
        <v>0</v>
      </c>
      <c r="F278" s="141"/>
      <c r="G278" s="13" t="e">
        <f t="shared" si="262"/>
        <v>#DIV/0!</v>
      </c>
      <c r="H278" s="83"/>
      <c r="I278" s="125"/>
      <c r="J278" s="83">
        <f t="shared" si="268"/>
        <v>0</v>
      </c>
      <c r="K278" s="35">
        <f t="shared" si="264"/>
        <v>0</v>
      </c>
      <c r="L278" s="136" t="e">
        <f t="shared" si="265"/>
        <v>#DIV/0!</v>
      </c>
      <c r="M278" s="116"/>
      <c r="N278" s="47">
        <f t="shared" si="266"/>
        <v>0</v>
      </c>
    </row>
    <row r="279" spans="1:14" ht="16">
      <c r="A279" s="59"/>
      <c r="B279" s="60"/>
      <c r="C279" s="59"/>
      <c r="D279" s="59" t="s">
        <v>19</v>
      </c>
      <c r="E279" s="59">
        <f t="shared" ref="E279:F279" si="269">SUM(E273:E278)</f>
        <v>1552</v>
      </c>
      <c r="F279" s="59">
        <f t="shared" si="269"/>
        <v>617.54999999999995</v>
      </c>
      <c r="G279" s="61" t="e">
        <f>AVERAGE(G273:G278)</f>
        <v>#DIV/0!</v>
      </c>
      <c r="H279" s="59"/>
      <c r="I279" s="62"/>
      <c r="J279" s="59">
        <f t="shared" ref="J279:K279" si="270">SUM(J273:J278)</f>
        <v>0</v>
      </c>
      <c r="K279" s="59">
        <f t="shared" si="270"/>
        <v>617.54999999999995</v>
      </c>
      <c r="L279" s="61" t="e">
        <f>AVERAGE(L273:L278)</f>
        <v>#DIV/0!</v>
      </c>
      <c r="M279" s="64"/>
      <c r="N279" s="65">
        <f>SUM(N273:N278)</f>
        <v>10713925.6</v>
      </c>
    </row>
    <row r="280" spans="1:14" ht="14">
      <c r="A280" s="354" t="s">
        <v>64</v>
      </c>
      <c r="B280" s="355"/>
      <c r="C280" s="355"/>
      <c r="D280" s="355"/>
      <c r="E280" s="355"/>
      <c r="F280" s="355"/>
      <c r="G280" s="355"/>
      <c r="H280" s="355"/>
      <c r="I280" s="355"/>
      <c r="J280" s="355"/>
      <c r="K280" s="355"/>
      <c r="L280" s="356"/>
      <c r="M280" s="64"/>
      <c r="N280" s="65">
        <f>SUM(N279+N272+N265+N258+N251+N242+N236+N230+N224+N218+N212+N206)</f>
        <v>171020975.89999998</v>
      </c>
    </row>
    <row r="281" spans="1:14" ht="13">
      <c r="G281" s="150"/>
      <c r="L281" s="150"/>
      <c r="N281" s="151"/>
    </row>
    <row r="282" spans="1:14" ht="13">
      <c r="G282" s="150"/>
      <c r="L282" s="150"/>
      <c r="N282" s="151"/>
    </row>
    <row r="283" spans="1:14" ht="13">
      <c r="G283" s="150"/>
      <c r="L283" s="150"/>
      <c r="N283" s="151"/>
    </row>
    <row r="284" spans="1:14" ht="13">
      <c r="G284" s="150"/>
      <c r="L284" s="150"/>
      <c r="N284" s="151"/>
    </row>
    <row r="285" spans="1:14" ht="13">
      <c r="G285" s="150"/>
      <c r="L285" s="150"/>
      <c r="N285" s="151"/>
    </row>
    <row r="286" spans="1:14" ht="13">
      <c r="G286" s="150"/>
      <c r="L286" s="150"/>
      <c r="N286" s="151"/>
    </row>
    <row r="287" spans="1:14" ht="13">
      <c r="G287" s="150"/>
      <c r="L287" s="150"/>
      <c r="N287" s="151"/>
    </row>
    <row r="288" spans="1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</sheetData>
  <mergeCells count="2">
    <mergeCell ref="A1:N1"/>
    <mergeCell ref="A280:L28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11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77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45993</v>
      </c>
      <c r="B3" s="34" t="s">
        <v>11</v>
      </c>
      <c r="C3" s="50">
        <v>195659</v>
      </c>
      <c r="D3" s="50">
        <v>195928</v>
      </c>
      <c r="E3" s="11">
        <f t="shared" ref="E3:E10" si="0">D3-C3</f>
        <v>269</v>
      </c>
      <c r="F3" s="37">
        <v>40</v>
      </c>
      <c r="G3" s="13">
        <f t="shared" ref="G3:G10" si="1">(F3/E3)*100</f>
        <v>14.869888475836431</v>
      </c>
      <c r="H3" s="38"/>
      <c r="I3" s="38">
        <v>24680</v>
      </c>
      <c r="J3" s="39"/>
      <c r="K3" s="77">
        <f t="shared" ref="K3:K10" si="2">F3</f>
        <v>40</v>
      </c>
      <c r="L3" s="67" t="e">
        <f t="shared" ref="L3:L10" si="3">(K3/J3)*100</f>
        <v>#DIV/0!</v>
      </c>
      <c r="M3" s="68">
        <v>18800</v>
      </c>
      <c r="N3" s="121">
        <f t="shared" ref="N3:N10" si="4">F3*M3</f>
        <v>752000</v>
      </c>
    </row>
    <row r="4" spans="1:18" ht="16">
      <c r="A4" s="33">
        <v>46000</v>
      </c>
      <c r="B4" s="44" t="s">
        <v>11</v>
      </c>
      <c r="C4" s="50">
        <v>195928</v>
      </c>
      <c r="D4" s="50">
        <v>196294</v>
      </c>
      <c r="E4" s="11">
        <f t="shared" si="0"/>
        <v>366</v>
      </c>
      <c r="F4" s="45">
        <v>45</v>
      </c>
      <c r="G4" s="13">
        <f t="shared" si="1"/>
        <v>12.295081967213115</v>
      </c>
      <c r="H4" s="38">
        <v>24680</v>
      </c>
      <c r="I4" s="38">
        <v>25068</v>
      </c>
      <c r="J4" s="35">
        <f t="shared" ref="J4:J10" si="5">I4-H4</f>
        <v>388</v>
      </c>
      <c r="K4" s="50">
        <f t="shared" si="2"/>
        <v>45</v>
      </c>
      <c r="L4" s="46">
        <f t="shared" si="3"/>
        <v>11.597938144329897</v>
      </c>
      <c r="M4" s="48">
        <v>18380</v>
      </c>
      <c r="N4" s="47">
        <f t="shared" si="4"/>
        <v>827100</v>
      </c>
      <c r="O4" s="76">
        <v>1</v>
      </c>
      <c r="P4" s="222" t="s">
        <v>12</v>
      </c>
      <c r="Q4" s="223">
        <f>N19</f>
        <v>4939740</v>
      </c>
      <c r="R4" s="223">
        <f t="shared" ref="R4:R15" si="6">Q4</f>
        <v>4939740</v>
      </c>
    </row>
    <row r="5" spans="1:18" ht="16">
      <c r="A5" s="33">
        <v>46004</v>
      </c>
      <c r="B5" s="44" t="s">
        <v>11</v>
      </c>
      <c r="C5" s="50">
        <v>196294</v>
      </c>
      <c r="D5" s="50">
        <v>196604</v>
      </c>
      <c r="E5" s="11">
        <f t="shared" si="0"/>
        <v>310</v>
      </c>
      <c r="F5" s="52">
        <v>40</v>
      </c>
      <c r="G5" s="13">
        <f t="shared" si="1"/>
        <v>12.903225806451612</v>
      </c>
      <c r="H5" s="38">
        <v>25068</v>
      </c>
      <c r="I5" s="38">
        <v>25415</v>
      </c>
      <c r="J5" s="35">
        <f t="shared" si="5"/>
        <v>347</v>
      </c>
      <c r="K5" s="50">
        <f t="shared" si="2"/>
        <v>40</v>
      </c>
      <c r="L5" s="46">
        <f t="shared" si="3"/>
        <v>11.527377521613833</v>
      </c>
      <c r="M5" s="224">
        <v>18150</v>
      </c>
      <c r="N5" s="47">
        <f t="shared" si="4"/>
        <v>726000</v>
      </c>
      <c r="O5" s="76">
        <v>2</v>
      </c>
      <c r="P5" s="222" t="s">
        <v>13</v>
      </c>
      <c r="Q5" s="223">
        <f>N29</f>
        <v>7062910</v>
      </c>
      <c r="R5" s="223">
        <f t="shared" si="6"/>
        <v>7062910</v>
      </c>
    </row>
    <row r="6" spans="1:18" ht="16">
      <c r="A6" s="33">
        <v>46008</v>
      </c>
      <c r="B6" s="44" t="s">
        <v>11</v>
      </c>
      <c r="C6" s="50">
        <v>196604</v>
      </c>
      <c r="D6" s="50">
        <v>196909</v>
      </c>
      <c r="E6" s="11">
        <f t="shared" si="0"/>
        <v>305</v>
      </c>
      <c r="F6" s="52">
        <v>40</v>
      </c>
      <c r="G6" s="13">
        <f t="shared" si="1"/>
        <v>13.114754098360656</v>
      </c>
      <c r="H6" s="38">
        <v>25415</v>
      </c>
      <c r="I6" s="38">
        <v>25750</v>
      </c>
      <c r="J6" s="35">
        <f t="shared" si="5"/>
        <v>335</v>
      </c>
      <c r="K6" s="50">
        <f t="shared" si="2"/>
        <v>40</v>
      </c>
      <c r="L6" s="46">
        <f t="shared" si="3"/>
        <v>11.940298507462686</v>
      </c>
      <c r="M6" s="224">
        <v>18150</v>
      </c>
      <c r="N6" s="47">
        <f t="shared" si="4"/>
        <v>726000</v>
      </c>
      <c r="O6" s="76">
        <v>3</v>
      </c>
      <c r="P6" s="222" t="s">
        <v>14</v>
      </c>
      <c r="Q6" s="223">
        <f>N38</f>
        <v>5580100</v>
      </c>
      <c r="R6" s="223">
        <f t="shared" si="6"/>
        <v>5580100</v>
      </c>
    </row>
    <row r="7" spans="1:18" ht="16">
      <c r="A7" s="33">
        <v>46013</v>
      </c>
      <c r="B7" s="44" t="s">
        <v>11</v>
      </c>
      <c r="C7" s="50">
        <v>196909</v>
      </c>
      <c r="D7" s="50">
        <v>197221</v>
      </c>
      <c r="E7" s="11">
        <f t="shared" si="0"/>
        <v>312</v>
      </c>
      <c r="F7" s="52">
        <v>40</v>
      </c>
      <c r="G7" s="13">
        <f t="shared" si="1"/>
        <v>12.820512820512819</v>
      </c>
      <c r="H7" s="38">
        <v>25750</v>
      </c>
      <c r="I7" s="38">
        <v>26098</v>
      </c>
      <c r="J7" s="35">
        <f t="shared" si="5"/>
        <v>348</v>
      </c>
      <c r="K7" s="50">
        <f t="shared" si="2"/>
        <v>40</v>
      </c>
      <c r="L7" s="46">
        <f t="shared" si="3"/>
        <v>11.494252873563218</v>
      </c>
      <c r="M7" s="224">
        <v>17470</v>
      </c>
      <c r="N7" s="47">
        <f t="shared" si="4"/>
        <v>698800</v>
      </c>
      <c r="O7" s="76">
        <v>4</v>
      </c>
      <c r="P7" s="222" t="s">
        <v>15</v>
      </c>
      <c r="Q7" s="223">
        <f>N48</f>
        <v>6439380</v>
      </c>
      <c r="R7" s="223">
        <f t="shared" si="6"/>
        <v>6439380</v>
      </c>
    </row>
    <row r="8" spans="1:18" ht="16">
      <c r="A8" s="33">
        <v>46016</v>
      </c>
      <c r="B8" s="44" t="s">
        <v>11</v>
      </c>
      <c r="C8" s="50">
        <v>197221</v>
      </c>
      <c r="D8" s="50">
        <v>197497</v>
      </c>
      <c r="E8" s="11">
        <f t="shared" si="0"/>
        <v>276</v>
      </c>
      <c r="F8" s="52">
        <v>40</v>
      </c>
      <c r="G8" s="13">
        <f t="shared" si="1"/>
        <v>14.492753623188406</v>
      </c>
      <c r="H8" s="38">
        <v>26098</v>
      </c>
      <c r="I8" s="38">
        <v>26399</v>
      </c>
      <c r="J8" s="35">
        <f t="shared" si="5"/>
        <v>301</v>
      </c>
      <c r="K8" s="50">
        <f t="shared" si="2"/>
        <v>40</v>
      </c>
      <c r="L8" s="46">
        <f t="shared" si="3"/>
        <v>13.2890365448505</v>
      </c>
      <c r="M8" s="224">
        <v>17250</v>
      </c>
      <c r="N8" s="47">
        <f t="shared" si="4"/>
        <v>690000</v>
      </c>
      <c r="O8" s="76">
        <v>5</v>
      </c>
      <c r="P8" s="222" t="s">
        <v>16</v>
      </c>
      <c r="Q8" s="223">
        <f>N60</f>
        <v>5457860</v>
      </c>
      <c r="R8" s="223">
        <f t="shared" si="6"/>
        <v>5457860</v>
      </c>
    </row>
    <row r="9" spans="1:18" ht="16">
      <c r="A9" s="33">
        <v>46021</v>
      </c>
      <c r="B9" s="44" t="s">
        <v>11</v>
      </c>
      <c r="C9" s="50">
        <v>197497</v>
      </c>
      <c r="D9" s="221">
        <v>197795</v>
      </c>
      <c r="E9" s="11">
        <f t="shared" si="0"/>
        <v>298</v>
      </c>
      <c r="F9" s="225">
        <v>35</v>
      </c>
      <c r="G9" s="13">
        <f t="shared" si="1"/>
        <v>11.74496644295302</v>
      </c>
      <c r="H9" s="38">
        <v>26399</v>
      </c>
      <c r="I9" s="55">
        <v>26734</v>
      </c>
      <c r="J9" s="35">
        <f t="shared" si="5"/>
        <v>335</v>
      </c>
      <c r="K9" s="50">
        <f t="shared" si="2"/>
        <v>35</v>
      </c>
      <c r="L9" s="46">
        <f t="shared" si="3"/>
        <v>10.44776119402985</v>
      </c>
      <c r="M9" s="226">
        <v>17250</v>
      </c>
      <c r="N9" s="47">
        <f t="shared" si="4"/>
        <v>603750</v>
      </c>
      <c r="O9" s="76">
        <v>6</v>
      </c>
      <c r="P9" s="222" t="s">
        <v>17</v>
      </c>
      <c r="Q9" s="223">
        <f>N11</f>
        <v>5023650</v>
      </c>
      <c r="R9" s="223">
        <f t="shared" si="6"/>
        <v>5023650</v>
      </c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 t="shared" si="5"/>
        <v>0</v>
      </c>
      <c r="K10" s="50">
        <f t="shared" si="2"/>
        <v>0</v>
      </c>
      <c r="L10" s="46" t="e">
        <f t="shared" si="3"/>
        <v>#DIV/0!</v>
      </c>
      <c r="M10" s="226"/>
      <c r="N10" s="57">
        <f t="shared" si="4"/>
        <v>0</v>
      </c>
      <c r="O10" s="76">
        <v>7</v>
      </c>
      <c r="P10" s="222" t="s">
        <v>18</v>
      </c>
      <c r="Q10" s="223">
        <f>N70</f>
        <v>5757310</v>
      </c>
      <c r="R10" s="223">
        <f t="shared" si="6"/>
        <v>5757310</v>
      </c>
    </row>
    <row r="11" spans="1:18" ht="16">
      <c r="A11" s="59"/>
      <c r="B11" s="60"/>
      <c r="C11" s="59"/>
      <c r="D11" s="59" t="s">
        <v>19</v>
      </c>
      <c r="E11" s="59">
        <f t="shared" ref="E11:F11" si="7">SUM(E3:E10)</f>
        <v>2136</v>
      </c>
      <c r="F11" s="59">
        <f t="shared" si="7"/>
        <v>280</v>
      </c>
      <c r="G11" s="61" t="e">
        <f>AVERAGE(G3:G10)</f>
        <v>#DIV/0!</v>
      </c>
      <c r="H11" s="59"/>
      <c r="I11" s="62"/>
      <c r="J11" s="59">
        <f t="shared" ref="J11:K11" si="8">SUM(J3:J10)</f>
        <v>2054</v>
      </c>
      <c r="K11" s="59">
        <f t="shared" si="8"/>
        <v>280</v>
      </c>
      <c r="L11" s="61" t="e">
        <f>AVERAGE(L3:L10)</f>
        <v>#DIV/0!</v>
      </c>
      <c r="M11" s="64"/>
      <c r="N11" s="65">
        <f>SUM(N3:N10)</f>
        <v>5023650</v>
      </c>
      <c r="O11" s="76">
        <v>8</v>
      </c>
      <c r="P11" s="222" t="s">
        <v>20</v>
      </c>
      <c r="Q11" s="223">
        <f>N78</f>
        <v>5763100</v>
      </c>
      <c r="R11" s="223">
        <f t="shared" si="6"/>
        <v>5763100</v>
      </c>
    </row>
    <row r="12" spans="1:18" ht="16">
      <c r="A12" s="236">
        <v>45996</v>
      </c>
      <c r="B12" s="34" t="s">
        <v>12</v>
      </c>
      <c r="C12" s="53">
        <v>158789</v>
      </c>
      <c r="D12" s="53">
        <v>159139</v>
      </c>
      <c r="E12" s="36">
        <f t="shared" ref="E12:E18" si="9">D12-C12</f>
        <v>350</v>
      </c>
      <c r="F12" s="37">
        <v>40</v>
      </c>
      <c r="G12" s="13">
        <f t="shared" ref="G12:G18" si="10">(F12/E12)*100</f>
        <v>11.428571428571429</v>
      </c>
      <c r="H12" s="55">
        <v>25311</v>
      </c>
      <c r="I12" s="55">
        <v>25696</v>
      </c>
      <c r="J12" s="39">
        <f t="shared" ref="J12:J18" si="11">I12-H12</f>
        <v>385</v>
      </c>
      <c r="K12" s="77">
        <f t="shared" ref="K12:K18" si="12">F12</f>
        <v>40</v>
      </c>
      <c r="L12" s="40">
        <f t="shared" ref="L12:L18" si="13">(K12/J12)*100</f>
        <v>10.38961038961039</v>
      </c>
      <c r="M12" s="41">
        <v>18380</v>
      </c>
      <c r="N12" s="42">
        <f t="shared" ref="N12:N18" si="14">F12*M12</f>
        <v>735200</v>
      </c>
      <c r="O12" s="76">
        <v>9</v>
      </c>
      <c r="P12" s="222" t="s">
        <v>21</v>
      </c>
      <c r="Q12" s="223">
        <f>N86</f>
        <v>6793530</v>
      </c>
      <c r="R12" s="223">
        <f t="shared" si="6"/>
        <v>6793530</v>
      </c>
    </row>
    <row r="13" spans="1:18" ht="16">
      <c r="A13" s="43">
        <v>46000</v>
      </c>
      <c r="B13" s="44" t="s">
        <v>12</v>
      </c>
      <c r="C13" s="53">
        <v>159139</v>
      </c>
      <c r="D13" s="35">
        <v>159503</v>
      </c>
      <c r="E13" s="11">
        <f t="shared" si="9"/>
        <v>364</v>
      </c>
      <c r="F13" s="45">
        <v>53</v>
      </c>
      <c r="G13" s="13">
        <f t="shared" si="10"/>
        <v>14.560439560439562</v>
      </c>
      <c r="H13" s="55">
        <v>25696</v>
      </c>
      <c r="I13" s="38">
        <v>26094</v>
      </c>
      <c r="J13" s="35">
        <f t="shared" si="11"/>
        <v>398</v>
      </c>
      <c r="K13" s="50">
        <f t="shared" si="12"/>
        <v>53</v>
      </c>
      <c r="L13" s="46">
        <f t="shared" si="13"/>
        <v>13.316582914572864</v>
      </c>
      <c r="M13" s="48">
        <v>18380</v>
      </c>
      <c r="N13" s="47">
        <f t="shared" si="14"/>
        <v>974140</v>
      </c>
      <c r="O13" s="76">
        <v>10</v>
      </c>
      <c r="P13" s="222" t="s">
        <v>22</v>
      </c>
      <c r="Q13" s="223">
        <f>N94</f>
        <v>6370500</v>
      </c>
      <c r="R13" s="223">
        <f t="shared" si="6"/>
        <v>6370500</v>
      </c>
    </row>
    <row r="14" spans="1:18" ht="16">
      <c r="A14" s="43">
        <v>46007</v>
      </c>
      <c r="B14" s="44" t="s">
        <v>12</v>
      </c>
      <c r="C14" s="35">
        <v>159503</v>
      </c>
      <c r="D14" s="35">
        <v>159898</v>
      </c>
      <c r="E14" s="11">
        <f t="shared" si="9"/>
        <v>395</v>
      </c>
      <c r="F14" s="45">
        <v>50</v>
      </c>
      <c r="G14" s="13">
        <f t="shared" si="10"/>
        <v>12.658227848101266</v>
      </c>
      <c r="H14" s="38">
        <v>26094</v>
      </c>
      <c r="I14" s="38">
        <v>26547</v>
      </c>
      <c r="J14" s="35">
        <f t="shared" si="11"/>
        <v>453</v>
      </c>
      <c r="K14" s="50">
        <f t="shared" si="12"/>
        <v>50</v>
      </c>
      <c r="L14" s="46">
        <f t="shared" si="13"/>
        <v>11.037527593818984</v>
      </c>
      <c r="M14" s="48">
        <v>18150</v>
      </c>
      <c r="N14" s="47">
        <f t="shared" si="14"/>
        <v>907500</v>
      </c>
      <c r="O14" s="76">
        <v>11</v>
      </c>
      <c r="P14" s="222" t="s">
        <v>23</v>
      </c>
      <c r="Q14" s="223">
        <f>N101</f>
        <v>6395260</v>
      </c>
      <c r="R14" s="223">
        <f t="shared" si="6"/>
        <v>6395260</v>
      </c>
    </row>
    <row r="15" spans="1:18" ht="16">
      <c r="A15" s="43">
        <v>46009</v>
      </c>
      <c r="B15" s="49" t="s">
        <v>12</v>
      </c>
      <c r="C15" s="35">
        <v>159898</v>
      </c>
      <c r="D15" s="50">
        <v>160207</v>
      </c>
      <c r="E15" s="51">
        <f t="shared" si="9"/>
        <v>309</v>
      </c>
      <c r="F15" s="52">
        <v>40</v>
      </c>
      <c r="G15" s="13">
        <f t="shared" si="10"/>
        <v>12.944983818770226</v>
      </c>
      <c r="H15" s="38">
        <v>26547</v>
      </c>
      <c r="I15" s="38">
        <v>26874</v>
      </c>
      <c r="J15" s="35">
        <f t="shared" si="11"/>
        <v>327</v>
      </c>
      <c r="K15" s="50">
        <f t="shared" si="12"/>
        <v>40</v>
      </c>
      <c r="L15" s="46">
        <f t="shared" si="13"/>
        <v>12.232415902140673</v>
      </c>
      <c r="M15" s="48">
        <v>18150</v>
      </c>
      <c r="N15" s="47">
        <f t="shared" si="14"/>
        <v>726000</v>
      </c>
      <c r="O15" s="76">
        <v>12</v>
      </c>
      <c r="P15" s="222" t="s">
        <v>24</v>
      </c>
      <c r="Q15" s="223">
        <f>N109</f>
        <v>6828420</v>
      </c>
      <c r="R15" s="223">
        <f t="shared" si="6"/>
        <v>6828420</v>
      </c>
    </row>
    <row r="16" spans="1:18" ht="16">
      <c r="A16" s="43">
        <v>46015</v>
      </c>
      <c r="B16" s="44" t="s">
        <v>12</v>
      </c>
      <c r="C16" s="50">
        <v>160207</v>
      </c>
      <c r="D16" s="35">
        <v>160554</v>
      </c>
      <c r="E16" s="11">
        <f t="shared" si="9"/>
        <v>347</v>
      </c>
      <c r="F16" s="45">
        <v>45</v>
      </c>
      <c r="G16" s="13">
        <f t="shared" si="10"/>
        <v>12.968299711815561</v>
      </c>
      <c r="H16" s="38">
        <v>26874</v>
      </c>
      <c r="I16" s="38">
        <v>27265</v>
      </c>
      <c r="J16" s="35">
        <f t="shared" si="11"/>
        <v>391</v>
      </c>
      <c r="K16" s="50">
        <f t="shared" si="12"/>
        <v>45</v>
      </c>
      <c r="L16" s="46">
        <f t="shared" si="13"/>
        <v>11.508951406649617</v>
      </c>
      <c r="M16" s="48">
        <v>17470</v>
      </c>
      <c r="N16" s="47">
        <f t="shared" si="14"/>
        <v>786150</v>
      </c>
      <c r="O16" s="76">
        <v>13</v>
      </c>
      <c r="P16" s="222" t="s">
        <v>25</v>
      </c>
      <c r="Q16" s="223">
        <f>N117</f>
        <v>5623750</v>
      </c>
      <c r="R16" s="223">
        <f>N117</f>
        <v>5623750</v>
      </c>
    </row>
    <row r="17" spans="1:18" ht="16">
      <c r="A17" s="43">
        <v>46020</v>
      </c>
      <c r="B17" s="44" t="s">
        <v>12</v>
      </c>
      <c r="C17" s="35">
        <v>160554</v>
      </c>
      <c r="D17" s="35">
        <v>160900</v>
      </c>
      <c r="E17" s="11">
        <f t="shared" si="9"/>
        <v>346</v>
      </c>
      <c r="F17" s="45">
        <v>47</v>
      </c>
      <c r="G17" s="13">
        <f t="shared" si="10"/>
        <v>13.583815028901732</v>
      </c>
      <c r="H17" s="38">
        <v>27265</v>
      </c>
      <c r="I17" s="38">
        <v>27650</v>
      </c>
      <c r="J17" s="35">
        <f t="shared" si="11"/>
        <v>385</v>
      </c>
      <c r="K17" s="50">
        <f t="shared" si="12"/>
        <v>47</v>
      </c>
      <c r="L17" s="46">
        <f t="shared" si="13"/>
        <v>12.207792207792208</v>
      </c>
      <c r="M17" s="48">
        <v>17250</v>
      </c>
      <c r="N17" s="47">
        <f t="shared" si="14"/>
        <v>810750</v>
      </c>
      <c r="O17" s="76">
        <v>14</v>
      </c>
      <c r="P17" s="222" t="s">
        <v>26</v>
      </c>
      <c r="Q17" s="223">
        <f>N125</f>
        <v>5269100</v>
      </c>
      <c r="R17" s="223">
        <f t="shared" ref="R17:R28" si="15">Q17</f>
        <v>5269100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5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76">
        <f t="shared" ref="O18:O27" si="16">O17+1</f>
        <v>15</v>
      </c>
      <c r="P18" s="227" t="s">
        <v>27</v>
      </c>
      <c r="Q18" s="223">
        <f>N134</f>
        <v>8794980</v>
      </c>
      <c r="R18" s="223">
        <f t="shared" si="15"/>
        <v>8794980</v>
      </c>
    </row>
    <row r="19" spans="1:18" ht="16">
      <c r="A19" s="59"/>
      <c r="B19" s="60"/>
      <c r="C19" s="59"/>
      <c r="D19" s="59" t="s">
        <v>19</v>
      </c>
      <c r="E19" s="59">
        <f>SUM(E12:E18)</f>
        <v>2111</v>
      </c>
      <c r="F19" s="59">
        <f>SUM(F11:F18)</f>
        <v>555</v>
      </c>
      <c r="G19" s="61" t="e">
        <f>AVERAGE(G12:G18)</f>
        <v>#DIV/0!</v>
      </c>
      <c r="H19" s="59"/>
      <c r="I19" s="62"/>
      <c r="J19" s="59">
        <f t="shared" ref="J19:K19" si="17">SUM(J12:J18)</f>
        <v>2339</v>
      </c>
      <c r="K19" s="59">
        <f t="shared" si="17"/>
        <v>275</v>
      </c>
      <c r="L19" s="61" t="e">
        <f>AVERAGE(L12:L18)</f>
        <v>#DIV/0!</v>
      </c>
      <c r="M19" s="64"/>
      <c r="N19" s="65">
        <f>SUM(N12:N18)</f>
        <v>4939740</v>
      </c>
      <c r="O19" s="76">
        <f t="shared" si="16"/>
        <v>16</v>
      </c>
      <c r="P19" s="227" t="s">
        <v>28</v>
      </c>
      <c r="Q19" s="223">
        <f>N143</f>
        <v>0</v>
      </c>
      <c r="R19" s="223">
        <f t="shared" si="15"/>
        <v>0</v>
      </c>
    </row>
    <row r="20" spans="1:18" ht="16">
      <c r="A20" s="66">
        <v>45993</v>
      </c>
      <c r="B20" s="34" t="s">
        <v>13</v>
      </c>
      <c r="C20" s="35">
        <v>175575</v>
      </c>
      <c r="D20" s="35">
        <v>175900</v>
      </c>
      <c r="E20" s="36">
        <f t="shared" ref="E20:E28" si="18">D20-C20</f>
        <v>325</v>
      </c>
      <c r="F20" s="37">
        <v>45</v>
      </c>
      <c r="G20" s="13">
        <f t="shared" ref="G20:G28" si="19">(F20/E20)*100</f>
        <v>13.846153846153847</v>
      </c>
      <c r="H20" s="38">
        <v>26756</v>
      </c>
      <c r="I20" s="38">
        <v>27005</v>
      </c>
      <c r="J20" s="39">
        <f t="shared" ref="J20:J28" si="20">I20-H20</f>
        <v>249</v>
      </c>
      <c r="K20" s="77">
        <f t="shared" ref="K20:K28" si="21">F20</f>
        <v>45</v>
      </c>
      <c r="L20" s="67">
        <f t="shared" ref="L20:L28" si="22">(K20/J20)*100</f>
        <v>18.072289156626507</v>
      </c>
      <c r="M20" s="68">
        <v>18800</v>
      </c>
      <c r="N20" s="42">
        <f t="shared" ref="N20:N28" si="23">F20*M20</f>
        <v>846000</v>
      </c>
      <c r="O20" s="76">
        <f t="shared" si="16"/>
        <v>17</v>
      </c>
      <c r="P20" s="227" t="s">
        <v>29</v>
      </c>
      <c r="Q20" s="223">
        <f>N152</f>
        <v>6427100</v>
      </c>
      <c r="R20" s="223">
        <f t="shared" si="15"/>
        <v>6427100</v>
      </c>
    </row>
    <row r="21" spans="1:18" ht="16">
      <c r="A21" s="66">
        <v>45996</v>
      </c>
      <c r="B21" s="44" t="s">
        <v>13</v>
      </c>
      <c r="C21" s="35">
        <v>175900</v>
      </c>
      <c r="D21" s="35">
        <v>176182</v>
      </c>
      <c r="E21" s="11">
        <f t="shared" si="18"/>
        <v>282</v>
      </c>
      <c r="F21" s="37">
        <v>44</v>
      </c>
      <c r="G21" s="13">
        <f t="shared" si="19"/>
        <v>15.602836879432624</v>
      </c>
      <c r="H21" s="38">
        <v>27005</v>
      </c>
      <c r="I21" s="38">
        <v>27311</v>
      </c>
      <c r="J21" s="35">
        <f t="shared" si="20"/>
        <v>306</v>
      </c>
      <c r="K21" s="50">
        <f t="shared" si="21"/>
        <v>44</v>
      </c>
      <c r="L21" s="46">
        <f t="shared" si="22"/>
        <v>14.37908496732026</v>
      </c>
      <c r="M21" s="68">
        <v>18380</v>
      </c>
      <c r="N21" s="47">
        <f t="shared" si="23"/>
        <v>808720</v>
      </c>
      <c r="O21" s="76">
        <f t="shared" si="16"/>
        <v>18</v>
      </c>
      <c r="P21" s="227" t="s">
        <v>30</v>
      </c>
      <c r="Q21" s="223">
        <f>N161</f>
        <v>5595840</v>
      </c>
      <c r="R21" s="223">
        <f t="shared" si="15"/>
        <v>5595840</v>
      </c>
    </row>
    <row r="22" spans="1:18" ht="16">
      <c r="A22" s="33">
        <v>46000</v>
      </c>
      <c r="B22" s="44" t="s">
        <v>13</v>
      </c>
      <c r="C22" s="35">
        <v>176182</v>
      </c>
      <c r="D22" s="35">
        <v>176522</v>
      </c>
      <c r="E22" s="11">
        <f t="shared" si="18"/>
        <v>340</v>
      </c>
      <c r="F22" s="45">
        <v>44</v>
      </c>
      <c r="G22" s="13">
        <f t="shared" si="19"/>
        <v>12.941176470588237</v>
      </c>
      <c r="H22" s="38">
        <v>27311</v>
      </c>
      <c r="I22" s="38">
        <v>27682</v>
      </c>
      <c r="J22" s="35">
        <f t="shared" si="20"/>
        <v>371</v>
      </c>
      <c r="K22" s="50">
        <f t="shared" si="21"/>
        <v>44</v>
      </c>
      <c r="L22" s="46">
        <f t="shared" si="22"/>
        <v>11.859838274932615</v>
      </c>
      <c r="M22" s="48">
        <v>18380</v>
      </c>
      <c r="N22" s="47">
        <f t="shared" si="23"/>
        <v>808720</v>
      </c>
      <c r="O22" s="76">
        <f t="shared" si="16"/>
        <v>19</v>
      </c>
      <c r="P22" s="227" t="s">
        <v>31</v>
      </c>
      <c r="Q22" s="223">
        <f>N170</f>
        <v>10354950</v>
      </c>
      <c r="R22" s="223">
        <f t="shared" si="15"/>
        <v>10354950</v>
      </c>
    </row>
    <row r="23" spans="1:18" ht="16">
      <c r="A23" s="33">
        <v>46003</v>
      </c>
      <c r="B23" s="44" t="s">
        <v>13</v>
      </c>
      <c r="C23" s="35">
        <v>176522</v>
      </c>
      <c r="D23" s="35">
        <v>176811</v>
      </c>
      <c r="E23" s="11">
        <f t="shared" si="18"/>
        <v>289</v>
      </c>
      <c r="F23" s="45">
        <v>44</v>
      </c>
      <c r="G23" s="13">
        <f t="shared" si="19"/>
        <v>15.224913494809689</v>
      </c>
      <c r="H23" s="38">
        <v>27682</v>
      </c>
      <c r="I23" s="38">
        <v>28020</v>
      </c>
      <c r="J23" s="35">
        <f t="shared" si="20"/>
        <v>338</v>
      </c>
      <c r="K23" s="50">
        <f t="shared" si="21"/>
        <v>44</v>
      </c>
      <c r="L23" s="46">
        <f t="shared" si="22"/>
        <v>13.017751479289942</v>
      </c>
      <c r="M23" s="48">
        <v>18150</v>
      </c>
      <c r="N23" s="47">
        <f t="shared" si="23"/>
        <v>798600</v>
      </c>
      <c r="O23" s="76">
        <f t="shared" si="16"/>
        <v>20</v>
      </c>
      <c r="P23" s="227" t="s">
        <v>32</v>
      </c>
      <c r="Q23" s="223">
        <f>N179</f>
        <v>6279160</v>
      </c>
      <c r="R23" s="223">
        <f t="shared" si="15"/>
        <v>6279160</v>
      </c>
    </row>
    <row r="24" spans="1:18" ht="16">
      <c r="A24" s="33">
        <v>46008</v>
      </c>
      <c r="B24" s="44" t="s">
        <v>13</v>
      </c>
      <c r="C24" s="35">
        <v>176811</v>
      </c>
      <c r="D24" s="35">
        <v>177114</v>
      </c>
      <c r="E24" s="11">
        <f t="shared" si="18"/>
        <v>303</v>
      </c>
      <c r="F24" s="45">
        <v>43</v>
      </c>
      <c r="G24" s="13">
        <f t="shared" si="19"/>
        <v>14.19141914191419</v>
      </c>
      <c r="H24" s="38">
        <v>28020</v>
      </c>
      <c r="I24" s="38">
        <v>28441</v>
      </c>
      <c r="J24" s="35">
        <f t="shared" si="20"/>
        <v>421</v>
      </c>
      <c r="K24" s="50">
        <f t="shared" si="21"/>
        <v>43</v>
      </c>
      <c r="L24" s="46">
        <f t="shared" si="22"/>
        <v>10.213776722090261</v>
      </c>
      <c r="M24" s="48">
        <v>18150</v>
      </c>
      <c r="N24" s="47">
        <f t="shared" si="23"/>
        <v>780450</v>
      </c>
      <c r="O24" s="76">
        <f t="shared" si="16"/>
        <v>21</v>
      </c>
      <c r="P24" s="227" t="s">
        <v>33</v>
      </c>
      <c r="Q24" s="223">
        <f>N187</f>
        <v>7709893.0499999998</v>
      </c>
      <c r="R24" s="223">
        <f t="shared" si="15"/>
        <v>7709893.0499999998</v>
      </c>
    </row>
    <row r="25" spans="1:18" ht="16">
      <c r="A25" s="33">
        <v>46010</v>
      </c>
      <c r="B25" s="44" t="s">
        <v>13</v>
      </c>
      <c r="C25" s="35">
        <v>177114</v>
      </c>
      <c r="D25" s="35">
        <v>177417</v>
      </c>
      <c r="E25" s="11">
        <f t="shared" si="18"/>
        <v>303</v>
      </c>
      <c r="F25" s="45">
        <v>41</v>
      </c>
      <c r="G25" s="13">
        <f t="shared" si="19"/>
        <v>13.531353135313532</v>
      </c>
      <c r="H25" s="38">
        <v>28441</v>
      </c>
      <c r="I25" s="38">
        <v>28687</v>
      </c>
      <c r="J25" s="35">
        <f t="shared" si="20"/>
        <v>246</v>
      </c>
      <c r="K25" s="50">
        <f t="shared" si="21"/>
        <v>41</v>
      </c>
      <c r="L25" s="46">
        <f t="shared" si="22"/>
        <v>16.666666666666664</v>
      </c>
      <c r="M25" s="48">
        <v>17470</v>
      </c>
      <c r="N25" s="47">
        <f t="shared" si="23"/>
        <v>716270</v>
      </c>
      <c r="O25" s="76">
        <f t="shared" si="16"/>
        <v>22</v>
      </c>
      <c r="P25" s="227" t="s">
        <v>34</v>
      </c>
      <c r="Q25" s="223">
        <f>N195</f>
        <v>3764460</v>
      </c>
      <c r="R25" s="223">
        <f t="shared" si="15"/>
        <v>3764460</v>
      </c>
    </row>
    <row r="26" spans="1:18" ht="16">
      <c r="A26" s="33">
        <v>46014</v>
      </c>
      <c r="B26" s="44" t="s">
        <v>13</v>
      </c>
      <c r="C26" s="35">
        <v>177417</v>
      </c>
      <c r="D26" s="35">
        <v>177785</v>
      </c>
      <c r="E26" s="11">
        <f t="shared" si="18"/>
        <v>368</v>
      </c>
      <c r="F26" s="45">
        <v>45</v>
      </c>
      <c r="G26" s="13">
        <f t="shared" si="19"/>
        <v>12.228260869565217</v>
      </c>
      <c r="H26" s="38">
        <v>28687</v>
      </c>
      <c r="I26" s="38">
        <v>29070</v>
      </c>
      <c r="J26" s="35">
        <f t="shared" si="20"/>
        <v>383</v>
      </c>
      <c r="K26" s="50">
        <f t="shared" si="21"/>
        <v>45</v>
      </c>
      <c r="L26" s="46">
        <f t="shared" si="22"/>
        <v>11.74934725848564</v>
      </c>
      <c r="M26" s="48">
        <v>17470</v>
      </c>
      <c r="N26" s="47">
        <f t="shared" si="23"/>
        <v>786150</v>
      </c>
      <c r="O26" s="76">
        <f t="shared" si="16"/>
        <v>23</v>
      </c>
      <c r="R26" s="76">
        <f t="shared" si="15"/>
        <v>0</v>
      </c>
    </row>
    <row r="27" spans="1:18" ht="16">
      <c r="A27" s="33">
        <v>46017</v>
      </c>
      <c r="B27" s="44" t="s">
        <v>13</v>
      </c>
      <c r="C27" s="35">
        <v>177785</v>
      </c>
      <c r="D27" s="35">
        <v>178077</v>
      </c>
      <c r="E27" s="11">
        <f t="shared" si="18"/>
        <v>292</v>
      </c>
      <c r="F27" s="45">
        <v>45</v>
      </c>
      <c r="G27" s="13">
        <f t="shared" si="19"/>
        <v>15.41095890410959</v>
      </c>
      <c r="H27" s="38">
        <v>29070</v>
      </c>
      <c r="I27" s="38">
        <v>29377</v>
      </c>
      <c r="J27" s="35">
        <f t="shared" si="20"/>
        <v>307</v>
      </c>
      <c r="K27" s="50">
        <f t="shared" si="21"/>
        <v>45</v>
      </c>
      <c r="L27" s="46">
        <f t="shared" si="22"/>
        <v>14.65798045602606</v>
      </c>
      <c r="M27" s="48">
        <v>17250</v>
      </c>
      <c r="N27" s="47">
        <f t="shared" si="23"/>
        <v>776250</v>
      </c>
      <c r="O27" s="76">
        <f t="shared" si="16"/>
        <v>24</v>
      </c>
      <c r="R27" s="76">
        <f t="shared" si="15"/>
        <v>0</v>
      </c>
    </row>
    <row r="28" spans="1:18" ht="16">
      <c r="A28" s="70">
        <v>46022</v>
      </c>
      <c r="B28" s="44" t="s">
        <v>13</v>
      </c>
      <c r="C28" s="35">
        <v>178077</v>
      </c>
      <c r="D28" s="71">
        <v>178370</v>
      </c>
      <c r="E28" s="24">
        <f t="shared" si="18"/>
        <v>293</v>
      </c>
      <c r="F28" s="45">
        <v>43</v>
      </c>
      <c r="G28" s="54">
        <f t="shared" si="19"/>
        <v>14.675767918088736</v>
      </c>
      <c r="H28" s="38">
        <v>29377</v>
      </c>
      <c r="I28" s="72">
        <v>29700</v>
      </c>
      <c r="J28" s="53">
        <f t="shared" si="20"/>
        <v>323</v>
      </c>
      <c r="K28" s="50">
        <f t="shared" si="21"/>
        <v>43</v>
      </c>
      <c r="L28" s="73">
        <f t="shared" si="22"/>
        <v>13.312693498452013</v>
      </c>
      <c r="M28" s="74">
        <v>17250</v>
      </c>
      <c r="N28" s="57">
        <f t="shared" si="23"/>
        <v>741750</v>
      </c>
      <c r="O28" s="76">
        <f>O26+1</f>
        <v>24</v>
      </c>
      <c r="R28" s="76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2210</v>
      </c>
      <c r="F29" s="59">
        <f>SUM(F20:F28)</f>
        <v>394</v>
      </c>
      <c r="G29" s="61">
        <f>AVERAGE(G20:G26)</f>
        <v>13.938016262539621</v>
      </c>
      <c r="H29" s="59"/>
      <c r="I29" s="62"/>
      <c r="J29" s="59">
        <f t="shared" ref="J29:K29" si="24">SUM(J20:J26)</f>
        <v>2314</v>
      </c>
      <c r="K29" s="59">
        <f t="shared" si="24"/>
        <v>306</v>
      </c>
      <c r="L29" s="61">
        <f>AVERAGE(L20:L26)</f>
        <v>13.708393503630267</v>
      </c>
      <c r="M29" s="64"/>
      <c r="N29" s="65">
        <f>SUM(N20:N28)</f>
        <v>7062910</v>
      </c>
      <c r="P29" s="228" t="s">
        <v>19</v>
      </c>
      <c r="Q29" s="223">
        <f>SUM(Q4:Q25)</f>
        <v>132230993.05</v>
      </c>
      <c r="R29" s="223"/>
    </row>
    <row r="30" spans="1:18" ht="16">
      <c r="A30" s="66">
        <v>45993</v>
      </c>
      <c r="B30" s="34" t="s">
        <v>14</v>
      </c>
      <c r="C30" s="35">
        <v>178933</v>
      </c>
      <c r="D30" s="35">
        <v>179247</v>
      </c>
      <c r="E30" s="36">
        <f t="shared" ref="E30:E36" si="25">D30-C30</f>
        <v>314</v>
      </c>
      <c r="F30" s="37">
        <v>50</v>
      </c>
      <c r="G30" s="13">
        <f t="shared" ref="G30:G37" si="26">(F30/E30)*100</f>
        <v>15.923566878980891</v>
      </c>
      <c r="H30" s="38">
        <v>18704</v>
      </c>
      <c r="I30" s="38">
        <v>18957</v>
      </c>
      <c r="J30" s="39">
        <f t="shared" ref="J30:J37" si="27">I30-H30</f>
        <v>253</v>
      </c>
      <c r="K30" s="50">
        <f t="shared" ref="K30:K37" si="28">F30</f>
        <v>50</v>
      </c>
      <c r="L30" s="67">
        <f t="shared" ref="L30:L37" si="29">(K30/J30)*100</f>
        <v>19.762845849802371</v>
      </c>
      <c r="M30" s="68">
        <v>18800</v>
      </c>
      <c r="N30" s="42">
        <f t="shared" ref="N30:N37" si="30">F30*M30</f>
        <v>940000</v>
      </c>
      <c r="R30" s="76">
        <f t="shared" ref="R30:R44" si="31">Q30</f>
        <v>0</v>
      </c>
    </row>
    <row r="31" spans="1:18" ht="16">
      <c r="A31" s="33">
        <v>45999</v>
      </c>
      <c r="B31" s="44" t="s">
        <v>14</v>
      </c>
      <c r="C31" s="35">
        <v>179247</v>
      </c>
      <c r="D31" s="35">
        <v>179649</v>
      </c>
      <c r="E31" s="11">
        <f t="shared" si="25"/>
        <v>402</v>
      </c>
      <c r="F31" s="45">
        <v>50</v>
      </c>
      <c r="G31" s="13">
        <f t="shared" si="26"/>
        <v>12.437810945273633</v>
      </c>
      <c r="H31" s="38">
        <v>18957</v>
      </c>
      <c r="I31" s="38">
        <v>19425</v>
      </c>
      <c r="J31" s="35">
        <f t="shared" si="27"/>
        <v>468</v>
      </c>
      <c r="K31" s="50">
        <f t="shared" si="28"/>
        <v>50</v>
      </c>
      <c r="L31" s="46">
        <f t="shared" si="29"/>
        <v>10.683760683760683</v>
      </c>
      <c r="M31" s="68">
        <v>18380</v>
      </c>
      <c r="N31" s="47">
        <f t="shared" si="30"/>
        <v>919000</v>
      </c>
      <c r="R31" s="76">
        <f t="shared" si="31"/>
        <v>0</v>
      </c>
    </row>
    <row r="32" spans="1:18" ht="16">
      <c r="A32" s="33">
        <v>46003</v>
      </c>
      <c r="B32" s="34" t="s">
        <v>14</v>
      </c>
      <c r="C32" s="35">
        <v>179649</v>
      </c>
      <c r="D32" s="35">
        <v>180035</v>
      </c>
      <c r="E32" s="11">
        <f t="shared" si="25"/>
        <v>386</v>
      </c>
      <c r="F32" s="45">
        <v>40</v>
      </c>
      <c r="G32" s="13">
        <f t="shared" si="26"/>
        <v>10.362694300518134</v>
      </c>
      <c r="H32" s="38">
        <v>19425</v>
      </c>
      <c r="I32" s="38">
        <v>19833</v>
      </c>
      <c r="J32" s="35">
        <f t="shared" si="27"/>
        <v>408</v>
      </c>
      <c r="K32" s="50">
        <f t="shared" si="28"/>
        <v>40</v>
      </c>
      <c r="L32" s="46">
        <f t="shared" si="29"/>
        <v>9.8039215686274517</v>
      </c>
      <c r="M32" s="237">
        <v>18150</v>
      </c>
      <c r="N32" s="47">
        <f t="shared" si="30"/>
        <v>726000</v>
      </c>
      <c r="R32" s="76">
        <f t="shared" si="31"/>
        <v>0</v>
      </c>
    </row>
    <row r="33" spans="1:18" ht="16">
      <c r="A33" s="33">
        <v>46008</v>
      </c>
      <c r="B33" s="44" t="s">
        <v>14</v>
      </c>
      <c r="C33" s="35">
        <v>180035</v>
      </c>
      <c r="D33" s="35">
        <v>180404</v>
      </c>
      <c r="E33" s="11">
        <f t="shared" si="25"/>
        <v>369</v>
      </c>
      <c r="F33" s="45">
        <v>50</v>
      </c>
      <c r="G33" s="13">
        <f t="shared" si="26"/>
        <v>13.550135501355012</v>
      </c>
      <c r="H33" s="38">
        <v>19833</v>
      </c>
      <c r="I33" s="38">
        <v>20230</v>
      </c>
      <c r="J33" s="35">
        <f t="shared" si="27"/>
        <v>397</v>
      </c>
      <c r="K33" s="50">
        <f t="shared" si="28"/>
        <v>50</v>
      </c>
      <c r="L33" s="46">
        <f t="shared" si="29"/>
        <v>12.594458438287154</v>
      </c>
      <c r="M33" s="48">
        <v>18150</v>
      </c>
      <c r="N33" s="47">
        <f t="shared" si="30"/>
        <v>907500</v>
      </c>
      <c r="R33" s="76">
        <f t="shared" si="31"/>
        <v>0</v>
      </c>
    </row>
    <row r="34" spans="1:18" ht="16">
      <c r="A34" s="33">
        <v>46011</v>
      </c>
      <c r="B34" s="44" t="s">
        <v>14</v>
      </c>
      <c r="C34" s="35">
        <v>180404</v>
      </c>
      <c r="D34" s="35">
        <v>180764</v>
      </c>
      <c r="E34" s="11">
        <f t="shared" si="25"/>
        <v>360</v>
      </c>
      <c r="F34" s="45">
        <v>40</v>
      </c>
      <c r="G34" s="13">
        <f t="shared" si="26"/>
        <v>11.111111111111111</v>
      </c>
      <c r="H34" s="38">
        <v>20230</v>
      </c>
      <c r="I34" s="38">
        <v>20600</v>
      </c>
      <c r="J34" s="35">
        <f t="shared" si="27"/>
        <v>370</v>
      </c>
      <c r="K34" s="50">
        <f t="shared" si="28"/>
        <v>40</v>
      </c>
      <c r="L34" s="46">
        <f t="shared" si="29"/>
        <v>10.810810810810811</v>
      </c>
      <c r="M34" s="48">
        <v>17470</v>
      </c>
      <c r="N34" s="47">
        <f t="shared" si="30"/>
        <v>698800</v>
      </c>
      <c r="R34" s="76">
        <f t="shared" si="31"/>
        <v>0</v>
      </c>
    </row>
    <row r="35" spans="1:18" ht="16">
      <c r="A35" s="33">
        <v>46016</v>
      </c>
      <c r="B35" s="44" t="s">
        <v>14</v>
      </c>
      <c r="C35" s="35">
        <v>180764</v>
      </c>
      <c r="D35" s="35">
        <v>181049</v>
      </c>
      <c r="E35" s="11">
        <f t="shared" si="25"/>
        <v>285</v>
      </c>
      <c r="F35" s="45">
        <v>40</v>
      </c>
      <c r="G35" s="13">
        <f t="shared" si="26"/>
        <v>14.035087719298245</v>
      </c>
      <c r="H35" s="38">
        <v>20600</v>
      </c>
      <c r="I35" s="38">
        <v>20913</v>
      </c>
      <c r="J35" s="35">
        <f t="shared" si="27"/>
        <v>313</v>
      </c>
      <c r="K35" s="50">
        <f t="shared" si="28"/>
        <v>40</v>
      </c>
      <c r="L35" s="46">
        <f t="shared" si="29"/>
        <v>12.779552715654951</v>
      </c>
      <c r="M35" s="48">
        <v>17470</v>
      </c>
      <c r="N35" s="47">
        <f t="shared" si="30"/>
        <v>698800</v>
      </c>
      <c r="R35" s="76">
        <f t="shared" si="31"/>
        <v>0</v>
      </c>
    </row>
    <row r="36" spans="1:18" ht="16">
      <c r="A36" s="33">
        <v>46020</v>
      </c>
      <c r="B36" s="44" t="s">
        <v>14</v>
      </c>
      <c r="C36" s="35">
        <v>181049</v>
      </c>
      <c r="D36" s="35">
        <v>181382</v>
      </c>
      <c r="E36" s="11">
        <f t="shared" si="25"/>
        <v>333</v>
      </c>
      <c r="F36" s="45">
        <v>40</v>
      </c>
      <c r="G36" s="13">
        <f t="shared" si="26"/>
        <v>12.012012012012011</v>
      </c>
      <c r="H36" s="38">
        <v>20913</v>
      </c>
      <c r="I36" s="38">
        <v>21272</v>
      </c>
      <c r="J36" s="35">
        <f t="shared" si="27"/>
        <v>359</v>
      </c>
      <c r="K36" s="50">
        <f t="shared" si="28"/>
        <v>40</v>
      </c>
      <c r="L36" s="46">
        <f t="shared" si="29"/>
        <v>11.142061281337048</v>
      </c>
      <c r="M36" s="48">
        <v>17250</v>
      </c>
      <c r="N36" s="47">
        <f t="shared" si="30"/>
        <v>690000</v>
      </c>
      <c r="R36" s="76">
        <f t="shared" si="31"/>
        <v>0</v>
      </c>
    </row>
    <row r="37" spans="1:18" ht="16">
      <c r="A37" s="238"/>
      <c r="B37" s="239"/>
      <c r="C37" s="53"/>
      <c r="D37" s="53"/>
      <c r="E37" s="24"/>
      <c r="F37" s="45"/>
      <c r="G37" s="54" t="e">
        <f t="shared" si="26"/>
        <v>#DIV/0!</v>
      </c>
      <c r="H37" s="53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2449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2568</v>
      </c>
      <c r="K38" s="59">
        <f t="shared" si="32"/>
        <v>310</v>
      </c>
      <c r="L38" s="61" t="e">
        <f>AVERAGE(L30:L37)</f>
        <v>#DIV/0!</v>
      </c>
      <c r="M38" s="64"/>
      <c r="N38" s="65">
        <f>SUM(N30:N37)</f>
        <v>5580100</v>
      </c>
      <c r="R38" s="76">
        <f t="shared" si="31"/>
        <v>0</v>
      </c>
    </row>
    <row r="39" spans="1:18" ht="16">
      <c r="A39" s="66">
        <v>45993</v>
      </c>
      <c r="B39" s="34" t="s">
        <v>15</v>
      </c>
      <c r="C39" s="35">
        <v>166111</v>
      </c>
      <c r="D39" s="35">
        <v>166453</v>
      </c>
      <c r="E39" s="36">
        <f t="shared" ref="E39:E47" si="33">D39-C39</f>
        <v>342</v>
      </c>
      <c r="F39" s="37">
        <v>43</v>
      </c>
      <c r="G39" s="13">
        <f t="shared" ref="G39:G47" si="34">(F39/E39)*100</f>
        <v>12.573099415204677</v>
      </c>
      <c r="H39" s="38"/>
      <c r="I39" s="38">
        <v>25515</v>
      </c>
      <c r="J39" s="39">
        <f t="shared" ref="J39:J47" si="35">I39-H39</f>
        <v>25515</v>
      </c>
      <c r="K39" s="77">
        <f t="shared" ref="K39:K47" si="36">F39</f>
        <v>43</v>
      </c>
      <c r="L39" s="67">
        <f t="shared" ref="L39:L47" si="37">(K39/J39)*100</f>
        <v>0.16852831667646481</v>
      </c>
      <c r="M39" s="53">
        <v>18800</v>
      </c>
      <c r="N39" s="42">
        <f t="shared" ref="N39:N47" si="38">F39*M39</f>
        <v>808400</v>
      </c>
      <c r="R39" s="76">
        <f t="shared" si="31"/>
        <v>0</v>
      </c>
    </row>
    <row r="40" spans="1:18" ht="16">
      <c r="A40" s="33">
        <v>45996</v>
      </c>
      <c r="B40" s="44" t="s">
        <v>15</v>
      </c>
      <c r="C40" s="35">
        <v>166453</v>
      </c>
      <c r="D40" s="35">
        <v>166709</v>
      </c>
      <c r="E40" s="11">
        <f t="shared" si="33"/>
        <v>256</v>
      </c>
      <c r="F40" s="45">
        <v>28</v>
      </c>
      <c r="G40" s="13">
        <f t="shared" si="34"/>
        <v>10.9375</v>
      </c>
      <c r="H40" s="38">
        <v>25515</v>
      </c>
      <c r="I40" s="38">
        <v>25825</v>
      </c>
      <c r="J40" s="35">
        <f t="shared" si="35"/>
        <v>310</v>
      </c>
      <c r="K40" s="50">
        <f t="shared" si="36"/>
        <v>28</v>
      </c>
      <c r="L40" s="46">
        <f t="shared" si="37"/>
        <v>9.0322580645161281</v>
      </c>
      <c r="M40" s="48">
        <v>18380</v>
      </c>
      <c r="N40" s="47">
        <f t="shared" si="38"/>
        <v>514640</v>
      </c>
      <c r="P40" s="78"/>
      <c r="R40" s="76">
        <f t="shared" si="31"/>
        <v>0</v>
      </c>
    </row>
    <row r="41" spans="1:18" ht="16">
      <c r="A41" s="33">
        <v>46000</v>
      </c>
      <c r="B41" s="44" t="s">
        <v>15</v>
      </c>
      <c r="C41" s="35">
        <v>166709</v>
      </c>
      <c r="D41" s="35">
        <v>167014</v>
      </c>
      <c r="E41" s="11">
        <f t="shared" si="33"/>
        <v>305</v>
      </c>
      <c r="F41" s="45">
        <v>39</v>
      </c>
      <c r="G41" s="13">
        <f t="shared" si="34"/>
        <v>12.786885245901638</v>
      </c>
      <c r="H41" s="38">
        <v>25825</v>
      </c>
      <c r="I41" s="38">
        <v>26147</v>
      </c>
      <c r="J41" s="35">
        <f t="shared" si="35"/>
        <v>322</v>
      </c>
      <c r="K41" s="50">
        <f t="shared" si="36"/>
        <v>39</v>
      </c>
      <c r="L41" s="46">
        <f t="shared" si="37"/>
        <v>12.111801242236025</v>
      </c>
      <c r="M41" s="48">
        <v>18380</v>
      </c>
      <c r="N41" s="47">
        <f t="shared" si="38"/>
        <v>716820</v>
      </c>
      <c r="R41" s="76">
        <f t="shared" si="31"/>
        <v>0</v>
      </c>
    </row>
    <row r="42" spans="1:18" ht="16">
      <c r="A42" s="33">
        <v>46002</v>
      </c>
      <c r="B42" s="44" t="s">
        <v>15</v>
      </c>
      <c r="C42" s="35">
        <v>167014</v>
      </c>
      <c r="D42" s="35">
        <v>167379</v>
      </c>
      <c r="E42" s="11">
        <f t="shared" si="33"/>
        <v>365</v>
      </c>
      <c r="F42" s="45">
        <v>47</v>
      </c>
      <c r="G42" s="13">
        <f t="shared" si="34"/>
        <v>12.876712328767123</v>
      </c>
      <c r="H42" s="38">
        <v>26147</v>
      </c>
      <c r="I42" s="38">
        <v>26430</v>
      </c>
      <c r="J42" s="35">
        <f t="shared" si="35"/>
        <v>283</v>
      </c>
      <c r="K42" s="50">
        <f t="shared" si="36"/>
        <v>47</v>
      </c>
      <c r="L42" s="46">
        <f t="shared" si="37"/>
        <v>16.607773851590103</v>
      </c>
      <c r="M42" s="48">
        <v>18150</v>
      </c>
      <c r="N42" s="47">
        <f t="shared" si="38"/>
        <v>853050</v>
      </c>
      <c r="R42" s="76">
        <f t="shared" si="31"/>
        <v>0</v>
      </c>
    </row>
    <row r="43" spans="1:18" ht="16">
      <c r="A43" s="33">
        <v>46007</v>
      </c>
      <c r="B43" s="44" t="s">
        <v>15</v>
      </c>
      <c r="C43" s="35">
        <v>167379</v>
      </c>
      <c r="D43" s="35">
        <v>167722</v>
      </c>
      <c r="E43" s="11">
        <f t="shared" si="33"/>
        <v>343</v>
      </c>
      <c r="F43" s="45">
        <v>47</v>
      </c>
      <c r="G43" s="13">
        <f t="shared" si="34"/>
        <v>13.702623906705538</v>
      </c>
      <c r="H43" s="38">
        <v>26430</v>
      </c>
      <c r="I43" s="38">
        <v>26800</v>
      </c>
      <c r="J43" s="35">
        <f t="shared" si="35"/>
        <v>370</v>
      </c>
      <c r="K43" s="50">
        <f t="shared" si="36"/>
        <v>47</v>
      </c>
      <c r="L43" s="46">
        <f t="shared" si="37"/>
        <v>12.702702702702704</v>
      </c>
      <c r="M43" s="48">
        <v>18150</v>
      </c>
      <c r="N43" s="47">
        <f t="shared" si="38"/>
        <v>853050</v>
      </c>
      <c r="R43" s="76">
        <f t="shared" si="31"/>
        <v>0</v>
      </c>
    </row>
    <row r="44" spans="1:18" ht="16">
      <c r="A44" s="33">
        <v>46009</v>
      </c>
      <c r="B44" s="44" t="s">
        <v>15</v>
      </c>
      <c r="C44" s="35">
        <v>167722</v>
      </c>
      <c r="D44" s="35">
        <v>168048</v>
      </c>
      <c r="E44" s="11">
        <f t="shared" si="33"/>
        <v>326</v>
      </c>
      <c r="F44" s="45">
        <v>31</v>
      </c>
      <c r="G44" s="13">
        <f t="shared" si="34"/>
        <v>9.5092024539877311</v>
      </c>
      <c r="H44" s="38">
        <v>26800</v>
      </c>
      <c r="I44" s="38">
        <v>27174</v>
      </c>
      <c r="J44" s="35">
        <f t="shared" si="35"/>
        <v>374</v>
      </c>
      <c r="K44" s="50">
        <f t="shared" si="36"/>
        <v>31</v>
      </c>
      <c r="L44" s="46">
        <f t="shared" si="37"/>
        <v>8.2887700534759361</v>
      </c>
      <c r="M44" s="48">
        <v>18150</v>
      </c>
      <c r="N44" s="47">
        <f t="shared" si="38"/>
        <v>562650</v>
      </c>
      <c r="R44" s="76">
        <f t="shared" si="31"/>
        <v>0</v>
      </c>
    </row>
    <row r="45" spans="1:18" ht="16">
      <c r="A45" s="33">
        <v>46013</v>
      </c>
      <c r="B45" s="44" t="s">
        <v>15</v>
      </c>
      <c r="C45" s="35">
        <v>168048</v>
      </c>
      <c r="D45" s="35">
        <v>168308</v>
      </c>
      <c r="E45" s="11">
        <f t="shared" si="33"/>
        <v>260</v>
      </c>
      <c r="F45" s="45">
        <v>41</v>
      </c>
      <c r="G45" s="13">
        <f t="shared" si="34"/>
        <v>15.769230769230768</v>
      </c>
      <c r="H45" s="38">
        <v>27174</v>
      </c>
      <c r="I45" s="38">
        <v>27418</v>
      </c>
      <c r="J45" s="35">
        <f t="shared" si="35"/>
        <v>244</v>
      </c>
      <c r="K45" s="50">
        <f t="shared" si="36"/>
        <v>41</v>
      </c>
      <c r="L45" s="46">
        <f t="shared" si="37"/>
        <v>16.803278688524589</v>
      </c>
      <c r="M45" s="48">
        <v>17470</v>
      </c>
      <c r="N45" s="47">
        <f t="shared" si="38"/>
        <v>716270</v>
      </c>
    </row>
    <row r="46" spans="1:18" ht="16">
      <c r="A46" s="33">
        <v>46016</v>
      </c>
      <c r="B46" s="44" t="s">
        <v>15</v>
      </c>
      <c r="C46" s="35">
        <v>168308</v>
      </c>
      <c r="D46" s="35">
        <v>168678</v>
      </c>
      <c r="E46" s="11">
        <f t="shared" si="33"/>
        <v>370</v>
      </c>
      <c r="F46" s="45">
        <v>42</v>
      </c>
      <c r="G46" s="13">
        <f t="shared" si="34"/>
        <v>11.351351351351353</v>
      </c>
      <c r="H46" s="38">
        <v>27418</v>
      </c>
      <c r="I46" s="38">
        <v>27727</v>
      </c>
      <c r="J46" s="35">
        <f t="shared" si="35"/>
        <v>309</v>
      </c>
      <c r="K46" s="50">
        <f t="shared" si="36"/>
        <v>42</v>
      </c>
      <c r="L46" s="46">
        <f t="shared" si="37"/>
        <v>13.592233009708737</v>
      </c>
      <c r="M46" s="48">
        <v>17250</v>
      </c>
      <c r="N46" s="47">
        <f t="shared" si="38"/>
        <v>724500</v>
      </c>
    </row>
    <row r="47" spans="1:18" ht="16">
      <c r="A47" s="33">
        <v>46020</v>
      </c>
      <c r="B47" s="79" t="s">
        <v>15</v>
      </c>
      <c r="C47" s="35">
        <v>168678</v>
      </c>
      <c r="D47" s="53">
        <v>168991</v>
      </c>
      <c r="E47" s="24">
        <f t="shared" si="33"/>
        <v>313</v>
      </c>
      <c r="F47" s="45">
        <v>40</v>
      </c>
      <c r="G47" s="54">
        <f t="shared" si="34"/>
        <v>12.779552715654951</v>
      </c>
      <c r="H47" s="38">
        <v>27727</v>
      </c>
      <c r="I47" s="55">
        <v>28064</v>
      </c>
      <c r="J47" s="53">
        <f t="shared" si="35"/>
        <v>337</v>
      </c>
      <c r="K47" s="50">
        <f t="shared" si="36"/>
        <v>40</v>
      </c>
      <c r="L47" s="73">
        <f t="shared" si="37"/>
        <v>11.869436201780417</v>
      </c>
      <c r="M47" s="48">
        <v>17250</v>
      </c>
      <c r="N47" s="57">
        <f t="shared" si="38"/>
        <v>690000</v>
      </c>
      <c r="R47" s="76">
        <f t="shared" ref="R47:R56" si="39">Q47</f>
        <v>0</v>
      </c>
    </row>
    <row r="48" spans="1:18" ht="16">
      <c r="A48" s="59"/>
      <c r="B48" s="60"/>
      <c r="C48" s="59"/>
      <c r="D48" s="59" t="s">
        <v>19</v>
      </c>
      <c r="E48" s="59">
        <f t="shared" ref="E48:F48" si="40">SUM(E39:E47)</f>
        <v>2880</v>
      </c>
      <c r="F48" s="59">
        <f t="shared" si="40"/>
        <v>358</v>
      </c>
      <c r="G48" s="61">
        <f>AVERAGE(G39:G47)</f>
        <v>12.476239798533754</v>
      </c>
      <c r="H48" s="59"/>
      <c r="I48" s="62"/>
      <c r="J48" s="59">
        <f t="shared" ref="J48:K48" si="41">SUM(J39:J47)</f>
        <v>28064</v>
      </c>
      <c r="K48" s="59">
        <f t="shared" si="41"/>
        <v>358</v>
      </c>
      <c r="L48" s="61">
        <f>AVERAGE(L39:L47)</f>
        <v>11.241864681245678</v>
      </c>
      <c r="M48" s="64"/>
      <c r="N48" s="65">
        <f>SUM(N39:N47)</f>
        <v>6439380</v>
      </c>
      <c r="R48" s="76">
        <f t="shared" si="39"/>
        <v>0</v>
      </c>
    </row>
    <row r="49" spans="1:18" ht="16">
      <c r="A49" s="66">
        <v>45993</v>
      </c>
      <c r="B49" s="34" t="s">
        <v>16</v>
      </c>
      <c r="C49" s="35">
        <v>142861</v>
      </c>
      <c r="D49" s="35">
        <v>143079</v>
      </c>
      <c r="E49" s="36">
        <f t="shared" ref="E49:E59" si="42">D49-C49</f>
        <v>218</v>
      </c>
      <c r="F49" s="37">
        <v>30</v>
      </c>
      <c r="G49" s="13">
        <f t="shared" ref="G49:G59" si="43">(F49/E49)*100</f>
        <v>13.761467889908257</v>
      </c>
      <c r="H49" s="38">
        <v>27171</v>
      </c>
      <c r="I49" s="38">
        <v>27509</v>
      </c>
      <c r="J49" s="39">
        <f t="shared" ref="J49:J59" si="44">I49-H49</f>
        <v>338</v>
      </c>
      <c r="K49" s="77">
        <f t="shared" ref="K49:K59" si="45">F49</f>
        <v>30</v>
      </c>
      <c r="L49" s="67">
        <f t="shared" ref="L49:L59" si="46">(K49/J49)*100</f>
        <v>8.8757396449704142</v>
      </c>
      <c r="M49" s="68">
        <v>18800</v>
      </c>
      <c r="N49" s="42">
        <f t="shared" ref="N49:N59" si="47">F49*M49</f>
        <v>564000</v>
      </c>
      <c r="R49" s="76">
        <f t="shared" si="39"/>
        <v>0</v>
      </c>
    </row>
    <row r="50" spans="1:18" ht="16">
      <c r="A50" s="80">
        <v>45996</v>
      </c>
      <c r="B50" s="44" t="s">
        <v>16</v>
      </c>
      <c r="C50" s="35">
        <v>143079</v>
      </c>
      <c r="D50" s="35">
        <v>143371</v>
      </c>
      <c r="E50" s="11">
        <f t="shared" si="42"/>
        <v>292</v>
      </c>
      <c r="F50" s="45">
        <v>36</v>
      </c>
      <c r="G50" s="13">
        <f t="shared" si="43"/>
        <v>12.328767123287671</v>
      </c>
      <c r="H50" s="38">
        <v>27509</v>
      </c>
      <c r="I50" s="38">
        <v>27702</v>
      </c>
      <c r="J50" s="35">
        <f t="shared" si="44"/>
        <v>193</v>
      </c>
      <c r="K50" s="50">
        <f t="shared" si="45"/>
        <v>36</v>
      </c>
      <c r="L50" s="46">
        <f t="shared" si="46"/>
        <v>18.652849740932641</v>
      </c>
      <c r="M50" s="48">
        <v>18380</v>
      </c>
      <c r="N50" s="47">
        <f t="shared" si="47"/>
        <v>661680</v>
      </c>
      <c r="R50" s="76">
        <f t="shared" si="39"/>
        <v>0</v>
      </c>
    </row>
    <row r="51" spans="1:18" ht="16">
      <c r="A51" s="80">
        <v>45999</v>
      </c>
      <c r="B51" s="44" t="s">
        <v>16</v>
      </c>
      <c r="C51" s="35">
        <v>143371</v>
      </c>
      <c r="D51" s="35">
        <v>143589</v>
      </c>
      <c r="E51" s="11">
        <f t="shared" si="42"/>
        <v>218</v>
      </c>
      <c r="F51" s="45">
        <v>34</v>
      </c>
      <c r="G51" s="13">
        <f t="shared" si="43"/>
        <v>15.596330275229359</v>
      </c>
      <c r="H51" s="38">
        <v>27702</v>
      </c>
      <c r="I51" s="38">
        <v>27971</v>
      </c>
      <c r="J51" s="35">
        <f t="shared" si="44"/>
        <v>269</v>
      </c>
      <c r="K51" s="50">
        <f t="shared" si="45"/>
        <v>34</v>
      </c>
      <c r="L51" s="46">
        <f t="shared" si="46"/>
        <v>12.639405204460965</v>
      </c>
      <c r="M51" s="48">
        <v>18380</v>
      </c>
      <c r="N51" s="47">
        <f t="shared" si="47"/>
        <v>624920</v>
      </c>
      <c r="R51" s="76">
        <f t="shared" si="39"/>
        <v>0</v>
      </c>
    </row>
    <row r="52" spans="1:18" ht="16">
      <c r="A52" s="80">
        <v>46003</v>
      </c>
      <c r="B52" s="44" t="s">
        <v>16</v>
      </c>
      <c r="C52" s="35"/>
      <c r="D52" s="35"/>
      <c r="E52" s="11">
        <f t="shared" si="42"/>
        <v>0</v>
      </c>
      <c r="F52" s="45">
        <v>39</v>
      </c>
      <c r="G52" s="13" t="e">
        <f t="shared" si="43"/>
        <v>#DIV/0!</v>
      </c>
      <c r="H52" s="38">
        <v>27702</v>
      </c>
      <c r="I52" s="38">
        <v>27971</v>
      </c>
      <c r="J52" s="35">
        <f t="shared" si="44"/>
        <v>269</v>
      </c>
      <c r="K52" s="50">
        <f t="shared" si="45"/>
        <v>39</v>
      </c>
      <c r="L52" s="46">
        <f t="shared" si="46"/>
        <v>14.49814126394052</v>
      </c>
      <c r="M52" s="48">
        <v>18150</v>
      </c>
      <c r="N52" s="47">
        <f t="shared" si="47"/>
        <v>707850</v>
      </c>
      <c r="R52" s="76">
        <f t="shared" si="39"/>
        <v>0</v>
      </c>
    </row>
    <row r="53" spans="1:18" ht="16">
      <c r="A53" s="80">
        <v>46009</v>
      </c>
      <c r="B53" s="44" t="s">
        <v>16</v>
      </c>
      <c r="C53" s="35"/>
      <c r="D53" s="35">
        <v>144204</v>
      </c>
      <c r="E53" s="11">
        <f t="shared" si="42"/>
        <v>144204</v>
      </c>
      <c r="F53" s="45">
        <v>40</v>
      </c>
      <c r="G53" s="13">
        <f t="shared" si="43"/>
        <v>2.7738481595517461E-2</v>
      </c>
      <c r="H53" s="38"/>
      <c r="I53" s="38">
        <v>28615</v>
      </c>
      <c r="J53" s="35">
        <f t="shared" si="44"/>
        <v>28615</v>
      </c>
      <c r="K53" s="50">
        <f t="shared" si="45"/>
        <v>40</v>
      </c>
      <c r="L53" s="46">
        <f t="shared" si="46"/>
        <v>0.1397868250917351</v>
      </c>
      <c r="M53" s="48">
        <v>18150</v>
      </c>
      <c r="N53" s="47">
        <f t="shared" si="47"/>
        <v>726000</v>
      </c>
      <c r="P53" s="78"/>
      <c r="R53" s="76">
        <f t="shared" si="39"/>
        <v>0</v>
      </c>
    </row>
    <row r="54" spans="1:18" ht="16">
      <c r="A54" s="80">
        <v>46011</v>
      </c>
      <c r="B54" s="44" t="s">
        <v>16</v>
      </c>
      <c r="C54" s="35">
        <v>144204</v>
      </c>
      <c r="D54" s="35">
        <v>144456</v>
      </c>
      <c r="E54" s="11">
        <f t="shared" si="42"/>
        <v>252</v>
      </c>
      <c r="F54" s="45">
        <v>35</v>
      </c>
      <c r="G54" s="13">
        <f t="shared" si="43"/>
        <v>13.888888888888889</v>
      </c>
      <c r="H54" s="38">
        <v>28615</v>
      </c>
      <c r="I54" s="38">
        <v>28952</v>
      </c>
      <c r="J54" s="35">
        <f t="shared" si="44"/>
        <v>337</v>
      </c>
      <c r="K54" s="50">
        <f t="shared" si="45"/>
        <v>35</v>
      </c>
      <c r="L54" s="46">
        <f t="shared" si="46"/>
        <v>10.385756676557865</v>
      </c>
      <c r="M54" s="48">
        <v>17470</v>
      </c>
      <c r="N54" s="47">
        <f t="shared" si="47"/>
        <v>611450</v>
      </c>
      <c r="R54" s="76">
        <f t="shared" si="39"/>
        <v>0</v>
      </c>
    </row>
    <row r="55" spans="1:18" ht="16">
      <c r="A55" s="80">
        <v>46015</v>
      </c>
      <c r="B55" s="44" t="s">
        <v>16</v>
      </c>
      <c r="C55" s="35">
        <v>144456</v>
      </c>
      <c r="D55" s="35">
        <v>144788</v>
      </c>
      <c r="E55" s="11">
        <f t="shared" si="42"/>
        <v>332</v>
      </c>
      <c r="F55" s="45">
        <v>43</v>
      </c>
      <c r="G55" s="13">
        <f t="shared" si="43"/>
        <v>12.951807228915662</v>
      </c>
      <c r="H55" s="38">
        <v>28952</v>
      </c>
      <c r="I55" s="38">
        <v>29248</v>
      </c>
      <c r="J55" s="35">
        <f t="shared" si="44"/>
        <v>296</v>
      </c>
      <c r="K55" s="50">
        <f t="shared" si="45"/>
        <v>43</v>
      </c>
      <c r="L55" s="46">
        <f t="shared" si="46"/>
        <v>14.527027027027026</v>
      </c>
      <c r="M55" s="48">
        <v>17470</v>
      </c>
      <c r="N55" s="47">
        <f t="shared" si="47"/>
        <v>751210</v>
      </c>
      <c r="R55" s="76">
        <f t="shared" si="39"/>
        <v>0</v>
      </c>
    </row>
    <row r="56" spans="1:18" ht="16">
      <c r="A56" s="80">
        <v>46020</v>
      </c>
      <c r="B56" s="44" t="s">
        <v>16</v>
      </c>
      <c r="C56" s="35">
        <v>144788</v>
      </c>
      <c r="D56" s="35">
        <v>145148</v>
      </c>
      <c r="E56" s="11">
        <f t="shared" si="42"/>
        <v>360</v>
      </c>
      <c r="F56" s="45">
        <v>47</v>
      </c>
      <c r="G56" s="13">
        <f t="shared" si="43"/>
        <v>13.055555555555557</v>
      </c>
      <c r="H56" s="38">
        <v>29248</v>
      </c>
      <c r="I56" s="38">
        <v>29646</v>
      </c>
      <c r="J56" s="35">
        <f t="shared" si="44"/>
        <v>398</v>
      </c>
      <c r="K56" s="50">
        <f t="shared" si="45"/>
        <v>47</v>
      </c>
      <c r="L56" s="46">
        <f t="shared" si="46"/>
        <v>11.809045226130653</v>
      </c>
      <c r="M56" s="48">
        <v>17250</v>
      </c>
      <c r="N56" s="47">
        <f t="shared" si="47"/>
        <v>810750</v>
      </c>
      <c r="R56" s="76">
        <f t="shared" si="39"/>
        <v>0</v>
      </c>
    </row>
    <row r="57" spans="1:18" ht="16">
      <c r="A57" s="80"/>
      <c r="B57" s="44" t="s">
        <v>16</v>
      </c>
      <c r="C57" s="35"/>
      <c r="D57" s="35"/>
      <c r="E57" s="11">
        <f t="shared" si="42"/>
        <v>0</v>
      </c>
      <c r="F57" s="45"/>
      <c r="G57" s="13" t="e">
        <f t="shared" si="43"/>
        <v>#DIV/0!</v>
      </c>
      <c r="H57" s="38"/>
      <c r="I57" s="38"/>
      <c r="J57" s="35">
        <f t="shared" si="44"/>
        <v>0</v>
      </c>
      <c r="K57" s="50">
        <f t="shared" si="45"/>
        <v>0</v>
      </c>
      <c r="L57" s="46" t="e">
        <f t="shared" si="46"/>
        <v>#DIV/0!</v>
      </c>
      <c r="M57" s="48"/>
      <c r="N57" s="47">
        <f t="shared" si="47"/>
        <v>0</v>
      </c>
    </row>
    <row r="58" spans="1:18" ht="16">
      <c r="A58" s="80"/>
      <c r="B58" s="44" t="s">
        <v>16</v>
      </c>
      <c r="C58" s="35"/>
      <c r="D58" s="35"/>
      <c r="E58" s="11">
        <f t="shared" si="42"/>
        <v>0</v>
      </c>
      <c r="F58" s="45"/>
      <c r="G58" s="13" t="e">
        <f t="shared" si="43"/>
        <v>#DIV/0!</v>
      </c>
      <c r="H58" s="38"/>
      <c r="I58" s="38"/>
      <c r="J58" s="35">
        <f t="shared" si="44"/>
        <v>0</v>
      </c>
      <c r="K58" s="50">
        <f t="shared" si="45"/>
        <v>0</v>
      </c>
      <c r="L58" s="46" t="e">
        <f t="shared" si="46"/>
        <v>#DIV/0!</v>
      </c>
      <c r="M58" s="48"/>
      <c r="N58" s="47">
        <f t="shared" si="47"/>
        <v>0</v>
      </c>
      <c r="R58" s="76">
        <f t="shared" ref="R58:R63" si="48">Q58</f>
        <v>0</v>
      </c>
    </row>
    <row r="59" spans="1:18" ht="16">
      <c r="A59" s="80"/>
      <c r="B59" s="44" t="s">
        <v>16</v>
      </c>
      <c r="C59" s="53"/>
      <c r="D59" s="53"/>
      <c r="E59" s="24">
        <f t="shared" si="42"/>
        <v>0</v>
      </c>
      <c r="F59" s="45"/>
      <c r="G59" s="54" t="e">
        <f t="shared" si="43"/>
        <v>#DIV/0!</v>
      </c>
      <c r="H59" s="53"/>
      <c r="I59" s="55"/>
      <c r="J59" s="53">
        <f t="shared" si="44"/>
        <v>0</v>
      </c>
      <c r="K59" s="50">
        <f t="shared" si="45"/>
        <v>0</v>
      </c>
      <c r="L59" s="73" t="e">
        <f t="shared" si="46"/>
        <v>#DIV/0!</v>
      </c>
      <c r="M59" s="48"/>
      <c r="N59" s="57">
        <f t="shared" si="47"/>
        <v>0</v>
      </c>
      <c r="R59" s="76">
        <f t="shared" si="48"/>
        <v>0</v>
      </c>
    </row>
    <row r="60" spans="1:18" ht="16">
      <c r="A60" s="59"/>
      <c r="B60" s="60"/>
      <c r="C60" s="81"/>
      <c r="D60" s="59" t="s">
        <v>19</v>
      </c>
      <c r="E60" s="59">
        <f>SUM(E49:E59)</f>
        <v>145876</v>
      </c>
      <c r="F60" s="37"/>
      <c r="G60" s="61" t="e">
        <f>AVERAGE(G49:G59)</f>
        <v>#DIV/0!</v>
      </c>
      <c r="H60" s="59"/>
      <c r="I60" s="62"/>
      <c r="J60" s="59">
        <f t="shared" ref="J60:K60" si="49">SUM(J49:J59)</f>
        <v>30715</v>
      </c>
      <c r="K60" s="59">
        <f t="shared" si="49"/>
        <v>304</v>
      </c>
      <c r="L60" s="61" t="e">
        <f>AVERAGE(L49:L59)</f>
        <v>#DIV/0!</v>
      </c>
      <c r="M60" s="64"/>
      <c r="N60" s="65">
        <f>SUM(N49:N59)</f>
        <v>5457860</v>
      </c>
      <c r="R60" s="76">
        <f t="shared" si="48"/>
        <v>0</v>
      </c>
    </row>
    <row r="61" spans="1:18" ht="16">
      <c r="A61" s="66">
        <v>45993</v>
      </c>
      <c r="B61" s="82" t="s">
        <v>18</v>
      </c>
      <c r="C61" s="35">
        <v>147705</v>
      </c>
      <c r="D61" s="35">
        <v>148039</v>
      </c>
      <c r="E61" s="36">
        <f t="shared" ref="E61:E69" si="50">D61-C61</f>
        <v>334</v>
      </c>
      <c r="F61" s="37">
        <v>47</v>
      </c>
      <c r="G61" s="13">
        <f t="shared" ref="G61:G69" si="51">(F61/E61)*100</f>
        <v>14.071856287425149</v>
      </c>
      <c r="H61" s="38">
        <v>19473</v>
      </c>
      <c r="I61" s="38">
        <v>19738</v>
      </c>
      <c r="J61" s="39">
        <f t="shared" ref="J61:J69" si="52">I61-H61</f>
        <v>265</v>
      </c>
      <c r="K61" s="77">
        <f t="shared" ref="K61:K69" si="53">F61</f>
        <v>47</v>
      </c>
      <c r="L61" s="67">
        <f t="shared" ref="L61:L69" si="54">(K61/J61)*100</f>
        <v>17.735849056603772</v>
      </c>
      <c r="M61" s="68">
        <v>18800</v>
      </c>
      <c r="N61" s="42">
        <f t="shared" ref="N61:N69" si="55">F61*M61</f>
        <v>883600</v>
      </c>
      <c r="R61" s="76">
        <f t="shared" si="48"/>
        <v>0</v>
      </c>
    </row>
    <row r="62" spans="1:18" ht="16">
      <c r="A62" s="33">
        <v>45997</v>
      </c>
      <c r="B62" s="44" t="s">
        <v>18</v>
      </c>
      <c r="C62" s="35">
        <v>148039</v>
      </c>
      <c r="D62" s="35">
        <v>148338</v>
      </c>
      <c r="E62" s="11">
        <f t="shared" si="50"/>
        <v>299</v>
      </c>
      <c r="F62" s="45">
        <v>41</v>
      </c>
      <c r="G62" s="13">
        <f t="shared" si="51"/>
        <v>13.712374581939798</v>
      </c>
      <c r="H62" s="38">
        <v>19738</v>
      </c>
      <c r="I62" s="38">
        <v>20035</v>
      </c>
      <c r="J62" s="35">
        <f t="shared" si="52"/>
        <v>297</v>
      </c>
      <c r="K62" s="50">
        <f t="shared" si="53"/>
        <v>41</v>
      </c>
      <c r="L62" s="46">
        <f t="shared" si="54"/>
        <v>13.804713804713806</v>
      </c>
      <c r="M62" s="48">
        <v>18380</v>
      </c>
      <c r="N62" s="47">
        <f t="shared" si="55"/>
        <v>753580</v>
      </c>
      <c r="R62" s="76">
        <f t="shared" si="48"/>
        <v>0</v>
      </c>
    </row>
    <row r="63" spans="1:18" ht="16">
      <c r="A63" s="33">
        <v>46001</v>
      </c>
      <c r="B63" s="44" t="s">
        <v>18</v>
      </c>
      <c r="C63" s="35">
        <v>148338</v>
      </c>
      <c r="D63" s="35">
        <v>148669</v>
      </c>
      <c r="E63" s="11">
        <f t="shared" si="50"/>
        <v>331</v>
      </c>
      <c r="F63" s="45">
        <v>45</v>
      </c>
      <c r="G63" s="13">
        <f t="shared" si="51"/>
        <v>13.595166163141995</v>
      </c>
      <c r="H63" s="38">
        <v>20035</v>
      </c>
      <c r="I63" s="38">
        <v>20412</v>
      </c>
      <c r="J63" s="35">
        <f t="shared" si="52"/>
        <v>377</v>
      </c>
      <c r="K63" s="50">
        <f t="shared" si="53"/>
        <v>45</v>
      </c>
      <c r="L63" s="46">
        <f t="shared" si="54"/>
        <v>11.936339522546419</v>
      </c>
      <c r="M63" s="48">
        <v>18380</v>
      </c>
      <c r="N63" s="47">
        <f t="shared" si="55"/>
        <v>827100</v>
      </c>
      <c r="R63" s="76">
        <f t="shared" si="48"/>
        <v>0</v>
      </c>
    </row>
    <row r="64" spans="1:18" ht="16">
      <c r="A64" s="33">
        <v>46006</v>
      </c>
      <c r="B64" s="44" t="s">
        <v>18</v>
      </c>
      <c r="C64" s="35">
        <v>148669</v>
      </c>
      <c r="D64" s="35">
        <v>149061</v>
      </c>
      <c r="E64" s="11">
        <f t="shared" si="50"/>
        <v>392</v>
      </c>
      <c r="F64" s="45">
        <v>53</v>
      </c>
      <c r="G64" s="13">
        <f t="shared" si="51"/>
        <v>13.520408163265307</v>
      </c>
      <c r="H64" s="38">
        <v>20412</v>
      </c>
      <c r="I64" s="38">
        <v>20854</v>
      </c>
      <c r="J64" s="35">
        <f t="shared" si="52"/>
        <v>442</v>
      </c>
      <c r="K64" s="50">
        <f t="shared" si="53"/>
        <v>53</v>
      </c>
      <c r="L64" s="46">
        <f t="shared" si="54"/>
        <v>11.990950226244344</v>
      </c>
      <c r="M64" s="48">
        <v>18150</v>
      </c>
      <c r="N64" s="47">
        <f t="shared" si="55"/>
        <v>961950</v>
      </c>
    </row>
    <row r="65" spans="1:18" ht="16">
      <c r="A65" s="33">
        <v>46009</v>
      </c>
      <c r="B65" s="44" t="s">
        <v>18</v>
      </c>
      <c r="C65" s="35">
        <v>149061</v>
      </c>
      <c r="D65" s="35">
        <v>149359</v>
      </c>
      <c r="E65" s="11">
        <f t="shared" si="50"/>
        <v>298</v>
      </c>
      <c r="F65" s="45">
        <v>38</v>
      </c>
      <c r="G65" s="13">
        <f t="shared" si="51"/>
        <v>12.751677852348994</v>
      </c>
      <c r="H65" s="38">
        <v>20854</v>
      </c>
      <c r="I65" s="38">
        <v>21149</v>
      </c>
      <c r="J65" s="35">
        <f t="shared" si="52"/>
        <v>295</v>
      </c>
      <c r="K65" s="50">
        <f t="shared" si="53"/>
        <v>38</v>
      </c>
      <c r="L65" s="46">
        <f t="shared" si="54"/>
        <v>12.881355932203389</v>
      </c>
      <c r="M65" s="48">
        <v>17470</v>
      </c>
      <c r="N65" s="47">
        <f t="shared" si="55"/>
        <v>663860</v>
      </c>
      <c r="R65" s="76">
        <f t="shared" ref="R65:R161" si="56">Q65</f>
        <v>0</v>
      </c>
    </row>
    <row r="66" spans="1:18" ht="16">
      <c r="A66" s="33">
        <v>46014</v>
      </c>
      <c r="B66" s="44" t="s">
        <v>18</v>
      </c>
      <c r="C66" s="35">
        <v>149359</v>
      </c>
      <c r="D66" s="35">
        <v>149729</v>
      </c>
      <c r="E66" s="11">
        <f t="shared" si="50"/>
        <v>370</v>
      </c>
      <c r="F66" s="45">
        <v>51</v>
      </c>
      <c r="G66" s="13">
        <f t="shared" si="51"/>
        <v>13.783783783783784</v>
      </c>
      <c r="H66" s="38">
        <v>21149</v>
      </c>
      <c r="I66" s="38">
        <v>21556</v>
      </c>
      <c r="J66" s="35">
        <f t="shared" si="52"/>
        <v>407</v>
      </c>
      <c r="K66" s="50">
        <f t="shared" si="53"/>
        <v>51</v>
      </c>
      <c r="L66" s="46">
        <f t="shared" si="54"/>
        <v>12.530712530712531</v>
      </c>
      <c r="M66" s="48">
        <v>17470</v>
      </c>
      <c r="N66" s="47">
        <f t="shared" si="55"/>
        <v>890970</v>
      </c>
      <c r="R66" s="76">
        <f t="shared" si="56"/>
        <v>0</v>
      </c>
    </row>
    <row r="67" spans="1:18" ht="16">
      <c r="A67" s="33">
        <v>46018</v>
      </c>
      <c r="B67" s="44" t="s">
        <v>18</v>
      </c>
      <c r="C67" s="35">
        <v>149729</v>
      </c>
      <c r="D67" s="35">
        <v>150067</v>
      </c>
      <c r="E67" s="51">
        <f t="shared" si="50"/>
        <v>338</v>
      </c>
      <c r="F67" s="45">
        <v>45</v>
      </c>
      <c r="G67" s="13">
        <f t="shared" si="51"/>
        <v>13.313609467455622</v>
      </c>
      <c r="H67" s="38">
        <v>21556</v>
      </c>
      <c r="I67" s="38">
        <v>21990</v>
      </c>
      <c r="J67" s="35">
        <f t="shared" si="52"/>
        <v>434</v>
      </c>
      <c r="K67" s="50">
        <f t="shared" si="53"/>
        <v>45</v>
      </c>
      <c r="L67" s="46">
        <f t="shared" si="54"/>
        <v>10.368663594470046</v>
      </c>
      <c r="M67" s="48">
        <v>17250</v>
      </c>
      <c r="N67" s="47">
        <f t="shared" si="55"/>
        <v>776250</v>
      </c>
      <c r="R67" s="76">
        <f t="shared" si="56"/>
        <v>0</v>
      </c>
    </row>
    <row r="68" spans="1:18" ht="16">
      <c r="A68" s="43"/>
      <c r="B68" s="49" t="s">
        <v>18</v>
      </c>
      <c r="C68" s="10"/>
      <c r="D68" s="50"/>
      <c r="E68" s="51">
        <f t="shared" si="50"/>
        <v>0</v>
      </c>
      <c r="F68" s="45"/>
      <c r="G68" s="13" t="e">
        <f t="shared" si="51"/>
        <v>#DIV/0!</v>
      </c>
      <c r="H68" s="35"/>
      <c r="I68" s="38"/>
      <c r="J68" s="35">
        <f t="shared" si="52"/>
        <v>0</v>
      </c>
      <c r="K68" s="50">
        <f t="shared" si="53"/>
        <v>0</v>
      </c>
      <c r="L68" s="46" t="e">
        <f t="shared" si="54"/>
        <v>#DIV/0!</v>
      </c>
      <c r="M68" s="48"/>
      <c r="N68" s="47">
        <f t="shared" si="55"/>
        <v>0</v>
      </c>
      <c r="R68" s="76">
        <f t="shared" si="56"/>
        <v>0</v>
      </c>
    </row>
    <row r="69" spans="1:18" ht="16">
      <c r="A69" s="33"/>
      <c r="B69" s="44" t="s">
        <v>18</v>
      </c>
      <c r="C69" s="12"/>
      <c r="D69" s="53"/>
      <c r="E69" s="24">
        <f t="shared" si="50"/>
        <v>0</v>
      </c>
      <c r="F69" s="45"/>
      <c r="G69" s="54" t="e">
        <f t="shared" si="51"/>
        <v>#DIV/0!</v>
      </c>
      <c r="H69" s="53"/>
      <c r="I69" s="55"/>
      <c r="J69" s="53">
        <f t="shared" si="52"/>
        <v>0</v>
      </c>
      <c r="K69" s="50">
        <f t="shared" si="53"/>
        <v>0</v>
      </c>
      <c r="L69" s="73" t="e">
        <f t="shared" si="54"/>
        <v>#DIV/0!</v>
      </c>
      <c r="M69" s="48"/>
      <c r="N69" s="57">
        <f t="shared" si="55"/>
        <v>0</v>
      </c>
      <c r="R69" s="76">
        <f t="shared" si="56"/>
        <v>0</v>
      </c>
    </row>
    <row r="70" spans="1:18" ht="16">
      <c r="A70" s="59"/>
      <c r="B70" s="60"/>
      <c r="C70" s="63"/>
      <c r="D70" s="59" t="s">
        <v>19</v>
      </c>
      <c r="E70" s="59">
        <f t="shared" ref="E70:F70" si="57">SUM(E61:E69)</f>
        <v>2362</v>
      </c>
      <c r="F70" s="59">
        <f t="shared" si="57"/>
        <v>320</v>
      </c>
      <c r="G70" s="61" t="e">
        <f>AVERAGE(G61:G69)</f>
        <v>#DIV/0!</v>
      </c>
      <c r="H70" s="59"/>
      <c r="I70" s="62"/>
      <c r="J70" s="59">
        <f t="shared" ref="J70:K70" si="58">SUM(J61:J69)</f>
        <v>2517</v>
      </c>
      <c r="K70" s="59">
        <f t="shared" si="58"/>
        <v>320</v>
      </c>
      <c r="L70" s="61" t="e">
        <f>AVERAGE(L61:L69)</f>
        <v>#DIV/0!</v>
      </c>
      <c r="M70" s="64"/>
      <c r="N70" s="65">
        <f>SUM(N61:N69)</f>
        <v>5757310</v>
      </c>
      <c r="R70" s="76">
        <f t="shared" si="56"/>
        <v>0</v>
      </c>
    </row>
    <row r="71" spans="1:18" ht="16">
      <c r="A71" s="66">
        <v>45995</v>
      </c>
      <c r="B71" s="34" t="s">
        <v>20</v>
      </c>
      <c r="C71" s="35">
        <v>393946</v>
      </c>
      <c r="D71" s="35">
        <v>394711</v>
      </c>
      <c r="E71" s="36">
        <f t="shared" ref="E71:E74" si="59">D71-C71</f>
        <v>765</v>
      </c>
      <c r="F71" s="37">
        <v>87</v>
      </c>
      <c r="G71" s="13">
        <f t="shared" ref="G71:G77" si="60">(F71/E71)*100</f>
        <v>11.372549019607844</v>
      </c>
      <c r="H71" s="38"/>
      <c r="I71" s="38">
        <v>26896</v>
      </c>
      <c r="J71" s="39">
        <f t="shared" ref="J71:J77" si="61">I71-H71</f>
        <v>26896</v>
      </c>
      <c r="K71" s="77">
        <f t="shared" ref="K71:K74" si="62">F71</f>
        <v>87</v>
      </c>
      <c r="L71" s="67">
        <f t="shared" ref="L71:L77" si="63">(K71/J71)*100</f>
        <v>0.32346817370612735</v>
      </c>
      <c r="M71" s="68">
        <v>18800</v>
      </c>
      <c r="N71" s="42">
        <f t="shared" ref="N71:N74" si="64">F71*M71</f>
        <v>1635600</v>
      </c>
      <c r="R71" s="76">
        <f t="shared" si="56"/>
        <v>0</v>
      </c>
    </row>
    <row r="72" spans="1:18" ht="16">
      <c r="A72" s="33">
        <v>46003</v>
      </c>
      <c r="B72" s="44" t="s">
        <v>20</v>
      </c>
      <c r="C72" s="35">
        <v>394711</v>
      </c>
      <c r="D72" s="35">
        <v>395322</v>
      </c>
      <c r="E72" s="11">
        <f t="shared" si="59"/>
        <v>611</v>
      </c>
      <c r="F72" s="45">
        <v>84</v>
      </c>
      <c r="G72" s="13">
        <f t="shared" si="60"/>
        <v>13.747954173486088</v>
      </c>
      <c r="H72" s="38">
        <v>26896</v>
      </c>
      <c r="I72" s="83">
        <v>27497</v>
      </c>
      <c r="J72" s="35">
        <f t="shared" si="61"/>
        <v>601</v>
      </c>
      <c r="K72" s="50">
        <f t="shared" si="62"/>
        <v>84</v>
      </c>
      <c r="L72" s="46">
        <f t="shared" si="63"/>
        <v>13.976705490848584</v>
      </c>
      <c r="M72" s="48">
        <v>18150</v>
      </c>
      <c r="N72" s="47">
        <f t="shared" si="64"/>
        <v>1524600</v>
      </c>
      <c r="R72" s="76">
        <f t="shared" si="56"/>
        <v>0</v>
      </c>
    </row>
    <row r="73" spans="1:18" ht="16">
      <c r="A73" s="33">
        <v>46009</v>
      </c>
      <c r="B73" s="44" t="s">
        <v>20</v>
      </c>
      <c r="C73" s="35">
        <v>395322</v>
      </c>
      <c r="D73" s="35">
        <v>395853</v>
      </c>
      <c r="E73" s="11">
        <f t="shared" si="59"/>
        <v>531</v>
      </c>
      <c r="F73" s="45">
        <v>70</v>
      </c>
      <c r="G73" s="13">
        <f t="shared" si="60"/>
        <v>13.182674199623351</v>
      </c>
      <c r="H73" s="83">
        <v>27497</v>
      </c>
      <c r="I73" s="38">
        <v>28013</v>
      </c>
      <c r="J73" s="35">
        <f t="shared" si="61"/>
        <v>516</v>
      </c>
      <c r="K73" s="50">
        <f t="shared" si="62"/>
        <v>70</v>
      </c>
      <c r="L73" s="46">
        <f t="shared" si="63"/>
        <v>13.565891472868216</v>
      </c>
      <c r="M73" s="48">
        <v>17470</v>
      </c>
      <c r="N73" s="47">
        <f t="shared" si="64"/>
        <v>1222900</v>
      </c>
      <c r="R73" s="76">
        <f t="shared" si="56"/>
        <v>0</v>
      </c>
    </row>
    <row r="74" spans="1:18" ht="16">
      <c r="A74" s="33">
        <v>46016</v>
      </c>
      <c r="B74" s="44" t="s">
        <v>20</v>
      </c>
      <c r="C74" s="35">
        <v>395853</v>
      </c>
      <c r="D74" s="35">
        <v>396468</v>
      </c>
      <c r="E74" s="11">
        <f t="shared" si="59"/>
        <v>615</v>
      </c>
      <c r="F74" s="45">
        <v>80</v>
      </c>
      <c r="G74" s="13">
        <f t="shared" si="60"/>
        <v>13.008130081300814</v>
      </c>
      <c r="H74" s="38">
        <v>28013</v>
      </c>
      <c r="I74" s="38">
        <v>28648</v>
      </c>
      <c r="J74" s="35">
        <f t="shared" si="61"/>
        <v>635</v>
      </c>
      <c r="K74" s="50">
        <f t="shared" si="62"/>
        <v>80</v>
      </c>
      <c r="L74" s="46">
        <f t="shared" si="63"/>
        <v>12.598425196850393</v>
      </c>
      <c r="M74" s="48">
        <v>17250</v>
      </c>
      <c r="N74" s="47">
        <f t="shared" si="64"/>
        <v>1380000</v>
      </c>
      <c r="R74" s="76">
        <f t="shared" si="56"/>
        <v>0</v>
      </c>
    </row>
    <row r="75" spans="1:18" ht="16">
      <c r="A75" s="33"/>
      <c r="B75" s="44" t="s">
        <v>20</v>
      </c>
      <c r="C75" s="35"/>
      <c r="D75" s="35"/>
      <c r="E75" s="11"/>
      <c r="F75" s="45"/>
      <c r="G75" s="13" t="e">
        <f t="shared" si="60"/>
        <v>#DIV/0!</v>
      </c>
      <c r="H75" s="35"/>
      <c r="I75" s="38"/>
      <c r="J75" s="35">
        <f t="shared" si="61"/>
        <v>0</v>
      </c>
      <c r="K75" s="50"/>
      <c r="L75" s="46" t="e">
        <f t="shared" si="63"/>
        <v>#DIV/0!</v>
      </c>
      <c r="M75" s="48"/>
      <c r="N75" s="47">
        <f>M75*K75</f>
        <v>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ref="E76:E77" si="65">D76-C76</f>
        <v>0</v>
      </c>
      <c r="F76" s="84"/>
      <c r="G76" s="13" t="e">
        <f t="shared" si="60"/>
        <v>#DIV/0!</v>
      </c>
      <c r="H76" s="35"/>
      <c r="I76" s="38"/>
      <c r="J76" s="35">
        <f t="shared" si="61"/>
        <v>0</v>
      </c>
      <c r="K76" s="50">
        <f t="shared" ref="K76:K77" si="66">F76</f>
        <v>0</v>
      </c>
      <c r="L76" s="46" t="e">
        <f t="shared" si="63"/>
        <v>#DIV/0!</v>
      </c>
      <c r="M76" s="48"/>
      <c r="N76" s="47">
        <f t="shared" ref="N76:N77" si="67">F76*M76</f>
        <v>0</v>
      </c>
      <c r="R76" s="76">
        <f t="shared" si="56"/>
        <v>0</v>
      </c>
    </row>
    <row r="77" spans="1:18" ht="16">
      <c r="A77" s="87"/>
      <c r="B77" s="239"/>
      <c r="C77" s="53"/>
      <c r="D77" s="53"/>
      <c r="E77" s="24">
        <f t="shared" si="65"/>
        <v>0</v>
      </c>
      <c r="F77" s="45"/>
      <c r="G77" s="54" t="e">
        <f t="shared" si="60"/>
        <v>#DIV/0!</v>
      </c>
      <c r="H77" s="53"/>
      <c r="I77" s="55"/>
      <c r="J77" s="53">
        <f t="shared" si="61"/>
        <v>0</v>
      </c>
      <c r="K77" s="50">
        <f t="shared" si="66"/>
        <v>0</v>
      </c>
      <c r="L77" s="73" t="e">
        <f t="shared" si="63"/>
        <v>#DIV/0!</v>
      </c>
      <c r="M77" s="56"/>
      <c r="N77" s="57">
        <f t="shared" si="67"/>
        <v>0</v>
      </c>
      <c r="R77" s="76">
        <f t="shared" si="56"/>
        <v>0</v>
      </c>
    </row>
    <row r="78" spans="1:18" ht="16">
      <c r="A78" s="59"/>
      <c r="B78" s="60"/>
      <c r="C78" s="59"/>
      <c r="D78" s="59" t="s">
        <v>19</v>
      </c>
      <c r="E78" s="59">
        <f>SUM(E71:E77)</f>
        <v>2522</v>
      </c>
      <c r="F78" s="37"/>
      <c r="G78" s="61" t="e">
        <f>AVERAGE(G71:G77)</f>
        <v>#DIV/0!</v>
      </c>
      <c r="H78" s="59"/>
      <c r="I78" s="62"/>
      <c r="J78" s="59">
        <f>SUM(J71:J77)</f>
        <v>28648</v>
      </c>
      <c r="K78" s="59">
        <f>SUM(K72:K77)</f>
        <v>234</v>
      </c>
      <c r="L78" s="61" t="e">
        <f>AVERAGE(L71:L77)</f>
        <v>#DIV/0!</v>
      </c>
      <c r="M78" s="64"/>
      <c r="N78" s="65">
        <f>SUM(N71:N77)</f>
        <v>5763100</v>
      </c>
      <c r="R78" s="76">
        <f t="shared" si="56"/>
        <v>0</v>
      </c>
    </row>
    <row r="79" spans="1:18" ht="16">
      <c r="A79" s="85">
        <v>45996</v>
      </c>
      <c r="B79" s="34" t="s">
        <v>21</v>
      </c>
      <c r="C79" s="35">
        <v>375459</v>
      </c>
      <c r="D79" s="35">
        <v>376000</v>
      </c>
      <c r="E79" s="36">
        <f t="shared" ref="E79:E85" si="68">D79-C79</f>
        <v>541</v>
      </c>
      <c r="F79" s="37">
        <v>74</v>
      </c>
      <c r="G79" s="13">
        <f t="shared" ref="G79:G85" si="69">(F79/E79)*100</f>
        <v>13.67837338262477</v>
      </c>
      <c r="H79" s="38">
        <v>18829</v>
      </c>
      <c r="I79" s="38">
        <v>19216</v>
      </c>
      <c r="J79" s="39">
        <f t="shared" ref="J79:J85" si="70">I79-H79</f>
        <v>387</v>
      </c>
      <c r="K79" s="77">
        <f t="shared" ref="K79:K85" si="71">F79</f>
        <v>74</v>
      </c>
      <c r="L79" s="67">
        <f t="shared" ref="L79:L85" si="72">(K79/J79)*100</f>
        <v>19.12144702842377</v>
      </c>
      <c r="M79" s="68">
        <v>18380</v>
      </c>
      <c r="N79" s="42">
        <f t="shared" ref="N79:N85" si="73">F79*M79</f>
        <v>1360120</v>
      </c>
      <c r="R79" s="76">
        <f t="shared" si="56"/>
        <v>0</v>
      </c>
    </row>
    <row r="80" spans="1:18" ht="16">
      <c r="A80" s="86">
        <v>46002</v>
      </c>
      <c r="B80" s="44" t="s">
        <v>21</v>
      </c>
      <c r="C80" s="35">
        <v>376000</v>
      </c>
      <c r="D80" s="35">
        <v>376622</v>
      </c>
      <c r="E80" s="11">
        <f t="shared" si="68"/>
        <v>622</v>
      </c>
      <c r="F80" s="45">
        <v>76</v>
      </c>
      <c r="G80" s="13">
        <f t="shared" si="69"/>
        <v>12.218649517684888</v>
      </c>
      <c r="H80" s="240">
        <v>19216</v>
      </c>
      <c r="I80" s="38">
        <v>19871</v>
      </c>
      <c r="J80" s="35">
        <f t="shared" si="70"/>
        <v>655</v>
      </c>
      <c r="K80" s="50">
        <f t="shared" si="71"/>
        <v>76</v>
      </c>
      <c r="L80" s="46">
        <f t="shared" si="72"/>
        <v>11.603053435114504</v>
      </c>
      <c r="M80" s="48">
        <v>18150</v>
      </c>
      <c r="N80" s="47">
        <f t="shared" si="73"/>
        <v>1379400</v>
      </c>
      <c r="R80" s="76">
        <f t="shared" si="56"/>
        <v>0</v>
      </c>
    </row>
    <row r="81" spans="1:18" ht="16">
      <c r="A81" s="86">
        <v>46009</v>
      </c>
      <c r="B81" s="44" t="s">
        <v>21</v>
      </c>
      <c r="C81" s="35">
        <v>376622</v>
      </c>
      <c r="D81" s="35">
        <v>377218</v>
      </c>
      <c r="E81" s="11">
        <f t="shared" si="68"/>
        <v>596</v>
      </c>
      <c r="F81" s="45">
        <v>82</v>
      </c>
      <c r="G81" s="13">
        <f t="shared" si="69"/>
        <v>13.758389261744966</v>
      </c>
      <c r="H81" s="38">
        <v>19871</v>
      </c>
      <c r="I81" s="38">
        <v>20444</v>
      </c>
      <c r="J81" s="35">
        <f t="shared" si="70"/>
        <v>573</v>
      </c>
      <c r="K81" s="50">
        <f t="shared" si="71"/>
        <v>82</v>
      </c>
      <c r="L81" s="46">
        <f t="shared" si="72"/>
        <v>14.31064572425829</v>
      </c>
      <c r="M81" s="48">
        <v>17470</v>
      </c>
      <c r="N81" s="47">
        <f t="shared" si="73"/>
        <v>1432540</v>
      </c>
      <c r="R81" s="76">
        <f t="shared" si="56"/>
        <v>0</v>
      </c>
    </row>
    <row r="82" spans="1:18" ht="16">
      <c r="A82" s="86">
        <v>46015</v>
      </c>
      <c r="B82" s="44" t="s">
        <v>21</v>
      </c>
      <c r="C82" s="35">
        <v>377218</v>
      </c>
      <c r="D82" s="35">
        <v>377771</v>
      </c>
      <c r="E82" s="11">
        <f t="shared" si="68"/>
        <v>553</v>
      </c>
      <c r="F82" s="45">
        <v>76</v>
      </c>
      <c r="G82" s="13">
        <f t="shared" si="69"/>
        <v>13.743218806509946</v>
      </c>
      <c r="H82" s="38">
        <v>20444</v>
      </c>
      <c r="I82" s="38">
        <v>20998</v>
      </c>
      <c r="J82" s="35">
        <f t="shared" si="70"/>
        <v>554</v>
      </c>
      <c r="K82" s="50">
        <f t="shared" si="71"/>
        <v>76</v>
      </c>
      <c r="L82" s="46">
        <f t="shared" si="72"/>
        <v>13.718411552346572</v>
      </c>
      <c r="M82" s="48">
        <v>17470</v>
      </c>
      <c r="N82" s="47">
        <f t="shared" si="73"/>
        <v>1327720</v>
      </c>
      <c r="R82" s="76">
        <f t="shared" si="56"/>
        <v>0</v>
      </c>
    </row>
    <row r="83" spans="1:18" ht="16">
      <c r="A83" s="33">
        <v>46021</v>
      </c>
      <c r="B83" s="44" t="s">
        <v>21</v>
      </c>
      <c r="C83" s="35">
        <v>377771</v>
      </c>
      <c r="D83" s="35">
        <v>378341</v>
      </c>
      <c r="E83" s="11">
        <f t="shared" si="68"/>
        <v>570</v>
      </c>
      <c r="F83" s="45">
        <v>75</v>
      </c>
      <c r="G83" s="13">
        <f t="shared" si="69"/>
        <v>13.157894736842104</v>
      </c>
      <c r="H83" s="38">
        <v>20998</v>
      </c>
      <c r="I83" s="38">
        <v>21595</v>
      </c>
      <c r="J83" s="35">
        <f t="shared" si="70"/>
        <v>597</v>
      </c>
      <c r="K83" s="50">
        <f t="shared" si="71"/>
        <v>75</v>
      </c>
      <c r="L83" s="46">
        <f t="shared" si="72"/>
        <v>12.562814070351758</v>
      </c>
      <c r="M83" s="48">
        <v>17250</v>
      </c>
      <c r="N83" s="47">
        <f t="shared" si="73"/>
        <v>1293750</v>
      </c>
      <c r="R83" s="76">
        <f t="shared" si="56"/>
        <v>0</v>
      </c>
    </row>
    <row r="84" spans="1:18" ht="16">
      <c r="A84" s="86"/>
      <c r="B84" s="44" t="s">
        <v>37</v>
      </c>
      <c r="C84" s="35"/>
      <c r="D84" s="35"/>
      <c r="E84" s="11">
        <f t="shared" si="68"/>
        <v>0</v>
      </c>
      <c r="F84" s="45"/>
      <c r="G84" s="13" t="e">
        <f t="shared" si="69"/>
        <v>#DIV/0!</v>
      </c>
      <c r="H84" s="35"/>
      <c r="I84" s="38"/>
      <c r="J84" s="35">
        <f t="shared" si="70"/>
        <v>0</v>
      </c>
      <c r="K84" s="50">
        <f t="shared" si="71"/>
        <v>0</v>
      </c>
      <c r="L84" s="46" t="e">
        <f t="shared" si="72"/>
        <v>#DIV/0!</v>
      </c>
      <c r="M84" s="48"/>
      <c r="N84" s="47">
        <f t="shared" si="73"/>
        <v>0</v>
      </c>
      <c r="R84" s="76">
        <f t="shared" si="56"/>
        <v>0</v>
      </c>
    </row>
    <row r="85" spans="1:18" ht="16">
      <c r="A85" s="87"/>
      <c r="B85" s="239"/>
      <c r="C85" s="53"/>
      <c r="D85" s="53"/>
      <c r="E85" s="24">
        <f t="shared" si="68"/>
        <v>0</v>
      </c>
      <c r="F85" s="45"/>
      <c r="G85" s="54" t="e">
        <f t="shared" si="69"/>
        <v>#DIV/0!</v>
      </c>
      <c r="H85" s="53"/>
      <c r="I85" s="55"/>
      <c r="J85" s="53">
        <f t="shared" si="70"/>
        <v>0</v>
      </c>
      <c r="K85" s="50">
        <f t="shared" si="71"/>
        <v>0</v>
      </c>
      <c r="L85" s="73" t="e">
        <f t="shared" si="72"/>
        <v>#DIV/0!</v>
      </c>
      <c r="M85" s="56"/>
      <c r="N85" s="57">
        <f t="shared" si="73"/>
        <v>0</v>
      </c>
      <c r="R85" s="76">
        <f t="shared" si="56"/>
        <v>0</v>
      </c>
    </row>
    <row r="86" spans="1:18" ht="16">
      <c r="A86" s="59"/>
      <c r="B86" s="60"/>
      <c r="C86" s="59"/>
      <c r="D86" s="59" t="s">
        <v>19</v>
      </c>
      <c r="E86" s="59">
        <f>SUM(E79:E85)</f>
        <v>2882</v>
      </c>
      <c r="F86" s="37"/>
      <c r="G86" s="61" t="e">
        <f>AVERAGE(G79:G85)</f>
        <v>#DIV/0!</v>
      </c>
      <c r="H86" s="59"/>
      <c r="I86" s="62"/>
      <c r="J86" s="59">
        <f t="shared" ref="J86:K86" si="74">SUM(J79:J85)</f>
        <v>2766</v>
      </c>
      <c r="K86" s="59">
        <f t="shared" si="74"/>
        <v>383</v>
      </c>
      <c r="L86" s="61" t="e">
        <f>AVERAGE(L79:L85)</f>
        <v>#DIV/0!</v>
      </c>
      <c r="M86" s="64"/>
      <c r="N86" s="65">
        <f>SUM(N79:N85)</f>
        <v>6793530</v>
      </c>
      <c r="R86" s="76">
        <f t="shared" si="56"/>
        <v>0</v>
      </c>
    </row>
    <row r="87" spans="1:18" ht="16">
      <c r="A87" s="33">
        <v>45996</v>
      </c>
      <c r="B87" s="82" t="s">
        <v>22</v>
      </c>
      <c r="C87" s="35">
        <v>209110</v>
      </c>
      <c r="D87" s="35">
        <v>209775</v>
      </c>
      <c r="E87" s="36">
        <f t="shared" ref="E87:E93" si="75">D87-C87</f>
        <v>665</v>
      </c>
      <c r="F87" s="37">
        <v>20</v>
      </c>
      <c r="G87" s="13">
        <f t="shared" ref="G87:G93" si="76">(F87/E87)*100</f>
        <v>3.007518796992481</v>
      </c>
      <c r="H87" s="38">
        <v>18585</v>
      </c>
      <c r="I87" s="38">
        <v>19117</v>
      </c>
      <c r="J87" s="39">
        <f t="shared" ref="J87:J93" si="77">I87-H87</f>
        <v>532</v>
      </c>
      <c r="K87" s="77">
        <f t="shared" ref="K87:K93" si="78">F87</f>
        <v>20</v>
      </c>
      <c r="L87" s="67">
        <f t="shared" ref="L87:L93" si="79">(K87/J87)*100</f>
        <v>3.7593984962406015</v>
      </c>
      <c r="M87" s="68">
        <v>18380</v>
      </c>
      <c r="N87" s="42">
        <f t="shared" ref="N87:N93" si="80">F87*M87</f>
        <v>367600</v>
      </c>
      <c r="R87" s="76">
        <f t="shared" si="56"/>
        <v>0</v>
      </c>
    </row>
    <row r="88" spans="1:18" ht="16">
      <c r="A88" s="33">
        <v>45999</v>
      </c>
      <c r="B88" s="44" t="s">
        <v>22</v>
      </c>
      <c r="C88" s="35">
        <v>209775</v>
      </c>
      <c r="D88" s="35">
        <v>209908</v>
      </c>
      <c r="E88" s="11">
        <f t="shared" si="75"/>
        <v>133</v>
      </c>
      <c r="F88" s="45">
        <v>80</v>
      </c>
      <c r="G88" s="13">
        <f t="shared" si="76"/>
        <v>60.150375939849624</v>
      </c>
      <c r="H88" s="38">
        <v>19117</v>
      </c>
      <c r="I88" s="38">
        <v>19125</v>
      </c>
      <c r="J88" s="35">
        <f t="shared" si="77"/>
        <v>8</v>
      </c>
      <c r="K88" s="50">
        <f t="shared" si="78"/>
        <v>80</v>
      </c>
      <c r="L88" s="46">
        <f t="shared" si="79"/>
        <v>1000</v>
      </c>
      <c r="M88" s="48">
        <v>18380</v>
      </c>
      <c r="N88" s="47">
        <f t="shared" si="80"/>
        <v>1470400</v>
      </c>
      <c r="R88" s="76">
        <f t="shared" si="56"/>
        <v>0</v>
      </c>
    </row>
    <row r="89" spans="1:18" ht="16">
      <c r="A89" s="33">
        <v>46006</v>
      </c>
      <c r="B89" s="44" t="s">
        <v>22</v>
      </c>
      <c r="C89" s="35">
        <v>209908</v>
      </c>
      <c r="D89" s="35">
        <v>210475</v>
      </c>
      <c r="E89" s="11">
        <f t="shared" si="75"/>
        <v>567</v>
      </c>
      <c r="F89" s="45">
        <v>74</v>
      </c>
      <c r="G89" s="13">
        <f t="shared" si="76"/>
        <v>13.051146384479717</v>
      </c>
      <c r="H89" s="38">
        <v>19125</v>
      </c>
      <c r="I89" s="38">
        <v>19782</v>
      </c>
      <c r="J89" s="35">
        <f t="shared" si="77"/>
        <v>657</v>
      </c>
      <c r="K89" s="50">
        <f t="shared" si="78"/>
        <v>74</v>
      </c>
      <c r="L89" s="46">
        <f t="shared" si="79"/>
        <v>11.263318112633181</v>
      </c>
      <c r="M89" s="48">
        <v>18150</v>
      </c>
      <c r="N89" s="47">
        <f t="shared" si="80"/>
        <v>1343100</v>
      </c>
      <c r="R89" s="76">
        <f t="shared" si="56"/>
        <v>0</v>
      </c>
    </row>
    <row r="90" spans="1:18" ht="16">
      <c r="A90" s="33">
        <v>46011</v>
      </c>
      <c r="B90" s="44" t="s">
        <v>22</v>
      </c>
      <c r="C90" s="35">
        <v>210475</v>
      </c>
      <c r="D90" s="35">
        <v>211066</v>
      </c>
      <c r="E90" s="11">
        <f t="shared" si="75"/>
        <v>591</v>
      </c>
      <c r="F90" s="45">
        <v>70</v>
      </c>
      <c r="G90" s="13">
        <f t="shared" si="76"/>
        <v>11.844331641285956</v>
      </c>
      <c r="H90" s="38">
        <v>19782</v>
      </c>
      <c r="I90" s="38">
        <v>20300</v>
      </c>
      <c r="J90" s="35">
        <f t="shared" si="77"/>
        <v>518</v>
      </c>
      <c r="K90" s="50">
        <f t="shared" si="78"/>
        <v>70</v>
      </c>
      <c r="L90" s="46">
        <f t="shared" si="79"/>
        <v>13.513513513513514</v>
      </c>
      <c r="M90" s="48">
        <v>17470</v>
      </c>
      <c r="N90" s="47">
        <f t="shared" si="80"/>
        <v>1222900</v>
      </c>
      <c r="R90" s="76">
        <f t="shared" si="56"/>
        <v>0</v>
      </c>
    </row>
    <row r="91" spans="1:18" ht="16">
      <c r="A91" s="33">
        <v>46016</v>
      </c>
      <c r="B91" s="44" t="s">
        <v>22</v>
      </c>
      <c r="C91" s="35">
        <v>211066</v>
      </c>
      <c r="D91" s="35">
        <v>211555</v>
      </c>
      <c r="E91" s="11">
        <f t="shared" si="75"/>
        <v>489</v>
      </c>
      <c r="F91" s="45">
        <v>63</v>
      </c>
      <c r="G91" s="13">
        <f t="shared" si="76"/>
        <v>12.883435582822086</v>
      </c>
      <c r="H91" s="38">
        <v>20300</v>
      </c>
      <c r="I91" s="38">
        <v>20758</v>
      </c>
      <c r="J91" s="35">
        <f t="shared" si="77"/>
        <v>458</v>
      </c>
      <c r="K91" s="50">
        <f t="shared" si="78"/>
        <v>63</v>
      </c>
      <c r="L91" s="46">
        <f t="shared" si="79"/>
        <v>13.755458515283841</v>
      </c>
      <c r="M91" s="48">
        <v>17250</v>
      </c>
      <c r="N91" s="47">
        <f t="shared" si="80"/>
        <v>1086750</v>
      </c>
      <c r="R91" s="76">
        <f t="shared" si="56"/>
        <v>0</v>
      </c>
    </row>
    <row r="92" spans="1:18" ht="16">
      <c r="A92" s="86">
        <v>46022</v>
      </c>
      <c r="B92" s="44" t="s">
        <v>22</v>
      </c>
      <c r="C92" s="35">
        <v>211555</v>
      </c>
      <c r="D92" s="35">
        <v>211980</v>
      </c>
      <c r="E92" s="11">
        <f t="shared" si="75"/>
        <v>425</v>
      </c>
      <c r="F92" s="45">
        <v>51</v>
      </c>
      <c r="G92" s="13">
        <f t="shared" si="76"/>
        <v>12</v>
      </c>
      <c r="H92" s="38">
        <v>20758</v>
      </c>
      <c r="I92" s="38">
        <v>21236</v>
      </c>
      <c r="J92" s="35">
        <f t="shared" si="77"/>
        <v>478</v>
      </c>
      <c r="K92" s="50">
        <f t="shared" si="78"/>
        <v>51</v>
      </c>
      <c r="L92" s="46">
        <f t="shared" si="79"/>
        <v>10.669456066945607</v>
      </c>
      <c r="M92" s="48">
        <v>17250</v>
      </c>
      <c r="N92" s="47">
        <f t="shared" si="80"/>
        <v>879750</v>
      </c>
      <c r="R92" s="76">
        <f t="shared" si="56"/>
        <v>0</v>
      </c>
    </row>
    <row r="93" spans="1:18" ht="16">
      <c r="A93" s="88"/>
      <c r="B93" s="239"/>
      <c r="C93" s="53"/>
      <c r="D93" s="53"/>
      <c r="E93" s="24">
        <f t="shared" si="75"/>
        <v>0</v>
      </c>
      <c r="F93" s="45"/>
      <c r="G93" s="54" t="e">
        <f t="shared" si="76"/>
        <v>#DIV/0!</v>
      </c>
      <c r="H93" s="53"/>
      <c r="I93" s="55"/>
      <c r="J93" s="53">
        <f t="shared" si="77"/>
        <v>0</v>
      </c>
      <c r="K93" s="50">
        <f t="shared" si="78"/>
        <v>0</v>
      </c>
      <c r="L93" s="73" t="e">
        <f t="shared" si="79"/>
        <v>#DIV/0!</v>
      </c>
      <c r="M93" s="56"/>
      <c r="N93" s="57">
        <f t="shared" si="80"/>
        <v>0</v>
      </c>
      <c r="R93" s="76">
        <f t="shared" si="56"/>
        <v>0</v>
      </c>
    </row>
    <row r="94" spans="1:18" ht="16">
      <c r="A94" s="59"/>
      <c r="B94" s="60"/>
      <c r="C94" s="59"/>
      <c r="D94" s="59" t="s">
        <v>19</v>
      </c>
      <c r="E94" s="59">
        <f>SUM(E87:E93)</f>
        <v>2870</v>
      </c>
      <c r="F94" s="59">
        <f>SUM(F86:F93)</f>
        <v>358</v>
      </c>
      <c r="G94" s="61" t="e">
        <f>AVERAGE(G87:G93)</f>
        <v>#DIV/0!</v>
      </c>
      <c r="H94" s="59"/>
      <c r="I94" s="62"/>
      <c r="J94" s="59">
        <f t="shared" ref="J94:K94" si="81">SUM(J87:J93)</f>
        <v>2651</v>
      </c>
      <c r="K94" s="59">
        <f t="shared" si="81"/>
        <v>358</v>
      </c>
      <c r="L94" s="61" t="e">
        <f>AVERAGE(L87:L93)</f>
        <v>#DIV/0!</v>
      </c>
      <c r="M94" s="64"/>
      <c r="N94" s="65">
        <f>SUM(N87:N93)</f>
        <v>6370500</v>
      </c>
      <c r="R94" s="76">
        <f t="shared" si="56"/>
        <v>0</v>
      </c>
    </row>
    <row r="95" spans="1:18" ht="16">
      <c r="A95" s="89">
        <v>45992</v>
      </c>
      <c r="B95" s="90" t="s">
        <v>38</v>
      </c>
      <c r="C95" s="35">
        <v>165333</v>
      </c>
      <c r="D95" s="35">
        <v>165832</v>
      </c>
      <c r="E95" s="36">
        <f t="shared" ref="E95:E100" si="82">D95-C95</f>
        <v>499</v>
      </c>
      <c r="F95" s="37">
        <v>62</v>
      </c>
      <c r="G95" s="13">
        <f t="shared" ref="G95:G100" si="83">(F95/E95)*100</f>
        <v>12.424849699398797</v>
      </c>
      <c r="H95" s="38">
        <v>21012</v>
      </c>
      <c r="I95" s="38">
        <v>21496</v>
      </c>
      <c r="J95" s="39">
        <f t="shared" ref="J95:J100" si="84">I95-H95</f>
        <v>484</v>
      </c>
      <c r="K95" s="77">
        <f t="shared" ref="K95:K100" si="85">F95</f>
        <v>62</v>
      </c>
      <c r="L95" s="67">
        <f t="shared" ref="L95:L100" si="86">(K95/J95)*100</f>
        <v>12.809917355371899</v>
      </c>
      <c r="M95" s="68">
        <v>18800</v>
      </c>
      <c r="N95" s="42">
        <f t="shared" ref="N95:N100" si="87">F95*M95</f>
        <v>1165600</v>
      </c>
      <c r="R95" s="76">
        <f t="shared" si="56"/>
        <v>0</v>
      </c>
    </row>
    <row r="96" spans="1:18" ht="16">
      <c r="A96" s="80">
        <v>46000</v>
      </c>
      <c r="B96" s="44" t="s">
        <v>38</v>
      </c>
      <c r="C96" s="35">
        <v>165832</v>
      </c>
      <c r="D96" s="35">
        <v>166402</v>
      </c>
      <c r="E96" s="11">
        <f t="shared" si="82"/>
        <v>570</v>
      </c>
      <c r="F96" s="45">
        <v>72</v>
      </c>
      <c r="G96" s="13">
        <f t="shared" si="83"/>
        <v>12.631578947368421</v>
      </c>
      <c r="H96" s="38">
        <v>21496</v>
      </c>
      <c r="I96" s="38">
        <v>21934</v>
      </c>
      <c r="J96" s="35">
        <f t="shared" si="84"/>
        <v>438</v>
      </c>
      <c r="K96" s="50">
        <f t="shared" si="85"/>
        <v>72</v>
      </c>
      <c r="L96" s="46">
        <f t="shared" si="86"/>
        <v>16.43835616438356</v>
      </c>
      <c r="M96" s="48">
        <v>18380</v>
      </c>
      <c r="N96" s="47">
        <f t="shared" si="87"/>
        <v>1323360</v>
      </c>
      <c r="R96" s="76">
        <f t="shared" si="56"/>
        <v>0</v>
      </c>
    </row>
    <row r="97" spans="1:26" ht="16">
      <c r="A97" s="80">
        <v>46007</v>
      </c>
      <c r="B97" s="44" t="s">
        <v>38</v>
      </c>
      <c r="C97" s="35">
        <v>166402</v>
      </c>
      <c r="D97" s="35">
        <v>166988</v>
      </c>
      <c r="E97" s="11">
        <f t="shared" si="82"/>
        <v>586</v>
      </c>
      <c r="F97" s="45">
        <v>67</v>
      </c>
      <c r="G97" s="13">
        <f t="shared" si="83"/>
        <v>11.433447098976108</v>
      </c>
      <c r="H97" s="38">
        <v>21934</v>
      </c>
      <c r="I97" s="38">
        <v>22552</v>
      </c>
      <c r="J97" s="35">
        <f t="shared" si="84"/>
        <v>618</v>
      </c>
      <c r="K97" s="50">
        <f t="shared" si="85"/>
        <v>67</v>
      </c>
      <c r="L97" s="46">
        <f t="shared" si="86"/>
        <v>10.841423948220065</v>
      </c>
      <c r="M97" s="48">
        <v>18150</v>
      </c>
      <c r="N97" s="47">
        <f t="shared" si="87"/>
        <v>1216050</v>
      </c>
      <c r="R97" s="76">
        <f t="shared" si="56"/>
        <v>0</v>
      </c>
    </row>
    <row r="98" spans="1:26" ht="16">
      <c r="A98" s="80">
        <v>46013</v>
      </c>
      <c r="B98" s="44" t="s">
        <v>38</v>
      </c>
      <c r="C98" s="35">
        <v>166988</v>
      </c>
      <c r="D98" s="35">
        <v>167591</v>
      </c>
      <c r="E98" s="11">
        <f t="shared" si="82"/>
        <v>603</v>
      </c>
      <c r="F98" s="45">
        <v>75</v>
      </c>
      <c r="G98" s="13">
        <f t="shared" si="83"/>
        <v>12.437810945273633</v>
      </c>
      <c r="H98" s="38">
        <v>22552</v>
      </c>
      <c r="I98" s="38">
        <v>23115</v>
      </c>
      <c r="J98" s="35">
        <f t="shared" si="84"/>
        <v>563</v>
      </c>
      <c r="K98" s="50">
        <f t="shared" si="85"/>
        <v>75</v>
      </c>
      <c r="L98" s="46">
        <f t="shared" si="86"/>
        <v>13.321492007104796</v>
      </c>
      <c r="M98" s="48">
        <v>17470</v>
      </c>
      <c r="N98" s="47">
        <f t="shared" si="87"/>
        <v>1310250</v>
      </c>
      <c r="R98" s="76">
        <f t="shared" si="56"/>
        <v>0</v>
      </c>
    </row>
    <row r="99" spans="1:26" ht="16">
      <c r="A99" s="80">
        <v>46021</v>
      </c>
      <c r="B99" s="44" t="s">
        <v>38</v>
      </c>
      <c r="C99" s="35">
        <v>167591</v>
      </c>
      <c r="D99" s="91">
        <v>168294</v>
      </c>
      <c r="E99" s="11">
        <f t="shared" si="82"/>
        <v>703</v>
      </c>
      <c r="F99" s="45">
        <v>80</v>
      </c>
      <c r="G99" s="13">
        <f t="shared" si="83"/>
        <v>11.379800853485063</v>
      </c>
      <c r="H99" s="38">
        <v>23115</v>
      </c>
      <c r="I99" s="38">
        <v>23827</v>
      </c>
      <c r="J99" s="35">
        <f t="shared" si="84"/>
        <v>712</v>
      </c>
      <c r="K99" s="50">
        <f t="shared" si="85"/>
        <v>80</v>
      </c>
      <c r="L99" s="46">
        <f t="shared" si="86"/>
        <v>11.235955056179774</v>
      </c>
      <c r="M99" s="48">
        <v>17250</v>
      </c>
      <c r="N99" s="47">
        <f t="shared" si="87"/>
        <v>1380000</v>
      </c>
      <c r="R99" s="76">
        <f t="shared" si="56"/>
        <v>0</v>
      </c>
    </row>
    <row r="100" spans="1:26" ht="16">
      <c r="A100" s="92"/>
      <c r="B100" s="93" t="s">
        <v>38</v>
      </c>
      <c r="C100" s="94"/>
      <c r="D100" s="95"/>
      <c r="E100" s="11">
        <f t="shared" si="82"/>
        <v>0</v>
      </c>
      <c r="F100" s="45"/>
      <c r="G100" s="96" t="e">
        <f t="shared" si="83"/>
        <v>#DIV/0!</v>
      </c>
      <c r="H100" s="97"/>
      <c r="I100" s="98"/>
      <c r="J100" s="97">
        <f t="shared" si="84"/>
        <v>0</v>
      </c>
      <c r="K100" s="50">
        <f t="shared" si="85"/>
        <v>0</v>
      </c>
      <c r="L100" s="99" t="e">
        <f t="shared" si="86"/>
        <v>#DIV/0!</v>
      </c>
      <c r="M100" s="100"/>
      <c r="N100" s="101">
        <f t="shared" si="87"/>
        <v>0</v>
      </c>
      <c r="R100" s="76">
        <f t="shared" si="56"/>
        <v>0</v>
      </c>
    </row>
    <row r="101" spans="1:26" ht="16">
      <c r="A101" s="102"/>
      <c r="B101" s="103"/>
      <c r="C101" s="104"/>
      <c r="D101" s="105" t="s">
        <v>19</v>
      </c>
      <c r="E101" s="106">
        <f>SUM(E95:E100)</f>
        <v>2961</v>
      </c>
      <c r="F101" s="59">
        <f>SUM(F93:F100)</f>
        <v>714</v>
      </c>
      <c r="G101" s="107" t="e">
        <f>AVERAGE(G95:G100)</f>
        <v>#DIV/0!</v>
      </c>
      <c r="H101" s="104"/>
      <c r="I101" s="108"/>
      <c r="J101" s="105">
        <f t="shared" ref="J101:K101" si="88">SUM(J95:J100)</f>
        <v>2815</v>
      </c>
      <c r="K101" s="105">
        <f t="shared" si="88"/>
        <v>356</v>
      </c>
      <c r="L101" s="109" t="e">
        <f>AVERAGE(L95:L100)</f>
        <v>#DIV/0!</v>
      </c>
      <c r="M101" s="110"/>
      <c r="N101" s="241">
        <f>SUM(N95:N100)</f>
        <v>6395260</v>
      </c>
      <c r="R101" s="76">
        <f t="shared" si="56"/>
        <v>0</v>
      </c>
    </row>
    <row r="102" spans="1:26" ht="16">
      <c r="A102" s="112">
        <v>45993</v>
      </c>
      <c r="B102" s="113" t="s">
        <v>39</v>
      </c>
      <c r="C102" s="35"/>
      <c r="D102" s="35"/>
      <c r="E102" s="36">
        <f t="shared" ref="E102:E103" si="89">D102-C102</f>
        <v>0</v>
      </c>
      <c r="F102" s="37">
        <v>66</v>
      </c>
      <c r="G102" s="114" t="e">
        <f t="shared" ref="G102:G108" si="90">(F102/E102)*100</f>
        <v>#DIV/0!</v>
      </c>
      <c r="H102" s="38"/>
      <c r="I102" s="38"/>
      <c r="J102" s="83">
        <f t="shared" ref="J102:J103" si="91">I102-H102</f>
        <v>0</v>
      </c>
      <c r="K102" s="50">
        <f t="shared" ref="K102:K108" si="92">F102</f>
        <v>66</v>
      </c>
      <c r="L102" s="115" t="e">
        <f t="shared" ref="L102:L108" si="93">(K102/J102)*100</f>
        <v>#DIV/0!</v>
      </c>
      <c r="M102" s="116">
        <v>18800</v>
      </c>
      <c r="N102" s="242">
        <f t="shared" ref="N102:N108" si="94">F102*M102</f>
        <v>1240800</v>
      </c>
      <c r="R102" s="76">
        <f t="shared" si="56"/>
        <v>0</v>
      </c>
    </row>
    <row r="103" spans="1:26" ht="16">
      <c r="A103" s="117">
        <v>46002</v>
      </c>
      <c r="B103" s="44" t="s">
        <v>39</v>
      </c>
      <c r="C103" s="83"/>
      <c r="D103" s="35"/>
      <c r="E103" s="11">
        <f t="shared" si="89"/>
        <v>0</v>
      </c>
      <c r="F103" s="45">
        <v>88</v>
      </c>
      <c r="G103" s="13" t="e">
        <f t="shared" si="90"/>
        <v>#DIV/0!</v>
      </c>
      <c r="H103" s="243"/>
      <c r="I103" s="15"/>
      <c r="J103" s="35">
        <f t="shared" si="91"/>
        <v>0</v>
      </c>
      <c r="K103" s="50">
        <f t="shared" si="92"/>
        <v>88</v>
      </c>
      <c r="L103" s="46" t="e">
        <f t="shared" si="93"/>
        <v>#DIV/0!</v>
      </c>
      <c r="M103" s="48">
        <v>18380</v>
      </c>
      <c r="N103" s="242">
        <f t="shared" si="94"/>
        <v>1617440</v>
      </c>
      <c r="R103" s="76">
        <f t="shared" si="56"/>
        <v>0</v>
      </c>
      <c r="S103" s="229"/>
      <c r="T103" s="229"/>
      <c r="U103" s="229"/>
      <c r="V103" s="229"/>
      <c r="W103" s="229"/>
      <c r="X103" s="229"/>
      <c r="Y103" s="229"/>
      <c r="Z103" s="229"/>
    </row>
    <row r="104" spans="1:26" ht="16">
      <c r="A104" s="117">
        <v>46009</v>
      </c>
      <c r="B104" s="44" t="s">
        <v>39</v>
      </c>
      <c r="C104" s="35"/>
      <c r="D104" s="35">
        <v>119115</v>
      </c>
      <c r="E104" s="11"/>
      <c r="F104" s="45">
        <v>89</v>
      </c>
      <c r="G104" s="13" t="e">
        <f t="shared" si="90"/>
        <v>#DIV/0!</v>
      </c>
      <c r="H104" s="15"/>
      <c r="I104" s="38">
        <v>23581</v>
      </c>
      <c r="J104" s="35"/>
      <c r="K104" s="50">
        <f t="shared" si="92"/>
        <v>89</v>
      </c>
      <c r="L104" s="46" t="e">
        <f t="shared" si="93"/>
        <v>#DIV/0!</v>
      </c>
      <c r="M104" s="48">
        <v>17470</v>
      </c>
      <c r="N104" s="242">
        <f t="shared" si="94"/>
        <v>1554830</v>
      </c>
      <c r="P104" s="78"/>
      <c r="R104" s="76">
        <f t="shared" si="56"/>
        <v>0</v>
      </c>
    </row>
    <row r="105" spans="1:26" ht="16">
      <c r="A105" s="117">
        <v>46015</v>
      </c>
      <c r="B105" s="44" t="s">
        <v>39</v>
      </c>
      <c r="C105" s="35">
        <v>119115</v>
      </c>
      <c r="D105" s="35">
        <v>119861</v>
      </c>
      <c r="E105" s="11">
        <f t="shared" ref="E105:E108" si="95">D105-C105</f>
        <v>746</v>
      </c>
      <c r="F105" s="45">
        <v>80</v>
      </c>
      <c r="G105" s="13">
        <f t="shared" si="90"/>
        <v>10.723860589812332</v>
      </c>
      <c r="H105" s="38">
        <v>23581</v>
      </c>
      <c r="I105" s="38">
        <v>24269</v>
      </c>
      <c r="J105" s="35">
        <f t="shared" ref="J105:J108" si="96">I105-H105</f>
        <v>688</v>
      </c>
      <c r="K105" s="50">
        <f t="shared" si="92"/>
        <v>80</v>
      </c>
      <c r="L105" s="46">
        <f t="shared" si="93"/>
        <v>11.627906976744185</v>
      </c>
      <c r="M105" s="48">
        <v>17470</v>
      </c>
      <c r="N105" s="242">
        <f t="shared" si="94"/>
        <v>1397600</v>
      </c>
      <c r="R105" s="76">
        <f t="shared" si="56"/>
        <v>0</v>
      </c>
    </row>
    <row r="106" spans="1:26" ht="16">
      <c r="A106" s="33">
        <v>46022</v>
      </c>
      <c r="B106" s="44" t="s">
        <v>39</v>
      </c>
      <c r="C106" s="35">
        <v>119861</v>
      </c>
      <c r="D106" s="35">
        <v>120450</v>
      </c>
      <c r="E106" s="11">
        <f t="shared" si="95"/>
        <v>589</v>
      </c>
      <c r="F106" s="45">
        <v>59</v>
      </c>
      <c r="G106" s="13">
        <f t="shared" si="90"/>
        <v>10.0169779286927</v>
      </c>
      <c r="H106" s="38">
        <v>24269</v>
      </c>
      <c r="I106" s="38">
        <v>24846</v>
      </c>
      <c r="J106" s="35">
        <f t="shared" si="96"/>
        <v>577</v>
      </c>
      <c r="K106" s="50">
        <f t="shared" si="92"/>
        <v>59</v>
      </c>
      <c r="L106" s="46">
        <f t="shared" si="93"/>
        <v>10.22530329289428</v>
      </c>
      <c r="M106" s="48">
        <v>17250</v>
      </c>
      <c r="N106" s="242">
        <f t="shared" si="94"/>
        <v>1017750</v>
      </c>
      <c r="R106" s="76">
        <f t="shared" si="56"/>
        <v>0</v>
      </c>
    </row>
    <row r="107" spans="1:26" ht="16">
      <c r="A107" s="230"/>
      <c r="B107" s="44" t="s">
        <v>39</v>
      </c>
      <c r="C107" s="35"/>
      <c r="D107" s="35"/>
      <c r="E107" s="11">
        <f t="shared" si="95"/>
        <v>0</v>
      </c>
      <c r="F107" s="45"/>
      <c r="G107" s="13" t="e">
        <f t="shared" si="90"/>
        <v>#DIV/0!</v>
      </c>
      <c r="H107" s="35"/>
      <c r="I107" s="38"/>
      <c r="J107" s="35">
        <f t="shared" si="96"/>
        <v>0</v>
      </c>
      <c r="K107" s="50">
        <f t="shared" si="92"/>
        <v>0</v>
      </c>
      <c r="L107" s="46" t="e">
        <f t="shared" si="93"/>
        <v>#DIV/0!</v>
      </c>
      <c r="M107" s="48"/>
      <c r="N107" s="242">
        <f t="shared" si="94"/>
        <v>0</v>
      </c>
      <c r="R107" s="76">
        <f t="shared" si="56"/>
        <v>0</v>
      </c>
    </row>
    <row r="108" spans="1:26" ht="16">
      <c r="A108" s="87"/>
      <c r="B108" s="239"/>
      <c r="C108" s="53"/>
      <c r="D108" s="53"/>
      <c r="E108" s="24">
        <f t="shared" si="95"/>
        <v>0</v>
      </c>
      <c r="F108" s="45"/>
      <c r="G108" s="54" t="e">
        <f t="shared" si="90"/>
        <v>#DIV/0!</v>
      </c>
      <c r="H108" s="53"/>
      <c r="I108" s="55"/>
      <c r="J108" s="53">
        <f t="shared" si="96"/>
        <v>0</v>
      </c>
      <c r="K108" s="50">
        <f t="shared" si="92"/>
        <v>0</v>
      </c>
      <c r="L108" s="73" t="e">
        <f t="shared" si="93"/>
        <v>#DIV/0!</v>
      </c>
      <c r="M108" s="56"/>
      <c r="N108" s="242">
        <f t="shared" si="94"/>
        <v>0</v>
      </c>
      <c r="R108" s="76">
        <f t="shared" si="56"/>
        <v>0</v>
      </c>
    </row>
    <row r="109" spans="1:26" ht="16">
      <c r="A109" s="59"/>
      <c r="B109" s="60"/>
      <c r="C109" s="59"/>
      <c r="D109" s="59" t="s">
        <v>19</v>
      </c>
      <c r="E109" s="59">
        <f>SUM(E95:E108)</f>
        <v>7257</v>
      </c>
      <c r="F109" s="59">
        <f>SUM(F101:F108)</f>
        <v>1096</v>
      </c>
      <c r="G109" s="61" t="e">
        <f>AVERAGE(G95:G108)</f>
        <v>#DIV/0!</v>
      </c>
      <c r="H109" s="59"/>
      <c r="I109" s="62"/>
      <c r="J109" s="59">
        <f t="shared" ref="J109:K109" si="97">SUM(J95:J108)</f>
        <v>6895</v>
      </c>
      <c r="K109" s="59">
        <f t="shared" si="97"/>
        <v>1094</v>
      </c>
      <c r="L109" s="61" t="e">
        <f>AVERAGE(L95:L108)</f>
        <v>#DIV/0!</v>
      </c>
      <c r="M109" s="64"/>
      <c r="N109" s="65">
        <f>SUM(N102:N108)</f>
        <v>6828420</v>
      </c>
      <c r="R109" s="76">
        <f t="shared" si="56"/>
        <v>0</v>
      </c>
    </row>
    <row r="110" spans="1:26" ht="16">
      <c r="A110" s="66">
        <v>45997</v>
      </c>
      <c r="B110" s="90" t="s">
        <v>40</v>
      </c>
      <c r="C110" s="35">
        <v>113390</v>
      </c>
      <c r="D110" s="35">
        <v>114038</v>
      </c>
      <c r="E110" s="36">
        <f t="shared" ref="E110:E116" si="98">D110-C110</f>
        <v>648</v>
      </c>
      <c r="F110" s="37">
        <v>75</v>
      </c>
      <c r="G110" s="13">
        <f t="shared" ref="G110:G116" si="99">(F110/E110)*100</f>
        <v>11.574074074074074</v>
      </c>
      <c r="H110" s="38">
        <v>111908</v>
      </c>
      <c r="I110" s="38">
        <v>112498</v>
      </c>
      <c r="J110" s="39">
        <f t="shared" ref="J110:J116" si="100">I110-H110</f>
        <v>590</v>
      </c>
      <c r="K110" s="77">
        <f t="shared" ref="K110:K116" si="101">F110</f>
        <v>75</v>
      </c>
      <c r="L110" s="67">
        <f t="shared" ref="L110:L116" si="102">(K110/J110)*100</f>
        <v>12.711864406779661</v>
      </c>
      <c r="M110" s="68">
        <v>18380</v>
      </c>
      <c r="N110" s="42">
        <f t="shared" ref="N110:N116" si="103">F110*M110</f>
        <v>1378500</v>
      </c>
      <c r="R110" s="76">
        <f t="shared" si="56"/>
        <v>0</v>
      </c>
    </row>
    <row r="111" spans="1:26" ht="16">
      <c r="A111" s="43">
        <v>46005</v>
      </c>
      <c r="B111" s="49" t="s">
        <v>40</v>
      </c>
      <c r="C111" s="35">
        <v>114038</v>
      </c>
      <c r="D111" s="10">
        <v>114673</v>
      </c>
      <c r="E111" s="51">
        <f t="shared" si="98"/>
        <v>635</v>
      </c>
      <c r="F111" s="52">
        <v>77</v>
      </c>
      <c r="G111" s="13">
        <f t="shared" si="99"/>
        <v>12.125984251968504</v>
      </c>
      <c r="H111" s="38">
        <v>112498</v>
      </c>
      <c r="I111" s="38">
        <v>113093</v>
      </c>
      <c r="J111" s="35">
        <f t="shared" si="100"/>
        <v>595</v>
      </c>
      <c r="K111" s="50">
        <f t="shared" si="101"/>
        <v>77</v>
      </c>
      <c r="L111" s="46">
        <f t="shared" si="102"/>
        <v>12.941176470588237</v>
      </c>
      <c r="M111" s="48">
        <v>18150</v>
      </c>
      <c r="N111" s="47">
        <f t="shared" si="103"/>
        <v>1397550</v>
      </c>
      <c r="R111" s="76">
        <f t="shared" si="56"/>
        <v>0</v>
      </c>
    </row>
    <row r="112" spans="1:26" ht="16">
      <c r="A112" s="33">
        <v>46010</v>
      </c>
      <c r="B112" s="44" t="s">
        <v>40</v>
      </c>
      <c r="C112" s="10">
        <v>114673</v>
      </c>
      <c r="D112" s="12">
        <v>115382</v>
      </c>
      <c r="E112" s="11">
        <f t="shared" si="98"/>
        <v>709</v>
      </c>
      <c r="F112" s="45">
        <v>85</v>
      </c>
      <c r="G112" s="13">
        <f t="shared" si="99"/>
        <v>11.988716502115656</v>
      </c>
      <c r="H112" s="38">
        <v>113093</v>
      </c>
      <c r="I112" s="38">
        <v>113747</v>
      </c>
      <c r="J112" s="35">
        <f t="shared" si="100"/>
        <v>654</v>
      </c>
      <c r="K112" s="50">
        <f t="shared" si="101"/>
        <v>85</v>
      </c>
      <c r="L112" s="46">
        <f t="shared" si="102"/>
        <v>12.996941896024463</v>
      </c>
      <c r="M112" s="48">
        <v>17470</v>
      </c>
      <c r="N112" s="47">
        <f t="shared" si="103"/>
        <v>1484950</v>
      </c>
      <c r="R112" s="76">
        <f t="shared" si="56"/>
        <v>0</v>
      </c>
    </row>
    <row r="113" spans="1:18" ht="16">
      <c r="A113" s="33">
        <v>46016</v>
      </c>
      <c r="B113" s="44" t="s">
        <v>40</v>
      </c>
      <c r="C113" s="12">
        <v>115382</v>
      </c>
      <c r="D113" s="12">
        <v>116062</v>
      </c>
      <c r="E113" s="11">
        <f t="shared" si="98"/>
        <v>680</v>
      </c>
      <c r="F113" s="45">
        <v>79</v>
      </c>
      <c r="G113" s="13">
        <f t="shared" si="99"/>
        <v>11.617647058823529</v>
      </c>
      <c r="H113" s="38">
        <v>113747</v>
      </c>
      <c r="I113" s="38">
        <v>114389</v>
      </c>
      <c r="J113" s="35">
        <f t="shared" si="100"/>
        <v>642</v>
      </c>
      <c r="K113" s="50">
        <f t="shared" si="101"/>
        <v>79</v>
      </c>
      <c r="L113" s="46">
        <f t="shared" si="102"/>
        <v>12.305295950155763</v>
      </c>
      <c r="M113" s="48">
        <v>17250</v>
      </c>
      <c r="N113" s="47">
        <f t="shared" si="103"/>
        <v>1362750</v>
      </c>
      <c r="R113" s="76">
        <f t="shared" si="56"/>
        <v>0</v>
      </c>
    </row>
    <row r="114" spans="1:18" ht="16">
      <c r="A114" s="33"/>
      <c r="B114" s="44" t="s">
        <v>40</v>
      </c>
      <c r="C114" s="12"/>
      <c r="D114" s="35"/>
      <c r="E114" s="11">
        <f t="shared" si="98"/>
        <v>0</v>
      </c>
      <c r="F114" s="45"/>
      <c r="G114" s="13" t="e">
        <f t="shared" si="99"/>
        <v>#DIV/0!</v>
      </c>
      <c r="H114" s="38"/>
      <c r="I114" s="38"/>
      <c r="J114" s="35">
        <f t="shared" si="100"/>
        <v>0</v>
      </c>
      <c r="K114" s="50">
        <f t="shared" si="101"/>
        <v>0</v>
      </c>
      <c r="L114" s="46" t="e">
        <f t="shared" si="102"/>
        <v>#DIV/0!</v>
      </c>
      <c r="M114" s="48"/>
      <c r="N114" s="47">
        <f t="shared" si="103"/>
        <v>0</v>
      </c>
      <c r="R114" s="76">
        <f t="shared" si="56"/>
        <v>0</v>
      </c>
    </row>
    <row r="115" spans="1:18" ht="16">
      <c r="A115" s="122"/>
      <c r="B115" s="44"/>
      <c r="C115" s="35"/>
      <c r="D115" s="35"/>
      <c r="E115" s="11">
        <f t="shared" si="98"/>
        <v>0</v>
      </c>
      <c r="F115" s="45"/>
      <c r="G115" s="13" t="e">
        <f t="shared" si="99"/>
        <v>#DIV/0!</v>
      </c>
      <c r="H115" s="35"/>
      <c r="I115" s="38"/>
      <c r="J115" s="35">
        <f t="shared" si="100"/>
        <v>0</v>
      </c>
      <c r="K115" s="50">
        <f t="shared" si="101"/>
        <v>0</v>
      </c>
      <c r="L115" s="46" t="e">
        <f t="shared" si="102"/>
        <v>#DIV/0!</v>
      </c>
      <c r="M115" s="48"/>
      <c r="N115" s="47">
        <f t="shared" si="103"/>
        <v>0</v>
      </c>
      <c r="R115" s="76">
        <f t="shared" si="56"/>
        <v>0</v>
      </c>
    </row>
    <row r="116" spans="1:18" ht="16">
      <c r="A116" s="87"/>
      <c r="B116" s="239"/>
      <c r="C116" s="53"/>
      <c r="D116" s="53"/>
      <c r="E116" s="24">
        <f t="shared" si="98"/>
        <v>0</v>
      </c>
      <c r="F116" s="45"/>
      <c r="G116" s="54" t="e">
        <f t="shared" si="99"/>
        <v>#DIV/0!</v>
      </c>
      <c r="H116" s="53"/>
      <c r="I116" s="55"/>
      <c r="J116" s="53">
        <f t="shared" si="100"/>
        <v>0</v>
      </c>
      <c r="K116" s="50">
        <f t="shared" si="101"/>
        <v>0</v>
      </c>
      <c r="L116" s="73" t="e">
        <f t="shared" si="102"/>
        <v>#DIV/0!</v>
      </c>
      <c r="M116" s="56"/>
      <c r="N116" s="57">
        <f t="shared" si="103"/>
        <v>0</v>
      </c>
      <c r="R116" s="76">
        <f t="shared" si="56"/>
        <v>0</v>
      </c>
    </row>
    <row r="117" spans="1:18" ht="16">
      <c r="A117" s="59"/>
      <c r="B117" s="60"/>
      <c r="C117" s="59"/>
      <c r="D117" s="59" t="s">
        <v>19</v>
      </c>
      <c r="E117" s="59">
        <f>SUM(E110:E116)</f>
        <v>2672</v>
      </c>
      <c r="F117" s="37"/>
      <c r="G117" s="61" t="e">
        <f>AVERAGE(G110:G116)</f>
        <v>#DIV/0!</v>
      </c>
      <c r="H117" s="59"/>
      <c r="I117" s="62"/>
      <c r="J117" s="59">
        <f t="shared" ref="J117:K117" si="104">SUM(J110:J116)</f>
        <v>2481</v>
      </c>
      <c r="K117" s="59">
        <f t="shared" si="104"/>
        <v>316</v>
      </c>
      <c r="L117" s="61" t="e">
        <f>AVERAGE(L110:L116)</f>
        <v>#DIV/0!</v>
      </c>
      <c r="M117" s="64"/>
      <c r="N117" s="65">
        <f>SUM(N110:N116)</f>
        <v>5623750</v>
      </c>
      <c r="R117" s="76">
        <f t="shared" si="56"/>
        <v>0</v>
      </c>
    </row>
    <row r="118" spans="1:18" ht="16">
      <c r="A118" s="66">
        <v>45993</v>
      </c>
      <c r="B118" s="90" t="s">
        <v>41</v>
      </c>
      <c r="C118" s="35">
        <v>169222</v>
      </c>
      <c r="D118" s="35">
        <v>169879</v>
      </c>
      <c r="E118" s="36">
        <f t="shared" ref="E118:E124" si="105">D118-C118</f>
        <v>657</v>
      </c>
      <c r="F118" s="37">
        <v>74</v>
      </c>
      <c r="G118" s="13">
        <f t="shared" ref="G118:G124" si="106">(F118/E118)*100</f>
        <v>11.263318112633181</v>
      </c>
      <c r="H118" s="38"/>
      <c r="I118" s="38">
        <v>11218</v>
      </c>
      <c r="J118" s="39">
        <f t="shared" ref="J118:J124" si="107">I118-H118</f>
        <v>11218</v>
      </c>
      <c r="K118" s="77">
        <f t="shared" ref="K118:K124" si="108">F118</f>
        <v>74</v>
      </c>
      <c r="L118" s="67">
        <f t="shared" ref="L118:L124" si="109">(K118/J118)*100</f>
        <v>0.65965412729541806</v>
      </c>
      <c r="M118" s="41">
        <v>18800</v>
      </c>
      <c r="N118" s="42">
        <f t="shared" ref="N118:N124" si="110">F118*M118</f>
        <v>1391200</v>
      </c>
      <c r="R118" s="76">
        <f t="shared" si="56"/>
        <v>0</v>
      </c>
    </row>
    <row r="119" spans="1:18" ht="16">
      <c r="A119" s="118">
        <v>46004</v>
      </c>
      <c r="B119" s="119" t="s">
        <v>41</v>
      </c>
      <c r="C119" s="35">
        <v>169879</v>
      </c>
      <c r="D119" s="51">
        <v>170553</v>
      </c>
      <c r="E119" s="51">
        <f t="shared" si="105"/>
        <v>674</v>
      </c>
      <c r="F119" s="120">
        <v>75</v>
      </c>
      <c r="G119" s="13">
        <f t="shared" si="106"/>
        <v>11.127596439169139</v>
      </c>
      <c r="H119" s="38">
        <v>11218</v>
      </c>
      <c r="I119" s="38">
        <v>11947</v>
      </c>
      <c r="J119" s="35">
        <f t="shared" si="107"/>
        <v>729</v>
      </c>
      <c r="K119" s="50">
        <f t="shared" si="108"/>
        <v>75</v>
      </c>
      <c r="L119" s="46">
        <f t="shared" si="109"/>
        <v>10.2880658436214</v>
      </c>
      <c r="M119" s="48">
        <v>18150</v>
      </c>
      <c r="N119" s="121">
        <f t="shared" si="110"/>
        <v>1361250</v>
      </c>
      <c r="R119" s="76">
        <f t="shared" si="56"/>
        <v>0</v>
      </c>
    </row>
    <row r="120" spans="1:18" ht="16">
      <c r="A120" s="118">
        <v>46011</v>
      </c>
      <c r="B120" s="119" t="s">
        <v>41</v>
      </c>
      <c r="C120" s="51">
        <v>170553</v>
      </c>
      <c r="D120" s="51">
        <v>171232</v>
      </c>
      <c r="E120" s="51">
        <f t="shared" si="105"/>
        <v>679</v>
      </c>
      <c r="F120" s="120">
        <v>70</v>
      </c>
      <c r="G120" s="13">
        <f t="shared" si="106"/>
        <v>10.309278350515463</v>
      </c>
      <c r="H120" s="38">
        <v>11947</v>
      </c>
      <c r="I120" s="35">
        <v>12582</v>
      </c>
      <c r="J120" s="35">
        <f t="shared" si="107"/>
        <v>635</v>
      </c>
      <c r="K120" s="50">
        <f t="shared" si="108"/>
        <v>70</v>
      </c>
      <c r="L120" s="46">
        <f t="shared" si="109"/>
        <v>11.023622047244094</v>
      </c>
      <c r="M120" s="48">
        <v>17470</v>
      </c>
      <c r="N120" s="121">
        <f t="shared" si="110"/>
        <v>1222900</v>
      </c>
      <c r="R120" s="76">
        <f t="shared" si="56"/>
        <v>0</v>
      </c>
    </row>
    <row r="121" spans="1:18" ht="16">
      <c r="A121" s="33">
        <v>46018</v>
      </c>
      <c r="B121" s="44" t="s">
        <v>41</v>
      </c>
      <c r="C121" s="51">
        <v>171232</v>
      </c>
      <c r="D121" s="35">
        <v>171903</v>
      </c>
      <c r="E121" s="11">
        <f t="shared" si="105"/>
        <v>671</v>
      </c>
      <c r="F121" s="45">
        <v>75</v>
      </c>
      <c r="G121" s="13">
        <f t="shared" si="106"/>
        <v>11.177347242921014</v>
      </c>
      <c r="H121" s="35">
        <v>12582</v>
      </c>
      <c r="I121" s="38">
        <v>13200</v>
      </c>
      <c r="J121" s="35">
        <f t="shared" si="107"/>
        <v>618</v>
      </c>
      <c r="K121" s="50">
        <f t="shared" si="108"/>
        <v>75</v>
      </c>
      <c r="L121" s="46">
        <f t="shared" si="109"/>
        <v>12.135922330097088</v>
      </c>
      <c r="M121" s="48">
        <v>17250</v>
      </c>
      <c r="N121" s="121">
        <f t="shared" si="110"/>
        <v>1293750</v>
      </c>
      <c r="R121" s="76">
        <f t="shared" si="56"/>
        <v>0</v>
      </c>
    </row>
    <row r="122" spans="1:18" ht="16">
      <c r="A122" s="124"/>
      <c r="B122" s="49" t="s">
        <v>41</v>
      </c>
      <c r="C122" s="50"/>
      <c r="D122" s="50"/>
      <c r="E122" s="11">
        <f t="shared" si="105"/>
        <v>0</v>
      </c>
      <c r="F122" s="45"/>
      <c r="G122" s="13" t="e">
        <f t="shared" si="106"/>
        <v>#DIV/0!</v>
      </c>
      <c r="H122" s="35"/>
      <c r="I122" s="38"/>
      <c r="J122" s="35">
        <f t="shared" si="107"/>
        <v>0</v>
      </c>
      <c r="K122" s="50">
        <f t="shared" si="108"/>
        <v>0</v>
      </c>
      <c r="L122" s="46" t="e">
        <f t="shared" si="109"/>
        <v>#DIV/0!</v>
      </c>
      <c r="M122" s="48"/>
      <c r="N122" s="121">
        <f t="shared" si="110"/>
        <v>0</v>
      </c>
      <c r="R122" s="76">
        <f t="shared" si="56"/>
        <v>0</v>
      </c>
    </row>
    <row r="123" spans="1:18" ht="16">
      <c r="A123" s="122"/>
      <c r="B123" s="44" t="s">
        <v>41</v>
      </c>
      <c r="C123" s="35"/>
      <c r="D123" s="35"/>
      <c r="E123" s="11">
        <f t="shared" si="105"/>
        <v>0</v>
      </c>
      <c r="F123" s="45"/>
      <c r="G123" s="13" t="e">
        <f t="shared" si="106"/>
        <v>#DIV/0!</v>
      </c>
      <c r="H123" s="35"/>
      <c r="I123" s="38"/>
      <c r="J123" s="35">
        <f t="shared" si="107"/>
        <v>0</v>
      </c>
      <c r="K123" s="50">
        <f t="shared" si="108"/>
        <v>0</v>
      </c>
      <c r="L123" s="46" t="e">
        <f t="shared" si="109"/>
        <v>#DIV/0!</v>
      </c>
      <c r="M123" s="48"/>
      <c r="N123" s="121">
        <f t="shared" si="110"/>
        <v>0</v>
      </c>
      <c r="R123" s="76">
        <f t="shared" si="56"/>
        <v>0</v>
      </c>
    </row>
    <row r="124" spans="1:18" ht="16">
      <c r="A124" s="87"/>
      <c r="B124" s="239"/>
      <c r="C124" s="53"/>
      <c r="D124" s="53"/>
      <c r="E124" s="24">
        <f t="shared" si="105"/>
        <v>0</v>
      </c>
      <c r="F124" s="45"/>
      <c r="G124" s="54" t="e">
        <f t="shared" si="106"/>
        <v>#DIV/0!</v>
      </c>
      <c r="H124" s="53"/>
      <c r="I124" s="55"/>
      <c r="J124" s="53">
        <f t="shared" si="107"/>
        <v>0</v>
      </c>
      <c r="K124" s="50">
        <f t="shared" si="108"/>
        <v>0</v>
      </c>
      <c r="L124" s="73" t="e">
        <f t="shared" si="109"/>
        <v>#DIV/0!</v>
      </c>
      <c r="M124" s="56"/>
      <c r="N124" s="123">
        <f t="shared" si="110"/>
        <v>0</v>
      </c>
      <c r="R124" s="76">
        <f t="shared" si="56"/>
        <v>0</v>
      </c>
    </row>
    <row r="125" spans="1:18" ht="16">
      <c r="A125" s="59"/>
      <c r="B125" s="60"/>
      <c r="C125" s="59"/>
      <c r="D125" s="59" t="s">
        <v>19</v>
      </c>
      <c r="E125" s="59">
        <f>SUM(E118:E124)</f>
        <v>2681</v>
      </c>
      <c r="F125" s="59">
        <f>SUM(F117:F124)</f>
        <v>294</v>
      </c>
      <c r="G125" s="61" t="e">
        <f>AVERAGE(G118:G124)</f>
        <v>#DIV/0!</v>
      </c>
      <c r="H125" s="59"/>
      <c r="I125" s="62"/>
      <c r="J125" s="59">
        <f t="shared" ref="J125:K125" si="111">SUM(J118:J124)</f>
        <v>13200</v>
      </c>
      <c r="K125" s="59">
        <f t="shared" si="111"/>
        <v>294</v>
      </c>
      <c r="L125" s="61" t="e">
        <f>AVERAGE(L118:L124)</f>
        <v>#DIV/0!</v>
      </c>
      <c r="M125" s="64"/>
      <c r="N125" s="65">
        <f>SUM(N118:N124)</f>
        <v>5269100</v>
      </c>
      <c r="R125" s="76">
        <f t="shared" si="56"/>
        <v>0</v>
      </c>
    </row>
    <row r="126" spans="1:18" ht="16">
      <c r="A126" s="66">
        <v>45995</v>
      </c>
      <c r="B126" s="90" t="s">
        <v>27</v>
      </c>
      <c r="C126" s="83"/>
      <c r="D126" s="12"/>
      <c r="E126" s="36">
        <f t="shared" ref="E126:E133" si="112">D126-C126</f>
        <v>0</v>
      </c>
      <c r="F126" s="37">
        <v>63</v>
      </c>
      <c r="G126" s="13" t="e">
        <f t="shared" ref="G126:G133" si="113">(F126/E126)*100</f>
        <v>#DIV/0!</v>
      </c>
      <c r="H126" s="125"/>
      <c r="I126" s="126"/>
      <c r="J126" s="39">
        <f t="shared" ref="J126:J133" si="114">I126-H126</f>
        <v>0</v>
      </c>
      <c r="K126" s="50">
        <f t="shared" ref="K126:K130" si="115">F126</f>
        <v>63</v>
      </c>
      <c r="L126" s="67" t="e">
        <f t="shared" ref="L126:L133" si="116">(K126/J126)*100</f>
        <v>#DIV/0!</v>
      </c>
      <c r="M126" s="68">
        <v>18800</v>
      </c>
      <c r="N126" s="42">
        <f t="shared" ref="N126:N133" si="117">M126*K126</f>
        <v>1184400</v>
      </c>
      <c r="R126" s="76">
        <f t="shared" si="56"/>
        <v>0</v>
      </c>
    </row>
    <row r="127" spans="1:18" ht="16">
      <c r="A127" s="33">
        <v>45999</v>
      </c>
      <c r="B127" s="44" t="s">
        <v>27</v>
      </c>
      <c r="C127" s="35"/>
      <c r="D127" s="12"/>
      <c r="E127" s="11">
        <f t="shared" si="112"/>
        <v>0</v>
      </c>
      <c r="F127" s="45">
        <v>68</v>
      </c>
      <c r="G127" s="13" t="e">
        <f t="shared" si="113"/>
        <v>#DIV/0!</v>
      </c>
      <c r="H127" s="38"/>
      <c r="I127" s="38"/>
      <c r="J127" s="35">
        <f t="shared" si="114"/>
        <v>0</v>
      </c>
      <c r="K127" s="50">
        <f t="shared" si="115"/>
        <v>68</v>
      </c>
      <c r="L127" s="46" t="e">
        <f t="shared" si="116"/>
        <v>#DIV/0!</v>
      </c>
      <c r="M127" s="48">
        <v>18380</v>
      </c>
      <c r="N127" s="42">
        <f t="shared" si="117"/>
        <v>1249840</v>
      </c>
      <c r="R127" s="76">
        <f t="shared" si="56"/>
        <v>0</v>
      </c>
    </row>
    <row r="128" spans="1:18" ht="16">
      <c r="A128" s="33">
        <v>46003</v>
      </c>
      <c r="B128" s="44" t="s">
        <v>27</v>
      </c>
      <c r="C128" s="35"/>
      <c r="D128" s="35"/>
      <c r="E128" s="11">
        <f t="shared" si="112"/>
        <v>0</v>
      </c>
      <c r="F128" s="45">
        <v>62</v>
      </c>
      <c r="G128" s="13" t="e">
        <f t="shared" si="113"/>
        <v>#DIV/0!</v>
      </c>
      <c r="H128" s="35"/>
      <c r="I128" s="38"/>
      <c r="J128" s="35">
        <f t="shared" si="114"/>
        <v>0</v>
      </c>
      <c r="K128" s="50">
        <f t="shared" si="115"/>
        <v>62</v>
      </c>
      <c r="L128" s="46" t="e">
        <f t="shared" si="116"/>
        <v>#DIV/0!</v>
      </c>
      <c r="M128" s="48">
        <v>18150</v>
      </c>
      <c r="N128" s="42">
        <f t="shared" si="117"/>
        <v>1125300</v>
      </c>
      <c r="R128" s="76">
        <f t="shared" si="56"/>
        <v>0</v>
      </c>
    </row>
    <row r="129" spans="1:18" ht="16">
      <c r="A129" s="33">
        <v>46006</v>
      </c>
      <c r="B129" s="44" t="s">
        <v>27</v>
      </c>
      <c r="C129" s="35"/>
      <c r="D129" s="35"/>
      <c r="E129" s="11">
        <f t="shared" si="112"/>
        <v>0</v>
      </c>
      <c r="F129" s="45">
        <v>54</v>
      </c>
      <c r="G129" s="13" t="e">
        <f t="shared" si="113"/>
        <v>#DIV/0!</v>
      </c>
      <c r="H129" s="35"/>
      <c r="I129" s="38"/>
      <c r="J129" s="35">
        <f t="shared" si="114"/>
        <v>0</v>
      </c>
      <c r="K129" s="50">
        <f t="shared" si="115"/>
        <v>54</v>
      </c>
      <c r="L129" s="46" t="e">
        <f t="shared" si="116"/>
        <v>#DIV/0!</v>
      </c>
      <c r="M129" s="48">
        <v>18150</v>
      </c>
      <c r="N129" s="42">
        <f t="shared" si="117"/>
        <v>980100</v>
      </c>
      <c r="R129" s="76">
        <f t="shared" si="56"/>
        <v>0</v>
      </c>
    </row>
    <row r="130" spans="1:18" ht="16">
      <c r="A130" s="33">
        <v>46009</v>
      </c>
      <c r="B130" s="44" t="s">
        <v>27</v>
      </c>
      <c r="C130" s="35"/>
      <c r="D130" s="35"/>
      <c r="E130" s="11">
        <f t="shared" si="112"/>
        <v>0</v>
      </c>
      <c r="F130" s="45">
        <v>60</v>
      </c>
      <c r="G130" s="13" t="e">
        <f t="shared" si="113"/>
        <v>#DIV/0!</v>
      </c>
      <c r="H130" s="35"/>
      <c r="I130" s="38"/>
      <c r="J130" s="35">
        <f t="shared" si="114"/>
        <v>0</v>
      </c>
      <c r="K130" s="50">
        <f t="shared" si="115"/>
        <v>60</v>
      </c>
      <c r="L130" s="46" t="e">
        <f t="shared" si="116"/>
        <v>#DIV/0!</v>
      </c>
      <c r="M130" s="48">
        <v>18150</v>
      </c>
      <c r="N130" s="42">
        <f t="shared" si="117"/>
        <v>1089000</v>
      </c>
      <c r="R130" s="76">
        <f t="shared" si="56"/>
        <v>0</v>
      </c>
    </row>
    <row r="131" spans="1:18" ht="16">
      <c r="A131" s="33">
        <v>46012</v>
      </c>
      <c r="B131" s="44" t="s">
        <v>27</v>
      </c>
      <c r="C131" s="35"/>
      <c r="D131" s="35"/>
      <c r="E131" s="11">
        <f t="shared" si="112"/>
        <v>0</v>
      </c>
      <c r="F131" s="45">
        <v>62</v>
      </c>
      <c r="G131" s="13" t="e">
        <f t="shared" si="113"/>
        <v>#DIV/0!</v>
      </c>
      <c r="H131" s="35"/>
      <c r="I131" s="38"/>
      <c r="J131" s="35">
        <f t="shared" si="114"/>
        <v>0</v>
      </c>
      <c r="K131" s="50">
        <v>62</v>
      </c>
      <c r="L131" s="46" t="e">
        <f t="shared" si="116"/>
        <v>#DIV/0!</v>
      </c>
      <c r="M131" s="48">
        <v>17470</v>
      </c>
      <c r="N131" s="42">
        <f t="shared" si="117"/>
        <v>1083140</v>
      </c>
      <c r="R131" s="76">
        <f t="shared" si="56"/>
        <v>0</v>
      </c>
    </row>
    <row r="132" spans="1:18" ht="16">
      <c r="A132" s="33">
        <v>46016</v>
      </c>
      <c r="B132" s="44" t="s">
        <v>27</v>
      </c>
      <c r="C132" s="35"/>
      <c r="D132" s="35"/>
      <c r="E132" s="11">
        <f t="shared" si="112"/>
        <v>0</v>
      </c>
      <c r="F132" s="45">
        <v>60</v>
      </c>
      <c r="G132" s="13" t="e">
        <f t="shared" si="113"/>
        <v>#DIV/0!</v>
      </c>
      <c r="H132" s="35"/>
      <c r="I132" s="38"/>
      <c r="J132" s="35">
        <f t="shared" si="114"/>
        <v>0</v>
      </c>
      <c r="K132" s="50">
        <v>60</v>
      </c>
      <c r="L132" s="46" t="e">
        <f t="shared" si="116"/>
        <v>#DIV/0!</v>
      </c>
      <c r="M132" s="48">
        <v>17470</v>
      </c>
      <c r="N132" s="42">
        <f t="shared" si="117"/>
        <v>1048200</v>
      </c>
      <c r="R132" s="76">
        <f t="shared" si="56"/>
        <v>0</v>
      </c>
    </row>
    <row r="133" spans="1:18" ht="16">
      <c r="A133" s="209">
        <v>46021</v>
      </c>
      <c r="B133" s="79" t="s">
        <v>27</v>
      </c>
      <c r="C133" s="53"/>
      <c r="D133" s="53"/>
      <c r="E133" s="24">
        <f t="shared" si="112"/>
        <v>0</v>
      </c>
      <c r="F133" s="45">
        <v>60</v>
      </c>
      <c r="G133" s="54" t="e">
        <f t="shared" si="113"/>
        <v>#DIV/0!</v>
      </c>
      <c r="H133" s="53"/>
      <c r="I133" s="55"/>
      <c r="J133" s="53">
        <f t="shared" si="114"/>
        <v>0</v>
      </c>
      <c r="K133" s="50">
        <v>60</v>
      </c>
      <c r="L133" s="73" t="e">
        <f t="shared" si="116"/>
        <v>#DIV/0!</v>
      </c>
      <c r="M133" s="56">
        <v>17250</v>
      </c>
      <c r="N133" s="47">
        <f t="shared" si="117"/>
        <v>1035000</v>
      </c>
      <c r="R133" s="76">
        <f t="shared" si="56"/>
        <v>0</v>
      </c>
    </row>
    <row r="134" spans="1:18" ht="16">
      <c r="A134" s="59"/>
      <c r="B134" s="60"/>
      <c r="C134" s="59"/>
      <c r="D134" s="59" t="s">
        <v>19</v>
      </c>
      <c r="E134" s="59">
        <f t="shared" ref="E134:F134" si="118">SUM(E126:E133)</f>
        <v>0</v>
      </c>
      <c r="F134" s="59">
        <f t="shared" si="118"/>
        <v>489</v>
      </c>
      <c r="G134" s="61" t="e">
        <f>AVERAGE(G126:G133)</f>
        <v>#DIV/0!</v>
      </c>
      <c r="H134" s="59"/>
      <c r="I134" s="62"/>
      <c r="J134" s="59">
        <f t="shared" ref="J134:K134" si="119">SUM(J126:J133)</f>
        <v>0</v>
      </c>
      <c r="K134" s="59">
        <f t="shared" si="119"/>
        <v>489</v>
      </c>
      <c r="L134" s="61" t="e">
        <f>AVERAGE(L126:L133)</f>
        <v>#DIV/0!</v>
      </c>
      <c r="M134" s="64"/>
      <c r="N134" s="132">
        <f>SUM(N126:N133)</f>
        <v>8794980</v>
      </c>
      <c r="R134" s="76">
        <f t="shared" si="56"/>
        <v>0</v>
      </c>
    </row>
    <row r="135" spans="1:18" ht="16">
      <c r="A135" s="66"/>
      <c r="B135" s="90" t="s">
        <v>28</v>
      </c>
      <c r="C135" s="83"/>
      <c r="D135" s="12"/>
      <c r="E135" s="36">
        <f t="shared" ref="E135:E142" si="120">D135-C135</f>
        <v>0</v>
      </c>
      <c r="F135" s="37"/>
      <c r="G135" s="13" t="e">
        <f t="shared" ref="G135:G142" si="121">(F135/E135)*100</f>
        <v>#DIV/0!</v>
      </c>
      <c r="H135" s="125"/>
      <c r="I135" s="126"/>
      <c r="J135" s="39">
        <f t="shared" ref="J135:J142" si="122">I135-H135</f>
        <v>0</v>
      </c>
      <c r="K135" s="77"/>
      <c r="L135" s="67" t="e">
        <f t="shared" ref="L135:L138" si="123">(K135/J135)*100</f>
        <v>#DIV/0!</v>
      </c>
      <c r="M135" s="68"/>
      <c r="N135" s="47">
        <f t="shared" ref="N135:N140" si="124">M135*K135</f>
        <v>0</v>
      </c>
      <c r="R135" s="76">
        <f t="shared" si="56"/>
        <v>0</v>
      </c>
    </row>
    <row r="136" spans="1:18" ht="16">
      <c r="A136" s="33"/>
      <c r="B136" s="90" t="s">
        <v>28</v>
      </c>
      <c r="C136" s="35"/>
      <c r="D136" s="12"/>
      <c r="E136" s="11">
        <f t="shared" si="120"/>
        <v>0</v>
      </c>
      <c r="F136" s="45"/>
      <c r="G136" s="13" t="e">
        <f t="shared" si="121"/>
        <v>#DIV/0!</v>
      </c>
      <c r="H136" s="38"/>
      <c r="I136" s="38"/>
      <c r="J136" s="35">
        <f t="shared" si="122"/>
        <v>0</v>
      </c>
      <c r="K136" s="50"/>
      <c r="L136" s="67" t="e">
        <f t="shared" si="123"/>
        <v>#DIV/0!</v>
      </c>
      <c r="M136" s="48"/>
      <c r="N136" s="47">
        <f t="shared" si="124"/>
        <v>0</v>
      </c>
      <c r="R136" s="76">
        <f t="shared" si="56"/>
        <v>0</v>
      </c>
    </row>
    <row r="137" spans="1:18" ht="16">
      <c r="A137" s="33"/>
      <c r="B137" s="90" t="s">
        <v>28</v>
      </c>
      <c r="C137" s="35"/>
      <c r="D137" s="35"/>
      <c r="E137" s="11">
        <f t="shared" si="120"/>
        <v>0</v>
      </c>
      <c r="F137" s="45"/>
      <c r="G137" s="13" t="e">
        <f t="shared" si="121"/>
        <v>#DIV/0!</v>
      </c>
      <c r="H137" s="35"/>
      <c r="I137" s="38"/>
      <c r="J137" s="35">
        <f t="shared" si="122"/>
        <v>0</v>
      </c>
      <c r="K137" s="50"/>
      <c r="L137" s="46" t="e">
        <f t="shared" si="123"/>
        <v>#DIV/0!</v>
      </c>
      <c r="M137" s="48"/>
      <c r="N137" s="47">
        <f t="shared" si="124"/>
        <v>0</v>
      </c>
      <c r="R137" s="76">
        <f t="shared" si="56"/>
        <v>0</v>
      </c>
    </row>
    <row r="138" spans="1:18" ht="16">
      <c r="A138" s="33"/>
      <c r="B138" s="90" t="s">
        <v>28</v>
      </c>
      <c r="C138" s="35"/>
      <c r="D138" s="35"/>
      <c r="E138" s="11">
        <f t="shared" si="120"/>
        <v>0</v>
      </c>
      <c r="F138" s="45"/>
      <c r="G138" s="13" t="e">
        <f t="shared" si="121"/>
        <v>#DIV/0!</v>
      </c>
      <c r="H138" s="35"/>
      <c r="I138" s="38"/>
      <c r="J138" s="35">
        <f t="shared" si="122"/>
        <v>0</v>
      </c>
      <c r="K138" s="50"/>
      <c r="L138" s="46" t="e">
        <f t="shared" si="123"/>
        <v>#DIV/0!</v>
      </c>
      <c r="M138" s="48"/>
      <c r="N138" s="47">
        <f t="shared" si="124"/>
        <v>0</v>
      </c>
      <c r="R138" s="76">
        <f t="shared" si="56"/>
        <v>0</v>
      </c>
    </row>
    <row r="139" spans="1:18" ht="16">
      <c r="A139" s="33"/>
      <c r="B139" s="90" t="s">
        <v>28</v>
      </c>
      <c r="C139" s="35"/>
      <c r="D139" s="35"/>
      <c r="E139" s="11">
        <f t="shared" si="120"/>
        <v>0</v>
      </c>
      <c r="F139" s="45"/>
      <c r="G139" s="13" t="e">
        <f t="shared" si="121"/>
        <v>#DIV/0!</v>
      </c>
      <c r="H139" s="35"/>
      <c r="I139" s="38"/>
      <c r="J139" s="35">
        <f t="shared" si="122"/>
        <v>0</v>
      </c>
      <c r="K139" s="50"/>
      <c r="L139" s="46"/>
      <c r="M139" s="48"/>
      <c r="N139" s="47">
        <f t="shared" si="124"/>
        <v>0</v>
      </c>
      <c r="R139" s="76">
        <f t="shared" si="56"/>
        <v>0</v>
      </c>
    </row>
    <row r="140" spans="1:18" ht="16">
      <c r="A140" s="33"/>
      <c r="B140" s="90" t="s">
        <v>28</v>
      </c>
      <c r="C140" s="35"/>
      <c r="D140" s="35"/>
      <c r="E140" s="11">
        <f t="shared" si="120"/>
        <v>0</v>
      </c>
      <c r="F140" s="45"/>
      <c r="G140" s="13" t="e">
        <f t="shared" si="121"/>
        <v>#DIV/0!</v>
      </c>
      <c r="H140" s="35"/>
      <c r="I140" s="38"/>
      <c r="J140" s="35">
        <f t="shared" si="122"/>
        <v>0</v>
      </c>
      <c r="K140" s="50"/>
      <c r="L140" s="46" t="e">
        <f t="shared" ref="L140:L142" si="125">(K140/J140)*100</f>
        <v>#DIV/0!</v>
      </c>
      <c r="M140" s="48"/>
      <c r="N140" s="47">
        <f t="shared" si="124"/>
        <v>0</v>
      </c>
      <c r="R140" s="76">
        <f t="shared" si="56"/>
        <v>0</v>
      </c>
    </row>
    <row r="141" spans="1:18" ht="16">
      <c r="A141" s="33"/>
      <c r="B141" s="44"/>
      <c r="C141" s="35"/>
      <c r="D141" s="35"/>
      <c r="E141" s="11">
        <f t="shared" si="120"/>
        <v>0</v>
      </c>
      <c r="F141" s="45"/>
      <c r="G141" s="13" t="e">
        <f t="shared" si="121"/>
        <v>#DIV/0!</v>
      </c>
      <c r="H141" s="35"/>
      <c r="I141" s="38"/>
      <c r="J141" s="35">
        <f t="shared" si="122"/>
        <v>0</v>
      </c>
      <c r="K141" s="50">
        <f t="shared" ref="K141:K142" si="126">F141</f>
        <v>0</v>
      </c>
      <c r="L141" s="46" t="e">
        <f t="shared" si="125"/>
        <v>#DIV/0!</v>
      </c>
      <c r="M141" s="48"/>
      <c r="N141" s="47">
        <f>F141*M141</f>
        <v>0</v>
      </c>
      <c r="R141" s="76">
        <f t="shared" si="56"/>
        <v>0</v>
      </c>
    </row>
    <row r="142" spans="1:18" ht="16">
      <c r="A142" s="88"/>
      <c r="B142" s="79"/>
      <c r="C142" s="53"/>
      <c r="D142" s="53"/>
      <c r="E142" s="24">
        <f t="shared" si="120"/>
        <v>0</v>
      </c>
      <c r="F142" s="45"/>
      <c r="G142" s="54" t="e">
        <f t="shared" si="121"/>
        <v>#DIV/0!</v>
      </c>
      <c r="H142" s="53"/>
      <c r="I142" s="55"/>
      <c r="J142" s="53">
        <f t="shared" si="122"/>
        <v>0</v>
      </c>
      <c r="K142" s="50">
        <f t="shared" si="126"/>
        <v>0</v>
      </c>
      <c r="L142" s="73" t="e">
        <f t="shared" si="125"/>
        <v>#DIV/0!</v>
      </c>
      <c r="M142" s="56"/>
      <c r="N142" s="47">
        <f>M142*K142</f>
        <v>0</v>
      </c>
      <c r="R142" s="76">
        <f t="shared" si="56"/>
        <v>0</v>
      </c>
    </row>
    <row r="143" spans="1:18" ht="16">
      <c r="A143" s="59"/>
      <c r="B143" s="60"/>
      <c r="C143" s="59"/>
      <c r="D143" s="59" t="s">
        <v>19</v>
      </c>
      <c r="E143" s="59">
        <f t="shared" ref="E143:F143" si="127">SUM(E135:E142)</f>
        <v>0</v>
      </c>
      <c r="F143" s="59">
        <f t="shared" si="127"/>
        <v>0</v>
      </c>
      <c r="G143" s="61" t="e">
        <f>AVERAGE(G135:G142)</f>
        <v>#DIV/0!</v>
      </c>
      <c r="H143" s="59"/>
      <c r="I143" s="62"/>
      <c r="J143" s="59">
        <f t="shared" ref="J143:K143" si="128">SUM(J135:J142)</f>
        <v>0</v>
      </c>
      <c r="K143" s="59">
        <f t="shared" si="128"/>
        <v>0</v>
      </c>
      <c r="L143" s="61" t="e">
        <f>AVERAGE(L135:L142)</f>
        <v>#DIV/0!</v>
      </c>
      <c r="M143" s="64"/>
      <c r="N143" s="132">
        <f>SUM(N135:N142)</f>
        <v>0</v>
      </c>
      <c r="R143" s="76">
        <f t="shared" si="56"/>
        <v>0</v>
      </c>
    </row>
    <row r="144" spans="1:18" ht="16">
      <c r="A144" s="85">
        <v>45996</v>
      </c>
      <c r="B144" s="90" t="s">
        <v>43</v>
      </c>
      <c r="C144" s="83"/>
      <c r="D144" s="12"/>
      <c r="E144" s="36">
        <f t="shared" ref="E144:E151" si="129">D144-C144</f>
        <v>0</v>
      </c>
      <c r="F144" s="37">
        <v>60</v>
      </c>
      <c r="G144" s="13" t="e">
        <f t="shared" ref="G144:G151" si="130">(F144/E144)*100</f>
        <v>#DIV/0!</v>
      </c>
      <c r="H144" s="125"/>
      <c r="I144" s="126"/>
      <c r="J144" s="39">
        <f t="shared" ref="J144:J151" si="131">I144-H144</f>
        <v>0</v>
      </c>
      <c r="K144" s="50">
        <f t="shared" ref="K144:K146" si="132">F144</f>
        <v>60</v>
      </c>
      <c r="L144" s="67" t="e">
        <f t="shared" ref="L144:L151" si="133">(K144/J144)*100</f>
        <v>#DIV/0!</v>
      </c>
      <c r="M144" s="68">
        <v>18380</v>
      </c>
      <c r="N144" s="47">
        <f t="shared" ref="N144:N147" si="134">M144*K144</f>
        <v>1102800</v>
      </c>
      <c r="R144" s="76">
        <f t="shared" si="56"/>
        <v>0</v>
      </c>
    </row>
    <row r="145" spans="1:18" ht="16">
      <c r="A145" s="33">
        <v>46001</v>
      </c>
      <c r="B145" s="44" t="s">
        <v>43</v>
      </c>
      <c r="C145" s="35"/>
      <c r="D145" s="12"/>
      <c r="E145" s="11">
        <f t="shared" si="129"/>
        <v>0</v>
      </c>
      <c r="F145" s="45">
        <v>60</v>
      </c>
      <c r="G145" s="13" t="e">
        <f t="shared" si="130"/>
        <v>#DIV/0!</v>
      </c>
      <c r="H145" s="38"/>
      <c r="I145" s="38"/>
      <c r="J145" s="35">
        <f t="shared" si="131"/>
        <v>0</v>
      </c>
      <c r="K145" s="50">
        <f t="shared" si="132"/>
        <v>60</v>
      </c>
      <c r="L145" s="46" t="e">
        <f t="shared" si="133"/>
        <v>#DIV/0!</v>
      </c>
      <c r="M145" s="48">
        <v>18380</v>
      </c>
      <c r="N145" s="47">
        <f t="shared" si="134"/>
        <v>1102800</v>
      </c>
      <c r="R145" s="76">
        <f t="shared" si="56"/>
        <v>0</v>
      </c>
    </row>
    <row r="146" spans="1:18" ht="16">
      <c r="A146" s="33">
        <v>46007</v>
      </c>
      <c r="B146" s="44" t="s">
        <v>43</v>
      </c>
      <c r="C146" s="35"/>
      <c r="D146" s="35"/>
      <c r="E146" s="11">
        <f t="shared" si="129"/>
        <v>0</v>
      </c>
      <c r="F146" s="45">
        <v>60</v>
      </c>
      <c r="G146" s="13" t="e">
        <f t="shared" si="130"/>
        <v>#DIV/0!</v>
      </c>
      <c r="H146" s="35"/>
      <c r="I146" s="38"/>
      <c r="J146" s="35">
        <f t="shared" si="131"/>
        <v>0</v>
      </c>
      <c r="K146" s="50">
        <f t="shared" si="132"/>
        <v>60</v>
      </c>
      <c r="L146" s="46" t="e">
        <f t="shared" si="133"/>
        <v>#DIV/0!</v>
      </c>
      <c r="M146" s="48">
        <v>18150</v>
      </c>
      <c r="N146" s="47">
        <f t="shared" si="134"/>
        <v>1089000</v>
      </c>
      <c r="R146" s="76">
        <f t="shared" si="56"/>
        <v>0</v>
      </c>
    </row>
    <row r="147" spans="1:18" ht="16">
      <c r="A147" s="33">
        <v>46010</v>
      </c>
      <c r="B147" s="44" t="s">
        <v>43</v>
      </c>
      <c r="C147" s="35"/>
      <c r="D147" s="35"/>
      <c r="E147" s="11">
        <f t="shared" si="129"/>
        <v>0</v>
      </c>
      <c r="F147" s="45">
        <v>60</v>
      </c>
      <c r="G147" s="13" t="e">
        <f t="shared" si="130"/>
        <v>#DIV/0!</v>
      </c>
      <c r="H147" s="35"/>
      <c r="I147" s="38"/>
      <c r="J147" s="35">
        <f t="shared" si="131"/>
        <v>0</v>
      </c>
      <c r="K147" s="50">
        <v>60</v>
      </c>
      <c r="L147" s="46" t="e">
        <f t="shared" si="133"/>
        <v>#DIV/0!</v>
      </c>
      <c r="M147" s="48">
        <v>17470</v>
      </c>
      <c r="N147" s="47">
        <f t="shared" si="134"/>
        <v>1048200</v>
      </c>
      <c r="R147" s="76">
        <f t="shared" si="56"/>
        <v>0</v>
      </c>
    </row>
    <row r="148" spans="1:18" ht="16">
      <c r="A148" s="33">
        <v>46015</v>
      </c>
      <c r="B148" s="44" t="s">
        <v>43</v>
      </c>
      <c r="C148" s="35"/>
      <c r="D148" s="35"/>
      <c r="E148" s="11">
        <f t="shared" si="129"/>
        <v>0</v>
      </c>
      <c r="F148" s="45">
        <v>65</v>
      </c>
      <c r="G148" s="13" t="e">
        <f t="shared" si="130"/>
        <v>#DIV/0!</v>
      </c>
      <c r="H148" s="35"/>
      <c r="I148" s="38"/>
      <c r="J148" s="35">
        <f t="shared" si="131"/>
        <v>0</v>
      </c>
      <c r="K148" s="50">
        <v>65</v>
      </c>
      <c r="L148" s="46" t="e">
        <f t="shared" si="133"/>
        <v>#DIV/0!</v>
      </c>
      <c r="M148" s="48">
        <v>17470</v>
      </c>
      <c r="N148" s="47">
        <f t="shared" ref="N148:N150" si="135">F148*M148</f>
        <v>1135550</v>
      </c>
      <c r="R148" s="76">
        <f t="shared" si="56"/>
        <v>0</v>
      </c>
    </row>
    <row r="149" spans="1:18" ht="16">
      <c r="A149" s="33">
        <v>46021</v>
      </c>
      <c r="B149" s="44" t="s">
        <v>43</v>
      </c>
      <c r="C149" s="35"/>
      <c r="D149" s="35"/>
      <c r="E149" s="11">
        <f t="shared" si="129"/>
        <v>0</v>
      </c>
      <c r="F149" s="45">
        <v>55</v>
      </c>
      <c r="G149" s="13" t="e">
        <f t="shared" si="130"/>
        <v>#DIV/0!</v>
      </c>
      <c r="H149" s="35"/>
      <c r="I149" s="38"/>
      <c r="J149" s="35">
        <f t="shared" si="131"/>
        <v>0</v>
      </c>
      <c r="K149" s="50">
        <f t="shared" ref="K149:K151" si="136">F149</f>
        <v>55</v>
      </c>
      <c r="L149" s="46" t="e">
        <f t="shared" si="133"/>
        <v>#DIV/0!</v>
      </c>
      <c r="M149" s="48">
        <v>17250</v>
      </c>
      <c r="N149" s="47">
        <f t="shared" si="135"/>
        <v>948750</v>
      </c>
      <c r="R149" s="76">
        <f t="shared" si="56"/>
        <v>0</v>
      </c>
    </row>
    <row r="150" spans="1:18" ht="16">
      <c r="A150" s="33"/>
      <c r="B150" s="44" t="s">
        <v>43</v>
      </c>
      <c r="C150" s="35"/>
      <c r="D150" s="35"/>
      <c r="E150" s="11">
        <f t="shared" si="129"/>
        <v>0</v>
      </c>
      <c r="F150" s="45"/>
      <c r="G150" s="13" t="e">
        <f t="shared" si="130"/>
        <v>#DIV/0!</v>
      </c>
      <c r="H150" s="35"/>
      <c r="I150" s="38"/>
      <c r="J150" s="35">
        <f t="shared" si="131"/>
        <v>0</v>
      </c>
      <c r="K150" s="50">
        <f t="shared" si="136"/>
        <v>0</v>
      </c>
      <c r="L150" s="46" t="e">
        <f t="shared" si="133"/>
        <v>#DIV/0!</v>
      </c>
      <c r="M150" s="48"/>
      <c r="N150" s="47">
        <f t="shared" si="135"/>
        <v>0</v>
      </c>
      <c r="R150" s="76">
        <f t="shared" si="56"/>
        <v>0</v>
      </c>
    </row>
    <row r="151" spans="1:18" ht="16">
      <c r="A151" s="88"/>
      <c r="B151" s="79"/>
      <c r="C151" s="53"/>
      <c r="D151" s="53"/>
      <c r="E151" s="24">
        <f t="shared" si="129"/>
        <v>0</v>
      </c>
      <c r="F151" s="45"/>
      <c r="G151" s="54" t="e">
        <f t="shared" si="130"/>
        <v>#DIV/0!</v>
      </c>
      <c r="H151" s="53"/>
      <c r="I151" s="55"/>
      <c r="J151" s="53">
        <f t="shared" si="131"/>
        <v>0</v>
      </c>
      <c r="K151" s="50">
        <f t="shared" si="136"/>
        <v>0</v>
      </c>
      <c r="L151" s="73" t="e">
        <f t="shared" si="133"/>
        <v>#DIV/0!</v>
      </c>
      <c r="M151" s="48"/>
      <c r="N151" s="47">
        <f>M151*K151</f>
        <v>0</v>
      </c>
      <c r="R151" s="76">
        <f t="shared" si="56"/>
        <v>0</v>
      </c>
    </row>
    <row r="152" spans="1:18" ht="16">
      <c r="A152" s="59"/>
      <c r="B152" s="60"/>
      <c r="C152" s="59"/>
      <c r="D152" s="59" t="s">
        <v>19</v>
      </c>
      <c r="E152" s="59">
        <f>SUM(E144:E151)</f>
        <v>0</v>
      </c>
      <c r="F152" s="37"/>
      <c r="G152" s="61" t="e">
        <f>AVERAGE(G144:G151)</f>
        <v>#DIV/0!</v>
      </c>
      <c r="H152" s="59"/>
      <c r="I152" s="62"/>
      <c r="J152" s="59">
        <f t="shared" ref="J152:K152" si="137">SUM(J144:J151)</f>
        <v>0</v>
      </c>
      <c r="K152" s="59">
        <f t="shared" si="137"/>
        <v>360</v>
      </c>
      <c r="L152" s="61" t="e">
        <f>AVERAGE(L144:L151)</f>
        <v>#DIV/0!</v>
      </c>
      <c r="M152" s="68"/>
      <c r="N152" s="132">
        <f>SUM(N144:N151)</f>
        <v>6427100</v>
      </c>
      <c r="R152" s="76">
        <f t="shared" si="56"/>
        <v>0</v>
      </c>
    </row>
    <row r="153" spans="1:18" ht="16">
      <c r="A153" s="66">
        <v>45998</v>
      </c>
      <c r="B153" s="90" t="s">
        <v>30</v>
      </c>
      <c r="C153" s="83"/>
      <c r="D153" s="12"/>
      <c r="E153" s="36">
        <f t="shared" ref="E153:E160" si="138">D153-C153</f>
        <v>0</v>
      </c>
      <c r="F153" s="37">
        <v>80</v>
      </c>
      <c r="G153" s="13" t="e">
        <f t="shared" ref="G153:G160" si="139">(F153/E153)*100</f>
        <v>#DIV/0!</v>
      </c>
      <c r="H153" s="125"/>
      <c r="I153" s="126"/>
      <c r="J153" s="39">
        <f t="shared" ref="J153:J160" si="140">I153-H153</f>
        <v>0</v>
      </c>
      <c r="K153" s="50">
        <f t="shared" ref="K153:K154" si="141">F153</f>
        <v>80</v>
      </c>
      <c r="L153" s="67" t="e">
        <f t="shared" ref="L153:L160" si="142">(K153/J153)*100</f>
        <v>#DIV/0!</v>
      </c>
      <c r="M153" s="68">
        <v>18380</v>
      </c>
      <c r="N153" s="47">
        <f t="shared" ref="N153:N156" si="143">M153*K153</f>
        <v>1470400</v>
      </c>
      <c r="R153" s="76">
        <f t="shared" si="56"/>
        <v>0</v>
      </c>
    </row>
    <row r="154" spans="1:18" ht="16">
      <c r="A154" s="33">
        <v>46006</v>
      </c>
      <c r="B154" s="44" t="s">
        <v>30</v>
      </c>
      <c r="C154" s="35"/>
      <c r="D154" s="12"/>
      <c r="E154" s="11">
        <f t="shared" si="138"/>
        <v>0</v>
      </c>
      <c r="F154" s="45">
        <v>80</v>
      </c>
      <c r="G154" s="13" t="e">
        <f t="shared" si="139"/>
        <v>#DIV/0!</v>
      </c>
      <c r="H154" s="38"/>
      <c r="I154" s="38"/>
      <c r="J154" s="35">
        <f t="shared" si="140"/>
        <v>0</v>
      </c>
      <c r="K154" s="50">
        <f t="shared" si="141"/>
        <v>80</v>
      </c>
      <c r="L154" s="46" t="e">
        <f t="shared" si="142"/>
        <v>#DIV/0!</v>
      </c>
      <c r="M154" s="48">
        <v>18150</v>
      </c>
      <c r="N154" s="47">
        <f t="shared" si="143"/>
        <v>1452000</v>
      </c>
      <c r="R154" s="76">
        <f t="shared" si="56"/>
        <v>0</v>
      </c>
    </row>
    <row r="155" spans="1:18" ht="16">
      <c r="A155" s="33">
        <v>46011</v>
      </c>
      <c r="B155" s="44" t="s">
        <v>30</v>
      </c>
      <c r="C155" s="35"/>
      <c r="D155" s="35"/>
      <c r="E155" s="11">
        <f t="shared" si="138"/>
        <v>0</v>
      </c>
      <c r="F155" s="45">
        <v>77</v>
      </c>
      <c r="G155" s="13" t="e">
        <f t="shared" si="139"/>
        <v>#DIV/0!</v>
      </c>
      <c r="H155" s="35"/>
      <c r="I155" s="38"/>
      <c r="J155" s="35">
        <f t="shared" si="140"/>
        <v>0</v>
      </c>
      <c r="K155" s="39">
        <v>77</v>
      </c>
      <c r="L155" s="46" t="e">
        <f t="shared" si="142"/>
        <v>#DIV/0!</v>
      </c>
      <c r="M155" s="48">
        <v>17470</v>
      </c>
      <c r="N155" s="47">
        <f t="shared" si="143"/>
        <v>1345190</v>
      </c>
      <c r="R155" s="76">
        <f t="shared" si="56"/>
        <v>0</v>
      </c>
    </row>
    <row r="156" spans="1:18" ht="16">
      <c r="A156" s="33">
        <v>46018</v>
      </c>
      <c r="B156" s="44" t="s">
        <v>30</v>
      </c>
      <c r="C156" s="35"/>
      <c r="D156" s="35"/>
      <c r="E156" s="11">
        <f t="shared" si="138"/>
        <v>0</v>
      </c>
      <c r="F156" s="45">
        <v>77</v>
      </c>
      <c r="G156" s="13" t="e">
        <f t="shared" si="139"/>
        <v>#DIV/0!</v>
      </c>
      <c r="H156" s="35"/>
      <c r="I156" s="38"/>
      <c r="J156" s="35">
        <f t="shared" si="140"/>
        <v>0</v>
      </c>
      <c r="K156" s="39">
        <v>77</v>
      </c>
      <c r="L156" s="46" t="e">
        <f t="shared" si="142"/>
        <v>#DIV/0!</v>
      </c>
      <c r="M156" s="48">
        <v>17250</v>
      </c>
      <c r="N156" s="47">
        <f t="shared" si="143"/>
        <v>1328250</v>
      </c>
      <c r="R156" s="76">
        <f t="shared" si="56"/>
        <v>0</v>
      </c>
    </row>
    <row r="157" spans="1:18" ht="16">
      <c r="A157" s="33"/>
      <c r="B157" s="44" t="s">
        <v>30</v>
      </c>
      <c r="C157" s="35"/>
      <c r="D157" s="35"/>
      <c r="E157" s="11">
        <f t="shared" si="138"/>
        <v>0</v>
      </c>
      <c r="F157" s="45"/>
      <c r="G157" s="13" t="e">
        <f t="shared" si="139"/>
        <v>#DIV/0!</v>
      </c>
      <c r="H157" s="35"/>
      <c r="I157" s="38"/>
      <c r="J157" s="35">
        <f t="shared" si="140"/>
        <v>0</v>
      </c>
      <c r="K157" s="39"/>
      <c r="L157" s="46" t="e">
        <f t="shared" si="142"/>
        <v>#DIV/0!</v>
      </c>
      <c r="M157" s="48"/>
      <c r="N157" s="47">
        <f t="shared" ref="N157:N159" si="144">F157*M157</f>
        <v>0</v>
      </c>
      <c r="R157" s="76">
        <f t="shared" si="56"/>
        <v>0</v>
      </c>
    </row>
    <row r="158" spans="1:18" ht="16">
      <c r="A158" s="33"/>
      <c r="B158" s="44" t="s">
        <v>30</v>
      </c>
      <c r="C158" s="35"/>
      <c r="D158" s="35"/>
      <c r="E158" s="11">
        <f t="shared" si="138"/>
        <v>0</v>
      </c>
      <c r="F158" s="45"/>
      <c r="G158" s="13" t="e">
        <f t="shared" si="139"/>
        <v>#DIV/0!</v>
      </c>
      <c r="H158" s="35"/>
      <c r="I158" s="38"/>
      <c r="J158" s="35">
        <f t="shared" si="140"/>
        <v>0</v>
      </c>
      <c r="K158" s="39"/>
      <c r="L158" s="46" t="e">
        <f t="shared" si="142"/>
        <v>#DIV/0!</v>
      </c>
      <c r="M158" s="48"/>
      <c r="N158" s="47">
        <f t="shared" si="144"/>
        <v>0</v>
      </c>
      <c r="R158" s="76">
        <f t="shared" si="56"/>
        <v>0</v>
      </c>
    </row>
    <row r="159" spans="1:18" ht="16">
      <c r="A159" s="33"/>
      <c r="B159" s="79"/>
      <c r="C159" s="35"/>
      <c r="D159" s="35"/>
      <c r="E159" s="11">
        <f t="shared" si="138"/>
        <v>0</v>
      </c>
      <c r="F159" s="45"/>
      <c r="G159" s="13" t="e">
        <f t="shared" si="139"/>
        <v>#DIV/0!</v>
      </c>
      <c r="H159" s="35"/>
      <c r="I159" s="38"/>
      <c r="J159" s="35">
        <f t="shared" si="140"/>
        <v>0</v>
      </c>
      <c r="K159" s="39">
        <f>D159</f>
        <v>0</v>
      </c>
      <c r="L159" s="73" t="e">
        <f t="shared" si="142"/>
        <v>#DIV/0!</v>
      </c>
      <c r="M159" s="48"/>
      <c r="N159" s="47">
        <f t="shared" si="144"/>
        <v>0</v>
      </c>
      <c r="R159" s="76">
        <f t="shared" si="56"/>
        <v>0</v>
      </c>
    </row>
    <row r="160" spans="1:18" ht="16">
      <c r="A160" s="133"/>
      <c r="B160" s="140"/>
      <c r="C160" s="134"/>
      <c r="D160" s="134"/>
      <c r="E160" s="24">
        <f t="shared" si="138"/>
        <v>0</v>
      </c>
      <c r="F160" s="37"/>
      <c r="G160" s="54" t="e">
        <f t="shared" si="139"/>
        <v>#DIV/0!</v>
      </c>
      <c r="H160" s="134"/>
      <c r="I160" s="135"/>
      <c r="J160" s="134">
        <f t="shared" si="140"/>
        <v>0</v>
      </c>
      <c r="K160" s="134"/>
      <c r="L160" s="136" t="e">
        <f t="shared" si="142"/>
        <v>#DIV/0!</v>
      </c>
      <c r="M160" s="137"/>
      <c r="N160" s="47">
        <f>M160*K160</f>
        <v>0</v>
      </c>
      <c r="R160" s="76">
        <f t="shared" si="56"/>
        <v>0</v>
      </c>
    </row>
    <row r="161" spans="1:18" ht="16">
      <c r="A161" s="59"/>
      <c r="B161" s="60"/>
      <c r="C161" s="59"/>
      <c r="D161" s="59" t="s">
        <v>19</v>
      </c>
      <c r="E161" s="59">
        <f t="shared" ref="E161:F161" si="145">SUM(E153:E160)</f>
        <v>0</v>
      </c>
      <c r="F161" s="59">
        <f t="shared" si="145"/>
        <v>314</v>
      </c>
      <c r="G161" s="61" t="e">
        <f>AVERAGE(G153:G160)</f>
        <v>#DIV/0!</v>
      </c>
      <c r="H161" s="59"/>
      <c r="I161" s="62"/>
      <c r="J161" s="59">
        <f t="shared" ref="J161:K161" si="146">SUM(J153:J160)</f>
        <v>0</v>
      </c>
      <c r="K161" s="59">
        <f t="shared" si="146"/>
        <v>314</v>
      </c>
      <c r="L161" s="61" t="e">
        <f>AVERAGE(L153:L160)</f>
        <v>#DIV/0!</v>
      </c>
      <c r="M161" s="64"/>
      <c r="N161" s="65">
        <f>SUM(N153:N160)</f>
        <v>5595840</v>
      </c>
      <c r="R161" s="76">
        <f t="shared" si="56"/>
        <v>0</v>
      </c>
    </row>
    <row r="162" spans="1:18" ht="16">
      <c r="A162" s="138">
        <v>45994</v>
      </c>
      <c r="B162" s="90" t="s">
        <v>44</v>
      </c>
      <c r="C162" s="83"/>
      <c r="D162" s="12"/>
      <c r="E162" s="11">
        <f t="shared" ref="E162:E169" si="147">D162-C162</f>
        <v>0</v>
      </c>
      <c r="F162" s="37">
        <v>70</v>
      </c>
      <c r="G162" s="13" t="e">
        <f t="shared" ref="G162:G169" si="148">(F162/E162)*100</f>
        <v>#DIV/0!</v>
      </c>
      <c r="H162" s="125"/>
      <c r="I162" s="126"/>
      <c r="J162" s="39">
        <f t="shared" ref="J162:J169" si="149">I162-H162</f>
        <v>0</v>
      </c>
      <c r="K162" s="50">
        <f t="shared" ref="K162:K165" si="150">F162</f>
        <v>70</v>
      </c>
      <c r="L162" s="67" t="e">
        <f t="shared" ref="L162:L169" si="151">(K162/J162)*100</f>
        <v>#DIV/0!</v>
      </c>
      <c r="M162" s="68">
        <v>18800</v>
      </c>
      <c r="N162" s="121">
        <f t="shared" ref="N162:N169" si="152">M162*K162</f>
        <v>1316000</v>
      </c>
    </row>
    <row r="163" spans="1:18" ht="16">
      <c r="A163" s="33">
        <v>45999</v>
      </c>
      <c r="B163" s="90" t="s">
        <v>44</v>
      </c>
      <c r="C163" s="35"/>
      <c r="D163" s="12"/>
      <c r="E163" s="11">
        <f t="shared" si="147"/>
        <v>0</v>
      </c>
      <c r="F163" s="45">
        <v>75</v>
      </c>
      <c r="G163" s="13" t="e">
        <f t="shared" si="148"/>
        <v>#DIV/0!</v>
      </c>
      <c r="H163" s="38"/>
      <c r="I163" s="38"/>
      <c r="J163" s="35">
        <f t="shared" si="149"/>
        <v>0</v>
      </c>
      <c r="K163" s="50">
        <f t="shared" si="150"/>
        <v>75</v>
      </c>
      <c r="L163" s="46" t="e">
        <f t="shared" si="151"/>
        <v>#DIV/0!</v>
      </c>
      <c r="M163" s="68">
        <v>18380</v>
      </c>
      <c r="N163" s="121">
        <f t="shared" si="152"/>
        <v>1378500</v>
      </c>
    </row>
    <row r="164" spans="1:18" ht="16">
      <c r="A164" s="33">
        <v>46003</v>
      </c>
      <c r="B164" s="90" t="s">
        <v>44</v>
      </c>
      <c r="C164" s="35"/>
      <c r="D164" s="35"/>
      <c r="E164" s="11">
        <f t="shared" si="147"/>
        <v>0</v>
      </c>
      <c r="F164" s="45">
        <v>75</v>
      </c>
      <c r="G164" s="13" t="e">
        <f t="shared" si="148"/>
        <v>#DIV/0!</v>
      </c>
      <c r="H164" s="35"/>
      <c r="I164" s="38"/>
      <c r="J164" s="35">
        <f t="shared" si="149"/>
        <v>0</v>
      </c>
      <c r="K164" s="50">
        <f t="shared" si="150"/>
        <v>75</v>
      </c>
      <c r="L164" s="46" t="e">
        <f t="shared" si="151"/>
        <v>#DIV/0!</v>
      </c>
      <c r="M164" s="68">
        <v>18150</v>
      </c>
      <c r="N164" s="121">
        <f t="shared" si="152"/>
        <v>1361250</v>
      </c>
    </row>
    <row r="165" spans="1:18" ht="16">
      <c r="A165" s="33">
        <v>46006</v>
      </c>
      <c r="B165" s="90" t="s">
        <v>44</v>
      </c>
      <c r="C165" s="35"/>
      <c r="D165" s="35"/>
      <c r="E165" s="11">
        <f t="shared" si="147"/>
        <v>0</v>
      </c>
      <c r="F165" s="45">
        <v>60</v>
      </c>
      <c r="G165" s="13" t="e">
        <f t="shared" si="148"/>
        <v>#DIV/0!</v>
      </c>
      <c r="H165" s="35"/>
      <c r="I165" s="38"/>
      <c r="J165" s="35">
        <f t="shared" si="149"/>
        <v>0</v>
      </c>
      <c r="K165" s="50">
        <f t="shared" si="150"/>
        <v>60</v>
      </c>
      <c r="L165" s="46" t="e">
        <f t="shared" si="151"/>
        <v>#DIV/0!</v>
      </c>
      <c r="M165" s="68">
        <v>18150</v>
      </c>
      <c r="N165" s="121">
        <f t="shared" si="152"/>
        <v>1089000</v>
      </c>
    </row>
    <row r="166" spans="1:18" ht="16">
      <c r="A166" s="33">
        <v>46010</v>
      </c>
      <c r="B166" s="90" t="s">
        <v>44</v>
      </c>
      <c r="C166" s="35"/>
      <c r="D166" s="35"/>
      <c r="E166" s="11">
        <f t="shared" si="147"/>
        <v>0</v>
      </c>
      <c r="F166" s="45">
        <v>80</v>
      </c>
      <c r="G166" s="13" t="e">
        <f t="shared" si="148"/>
        <v>#DIV/0!</v>
      </c>
      <c r="H166" s="35"/>
      <c r="I166" s="38"/>
      <c r="J166" s="35">
        <f t="shared" si="149"/>
        <v>0</v>
      </c>
      <c r="K166" s="77">
        <v>80</v>
      </c>
      <c r="L166" s="46" t="e">
        <f t="shared" si="151"/>
        <v>#DIV/0!</v>
      </c>
      <c r="M166" s="68">
        <v>17470</v>
      </c>
      <c r="N166" s="121">
        <f t="shared" si="152"/>
        <v>1397600</v>
      </c>
    </row>
    <row r="167" spans="1:18" ht="16">
      <c r="A167" s="33">
        <v>46014</v>
      </c>
      <c r="B167" s="90" t="s">
        <v>44</v>
      </c>
      <c r="C167" s="35"/>
      <c r="D167" s="35"/>
      <c r="E167" s="11">
        <f t="shared" si="147"/>
        <v>0</v>
      </c>
      <c r="F167" s="45">
        <v>80</v>
      </c>
      <c r="G167" s="13" t="e">
        <f t="shared" si="148"/>
        <v>#DIV/0!</v>
      </c>
      <c r="H167" s="35"/>
      <c r="I167" s="38"/>
      <c r="J167" s="35">
        <f t="shared" si="149"/>
        <v>0</v>
      </c>
      <c r="K167" s="77">
        <v>80</v>
      </c>
      <c r="L167" s="46" t="e">
        <f t="shared" si="151"/>
        <v>#DIV/0!</v>
      </c>
      <c r="M167" s="68">
        <v>17470</v>
      </c>
      <c r="N167" s="121">
        <f t="shared" si="152"/>
        <v>1397600</v>
      </c>
    </row>
    <row r="168" spans="1:18" ht="16">
      <c r="A168" s="33">
        <v>46018</v>
      </c>
      <c r="B168" s="90" t="s">
        <v>44</v>
      </c>
      <c r="C168" s="35"/>
      <c r="D168" s="35"/>
      <c r="E168" s="11">
        <f t="shared" si="147"/>
        <v>0</v>
      </c>
      <c r="F168" s="45">
        <v>80</v>
      </c>
      <c r="G168" s="13" t="e">
        <f t="shared" si="148"/>
        <v>#DIV/0!</v>
      </c>
      <c r="H168" s="35"/>
      <c r="I168" s="38"/>
      <c r="J168" s="35">
        <f t="shared" si="149"/>
        <v>0</v>
      </c>
      <c r="K168" s="50">
        <f t="shared" ref="K168:K169" si="153">F168</f>
        <v>80</v>
      </c>
      <c r="L168" s="46" t="e">
        <f t="shared" si="151"/>
        <v>#DIV/0!</v>
      </c>
      <c r="M168" s="48">
        <v>17250</v>
      </c>
      <c r="N168" s="121">
        <f t="shared" si="152"/>
        <v>1380000</v>
      </c>
    </row>
    <row r="169" spans="1:18" ht="16">
      <c r="A169" s="88">
        <v>46022</v>
      </c>
      <c r="B169" s="90" t="s">
        <v>44</v>
      </c>
      <c r="C169" s="53"/>
      <c r="D169" s="53"/>
      <c r="E169" s="24">
        <f t="shared" si="147"/>
        <v>0</v>
      </c>
      <c r="F169" s="45">
        <v>60</v>
      </c>
      <c r="G169" s="54" t="e">
        <f t="shared" si="148"/>
        <v>#DIV/0!</v>
      </c>
      <c r="H169" s="53"/>
      <c r="I169" s="55"/>
      <c r="J169" s="53">
        <f t="shared" si="149"/>
        <v>0</v>
      </c>
      <c r="K169" s="50">
        <f t="shared" si="153"/>
        <v>60</v>
      </c>
      <c r="L169" s="73" t="e">
        <f t="shared" si="151"/>
        <v>#DIV/0!</v>
      </c>
      <c r="M169" s="56">
        <v>17250</v>
      </c>
      <c r="N169" s="47">
        <f t="shared" si="152"/>
        <v>1035000</v>
      </c>
    </row>
    <row r="170" spans="1:18" ht="16">
      <c r="A170" s="59"/>
      <c r="B170" s="60"/>
      <c r="C170" s="59"/>
      <c r="D170" s="59" t="s">
        <v>19</v>
      </c>
      <c r="E170" s="59">
        <f t="shared" ref="E170:F170" si="154">SUM(E162:E169)</f>
        <v>0</v>
      </c>
      <c r="F170" s="59">
        <f t="shared" si="154"/>
        <v>580</v>
      </c>
      <c r="G170" s="61" t="e">
        <f>AVERAGE(G162:G169)</f>
        <v>#DIV/0!</v>
      </c>
      <c r="H170" s="59"/>
      <c r="I170" s="62"/>
      <c r="J170" s="59">
        <f t="shared" ref="J170:K170" si="155">SUM(J162:J169)</f>
        <v>0</v>
      </c>
      <c r="K170" s="59">
        <f t="shared" si="155"/>
        <v>580</v>
      </c>
      <c r="L170" s="61" t="e">
        <f>AVERAGE(L162:L169)</f>
        <v>#DIV/0!</v>
      </c>
      <c r="M170" s="64"/>
      <c r="N170" s="65">
        <f>SUM(N162:N169)</f>
        <v>10354950</v>
      </c>
    </row>
    <row r="171" spans="1:18" ht="16">
      <c r="A171" s="139">
        <v>45994</v>
      </c>
      <c r="B171" s="140" t="s">
        <v>32</v>
      </c>
      <c r="C171" s="83"/>
      <c r="D171" s="12"/>
      <c r="E171" s="36">
        <f t="shared" ref="E171:E178" si="156">D171-C171</f>
        <v>0</v>
      </c>
      <c r="F171" s="37">
        <v>90</v>
      </c>
      <c r="G171" s="13" t="e">
        <f t="shared" ref="G171:G178" si="157">(F171/E171)*100</f>
        <v>#DIV/0!</v>
      </c>
      <c r="H171" s="125"/>
      <c r="I171" s="126"/>
      <c r="J171" s="39">
        <f t="shared" ref="J171:J178" si="158">I171-H171</f>
        <v>0</v>
      </c>
      <c r="K171" s="50">
        <f t="shared" ref="K171:K172" si="159">F171</f>
        <v>90</v>
      </c>
      <c r="L171" s="136" t="e">
        <f t="shared" ref="L171:L178" si="160">(K171/J171)*100</f>
        <v>#DIV/0!</v>
      </c>
      <c r="M171" s="68">
        <v>18800</v>
      </c>
      <c r="N171" s="121">
        <f t="shared" ref="N171:N178" si="161">M171*K171</f>
        <v>1692000</v>
      </c>
    </row>
    <row r="172" spans="1:18" ht="16">
      <c r="A172" s="138">
        <v>46003</v>
      </c>
      <c r="B172" s="140" t="s">
        <v>32</v>
      </c>
      <c r="C172" s="83"/>
      <c r="D172" s="12"/>
      <c r="E172" s="36">
        <f t="shared" si="156"/>
        <v>0</v>
      </c>
      <c r="F172" s="45">
        <v>92</v>
      </c>
      <c r="G172" s="13" t="e">
        <f t="shared" si="157"/>
        <v>#DIV/0!</v>
      </c>
      <c r="H172" s="38"/>
      <c r="I172" s="38"/>
      <c r="J172" s="35">
        <f t="shared" si="158"/>
        <v>0</v>
      </c>
      <c r="K172" s="50">
        <f t="shared" si="159"/>
        <v>92</v>
      </c>
      <c r="L172" s="136" t="e">
        <f t="shared" si="160"/>
        <v>#DIV/0!</v>
      </c>
      <c r="M172" s="116">
        <v>18150</v>
      </c>
      <c r="N172" s="121">
        <f t="shared" si="161"/>
        <v>1669800</v>
      </c>
    </row>
    <row r="173" spans="1:18" ht="16">
      <c r="A173" s="138">
        <v>46010</v>
      </c>
      <c r="B173" s="140" t="s">
        <v>32</v>
      </c>
      <c r="C173" s="83"/>
      <c r="D173" s="83"/>
      <c r="E173" s="11">
        <f t="shared" si="156"/>
        <v>0</v>
      </c>
      <c r="F173" s="141">
        <v>88</v>
      </c>
      <c r="G173" s="13" t="e">
        <f t="shared" si="157"/>
        <v>#DIV/0!</v>
      </c>
      <c r="H173" s="35"/>
      <c r="I173" s="38"/>
      <c r="J173" s="35">
        <f t="shared" si="158"/>
        <v>0</v>
      </c>
      <c r="K173" s="50">
        <v>88</v>
      </c>
      <c r="L173" s="136" t="e">
        <f t="shared" si="160"/>
        <v>#DIV/0!</v>
      </c>
      <c r="M173" s="116">
        <v>17470</v>
      </c>
      <c r="N173" s="121">
        <f t="shared" si="161"/>
        <v>1537360</v>
      </c>
    </row>
    <row r="174" spans="1:18" ht="16">
      <c r="A174" s="138">
        <v>46016</v>
      </c>
      <c r="B174" s="140" t="s">
        <v>32</v>
      </c>
      <c r="C174" s="83"/>
      <c r="D174" s="83"/>
      <c r="E174" s="11">
        <f t="shared" si="156"/>
        <v>0</v>
      </c>
      <c r="F174" s="141">
        <v>80</v>
      </c>
      <c r="G174" s="13" t="e">
        <f t="shared" si="157"/>
        <v>#DIV/0!</v>
      </c>
      <c r="H174" s="35"/>
      <c r="I174" s="38"/>
      <c r="J174" s="35">
        <f t="shared" si="158"/>
        <v>0</v>
      </c>
      <c r="K174" s="50">
        <v>80</v>
      </c>
      <c r="L174" s="136" t="e">
        <f t="shared" si="160"/>
        <v>#DIV/0!</v>
      </c>
      <c r="M174" s="116">
        <v>17250</v>
      </c>
      <c r="N174" s="121">
        <f t="shared" si="161"/>
        <v>1380000</v>
      </c>
    </row>
    <row r="175" spans="1:18" ht="16">
      <c r="A175" s="138"/>
      <c r="B175" s="140" t="s">
        <v>32</v>
      </c>
      <c r="C175" s="83"/>
      <c r="D175" s="83"/>
      <c r="E175" s="11">
        <f t="shared" si="156"/>
        <v>0</v>
      </c>
      <c r="F175" s="141"/>
      <c r="G175" s="13" t="e">
        <f t="shared" si="157"/>
        <v>#DIV/0!</v>
      </c>
      <c r="H175" s="35"/>
      <c r="I175" s="38"/>
      <c r="J175" s="35">
        <f t="shared" si="158"/>
        <v>0</v>
      </c>
      <c r="K175" s="50"/>
      <c r="L175" s="136" t="e">
        <f t="shared" si="160"/>
        <v>#DIV/0!</v>
      </c>
      <c r="M175" s="116"/>
      <c r="N175" s="121">
        <f t="shared" si="161"/>
        <v>0</v>
      </c>
    </row>
    <row r="176" spans="1:18" ht="16">
      <c r="A176" s="138"/>
      <c r="B176" s="140" t="s">
        <v>32</v>
      </c>
      <c r="C176" s="83"/>
      <c r="D176" s="83"/>
      <c r="E176" s="11">
        <f t="shared" si="156"/>
        <v>0</v>
      </c>
      <c r="F176" s="141"/>
      <c r="G176" s="13" t="e">
        <f t="shared" si="157"/>
        <v>#DIV/0!</v>
      </c>
      <c r="H176" s="35"/>
      <c r="I176" s="38"/>
      <c r="J176" s="35">
        <f t="shared" si="158"/>
        <v>0</v>
      </c>
      <c r="K176" s="50"/>
      <c r="L176" s="136" t="e">
        <f t="shared" si="160"/>
        <v>#DIV/0!</v>
      </c>
      <c r="M176" s="116"/>
      <c r="N176" s="121">
        <f t="shared" si="161"/>
        <v>0</v>
      </c>
    </row>
    <row r="177" spans="1:18" ht="16">
      <c r="A177" s="138"/>
      <c r="B177" s="140" t="s">
        <v>32</v>
      </c>
      <c r="C177" s="83"/>
      <c r="D177" s="83"/>
      <c r="E177" s="11">
        <f t="shared" si="156"/>
        <v>0</v>
      </c>
      <c r="F177" s="141"/>
      <c r="G177" s="13" t="e">
        <f t="shared" si="157"/>
        <v>#DIV/0!</v>
      </c>
      <c r="H177" s="83"/>
      <c r="I177" s="125"/>
      <c r="J177" s="83">
        <f t="shared" si="158"/>
        <v>0</v>
      </c>
      <c r="K177" s="50"/>
      <c r="L177" s="136" t="e">
        <f t="shared" si="160"/>
        <v>#DIV/0!</v>
      </c>
      <c r="M177" s="116"/>
      <c r="N177" s="121">
        <f t="shared" si="161"/>
        <v>0</v>
      </c>
    </row>
    <row r="178" spans="1:18" ht="16">
      <c r="A178" s="142"/>
      <c r="B178" s="140" t="s">
        <v>32</v>
      </c>
      <c r="C178" s="134"/>
      <c r="D178" s="134"/>
      <c r="E178" s="24">
        <f t="shared" si="156"/>
        <v>0</v>
      </c>
      <c r="F178" s="143"/>
      <c r="G178" s="54" t="e">
        <f t="shared" si="157"/>
        <v>#DIV/0!</v>
      </c>
      <c r="H178" s="134"/>
      <c r="I178" s="135"/>
      <c r="J178" s="134">
        <f t="shared" si="158"/>
        <v>0</v>
      </c>
      <c r="K178" s="50"/>
      <c r="L178" s="136" t="e">
        <f t="shared" si="160"/>
        <v>#DIV/0!</v>
      </c>
      <c r="M178" s="137"/>
      <c r="N178" s="47">
        <f t="shared" si="161"/>
        <v>0</v>
      </c>
    </row>
    <row r="179" spans="1:18" ht="16">
      <c r="A179" s="142"/>
      <c r="B179" s="60"/>
      <c r="C179" s="59"/>
      <c r="D179" s="59" t="s">
        <v>19</v>
      </c>
      <c r="E179" s="59">
        <f t="shared" ref="E179:F179" si="162">SUM(E171:E178)</f>
        <v>0</v>
      </c>
      <c r="F179" s="59">
        <f t="shared" si="162"/>
        <v>350</v>
      </c>
      <c r="G179" s="61" t="e">
        <f>AVERAGE(G171:G178)</f>
        <v>#DIV/0!</v>
      </c>
      <c r="H179" s="59"/>
      <c r="I179" s="62"/>
      <c r="J179" s="59">
        <f t="shared" ref="J179:K179" si="163">SUM(J171:J178)</f>
        <v>0</v>
      </c>
      <c r="K179" s="59">
        <f t="shared" si="163"/>
        <v>350</v>
      </c>
      <c r="L179" s="61" t="e">
        <f>AVERAGE(L171:L178)</f>
        <v>#DIV/0!</v>
      </c>
      <c r="M179" s="64"/>
      <c r="N179" s="65">
        <f>SUM(N171:N178)</f>
        <v>6279160</v>
      </c>
    </row>
    <row r="180" spans="1:18" ht="16">
      <c r="A180" s="139">
        <v>45999</v>
      </c>
      <c r="B180" s="144" t="s">
        <v>33</v>
      </c>
      <c r="C180" s="83"/>
      <c r="D180" s="145"/>
      <c r="E180" s="36">
        <f t="shared" ref="E180:E186" si="164">D180-C180</f>
        <v>0</v>
      </c>
      <c r="F180" s="37">
        <v>81.61</v>
      </c>
      <c r="G180" s="114" t="e">
        <f t="shared" ref="G180:G186" si="165">(F180/E180)*100</f>
        <v>#DIV/0!</v>
      </c>
      <c r="H180" s="125"/>
      <c r="I180" s="126"/>
      <c r="J180" s="39">
        <f t="shared" ref="J180:J186" si="166">I180-H180</f>
        <v>0</v>
      </c>
      <c r="K180" s="50">
        <f t="shared" ref="K180:K182" si="167">F180</f>
        <v>81.61</v>
      </c>
      <c r="L180" s="146" t="e">
        <f t="shared" ref="L180:L186" si="168">(K180/J180)*100</f>
        <v>#DIV/0!</v>
      </c>
      <c r="M180" s="68">
        <v>18380</v>
      </c>
      <c r="N180" s="121">
        <f t="shared" ref="N180:N186" si="169">M180*K180</f>
        <v>1499991.8</v>
      </c>
      <c r="R180" s="76">
        <f t="shared" ref="R180:R186" si="170">Q180</f>
        <v>0</v>
      </c>
    </row>
    <row r="181" spans="1:18" ht="16">
      <c r="A181" s="138">
        <v>46003</v>
      </c>
      <c r="B181" s="140" t="s">
        <v>33</v>
      </c>
      <c r="C181" s="83"/>
      <c r="D181" s="12"/>
      <c r="E181" s="36">
        <f t="shared" si="164"/>
        <v>0</v>
      </c>
      <c r="F181" s="45">
        <v>89.474999999999994</v>
      </c>
      <c r="G181" s="13" t="e">
        <f t="shared" si="165"/>
        <v>#DIV/0!</v>
      </c>
      <c r="H181" s="38"/>
      <c r="I181" s="38"/>
      <c r="J181" s="35">
        <f t="shared" si="166"/>
        <v>0</v>
      </c>
      <c r="K181" s="50">
        <f t="shared" si="167"/>
        <v>89.474999999999994</v>
      </c>
      <c r="L181" s="136" t="e">
        <f t="shared" si="168"/>
        <v>#DIV/0!</v>
      </c>
      <c r="M181" s="116">
        <v>18150</v>
      </c>
      <c r="N181" s="121">
        <f t="shared" si="169"/>
        <v>1623971.25</v>
      </c>
      <c r="R181" s="76">
        <f t="shared" si="170"/>
        <v>0</v>
      </c>
    </row>
    <row r="182" spans="1:18" ht="16">
      <c r="A182" s="138">
        <v>46008</v>
      </c>
      <c r="B182" s="140" t="s">
        <v>33</v>
      </c>
      <c r="C182" s="83"/>
      <c r="D182" s="83"/>
      <c r="E182" s="11">
        <f t="shared" si="164"/>
        <v>0</v>
      </c>
      <c r="F182" s="141">
        <v>90</v>
      </c>
      <c r="G182" s="13" t="e">
        <f t="shared" si="165"/>
        <v>#DIV/0!</v>
      </c>
      <c r="H182" s="35"/>
      <c r="I182" s="38"/>
      <c r="J182" s="35">
        <f t="shared" si="166"/>
        <v>0</v>
      </c>
      <c r="K182" s="50">
        <f t="shared" si="167"/>
        <v>90</v>
      </c>
      <c r="L182" s="136" t="e">
        <f t="shared" si="168"/>
        <v>#DIV/0!</v>
      </c>
      <c r="M182" s="116">
        <v>18150</v>
      </c>
      <c r="N182" s="121">
        <f t="shared" si="169"/>
        <v>1633500</v>
      </c>
      <c r="R182" s="76">
        <f t="shared" si="170"/>
        <v>0</v>
      </c>
    </row>
    <row r="183" spans="1:18" ht="16">
      <c r="A183" s="138">
        <v>46010</v>
      </c>
      <c r="B183" s="140" t="s">
        <v>33</v>
      </c>
      <c r="C183" s="83"/>
      <c r="D183" s="83"/>
      <c r="E183" s="11">
        <f t="shared" si="164"/>
        <v>0</v>
      </c>
      <c r="F183" s="141">
        <v>80</v>
      </c>
      <c r="G183" s="13" t="e">
        <f t="shared" si="165"/>
        <v>#DIV/0!</v>
      </c>
      <c r="H183" s="35"/>
      <c r="I183" s="38"/>
      <c r="J183" s="35">
        <f t="shared" si="166"/>
        <v>0</v>
      </c>
      <c r="K183" s="50">
        <v>80</v>
      </c>
      <c r="L183" s="136" t="e">
        <f t="shared" si="168"/>
        <v>#DIV/0!</v>
      </c>
      <c r="M183" s="116">
        <v>17470</v>
      </c>
      <c r="N183" s="121">
        <f t="shared" si="169"/>
        <v>1397600</v>
      </c>
      <c r="R183" s="76">
        <f t="shared" si="170"/>
        <v>0</v>
      </c>
    </row>
    <row r="184" spans="1:18" ht="16">
      <c r="A184" s="138">
        <v>46013</v>
      </c>
      <c r="B184" s="140" t="s">
        <v>33</v>
      </c>
      <c r="C184" s="83"/>
      <c r="D184" s="83"/>
      <c r="E184" s="11">
        <f t="shared" si="164"/>
        <v>0</v>
      </c>
      <c r="F184" s="141">
        <v>89</v>
      </c>
      <c r="G184" s="13" t="e">
        <f t="shared" si="165"/>
        <v>#DIV/0!</v>
      </c>
      <c r="H184" s="35"/>
      <c r="I184" s="38"/>
      <c r="J184" s="35">
        <f t="shared" si="166"/>
        <v>0</v>
      </c>
      <c r="K184" s="50">
        <v>89</v>
      </c>
      <c r="L184" s="136" t="e">
        <f t="shared" si="168"/>
        <v>#DIV/0!</v>
      </c>
      <c r="M184" s="116">
        <v>17470</v>
      </c>
      <c r="N184" s="121">
        <f t="shared" si="169"/>
        <v>1554830</v>
      </c>
      <c r="R184" s="76">
        <f t="shared" si="170"/>
        <v>0</v>
      </c>
    </row>
    <row r="185" spans="1:18" ht="16">
      <c r="A185" s="138"/>
      <c r="B185" s="140" t="s">
        <v>33</v>
      </c>
      <c r="C185" s="83"/>
      <c r="D185" s="83"/>
      <c r="E185" s="11">
        <f t="shared" si="164"/>
        <v>0</v>
      </c>
      <c r="F185" s="141"/>
      <c r="G185" s="13" t="e">
        <f t="shared" si="165"/>
        <v>#DIV/0!</v>
      </c>
      <c r="H185" s="35"/>
      <c r="I185" s="38"/>
      <c r="J185" s="35">
        <f t="shared" si="166"/>
        <v>0</v>
      </c>
      <c r="K185" s="50"/>
      <c r="L185" s="136" t="e">
        <f t="shared" si="168"/>
        <v>#DIV/0!</v>
      </c>
      <c r="M185" s="116"/>
      <c r="N185" s="121">
        <f t="shared" si="169"/>
        <v>0</v>
      </c>
      <c r="R185" s="76">
        <f t="shared" si="170"/>
        <v>0</v>
      </c>
    </row>
    <row r="186" spans="1:18" ht="16">
      <c r="A186" s="138"/>
      <c r="B186" s="140" t="s">
        <v>33</v>
      </c>
      <c r="C186" s="83"/>
      <c r="D186" s="83"/>
      <c r="E186" s="11">
        <f t="shared" si="164"/>
        <v>0</v>
      </c>
      <c r="F186" s="141"/>
      <c r="G186" s="13" t="e">
        <f t="shared" si="165"/>
        <v>#DIV/0!</v>
      </c>
      <c r="H186" s="83"/>
      <c r="I186" s="125"/>
      <c r="J186" s="83">
        <f t="shared" si="166"/>
        <v>0</v>
      </c>
      <c r="K186" s="50"/>
      <c r="L186" s="136" t="e">
        <f t="shared" si="168"/>
        <v>#DIV/0!</v>
      </c>
      <c r="M186" s="116"/>
      <c r="N186" s="121">
        <f t="shared" si="169"/>
        <v>0</v>
      </c>
      <c r="R186" s="76">
        <f t="shared" si="170"/>
        <v>0</v>
      </c>
    </row>
    <row r="187" spans="1:18" ht="16">
      <c r="A187" s="138"/>
      <c r="B187" s="60"/>
      <c r="C187" s="59"/>
      <c r="D187" s="59" t="s">
        <v>19</v>
      </c>
      <c r="E187" s="59">
        <f t="shared" ref="E187:F187" si="171">SUM(E174:E186)</f>
        <v>0</v>
      </c>
      <c r="F187" s="59">
        <f t="shared" si="171"/>
        <v>860.08500000000004</v>
      </c>
      <c r="G187" s="61" t="e">
        <f>AVERAGE(G174:G186)</f>
        <v>#DIV/0!</v>
      </c>
      <c r="H187" s="59"/>
      <c r="I187" s="62"/>
      <c r="J187" s="59">
        <f>SUM(J174:J186)</f>
        <v>0</v>
      </c>
      <c r="K187" s="59">
        <f>SUM(K180:K186)</f>
        <v>430.08499999999998</v>
      </c>
      <c r="L187" s="61" t="e">
        <f>AVERAGE(L174:L186)</f>
        <v>#DIV/0!</v>
      </c>
      <c r="M187" s="64"/>
      <c r="N187" s="132">
        <f>SUM(N180:N186)</f>
        <v>7709893.0499999998</v>
      </c>
    </row>
    <row r="188" spans="1:18" ht="16">
      <c r="A188" s="138">
        <v>46007</v>
      </c>
      <c r="B188" s="140" t="s">
        <v>34</v>
      </c>
      <c r="C188" s="83"/>
      <c r="D188" s="145"/>
      <c r="E188" s="36">
        <f t="shared" ref="E188:E194" si="172">D188-C188</f>
        <v>0</v>
      </c>
      <c r="F188" s="37">
        <v>62</v>
      </c>
      <c r="G188" s="114" t="e">
        <f t="shared" ref="G188:G194" si="173">(F188/E188)*100</f>
        <v>#DIV/0!</v>
      </c>
      <c r="H188" s="125"/>
      <c r="I188" s="126"/>
      <c r="J188" s="39">
        <f t="shared" ref="J188:J194" si="174">I188-H188</f>
        <v>0</v>
      </c>
      <c r="K188" s="50">
        <f>F188</f>
        <v>62</v>
      </c>
      <c r="L188" s="146" t="e">
        <f t="shared" ref="L188:L194" si="175">(K188/J188)*100</f>
        <v>#DIV/0!</v>
      </c>
      <c r="M188" s="68">
        <v>18150</v>
      </c>
      <c r="N188" s="121">
        <f t="shared" ref="N188:N194" si="176">M188*K188</f>
        <v>1125300</v>
      </c>
    </row>
    <row r="189" spans="1:18" ht="16">
      <c r="A189" s="138">
        <v>46012</v>
      </c>
      <c r="B189" s="140" t="s">
        <v>34</v>
      </c>
      <c r="C189" s="83"/>
      <c r="D189" s="12"/>
      <c r="E189" s="36">
        <f t="shared" si="172"/>
        <v>0</v>
      </c>
      <c r="F189" s="45"/>
      <c r="G189" s="13" t="e">
        <f t="shared" si="173"/>
        <v>#DIV/0!</v>
      </c>
      <c r="H189" s="38"/>
      <c r="I189" s="38"/>
      <c r="J189" s="35">
        <f t="shared" si="174"/>
        <v>0</v>
      </c>
      <c r="K189" s="50">
        <v>78</v>
      </c>
      <c r="L189" s="136" t="e">
        <f t="shared" si="175"/>
        <v>#DIV/0!</v>
      </c>
      <c r="M189" s="116">
        <v>17470</v>
      </c>
      <c r="N189" s="121">
        <f t="shared" si="176"/>
        <v>1362660</v>
      </c>
    </row>
    <row r="190" spans="1:18" ht="16">
      <c r="A190" s="138">
        <v>46021</v>
      </c>
      <c r="B190" s="140" t="s">
        <v>34</v>
      </c>
      <c r="C190" s="83"/>
      <c r="D190" s="83"/>
      <c r="E190" s="11">
        <f t="shared" si="172"/>
        <v>0</v>
      </c>
      <c r="F190" s="141">
        <v>74</v>
      </c>
      <c r="G190" s="13" t="e">
        <f t="shared" si="173"/>
        <v>#DIV/0!</v>
      </c>
      <c r="H190" s="35"/>
      <c r="I190" s="38"/>
      <c r="J190" s="35">
        <f t="shared" si="174"/>
        <v>0</v>
      </c>
      <c r="K190" s="50">
        <v>74</v>
      </c>
      <c r="L190" s="136" t="e">
        <f t="shared" si="175"/>
        <v>#DIV/0!</v>
      </c>
      <c r="M190" s="116">
        <v>17250</v>
      </c>
      <c r="N190" s="121">
        <f t="shared" si="176"/>
        <v>1276500</v>
      </c>
    </row>
    <row r="191" spans="1:18" ht="16">
      <c r="A191" s="138"/>
      <c r="B191" s="140" t="s">
        <v>34</v>
      </c>
      <c r="C191" s="83"/>
      <c r="D191" s="83"/>
      <c r="E191" s="11">
        <f t="shared" si="172"/>
        <v>0</v>
      </c>
      <c r="F191" s="141"/>
      <c r="G191" s="13" t="e">
        <f t="shared" si="173"/>
        <v>#DIV/0!</v>
      </c>
      <c r="H191" s="35"/>
      <c r="I191" s="38"/>
      <c r="J191" s="35">
        <f t="shared" si="174"/>
        <v>0</v>
      </c>
      <c r="K191" s="50"/>
      <c r="L191" s="136" t="e">
        <f t="shared" si="175"/>
        <v>#DIV/0!</v>
      </c>
      <c r="M191" s="116"/>
      <c r="N191" s="121">
        <f t="shared" si="176"/>
        <v>0</v>
      </c>
    </row>
    <row r="192" spans="1:18" ht="16">
      <c r="A192" s="138"/>
      <c r="B192" s="140" t="s">
        <v>34</v>
      </c>
      <c r="C192" s="83"/>
      <c r="D192" s="83"/>
      <c r="E192" s="11">
        <f t="shared" si="172"/>
        <v>0</v>
      </c>
      <c r="F192" s="141"/>
      <c r="G192" s="13" t="e">
        <f t="shared" si="173"/>
        <v>#DIV/0!</v>
      </c>
      <c r="H192" s="35"/>
      <c r="I192" s="38"/>
      <c r="J192" s="35">
        <f t="shared" si="174"/>
        <v>0</v>
      </c>
      <c r="K192" s="50"/>
      <c r="L192" s="136" t="e">
        <f t="shared" si="175"/>
        <v>#DIV/0!</v>
      </c>
      <c r="M192" s="116"/>
      <c r="N192" s="121">
        <f t="shared" si="176"/>
        <v>0</v>
      </c>
    </row>
    <row r="193" spans="1:18" ht="16">
      <c r="A193" s="138"/>
      <c r="B193" s="140" t="s">
        <v>34</v>
      </c>
      <c r="C193" s="83"/>
      <c r="D193" s="83"/>
      <c r="E193" s="11">
        <f t="shared" si="172"/>
        <v>0</v>
      </c>
      <c r="F193" s="141"/>
      <c r="G193" s="13" t="e">
        <f t="shared" si="173"/>
        <v>#DIV/0!</v>
      </c>
      <c r="H193" s="35"/>
      <c r="I193" s="38"/>
      <c r="J193" s="35">
        <f t="shared" si="174"/>
        <v>0</v>
      </c>
      <c r="K193" s="50"/>
      <c r="L193" s="136" t="e">
        <f t="shared" si="175"/>
        <v>#DIV/0!</v>
      </c>
      <c r="M193" s="116"/>
      <c r="N193" s="121">
        <f t="shared" si="176"/>
        <v>0</v>
      </c>
    </row>
    <row r="194" spans="1:18" ht="16">
      <c r="A194" s="138"/>
      <c r="B194" s="140" t="s">
        <v>34</v>
      </c>
      <c r="C194" s="83"/>
      <c r="D194" s="83"/>
      <c r="E194" s="11">
        <f t="shared" si="172"/>
        <v>0</v>
      </c>
      <c r="F194" s="141"/>
      <c r="G194" s="13" t="e">
        <f t="shared" si="173"/>
        <v>#DIV/0!</v>
      </c>
      <c r="H194" s="83"/>
      <c r="I194" s="125"/>
      <c r="J194" s="83">
        <f t="shared" si="174"/>
        <v>0</v>
      </c>
      <c r="K194" s="50"/>
      <c r="L194" s="136" t="e">
        <f t="shared" si="175"/>
        <v>#DIV/0!</v>
      </c>
      <c r="M194" s="116"/>
      <c r="N194" s="121">
        <f t="shared" si="176"/>
        <v>0</v>
      </c>
      <c r="R194" s="76">
        <f t="shared" ref="R194:R196" si="177">Q194</f>
        <v>0</v>
      </c>
    </row>
    <row r="195" spans="1:18" ht="16">
      <c r="A195" s="138"/>
      <c r="B195" s="60"/>
      <c r="C195" s="59"/>
      <c r="D195" s="59" t="s">
        <v>19</v>
      </c>
      <c r="E195" s="59">
        <f t="shared" ref="E195:F195" si="178">SUM(E180:E194)</f>
        <v>0</v>
      </c>
      <c r="F195" s="59">
        <f t="shared" si="178"/>
        <v>1426.17</v>
      </c>
      <c r="G195" s="61" t="e">
        <f>AVERAGE(G180:G194)</f>
        <v>#DIV/0!</v>
      </c>
      <c r="H195" s="59"/>
      <c r="I195" s="62"/>
      <c r="J195" s="59">
        <f>SUM(J180:J194)</f>
        <v>0</v>
      </c>
      <c r="K195" s="59">
        <f>SUM(K188:K194)</f>
        <v>214</v>
      </c>
      <c r="L195" s="61" t="e">
        <f>AVERAGE(L180:L194)</f>
        <v>#DIV/0!</v>
      </c>
      <c r="M195" s="64"/>
      <c r="N195" s="132">
        <f>SUM(N188:N194)</f>
        <v>3764460</v>
      </c>
      <c r="Q195" s="76">
        <f>127500/2</f>
        <v>63750</v>
      </c>
      <c r="R195" s="76">
        <f t="shared" si="177"/>
        <v>63750</v>
      </c>
    </row>
    <row r="196" spans="1:18" ht="18">
      <c r="A196" s="138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8"/>
      <c r="N196" s="149">
        <f>N11+N19+N38+N48+N60+N70+N78+N86+N94+N101+N109+N117+N125+N134+N143+N152+N161+N170+N179+N187+N195+N29</f>
        <v>132230993.05</v>
      </c>
      <c r="R196" s="76">
        <f t="shared" si="177"/>
        <v>0</v>
      </c>
    </row>
    <row r="197" spans="1:18" ht="14">
      <c r="A197" s="138"/>
      <c r="G197" s="150"/>
      <c r="L197" s="150"/>
      <c r="N197" s="151"/>
    </row>
    <row r="198" spans="1:18" ht="31.5" customHeight="1">
      <c r="A198" s="138"/>
      <c r="D198" s="152" t="s">
        <v>45</v>
      </c>
      <c r="E198" s="153"/>
      <c r="G198" s="150"/>
      <c r="L198" s="150"/>
      <c r="N198" s="151"/>
    </row>
    <row r="199" spans="1:18" ht="16">
      <c r="A199" s="138"/>
      <c r="B199" s="154" t="s">
        <v>2</v>
      </c>
      <c r="C199" s="148" t="s">
        <v>3</v>
      </c>
      <c r="D199" s="148" t="s">
        <v>4</v>
      </c>
      <c r="E199" s="148" t="s">
        <v>5</v>
      </c>
      <c r="F199" s="148" t="s">
        <v>6</v>
      </c>
      <c r="G199" s="155" t="s">
        <v>7</v>
      </c>
      <c r="H199" s="156" t="s">
        <v>8</v>
      </c>
      <c r="I199" s="157" t="s">
        <v>8</v>
      </c>
      <c r="J199" s="148" t="s">
        <v>5</v>
      </c>
      <c r="K199" s="148" t="s">
        <v>6</v>
      </c>
      <c r="L199" s="155" t="s">
        <v>7</v>
      </c>
      <c r="M199" s="148" t="s">
        <v>9</v>
      </c>
      <c r="N199" s="158" t="s">
        <v>10</v>
      </c>
      <c r="O199" s="76">
        <v>1</v>
      </c>
      <c r="P199" s="227" t="s">
        <v>46</v>
      </c>
      <c r="Q199" s="231">
        <f>N205</f>
        <v>21950246</v>
      </c>
    </row>
    <row r="200" spans="1:18" ht="16">
      <c r="A200" s="244" t="s">
        <v>78</v>
      </c>
      <c r="B200" s="90" t="s">
        <v>46</v>
      </c>
      <c r="C200" s="12">
        <v>405166</v>
      </c>
      <c r="D200" s="12">
        <v>406390</v>
      </c>
      <c r="E200" s="11">
        <f t="shared" ref="E200:E204" si="179">D200-C200</f>
        <v>1224</v>
      </c>
      <c r="F200" s="35">
        <v>372.34</v>
      </c>
      <c r="G200" s="13">
        <f t="shared" ref="G200:G204" si="180">(F200/E200)*100</f>
        <v>30.419934640522872</v>
      </c>
      <c r="H200" s="83"/>
      <c r="I200" s="126"/>
      <c r="J200" s="39">
        <f t="shared" ref="J200:J204" si="181">I200-H200</f>
        <v>0</v>
      </c>
      <c r="K200" s="35">
        <v>372.34</v>
      </c>
      <c r="L200" s="67" t="e">
        <f t="shared" ref="L200:L204" si="182">(K200/J200)*100</f>
        <v>#DIV/0!</v>
      </c>
      <c r="M200" s="68">
        <v>18800</v>
      </c>
      <c r="N200" s="47">
        <f t="shared" ref="N200:N204" si="183">M200*K200</f>
        <v>6999991.9999999991</v>
      </c>
      <c r="O200" s="76">
        <v>2</v>
      </c>
      <c r="P200" s="227" t="s">
        <v>47</v>
      </c>
      <c r="Q200" s="231">
        <f>N211</f>
        <v>23999987.899999999</v>
      </c>
    </row>
    <row r="201" spans="1:18" ht="16">
      <c r="A201" s="138">
        <v>46003</v>
      </c>
      <c r="B201" s="44" t="s">
        <v>46</v>
      </c>
      <c r="C201" s="12">
        <v>406390</v>
      </c>
      <c r="D201" s="12">
        <v>407710</v>
      </c>
      <c r="E201" s="11">
        <f t="shared" si="179"/>
        <v>1320</v>
      </c>
      <c r="F201" s="45">
        <v>399.46</v>
      </c>
      <c r="G201" s="13">
        <f t="shared" si="180"/>
        <v>30.262121212121212</v>
      </c>
      <c r="H201" s="35"/>
      <c r="I201" s="38"/>
      <c r="J201" s="35">
        <f t="shared" si="181"/>
        <v>0</v>
      </c>
      <c r="K201" s="50">
        <f t="shared" ref="K201:K204" si="184">F201</f>
        <v>399.46</v>
      </c>
      <c r="L201" s="46" t="e">
        <f t="shared" si="182"/>
        <v>#DIV/0!</v>
      </c>
      <c r="M201" s="48">
        <v>18150</v>
      </c>
      <c r="N201" s="47">
        <f t="shared" si="183"/>
        <v>7250199</v>
      </c>
      <c r="O201" s="76">
        <v>3</v>
      </c>
      <c r="P201" s="227" t="s">
        <v>48</v>
      </c>
      <c r="Q201" s="231">
        <f>N217</f>
        <v>8200197.4000000004</v>
      </c>
    </row>
    <row r="202" spans="1:18" ht="16">
      <c r="A202" s="138">
        <v>46018</v>
      </c>
      <c r="B202" s="44" t="s">
        <v>46</v>
      </c>
      <c r="C202" s="12">
        <v>407710</v>
      </c>
      <c r="D202" s="35">
        <v>409135</v>
      </c>
      <c r="E202" s="11">
        <f t="shared" si="179"/>
        <v>1425</v>
      </c>
      <c r="F202" s="45">
        <v>446.38</v>
      </c>
      <c r="G202" s="13">
        <f t="shared" si="180"/>
        <v>31.324912280701756</v>
      </c>
      <c r="H202" s="35"/>
      <c r="I202" s="38"/>
      <c r="J202" s="35">
        <f t="shared" si="181"/>
        <v>0</v>
      </c>
      <c r="K202" s="35">
        <f t="shared" si="184"/>
        <v>446.38</v>
      </c>
      <c r="L202" s="46" t="e">
        <f t="shared" si="182"/>
        <v>#DIV/0!</v>
      </c>
      <c r="M202" s="48">
        <v>17250</v>
      </c>
      <c r="N202" s="47">
        <f t="shared" si="183"/>
        <v>7700055</v>
      </c>
      <c r="O202" s="76">
        <v>4</v>
      </c>
      <c r="P202" s="227" t="s">
        <v>49</v>
      </c>
      <c r="Q202" s="231">
        <f>N223</f>
        <v>8499931.1999999993</v>
      </c>
    </row>
    <row r="203" spans="1:18" ht="16">
      <c r="A203" s="138"/>
      <c r="B203" s="44" t="s">
        <v>46</v>
      </c>
      <c r="C203" s="35"/>
      <c r="D203" s="35"/>
      <c r="E203" s="11">
        <f t="shared" si="179"/>
        <v>0</v>
      </c>
      <c r="F203" s="45"/>
      <c r="G203" s="13" t="e">
        <f t="shared" si="180"/>
        <v>#DIV/0!</v>
      </c>
      <c r="H203" s="35"/>
      <c r="I203" s="38"/>
      <c r="J203" s="35">
        <f t="shared" si="181"/>
        <v>0</v>
      </c>
      <c r="K203" s="35">
        <f t="shared" si="184"/>
        <v>0</v>
      </c>
      <c r="L203" s="46" t="e">
        <f t="shared" si="182"/>
        <v>#DIV/0!</v>
      </c>
      <c r="M203" s="48"/>
      <c r="N203" s="47">
        <f t="shared" si="183"/>
        <v>0</v>
      </c>
      <c r="O203" s="76">
        <v>5</v>
      </c>
      <c r="P203" s="227" t="s">
        <v>50</v>
      </c>
      <c r="Q203" s="231">
        <f>N229</f>
        <v>8000088.2000000002</v>
      </c>
    </row>
    <row r="204" spans="1:18" ht="16">
      <c r="A204" s="138"/>
      <c r="B204" s="79"/>
      <c r="C204" s="35"/>
      <c r="D204" s="35"/>
      <c r="E204" s="11">
        <f t="shared" si="179"/>
        <v>0</v>
      </c>
      <c r="F204" s="45"/>
      <c r="G204" s="13" t="e">
        <f t="shared" si="180"/>
        <v>#DIV/0!</v>
      </c>
      <c r="H204" s="35"/>
      <c r="I204" s="38"/>
      <c r="J204" s="35">
        <f t="shared" si="181"/>
        <v>0</v>
      </c>
      <c r="K204" s="35">
        <f t="shared" si="184"/>
        <v>0</v>
      </c>
      <c r="L204" s="73" t="e">
        <f t="shared" si="182"/>
        <v>#DIV/0!</v>
      </c>
      <c r="M204" s="48"/>
      <c r="N204" s="47">
        <f t="shared" si="183"/>
        <v>0</v>
      </c>
      <c r="O204" s="76">
        <v>6</v>
      </c>
      <c r="P204" s="227" t="s">
        <v>51</v>
      </c>
      <c r="Q204" s="231">
        <f>N235</f>
        <v>11695483.5</v>
      </c>
    </row>
    <row r="205" spans="1:18" ht="16">
      <c r="A205" s="138"/>
      <c r="B205" s="60"/>
      <c r="C205" s="59"/>
      <c r="D205" s="59" t="s">
        <v>19</v>
      </c>
      <c r="E205" s="59">
        <f t="shared" ref="E205:F205" si="185">SUM(E200:E204)</f>
        <v>3969</v>
      </c>
      <c r="F205" s="59">
        <f t="shared" si="185"/>
        <v>1218.1799999999998</v>
      </c>
      <c r="G205" s="61" t="e">
        <f>AVERAGE(G200:G204)</f>
        <v>#DIV/0!</v>
      </c>
      <c r="H205" s="59"/>
      <c r="I205" s="62"/>
      <c r="J205" s="59">
        <f t="shared" ref="J205:K205" si="186">SUM(J200:J204)</f>
        <v>0</v>
      </c>
      <c r="K205" s="59">
        <f t="shared" si="186"/>
        <v>1218.1799999999998</v>
      </c>
      <c r="L205" s="61" t="e">
        <f>AVERAGE(L200:L204)</f>
        <v>#DIV/0!</v>
      </c>
      <c r="M205" s="64"/>
      <c r="N205" s="65">
        <f>SUM(N200:N204)</f>
        <v>21950246</v>
      </c>
      <c r="O205" s="76">
        <v>7</v>
      </c>
      <c r="P205" s="245" t="s">
        <v>52</v>
      </c>
      <c r="Q205" s="231">
        <f>N264</f>
        <v>15800015.300000001</v>
      </c>
    </row>
    <row r="206" spans="1:18" ht="16">
      <c r="A206" s="138">
        <v>45993</v>
      </c>
      <c r="B206" s="140" t="s">
        <v>53</v>
      </c>
      <c r="C206" s="83">
        <v>500835</v>
      </c>
      <c r="D206" s="83">
        <v>501584</v>
      </c>
      <c r="E206" s="11">
        <f t="shared" ref="E206:E210" si="187">D206-C206</f>
        <v>749</v>
      </c>
      <c r="F206" s="141">
        <v>255.32</v>
      </c>
      <c r="G206" s="13">
        <f t="shared" ref="G206:G210" si="188">(F206/E206)*100</f>
        <v>34.088117489986644</v>
      </c>
      <c r="H206" s="83"/>
      <c r="I206" s="125"/>
      <c r="J206" s="83">
        <f t="shared" ref="J206:J210" si="189">I206-H206</f>
        <v>0</v>
      </c>
      <c r="K206" s="83">
        <f t="shared" ref="K206:K210" si="190">F206</f>
        <v>255.32</v>
      </c>
      <c r="L206" s="136" t="e">
        <f t="shared" ref="L206:L210" si="191">(K206/J206)*100</f>
        <v>#DIV/0!</v>
      </c>
      <c r="M206" s="116">
        <v>18800</v>
      </c>
      <c r="N206" s="42">
        <f t="shared" ref="N206:N210" si="192">F206*M206</f>
        <v>4800016</v>
      </c>
      <c r="O206" s="76">
        <v>8</v>
      </c>
      <c r="P206" s="222" t="s">
        <v>54</v>
      </c>
      <c r="Q206" s="231">
        <f>N250</f>
        <v>32000000</v>
      </c>
    </row>
    <row r="207" spans="1:18" ht="16">
      <c r="A207" s="138">
        <v>46000</v>
      </c>
      <c r="B207" s="140" t="s">
        <v>53</v>
      </c>
      <c r="C207" s="83">
        <v>501584</v>
      </c>
      <c r="D207" s="83">
        <v>502408</v>
      </c>
      <c r="E207" s="11">
        <f t="shared" si="187"/>
        <v>824</v>
      </c>
      <c r="F207" s="141">
        <v>261.16000000000003</v>
      </c>
      <c r="G207" s="13">
        <f t="shared" si="188"/>
        <v>31.694174757281559</v>
      </c>
      <c r="H207" s="83"/>
      <c r="I207" s="125">
        <v>25718</v>
      </c>
      <c r="J207" s="83">
        <f t="shared" si="189"/>
        <v>25718</v>
      </c>
      <c r="K207" s="83">
        <f t="shared" si="190"/>
        <v>261.16000000000003</v>
      </c>
      <c r="L207" s="136">
        <f t="shared" si="191"/>
        <v>1.0154755424216504</v>
      </c>
      <c r="M207" s="116">
        <v>18380</v>
      </c>
      <c r="N207" s="47">
        <f t="shared" si="192"/>
        <v>4800120.8000000007</v>
      </c>
      <c r="O207" s="76">
        <v>9</v>
      </c>
      <c r="P207" s="222" t="s">
        <v>69</v>
      </c>
      <c r="Q207" s="231">
        <f>N257</f>
        <v>18627440</v>
      </c>
    </row>
    <row r="208" spans="1:18" ht="16">
      <c r="A208" s="138">
        <v>46007</v>
      </c>
      <c r="B208" s="140" t="s">
        <v>53</v>
      </c>
      <c r="C208" s="83">
        <v>502408</v>
      </c>
      <c r="D208" s="83">
        <v>503334</v>
      </c>
      <c r="E208" s="11">
        <f t="shared" si="187"/>
        <v>926</v>
      </c>
      <c r="F208" s="141">
        <v>275.48</v>
      </c>
      <c r="G208" s="13">
        <f t="shared" si="188"/>
        <v>29.749460043196546</v>
      </c>
      <c r="H208" s="125">
        <v>25718</v>
      </c>
      <c r="I208" s="125">
        <v>26609</v>
      </c>
      <c r="J208" s="83">
        <f t="shared" si="189"/>
        <v>891</v>
      </c>
      <c r="K208" s="83">
        <f t="shared" si="190"/>
        <v>275.48</v>
      </c>
      <c r="L208" s="136">
        <f t="shared" si="191"/>
        <v>30.918069584736251</v>
      </c>
      <c r="M208" s="116">
        <v>18150</v>
      </c>
      <c r="N208" s="47">
        <f t="shared" si="192"/>
        <v>4999962</v>
      </c>
      <c r="O208" s="76">
        <v>10</v>
      </c>
      <c r="P208" s="232" t="s">
        <v>56</v>
      </c>
      <c r="Q208" s="231">
        <f>N241</f>
        <v>23000000</v>
      </c>
    </row>
    <row r="209" spans="1:17" ht="16">
      <c r="A209" s="138">
        <v>46014</v>
      </c>
      <c r="B209" s="140" t="s">
        <v>53</v>
      </c>
      <c r="C209" s="83">
        <v>503334</v>
      </c>
      <c r="D209" s="83">
        <v>504164</v>
      </c>
      <c r="E209" s="11">
        <f t="shared" si="187"/>
        <v>830</v>
      </c>
      <c r="F209" s="141">
        <v>269.02999999999997</v>
      </c>
      <c r="G209" s="13">
        <f t="shared" si="188"/>
        <v>32.413253012048187</v>
      </c>
      <c r="H209" s="125">
        <v>26609</v>
      </c>
      <c r="I209" s="125">
        <v>27406</v>
      </c>
      <c r="J209" s="83">
        <f t="shared" si="189"/>
        <v>797</v>
      </c>
      <c r="K209" s="83">
        <f t="shared" si="190"/>
        <v>269.02999999999997</v>
      </c>
      <c r="L209" s="136">
        <f t="shared" si="191"/>
        <v>33.755332496863232</v>
      </c>
      <c r="M209" s="116">
        <v>17470</v>
      </c>
      <c r="N209" s="47">
        <f t="shared" si="192"/>
        <v>4699954.0999999996</v>
      </c>
    </row>
    <row r="210" spans="1:17" ht="16">
      <c r="A210" s="138">
        <v>46021</v>
      </c>
      <c r="B210" s="140" t="s">
        <v>53</v>
      </c>
      <c r="C210" s="83">
        <v>504164</v>
      </c>
      <c r="D210" s="83">
        <v>504934</v>
      </c>
      <c r="E210" s="11">
        <f t="shared" si="187"/>
        <v>770</v>
      </c>
      <c r="F210" s="141">
        <v>272.45999999999998</v>
      </c>
      <c r="G210" s="13">
        <f t="shared" si="188"/>
        <v>35.384415584415578</v>
      </c>
      <c r="H210" s="125">
        <v>27406</v>
      </c>
      <c r="I210" s="125">
        <v>28200</v>
      </c>
      <c r="J210" s="83">
        <f t="shared" si="189"/>
        <v>794</v>
      </c>
      <c r="K210" s="83">
        <f t="shared" si="190"/>
        <v>272.45999999999998</v>
      </c>
      <c r="L210" s="136">
        <f t="shared" si="191"/>
        <v>34.314861460957175</v>
      </c>
      <c r="M210" s="116">
        <v>17250</v>
      </c>
      <c r="N210" s="47">
        <f t="shared" si="192"/>
        <v>4699935</v>
      </c>
      <c r="P210" s="228" t="s">
        <v>19</v>
      </c>
      <c r="Q210" s="223">
        <f>SUM(Q199:Q208)</f>
        <v>171773389.5</v>
      </c>
    </row>
    <row r="211" spans="1:17" ht="16">
      <c r="A211" s="138"/>
      <c r="B211" s="60"/>
      <c r="C211" s="59"/>
      <c r="D211" s="59" t="s">
        <v>19</v>
      </c>
      <c r="E211" s="59">
        <f t="shared" ref="E211:F211" si="193">SUM(E206:E210)</f>
        <v>4099</v>
      </c>
      <c r="F211" s="59">
        <f t="shared" si="193"/>
        <v>1333.45</v>
      </c>
      <c r="G211" s="61">
        <f>AVERAGE(G206:G210)</f>
        <v>32.665884177385706</v>
      </c>
      <c r="H211" s="59"/>
      <c r="I211" s="62"/>
      <c r="J211" s="59">
        <f t="shared" ref="J211:K211" si="194">SUM(J206:J210)</f>
        <v>28200</v>
      </c>
      <c r="K211" s="59">
        <f t="shared" si="194"/>
        <v>1333.45</v>
      </c>
      <c r="L211" s="61" t="e">
        <f>AVERAGE(L206:L210)</f>
        <v>#DIV/0!</v>
      </c>
      <c r="M211" s="64"/>
      <c r="N211" s="65">
        <f>SUM(N206:N210)</f>
        <v>23999987.899999999</v>
      </c>
    </row>
    <row r="212" spans="1:17" ht="16">
      <c r="A212" s="138">
        <v>46003</v>
      </c>
      <c r="B212" s="140" t="s">
        <v>48</v>
      </c>
      <c r="C212" s="83"/>
      <c r="D212" s="12"/>
      <c r="E212" s="36">
        <f t="shared" ref="E212:E216" si="195">D212-C212</f>
        <v>0</v>
      </c>
      <c r="F212" s="141">
        <v>231.41</v>
      </c>
      <c r="G212" s="13" t="e">
        <f t="shared" ref="G212:G216" si="196">(F212/E212)*100</f>
        <v>#DIV/0!</v>
      </c>
      <c r="H212" s="83"/>
      <c r="I212" s="126"/>
      <c r="J212" s="39">
        <f t="shared" ref="J212:J216" si="197">I212-H212</f>
        <v>0</v>
      </c>
      <c r="K212" s="39"/>
      <c r="L212" s="136" t="e">
        <f t="shared" ref="L212:L216" si="198">(K212/J212)*100</f>
        <v>#DIV/0!</v>
      </c>
      <c r="M212" s="68">
        <v>18150</v>
      </c>
      <c r="N212" s="121">
        <f t="shared" ref="N212:N216" si="199">F212*M212</f>
        <v>4200091.5</v>
      </c>
    </row>
    <row r="213" spans="1:17" ht="16">
      <c r="A213" s="138">
        <v>46015</v>
      </c>
      <c r="B213" s="140" t="s">
        <v>48</v>
      </c>
      <c r="C213" s="83"/>
      <c r="D213" s="12"/>
      <c r="E213" s="11">
        <f t="shared" si="195"/>
        <v>0</v>
      </c>
      <c r="F213" s="141">
        <v>228.97</v>
      </c>
      <c r="G213" s="13" t="e">
        <f t="shared" si="196"/>
        <v>#DIV/0!</v>
      </c>
      <c r="H213" s="83"/>
      <c r="I213" s="125"/>
      <c r="J213" s="83">
        <f t="shared" si="197"/>
        <v>0</v>
      </c>
      <c r="K213" s="35"/>
      <c r="L213" s="136" t="e">
        <f t="shared" si="198"/>
        <v>#DIV/0!</v>
      </c>
      <c r="M213" s="116">
        <v>17470</v>
      </c>
      <c r="N213" s="121">
        <f t="shared" si="199"/>
        <v>4000105.9</v>
      </c>
    </row>
    <row r="214" spans="1:17" ht="16">
      <c r="A214" s="138"/>
      <c r="B214" s="140" t="s">
        <v>48</v>
      </c>
      <c r="C214" s="83"/>
      <c r="D214" s="83"/>
      <c r="E214" s="11">
        <f t="shared" si="195"/>
        <v>0</v>
      </c>
      <c r="F214" s="141"/>
      <c r="G214" s="13" t="e">
        <f t="shared" si="196"/>
        <v>#DIV/0!</v>
      </c>
      <c r="H214" s="83"/>
      <c r="I214" s="125"/>
      <c r="J214" s="83">
        <f t="shared" si="197"/>
        <v>0</v>
      </c>
      <c r="K214" s="35">
        <f t="shared" ref="K214:K216" si="200">F214</f>
        <v>0</v>
      </c>
      <c r="L214" s="136" t="e">
        <f t="shared" si="198"/>
        <v>#DIV/0!</v>
      </c>
      <c r="M214" s="116"/>
      <c r="N214" s="121">
        <f t="shared" si="199"/>
        <v>0</v>
      </c>
    </row>
    <row r="215" spans="1:17" ht="16">
      <c r="A215" s="138"/>
      <c r="B215" s="140" t="s">
        <v>48</v>
      </c>
      <c r="C215" s="83"/>
      <c r="D215" s="83"/>
      <c r="E215" s="11">
        <f t="shared" si="195"/>
        <v>0</v>
      </c>
      <c r="F215" s="141"/>
      <c r="G215" s="13" t="e">
        <f t="shared" si="196"/>
        <v>#DIV/0!</v>
      </c>
      <c r="H215" s="83"/>
      <c r="I215" s="125"/>
      <c r="J215" s="83">
        <f t="shared" si="197"/>
        <v>0</v>
      </c>
      <c r="K215" s="39">
        <f t="shared" si="200"/>
        <v>0</v>
      </c>
      <c r="L215" s="136" t="e">
        <f t="shared" si="198"/>
        <v>#DIV/0!</v>
      </c>
      <c r="M215" s="116"/>
      <c r="N215" s="121">
        <f t="shared" si="199"/>
        <v>0</v>
      </c>
    </row>
    <row r="216" spans="1:17" ht="16">
      <c r="A216" s="138"/>
      <c r="B216" s="140"/>
      <c r="C216" s="83"/>
      <c r="D216" s="83"/>
      <c r="E216" s="11">
        <f t="shared" si="195"/>
        <v>0</v>
      </c>
      <c r="F216" s="141"/>
      <c r="G216" s="13" t="e">
        <f t="shared" si="196"/>
        <v>#DIV/0!</v>
      </c>
      <c r="H216" s="83"/>
      <c r="I216" s="125"/>
      <c r="J216" s="83">
        <f t="shared" si="197"/>
        <v>0</v>
      </c>
      <c r="K216" s="83">
        <f t="shared" si="200"/>
        <v>0</v>
      </c>
      <c r="L216" s="136" t="e">
        <f t="shared" si="198"/>
        <v>#DIV/0!</v>
      </c>
      <c r="M216" s="116"/>
      <c r="N216" s="121">
        <f t="shared" si="199"/>
        <v>0</v>
      </c>
    </row>
    <row r="217" spans="1:17" ht="16">
      <c r="A217" s="138"/>
      <c r="B217" s="60"/>
      <c r="C217" s="59"/>
      <c r="D217" s="59" t="s">
        <v>19</v>
      </c>
      <c r="E217" s="59">
        <f t="shared" ref="E217:F217" si="201">SUM(E212:E216)</f>
        <v>0</v>
      </c>
      <c r="F217" s="59">
        <f t="shared" si="201"/>
        <v>460.38</v>
      </c>
      <c r="G217" s="61" t="e">
        <f>AVERAGE(G212:G216)</f>
        <v>#DIV/0!</v>
      </c>
      <c r="H217" s="59"/>
      <c r="I217" s="62"/>
      <c r="J217" s="59">
        <f t="shared" ref="J217:K217" si="202">SUM(J212:J216)</f>
        <v>0</v>
      </c>
      <c r="K217" s="59">
        <f t="shared" si="202"/>
        <v>0</v>
      </c>
      <c r="L217" s="61" t="e">
        <f>AVERAGE(L212:L216)</f>
        <v>#DIV/0!</v>
      </c>
      <c r="M217" s="64"/>
      <c r="N217" s="65">
        <f>SUM(N212:N216)</f>
        <v>8200197.4000000004</v>
      </c>
    </row>
    <row r="218" spans="1:17" ht="16">
      <c r="A218" s="138">
        <v>45996</v>
      </c>
      <c r="B218" s="140" t="s">
        <v>49</v>
      </c>
      <c r="C218" s="83"/>
      <c r="D218" s="12"/>
      <c r="E218" s="36">
        <f t="shared" ref="E218:E222" si="203">D218-C218</f>
        <v>0</v>
      </c>
      <c r="F218" s="37"/>
      <c r="G218" s="13" t="e">
        <f t="shared" ref="G218:G222" si="204">(F218/E218)*100</f>
        <v>#DIV/0!</v>
      </c>
      <c r="H218" s="83"/>
      <c r="I218" s="126"/>
      <c r="J218" s="39">
        <f t="shared" ref="J218:J222" si="205">I218-H218</f>
        <v>0</v>
      </c>
      <c r="K218" s="39">
        <f t="shared" ref="K218:K222" si="206">F218</f>
        <v>0</v>
      </c>
      <c r="L218" s="46" t="e">
        <f t="shared" ref="L218:L222" si="207">(K218/J218)*100</f>
        <v>#DIV/0!</v>
      </c>
      <c r="M218" s="68"/>
      <c r="N218" s="121">
        <v>4500000</v>
      </c>
    </row>
    <row r="219" spans="1:17" ht="16">
      <c r="A219" s="138">
        <v>46011</v>
      </c>
      <c r="B219" s="140" t="s">
        <v>49</v>
      </c>
      <c r="C219" s="12"/>
      <c r="D219" s="83"/>
      <c r="E219" s="11">
        <f t="shared" si="203"/>
        <v>0</v>
      </c>
      <c r="F219" s="141">
        <v>228.96</v>
      </c>
      <c r="G219" s="13" t="e">
        <f t="shared" si="204"/>
        <v>#DIV/0!</v>
      </c>
      <c r="H219" s="83"/>
      <c r="I219" s="125"/>
      <c r="J219" s="83">
        <f t="shared" si="205"/>
        <v>0</v>
      </c>
      <c r="K219" s="83">
        <f t="shared" si="206"/>
        <v>228.96</v>
      </c>
      <c r="L219" s="136" t="e">
        <f t="shared" si="207"/>
        <v>#DIV/0!</v>
      </c>
      <c r="M219" s="116">
        <v>17470</v>
      </c>
      <c r="N219" s="121">
        <f t="shared" ref="N219:N221" si="208">M219*K219</f>
        <v>3999931.2</v>
      </c>
    </row>
    <row r="220" spans="1:17" ht="16">
      <c r="A220" s="138"/>
      <c r="B220" s="140" t="s">
        <v>49</v>
      </c>
      <c r="C220" s="83"/>
      <c r="D220" s="83"/>
      <c r="E220" s="11">
        <f t="shared" si="203"/>
        <v>0</v>
      </c>
      <c r="F220" s="141"/>
      <c r="G220" s="13" t="e">
        <f t="shared" si="204"/>
        <v>#DIV/0!</v>
      </c>
      <c r="H220" s="83"/>
      <c r="I220" s="125"/>
      <c r="J220" s="83">
        <f t="shared" si="205"/>
        <v>0</v>
      </c>
      <c r="K220" s="83">
        <f t="shared" si="206"/>
        <v>0</v>
      </c>
      <c r="L220" s="136" t="e">
        <f t="shared" si="207"/>
        <v>#DIV/0!</v>
      </c>
      <c r="M220" s="116"/>
      <c r="N220" s="121">
        <f t="shared" si="208"/>
        <v>0</v>
      </c>
    </row>
    <row r="221" spans="1:17" ht="16">
      <c r="A221" s="138"/>
      <c r="B221" s="140" t="s">
        <v>49</v>
      </c>
      <c r="C221" s="83"/>
      <c r="D221" s="83"/>
      <c r="E221" s="11">
        <f t="shared" si="203"/>
        <v>0</v>
      </c>
      <c r="F221" s="141"/>
      <c r="G221" s="13" t="e">
        <f t="shared" si="204"/>
        <v>#DIV/0!</v>
      </c>
      <c r="H221" s="83"/>
      <c r="I221" s="125"/>
      <c r="J221" s="83">
        <f t="shared" si="205"/>
        <v>0</v>
      </c>
      <c r="K221" s="83">
        <f t="shared" si="206"/>
        <v>0</v>
      </c>
      <c r="L221" s="136" t="e">
        <f t="shared" si="207"/>
        <v>#DIV/0!</v>
      </c>
      <c r="M221" s="116"/>
      <c r="N221" s="121">
        <f t="shared" si="208"/>
        <v>0</v>
      </c>
    </row>
    <row r="222" spans="1:17" ht="16">
      <c r="A222" s="138"/>
      <c r="B222" s="140"/>
      <c r="C222" s="83"/>
      <c r="D222" s="83"/>
      <c r="E222" s="11">
        <f t="shared" si="203"/>
        <v>0</v>
      </c>
      <c r="F222" s="141"/>
      <c r="G222" s="13" t="e">
        <f t="shared" si="204"/>
        <v>#DIV/0!</v>
      </c>
      <c r="H222" s="83"/>
      <c r="I222" s="125"/>
      <c r="J222" s="83">
        <f t="shared" si="205"/>
        <v>0</v>
      </c>
      <c r="K222" s="83">
        <f t="shared" si="206"/>
        <v>0</v>
      </c>
      <c r="L222" s="136" t="e">
        <f t="shared" si="207"/>
        <v>#DIV/0!</v>
      </c>
      <c r="M222" s="116"/>
      <c r="N222" s="121">
        <f>F222*M222</f>
        <v>0</v>
      </c>
    </row>
    <row r="223" spans="1:17" ht="16">
      <c r="A223" s="138"/>
      <c r="B223" s="60"/>
      <c r="C223" s="59"/>
      <c r="D223" s="59" t="s">
        <v>19</v>
      </c>
      <c r="E223" s="59">
        <f t="shared" ref="E223:F223" si="209">SUM(E218:E222)</f>
        <v>0</v>
      </c>
      <c r="F223" s="59">
        <f t="shared" si="209"/>
        <v>228.96</v>
      </c>
      <c r="G223" s="61" t="e">
        <f>AVERAGE(G218:G222)</f>
        <v>#DIV/0!</v>
      </c>
      <c r="H223" s="59"/>
      <c r="I223" s="62"/>
      <c r="J223" s="59">
        <f t="shared" ref="J223:K223" si="210">SUM(J218:J222)</f>
        <v>0</v>
      </c>
      <c r="K223" s="59">
        <f t="shared" si="210"/>
        <v>228.96</v>
      </c>
      <c r="L223" s="61" t="e">
        <f>AVERAGE(L218:L222)</f>
        <v>#DIV/0!</v>
      </c>
      <c r="M223" s="64"/>
      <c r="N223" s="65">
        <f>SUM(N218:N222)</f>
        <v>8499931.1999999993</v>
      </c>
    </row>
    <row r="224" spans="1:17" ht="16">
      <c r="A224" s="138">
        <v>45999</v>
      </c>
      <c r="B224" s="140" t="s">
        <v>50</v>
      </c>
      <c r="C224" s="83"/>
      <c r="D224" s="12"/>
      <c r="E224" s="36"/>
      <c r="F224" s="37">
        <v>228.51</v>
      </c>
      <c r="G224" s="13" t="e">
        <f t="shared" ref="G224:G228" si="211">(F224/E224)*100</f>
        <v>#DIV/0!</v>
      </c>
      <c r="H224" s="83"/>
      <c r="I224" s="126"/>
      <c r="J224" s="39"/>
      <c r="K224" s="39">
        <f t="shared" ref="K224:K228" si="212">F224</f>
        <v>228.51</v>
      </c>
      <c r="L224" s="136" t="e">
        <f t="shared" ref="L224:L228" si="213">(K224/J224)*100</f>
        <v>#DIV/0!</v>
      </c>
      <c r="M224" s="68">
        <v>18380</v>
      </c>
      <c r="N224" s="47">
        <f>F224*M224</f>
        <v>4200013.8</v>
      </c>
    </row>
    <row r="225" spans="1:14" ht="16">
      <c r="A225" s="138">
        <v>46012</v>
      </c>
      <c r="B225" s="140" t="s">
        <v>50</v>
      </c>
      <c r="C225" s="83"/>
      <c r="D225" s="83"/>
      <c r="E225" s="11">
        <f t="shared" ref="E225:E228" si="214">D225-C225</f>
        <v>0</v>
      </c>
      <c r="F225" s="141">
        <v>217.52</v>
      </c>
      <c r="G225" s="13" t="e">
        <f t="shared" si="211"/>
        <v>#DIV/0!</v>
      </c>
      <c r="H225" s="83"/>
      <c r="I225" s="125"/>
      <c r="J225" s="83"/>
      <c r="K225" s="39">
        <f t="shared" si="212"/>
        <v>217.52</v>
      </c>
      <c r="L225" s="136" t="e">
        <f t="shared" si="213"/>
        <v>#DIV/0!</v>
      </c>
      <c r="M225" s="116">
        <v>17470</v>
      </c>
      <c r="N225" s="47">
        <f>M225*K225</f>
        <v>3800074.4000000004</v>
      </c>
    </row>
    <row r="226" spans="1:14" ht="16">
      <c r="A226" s="138"/>
      <c r="B226" s="140" t="s">
        <v>50</v>
      </c>
      <c r="C226" s="83"/>
      <c r="D226" s="83"/>
      <c r="E226" s="11">
        <f t="shared" si="214"/>
        <v>0</v>
      </c>
      <c r="F226" s="141"/>
      <c r="G226" s="13" t="e">
        <f t="shared" si="211"/>
        <v>#DIV/0!</v>
      </c>
      <c r="H226" s="83"/>
      <c r="I226" s="125"/>
      <c r="J226" s="83">
        <f t="shared" ref="J226:J228" si="215">I226-H226</f>
        <v>0</v>
      </c>
      <c r="K226" s="39">
        <f t="shared" si="212"/>
        <v>0</v>
      </c>
      <c r="L226" s="136" t="e">
        <f t="shared" si="213"/>
        <v>#DIV/0!</v>
      </c>
      <c r="M226" s="116"/>
      <c r="N226" s="47">
        <f t="shared" ref="N226:N228" si="216">F226*M226</f>
        <v>0</v>
      </c>
    </row>
    <row r="227" spans="1:14" ht="16">
      <c r="A227" s="138"/>
      <c r="B227" s="140" t="s">
        <v>50</v>
      </c>
      <c r="C227" s="83"/>
      <c r="D227" s="83"/>
      <c r="E227" s="11">
        <f t="shared" si="214"/>
        <v>0</v>
      </c>
      <c r="F227" s="141"/>
      <c r="G227" s="13" t="e">
        <f t="shared" si="211"/>
        <v>#DIV/0!</v>
      </c>
      <c r="H227" s="83"/>
      <c r="I227" s="125"/>
      <c r="J227" s="83">
        <f t="shared" si="215"/>
        <v>0</v>
      </c>
      <c r="K227" s="39">
        <f t="shared" si="212"/>
        <v>0</v>
      </c>
      <c r="L227" s="136" t="e">
        <f t="shared" si="213"/>
        <v>#DIV/0!</v>
      </c>
      <c r="M227" s="116"/>
      <c r="N227" s="47">
        <f t="shared" si="216"/>
        <v>0</v>
      </c>
    </row>
    <row r="228" spans="1:14" ht="16">
      <c r="A228" s="138"/>
      <c r="B228" s="140" t="s">
        <v>50</v>
      </c>
      <c r="C228" s="83"/>
      <c r="D228" s="83"/>
      <c r="E228" s="11">
        <f t="shared" si="214"/>
        <v>0</v>
      </c>
      <c r="F228" s="141"/>
      <c r="G228" s="13" t="e">
        <f t="shared" si="211"/>
        <v>#DIV/0!</v>
      </c>
      <c r="H228" s="83"/>
      <c r="I228" s="125"/>
      <c r="J228" s="83">
        <f t="shared" si="215"/>
        <v>0</v>
      </c>
      <c r="K228" s="39">
        <f t="shared" si="212"/>
        <v>0</v>
      </c>
      <c r="L228" s="136" t="e">
        <f t="shared" si="213"/>
        <v>#DIV/0!</v>
      </c>
      <c r="M228" s="116"/>
      <c r="N228" s="47">
        <f t="shared" si="216"/>
        <v>0</v>
      </c>
    </row>
    <row r="229" spans="1:14" ht="16">
      <c r="A229" s="138"/>
      <c r="B229" s="60"/>
      <c r="C229" s="59"/>
      <c r="D229" s="59" t="s">
        <v>19</v>
      </c>
      <c r="E229" s="59">
        <f t="shared" ref="E229:F229" si="217">SUM(E224:E228)</f>
        <v>0</v>
      </c>
      <c r="F229" s="59">
        <f t="shared" si="217"/>
        <v>446.03</v>
      </c>
      <c r="G229" s="61" t="e">
        <f>AVERAGE(G224:G228)</f>
        <v>#DIV/0!</v>
      </c>
      <c r="H229" s="59"/>
      <c r="I229" s="62"/>
      <c r="J229" s="59">
        <f t="shared" ref="J229:K229" si="218">SUM(J224:J228)</f>
        <v>0</v>
      </c>
      <c r="K229" s="59">
        <f t="shared" si="218"/>
        <v>446.03</v>
      </c>
      <c r="L229" s="61" t="e">
        <f>AVERAGE(L224:L228)</f>
        <v>#DIV/0!</v>
      </c>
      <c r="M229" s="64"/>
      <c r="N229" s="65">
        <f>SUM(N224:N228)</f>
        <v>8000088.2000000002</v>
      </c>
    </row>
    <row r="230" spans="1:14" ht="16">
      <c r="A230" s="138">
        <v>45994</v>
      </c>
      <c r="B230" s="140" t="s">
        <v>51</v>
      </c>
      <c r="C230" s="83">
        <v>301477</v>
      </c>
      <c r="D230" s="12">
        <v>301772</v>
      </c>
      <c r="E230" s="11">
        <f t="shared" ref="E230:E234" si="219">D230-C230</f>
        <v>295</v>
      </c>
      <c r="F230" s="37">
        <v>159.58000000000001</v>
      </c>
      <c r="G230" s="13">
        <f t="shared" ref="G230:G234" si="220">(F230/E230)*100</f>
        <v>54.0949152542373</v>
      </c>
      <c r="H230" s="83"/>
      <c r="I230" s="126"/>
      <c r="J230" s="39">
        <f t="shared" ref="J230:J234" si="221">I230-H230</f>
        <v>0</v>
      </c>
      <c r="K230" s="39">
        <f t="shared" ref="K230:K234" si="222">F230</f>
        <v>159.58000000000001</v>
      </c>
      <c r="L230" s="136" t="e">
        <f t="shared" ref="L230:L234" si="223">(K230/J230)*100</f>
        <v>#DIV/0!</v>
      </c>
      <c r="M230" s="68">
        <v>18800</v>
      </c>
      <c r="N230" s="47">
        <f t="shared" ref="N230:N233" si="224">F230*M230</f>
        <v>3000104.0000000005</v>
      </c>
    </row>
    <row r="231" spans="1:14" ht="16">
      <c r="A231" s="138">
        <v>46003</v>
      </c>
      <c r="B231" s="140" t="s">
        <v>51</v>
      </c>
      <c r="C231" s="12">
        <v>301772</v>
      </c>
      <c r="D231" s="83">
        <v>302110</v>
      </c>
      <c r="E231" s="11">
        <f t="shared" si="219"/>
        <v>338</v>
      </c>
      <c r="F231" s="141">
        <v>163.93</v>
      </c>
      <c r="G231" s="13">
        <f t="shared" si="220"/>
        <v>48.500000000000007</v>
      </c>
      <c r="H231" s="83"/>
      <c r="I231" s="125"/>
      <c r="J231" s="83">
        <f t="shared" si="221"/>
        <v>0</v>
      </c>
      <c r="K231" s="83">
        <f t="shared" si="222"/>
        <v>163.93</v>
      </c>
      <c r="L231" s="136" t="e">
        <f t="shared" si="223"/>
        <v>#DIV/0!</v>
      </c>
      <c r="M231" s="116">
        <v>18150</v>
      </c>
      <c r="N231" s="47">
        <f t="shared" si="224"/>
        <v>2975329.5</v>
      </c>
    </row>
    <row r="232" spans="1:14" ht="16">
      <c r="A232" s="138">
        <v>46013</v>
      </c>
      <c r="B232" s="140" t="s">
        <v>51</v>
      </c>
      <c r="C232" s="83">
        <v>302110</v>
      </c>
      <c r="D232" s="83">
        <v>302486</v>
      </c>
      <c r="E232" s="11">
        <f t="shared" si="219"/>
        <v>376</v>
      </c>
      <c r="F232" s="141">
        <v>166</v>
      </c>
      <c r="G232" s="13">
        <f t="shared" si="220"/>
        <v>44.148936170212764</v>
      </c>
      <c r="H232" s="83"/>
      <c r="I232" s="125"/>
      <c r="J232" s="83">
        <f t="shared" si="221"/>
        <v>0</v>
      </c>
      <c r="K232" s="83">
        <f t="shared" si="222"/>
        <v>166</v>
      </c>
      <c r="L232" s="136" t="e">
        <f t="shared" si="223"/>
        <v>#DIV/0!</v>
      </c>
      <c r="M232" s="116">
        <v>17470</v>
      </c>
      <c r="N232" s="47">
        <f t="shared" si="224"/>
        <v>2900020</v>
      </c>
    </row>
    <row r="233" spans="1:14" ht="16">
      <c r="A233" s="138">
        <v>46022</v>
      </c>
      <c r="B233" s="140" t="s">
        <v>51</v>
      </c>
      <c r="C233" s="83">
        <v>302486</v>
      </c>
      <c r="D233" s="83">
        <v>302821</v>
      </c>
      <c r="E233" s="11">
        <f t="shared" si="219"/>
        <v>335</v>
      </c>
      <c r="F233" s="141">
        <v>163.47999999999999</v>
      </c>
      <c r="G233" s="13">
        <f t="shared" si="220"/>
        <v>48.8</v>
      </c>
      <c r="H233" s="83"/>
      <c r="I233" s="125"/>
      <c r="J233" s="83">
        <f t="shared" si="221"/>
        <v>0</v>
      </c>
      <c r="K233" s="83">
        <f t="shared" si="222"/>
        <v>163.47999999999999</v>
      </c>
      <c r="L233" s="136" t="e">
        <f t="shared" si="223"/>
        <v>#DIV/0!</v>
      </c>
      <c r="M233" s="116">
        <v>17250</v>
      </c>
      <c r="N233" s="47">
        <f t="shared" si="224"/>
        <v>2820030</v>
      </c>
    </row>
    <row r="234" spans="1:14" ht="16">
      <c r="A234" s="138"/>
      <c r="B234" s="140"/>
      <c r="C234" s="83"/>
      <c r="D234" s="83"/>
      <c r="E234" s="11">
        <f t="shared" si="219"/>
        <v>0</v>
      </c>
      <c r="F234" s="141"/>
      <c r="G234" s="13" t="e">
        <f t="shared" si="220"/>
        <v>#DIV/0!</v>
      </c>
      <c r="H234" s="83"/>
      <c r="I234" s="125"/>
      <c r="J234" s="83">
        <f t="shared" si="221"/>
        <v>0</v>
      </c>
      <c r="K234" s="83">
        <f t="shared" si="222"/>
        <v>0</v>
      </c>
      <c r="L234" s="136" t="e">
        <f t="shared" si="223"/>
        <v>#DIV/0!</v>
      </c>
      <c r="M234" s="116"/>
      <c r="N234" s="47">
        <f>M234*K234</f>
        <v>0</v>
      </c>
    </row>
    <row r="235" spans="1:14" ht="16">
      <c r="A235" s="138"/>
      <c r="B235" s="60"/>
      <c r="C235" s="59"/>
      <c r="D235" s="59" t="s">
        <v>19</v>
      </c>
      <c r="E235" s="59">
        <f t="shared" ref="E235:F235" si="225">SUM(E230:E234)</f>
        <v>1344</v>
      </c>
      <c r="F235" s="59">
        <f t="shared" si="225"/>
        <v>652.99</v>
      </c>
      <c r="G235" s="61" t="e">
        <f>AVERAGE(G230:G234)</f>
        <v>#DIV/0!</v>
      </c>
      <c r="H235" s="59"/>
      <c r="I235" s="62"/>
      <c r="J235" s="59">
        <f t="shared" ref="J235:K235" si="226">SUM(J230:J234)</f>
        <v>0</v>
      </c>
      <c r="K235" s="59">
        <f t="shared" si="226"/>
        <v>652.99</v>
      </c>
      <c r="L235" s="61" t="e">
        <f>AVERAGE(L230:L234)</f>
        <v>#DIV/0!</v>
      </c>
      <c r="M235" s="64"/>
      <c r="N235" s="65">
        <f>SUM(N230:N234)</f>
        <v>11695483.5</v>
      </c>
    </row>
    <row r="236" spans="1:14" ht="16">
      <c r="A236" s="138">
        <v>45992</v>
      </c>
      <c r="B236" s="172" t="s">
        <v>62</v>
      </c>
      <c r="C236" s="83"/>
      <c r="D236" s="12"/>
      <c r="E236" s="36">
        <f t="shared" ref="E236:E240" si="227">D236-C236</f>
        <v>0</v>
      </c>
      <c r="F236" s="37"/>
      <c r="G236" s="13" t="e">
        <f t="shared" ref="G236:G240" si="228">(F236/E236)*100</f>
        <v>#DIV/0!</v>
      </c>
      <c r="H236" s="83"/>
      <c r="I236" s="126"/>
      <c r="J236" s="39">
        <f t="shared" ref="J236:J240" si="229">I236-H236</f>
        <v>0</v>
      </c>
      <c r="K236" s="39">
        <f t="shared" ref="K236:K240" si="230">F236</f>
        <v>0</v>
      </c>
      <c r="L236" s="136" t="e">
        <f t="shared" ref="L236:L240" si="231">(K236/J236)*100</f>
        <v>#DIV/0!</v>
      </c>
      <c r="M236" s="68"/>
      <c r="N236" s="121">
        <v>10000000</v>
      </c>
    </row>
    <row r="237" spans="1:14" ht="16">
      <c r="A237" s="138">
        <v>46002</v>
      </c>
      <c r="B237" s="172" t="s">
        <v>62</v>
      </c>
      <c r="C237" s="83"/>
      <c r="D237" s="83"/>
      <c r="E237" s="11">
        <f t="shared" si="227"/>
        <v>0</v>
      </c>
      <c r="F237" s="141"/>
      <c r="G237" s="13" t="e">
        <f t="shared" si="228"/>
        <v>#DIV/0!</v>
      </c>
      <c r="H237" s="83"/>
      <c r="I237" s="125"/>
      <c r="J237" s="83">
        <f t="shared" si="229"/>
        <v>0</v>
      </c>
      <c r="K237" s="83">
        <f t="shared" si="230"/>
        <v>0</v>
      </c>
      <c r="L237" s="136" t="e">
        <f t="shared" si="231"/>
        <v>#DIV/0!</v>
      </c>
      <c r="M237" s="116"/>
      <c r="N237" s="121">
        <v>8000000</v>
      </c>
    </row>
    <row r="238" spans="1:14" ht="16">
      <c r="A238" s="138">
        <v>46380</v>
      </c>
      <c r="B238" s="172" t="s">
        <v>62</v>
      </c>
      <c r="C238" s="83"/>
      <c r="D238" s="83"/>
      <c r="E238" s="11">
        <f t="shared" si="227"/>
        <v>0</v>
      </c>
      <c r="F238" s="141"/>
      <c r="G238" s="13" t="e">
        <f t="shared" si="228"/>
        <v>#DIV/0!</v>
      </c>
      <c r="H238" s="83"/>
      <c r="I238" s="125"/>
      <c r="J238" s="83">
        <f t="shared" si="229"/>
        <v>0</v>
      </c>
      <c r="K238" s="83">
        <f t="shared" si="230"/>
        <v>0</v>
      </c>
      <c r="L238" s="136" t="e">
        <f t="shared" si="231"/>
        <v>#DIV/0!</v>
      </c>
      <c r="M238" s="116"/>
      <c r="N238" s="121">
        <v>5000000</v>
      </c>
    </row>
    <row r="239" spans="1:14" ht="16">
      <c r="A239" s="138"/>
      <c r="B239" s="172" t="s">
        <v>62</v>
      </c>
      <c r="C239" s="83"/>
      <c r="D239" s="83"/>
      <c r="E239" s="11">
        <f t="shared" si="227"/>
        <v>0</v>
      </c>
      <c r="F239" s="141"/>
      <c r="G239" s="13" t="e">
        <f t="shared" si="228"/>
        <v>#DIV/0!</v>
      </c>
      <c r="H239" s="83"/>
      <c r="I239" s="125"/>
      <c r="J239" s="83">
        <f t="shared" si="229"/>
        <v>0</v>
      </c>
      <c r="K239" s="83">
        <f t="shared" si="230"/>
        <v>0</v>
      </c>
      <c r="L239" s="136" t="e">
        <f t="shared" si="231"/>
        <v>#DIV/0!</v>
      </c>
      <c r="M239" s="116"/>
      <c r="N239" s="121">
        <f t="shared" ref="N239:N240" si="232">F239*M239</f>
        <v>0</v>
      </c>
    </row>
    <row r="240" spans="1:14" ht="16">
      <c r="A240" s="138"/>
      <c r="B240" s="172" t="s">
        <v>62</v>
      </c>
      <c r="C240" s="83"/>
      <c r="D240" s="83"/>
      <c r="E240" s="11">
        <f t="shared" si="227"/>
        <v>0</v>
      </c>
      <c r="F240" s="141"/>
      <c r="G240" s="13" t="e">
        <f t="shared" si="228"/>
        <v>#DIV/0!</v>
      </c>
      <c r="H240" s="83"/>
      <c r="I240" s="125"/>
      <c r="J240" s="83">
        <f t="shared" si="229"/>
        <v>0</v>
      </c>
      <c r="K240" s="83">
        <f t="shared" si="230"/>
        <v>0</v>
      </c>
      <c r="L240" s="136" t="e">
        <f t="shared" si="231"/>
        <v>#DIV/0!</v>
      </c>
      <c r="M240" s="116"/>
      <c r="N240" s="121">
        <f t="shared" si="232"/>
        <v>0</v>
      </c>
    </row>
    <row r="241" spans="1:14" ht="16">
      <c r="A241" s="59"/>
      <c r="B241" s="60"/>
      <c r="C241" s="59"/>
      <c r="D241" s="59"/>
      <c r="E241" s="59">
        <f t="shared" ref="E241:F241" si="233">SUM(E236:E240)</f>
        <v>0</v>
      </c>
      <c r="F241" s="59">
        <f t="shared" si="233"/>
        <v>0</v>
      </c>
      <c r="G241" s="61" t="e">
        <f>AVERAGE(G236:G240)</f>
        <v>#DIV/0!</v>
      </c>
      <c r="H241" s="59"/>
      <c r="I241" s="62"/>
      <c r="J241" s="59">
        <f t="shared" ref="J241:K241" si="234">SUM(J236:J240)</f>
        <v>0</v>
      </c>
      <c r="K241" s="59">
        <f t="shared" si="234"/>
        <v>0</v>
      </c>
      <c r="L241" s="61" t="e">
        <f>AVERAGE(L236:L240)</f>
        <v>#DIV/0!</v>
      </c>
      <c r="M241" s="64"/>
      <c r="N241" s="65">
        <f>SUM(N236:N240)</f>
        <v>23000000</v>
      </c>
    </row>
    <row r="242" spans="1:14" ht="16">
      <c r="A242" s="66">
        <v>45994</v>
      </c>
      <c r="B242" s="140" t="s">
        <v>54</v>
      </c>
      <c r="C242" s="83"/>
      <c r="D242" s="12"/>
      <c r="E242" s="36">
        <f t="shared" ref="E242:E247" si="235">D242-C242</f>
        <v>0</v>
      </c>
      <c r="F242" s="37"/>
      <c r="G242" s="13" t="e">
        <f t="shared" ref="G242:G247" si="236">(F242/E242)*100</f>
        <v>#DIV/0!</v>
      </c>
      <c r="H242" s="83"/>
      <c r="I242" s="126"/>
      <c r="J242" s="39">
        <f t="shared" ref="J242:J249" si="237">I242-H242</f>
        <v>0</v>
      </c>
      <c r="K242" s="39"/>
      <c r="L242" s="136" t="e">
        <f t="shared" ref="L242:L249" si="238">(K242/J242)*100</f>
        <v>#DIV/0!</v>
      </c>
      <c r="M242" s="68"/>
      <c r="N242" s="47">
        <v>5000000</v>
      </c>
    </row>
    <row r="243" spans="1:14" ht="16">
      <c r="A243" s="33">
        <v>45996</v>
      </c>
      <c r="B243" s="140" t="s">
        <v>54</v>
      </c>
      <c r="C243" s="83"/>
      <c r="D243" s="83"/>
      <c r="E243" s="11">
        <f t="shared" si="235"/>
        <v>0</v>
      </c>
      <c r="F243" s="141"/>
      <c r="G243" s="13" t="e">
        <f t="shared" si="236"/>
        <v>#DIV/0!</v>
      </c>
      <c r="H243" s="83"/>
      <c r="I243" s="125"/>
      <c r="J243" s="83">
        <f t="shared" si="237"/>
        <v>0</v>
      </c>
      <c r="K243" s="83">
        <f t="shared" ref="K243:K249" si="239">F243</f>
        <v>0</v>
      </c>
      <c r="L243" s="136" t="e">
        <f t="shared" si="238"/>
        <v>#DIV/0!</v>
      </c>
      <c r="M243" s="116"/>
      <c r="N243" s="47">
        <v>5000000</v>
      </c>
    </row>
    <row r="244" spans="1:14" ht="16">
      <c r="A244" s="33">
        <v>46001</v>
      </c>
      <c r="B244" s="140" t="s">
        <v>54</v>
      </c>
      <c r="C244" s="83"/>
      <c r="D244" s="83"/>
      <c r="E244" s="11">
        <f t="shared" si="235"/>
        <v>0</v>
      </c>
      <c r="F244" s="141"/>
      <c r="G244" s="13" t="e">
        <f t="shared" si="236"/>
        <v>#DIV/0!</v>
      </c>
      <c r="H244" s="83"/>
      <c r="I244" s="125"/>
      <c r="J244" s="83">
        <f t="shared" si="237"/>
        <v>0</v>
      </c>
      <c r="K244" s="83">
        <f t="shared" si="239"/>
        <v>0</v>
      </c>
      <c r="L244" s="136" t="e">
        <f t="shared" si="238"/>
        <v>#DIV/0!</v>
      </c>
      <c r="M244" s="116"/>
      <c r="N244" s="47">
        <v>5000000</v>
      </c>
    </row>
    <row r="245" spans="1:14" ht="16">
      <c r="A245" s="33">
        <v>46008</v>
      </c>
      <c r="B245" s="140" t="s">
        <v>54</v>
      </c>
      <c r="C245" s="83"/>
      <c r="D245" s="83"/>
      <c r="E245" s="11">
        <f t="shared" si="235"/>
        <v>0</v>
      </c>
      <c r="F245" s="141"/>
      <c r="G245" s="13" t="e">
        <f t="shared" si="236"/>
        <v>#DIV/0!</v>
      </c>
      <c r="H245" s="83"/>
      <c r="I245" s="125"/>
      <c r="J245" s="83">
        <f t="shared" si="237"/>
        <v>0</v>
      </c>
      <c r="K245" s="83">
        <f t="shared" si="239"/>
        <v>0</v>
      </c>
      <c r="L245" s="136" t="e">
        <f t="shared" si="238"/>
        <v>#DIV/0!</v>
      </c>
      <c r="M245" s="116"/>
      <c r="N245" s="47">
        <v>7000000</v>
      </c>
    </row>
    <row r="246" spans="1:14" ht="16">
      <c r="A246" s="33">
        <v>46380</v>
      </c>
      <c r="B246" s="140" t="s">
        <v>54</v>
      </c>
      <c r="C246" s="83"/>
      <c r="D246" s="83"/>
      <c r="E246" s="11">
        <f t="shared" si="235"/>
        <v>0</v>
      </c>
      <c r="F246" s="141"/>
      <c r="G246" s="13" t="e">
        <f t="shared" si="236"/>
        <v>#DIV/0!</v>
      </c>
      <c r="H246" s="83"/>
      <c r="I246" s="125"/>
      <c r="J246" s="83">
        <f t="shared" si="237"/>
        <v>0</v>
      </c>
      <c r="K246" s="83">
        <f t="shared" si="239"/>
        <v>0</v>
      </c>
      <c r="L246" s="136" t="e">
        <f t="shared" si="238"/>
        <v>#DIV/0!</v>
      </c>
      <c r="M246" s="116"/>
      <c r="N246" s="47">
        <v>5000000</v>
      </c>
    </row>
    <row r="247" spans="1:14" ht="16">
      <c r="A247" s="33">
        <v>46386</v>
      </c>
      <c r="B247" s="140" t="s">
        <v>54</v>
      </c>
      <c r="C247" s="83"/>
      <c r="D247" s="83"/>
      <c r="E247" s="11">
        <f t="shared" si="235"/>
        <v>0</v>
      </c>
      <c r="F247" s="141"/>
      <c r="G247" s="13" t="e">
        <f t="shared" si="236"/>
        <v>#DIV/0!</v>
      </c>
      <c r="H247" s="83"/>
      <c r="I247" s="125"/>
      <c r="J247" s="83">
        <f t="shared" si="237"/>
        <v>0</v>
      </c>
      <c r="K247" s="83">
        <f t="shared" si="239"/>
        <v>0</v>
      </c>
      <c r="L247" s="136" t="e">
        <f t="shared" si="238"/>
        <v>#DIV/0!</v>
      </c>
      <c r="M247" s="116"/>
      <c r="N247" s="47">
        <v>5000000</v>
      </c>
    </row>
    <row r="248" spans="1:14" ht="16">
      <c r="A248" s="33"/>
      <c r="B248" s="140" t="s">
        <v>54</v>
      </c>
      <c r="C248" s="83"/>
      <c r="D248" s="83"/>
      <c r="E248" s="11"/>
      <c r="F248" s="141"/>
      <c r="G248" s="13"/>
      <c r="H248" s="83"/>
      <c r="I248" s="125"/>
      <c r="J248" s="83">
        <f t="shared" si="237"/>
        <v>0</v>
      </c>
      <c r="K248" s="83">
        <f t="shared" si="239"/>
        <v>0</v>
      </c>
      <c r="L248" s="136" t="e">
        <f t="shared" si="238"/>
        <v>#DIV/0!</v>
      </c>
      <c r="M248" s="116"/>
      <c r="N248" s="47">
        <f t="shared" ref="N248:N249" si="240">M248*F248</f>
        <v>0</v>
      </c>
    </row>
    <row r="249" spans="1:14" ht="16">
      <c r="A249" s="33"/>
      <c r="B249" s="140" t="s">
        <v>54</v>
      </c>
      <c r="C249" s="83"/>
      <c r="D249" s="83"/>
      <c r="E249" s="11">
        <f>D249-C249</f>
        <v>0</v>
      </c>
      <c r="F249" s="141"/>
      <c r="G249" s="13" t="e">
        <f>(F249/E249)*100</f>
        <v>#DIV/0!</v>
      </c>
      <c r="H249" s="83"/>
      <c r="I249" s="125"/>
      <c r="J249" s="83">
        <f t="shared" si="237"/>
        <v>0</v>
      </c>
      <c r="K249" s="83">
        <f t="shared" si="239"/>
        <v>0</v>
      </c>
      <c r="L249" s="136" t="e">
        <f t="shared" si="238"/>
        <v>#DIV/0!</v>
      </c>
      <c r="M249" s="116"/>
      <c r="N249" s="47">
        <f t="shared" si="240"/>
        <v>0</v>
      </c>
    </row>
    <row r="250" spans="1:14" ht="16">
      <c r="A250" s="66"/>
      <c r="B250" s="60"/>
      <c r="C250" s="59"/>
      <c r="D250" s="59" t="s">
        <v>19</v>
      </c>
      <c r="E250" s="59">
        <f t="shared" ref="E250:F250" si="241">SUM(E242:E249)</f>
        <v>0</v>
      </c>
      <c r="F250" s="59">
        <f t="shared" si="241"/>
        <v>0</v>
      </c>
      <c r="G250" s="61" t="e">
        <f>AVERAGE(G242:G249)</f>
        <v>#DIV/0!</v>
      </c>
      <c r="H250" s="59"/>
      <c r="I250" s="62"/>
      <c r="J250" s="59">
        <f t="shared" ref="J250:K250" si="242">SUM(J242:J249)</f>
        <v>0</v>
      </c>
      <c r="K250" s="59">
        <f t="shared" si="242"/>
        <v>0</v>
      </c>
      <c r="L250" s="61" t="e">
        <f>AVERAGE(L242:L249)</f>
        <v>#DIV/0!</v>
      </c>
      <c r="M250" s="64"/>
      <c r="N250" s="65">
        <f>SUM(N242:N249)</f>
        <v>32000000</v>
      </c>
    </row>
    <row r="251" spans="1:14" ht="16">
      <c r="A251" s="66">
        <v>45992</v>
      </c>
      <c r="B251" s="140" t="s">
        <v>69</v>
      </c>
      <c r="C251" s="83"/>
      <c r="D251" s="12"/>
      <c r="E251" s="36">
        <f t="shared" ref="E251:E256" si="243">D251-C251</f>
        <v>0</v>
      </c>
      <c r="F251" s="37"/>
      <c r="G251" s="13" t="e">
        <f t="shared" ref="G251:G256" si="244">(F251/E251)*100</f>
        <v>#DIV/0!</v>
      </c>
      <c r="H251" s="83"/>
      <c r="I251" s="126"/>
      <c r="J251" s="39">
        <f t="shared" ref="J251:J256" si="245">I251-H251</f>
        <v>0</v>
      </c>
      <c r="K251" s="39">
        <f t="shared" ref="K251:K256" si="246">F251</f>
        <v>0</v>
      </c>
      <c r="L251" s="67" t="e">
        <f t="shared" ref="L251:L256" si="247">(K251/J251)*100</f>
        <v>#DIV/0!</v>
      </c>
      <c r="M251" s="68"/>
      <c r="N251" s="47">
        <v>6137440</v>
      </c>
    </row>
    <row r="252" spans="1:14" ht="16">
      <c r="A252" s="33">
        <v>46000</v>
      </c>
      <c r="B252" s="140" t="s">
        <v>69</v>
      </c>
      <c r="C252" s="83"/>
      <c r="D252" s="83"/>
      <c r="E252" s="11">
        <f t="shared" si="243"/>
        <v>0</v>
      </c>
      <c r="F252" s="141"/>
      <c r="G252" s="13" t="e">
        <f t="shared" si="244"/>
        <v>#DIV/0!</v>
      </c>
      <c r="H252" s="83"/>
      <c r="I252" s="125"/>
      <c r="J252" s="35">
        <f t="shared" si="245"/>
        <v>0</v>
      </c>
      <c r="K252" s="35">
        <f t="shared" si="246"/>
        <v>0</v>
      </c>
      <c r="L252" s="46" t="e">
        <f t="shared" si="247"/>
        <v>#DIV/0!</v>
      </c>
      <c r="M252" s="116"/>
      <c r="N252" s="47">
        <v>2000000</v>
      </c>
    </row>
    <row r="253" spans="1:14" ht="16">
      <c r="A253" s="33">
        <v>46006</v>
      </c>
      <c r="B253" s="140" t="s">
        <v>69</v>
      </c>
      <c r="C253" s="83"/>
      <c r="D253" s="12"/>
      <c r="E253" s="36">
        <f t="shared" si="243"/>
        <v>0</v>
      </c>
      <c r="F253" s="37"/>
      <c r="G253" s="13" t="e">
        <f t="shared" si="244"/>
        <v>#DIV/0!</v>
      </c>
      <c r="H253" s="83"/>
      <c r="I253" s="126"/>
      <c r="J253" s="39">
        <f t="shared" si="245"/>
        <v>0</v>
      </c>
      <c r="K253" s="39">
        <f t="shared" si="246"/>
        <v>0</v>
      </c>
      <c r="L253" s="67" t="e">
        <f t="shared" si="247"/>
        <v>#DIV/0!</v>
      </c>
      <c r="M253" s="68"/>
      <c r="N253" s="47">
        <v>6490000</v>
      </c>
    </row>
    <row r="254" spans="1:14" ht="16">
      <c r="A254" s="33">
        <v>46383</v>
      </c>
      <c r="B254" s="140" t="s">
        <v>69</v>
      </c>
      <c r="C254" s="83"/>
      <c r="D254" s="83"/>
      <c r="E254" s="11">
        <f t="shared" si="243"/>
        <v>0</v>
      </c>
      <c r="F254" s="141"/>
      <c r="G254" s="13" t="e">
        <f t="shared" si="244"/>
        <v>#DIV/0!</v>
      </c>
      <c r="H254" s="83"/>
      <c r="I254" s="125"/>
      <c r="J254" s="35">
        <f t="shared" si="245"/>
        <v>0</v>
      </c>
      <c r="K254" s="35">
        <f t="shared" si="246"/>
        <v>0</v>
      </c>
      <c r="L254" s="46" t="e">
        <f t="shared" si="247"/>
        <v>#DIV/0!</v>
      </c>
      <c r="M254" s="116"/>
      <c r="N254" s="47">
        <v>2000000</v>
      </c>
    </row>
    <row r="255" spans="1:14" ht="16">
      <c r="A255" s="33">
        <v>46385</v>
      </c>
      <c r="B255" s="140" t="s">
        <v>69</v>
      </c>
      <c r="C255" s="83"/>
      <c r="D255" s="83"/>
      <c r="E255" s="11">
        <f t="shared" si="243"/>
        <v>0</v>
      </c>
      <c r="F255" s="141"/>
      <c r="G255" s="13" t="e">
        <f t="shared" si="244"/>
        <v>#DIV/0!</v>
      </c>
      <c r="H255" s="83"/>
      <c r="I255" s="125"/>
      <c r="J255" s="35">
        <f t="shared" si="245"/>
        <v>0</v>
      </c>
      <c r="K255" s="35">
        <f t="shared" si="246"/>
        <v>0</v>
      </c>
      <c r="L255" s="73" t="e">
        <f t="shared" si="247"/>
        <v>#DIV/0!</v>
      </c>
      <c r="M255" s="116"/>
      <c r="N255" s="47">
        <v>1000000</v>
      </c>
    </row>
    <row r="256" spans="1:14" ht="16">
      <c r="A256" s="33">
        <v>46386</v>
      </c>
      <c r="B256" s="140" t="s">
        <v>69</v>
      </c>
      <c r="C256" s="83"/>
      <c r="D256" s="83"/>
      <c r="E256" s="11">
        <f t="shared" si="243"/>
        <v>0</v>
      </c>
      <c r="F256" s="141"/>
      <c r="G256" s="13" t="e">
        <f t="shared" si="244"/>
        <v>#DIV/0!</v>
      </c>
      <c r="H256" s="83"/>
      <c r="I256" s="125"/>
      <c r="J256" s="83">
        <f t="shared" si="245"/>
        <v>0</v>
      </c>
      <c r="K256" s="83">
        <f t="shared" si="246"/>
        <v>0</v>
      </c>
      <c r="L256" s="136" t="e">
        <f t="shared" si="247"/>
        <v>#DIV/0!</v>
      </c>
      <c r="M256" s="116"/>
      <c r="N256" s="47">
        <v>1000000</v>
      </c>
    </row>
    <row r="257" spans="1:14" ht="16">
      <c r="A257" s="66"/>
      <c r="B257" s="60"/>
      <c r="C257" s="59"/>
      <c r="D257" s="59" t="s">
        <v>19</v>
      </c>
      <c r="E257" s="59">
        <f t="shared" ref="E257:F257" si="248">SUM(E251:E256)</f>
        <v>0</v>
      </c>
      <c r="F257" s="59">
        <f t="shared" si="248"/>
        <v>0</v>
      </c>
      <c r="G257" s="61" t="e">
        <f>AVERAGE(G251:G256)</f>
        <v>#DIV/0!</v>
      </c>
      <c r="H257" s="59"/>
      <c r="I257" s="62"/>
      <c r="J257" s="59">
        <f t="shared" ref="J257:K257" si="249">SUM(J251:J256)</f>
        <v>0</v>
      </c>
      <c r="K257" s="59">
        <f t="shared" si="249"/>
        <v>0</v>
      </c>
      <c r="L257" s="61" t="e">
        <f>AVERAGE(L251:L256)</f>
        <v>#DIV/0!</v>
      </c>
      <c r="M257" s="64"/>
      <c r="N257" s="65">
        <f>SUM(N251:N256)</f>
        <v>18627440</v>
      </c>
    </row>
    <row r="258" spans="1:14" ht="16">
      <c r="A258" s="66">
        <v>45996</v>
      </c>
      <c r="B258" s="207" t="s">
        <v>63</v>
      </c>
      <c r="C258" s="83">
        <v>142721</v>
      </c>
      <c r="D258" s="12">
        <v>143701</v>
      </c>
      <c r="E258" s="36">
        <f t="shared" ref="E258:E263" si="250">D258-C258</f>
        <v>980</v>
      </c>
      <c r="F258" s="37">
        <v>272.02999999999997</v>
      </c>
      <c r="G258" s="13">
        <f t="shared" ref="G258:G263" si="251">(F258/E258)*100</f>
        <v>27.75816326530612</v>
      </c>
      <c r="H258" s="83"/>
      <c r="I258" s="126"/>
      <c r="J258" s="39">
        <f t="shared" ref="J258:J263" si="252">I258-H258</f>
        <v>0</v>
      </c>
      <c r="K258" s="39">
        <f t="shared" ref="K258:K263" si="253">F258</f>
        <v>272.02999999999997</v>
      </c>
      <c r="L258" s="136" t="e">
        <f t="shared" ref="L258:L263" si="254">(K258/J258)*100</f>
        <v>#DIV/0!</v>
      </c>
      <c r="M258" s="68">
        <v>18380</v>
      </c>
      <c r="N258" s="47">
        <f t="shared" ref="N258:N263" si="255">M258*F258</f>
        <v>4999911.3999999994</v>
      </c>
    </row>
    <row r="259" spans="1:14" ht="16">
      <c r="A259" s="33">
        <v>46001</v>
      </c>
      <c r="B259" s="207" t="s">
        <v>63</v>
      </c>
      <c r="C259" s="12">
        <v>143701</v>
      </c>
      <c r="D259" s="12">
        <v>144515</v>
      </c>
      <c r="E259" s="11">
        <f t="shared" si="250"/>
        <v>814</v>
      </c>
      <c r="F259" s="141">
        <v>250.28</v>
      </c>
      <c r="G259" s="13">
        <f t="shared" si="251"/>
        <v>30.746928746928749</v>
      </c>
      <c r="H259" s="83"/>
      <c r="I259" s="125"/>
      <c r="J259" s="83">
        <f t="shared" si="252"/>
        <v>0</v>
      </c>
      <c r="K259" s="35">
        <f t="shared" si="253"/>
        <v>250.28</v>
      </c>
      <c r="L259" s="136" t="e">
        <f t="shared" si="254"/>
        <v>#DIV/0!</v>
      </c>
      <c r="M259" s="68">
        <v>18380</v>
      </c>
      <c r="N259" s="47">
        <f t="shared" si="255"/>
        <v>4600146.4000000004</v>
      </c>
    </row>
    <row r="260" spans="1:14" ht="16">
      <c r="A260" s="33">
        <v>46008</v>
      </c>
      <c r="B260" s="207" t="s">
        <v>63</v>
      </c>
      <c r="C260" s="12">
        <v>144515</v>
      </c>
      <c r="D260" s="83">
        <v>145565</v>
      </c>
      <c r="E260" s="11">
        <f t="shared" si="250"/>
        <v>1050</v>
      </c>
      <c r="F260" s="141">
        <v>286.5</v>
      </c>
      <c r="G260" s="13">
        <f t="shared" si="251"/>
        <v>27.285714285714285</v>
      </c>
      <c r="H260" s="83"/>
      <c r="I260" s="125"/>
      <c r="J260" s="83">
        <f t="shared" si="252"/>
        <v>0</v>
      </c>
      <c r="K260" s="35">
        <f t="shared" si="253"/>
        <v>286.5</v>
      </c>
      <c r="L260" s="136" t="e">
        <f t="shared" si="254"/>
        <v>#DIV/0!</v>
      </c>
      <c r="M260" s="116">
        <v>18150</v>
      </c>
      <c r="N260" s="47">
        <f t="shared" si="255"/>
        <v>5199975</v>
      </c>
    </row>
    <row r="261" spans="1:14" ht="16">
      <c r="A261" s="33">
        <v>46017</v>
      </c>
      <c r="B261" s="207" t="s">
        <v>63</v>
      </c>
      <c r="C261" s="83">
        <v>145565</v>
      </c>
      <c r="D261" s="83">
        <v>146546</v>
      </c>
      <c r="E261" s="11">
        <f t="shared" si="250"/>
        <v>981</v>
      </c>
      <c r="F261" s="141">
        <v>57.97</v>
      </c>
      <c r="G261" s="13">
        <f t="shared" si="251"/>
        <v>5.9092762487257904</v>
      </c>
      <c r="H261" s="83"/>
      <c r="I261" s="125"/>
      <c r="J261" s="83">
        <f t="shared" si="252"/>
        <v>0</v>
      </c>
      <c r="K261" s="35">
        <f t="shared" si="253"/>
        <v>57.97</v>
      </c>
      <c r="L261" s="136" t="e">
        <f t="shared" si="254"/>
        <v>#DIV/0!</v>
      </c>
      <c r="M261" s="116">
        <v>17250</v>
      </c>
      <c r="N261" s="47">
        <f t="shared" si="255"/>
        <v>999982.5</v>
      </c>
    </row>
    <row r="262" spans="1:14" ht="16">
      <c r="A262" s="33"/>
      <c r="B262" s="207" t="s">
        <v>63</v>
      </c>
      <c r="C262" s="35"/>
      <c r="D262" s="83"/>
      <c r="E262" s="11">
        <f t="shared" si="250"/>
        <v>0</v>
      </c>
      <c r="F262" s="141"/>
      <c r="G262" s="13" t="e">
        <f t="shared" si="251"/>
        <v>#DIV/0!</v>
      </c>
      <c r="H262" s="83"/>
      <c r="I262" s="125"/>
      <c r="J262" s="83">
        <f t="shared" si="252"/>
        <v>0</v>
      </c>
      <c r="K262" s="35">
        <f t="shared" si="253"/>
        <v>0</v>
      </c>
      <c r="L262" s="136" t="e">
        <f t="shared" si="254"/>
        <v>#DIV/0!</v>
      </c>
      <c r="M262" s="116"/>
      <c r="N262" s="47">
        <f t="shared" si="255"/>
        <v>0</v>
      </c>
    </row>
    <row r="263" spans="1:14" ht="16">
      <c r="A263" s="138"/>
      <c r="B263" s="140"/>
      <c r="C263" s="83"/>
      <c r="D263" s="83"/>
      <c r="E263" s="11">
        <f t="shared" si="250"/>
        <v>0</v>
      </c>
      <c r="F263" s="141"/>
      <c r="G263" s="13" t="e">
        <f t="shared" si="251"/>
        <v>#DIV/0!</v>
      </c>
      <c r="H263" s="83"/>
      <c r="I263" s="125"/>
      <c r="J263" s="83">
        <f t="shared" si="252"/>
        <v>0</v>
      </c>
      <c r="K263" s="35">
        <f t="shared" si="253"/>
        <v>0</v>
      </c>
      <c r="L263" s="136" t="e">
        <f t="shared" si="254"/>
        <v>#DIV/0!</v>
      </c>
      <c r="M263" s="116"/>
      <c r="N263" s="47">
        <f t="shared" si="255"/>
        <v>0</v>
      </c>
    </row>
    <row r="264" spans="1:14" ht="16">
      <c r="A264" s="59"/>
      <c r="B264" s="60"/>
      <c r="C264" s="59"/>
      <c r="D264" s="59" t="s">
        <v>19</v>
      </c>
      <c r="E264" s="59">
        <f t="shared" ref="E264:F264" si="256">SUM(E258:E263)</f>
        <v>3825</v>
      </c>
      <c r="F264" s="59">
        <f t="shared" si="256"/>
        <v>866.78</v>
      </c>
      <c r="G264" s="61" t="e">
        <f>AVERAGE(G258:G263)</f>
        <v>#DIV/0!</v>
      </c>
      <c r="H264" s="59"/>
      <c r="I264" s="62"/>
      <c r="J264" s="59">
        <f t="shared" ref="J264:K264" si="257">SUM(J258:J263)</f>
        <v>0</v>
      </c>
      <c r="K264" s="59">
        <f t="shared" si="257"/>
        <v>866.78</v>
      </c>
      <c r="L264" s="61" t="e">
        <f>AVERAGE(L258:L263)</f>
        <v>#DIV/0!</v>
      </c>
      <c r="M264" s="64"/>
      <c r="N264" s="65">
        <f>SUM(N258:N263)</f>
        <v>15800015.300000001</v>
      </c>
    </row>
    <row r="265" spans="1:14" ht="14">
      <c r="A265" s="354" t="s">
        <v>64</v>
      </c>
      <c r="B265" s="355"/>
      <c r="C265" s="355"/>
      <c r="D265" s="355"/>
      <c r="E265" s="355"/>
      <c r="F265" s="355"/>
      <c r="G265" s="355"/>
      <c r="H265" s="355"/>
      <c r="I265" s="355"/>
      <c r="J265" s="355"/>
      <c r="K265" s="355"/>
      <c r="L265" s="356"/>
      <c r="M265" s="64"/>
      <c r="N265" s="65">
        <f>SUM(N200:N264)/2</f>
        <v>171773389.5</v>
      </c>
    </row>
    <row r="266" spans="1:14" ht="13">
      <c r="G266" s="150"/>
      <c r="L266" s="150"/>
      <c r="N266" s="151"/>
    </row>
    <row r="267" spans="1:14" ht="13">
      <c r="G267" s="150"/>
      <c r="L267" s="150"/>
      <c r="N267" s="151">
        <v>124719013</v>
      </c>
    </row>
    <row r="268" spans="1:14" ht="13">
      <c r="G268" s="150"/>
      <c r="L268" s="150"/>
      <c r="N268" s="151"/>
    </row>
    <row r="269" spans="1:14" ht="13">
      <c r="G269" s="150"/>
      <c r="L269" s="150"/>
      <c r="N269" s="151"/>
    </row>
    <row r="270" spans="1:14" ht="13">
      <c r="G270" s="150"/>
      <c r="L270" s="150"/>
      <c r="N270" s="151"/>
    </row>
    <row r="271" spans="1:14" ht="13">
      <c r="G271" s="150"/>
      <c r="L271" s="150"/>
      <c r="N271" s="151"/>
    </row>
    <row r="272" spans="1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</sheetData>
  <mergeCells count="2">
    <mergeCell ref="A1:N1"/>
    <mergeCell ref="A265:L2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9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79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45967</v>
      </c>
      <c r="B3" s="34" t="s">
        <v>11</v>
      </c>
      <c r="C3" s="221">
        <v>193724</v>
      </c>
      <c r="D3" s="240">
        <v>194056</v>
      </c>
      <c r="E3" s="11">
        <f t="shared" ref="E3:E10" si="0">D3-C3</f>
        <v>332</v>
      </c>
      <c r="F3" s="37">
        <v>35</v>
      </c>
      <c r="G3" s="13">
        <f t="shared" ref="G3:G10" si="1">(F3/E3)*100</f>
        <v>10.542168674698797</v>
      </c>
      <c r="H3" s="246">
        <v>23676</v>
      </c>
      <c r="I3" s="126"/>
      <c r="J3" s="39">
        <f t="shared" ref="J3:J8" si="2">I3-H3</f>
        <v>-23676</v>
      </c>
      <c r="K3" s="77">
        <f t="shared" ref="K3:K8" si="3">F3</f>
        <v>35</v>
      </c>
      <c r="L3" s="67">
        <f t="shared" ref="L3:L10" si="4">(K3/J3)*100</f>
        <v>-0.14782902517317115</v>
      </c>
      <c r="M3" s="68">
        <v>19200</v>
      </c>
      <c r="N3" s="121">
        <f t="shared" ref="N3:N10" si="5">F3*M3</f>
        <v>672000</v>
      </c>
    </row>
    <row r="4" spans="1:18" ht="16">
      <c r="A4" s="33">
        <v>45968</v>
      </c>
      <c r="B4" s="44" t="s">
        <v>11</v>
      </c>
      <c r="C4" s="240">
        <v>194056</v>
      </c>
      <c r="D4" s="50">
        <v>194368</v>
      </c>
      <c r="E4" s="11">
        <f t="shared" si="0"/>
        <v>312</v>
      </c>
      <c r="F4" s="45">
        <v>40</v>
      </c>
      <c r="G4" s="13">
        <f t="shared" si="1"/>
        <v>12.820512820512819</v>
      </c>
      <c r="H4" s="50">
        <v>23676</v>
      </c>
      <c r="I4" s="38">
        <v>24052</v>
      </c>
      <c r="J4" s="35">
        <f t="shared" si="2"/>
        <v>376</v>
      </c>
      <c r="K4" s="50">
        <f t="shared" si="3"/>
        <v>40</v>
      </c>
      <c r="L4" s="46">
        <f t="shared" si="4"/>
        <v>10.638297872340425</v>
      </c>
      <c r="M4" s="48">
        <v>19320</v>
      </c>
      <c r="N4" s="47">
        <f t="shared" si="5"/>
        <v>772800</v>
      </c>
      <c r="O4" s="76">
        <f t="shared" ref="O4:O8" si="6">O3+1</f>
        <v>1</v>
      </c>
      <c r="P4" s="76" t="s">
        <v>12</v>
      </c>
      <c r="Q4" s="223">
        <f>N19</f>
        <v>6552500</v>
      </c>
      <c r="R4" s="223">
        <f t="shared" ref="R4:R8" si="7">Q4</f>
        <v>6552500</v>
      </c>
    </row>
    <row r="5" spans="1:18" ht="16">
      <c r="A5" s="33">
        <v>45973</v>
      </c>
      <c r="B5" s="44" t="s">
        <v>11</v>
      </c>
      <c r="C5" s="50">
        <v>194368</v>
      </c>
      <c r="D5" s="50">
        <v>194694</v>
      </c>
      <c r="E5" s="11">
        <f t="shared" si="0"/>
        <v>326</v>
      </c>
      <c r="F5" s="52">
        <v>40</v>
      </c>
      <c r="G5" s="13">
        <f t="shared" si="1"/>
        <v>12.269938650306749</v>
      </c>
      <c r="H5" s="38">
        <v>24052</v>
      </c>
      <c r="I5" s="38">
        <v>24347</v>
      </c>
      <c r="J5" s="35">
        <f t="shared" si="2"/>
        <v>295</v>
      </c>
      <c r="K5" s="50">
        <f t="shared" si="3"/>
        <v>40</v>
      </c>
      <c r="L5" s="46">
        <f t="shared" si="4"/>
        <v>13.559322033898304</v>
      </c>
      <c r="M5" s="224">
        <v>19320</v>
      </c>
      <c r="N5" s="47">
        <f t="shared" si="5"/>
        <v>772800</v>
      </c>
      <c r="O5" s="76">
        <f t="shared" si="6"/>
        <v>2</v>
      </c>
      <c r="P5" s="76" t="s">
        <v>13</v>
      </c>
      <c r="Q5" s="223">
        <f>N28</f>
        <v>5415740</v>
      </c>
      <c r="R5" s="223">
        <f t="shared" si="7"/>
        <v>5415740</v>
      </c>
    </row>
    <row r="6" spans="1:18" ht="16">
      <c r="A6" s="33">
        <v>45975</v>
      </c>
      <c r="B6" s="44" t="s">
        <v>11</v>
      </c>
      <c r="C6" s="50">
        <v>194694</v>
      </c>
      <c r="D6" s="50">
        <v>195022</v>
      </c>
      <c r="E6" s="11">
        <f t="shared" si="0"/>
        <v>328</v>
      </c>
      <c r="F6" s="52">
        <v>40</v>
      </c>
      <c r="G6" s="13">
        <f t="shared" si="1"/>
        <v>12.195121951219512</v>
      </c>
      <c r="H6" s="38">
        <v>24347</v>
      </c>
      <c r="I6" s="38">
        <v>24703</v>
      </c>
      <c r="J6" s="35">
        <f t="shared" si="2"/>
        <v>356</v>
      </c>
      <c r="K6" s="50">
        <f t="shared" si="3"/>
        <v>40</v>
      </c>
      <c r="L6" s="46">
        <f t="shared" si="4"/>
        <v>11.235955056179774</v>
      </c>
      <c r="M6" s="224">
        <v>19860</v>
      </c>
      <c r="N6" s="47">
        <f t="shared" si="5"/>
        <v>794400</v>
      </c>
      <c r="O6" s="76">
        <f t="shared" si="6"/>
        <v>3</v>
      </c>
      <c r="P6" s="76" t="s">
        <v>14</v>
      </c>
      <c r="Q6" s="223">
        <f>N36</f>
        <v>4388400</v>
      </c>
      <c r="R6" s="223">
        <f t="shared" si="7"/>
        <v>4388400</v>
      </c>
    </row>
    <row r="7" spans="1:18" ht="16">
      <c r="A7" s="33">
        <v>45981</v>
      </c>
      <c r="B7" s="44" t="s">
        <v>11</v>
      </c>
      <c r="C7" s="50">
        <v>195022</v>
      </c>
      <c r="D7" s="50">
        <v>195345</v>
      </c>
      <c r="E7" s="11">
        <f t="shared" si="0"/>
        <v>323</v>
      </c>
      <c r="F7" s="52">
        <v>40</v>
      </c>
      <c r="G7" s="13">
        <f t="shared" si="1"/>
        <v>12.383900928792571</v>
      </c>
      <c r="H7" s="38">
        <v>24703</v>
      </c>
      <c r="I7" s="38">
        <v>25036</v>
      </c>
      <c r="J7" s="35">
        <f t="shared" si="2"/>
        <v>333</v>
      </c>
      <c r="K7" s="50">
        <f t="shared" si="3"/>
        <v>40</v>
      </c>
      <c r="L7" s="46">
        <f t="shared" si="4"/>
        <v>12.012012012012011</v>
      </c>
      <c r="M7" s="224">
        <v>19820</v>
      </c>
      <c r="N7" s="47">
        <f t="shared" si="5"/>
        <v>792800</v>
      </c>
      <c r="O7" s="76">
        <f t="shared" si="6"/>
        <v>4</v>
      </c>
      <c r="P7" s="76" t="s">
        <v>15</v>
      </c>
      <c r="Q7" s="223">
        <f>N45</f>
        <v>5563840</v>
      </c>
      <c r="R7" s="223">
        <f t="shared" si="7"/>
        <v>5563840</v>
      </c>
    </row>
    <row r="8" spans="1:18" ht="16">
      <c r="A8" s="33">
        <v>45988</v>
      </c>
      <c r="B8" s="44" t="s">
        <v>11</v>
      </c>
      <c r="C8" s="50">
        <v>195345</v>
      </c>
      <c r="D8" s="50">
        <v>195659</v>
      </c>
      <c r="E8" s="11">
        <f t="shared" si="0"/>
        <v>314</v>
      </c>
      <c r="F8" s="52">
        <v>40</v>
      </c>
      <c r="G8" s="13">
        <f t="shared" si="1"/>
        <v>12.738853503184714</v>
      </c>
      <c r="H8" s="38">
        <v>25036</v>
      </c>
      <c r="I8" s="38">
        <v>25366</v>
      </c>
      <c r="J8" s="35">
        <f t="shared" si="2"/>
        <v>330</v>
      </c>
      <c r="K8" s="50">
        <f t="shared" si="3"/>
        <v>40</v>
      </c>
      <c r="L8" s="46">
        <f t="shared" si="4"/>
        <v>12.121212121212121</v>
      </c>
      <c r="M8" s="224">
        <v>19820</v>
      </c>
      <c r="N8" s="47">
        <f t="shared" si="5"/>
        <v>792800</v>
      </c>
      <c r="O8" s="76">
        <f t="shared" si="6"/>
        <v>5</v>
      </c>
      <c r="P8" s="76" t="s">
        <v>16</v>
      </c>
      <c r="Q8" s="223">
        <f>N56</f>
        <v>6422520</v>
      </c>
      <c r="R8" s="223">
        <f t="shared" si="7"/>
        <v>6422520</v>
      </c>
    </row>
    <row r="9" spans="1:18" ht="16">
      <c r="A9" s="33"/>
      <c r="B9" s="44" t="s">
        <v>11</v>
      </c>
      <c r="C9" s="50"/>
      <c r="D9" s="221"/>
      <c r="E9" s="11">
        <f t="shared" si="0"/>
        <v>0</v>
      </c>
      <c r="F9" s="225"/>
      <c r="G9" s="13" t="e">
        <f t="shared" si="1"/>
        <v>#DIV/0!</v>
      </c>
      <c r="H9" s="53"/>
      <c r="I9" s="55"/>
      <c r="J9" s="35"/>
      <c r="K9" s="50"/>
      <c r="L9" s="46" t="e">
        <f t="shared" si="4"/>
        <v>#DIV/0!</v>
      </c>
      <c r="M9" s="226"/>
      <c r="N9" s="47">
        <f t="shared" si="5"/>
        <v>0</v>
      </c>
      <c r="P9" s="76"/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>I10-H10</f>
        <v>0</v>
      </c>
      <c r="K10" s="50">
        <f>F10</f>
        <v>0</v>
      </c>
      <c r="L10" s="46" t="e">
        <f t="shared" si="4"/>
        <v>#DIV/0!</v>
      </c>
      <c r="M10" s="226"/>
      <c r="N10" s="57">
        <f t="shared" si="5"/>
        <v>0</v>
      </c>
      <c r="O10" s="76">
        <f>O8+1</f>
        <v>6</v>
      </c>
      <c r="P10" s="76" t="s">
        <v>18</v>
      </c>
      <c r="Q10" s="223">
        <f>N66</f>
        <v>5119880</v>
      </c>
      <c r="R10" s="223">
        <f t="shared" ref="R10:R15" si="8">Q10</f>
        <v>5119880</v>
      </c>
    </row>
    <row r="11" spans="1:18" ht="16">
      <c r="A11" s="59"/>
      <c r="B11" s="60"/>
      <c r="C11" s="59"/>
      <c r="D11" s="59" t="s">
        <v>19</v>
      </c>
      <c r="E11" s="59">
        <f t="shared" ref="E11:F11" si="9">SUM(E3:E10)</f>
        <v>1935</v>
      </c>
      <c r="F11" s="59">
        <f t="shared" si="9"/>
        <v>235</v>
      </c>
      <c r="G11" s="61" t="e">
        <f>AVERAGE(G3:G10)</f>
        <v>#DIV/0!</v>
      </c>
      <c r="H11" s="59"/>
      <c r="I11" s="62"/>
      <c r="J11" s="59">
        <f t="shared" ref="J11:K11" si="10">SUM(J3:J10)</f>
        <v>-21986</v>
      </c>
      <c r="K11" s="59">
        <f t="shared" si="10"/>
        <v>235</v>
      </c>
      <c r="L11" s="61" t="e">
        <f>AVERAGE(L3:L10)</f>
        <v>#DIV/0!</v>
      </c>
      <c r="M11" s="64"/>
      <c r="N11" s="65">
        <f>SUM(N3:N10)</f>
        <v>4597600</v>
      </c>
      <c r="O11" s="76">
        <f t="shared" ref="O11:O27" si="11">O10+1</f>
        <v>7</v>
      </c>
      <c r="P11" s="76" t="s">
        <v>20</v>
      </c>
      <c r="Q11" s="223">
        <f>N74</f>
        <v>4404740</v>
      </c>
      <c r="R11" s="223">
        <f t="shared" si="8"/>
        <v>4404740</v>
      </c>
    </row>
    <row r="12" spans="1:18" ht="16">
      <c r="A12" s="236">
        <v>45962</v>
      </c>
      <c r="B12" s="34" t="s">
        <v>12</v>
      </c>
      <c r="C12" s="35">
        <v>156415</v>
      </c>
      <c r="D12" s="83">
        <v>156783</v>
      </c>
      <c r="E12" s="36">
        <f t="shared" ref="E12:E18" si="12">D12-C12</f>
        <v>368</v>
      </c>
      <c r="F12" s="37">
        <v>53</v>
      </c>
      <c r="G12" s="13">
        <f t="shared" ref="G12:G18" si="13">(F12/E12)*100</f>
        <v>14.402173913043478</v>
      </c>
      <c r="H12" s="125">
        <v>23349</v>
      </c>
      <c r="I12" s="125"/>
      <c r="J12" s="39">
        <f t="shared" ref="J12:J18" si="14">I12-H12</f>
        <v>-23349</v>
      </c>
      <c r="K12" s="77">
        <f t="shared" ref="K12:K18" si="15">F12</f>
        <v>53</v>
      </c>
      <c r="L12" s="40">
        <f t="shared" ref="L12:L18" si="16">(K12/J12)*100</f>
        <v>-0.22699044926977599</v>
      </c>
      <c r="M12" s="41">
        <v>19200</v>
      </c>
      <c r="N12" s="42">
        <f t="shared" ref="N12:N18" si="17">F12*M12</f>
        <v>1017600</v>
      </c>
      <c r="O12" s="76">
        <f t="shared" si="11"/>
        <v>8</v>
      </c>
      <c r="P12" s="76" t="s">
        <v>21</v>
      </c>
      <c r="Q12" s="223">
        <f>N82</f>
        <v>7428520</v>
      </c>
      <c r="R12" s="223">
        <f t="shared" si="8"/>
        <v>7428520</v>
      </c>
    </row>
    <row r="13" spans="1:18" ht="16">
      <c r="A13" s="43">
        <v>45967</v>
      </c>
      <c r="B13" s="44" t="s">
        <v>12</v>
      </c>
      <c r="C13" s="83">
        <v>156783</v>
      </c>
      <c r="D13" s="35">
        <v>157178</v>
      </c>
      <c r="E13" s="11">
        <f t="shared" si="12"/>
        <v>395</v>
      </c>
      <c r="F13" s="45">
        <v>52</v>
      </c>
      <c r="G13" s="13">
        <f t="shared" si="13"/>
        <v>13.164556962025317</v>
      </c>
      <c r="H13" s="125">
        <v>23349</v>
      </c>
      <c r="I13" s="38">
        <v>23547</v>
      </c>
      <c r="J13" s="35">
        <f t="shared" si="14"/>
        <v>198</v>
      </c>
      <c r="K13" s="50">
        <f t="shared" si="15"/>
        <v>52</v>
      </c>
      <c r="L13" s="46">
        <f t="shared" si="16"/>
        <v>26.262626262626267</v>
      </c>
      <c r="M13" s="48">
        <v>19320</v>
      </c>
      <c r="N13" s="47">
        <f t="shared" si="17"/>
        <v>1004640</v>
      </c>
      <c r="O13" s="76">
        <f t="shared" si="11"/>
        <v>9</v>
      </c>
      <c r="P13" s="247" t="s">
        <v>22</v>
      </c>
      <c r="Q13" s="223">
        <f>N90</f>
        <v>6157420</v>
      </c>
      <c r="R13" s="223">
        <f t="shared" si="8"/>
        <v>6157420</v>
      </c>
    </row>
    <row r="14" spans="1:18" ht="16">
      <c r="A14" s="43">
        <v>45973</v>
      </c>
      <c r="B14" s="44" t="s">
        <v>12</v>
      </c>
      <c r="C14" s="35">
        <v>157178</v>
      </c>
      <c r="D14" s="35">
        <v>157468</v>
      </c>
      <c r="E14" s="11">
        <f t="shared" si="12"/>
        <v>290</v>
      </c>
      <c r="F14" s="45">
        <v>44</v>
      </c>
      <c r="G14" s="13">
        <f t="shared" si="13"/>
        <v>15.172413793103448</v>
      </c>
      <c r="H14" s="38">
        <v>23547</v>
      </c>
      <c r="I14" s="38">
        <v>23878</v>
      </c>
      <c r="J14" s="35">
        <f t="shared" si="14"/>
        <v>331</v>
      </c>
      <c r="K14" s="50">
        <f t="shared" si="15"/>
        <v>44</v>
      </c>
      <c r="L14" s="46">
        <f t="shared" si="16"/>
        <v>13.293051359516618</v>
      </c>
      <c r="M14" s="48">
        <v>19320</v>
      </c>
      <c r="N14" s="47">
        <f t="shared" si="17"/>
        <v>850080</v>
      </c>
      <c r="O14" s="76">
        <f t="shared" si="11"/>
        <v>10</v>
      </c>
      <c r="P14" s="76" t="s">
        <v>23</v>
      </c>
      <c r="Q14" s="223">
        <f>N97</f>
        <v>4211620</v>
      </c>
      <c r="R14" s="223">
        <f t="shared" si="8"/>
        <v>4211620</v>
      </c>
    </row>
    <row r="15" spans="1:18" ht="16">
      <c r="A15" s="43">
        <v>45976</v>
      </c>
      <c r="B15" s="49" t="s">
        <v>12</v>
      </c>
      <c r="C15" s="35">
        <v>157468</v>
      </c>
      <c r="D15" s="50">
        <v>157845</v>
      </c>
      <c r="E15" s="51">
        <f t="shared" si="12"/>
        <v>377</v>
      </c>
      <c r="F15" s="52">
        <v>54</v>
      </c>
      <c r="G15" s="13">
        <f t="shared" si="13"/>
        <v>14.323607427055704</v>
      </c>
      <c r="H15" s="38">
        <v>23878</v>
      </c>
      <c r="I15" s="38">
        <v>24259</v>
      </c>
      <c r="J15" s="35">
        <f t="shared" si="14"/>
        <v>381</v>
      </c>
      <c r="K15" s="50">
        <f t="shared" si="15"/>
        <v>54</v>
      </c>
      <c r="L15" s="46">
        <f t="shared" si="16"/>
        <v>14.173228346456693</v>
      </c>
      <c r="M15" s="48">
        <v>19860</v>
      </c>
      <c r="N15" s="47">
        <f t="shared" si="17"/>
        <v>1072440</v>
      </c>
      <c r="O15" s="76">
        <f t="shared" si="11"/>
        <v>11</v>
      </c>
      <c r="P15" s="247" t="s">
        <v>24</v>
      </c>
      <c r="Q15" s="223">
        <f>N105</f>
        <v>4955380</v>
      </c>
      <c r="R15" s="223">
        <f t="shared" si="8"/>
        <v>4955380</v>
      </c>
    </row>
    <row r="16" spans="1:18" ht="16">
      <c r="A16" s="43">
        <v>45980</v>
      </c>
      <c r="B16" s="44" t="s">
        <v>12</v>
      </c>
      <c r="C16" s="50">
        <v>157845</v>
      </c>
      <c r="D16" s="35">
        <v>158168</v>
      </c>
      <c r="E16" s="11">
        <f t="shared" si="12"/>
        <v>323</v>
      </c>
      <c r="F16" s="45">
        <v>46</v>
      </c>
      <c r="G16" s="13">
        <f t="shared" si="13"/>
        <v>14.241486068111456</v>
      </c>
      <c r="H16" s="38">
        <v>24259</v>
      </c>
      <c r="I16" s="38">
        <v>24617</v>
      </c>
      <c r="J16" s="35">
        <f t="shared" si="14"/>
        <v>358</v>
      </c>
      <c r="K16" s="50">
        <f t="shared" si="15"/>
        <v>46</v>
      </c>
      <c r="L16" s="46">
        <f t="shared" si="16"/>
        <v>12.849162011173185</v>
      </c>
      <c r="M16" s="48">
        <v>19860</v>
      </c>
      <c r="N16" s="47">
        <f t="shared" si="17"/>
        <v>913560</v>
      </c>
      <c r="O16" s="76">
        <f t="shared" si="11"/>
        <v>12</v>
      </c>
      <c r="P16" s="76" t="s">
        <v>25</v>
      </c>
      <c r="Q16" s="223">
        <f>N105</f>
        <v>4955380</v>
      </c>
      <c r="R16" s="223">
        <f>N113</f>
        <v>7736780</v>
      </c>
    </row>
    <row r="17" spans="1:18" ht="16">
      <c r="A17" s="43">
        <v>45985</v>
      </c>
      <c r="B17" s="44" t="s">
        <v>12</v>
      </c>
      <c r="C17" s="35">
        <v>158168</v>
      </c>
      <c r="D17" s="35">
        <v>158448</v>
      </c>
      <c r="E17" s="11">
        <f t="shared" si="12"/>
        <v>280</v>
      </c>
      <c r="F17" s="45">
        <v>39</v>
      </c>
      <c r="G17" s="13">
        <f t="shared" si="13"/>
        <v>13.928571428571429</v>
      </c>
      <c r="H17" s="38">
        <v>24617</v>
      </c>
      <c r="I17" s="38">
        <v>24951</v>
      </c>
      <c r="J17" s="35">
        <f t="shared" si="14"/>
        <v>334</v>
      </c>
      <c r="K17" s="50">
        <f t="shared" si="15"/>
        <v>39</v>
      </c>
      <c r="L17" s="46">
        <f t="shared" si="16"/>
        <v>11.676646706586826</v>
      </c>
      <c r="M17" s="48">
        <v>19820</v>
      </c>
      <c r="N17" s="47">
        <f t="shared" si="17"/>
        <v>772980</v>
      </c>
      <c r="O17" s="76">
        <f t="shared" si="11"/>
        <v>13</v>
      </c>
      <c r="P17" s="247" t="s">
        <v>26</v>
      </c>
      <c r="Q17" s="223">
        <f>N121</f>
        <v>5283580</v>
      </c>
      <c r="R17" s="223">
        <f t="shared" ref="R17:R27" si="18">Q17</f>
        <v>5283580</v>
      </c>
    </row>
    <row r="18" spans="1:18" ht="16">
      <c r="A18" s="43">
        <v>45989</v>
      </c>
      <c r="B18" s="44" t="s">
        <v>12</v>
      </c>
      <c r="C18" s="35">
        <v>158448</v>
      </c>
      <c r="D18" s="53">
        <v>158789</v>
      </c>
      <c r="E18" s="24">
        <f t="shared" si="12"/>
        <v>341</v>
      </c>
      <c r="F18" s="45">
        <v>49</v>
      </c>
      <c r="G18" s="54">
        <f t="shared" si="13"/>
        <v>14.369501466275661</v>
      </c>
      <c r="H18" s="38">
        <v>24951</v>
      </c>
      <c r="I18" s="55">
        <v>25311</v>
      </c>
      <c r="J18" s="53">
        <f t="shared" si="14"/>
        <v>360</v>
      </c>
      <c r="K18" s="50">
        <f t="shared" si="15"/>
        <v>49</v>
      </c>
      <c r="L18" s="46">
        <f t="shared" si="16"/>
        <v>13.611111111111111</v>
      </c>
      <c r="M18" s="56">
        <v>18800</v>
      </c>
      <c r="N18" s="57">
        <f t="shared" si="17"/>
        <v>921200</v>
      </c>
      <c r="O18" s="76">
        <f t="shared" si="11"/>
        <v>14</v>
      </c>
      <c r="P18" s="76" t="s">
        <v>27</v>
      </c>
      <c r="Q18" s="223">
        <f>N130</f>
        <v>9800396</v>
      </c>
      <c r="R18" s="223">
        <f t="shared" si="18"/>
        <v>9800396</v>
      </c>
    </row>
    <row r="19" spans="1:18" ht="16">
      <c r="A19" s="59"/>
      <c r="B19" s="60"/>
      <c r="C19" s="59"/>
      <c r="D19" s="59" t="s">
        <v>19</v>
      </c>
      <c r="E19" s="59">
        <f>SUM(E12:E18)</f>
        <v>2374</v>
      </c>
      <c r="F19" s="59">
        <f>SUM(F11:F18)</f>
        <v>572</v>
      </c>
      <c r="G19" s="61">
        <f>AVERAGE(G12:G18)</f>
        <v>14.22890157974093</v>
      </c>
      <c r="H19" s="59"/>
      <c r="I19" s="62"/>
      <c r="J19" s="59">
        <f t="shared" ref="J19:K19" si="19">SUM(J12:J18)</f>
        <v>-21387</v>
      </c>
      <c r="K19" s="59">
        <f t="shared" si="19"/>
        <v>337</v>
      </c>
      <c r="L19" s="61">
        <f>AVERAGE(L12:L18)</f>
        <v>13.09126219260013</v>
      </c>
      <c r="M19" s="64"/>
      <c r="N19" s="65">
        <f>SUM(N12:N18)</f>
        <v>6552500</v>
      </c>
      <c r="O19" s="76">
        <f t="shared" si="11"/>
        <v>15</v>
      </c>
      <c r="P19" s="76" t="s">
        <v>80</v>
      </c>
      <c r="Q19" s="223">
        <f>N139</f>
        <v>8180200</v>
      </c>
      <c r="R19" s="223">
        <f t="shared" si="18"/>
        <v>8180200</v>
      </c>
    </row>
    <row r="20" spans="1:18" ht="16">
      <c r="A20" s="66">
        <v>45965</v>
      </c>
      <c r="B20" s="34" t="s">
        <v>13</v>
      </c>
      <c r="C20" s="35">
        <v>173904</v>
      </c>
      <c r="D20" s="39">
        <v>174225</v>
      </c>
      <c r="E20" s="36">
        <f t="shared" ref="E20:E27" si="20">D20-C20</f>
        <v>321</v>
      </c>
      <c r="F20" s="37">
        <v>45</v>
      </c>
      <c r="G20" s="13">
        <f t="shared" ref="G20:G27" si="21">(F20/E20)*100</f>
        <v>14.018691588785046</v>
      </c>
      <c r="H20" s="77">
        <v>25032</v>
      </c>
      <c r="I20" s="77"/>
      <c r="J20" s="39">
        <f t="shared" ref="J20:J27" si="22">I20-H20</f>
        <v>-25032</v>
      </c>
      <c r="K20" s="77">
        <f t="shared" ref="K20:K27" si="23">F20</f>
        <v>45</v>
      </c>
      <c r="L20" s="67">
        <f t="shared" ref="L20:L27" si="24">(K20/J20)*100</f>
        <v>-0.1797698945349952</v>
      </c>
      <c r="M20" s="68">
        <v>19200</v>
      </c>
      <c r="N20" s="42">
        <f t="shared" ref="N20:N27" si="25">F20*M20</f>
        <v>864000</v>
      </c>
      <c r="O20" s="76">
        <f t="shared" si="11"/>
        <v>16</v>
      </c>
      <c r="P20" s="76" t="s">
        <v>29</v>
      </c>
      <c r="Q20" s="223">
        <f>N148</f>
        <v>6625200</v>
      </c>
      <c r="R20" s="223">
        <f t="shared" si="18"/>
        <v>6625200</v>
      </c>
    </row>
    <row r="21" spans="1:18" ht="16">
      <c r="A21" s="66">
        <v>45969</v>
      </c>
      <c r="B21" s="44" t="s">
        <v>13</v>
      </c>
      <c r="C21" s="39">
        <v>174225</v>
      </c>
      <c r="D21" s="35">
        <v>174576</v>
      </c>
      <c r="E21" s="11">
        <f t="shared" si="20"/>
        <v>351</v>
      </c>
      <c r="F21" s="37">
        <v>52</v>
      </c>
      <c r="G21" s="13">
        <f t="shared" si="21"/>
        <v>14.814814814814813</v>
      </c>
      <c r="H21" s="77">
        <v>25032</v>
      </c>
      <c r="I21" s="38">
        <v>25393</v>
      </c>
      <c r="J21" s="35">
        <f t="shared" si="22"/>
        <v>361</v>
      </c>
      <c r="K21" s="50">
        <f t="shared" si="23"/>
        <v>52</v>
      </c>
      <c r="L21" s="46">
        <f t="shared" si="24"/>
        <v>14.40443213296399</v>
      </c>
      <c r="M21" s="68">
        <v>19320</v>
      </c>
      <c r="N21" s="47">
        <f t="shared" si="25"/>
        <v>1004640</v>
      </c>
      <c r="O21" s="76">
        <f t="shared" si="11"/>
        <v>17</v>
      </c>
      <c r="P21" s="76" t="s">
        <v>30</v>
      </c>
      <c r="Q21" s="223">
        <f>N157</f>
        <v>7602840</v>
      </c>
      <c r="R21" s="223">
        <f t="shared" si="18"/>
        <v>7602840</v>
      </c>
    </row>
    <row r="22" spans="1:18" ht="16">
      <c r="A22" s="33">
        <v>45973</v>
      </c>
      <c r="B22" s="44" t="s">
        <v>13</v>
      </c>
      <c r="C22" s="35">
        <v>174576</v>
      </c>
      <c r="D22" s="35">
        <v>174906</v>
      </c>
      <c r="E22" s="11">
        <f t="shared" si="20"/>
        <v>330</v>
      </c>
      <c r="F22" s="45">
        <v>45</v>
      </c>
      <c r="G22" s="13">
        <f t="shared" si="21"/>
        <v>13.636363636363635</v>
      </c>
      <c r="H22" s="38">
        <v>25393</v>
      </c>
      <c r="I22" s="38">
        <v>25725</v>
      </c>
      <c r="J22" s="35">
        <f t="shared" si="22"/>
        <v>332</v>
      </c>
      <c r="K22" s="50">
        <f t="shared" si="23"/>
        <v>45</v>
      </c>
      <c r="L22" s="46">
        <f t="shared" si="24"/>
        <v>13.554216867469879</v>
      </c>
      <c r="M22" s="48">
        <v>19320</v>
      </c>
      <c r="N22" s="47">
        <f t="shared" si="25"/>
        <v>869400</v>
      </c>
      <c r="O22" s="76">
        <f t="shared" si="11"/>
        <v>18</v>
      </c>
      <c r="P22" s="76" t="s">
        <v>31</v>
      </c>
      <c r="Q22" s="223">
        <f>N166</f>
        <v>4893800</v>
      </c>
      <c r="R22" s="223">
        <f t="shared" si="18"/>
        <v>4893800</v>
      </c>
    </row>
    <row r="23" spans="1:18" ht="16">
      <c r="A23" s="33">
        <v>45980</v>
      </c>
      <c r="B23" s="44" t="s">
        <v>13</v>
      </c>
      <c r="C23" s="35">
        <v>174906</v>
      </c>
      <c r="D23" s="35">
        <v>175245</v>
      </c>
      <c r="E23" s="11">
        <f t="shared" si="20"/>
        <v>339</v>
      </c>
      <c r="F23" s="45">
        <v>50</v>
      </c>
      <c r="G23" s="13">
        <f t="shared" si="21"/>
        <v>14.749262536873156</v>
      </c>
      <c r="H23" s="38">
        <v>25725</v>
      </c>
      <c r="I23" s="38">
        <v>26110</v>
      </c>
      <c r="J23" s="35">
        <f t="shared" si="22"/>
        <v>385</v>
      </c>
      <c r="K23" s="50">
        <f t="shared" si="23"/>
        <v>50</v>
      </c>
      <c r="L23" s="46">
        <f t="shared" si="24"/>
        <v>12.987012987012985</v>
      </c>
      <c r="M23" s="48">
        <v>19860</v>
      </c>
      <c r="N23" s="47">
        <f t="shared" si="25"/>
        <v>993000</v>
      </c>
      <c r="O23" s="76">
        <f t="shared" si="11"/>
        <v>19</v>
      </c>
      <c r="P23" s="76" t="s">
        <v>32</v>
      </c>
      <c r="Q23" s="223">
        <f>N175</f>
        <v>6256400</v>
      </c>
      <c r="R23" s="223">
        <f t="shared" si="18"/>
        <v>6256400</v>
      </c>
    </row>
    <row r="24" spans="1:18" ht="16">
      <c r="A24" s="33">
        <v>45986</v>
      </c>
      <c r="B24" s="44" t="s">
        <v>13</v>
      </c>
      <c r="C24" s="35">
        <v>175245</v>
      </c>
      <c r="D24" s="35">
        <v>175284</v>
      </c>
      <c r="E24" s="11">
        <f t="shared" si="20"/>
        <v>39</v>
      </c>
      <c r="F24" s="45">
        <v>36</v>
      </c>
      <c r="G24" s="13">
        <f t="shared" si="21"/>
        <v>92.307692307692307</v>
      </c>
      <c r="H24" s="38">
        <v>26110</v>
      </c>
      <c r="I24" s="38">
        <v>26486</v>
      </c>
      <c r="J24" s="35">
        <f t="shared" si="22"/>
        <v>376</v>
      </c>
      <c r="K24" s="50">
        <f t="shared" si="23"/>
        <v>36</v>
      </c>
      <c r="L24" s="46">
        <f t="shared" si="24"/>
        <v>9.5744680851063837</v>
      </c>
      <c r="M24" s="48">
        <v>19820</v>
      </c>
      <c r="N24" s="47">
        <f t="shared" si="25"/>
        <v>713520</v>
      </c>
      <c r="O24" s="76">
        <f t="shared" si="11"/>
        <v>20</v>
      </c>
      <c r="R24" s="76">
        <f t="shared" si="18"/>
        <v>0</v>
      </c>
    </row>
    <row r="25" spans="1:18" ht="16">
      <c r="A25" s="33">
        <v>45988</v>
      </c>
      <c r="B25" s="44" t="s">
        <v>13</v>
      </c>
      <c r="C25" s="35">
        <v>175284</v>
      </c>
      <c r="D25" s="35">
        <v>175575</v>
      </c>
      <c r="E25" s="11">
        <f t="shared" si="20"/>
        <v>291</v>
      </c>
      <c r="F25" s="45">
        <v>49</v>
      </c>
      <c r="G25" s="13">
        <f t="shared" si="21"/>
        <v>16.838487972508592</v>
      </c>
      <c r="H25" s="38">
        <v>26486</v>
      </c>
      <c r="I25" s="38">
        <v>26756</v>
      </c>
      <c r="J25" s="35">
        <f t="shared" si="22"/>
        <v>270</v>
      </c>
      <c r="K25" s="50">
        <f t="shared" si="23"/>
        <v>49</v>
      </c>
      <c r="L25" s="46">
        <f t="shared" si="24"/>
        <v>18.148148148148149</v>
      </c>
      <c r="M25" s="48">
        <v>19820</v>
      </c>
      <c r="N25" s="47">
        <f t="shared" si="25"/>
        <v>971180</v>
      </c>
      <c r="O25" s="76">
        <f t="shared" si="11"/>
        <v>21</v>
      </c>
      <c r="R25" s="76">
        <f t="shared" si="18"/>
        <v>0</v>
      </c>
    </row>
    <row r="26" spans="1:18" ht="16">
      <c r="A26" s="33"/>
      <c r="B26" s="44" t="s">
        <v>13</v>
      </c>
      <c r="C26" s="35"/>
      <c r="D26" s="35"/>
      <c r="E26" s="11">
        <f t="shared" si="20"/>
        <v>0</v>
      </c>
      <c r="F26" s="45"/>
      <c r="G26" s="13" t="e">
        <f t="shared" si="21"/>
        <v>#DIV/0!</v>
      </c>
      <c r="H26" s="35"/>
      <c r="I26" s="38"/>
      <c r="J26" s="35">
        <f t="shared" si="22"/>
        <v>0</v>
      </c>
      <c r="K26" s="50">
        <f t="shared" si="23"/>
        <v>0</v>
      </c>
      <c r="L26" s="46" t="e">
        <f t="shared" si="24"/>
        <v>#DIV/0!</v>
      </c>
      <c r="M26" s="48"/>
      <c r="N26" s="47">
        <f t="shared" si="25"/>
        <v>0</v>
      </c>
      <c r="O26" s="76">
        <f t="shared" si="11"/>
        <v>22</v>
      </c>
      <c r="R26" s="76">
        <f t="shared" si="18"/>
        <v>0</v>
      </c>
    </row>
    <row r="27" spans="1:18" ht="16">
      <c r="A27" s="70"/>
      <c r="B27" s="44" t="s">
        <v>13</v>
      </c>
      <c r="C27" s="71"/>
      <c r="D27" s="71"/>
      <c r="E27" s="24">
        <f t="shared" si="20"/>
        <v>0</v>
      </c>
      <c r="F27" s="45"/>
      <c r="G27" s="54" t="e">
        <f t="shared" si="21"/>
        <v>#DIV/0!</v>
      </c>
      <c r="H27" s="71"/>
      <c r="I27" s="72"/>
      <c r="J27" s="53">
        <f t="shared" si="22"/>
        <v>0</v>
      </c>
      <c r="K27" s="50">
        <f t="shared" si="23"/>
        <v>0</v>
      </c>
      <c r="L27" s="73" t="e">
        <f t="shared" si="24"/>
        <v>#DIV/0!</v>
      </c>
      <c r="M27" s="74"/>
      <c r="N27" s="57">
        <f t="shared" si="25"/>
        <v>0</v>
      </c>
      <c r="O27" s="76">
        <f t="shared" si="11"/>
        <v>23</v>
      </c>
      <c r="R27" s="76">
        <f t="shared" si="18"/>
        <v>0</v>
      </c>
    </row>
    <row r="28" spans="1:18" ht="16">
      <c r="A28" s="59"/>
      <c r="B28" s="60"/>
      <c r="C28" s="59"/>
      <c r="D28" s="59" t="s">
        <v>19</v>
      </c>
      <c r="E28" s="59">
        <f>SUM(E20:E26)</f>
        <v>1671</v>
      </c>
      <c r="F28" s="59">
        <f>SUM(F20:F27)</f>
        <v>277</v>
      </c>
      <c r="G28" s="61" t="e">
        <f>AVERAGE(G20:G26)</f>
        <v>#DIV/0!</v>
      </c>
      <c r="H28" s="59"/>
      <c r="I28" s="62"/>
      <c r="J28" s="59">
        <f t="shared" ref="J28:K28" si="26">SUM(J20:J26)</f>
        <v>-23308</v>
      </c>
      <c r="K28" s="59">
        <f t="shared" si="26"/>
        <v>277</v>
      </c>
      <c r="L28" s="61" t="e">
        <f>AVERAGE(L20:L26)</f>
        <v>#DIV/0!</v>
      </c>
      <c r="M28" s="64"/>
      <c r="N28" s="65">
        <f>SUM(N20:N27)</f>
        <v>5415740</v>
      </c>
      <c r="R28" s="223"/>
    </row>
    <row r="29" spans="1:18" ht="16">
      <c r="A29" s="66">
        <v>45962</v>
      </c>
      <c r="B29" s="34" t="s">
        <v>14</v>
      </c>
      <c r="C29" s="35">
        <v>176982</v>
      </c>
      <c r="D29" s="39"/>
      <c r="E29" s="36">
        <f t="shared" ref="E29:E34" si="27">D29-C29</f>
        <v>-176982</v>
      </c>
      <c r="F29" s="37">
        <v>45</v>
      </c>
      <c r="G29" s="13">
        <f t="shared" ref="G29:G35" si="28">(F29/E29)*100</f>
        <v>-2.542631454046174E-2</v>
      </c>
      <c r="H29" s="125">
        <v>17242</v>
      </c>
      <c r="I29" s="77"/>
      <c r="J29" s="39">
        <f t="shared" ref="J29:J35" si="29">I29-H29</f>
        <v>-17242</v>
      </c>
      <c r="K29" s="77">
        <f t="shared" ref="K29:K35" si="30">F29</f>
        <v>45</v>
      </c>
      <c r="L29" s="67">
        <f t="shared" ref="L29:L35" si="31">(K29/J29)*100</f>
        <v>-0.26099060433824384</v>
      </c>
      <c r="M29" s="68">
        <v>19200</v>
      </c>
      <c r="N29" s="42">
        <f t="shared" ref="N29:N35" si="32">F29*M29</f>
        <v>864000</v>
      </c>
      <c r="R29" s="76">
        <f t="shared" ref="R29:R42" si="33">Q29</f>
        <v>0</v>
      </c>
    </row>
    <row r="30" spans="1:18" ht="16">
      <c r="A30" s="33">
        <v>45969</v>
      </c>
      <c r="B30" s="44" t="s">
        <v>14</v>
      </c>
      <c r="C30" s="35">
        <v>176982</v>
      </c>
      <c r="D30" s="35">
        <v>177745</v>
      </c>
      <c r="E30" s="11">
        <f t="shared" si="27"/>
        <v>763</v>
      </c>
      <c r="F30" s="45">
        <v>45</v>
      </c>
      <c r="G30" s="13">
        <f t="shared" si="28"/>
        <v>5.8977719528178243</v>
      </c>
      <c r="H30" s="125">
        <v>17242</v>
      </c>
      <c r="I30" s="38">
        <v>17443</v>
      </c>
      <c r="J30" s="35">
        <f t="shared" si="29"/>
        <v>201</v>
      </c>
      <c r="K30" s="50">
        <f t="shared" si="30"/>
        <v>45</v>
      </c>
      <c r="L30" s="46">
        <f t="shared" si="31"/>
        <v>22.388059701492537</v>
      </c>
      <c r="M30" s="68">
        <v>19320</v>
      </c>
      <c r="N30" s="47">
        <f t="shared" si="32"/>
        <v>869400</v>
      </c>
      <c r="R30" s="76">
        <f t="shared" si="33"/>
        <v>0</v>
      </c>
    </row>
    <row r="31" spans="1:18" ht="16">
      <c r="A31" s="33">
        <v>45974</v>
      </c>
      <c r="B31" s="34" t="s">
        <v>14</v>
      </c>
      <c r="C31" s="35">
        <v>177745</v>
      </c>
      <c r="D31" s="35">
        <v>178138</v>
      </c>
      <c r="E31" s="11">
        <f t="shared" si="27"/>
        <v>393</v>
      </c>
      <c r="F31" s="45">
        <v>45</v>
      </c>
      <c r="G31" s="13">
        <f t="shared" si="28"/>
        <v>11.450381679389313</v>
      </c>
      <c r="H31" s="38">
        <v>17443</v>
      </c>
      <c r="I31" s="38">
        <v>17839</v>
      </c>
      <c r="J31" s="35">
        <f t="shared" si="29"/>
        <v>396</v>
      </c>
      <c r="K31" s="50">
        <f t="shared" si="30"/>
        <v>45</v>
      </c>
      <c r="L31" s="46">
        <f t="shared" si="31"/>
        <v>11.363636363636363</v>
      </c>
      <c r="M31" s="237">
        <v>19320</v>
      </c>
      <c r="N31" s="47">
        <f t="shared" si="32"/>
        <v>869400</v>
      </c>
      <c r="R31" s="76">
        <f t="shared" si="33"/>
        <v>0</v>
      </c>
    </row>
    <row r="32" spans="1:18" ht="16">
      <c r="A32" s="33">
        <v>45980</v>
      </c>
      <c r="B32" s="44" t="s">
        <v>14</v>
      </c>
      <c r="C32" s="35">
        <v>178138</v>
      </c>
      <c r="D32" s="35">
        <v>178521</v>
      </c>
      <c r="E32" s="11">
        <f t="shared" si="27"/>
        <v>383</v>
      </c>
      <c r="F32" s="45">
        <v>45</v>
      </c>
      <c r="G32" s="13">
        <f t="shared" si="28"/>
        <v>11.74934725848564</v>
      </c>
      <c r="H32" s="38">
        <v>17839</v>
      </c>
      <c r="I32" s="38">
        <v>18274</v>
      </c>
      <c r="J32" s="35">
        <f t="shared" si="29"/>
        <v>435</v>
      </c>
      <c r="K32" s="50">
        <f t="shared" si="30"/>
        <v>45</v>
      </c>
      <c r="L32" s="46">
        <f t="shared" si="31"/>
        <v>10.344827586206897</v>
      </c>
      <c r="M32" s="48">
        <v>19860</v>
      </c>
      <c r="N32" s="47">
        <f t="shared" si="32"/>
        <v>893700</v>
      </c>
      <c r="R32" s="76">
        <f t="shared" si="33"/>
        <v>0</v>
      </c>
    </row>
    <row r="33" spans="1:18" ht="16">
      <c r="A33" s="33">
        <v>45986</v>
      </c>
      <c r="B33" s="44" t="s">
        <v>14</v>
      </c>
      <c r="C33" s="35">
        <v>178521</v>
      </c>
      <c r="D33" s="35">
        <v>178933</v>
      </c>
      <c r="E33" s="11">
        <f t="shared" si="27"/>
        <v>412</v>
      </c>
      <c r="F33" s="45">
        <v>45</v>
      </c>
      <c r="G33" s="13">
        <f t="shared" si="28"/>
        <v>10.922330097087379</v>
      </c>
      <c r="H33" s="38">
        <v>18274</v>
      </c>
      <c r="I33" s="38">
        <v>18704</v>
      </c>
      <c r="J33" s="35">
        <f t="shared" si="29"/>
        <v>430</v>
      </c>
      <c r="K33" s="50">
        <f t="shared" si="30"/>
        <v>45</v>
      </c>
      <c r="L33" s="46">
        <f t="shared" si="31"/>
        <v>10.465116279069768</v>
      </c>
      <c r="M33" s="48">
        <v>19820</v>
      </c>
      <c r="N33" s="47">
        <f t="shared" si="32"/>
        <v>891900</v>
      </c>
      <c r="R33" s="76">
        <f t="shared" si="33"/>
        <v>0</v>
      </c>
    </row>
    <row r="34" spans="1:18" ht="16">
      <c r="A34" s="33"/>
      <c r="B34" s="44" t="s">
        <v>14</v>
      </c>
      <c r="C34" s="35"/>
      <c r="D34" s="35"/>
      <c r="E34" s="11">
        <f t="shared" si="27"/>
        <v>0</v>
      </c>
      <c r="F34" s="45"/>
      <c r="G34" s="13" t="e">
        <f t="shared" si="28"/>
        <v>#DIV/0!</v>
      </c>
      <c r="H34" s="35"/>
      <c r="I34" s="38"/>
      <c r="J34" s="35">
        <f t="shared" si="29"/>
        <v>0</v>
      </c>
      <c r="K34" s="50">
        <f t="shared" si="30"/>
        <v>0</v>
      </c>
      <c r="L34" s="46" t="e">
        <f t="shared" si="31"/>
        <v>#DIV/0!</v>
      </c>
      <c r="M34" s="48"/>
      <c r="N34" s="47">
        <f t="shared" si="32"/>
        <v>0</v>
      </c>
      <c r="R34" s="76">
        <f t="shared" si="33"/>
        <v>0</v>
      </c>
    </row>
    <row r="35" spans="1:18" ht="16">
      <c r="A35" s="238"/>
      <c r="B35" s="239"/>
      <c r="C35" s="53"/>
      <c r="D35" s="53"/>
      <c r="E35" s="24"/>
      <c r="F35" s="45"/>
      <c r="G35" s="54" t="e">
        <f t="shared" si="28"/>
        <v>#DIV/0!</v>
      </c>
      <c r="H35" s="53"/>
      <c r="I35" s="55"/>
      <c r="J35" s="53">
        <f t="shared" si="29"/>
        <v>0</v>
      </c>
      <c r="K35" s="50">
        <f t="shared" si="30"/>
        <v>0</v>
      </c>
      <c r="L35" s="73" t="e">
        <f t="shared" si="31"/>
        <v>#DIV/0!</v>
      </c>
      <c r="M35" s="48"/>
      <c r="N35" s="57">
        <f t="shared" si="32"/>
        <v>0</v>
      </c>
      <c r="R35" s="76">
        <f t="shared" si="33"/>
        <v>0</v>
      </c>
    </row>
    <row r="36" spans="1:18" ht="16">
      <c r="A36" s="59"/>
      <c r="B36" s="60"/>
      <c r="C36" s="59"/>
      <c r="D36" s="59" t="s">
        <v>19</v>
      </c>
      <c r="E36" s="59">
        <f>SUM(E29:E35)</f>
        <v>-175031</v>
      </c>
      <c r="F36" s="37"/>
      <c r="G36" s="61" t="e">
        <f>AVERAGE(G29:G35)</f>
        <v>#DIV/0!</v>
      </c>
      <c r="H36" s="59"/>
      <c r="I36" s="62"/>
      <c r="J36" s="59">
        <f t="shared" ref="J36:K36" si="34">SUM(J29:J35)</f>
        <v>-15780</v>
      </c>
      <c r="K36" s="59">
        <f t="shared" si="34"/>
        <v>225</v>
      </c>
      <c r="L36" s="61" t="e">
        <f>AVERAGE(L29:L35)</f>
        <v>#DIV/0!</v>
      </c>
      <c r="M36" s="64"/>
      <c r="N36" s="65">
        <f>SUM(N29:N35)</f>
        <v>4388400</v>
      </c>
      <c r="R36" s="76">
        <f t="shared" si="33"/>
        <v>0</v>
      </c>
    </row>
    <row r="37" spans="1:18" ht="16">
      <c r="A37" s="66">
        <v>45966</v>
      </c>
      <c r="B37" s="34" t="s">
        <v>15</v>
      </c>
      <c r="C37" s="53">
        <v>163749</v>
      </c>
      <c r="D37" s="39">
        <v>164122</v>
      </c>
      <c r="E37" s="36">
        <f t="shared" ref="E37:E44" si="35">D37-C37</f>
        <v>373</v>
      </c>
      <c r="F37" s="37">
        <v>50</v>
      </c>
      <c r="G37" s="13">
        <f t="shared" ref="G37:G44" si="36">(F37/E37)*100</f>
        <v>13.404825737265416</v>
      </c>
      <c r="H37" s="83"/>
      <c r="I37" s="240"/>
      <c r="J37" s="39">
        <f t="shared" ref="J37:J44" si="37">I37-H37</f>
        <v>0</v>
      </c>
      <c r="K37" s="77">
        <f t="shared" ref="K37:K44" si="38">F37</f>
        <v>50</v>
      </c>
      <c r="L37" s="67" t="e">
        <f t="shared" ref="L37:L44" si="39">(K37/J37)*100</f>
        <v>#DIV/0!</v>
      </c>
      <c r="M37" s="53">
        <v>19200</v>
      </c>
      <c r="N37" s="42">
        <f t="shared" ref="N37:N44" si="40">F37*M37</f>
        <v>960000</v>
      </c>
      <c r="R37" s="76">
        <f t="shared" si="33"/>
        <v>0</v>
      </c>
    </row>
    <row r="38" spans="1:18" ht="16">
      <c r="A38" s="33">
        <v>45971</v>
      </c>
      <c r="B38" s="44" t="s">
        <v>15</v>
      </c>
      <c r="C38" s="39">
        <v>164122</v>
      </c>
      <c r="D38" s="35">
        <v>164455</v>
      </c>
      <c r="E38" s="11">
        <f t="shared" si="35"/>
        <v>333</v>
      </c>
      <c r="F38" s="45">
        <v>38</v>
      </c>
      <c r="G38" s="13">
        <f t="shared" si="36"/>
        <v>11.411411411411411</v>
      </c>
      <c r="H38" s="38"/>
      <c r="I38" s="38"/>
      <c r="J38" s="35">
        <f t="shared" si="37"/>
        <v>0</v>
      </c>
      <c r="K38" s="50">
        <f t="shared" si="38"/>
        <v>38</v>
      </c>
      <c r="L38" s="46" t="e">
        <f t="shared" si="39"/>
        <v>#DIV/0!</v>
      </c>
      <c r="M38" s="48">
        <v>19320</v>
      </c>
      <c r="N38" s="47">
        <f t="shared" si="40"/>
        <v>734160</v>
      </c>
      <c r="P38" s="78"/>
      <c r="R38" s="76">
        <f t="shared" si="33"/>
        <v>0</v>
      </c>
    </row>
    <row r="39" spans="1:18" ht="16">
      <c r="A39" s="33">
        <v>45974</v>
      </c>
      <c r="B39" s="44" t="s">
        <v>15</v>
      </c>
      <c r="C39" s="35">
        <v>164455</v>
      </c>
      <c r="D39" s="35">
        <v>164849</v>
      </c>
      <c r="E39" s="11">
        <f t="shared" si="35"/>
        <v>394</v>
      </c>
      <c r="F39" s="45">
        <v>45</v>
      </c>
      <c r="G39" s="13">
        <f t="shared" si="36"/>
        <v>11.421319796954315</v>
      </c>
      <c r="H39" s="35"/>
      <c r="I39" s="38">
        <v>25263</v>
      </c>
      <c r="J39" s="35">
        <f t="shared" si="37"/>
        <v>25263</v>
      </c>
      <c r="K39" s="50">
        <f t="shared" si="38"/>
        <v>45</v>
      </c>
      <c r="L39" s="46">
        <f t="shared" si="39"/>
        <v>0.17812611328820804</v>
      </c>
      <c r="M39" s="48">
        <v>19320</v>
      </c>
      <c r="N39" s="47">
        <f t="shared" si="40"/>
        <v>869400</v>
      </c>
      <c r="R39" s="76">
        <f t="shared" si="33"/>
        <v>0</v>
      </c>
    </row>
    <row r="40" spans="1:18" ht="16">
      <c r="A40" s="33">
        <v>45979</v>
      </c>
      <c r="B40" s="44" t="s">
        <v>15</v>
      </c>
      <c r="C40" s="35">
        <v>164849</v>
      </c>
      <c r="D40" s="35">
        <v>165181</v>
      </c>
      <c r="E40" s="11">
        <f t="shared" si="35"/>
        <v>332</v>
      </c>
      <c r="F40" s="45">
        <v>37</v>
      </c>
      <c r="G40" s="13">
        <f t="shared" si="36"/>
        <v>11.144578313253012</v>
      </c>
      <c r="H40" s="38">
        <v>25263</v>
      </c>
      <c r="I40" s="38">
        <v>25614</v>
      </c>
      <c r="J40" s="35">
        <f t="shared" si="37"/>
        <v>351</v>
      </c>
      <c r="K40" s="50">
        <f t="shared" si="38"/>
        <v>37</v>
      </c>
      <c r="L40" s="46">
        <f t="shared" si="39"/>
        <v>10.541310541310542</v>
      </c>
      <c r="M40" s="48">
        <v>19860</v>
      </c>
      <c r="N40" s="47">
        <f t="shared" si="40"/>
        <v>734820</v>
      </c>
      <c r="R40" s="76">
        <f t="shared" si="33"/>
        <v>0</v>
      </c>
    </row>
    <row r="41" spans="1:18" ht="16">
      <c r="A41" s="33">
        <v>45982</v>
      </c>
      <c r="B41" s="44" t="s">
        <v>15</v>
      </c>
      <c r="C41" s="35">
        <v>165181</v>
      </c>
      <c r="D41" s="35">
        <v>165485</v>
      </c>
      <c r="E41" s="11">
        <f t="shared" si="35"/>
        <v>304</v>
      </c>
      <c r="F41" s="45">
        <v>40</v>
      </c>
      <c r="G41" s="13">
        <f t="shared" si="36"/>
        <v>13.157894736842104</v>
      </c>
      <c r="H41" s="38">
        <v>25614</v>
      </c>
      <c r="I41" s="38">
        <v>25877</v>
      </c>
      <c r="J41" s="35">
        <f t="shared" si="37"/>
        <v>263</v>
      </c>
      <c r="K41" s="50">
        <f t="shared" si="38"/>
        <v>40</v>
      </c>
      <c r="L41" s="46">
        <f t="shared" si="39"/>
        <v>15.209125475285171</v>
      </c>
      <c r="M41" s="48">
        <v>19820</v>
      </c>
      <c r="N41" s="47">
        <f t="shared" si="40"/>
        <v>792800</v>
      </c>
      <c r="R41" s="76">
        <f t="shared" si="33"/>
        <v>0</v>
      </c>
    </row>
    <row r="42" spans="1:18" ht="16">
      <c r="A42" s="33">
        <v>45986</v>
      </c>
      <c r="B42" s="44" t="s">
        <v>15</v>
      </c>
      <c r="C42" s="35">
        <v>165485</v>
      </c>
      <c r="D42" s="35">
        <v>165820</v>
      </c>
      <c r="E42" s="11">
        <f t="shared" si="35"/>
        <v>335</v>
      </c>
      <c r="F42" s="45">
        <v>43</v>
      </c>
      <c r="G42" s="13">
        <f t="shared" si="36"/>
        <v>12.835820895522387</v>
      </c>
      <c r="H42" s="38">
        <v>25877</v>
      </c>
      <c r="I42" s="38">
        <v>26228</v>
      </c>
      <c r="J42" s="35">
        <f t="shared" si="37"/>
        <v>351</v>
      </c>
      <c r="K42" s="50">
        <f t="shared" si="38"/>
        <v>43</v>
      </c>
      <c r="L42" s="46">
        <f t="shared" si="39"/>
        <v>12.250712250712251</v>
      </c>
      <c r="M42" s="48">
        <v>19820</v>
      </c>
      <c r="N42" s="47">
        <f t="shared" si="40"/>
        <v>852260</v>
      </c>
      <c r="R42" s="76">
        <f t="shared" si="33"/>
        <v>0</v>
      </c>
    </row>
    <row r="43" spans="1:18" ht="16">
      <c r="A43" s="33">
        <v>45989</v>
      </c>
      <c r="B43" s="44" t="s">
        <v>15</v>
      </c>
      <c r="C43" s="35">
        <v>165820</v>
      </c>
      <c r="D43" s="35">
        <v>166111</v>
      </c>
      <c r="E43" s="11">
        <f t="shared" si="35"/>
        <v>291</v>
      </c>
      <c r="F43" s="45">
        <v>33</v>
      </c>
      <c r="G43" s="13">
        <f t="shared" si="36"/>
        <v>11.340206185567011</v>
      </c>
      <c r="H43" s="38">
        <v>26228</v>
      </c>
      <c r="I43" s="38">
        <v>26511</v>
      </c>
      <c r="J43" s="35">
        <f t="shared" si="37"/>
        <v>283</v>
      </c>
      <c r="K43" s="50">
        <f t="shared" si="38"/>
        <v>33</v>
      </c>
      <c r="L43" s="46">
        <f t="shared" si="39"/>
        <v>11.66077738515901</v>
      </c>
      <c r="M43" s="48">
        <v>18800</v>
      </c>
      <c r="N43" s="47">
        <f t="shared" si="40"/>
        <v>620400</v>
      </c>
    </row>
    <row r="44" spans="1:18" ht="16">
      <c r="A44" s="33"/>
      <c r="B44" s="79" t="s">
        <v>15</v>
      </c>
      <c r="C44" s="35"/>
      <c r="D44" s="53"/>
      <c r="E44" s="24">
        <f t="shared" si="35"/>
        <v>0</v>
      </c>
      <c r="F44" s="45"/>
      <c r="G44" s="54" t="e">
        <f t="shared" si="36"/>
        <v>#DIV/0!</v>
      </c>
      <c r="H44" s="53"/>
      <c r="I44" s="55"/>
      <c r="J44" s="53">
        <f t="shared" si="37"/>
        <v>0</v>
      </c>
      <c r="K44" s="50">
        <f t="shared" si="38"/>
        <v>0</v>
      </c>
      <c r="L44" s="73" t="e">
        <f t="shared" si="39"/>
        <v>#DIV/0!</v>
      </c>
      <c r="M44" s="48"/>
      <c r="N44" s="57">
        <f t="shared" si="40"/>
        <v>0</v>
      </c>
      <c r="R44" s="76">
        <f t="shared" ref="R44:R52" si="41">Q44</f>
        <v>0</v>
      </c>
    </row>
    <row r="45" spans="1:18" ht="16">
      <c r="A45" s="59"/>
      <c r="B45" s="60"/>
      <c r="C45" s="59"/>
      <c r="D45" s="59" t="s">
        <v>19</v>
      </c>
      <c r="E45" s="59">
        <f t="shared" ref="E45:F45" si="42">SUM(E37:E44)</f>
        <v>2362</v>
      </c>
      <c r="F45" s="59">
        <f t="shared" si="42"/>
        <v>286</v>
      </c>
      <c r="G45" s="61" t="e">
        <f>AVERAGE(G37:G44)</f>
        <v>#DIV/0!</v>
      </c>
      <c r="H45" s="59"/>
      <c r="I45" s="62"/>
      <c r="J45" s="59">
        <f t="shared" ref="J45:K45" si="43">SUM(J37:J44)</f>
        <v>26511</v>
      </c>
      <c r="K45" s="59">
        <f t="shared" si="43"/>
        <v>286</v>
      </c>
      <c r="L45" s="61" t="e">
        <f>AVERAGE(L37:L44)</f>
        <v>#DIV/0!</v>
      </c>
      <c r="M45" s="64"/>
      <c r="N45" s="65">
        <f>SUM(N37:N44)</f>
        <v>5563840</v>
      </c>
      <c r="R45" s="76">
        <f t="shared" si="41"/>
        <v>0</v>
      </c>
    </row>
    <row r="46" spans="1:18" ht="16">
      <c r="A46" s="66">
        <v>45964</v>
      </c>
      <c r="B46" s="34" t="s">
        <v>16</v>
      </c>
      <c r="C46" s="35">
        <v>140401</v>
      </c>
      <c r="D46" s="39">
        <v>140713</v>
      </c>
      <c r="E46" s="36">
        <f t="shared" ref="E46:E55" si="44">D46-C46</f>
        <v>312</v>
      </c>
      <c r="F46" s="37">
        <v>43</v>
      </c>
      <c r="G46" s="13">
        <f t="shared" ref="G46:G55" si="45">(F46/E46)*100</f>
        <v>13.782051282051283</v>
      </c>
      <c r="H46" s="125"/>
      <c r="I46" s="77"/>
      <c r="J46" s="39">
        <f t="shared" ref="J46:J55" si="46">I46-H46</f>
        <v>0</v>
      </c>
      <c r="K46" s="77">
        <f t="shared" ref="K46:K55" si="47">F46</f>
        <v>43</v>
      </c>
      <c r="L46" s="67" t="e">
        <f t="shared" ref="L46:L55" si="48">(K46/J46)*100</f>
        <v>#DIV/0!</v>
      </c>
      <c r="M46" s="68">
        <v>19200</v>
      </c>
      <c r="N46" s="42">
        <f t="shared" ref="N46:N55" si="49">F46*M46</f>
        <v>825600</v>
      </c>
      <c r="R46" s="76">
        <f t="shared" si="41"/>
        <v>0</v>
      </c>
    </row>
    <row r="47" spans="1:18" ht="16">
      <c r="A47" s="80">
        <v>45966</v>
      </c>
      <c r="B47" s="44" t="s">
        <v>16</v>
      </c>
      <c r="C47" s="39">
        <v>140713</v>
      </c>
      <c r="D47" s="35">
        <v>140961</v>
      </c>
      <c r="E47" s="11">
        <f t="shared" si="44"/>
        <v>248</v>
      </c>
      <c r="F47" s="45">
        <v>33</v>
      </c>
      <c r="G47" s="13">
        <f t="shared" si="45"/>
        <v>13.306451612903224</v>
      </c>
      <c r="H47" s="125"/>
      <c r="I47" s="38"/>
      <c r="J47" s="35">
        <f t="shared" si="46"/>
        <v>0</v>
      </c>
      <c r="K47" s="50">
        <f t="shared" si="47"/>
        <v>33</v>
      </c>
      <c r="L47" s="46" t="e">
        <f t="shared" si="48"/>
        <v>#DIV/0!</v>
      </c>
      <c r="M47" s="48">
        <v>19200</v>
      </c>
      <c r="N47" s="47">
        <f t="shared" si="49"/>
        <v>633600</v>
      </c>
      <c r="R47" s="76">
        <f t="shared" si="41"/>
        <v>0</v>
      </c>
    </row>
    <row r="48" spans="1:18" ht="16">
      <c r="A48" s="80">
        <v>45969</v>
      </c>
      <c r="B48" s="44" t="s">
        <v>16</v>
      </c>
      <c r="C48" s="35">
        <v>140961</v>
      </c>
      <c r="D48" s="35">
        <v>141213</v>
      </c>
      <c r="E48" s="11">
        <f t="shared" si="44"/>
        <v>252</v>
      </c>
      <c r="F48" s="45">
        <v>35</v>
      </c>
      <c r="G48" s="13">
        <f t="shared" si="45"/>
        <v>13.888888888888889</v>
      </c>
      <c r="H48" s="125"/>
      <c r="I48" s="38"/>
      <c r="J48" s="35">
        <f t="shared" si="46"/>
        <v>0</v>
      </c>
      <c r="K48" s="50">
        <f t="shared" si="47"/>
        <v>35</v>
      </c>
      <c r="L48" s="46" t="e">
        <f t="shared" si="48"/>
        <v>#DIV/0!</v>
      </c>
      <c r="M48" s="48">
        <v>19320</v>
      </c>
      <c r="N48" s="47">
        <f t="shared" si="49"/>
        <v>676200</v>
      </c>
      <c r="R48" s="76">
        <f t="shared" si="41"/>
        <v>0</v>
      </c>
    </row>
    <row r="49" spans="1:18" ht="16">
      <c r="A49" s="80">
        <v>45972</v>
      </c>
      <c r="B49" s="44" t="s">
        <v>16</v>
      </c>
      <c r="C49" s="35">
        <v>141213</v>
      </c>
      <c r="D49" s="35">
        <v>141503</v>
      </c>
      <c r="E49" s="11">
        <f t="shared" si="44"/>
        <v>290</v>
      </c>
      <c r="F49" s="45">
        <v>35</v>
      </c>
      <c r="G49" s="13">
        <f t="shared" si="45"/>
        <v>12.068965517241379</v>
      </c>
      <c r="H49" s="38"/>
      <c r="I49" s="38">
        <v>25715</v>
      </c>
      <c r="J49" s="35">
        <f t="shared" si="46"/>
        <v>25715</v>
      </c>
      <c r="K49" s="50">
        <f t="shared" si="47"/>
        <v>35</v>
      </c>
      <c r="L49" s="46">
        <f t="shared" si="48"/>
        <v>0.13610733035193467</v>
      </c>
      <c r="M49" s="48">
        <v>19320</v>
      </c>
      <c r="N49" s="47">
        <f t="shared" si="49"/>
        <v>676200</v>
      </c>
      <c r="P49" s="78"/>
      <c r="R49" s="76">
        <f t="shared" si="41"/>
        <v>0</v>
      </c>
    </row>
    <row r="50" spans="1:18" ht="16">
      <c r="A50" s="80">
        <v>45974</v>
      </c>
      <c r="B50" s="44" t="s">
        <v>16</v>
      </c>
      <c r="C50" s="35">
        <v>141503</v>
      </c>
      <c r="D50" s="35">
        <v>141751</v>
      </c>
      <c r="E50" s="11">
        <f t="shared" si="44"/>
        <v>248</v>
      </c>
      <c r="F50" s="45">
        <v>35</v>
      </c>
      <c r="G50" s="13">
        <f t="shared" si="45"/>
        <v>14.112903225806454</v>
      </c>
      <c r="H50" s="38">
        <v>25715</v>
      </c>
      <c r="I50" s="38">
        <v>25934</v>
      </c>
      <c r="J50" s="35">
        <f t="shared" si="46"/>
        <v>219</v>
      </c>
      <c r="K50" s="50">
        <f t="shared" si="47"/>
        <v>35</v>
      </c>
      <c r="L50" s="46">
        <f t="shared" si="48"/>
        <v>15.981735159817351</v>
      </c>
      <c r="M50" s="48">
        <v>19860</v>
      </c>
      <c r="N50" s="47">
        <f t="shared" si="49"/>
        <v>695100</v>
      </c>
      <c r="R50" s="76">
        <f t="shared" si="41"/>
        <v>0</v>
      </c>
    </row>
    <row r="51" spans="1:18" ht="16">
      <c r="A51" s="80">
        <v>45978</v>
      </c>
      <c r="B51" s="44" t="s">
        <v>16</v>
      </c>
      <c r="C51" s="35">
        <v>141751</v>
      </c>
      <c r="D51" s="35">
        <v>142004</v>
      </c>
      <c r="E51" s="11">
        <f t="shared" si="44"/>
        <v>253</v>
      </c>
      <c r="F51" s="45">
        <v>35</v>
      </c>
      <c r="G51" s="13">
        <f t="shared" si="45"/>
        <v>13.83399209486166</v>
      </c>
      <c r="H51" s="38">
        <v>25934</v>
      </c>
      <c r="I51" s="38">
        <v>26233</v>
      </c>
      <c r="J51" s="35">
        <f t="shared" si="46"/>
        <v>299</v>
      </c>
      <c r="K51" s="50">
        <f t="shared" si="47"/>
        <v>35</v>
      </c>
      <c r="L51" s="46">
        <f t="shared" si="48"/>
        <v>11.705685618729097</v>
      </c>
      <c r="M51" s="48">
        <v>19860</v>
      </c>
      <c r="N51" s="47">
        <f t="shared" si="49"/>
        <v>695100</v>
      </c>
      <c r="R51" s="76">
        <f t="shared" si="41"/>
        <v>0</v>
      </c>
    </row>
    <row r="52" spans="1:18" ht="16">
      <c r="A52" s="80">
        <v>45982</v>
      </c>
      <c r="B52" s="44" t="s">
        <v>16</v>
      </c>
      <c r="C52" s="35">
        <v>142004</v>
      </c>
      <c r="D52" s="35">
        <v>142211</v>
      </c>
      <c r="E52" s="11">
        <f t="shared" si="44"/>
        <v>207</v>
      </c>
      <c r="F52" s="45">
        <v>29</v>
      </c>
      <c r="G52" s="13">
        <f t="shared" si="45"/>
        <v>14.009661835748794</v>
      </c>
      <c r="H52" s="38">
        <v>26233</v>
      </c>
      <c r="I52" s="38">
        <v>26521</v>
      </c>
      <c r="J52" s="35">
        <f t="shared" si="46"/>
        <v>288</v>
      </c>
      <c r="K52" s="50">
        <f t="shared" si="47"/>
        <v>29</v>
      </c>
      <c r="L52" s="46">
        <f t="shared" si="48"/>
        <v>10.069444444444445</v>
      </c>
      <c r="M52" s="48">
        <v>19820</v>
      </c>
      <c r="N52" s="47">
        <f t="shared" si="49"/>
        <v>574780</v>
      </c>
      <c r="R52" s="76">
        <f t="shared" si="41"/>
        <v>0</v>
      </c>
    </row>
    <row r="53" spans="1:18" ht="16">
      <c r="A53" s="80">
        <v>45985</v>
      </c>
      <c r="B53" s="44" t="s">
        <v>16</v>
      </c>
      <c r="C53" s="35">
        <v>142211</v>
      </c>
      <c r="D53" s="35">
        <v>142579</v>
      </c>
      <c r="E53" s="11">
        <f t="shared" si="44"/>
        <v>368</v>
      </c>
      <c r="F53" s="45">
        <v>47</v>
      </c>
      <c r="G53" s="13">
        <f t="shared" si="45"/>
        <v>12.771739130434783</v>
      </c>
      <c r="H53" s="38">
        <v>26521</v>
      </c>
      <c r="I53" s="38">
        <v>26850</v>
      </c>
      <c r="J53" s="35">
        <f t="shared" si="46"/>
        <v>329</v>
      </c>
      <c r="K53" s="50">
        <f t="shared" si="47"/>
        <v>47</v>
      </c>
      <c r="L53" s="46">
        <f t="shared" si="48"/>
        <v>14.285714285714285</v>
      </c>
      <c r="M53" s="48">
        <v>19820</v>
      </c>
      <c r="N53" s="47">
        <f t="shared" si="49"/>
        <v>931540</v>
      </c>
    </row>
    <row r="54" spans="1:18" ht="16">
      <c r="A54" s="80">
        <v>45989</v>
      </c>
      <c r="B54" s="44" t="s">
        <v>16</v>
      </c>
      <c r="C54" s="35">
        <v>142579</v>
      </c>
      <c r="D54" s="35">
        <v>142861</v>
      </c>
      <c r="E54" s="11">
        <f t="shared" si="44"/>
        <v>282</v>
      </c>
      <c r="F54" s="45">
        <v>38</v>
      </c>
      <c r="G54" s="13">
        <f t="shared" si="45"/>
        <v>13.475177304964539</v>
      </c>
      <c r="H54" s="38">
        <v>26850</v>
      </c>
      <c r="I54" s="38">
        <v>27171</v>
      </c>
      <c r="J54" s="35">
        <f t="shared" si="46"/>
        <v>321</v>
      </c>
      <c r="K54" s="50">
        <f t="shared" si="47"/>
        <v>38</v>
      </c>
      <c r="L54" s="46">
        <f t="shared" si="48"/>
        <v>11.838006230529595</v>
      </c>
      <c r="M54" s="48">
        <v>18800</v>
      </c>
      <c r="N54" s="47">
        <f t="shared" si="49"/>
        <v>714400</v>
      </c>
      <c r="R54" s="76">
        <f t="shared" ref="R54:R59" si="50">Q54</f>
        <v>0</v>
      </c>
    </row>
    <row r="55" spans="1:18" ht="16">
      <c r="A55" s="80"/>
      <c r="B55" s="44" t="s">
        <v>16</v>
      </c>
      <c r="C55" s="53"/>
      <c r="D55" s="53"/>
      <c r="E55" s="24">
        <f t="shared" si="44"/>
        <v>0</v>
      </c>
      <c r="F55" s="45"/>
      <c r="G55" s="54" t="e">
        <f t="shared" si="45"/>
        <v>#DIV/0!</v>
      </c>
      <c r="H55" s="53"/>
      <c r="I55" s="55"/>
      <c r="J55" s="53">
        <f t="shared" si="46"/>
        <v>0</v>
      </c>
      <c r="K55" s="50">
        <f t="shared" si="47"/>
        <v>0</v>
      </c>
      <c r="L55" s="73" t="e">
        <f t="shared" si="48"/>
        <v>#DIV/0!</v>
      </c>
      <c r="M55" s="48"/>
      <c r="N55" s="57">
        <f t="shared" si="49"/>
        <v>0</v>
      </c>
      <c r="R55" s="76">
        <f t="shared" si="50"/>
        <v>0</v>
      </c>
    </row>
    <row r="56" spans="1:18" ht="16">
      <c r="A56" s="59"/>
      <c r="B56" s="60"/>
      <c r="C56" s="81"/>
      <c r="D56" s="59" t="s">
        <v>19</v>
      </c>
      <c r="E56" s="59">
        <f>SUM(E46:E55)</f>
        <v>2460</v>
      </c>
      <c r="F56" s="37"/>
      <c r="G56" s="61" t="e">
        <f>AVERAGE(G46:G55)</f>
        <v>#DIV/0!</v>
      </c>
      <c r="H56" s="59"/>
      <c r="I56" s="62"/>
      <c r="J56" s="59">
        <f t="shared" ref="J56:K56" si="51">SUM(J46:J55)</f>
        <v>27171</v>
      </c>
      <c r="K56" s="59">
        <f t="shared" si="51"/>
        <v>330</v>
      </c>
      <c r="L56" s="61" t="e">
        <f>AVERAGE(L46:L55)</f>
        <v>#DIV/0!</v>
      </c>
      <c r="M56" s="64"/>
      <c r="N56" s="65">
        <f>SUM(N46:N55)</f>
        <v>6422520</v>
      </c>
      <c r="R56" s="76">
        <f t="shared" si="50"/>
        <v>0</v>
      </c>
    </row>
    <row r="57" spans="1:18" ht="16">
      <c r="A57" s="66">
        <v>45964</v>
      </c>
      <c r="B57" s="82" t="s">
        <v>18</v>
      </c>
      <c r="C57" s="35">
        <v>145759</v>
      </c>
      <c r="D57" s="39">
        <v>146074</v>
      </c>
      <c r="E57" s="36">
        <f t="shared" ref="E57:E65" si="52">D57-C57</f>
        <v>315</v>
      </c>
      <c r="F57" s="37">
        <v>46</v>
      </c>
      <c r="G57" s="13">
        <f t="shared" ref="G57:G65" si="53">(F57/E57)*100</f>
        <v>14.603174603174605</v>
      </c>
      <c r="H57" s="125">
        <v>17793</v>
      </c>
      <c r="I57" s="246"/>
      <c r="J57" s="39">
        <f t="shared" ref="J57:J65" si="54">I57-H57</f>
        <v>-17793</v>
      </c>
      <c r="K57" s="77">
        <f t="shared" ref="K57:K65" si="55">F57</f>
        <v>46</v>
      </c>
      <c r="L57" s="67">
        <f t="shared" ref="L57:L65" si="56">(K57/J57)*100</f>
        <v>-0.2585286348564042</v>
      </c>
      <c r="M57" s="68">
        <v>19200</v>
      </c>
      <c r="N57" s="42">
        <f t="shared" ref="N57:N65" si="57">F57*M57</f>
        <v>883200</v>
      </c>
      <c r="R57" s="76">
        <f t="shared" si="50"/>
        <v>0</v>
      </c>
    </row>
    <row r="58" spans="1:18" ht="16">
      <c r="A58" s="33">
        <v>45969</v>
      </c>
      <c r="B58" s="44" t="s">
        <v>18</v>
      </c>
      <c r="C58" s="39">
        <v>146074</v>
      </c>
      <c r="D58" s="35">
        <v>146416</v>
      </c>
      <c r="E58" s="11">
        <f t="shared" si="52"/>
        <v>342</v>
      </c>
      <c r="F58" s="45">
        <v>47</v>
      </c>
      <c r="G58" s="13">
        <f t="shared" si="53"/>
        <v>13.742690058479532</v>
      </c>
      <c r="H58" s="125">
        <v>17793</v>
      </c>
      <c r="I58" s="38">
        <v>18138</v>
      </c>
      <c r="J58" s="35">
        <f t="shared" si="54"/>
        <v>345</v>
      </c>
      <c r="K58" s="50">
        <f t="shared" si="55"/>
        <v>47</v>
      </c>
      <c r="L58" s="46">
        <f t="shared" si="56"/>
        <v>13.623188405797102</v>
      </c>
      <c r="M58" s="48">
        <v>19320</v>
      </c>
      <c r="N58" s="47">
        <f t="shared" si="57"/>
        <v>908040</v>
      </c>
      <c r="R58" s="76">
        <f t="shared" si="50"/>
        <v>0</v>
      </c>
    </row>
    <row r="59" spans="1:18" ht="16">
      <c r="A59" s="33">
        <v>45972</v>
      </c>
      <c r="B59" s="44" t="s">
        <v>18</v>
      </c>
      <c r="C59" s="35">
        <v>146416</v>
      </c>
      <c r="D59" s="35">
        <v>146784</v>
      </c>
      <c r="E59" s="11">
        <f t="shared" si="52"/>
        <v>368</v>
      </c>
      <c r="F59" s="45">
        <v>45</v>
      </c>
      <c r="G59" s="13">
        <f t="shared" si="53"/>
        <v>12.228260869565217</v>
      </c>
      <c r="H59" s="38">
        <v>18138</v>
      </c>
      <c r="I59" s="38">
        <v>18482</v>
      </c>
      <c r="J59" s="35">
        <f t="shared" si="54"/>
        <v>344</v>
      </c>
      <c r="K59" s="50">
        <f t="shared" si="55"/>
        <v>45</v>
      </c>
      <c r="L59" s="46">
        <f t="shared" si="56"/>
        <v>13.08139534883721</v>
      </c>
      <c r="M59" s="48">
        <v>19320</v>
      </c>
      <c r="N59" s="47">
        <f t="shared" si="57"/>
        <v>869400</v>
      </c>
      <c r="R59" s="76">
        <f t="shared" si="50"/>
        <v>0</v>
      </c>
    </row>
    <row r="60" spans="1:18" ht="16">
      <c r="A60" s="33">
        <v>45976</v>
      </c>
      <c r="B60" s="44" t="s">
        <v>18</v>
      </c>
      <c r="C60" s="35">
        <v>146784</v>
      </c>
      <c r="D60" s="35">
        <v>147054</v>
      </c>
      <c r="E60" s="11">
        <f t="shared" si="52"/>
        <v>270</v>
      </c>
      <c r="F60" s="45">
        <v>39</v>
      </c>
      <c r="G60" s="13">
        <f t="shared" si="53"/>
        <v>14.444444444444443</v>
      </c>
      <c r="H60" s="38">
        <v>18482</v>
      </c>
      <c r="I60" s="38">
        <v>18762</v>
      </c>
      <c r="J60" s="35">
        <f t="shared" si="54"/>
        <v>280</v>
      </c>
      <c r="K60" s="50">
        <f t="shared" si="55"/>
        <v>39</v>
      </c>
      <c r="L60" s="46">
        <f t="shared" si="56"/>
        <v>13.928571428571429</v>
      </c>
      <c r="M60" s="48">
        <v>19860</v>
      </c>
      <c r="N60" s="47">
        <f t="shared" si="57"/>
        <v>774540</v>
      </c>
    </row>
    <row r="61" spans="1:18" ht="16">
      <c r="A61" s="33">
        <v>45982</v>
      </c>
      <c r="B61" s="44" t="s">
        <v>18</v>
      </c>
      <c r="C61" s="35">
        <v>147054</v>
      </c>
      <c r="D61" s="35">
        <v>147357</v>
      </c>
      <c r="E61" s="11">
        <f t="shared" si="52"/>
        <v>303</v>
      </c>
      <c r="F61" s="45">
        <v>40</v>
      </c>
      <c r="G61" s="13">
        <f t="shared" si="53"/>
        <v>13.201320132013199</v>
      </c>
      <c r="H61" s="38">
        <v>18762</v>
      </c>
      <c r="I61" s="38">
        <v>19148</v>
      </c>
      <c r="J61" s="35">
        <f t="shared" si="54"/>
        <v>386</v>
      </c>
      <c r="K61" s="50">
        <f t="shared" si="55"/>
        <v>40</v>
      </c>
      <c r="L61" s="46">
        <f t="shared" si="56"/>
        <v>10.362694300518134</v>
      </c>
      <c r="M61" s="48">
        <v>19820</v>
      </c>
      <c r="N61" s="47">
        <f t="shared" si="57"/>
        <v>792800</v>
      </c>
      <c r="R61" s="76">
        <f t="shared" ref="R61:R157" si="58">Q61</f>
        <v>0</v>
      </c>
    </row>
    <row r="62" spans="1:18" ht="16">
      <c r="A62" s="33">
        <v>45987</v>
      </c>
      <c r="B62" s="44" t="s">
        <v>18</v>
      </c>
      <c r="C62" s="35">
        <v>147357</v>
      </c>
      <c r="D62" s="35">
        <v>147705</v>
      </c>
      <c r="E62" s="11">
        <f t="shared" si="52"/>
        <v>348</v>
      </c>
      <c r="F62" s="45">
        <v>45</v>
      </c>
      <c r="G62" s="13">
        <f t="shared" si="53"/>
        <v>12.931034482758621</v>
      </c>
      <c r="H62" s="38">
        <v>19148</v>
      </c>
      <c r="I62" s="38">
        <v>19473</v>
      </c>
      <c r="J62" s="35">
        <f t="shared" si="54"/>
        <v>325</v>
      </c>
      <c r="K62" s="50">
        <f t="shared" si="55"/>
        <v>45</v>
      </c>
      <c r="L62" s="46">
        <f t="shared" si="56"/>
        <v>13.846153846153847</v>
      </c>
      <c r="M62" s="48">
        <v>19820</v>
      </c>
      <c r="N62" s="47">
        <f t="shared" si="57"/>
        <v>891900</v>
      </c>
      <c r="R62" s="76">
        <f t="shared" si="58"/>
        <v>0</v>
      </c>
    </row>
    <row r="63" spans="1:18" ht="16">
      <c r="A63" s="33"/>
      <c r="B63" s="44" t="s">
        <v>18</v>
      </c>
      <c r="C63" s="35"/>
      <c r="D63" s="35"/>
      <c r="E63" s="51">
        <f t="shared" si="52"/>
        <v>0</v>
      </c>
      <c r="F63" s="45"/>
      <c r="G63" s="13" t="e">
        <f t="shared" si="53"/>
        <v>#DIV/0!</v>
      </c>
      <c r="H63" s="35"/>
      <c r="I63" s="38"/>
      <c r="J63" s="35">
        <f t="shared" si="54"/>
        <v>0</v>
      </c>
      <c r="K63" s="50">
        <f t="shared" si="55"/>
        <v>0</v>
      </c>
      <c r="L63" s="46" t="e">
        <f t="shared" si="56"/>
        <v>#DIV/0!</v>
      </c>
      <c r="M63" s="48"/>
      <c r="N63" s="47">
        <f t="shared" si="57"/>
        <v>0</v>
      </c>
      <c r="R63" s="76">
        <f t="shared" si="58"/>
        <v>0</v>
      </c>
    </row>
    <row r="64" spans="1:18" ht="16">
      <c r="A64" s="43"/>
      <c r="B64" s="49" t="s">
        <v>18</v>
      </c>
      <c r="C64" s="10"/>
      <c r="D64" s="50"/>
      <c r="E64" s="51">
        <f t="shared" si="52"/>
        <v>0</v>
      </c>
      <c r="F64" s="45"/>
      <c r="G64" s="13" t="e">
        <f t="shared" si="53"/>
        <v>#DIV/0!</v>
      </c>
      <c r="H64" s="35"/>
      <c r="I64" s="38"/>
      <c r="J64" s="35">
        <f t="shared" si="54"/>
        <v>0</v>
      </c>
      <c r="K64" s="50">
        <f t="shared" si="55"/>
        <v>0</v>
      </c>
      <c r="L64" s="46" t="e">
        <f t="shared" si="56"/>
        <v>#DIV/0!</v>
      </c>
      <c r="M64" s="48"/>
      <c r="N64" s="47">
        <f t="shared" si="57"/>
        <v>0</v>
      </c>
      <c r="R64" s="76">
        <f t="shared" si="58"/>
        <v>0</v>
      </c>
    </row>
    <row r="65" spans="1:18" ht="16">
      <c r="A65" s="33"/>
      <c r="B65" s="44" t="s">
        <v>18</v>
      </c>
      <c r="C65" s="12"/>
      <c r="D65" s="53"/>
      <c r="E65" s="24">
        <f t="shared" si="52"/>
        <v>0</v>
      </c>
      <c r="F65" s="45"/>
      <c r="G65" s="54" t="e">
        <f t="shared" si="53"/>
        <v>#DIV/0!</v>
      </c>
      <c r="H65" s="53"/>
      <c r="I65" s="55"/>
      <c r="J65" s="53">
        <f t="shared" si="54"/>
        <v>0</v>
      </c>
      <c r="K65" s="50">
        <f t="shared" si="55"/>
        <v>0</v>
      </c>
      <c r="L65" s="73" t="e">
        <f t="shared" si="56"/>
        <v>#DIV/0!</v>
      </c>
      <c r="M65" s="48"/>
      <c r="N65" s="57">
        <f t="shared" si="57"/>
        <v>0</v>
      </c>
      <c r="R65" s="76">
        <f t="shared" si="58"/>
        <v>0</v>
      </c>
    </row>
    <row r="66" spans="1:18" ht="16">
      <c r="A66" s="59"/>
      <c r="B66" s="60"/>
      <c r="C66" s="63"/>
      <c r="D66" s="59" t="s">
        <v>19</v>
      </c>
      <c r="E66" s="59">
        <f t="shared" ref="E66:F66" si="59">SUM(E57:E65)</f>
        <v>1946</v>
      </c>
      <c r="F66" s="59">
        <f t="shared" si="59"/>
        <v>262</v>
      </c>
      <c r="G66" s="61" t="e">
        <f>AVERAGE(G57:G65)</f>
        <v>#DIV/0!</v>
      </c>
      <c r="H66" s="59"/>
      <c r="I66" s="62"/>
      <c r="J66" s="59">
        <f t="shared" ref="J66:K66" si="60">SUM(J57:J65)</f>
        <v>-16113</v>
      </c>
      <c r="K66" s="59">
        <f t="shared" si="60"/>
        <v>262</v>
      </c>
      <c r="L66" s="61" t="e">
        <f>AVERAGE(L57:L65)</f>
        <v>#DIV/0!</v>
      </c>
      <c r="M66" s="64"/>
      <c r="N66" s="65">
        <f>SUM(N57:N65)</f>
        <v>5119880</v>
      </c>
      <c r="R66" s="76">
        <f t="shared" si="58"/>
        <v>0</v>
      </c>
    </row>
    <row r="67" spans="1:18" ht="16">
      <c r="A67" s="66">
        <v>45967</v>
      </c>
      <c r="B67" s="34" t="s">
        <v>20</v>
      </c>
      <c r="C67" s="35">
        <v>392052</v>
      </c>
      <c r="D67" s="39">
        <v>392732</v>
      </c>
      <c r="E67" s="36">
        <f t="shared" ref="E67:E70" si="61">D67-C67</f>
        <v>680</v>
      </c>
      <c r="F67" s="37">
        <v>75</v>
      </c>
      <c r="G67" s="13">
        <f t="shared" ref="G67:G73" si="62">(F67/E67)*100</f>
        <v>11.029411764705882</v>
      </c>
      <c r="H67" s="125">
        <v>26094</v>
      </c>
      <c r="I67" s="83">
        <v>26292</v>
      </c>
      <c r="J67" s="39">
        <f t="shared" ref="J67:J73" si="63">I67-H67</f>
        <v>198</v>
      </c>
      <c r="K67" s="77">
        <f t="shared" ref="K67:K70" si="64">F67</f>
        <v>75</v>
      </c>
      <c r="L67" s="67">
        <f t="shared" ref="L67:L73" si="65">(K67/J67)*100</f>
        <v>37.878787878787875</v>
      </c>
      <c r="M67" s="68">
        <v>19320</v>
      </c>
      <c r="N67" s="42">
        <f t="shared" ref="N67:N70" si="66">F67*M67</f>
        <v>1449000</v>
      </c>
      <c r="R67" s="76">
        <f t="shared" si="58"/>
        <v>0</v>
      </c>
    </row>
    <row r="68" spans="1:18" ht="16">
      <c r="A68" s="33">
        <v>45979</v>
      </c>
      <c r="B68" s="44" t="s">
        <v>20</v>
      </c>
      <c r="C68" s="39">
        <v>392732</v>
      </c>
      <c r="D68" s="35">
        <v>393250</v>
      </c>
      <c r="E68" s="11">
        <f t="shared" si="61"/>
        <v>518</v>
      </c>
      <c r="F68" s="45">
        <v>64</v>
      </c>
      <c r="G68" s="13">
        <f t="shared" si="62"/>
        <v>12.355212355212355</v>
      </c>
      <c r="H68" s="83">
        <v>26292</v>
      </c>
      <c r="I68" s="83">
        <v>26797</v>
      </c>
      <c r="J68" s="35">
        <f t="shared" si="63"/>
        <v>505</v>
      </c>
      <c r="K68" s="50">
        <f t="shared" si="64"/>
        <v>64</v>
      </c>
      <c r="L68" s="46">
        <f t="shared" si="65"/>
        <v>12.673267326732674</v>
      </c>
      <c r="M68" s="48">
        <v>19860</v>
      </c>
      <c r="N68" s="47">
        <f t="shared" si="66"/>
        <v>1271040</v>
      </c>
      <c r="R68" s="76">
        <f t="shared" si="58"/>
        <v>0</v>
      </c>
    </row>
    <row r="69" spans="1:18" ht="16">
      <c r="A69" s="33">
        <v>45986</v>
      </c>
      <c r="B69" s="44" t="s">
        <v>20</v>
      </c>
      <c r="C69" s="35">
        <v>393250</v>
      </c>
      <c r="D69" s="35">
        <v>393946</v>
      </c>
      <c r="E69" s="11">
        <f t="shared" si="61"/>
        <v>696</v>
      </c>
      <c r="F69" s="45">
        <v>85</v>
      </c>
      <c r="G69" s="13">
        <f t="shared" si="62"/>
        <v>12.212643678160919</v>
      </c>
      <c r="H69" s="83">
        <v>26797</v>
      </c>
      <c r="I69" s="38">
        <v>27477</v>
      </c>
      <c r="J69" s="35">
        <f t="shared" si="63"/>
        <v>680</v>
      </c>
      <c r="K69" s="50">
        <f t="shared" si="64"/>
        <v>85</v>
      </c>
      <c r="L69" s="46">
        <f t="shared" si="65"/>
        <v>12.5</v>
      </c>
      <c r="M69" s="48">
        <v>19820</v>
      </c>
      <c r="N69" s="47">
        <f t="shared" si="66"/>
        <v>1684700</v>
      </c>
      <c r="R69" s="76">
        <f t="shared" si="58"/>
        <v>0</v>
      </c>
    </row>
    <row r="70" spans="1:18" ht="16">
      <c r="A70" s="33"/>
      <c r="B70" s="44" t="s">
        <v>20</v>
      </c>
      <c r="C70" s="35"/>
      <c r="D70" s="35"/>
      <c r="E70" s="11">
        <f t="shared" si="61"/>
        <v>0</v>
      </c>
      <c r="F70" s="45"/>
      <c r="G70" s="13" t="e">
        <f t="shared" si="62"/>
        <v>#DIV/0!</v>
      </c>
      <c r="H70" s="38"/>
      <c r="I70" s="38"/>
      <c r="J70" s="35">
        <f t="shared" si="63"/>
        <v>0</v>
      </c>
      <c r="K70" s="50">
        <f t="shared" si="64"/>
        <v>0</v>
      </c>
      <c r="L70" s="46" t="e">
        <f t="shared" si="65"/>
        <v>#DIV/0!</v>
      </c>
      <c r="M70" s="48"/>
      <c r="N70" s="47">
        <f t="shared" si="66"/>
        <v>0</v>
      </c>
      <c r="R70" s="76">
        <f t="shared" si="58"/>
        <v>0</v>
      </c>
    </row>
    <row r="71" spans="1:18" ht="16">
      <c r="A71" s="33"/>
      <c r="B71" s="44" t="s">
        <v>20</v>
      </c>
      <c r="C71" s="35"/>
      <c r="D71" s="35"/>
      <c r="E71" s="11"/>
      <c r="F71" s="45"/>
      <c r="G71" s="13" t="e">
        <f t="shared" si="62"/>
        <v>#DIV/0!</v>
      </c>
      <c r="H71" s="35"/>
      <c r="I71" s="38"/>
      <c r="J71" s="35">
        <f t="shared" si="63"/>
        <v>0</v>
      </c>
      <c r="K71" s="50"/>
      <c r="L71" s="46" t="e">
        <f t="shared" si="65"/>
        <v>#DIV/0!</v>
      </c>
      <c r="M71" s="48"/>
      <c r="N71" s="47">
        <f>M71*K71</f>
        <v>0</v>
      </c>
      <c r="R71" s="76">
        <f t="shared" si="58"/>
        <v>0</v>
      </c>
    </row>
    <row r="72" spans="1:18" ht="16">
      <c r="A72" s="33"/>
      <c r="B72" s="44" t="s">
        <v>20</v>
      </c>
      <c r="C72" s="35"/>
      <c r="D72" s="35"/>
      <c r="E72" s="11">
        <f t="shared" ref="E72:E73" si="67">D72-C72</f>
        <v>0</v>
      </c>
      <c r="F72" s="84"/>
      <c r="G72" s="13" t="e">
        <f t="shared" si="62"/>
        <v>#DIV/0!</v>
      </c>
      <c r="H72" s="35"/>
      <c r="I72" s="38"/>
      <c r="J72" s="35">
        <f t="shared" si="63"/>
        <v>0</v>
      </c>
      <c r="K72" s="50">
        <f t="shared" ref="K72:K73" si="68">F72</f>
        <v>0</v>
      </c>
      <c r="L72" s="46" t="e">
        <f t="shared" si="65"/>
        <v>#DIV/0!</v>
      </c>
      <c r="M72" s="48"/>
      <c r="N72" s="47">
        <f t="shared" ref="N72:N73" si="69">F72*M72</f>
        <v>0</v>
      </c>
      <c r="R72" s="76">
        <f t="shared" si="58"/>
        <v>0</v>
      </c>
    </row>
    <row r="73" spans="1:18" ht="16">
      <c r="A73" s="87"/>
      <c r="B73" s="239"/>
      <c r="C73" s="53"/>
      <c r="D73" s="53"/>
      <c r="E73" s="24">
        <f t="shared" si="67"/>
        <v>0</v>
      </c>
      <c r="F73" s="45"/>
      <c r="G73" s="54" t="e">
        <f t="shared" si="62"/>
        <v>#DIV/0!</v>
      </c>
      <c r="H73" s="53"/>
      <c r="I73" s="55"/>
      <c r="J73" s="53">
        <f t="shared" si="63"/>
        <v>0</v>
      </c>
      <c r="K73" s="50">
        <f t="shared" si="68"/>
        <v>0</v>
      </c>
      <c r="L73" s="73" t="e">
        <f t="shared" si="65"/>
        <v>#DIV/0!</v>
      </c>
      <c r="M73" s="56"/>
      <c r="N73" s="57">
        <f t="shared" si="69"/>
        <v>0</v>
      </c>
      <c r="R73" s="76">
        <f t="shared" si="58"/>
        <v>0</v>
      </c>
    </row>
    <row r="74" spans="1:18" ht="16">
      <c r="A74" s="59"/>
      <c r="B74" s="60"/>
      <c r="C74" s="59"/>
      <c r="D74" s="59" t="s">
        <v>19</v>
      </c>
      <c r="E74" s="59">
        <f>SUM(E67:E73)</f>
        <v>1894</v>
      </c>
      <c r="F74" s="37"/>
      <c r="G74" s="61" t="e">
        <f>AVERAGE(G67:G73)</f>
        <v>#DIV/0!</v>
      </c>
      <c r="H74" s="59"/>
      <c r="I74" s="62"/>
      <c r="J74" s="59">
        <f>SUM(J67:J73)</f>
        <v>1383</v>
      </c>
      <c r="K74" s="59">
        <f>SUM(K68:K73)</f>
        <v>149</v>
      </c>
      <c r="L74" s="61" t="e">
        <f>AVERAGE(L67:L73)</f>
        <v>#DIV/0!</v>
      </c>
      <c r="M74" s="64"/>
      <c r="N74" s="65">
        <f>SUM(N67:N73)</f>
        <v>4404740</v>
      </c>
      <c r="R74" s="76">
        <f t="shared" si="58"/>
        <v>0</v>
      </c>
    </row>
    <row r="75" spans="1:18" ht="16">
      <c r="A75" s="85">
        <v>45964</v>
      </c>
      <c r="B75" s="34" t="s">
        <v>21</v>
      </c>
      <c r="C75" s="35">
        <v>372528</v>
      </c>
      <c r="D75" s="39">
        <v>373127</v>
      </c>
      <c r="E75" s="36">
        <f t="shared" ref="E75:E81" si="70">D75-C75</f>
        <v>599</v>
      </c>
      <c r="F75" s="37">
        <v>79</v>
      </c>
      <c r="G75" s="13">
        <f t="shared" ref="G75:G81" si="71">(F75/E75)*100</f>
        <v>13.18864774624374</v>
      </c>
      <c r="H75" s="240">
        <v>16736</v>
      </c>
      <c r="I75" s="243"/>
      <c r="J75" s="39">
        <f t="shared" ref="J75:J81" si="72">I75-H75</f>
        <v>-16736</v>
      </c>
      <c r="K75" s="77">
        <f t="shared" ref="K75:K81" si="73">F75</f>
        <v>79</v>
      </c>
      <c r="L75" s="67">
        <f t="shared" ref="L75:L81" si="74">(K75/J75)*100</f>
        <v>-0.4720363288718929</v>
      </c>
      <c r="M75" s="68">
        <v>19200</v>
      </c>
      <c r="N75" s="42">
        <f t="shared" ref="N75:N81" si="75">F75*M75</f>
        <v>1516800</v>
      </c>
      <c r="R75" s="76">
        <f t="shared" si="58"/>
        <v>0</v>
      </c>
    </row>
    <row r="76" spans="1:18" ht="16">
      <c r="A76" s="86">
        <v>45968</v>
      </c>
      <c r="B76" s="44" t="s">
        <v>21</v>
      </c>
      <c r="C76" s="39">
        <v>373127</v>
      </c>
      <c r="D76" s="35"/>
      <c r="E76" s="11">
        <f t="shared" si="70"/>
        <v>-373127</v>
      </c>
      <c r="F76" s="45">
        <v>74</v>
      </c>
      <c r="G76" s="13">
        <f t="shared" si="71"/>
        <v>-1.983238950812994E-2</v>
      </c>
      <c r="H76" s="240">
        <v>16736</v>
      </c>
      <c r="I76" s="38">
        <v>17140</v>
      </c>
      <c r="J76" s="35">
        <f t="shared" si="72"/>
        <v>404</v>
      </c>
      <c r="K76" s="50">
        <f t="shared" si="73"/>
        <v>74</v>
      </c>
      <c r="L76" s="46">
        <f t="shared" si="74"/>
        <v>18.316831683168317</v>
      </c>
      <c r="M76" s="48">
        <v>19320</v>
      </c>
      <c r="N76" s="47">
        <f t="shared" si="75"/>
        <v>1429680</v>
      </c>
      <c r="R76" s="76">
        <f t="shared" si="58"/>
        <v>0</v>
      </c>
    </row>
    <row r="77" spans="1:18" ht="16">
      <c r="A77" s="86">
        <v>45974</v>
      </c>
      <c r="B77" s="44" t="s">
        <v>21</v>
      </c>
      <c r="C77" s="35"/>
      <c r="D77" s="35"/>
      <c r="E77" s="11">
        <f t="shared" si="70"/>
        <v>0</v>
      </c>
      <c r="F77" s="45">
        <v>75</v>
      </c>
      <c r="G77" s="13" t="e">
        <f t="shared" si="71"/>
        <v>#DIV/0!</v>
      </c>
      <c r="H77" s="38">
        <v>17140</v>
      </c>
      <c r="I77" s="38">
        <v>17797</v>
      </c>
      <c r="J77" s="35">
        <f t="shared" si="72"/>
        <v>657</v>
      </c>
      <c r="K77" s="50">
        <f t="shared" si="73"/>
        <v>75</v>
      </c>
      <c r="L77" s="46">
        <f t="shared" si="74"/>
        <v>11.415525114155251</v>
      </c>
      <c r="M77" s="48">
        <v>19860</v>
      </c>
      <c r="N77" s="47">
        <f t="shared" si="75"/>
        <v>1489500</v>
      </c>
      <c r="R77" s="76">
        <f t="shared" si="58"/>
        <v>0</v>
      </c>
    </row>
    <row r="78" spans="1:18" ht="16">
      <c r="A78" s="86">
        <v>45981</v>
      </c>
      <c r="B78" s="44" t="s">
        <v>21</v>
      </c>
      <c r="C78" s="35"/>
      <c r="D78" s="35"/>
      <c r="E78" s="11">
        <f t="shared" si="70"/>
        <v>0</v>
      </c>
      <c r="F78" s="45">
        <v>77</v>
      </c>
      <c r="G78" s="13" t="e">
        <f t="shared" si="71"/>
        <v>#DIV/0!</v>
      </c>
      <c r="H78" s="38">
        <v>17797</v>
      </c>
      <c r="I78" s="38">
        <v>18281</v>
      </c>
      <c r="J78" s="35">
        <f t="shared" si="72"/>
        <v>484</v>
      </c>
      <c r="K78" s="50">
        <f t="shared" si="73"/>
        <v>77</v>
      </c>
      <c r="L78" s="46">
        <f t="shared" si="74"/>
        <v>15.909090909090908</v>
      </c>
      <c r="M78" s="48">
        <v>19820</v>
      </c>
      <c r="N78" s="47">
        <f t="shared" si="75"/>
        <v>1526140</v>
      </c>
      <c r="R78" s="76">
        <f t="shared" si="58"/>
        <v>0</v>
      </c>
    </row>
    <row r="79" spans="1:18" ht="16">
      <c r="A79" s="33">
        <v>45989</v>
      </c>
      <c r="B79" s="44" t="s">
        <v>21</v>
      </c>
      <c r="C79" s="35"/>
      <c r="D79" s="35">
        <v>375459</v>
      </c>
      <c r="E79" s="11">
        <f t="shared" si="70"/>
        <v>375459</v>
      </c>
      <c r="F79" s="45">
        <v>78</v>
      </c>
      <c r="G79" s="13">
        <f t="shared" si="71"/>
        <v>2.0774571923965066E-2</v>
      </c>
      <c r="H79" s="38">
        <v>18281</v>
      </c>
      <c r="I79" s="38">
        <v>18829</v>
      </c>
      <c r="J79" s="35">
        <f t="shared" si="72"/>
        <v>548</v>
      </c>
      <c r="K79" s="50">
        <f t="shared" si="73"/>
        <v>78</v>
      </c>
      <c r="L79" s="46">
        <f t="shared" si="74"/>
        <v>14.233576642335766</v>
      </c>
      <c r="M79" s="48">
        <v>18800</v>
      </c>
      <c r="N79" s="47">
        <f t="shared" si="75"/>
        <v>1466400</v>
      </c>
      <c r="R79" s="76">
        <f t="shared" si="58"/>
        <v>0</v>
      </c>
    </row>
    <row r="80" spans="1:18" ht="16">
      <c r="A80" s="86"/>
      <c r="B80" s="44" t="s">
        <v>37</v>
      </c>
      <c r="C80" s="35"/>
      <c r="D80" s="35"/>
      <c r="E80" s="11">
        <f t="shared" si="70"/>
        <v>0</v>
      </c>
      <c r="F80" s="45"/>
      <c r="G80" s="13" t="e">
        <f t="shared" si="71"/>
        <v>#DIV/0!</v>
      </c>
      <c r="H80" s="35"/>
      <c r="I80" s="38"/>
      <c r="J80" s="35">
        <f t="shared" si="72"/>
        <v>0</v>
      </c>
      <c r="K80" s="50">
        <f t="shared" si="73"/>
        <v>0</v>
      </c>
      <c r="L80" s="46" t="e">
        <f t="shared" si="74"/>
        <v>#DIV/0!</v>
      </c>
      <c r="M80" s="48"/>
      <c r="N80" s="47">
        <f t="shared" si="75"/>
        <v>0</v>
      </c>
      <c r="R80" s="76">
        <f t="shared" si="58"/>
        <v>0</v>
      </c>
    </row>
    <row r="81" spans="1:18" ht="16">
      <c r="A81" s="87"/>
      <c r="B81" s="239"/>
      <c r="C81" s="53"/>
      <c r="D81" s="53"/>
      <c r="E81" s="24">
        <f t="shared" si="70"/>
        <v>0</v>
      </c>
      <c r="F81" s="45"/>
      <c r="G81" s="54" t="e">
        <f t="shared" si="71"/>
        <v>#DIV/0!</v>
      </c>
      <c r="H81" s="53"/>
      <c r="I81" s="55"/>
      <c r="J81" s="53">
        <f t="shared" si="72"/>
        <v>0</v>
      </c>
      <c r="K81" s="50">
        <f t="shared" si="73"/>
        <v>0</v>
      </c>
      <c r="L81" s="73" t="e">
        <f t="shared" si="74"/>
        <v>#DIV/0!</v>
      </c>
      <c r="M81" s="56"/>
      <c r="N81" s="57">
        <f t="shared" si="75"/>
        <v>0</v>
      </c>
      <c r="R81" s="76">
        <f t="shared" si="58"/>
        <v>0</v>
      </c>
    </row>
    <row r="82" spans="1:18" ht="16">
      <c r="A82" s="59"/>
      <c r="B82" s="60"/>
      <c r="C82" s="59"/>
      <c r="D82" s="59" t="s">
        <v>19</v>
      </c>
      <c r="E82" s="59">
        <f>SUM(E75:E81)</f>
        <v>2931</v>
      </c>
      <c r="F82" s="37"/>
      <c r="G82" s="61" t="e">
        <f>AVERAGE(G75:G81)</f>
        <v>#DIV/0!</v>
      </c>
      <c r="H82" s="59"/>
      <c r="I82" s="62"/>
      <c r="J82" s="59">
        <f t="shared" ref="J82:K82" si="76">SUM(J75:J81)</f>
        <v>-14643</v>
      </c>
      <c r="K82" s="59">
        <f t="shared" si="76"/>
        <v>383</v>
      </c>
      <c r="L82" s="61" t="e">
        <f>AVERAGE(L75:L81)</f>
        <v>#DIV/0!</v>
      </c>
      <c r="M82" s="64"/>
      <c r="N82" s="65">
        <f>SUM(N75:N81)</f>
        <v>7428520</v>
      </c>
      <c r="R82" s="76">
        <f t="shared" si="58"/>
        <v>0</v>
      </c>
    </row>
    <row r="83" spans="1:18" ht="16">
      <c r="A83" s="66">
        <v>45965</v>
      </c>
      <c r="B83" s="82" t="s">
        <v>22</v>
      </c>
      <c r="C83" s="35">
        <v>206467</v>
      </c>
      <c r="D83" s="12">
        <v>207132</v>
      </c>
      <c r="E83" s="36">
        <f t="shared" ref="E83:E89" si="77">D83-C83</f>
        <v>665</v>
      </c>
      <c r="F83" s="37">
        <v>74</v>
      </c>
      <c r="G83" s="13">
        <f t="shared" ref="G83:G89" si="78">(F83/E83)*100</f>
        <v>11.12781954887218</v>
      </c>
      <c r="H83" s="125"/>
      <c r="I83" s="126"/>
      <c r="J83" s="39">
        <f t="shared" ref="J83:J89" si="79">I83-H83</f>
        <v>0</v>
      </c>
      <c r="K83" s="77">
        <f t="shared" ref="K83:K89" si="80">F83</f>
        <v>74</v>
      </c>
      <c r="L83" s="67" t="e">
        <f t="shared" ref="L83:L89" si="81">(K83/J83)*100</f>
        <v>#DIV/0!</v>
      </c>
      <c r="M83" s="68">
        <v>19200</v>
      </c>
      <c r="N83" s="42">
        <f t="shared" ref="N83:N89" si="82">F83*M83</f>
        <v>1420800</v>
      </c>
      <c r="R83" s="76">
        <f t="shared" si="58"/>
        <v>0</v>
      </c>
    </row>
    <row r="84" spans="1:18" ht="16">
      <c r="A84" s="33">
        <v>45973</v>
      </c>
      <c r="B84" s="44" t="s">
        <v>22</v>
      </c>
      <c r="C84" s="12">
        <v>207132</v>
      </c>
      <c r="D84" s="35">
        <v>207816</v>
      </c>
      <c r="E84" s="11">
        <f t="shared" si="77"/>
        <v>684</v>
      </c>
      <c r="F84" s="45">
        <v>82</v>
      </c>
      <c r="G84" s="13">
        <f t="shared" si="78"/>
        <v>11.988304093567251</v>
      </c>
      <c r="H84" s="38"/>
      <c r="I84" s="38">
        <v>17346</v>
      </c>
      <c r="J84" s="35">
        <f t="shared" si="79"/>
        <v>17346</v>
      </c>
      <c r="K84" s="50">
        <f t="shared" si="80"/>
        <v>82</v>
      </c>
      <c r="L84" s="46">
        <f t="shared" si="81"/>
        <v>0.47273146546754291</v>
      </c>
      <c r="M84" s="48">
        <v>19320</v>
      </c>
      <c r="N84" s="47">
        <f t="shared" si="82"/>
        <v>1584240</v>
      </c>
      <c r="R84" s="76">
        <f t="shared" si="58"/>
        <v>0</v>
      </c>
    </row>
    <row r="85" spans="1:18" ht="16">
      <c r="A85" s="33">
        <v>45980</v>
      </c>
      <c r="B85" s="44" t="s">
        <v>22</v>
      </c>
      <c r="C85" s="35">
        <v>207816</v>
      </c>
      <c r="D85" s="35">
        <v>208483</v>
      </c>
      <c r="E85" s="11">
        <f t="shared" si="77"/>
        <v>667</v>
      </c>
      <c r="F85" s="45">
        <v>83</v>
      </c>
      <c r="G85" s="13">
        <f t="shared" si="78"/>
        <v>12.443778110944528</v>
      </c>
      <c r="H85" s="38">
        <v>17346</v>
      </c>
      <c r="I85" s="38">
        <v>17952</v>
      </c>
      <c r="J85" s="35">
        <f t="shared" si="79"/>
        <v>606</v>
      </c>
      <c r="K85" s="50">
        <f t="shared" si="80"/>
        <v>83</v>
      </c>
      <c r="L85" s="46">
        <f t="shared" si="81"/>
        <v>13.696369636963695</v>
      </c>
      <c r="M85" s="48">
        <v>19860</v>
      </c>
      <c r="N85" s="47">
        <f t="shared" si="82"/>
        <v>1648380</v>
      </c>
      <c r="R85" s="76">
        <f t="shared" si="58"/>
        <v>0</v>
      </c>
    </row>
    <row r="86" spans="1:18" ht="16">
      <c r="A86" s="33">
        <v>45989</v>
      </c>
      <c r="B86" s="44" t="s">
        <v>22</v>
      </c>
      <c r="C86" s="35">
        <v>208483</v>
      </c>
      <c r="D86" s="35">
        <v>209110</v>
      </c>
      <c r="E86" s="11">
        <f t="shared" si="77"/>
        <v>627</v>
      </c>
      <c r="F86" s="45">
        <v>80</v>
      </c>
      <c r="G86" s="13">
        <f t="shared" si="78"/>
        <v>12.759170653907494</v>
      </c>
      <c r="H86" s="38">
        <v>17952</v>
      </c>
      <c r="I86" s="38">
        <v>18585</v>
      </c>
      <c r="J86" s="35">
        <f t="shared" si="79"/>
        <v>633</v>
      </c>
      <c r="K86" s="50">
        <f t="shared" si="80"/>
        <v>80</v>
      </c>
      <c r="L86" s="46">
        <f t="shared" si="81"/>
        <v>12.638230647709319</v>
      </c>
      <c r="M86" s="48">
        <v>18800</v>
      </c>
      <c r="N86" s="47">
        <f t="shared" si="82"/>
        <v>1504000</v>
      </c>
      <c r="R86" s="76">
        <f t="shared" si="58"/>
        <v>0</v>
      </c>
    </row>
    <row r="87" spans="1:18" ht="16">
      <c r="A87" s="33"/>
      <c r="B87" s="44" t="s">
        <v>22</v>
      </c>
      <c r="C87" s="35"/>
      <c r="D87" s="35"/>
      <c r="E87" s="11">
        <f t="shared" si="77"/>
        <v>0</v>
      </c>
      <c r="F87" s="45"/>
      <c r="G87" s="13" t="e">
        <f t="shared" si="78"/>
        <v>#DIV/0!</v>
      </c>
      <c r="H87" s="35"/>
      <c r="I87" s="38"/>
      <c r="J87" s="35">
        <f t="shared" si="79"/>
        <v>0</v>
      </c>
      <c r="K87" s="50">
        <f t="shared" si="80"/>
        <v>0</v>
      </c>
      <c r="L87" s="46" t="e">
        <f t="shared" si="81"/>
        <v>#DIV/0!</v>
      </c>
      <c r="M87" s="48"/>
      <c r="N87" s="47">
        <f t="shared" si="82"/>
        <v>0</v>
      </c>
      <c r="R87" s="76">
        <f t="shared" si="58"/>
        <v>0</v>
      </c>
    </row>
    <row r="88" spans="1:18" ht="16">
      <c r="A88" s="86"/>
      <c r="B88" s="44" t="s">
        <v>22</v>
      </c>
      <c r="C88" s="35"/>
      <c r="D88" s="35"/>
      <c r="E88" s="11">
        <f t="shared" si="77"/>
        <v>0</v>
      </c>
      <c r="F88" s="45"/>
      <c r="G88" s="13" t="e">
        <f t="shared" si="78"/>
        <v>#DIV/0!</v>
      </c>
      <c r="H88" s="35"/>
      <c r="I88" s="38"/>
      <c r="J88" s="35">
        <f t="shared" si="79"/>
        <v>0</v>
      </c>
      <c r="K88" s="50">
        <f t="shared" si="80"/>
        <v>0</v>
      </c>
      <c r="L88" s="46" t="e">
        <f t="shared" si="81"/>
        <v>#DIV/0!</v>
      </c>
      <c r="M88" s="48"/>
      <c r="N88" s="47">
        <f t="shared" si="82"/>
        <v>0</v>
      </c>
      <c r="R88" s="76">
        <f t="shared" si="58"/>
        <v>0</v>
      </c>
    </row>
    <row r="89" spans="1:18" ht="16">
      <c r="A89" s="88"/>
      <c r="B89" s="239"/>
      <c r="C89" s="53"/>
      <c r="D89" s="53"/>
      <c r="E89" s="24">
        <f t="shared" si="77"/>
        <v>0</v>
      </c>
      <c r="F89" s="45"/>
      <c r="G89" s="54" t="e">
        <f t="shared" si="78"/>
        <v>#DIV/0!</v>
      </c>
      <c r="H89" s="53"/>
      <c r="I89" s="55"/>
      <c r="J89" s="53">
        <f t="shared" si="79"/>
        <v>0</v>
      </c>
      <c r="K89" s="50">
        <f t="shared" si="80"/>
        <v>0</v>
      </c>
      <c r="L89" s="73" t="e">
        <f t="shared" si="81"/>
        <v>#DIV/0!</v>
      </c>
      <c r="M89" s="56"/>
      <c r="N89" s="57">
        <f t="shared" si="82"/>
        <v>0</v>
      </c>
      <c r="R89" s="76">
        <f t="shared" si="58"/>
        <v>0</v>
      </c>
    </row>
    <row r="90" spans="1:18" ht="16">
      <c r="A90" s="59"/>
      <c r="B90" s="60"/>
      <c r="C90" s="59"/>
      <c r="D90" s="59" t="s">
        <v>19</v>
      </c>
      <c r="E90" s="59">
        <f>SUM(E83:E89)</f>
        <v>2643</v>
      </c>
      <c r="F90" s="59">
        <f>SUM(F82:F89)</f>
        <v>319</v>
      </c>
      <c r="G90" s="61" t="e">
        <f>AVERAGE(G83:G89)</f>
        <v>#DIV/0!</v>
      </c>
      <c r="H90" s="59"/>
      <c r="I90" s="62"/>
      <c r="J90" s="59">
        <f t="shared" ref="J90:K90" si="83">SUM(J83:J89)</f>
        <v>18585</v>
      </c>
      <c r="K90" s="59">
        <f t="shared" si="83"/>
        <v>319</v>
      </c>
      <c r="L90" s="61" t="e">
        <f>AVERAGE(L83:L89)</f>
        <v>#DIV/0!</v>
      </c>
      <c r="M90" s="64"/>
      <c r="N90" s="65">
        <f>SUM(N83:N89)</f>
        <v>6157420</v>
      </c>
      <c r="R90" s="76">
        <f t="shared" si="58"/>
        <v>0</v>
      </c>
    </row>
    <row r="91" spans="1:18" ht="16">
      <c r="A91" s="89">
        <v>45968</v>
      </c>
      <c r="B91" s="90" t="s">
        <v>38</v>
      </c>
      <c r="C91" s="91">
        <v>163506</v>
      </c>
      <c r="D91" s="39">
        <v>164133</v>
      </c>
      <c r="E91" s="36">
        <f t="shared" ref="E91:E96" si="84">D91-C91</f>
        <v>627</v>
      </c>
      <c r="F91" s="37">
        <v>70</v>
      </c>
      <c r="G91" s="13">
        <f t="shared" ref="G91:G96" si="85">(F91/E91)*100</f>
        <v>11.164274322169058</v>
      </c>
      <c r="H91" s="125">
        <v>19667</v>
      </c>
      <c r="I91" s="77">
        <v>19798</v>
      </c>
      <c r="J91" s="39">
        <f t="shared" ref="J91:J96" si="86">I91-H91</f>
        <v>131</v>
      </c>
      <c r="K91" s="77">
        <f t="shared" ref="K91:K96" si="87">F91</f>
        <v>70</v>
      </c>
      <c r="L91" s="67">
        <f t="shared" ref="L91:L96" si="88">(K91/J91)*100</f>
        <v>53.435114503816791</v>
      </c>
      <c r="M91" s="68">
        <v>19320</v>
      </c>
      <c r="N91" s="42">
        <f t="shared" ref="N91:N96" si="89">F91*M91</f>
        <v>1352400</v>
      </c>
      <c r="R91" s="76">
        <f t="shared" si="58"/>
        <v>0</v>
      </c>
    </row>
    <row r="92" spans="1:18" ht="16">
      <c r="A92" s="80">
        <v>45974</v>
      </c>
      <c r="B92" s="44" t="s">
        <v>38</v>
      </c>
      <c r="C92" s="39">
        <v>164133</v>
      </c>
      <c r="D92" s="35">
        <v>164670</v>
      </c>
      <c r="E92" s="11">
        <f t="shared" si="84"/>
        <v>537</v>
      </c>
      <c r="F92" s="45">
        <v>69</v>
      </c>
      <c r="G92" s="13">
        <f t="shared" si="85"/>
        <v>12.849162011173185</v>
      </c>
      <c r="H92" s="77">
        <v>19798</v>
      </c>
      <c r="I92" s="38">
        <v>20312</v>
      </c>
      <c r="J92" s="35">
        <f t="shared" si="86"/>
        <v>514</v>
      </c>
      <c r="K92" s="50">
        <f t="shared" si="87"/>
        <v>69</v>
      </c>
      <c r="L92" s="46">
        <f t="shared" si="88"/>
        <v>13.424124513618677</v>
      </c>
      <c r="M92" s="48">
        <v>19320</v>
      </c>
      <c r="N92" s="47">
        <f t="shared" si="89"/>
        <v>1333080</v>
      </c>
      <c r="R92" s="76">
        <f t="shared" si="58"/>
        <v>0</v>
      </c>
    </row>
    <row r="93" spans="1:18" ht="16">
      <c r="A93" s="80">
        <v>45986</v>
      </c>
      <c r="B93" s="44" t="s">
        <v>38</v>
      </c>
      <c r="C93" s="35">
        <v>164670</v>
      </c>
      <c r="D93" s="35">
        <v>165333</v>
      </c>
      <c r="E93" s="11">
        <f t="shared" si="84"/>
        <v>663</v>
      </c>
      <c r="F93" s="45">
        <v>77</v>
      </c>
      <c r="G93" s="13">
        <f t="shared" si="85"/>
        <v>11.613876319758672</v>
      </c>
      <c r="H93" s="38">
        <v>20312</v>
      </c>
      <c r="I93" s="38">
        <v>21012</v>
      </c>
      <c r="J93" s="35">
        <f t="shared" si="86"/>
        <v>700</v>
      </c>
      <c r="K93" s="50">
        <f t="shared" si="87"/>
        <v>77</v>
      </c>
      <c r="L93" s="46">
        <f t="shared" si="88"/>
        <v>11</v>
      </c>
      <c r="M93" s="48">
        <v>19820</v>
      </c>
      <c r="N93" s="47">
        <f t="shared" si="89"/>
        <v>1526140</v>
      </c>
      <c r="R93" s="76">
        <f t="shared" si="58"/>
        <v>0</v>
      </c>
    </row>
    <row r="94" spans="1:18" ht="16">
      <c r="A94" s="80"/>
      <c r="B94" s="44" t="s">
        <v>38</v>
      </c>
      <c r="C94" s="248"/>
      <c r="D94" s="35"/>
      <c r="E94" s="11">
        <f t="shared" si="84"/>
        <v>0</v>
      </c>
      <c r="F94" s="45"/>
      <c r="G94" s="13" t="e">
        <f t="shared" si="85"/>
        <v>#DIV/0!</v>
      </c>
      <c r="H94" s="38"/>
      <c r="I94" s="38"/>
      <c r="J94" s="35">
        <f t="shared" si="86"/>
        <v>0</v>
      </c>
      <c r="K94" s="50">
        <f t="shared" si="87"/>
        <v>0</v>
      </c>
      <c r="L94" s="46" t="e">
        <f t="shared" si="88"/>
        <v>#DIV/0!</v>
      </c>
      <c r="M94" s="48"/>
      <c r="N94" s="47">
        <f t="shared" si="89"/>
        <v>0</v>
      </c>
      <c r="R94" s="76">
        <f t="shared" si="58"/>
        <v>0</v>
      </c>
    </row>
    <row r="95" spans="1:18" ht="16">
      <c r="A95" s="80"/>
      <c r="B95" s="44" t="s">
        <v>38</v>
      </c>
      <c r="C95" s="35"/>
      <c r="D95" s="91"/>
      <c r="E95" s="11">
        <f t="shared" si="84"/>
        <v>0</v>
      </c>
      <c r="F95" s="45"/>
      <c r="G95" s="13" t="e">
        <f t="shared" si="85"/>
        <v>#DIV/0!</v>
      </c>
      <c r="H95" s="35"/>
      <c r="I95" s="38"/>
      <c r="J95" s="35">
        <f t="shared" si="86"/>
        <v>0</v>
      </c>
      <c r="K95" s="50">
        <f t="shared" si="87"/>
        <v>0</v>
      </c>
      <c r="L95" s="46" t="e">
        <f t="shared" si="88"/>
        <v>#DIV/0!</v>
      </c>
      <c r="M95" s="48"/>
      <c r="N95" s="47">
        <f t="shared" si="89"/>
        <v>0</v>
      </c>
      <c r="R95" s="76">
        <f t="shared" si="58"/>
        <v>0</v>
      </c>
    </row>
    <row r="96" spans="1:18" ht="16">
      <c r="A96" s="92"/>
      <c r="B96" s="93" t="s">
        <v>38</v>
      </c>
      <c r="C96" s="94"/>
      <c r="D96" s="95"/>
      <c r="E96" s="11">
        <f t="shared" si="84"/>
        <v>0</v>
      </c>
      <c r="F96" s="45"/>
      <c r="G96" s="96" t="e">
        <f t="shared" si="85"/>
        <v>#DIV/0!</v>
      </c>
      <c r="H96" s="97"/>
      <c r="I96" s="98"/>
      <c r="J96" s="97">
        <f t="shared" si="86"/>
        <v>0</v>
      </c>
      <c r="K96" s="50">
        <f t="shared" si="87"/>
        <v>0</v>
      </c>
      <c r="L96" s="99" t="e">
        <f t="shared" si="88"/>
        <v>#DIV/0!</v>
      </c>
      <c r="M96" s="100"/>
      <c r="N96" s="101">
        <f t="shared" si="89"/>
        <v>0</v>
      </c>
      <c r="R96" s="76">
        <f t="shared" si="58"/>
        <v>0</v>
      </c>
    </row>
    <row r="97" spans="1:26" ht="16">
      <c r="A97" s="102"/>
      <c r="B97" s="103"/>
      <c r="C97" s="104"/>
      <c r="D97" s="105" t="s">
        <v>19</v>
      </c>
      <c r="E97" s="106">
        <f>SUM(E91:E96)</f>
        <v>1827</v>
      </c>
      <c r="F97" s="59">
        <f>SUM(F89:F96)</f>
        <v>535</v>
      </c>
      <c r="G97" s="107" t="e">
        <f>AVERAGE(G91:G96)</f>
        <v>#DIV/0!</v>
      </c>
      <c r="H97" s="104"/>
      <c r="I97" s="108"/>
      <c r="J97" s="105">
        <f t="shared" ref="J97:K97" si="90">SUM(J91:J96)</f>
        <v>1345</v>
      </c>
      <c r="K97" s="105">
        <f t="shared" si="90"/>
        <v>216</v>
      </c>
      <c r="L97" s="109" t="e">
        <f>AVERAGE(L91:L96)</f>
        <v>#DIV/0!</v>
      </c>
      <c r="M97" s="110"/>
      <c r="N97" s="241">
        <f>SUM(N91:N96)</f>
        <v>4211620</v>
      </c>
      <c r="R97" s="76">
        <f t="shared" si="58"/>
        <v>0</v>
      </c>
    </row>
    <row r="98" spans="1:26" ht="16">
      <c r="A98" s="112">
        <v>45971</v>
      </c>
      <c r="B98" s="113" t="s">
        <v>39</v>
      </c>
      <c r="C98" s="35">
        <v>114535</v>
      </c>
      <c r="D98" s="83">
        <v>115309</v>
      </c>
      <c r="E98" s="36">
        <f t="shared" ref="E98:E104" si="91">D98-C98</f>
        <v>774</v>
      </c>
      <c r="F98" s="37">
        <v>85</v>
      </c>
      <c r="G98" s="114">
        <f t="shared" ref="G98:G104" si="92">(F98/E98)*100</f>
        <v>10.981912144702841</v>
      </c>
      <c r="H98" s="125">
        <v>20939</v>
      </c>
      <c r="I98" s="243">
        <v>21430</v>
      </c>
      <c r="J98" s="83">
        <f t="shared" ref="J98:J104" si="93">I98-H98</f>
        <v>491</v>
      </c>
      <c r="K98" s="77">
        <v>85</v>
      </c>
      <c r="L98" s="115">
        <f t="shared" ref="L98:L104" si="94">(K98/J98)*100</f>
        <v>17.311608961303463</v>
      </c>
      <c r="M98" s="116">
        <v>19320</v>
      </c>
      <c r="N98" s="242">
        <f t="shared" ref="N98:N104" si="95">F98*M98</f>
        <v>1642200</v>
      </c>
      <c r="R98" s="76">
        <f t="shared" si="58"/>
        <v>0</v>
      </c>
    </row>
    <row r="99" spans="1:26" ht="16">
      <c r="A99" s="117">
        <v>45978</v>
      </c>
      <c r="B99" s="44" t="s">
        <v>39</v>
      </c>
      <c r="C99" s="83">
        <v>115309</v>
      </c>
      <c r="D99" s="35">
        <v>116064</v>
      </c>
      <c r="E99" s="11">
        <f t="shared" si="91"/>
        <v>755</v>
      </c>
      <c r="F99" s="45">
        <v>81</v>
      </c>
      <c r="G99" s="13">
        <f t="shared" si="92"/>
        <v>10.728476821192052</v>
      </c>
      <c r="H99" s="243">
        <v>21430</v>
      </c>
      <c r="I99" s="15">
        <v>22073</v>
      </c>
      <c r="J99" s="35">
        <f t="shared" si="93"/>
        <v>643</v>
      </c>
      <c r="K99" s="77">
        <v>81</v>
      </c>
      <c r="L99" s="46">
        <f t="shared" si="94"/>
        <v>12.597200622083982</v>
      </c>
      <c r="M99" s="48">
        <v>19860</v>
      </c>
      <c r="N99" s="242">
        <f t="shared" si="95"/>
        <v>1608660</v>
      </c>
      <c r="R99" s="76">
        <f t="shared" si="58"/>
        <v>0</v>
      </c>
      <c r="S99" s="229"/>
      <c r="T99" s="229"/>
      <c r="U99" s="229"/>
      <c r="V99" s="229"/>
      <c r="W99" s="229"/>
      <c r="X99" s="229"/>
      <c r="Y99" s="229"/>
      <c r="Z99" s="229"/>
    </row>
    <row r="100" spans="1:26" ht="16">
      <c r="A100" s="117">
        <v>45987</v>
      </c>
      <c r="B100" s="44" t="s">
        <v>39</v>
      </c>
      <c r="C100" s="35">
        <v>116064</v>
      </c>
      <c r="D100" s="35">
        <v>116865</v>
      </c>
      <c r="E100" s="11">
        <f t="shared" si="91"/>
        <v>801</v>
      </c>
      <c r="F100" s="45">
        <v>86</v>
      </c>
      <c r="G100" s="13">
        <f t="shared" si="92"/>
        <v>10.736579275905118</v>
      </c>
      <c r="H100" s="15">
        <v>22073</v>
      </c>
      <c r="I100" s="38">
        <v>22862</v>
      </c>
      <c r="J100" s="35">
        <f t="shared" si="93"/>
        <v>789</v>
      </c>
      <c r="K100" s="50">
        <f>F100</f>
        <v>86</v>
      </c>
      <c r="L100" s="46">
        <f t="shared" si="94"/>
        <v>10.899873257287707</v>
      </c>
      <c r="M100" s="48">
        <v>19820</v>
      </c>
      <c r="N100" s="242">
        <f t="shared" si="95"/>
        <v>1704520</v>
      </c>
      <c r="P100" s="78"/>
      <c r="R100" s="76">
        <f t="shared" si="58"/>
        <v>0</v>
      </c>
    </row>
    <row r="101" spans="1:26" ht="16">
      <c r="A101" s="117"/>
      <c r="B101" s="44" t="s">
        <v>39</v>
      </c>
      <c r="C101" s="35"/>
      <c r="D101" s="35"/>
      <c r="E101" s="11">
        <f t="shared" si="91"/>
        <v>0</v>
      </c>
      <c r="F101" s="45"/>
      <c r="G101" s="13" t="e">
        <f t="shared" si="92"/>
        <v>#DIV/0!</v>
      </c>
      <c r="H101" s="35"/>
      <c r="I101" s="38"/>
      <c r="J101" s="35">
        <f t="shared" si="93"/>
        <v>0</v>
      </c>
      <c r="K101" s="77"/>
      <c r="L101" s="46" t="e">
        <f t="shared" si="94"/>
        <v>#DIV/0!</v>
      </c>
      <c r="M101" s="48"/>
      <c r="N101" s="47">
        <f t="shared" si="95"/>
        <v>0</v>
      </c>
      <c r="R101" s="76">
        <f t="shared" si="58"/>
        <v>0</v>
      </c>
    </row>
    <row r="102" spans="1:26" ht="16">
      <c r="A102" s="33"/>
      <c r="B102" s="44" t="s">
        <v>39</v>
      </c>
      <c r="C102" s="35"/>
      <c r="D102" s="35"/>
      <c r="E102" s="11">
        <f t="shared" si="91"/>
        <v>0</v>
      </c>
      <c r="F102" s="45"/>
      <c r="G102" s="13" t="e">
        <f t="shared" si="92"/>
        <v>#DIV/0!</v>
      </c>
      <c r="H102" s="35"/>
      <c r="I102" s="38"/>
      <c r="J102" s="35">
        <f t="shared" si="93"/>
        <v>0</v>
      </c>
      <c r="K102" s="77"/>
      <c r="L102" s="46" t="e">
        <f t="shared" si="94"/>
        <v>#DIV/0!</v>
      </c>
      <c r="M102" s="48"/>
      <c r="N102" s="47">
        <f t="shared" si="95"/>
        <v>0</v>
      </c>
      <c r="R102" s="76">
        <f t="shared" si="58"/>
        <v>0</v>
      </c>
    </row>
    <row r="103" spans="1:26" ht="16">
      <c r="A103" s="230"/>
      <c r="B103" s="44" t="s">
        <v>39</v>
      </c>
      <c r="C103" s="35"/>
      <c r="D103" s="35"/>
      <c r="E103" s="11">
        <f t="shared" si="91"/>
        <v>0</v>
      </c>
      <c r="F103" s="45"/>
      <c r="G103" s="13" t="e">
        <f t="shared" si="92"/>
        <v>#DIV/0!</v>
      </c>
      <c r="H103" s="35"/>
      <c r="I103" s="38"/>
      <c r="J103" s="35">
        <f t="shared" si="93"/>
        <v>0</v>
      </c>
      <c r="K103" s="77"/>
      <c r="L103" s="46" t="e">
        <f t="shared" si="94"/>
        <v>#DIV/0!</v>
      </c>
      <c r="M103" s="48"/>
      <c r="N103" s="47">
        <f t="shared" si="95"/>
        <v>0</v>
      </c>
      <c r="R103" s="76">
        <f t="shared" si="58"/>
        <v>0</v>
      </c>
    </row>
    <row r="104" spans="1:26" ht="16">
      <c r="A104" s="87"/>
      <c r="B104" s="239"/>
      <c r="C104" s="53"/>
      <c r="D104" s="53"/>
      <c r="E104" s="24">
        <f t="shared" si="91"/>
        <v>0</v>
      </c>
      <c r="F104" s="45"/>
      <c r="G104" s="54" t="e">
        <f t="shared" si="92"/>
        <v>#DIV/0!</v>
      </c>
      <c r="H104" s="53"/>
      <c r="I104" s="55"/>
      <c r="J104" s="53">
        <f t="shared" si="93"/>
        <v>0</v>
      </c>
      <c r="K104" s="77"/>
      <c r="L104" s="73" t="e">
        <f t="shared" si="94"/>
        <v>#DIV/0!</v>
      </c>
      <c r="M104" s="56"/>
      <c r="N104" s="57">
        <f t="shared" si="95"/>
        <v>0</v>
      </c>
      <c r="R104" s="76">
        <f t="shared" si="58"/>
        <v>0</v>
      </c>
    </row>
    <row r="105" spans="1:26" ht="16">
      <c r="A105" s="59"/>
      <c r="B105" s="60"/>
      <c r="C105" s="59"/>
      <c r="D105" s="59" t="s">
        <v>19</v>
      </c>
      <c r="E105" s="59">
        <f>SUM(E91:E104)</f>
        <v>5984</v>
      </c>
      <c r="F105" s="59">
        <f>SUM(F97:F104)</f>
        <v>787</v>
      </c>
      <c r="G105" s="61" t="e">
        <f>AVERAGE(G91:G104)</f>
        <v>#DIV/0!</v>
      </c>
      <c r="H105" s="59"/>
      <c r="I105" s="62"/>
      <c r="J105" s="59">
        <f t="shared" ref="J105:K105" si="96">SUM(J91:J104)</f>
        <v>4613</v>
      </c>
      <c r="K105" s="59">
        <f t="shared" si="96"/>
        <v>684</v>
      </c>
      <c r="L105" s="61" t="e">
        <f>AVERAGE(L91:L104)</f>
        <v>#DIV/0!</v>
      </c>
      <c r="M105" s="64"/>
      <c r="N105" s="65">
        <f>SUM(N98:N104)</f>
        <v>4955380</v>
      </c>
      <c r="R105" s="76">
        <f t="shared" si="58"/>
        <v>0</v>
      </c>
    </row>
    <row r="106" spans="1:26" ht="16">
      <c r="A106" s="66">
        <v>45963</v>
      </c>
      <c r="B106" s="90" t="s">
        <v>40</v>
      </c>
      <c r="C106" s="12">
        <v>109963</v>
      </c>
      <c r="D106" s="12">
        <v>110652</v>
      </c>
      <c r="E106" s="36">
        <f t="shared" ref="E106:E112" si="97">D106-C106</f>
        <v>689</v>
      </c>
      <c r="F106" s="37">
        <v>78</v>
      </c>
      <c r="G106" s="13">
        <f t="shared" ref="G106:G112" si="98">(F106/E106)*100</f>
        <v>11.320754716981133</v>
      </c>
      <c r="H106" s="125">
        <v>109825</v>
      </c>
      <c r="I106" s="246"/>
      <c r="J106" s="39">
        <f t="shared" ref="J106:J112" si="99">I106-H106</f>
        <v>-109825</v>
      </c>
      <c r="K106" s="77">
        <f t="shared" ref="K106:K112" si="100">F106</f>
        <v>78</v>
      </c>
      <c r="L106" s="67">
        <f t="shared" ref="L106:L112" si="101">(K106/J106)*100</f>
        <v>-7.102208058274527E-2</v>
      </c>
      <c r="M106" s="68">
        <v>19200</v>
      </c>
      <c r="N106" s="42">
        <f t="shared" ref="N106:N112" si="102">F106*M106</f>
        <v>1497600</v>
      </c>
      <c r="R106" s="76">
        <f t="shared" si="58"/>
        <v>0</v>
      </c>
    </row>
    <row r="107" spans="1:26" ht="16">
      <c r="A107" s="43">
        <v>45967</v>
      </c>
      <c r="B107" s="49" t="s">
        <v>40</v>
      </c>
      <c r="C107" s="12">
        <v>110652</v>
      </c>
      <c r="D107" s="10">
        <v>111310</v>
      </c>
      <c r="E107" s="51">
        <f t="shared" si="97"/>
        <v>658</v>
      </c>
      <c r="F107" s="52">
        <v>79</v>
      </c>
      <c r="G107" s="13">
        <f t="shared" si="98"/>
        <v>12.006079027355623</v>
      </c>
      <c r="H107" s="125">
        <v>109825</v>
      </c>
      <c r="I107" s="38">
        <v>110025</v>
      </c>
      <c r="J107" s="35">
        <f t="shared" si="99"/>
        <v>200</v>
      </c>
      <c r="K107" s="50">
        <f t="shared" si="100"/>
        <v>79</v>
      </c>
      <c r="L107" s="46">
        <f t="shared" si="101"/>
        <v>39.5</v>
      </c>
      <c r="M107" s="48">
        <v>19320</v>
      </c>
      <c r="N107" s="47">
        <f t="shared" si="102"/>
        <v>1526280</v>
      </c>
      <c r="R107" s="76">
        <f t="shared" si="58"/>
        <v>0</v>
      </c>
    </row>
    <row r="108" spans="1:26" ht="16">
      <c r="A108" s="33">
        <v>45973</v>
      </c>
      <c r="B108" s="44" t="s">
        <v>40</v>
      </c>
      <c r="C108" s="10">
        <v>111310</v>
      </c>
      <c r="D108" s="12">
        <v>111985</v>
      </c>
      <c r="E108" s="11">
        <f t="shared" si="97"/>
        <v>675</v>
      </c>
      <c r="F108" s="45">
        <v>75</v>
      </c>
      <c r="G108" s="13">
        <f t="shared" si="98"/>
        <v>11.111111111111111</v>
      </c>
      <c r="H108" s="38">
        <v>110025</v>
      </c>
      <c r="I108" s="38">
        <v>110593</v>
      </c>
      <c r="J108" s="35">
        <f t="shared" si="99"/>
        <v>568</v>
      </c>
      <c r="K108" s="50">
        <f t="shared" si="100"/>
        <v>75</v>
      </c>
      <c r="L108" s="46">
        <f t="shared" si="101"/>
        <v>13.204225352112676</v>
      </c>
      <c r="M108" s="48">
        <v>19320</v>
      </c>
      <c r="N108" s="47">
        <f t="shared" si="102"/>
        <v>1449000</v>
      </c>
      <c r="R108" s="76">
        <f t="shared" si="58"/>
        <v>0</v>
      </c>
    </row>
    <row r="109" spans="1:26" ht="16">
      <c r="A109" s="33">
        <v>45981</v>
      </c>
      <c r="B109" s="44" t="s">
        <v>40</v>
      </c>
      <c r="C109" s="12">
        <v>111985</v>
      </c>
      <c r="D109" s="12">
        <v>112701</v>
      </c>
      <c r="E109" s="11">
        <f t="shared" si="97"/>
        <v>716</v>
      </c>
      <c r="F109" s="45">
        <v>85</v>
      </c>
      <c r="G109" s="13">
        <f t="shared" si="98"/>
        <v>11.871508379888269</v>
      </c>
      <c r="H109" s="38">
        <v>110593</v>
      </c>
      <c r="I109" s="38">
        <v>111250</v>
      </c>
      <c r="J109" s="35">
        <f t="shared" si="99"/>
        <v>657</v>
      </c>
      <c r="K109" s="50">
        <f t="shared" si="100"/>
        <v>85</v>
      </c>
      <c r="L109" s="46">
        <f t="shared" si="101"/>
        <v>12.93759512937595</v>
      </c>
      <c r="M109" s="48">
        <v>19820</v>
      </c>
      <c r="N109" s="47">
        <f t="shared" si="102"/>
        <v>1684700</v>
      </c>
      <c r="R109" s="76">
        <f t="shared" si="58"/>
        <v>0</v>
      </c>
    </row>
    <row r="110" spans="1:26" ht="16">
      <c r="A110" s="33">
        <v>45989</v>
      </c>
      <c r="B110" s="44" t="s">
        <v>40</v>
      </c>
      <c r="C110" s="12">
        <v>112701</v>
      </c>
      <c r="D110" s="35">
        <v>113390</v>
      </c>
      <c r="E110" s="11">
        <f t="shared" si="97"/>
        <v>689</v>
      </c>
      <c r="F110" s="45">
        <v>84</v>
      </c>
      <c r="G110" s="13">
        <f t="shared" si="98"/>
        <v>12.191582002902758</v>
      </c>
      <c r="H110" s="38">
        <v>111250</v>
      </c>
      <c r="I110" s="38">
        <v>111908</v>
      </c>
      <c r="J110" s="35">
        <f t="shared" si="99"/>
        <v>658</v>
      </c>
      <c r="K110" s="50">
        <f t="shared" si="100"/>
        <v>84</v>
      </c>
      <c r="L110" s="46">
        <f t="shared" si="101"/>
        <v>12.76595744680851</v>
      </c>
      <c r="M110" s="48">
        <v>18800</v>
      </c>
      <c r="N110" s="47">
        <f t="shared" si="102"/>
        <v>1579200</v>
      </c>
      <c r="R110" s="76">
        <f t="shared" si="58"/>
        <v>0</v>
      </c>
    </row>
    <row r="111" spans="1:26" ht="16">
      <c r="A111" s="122"/>
      <c r="B111" s="44"/>
      <c r="C111" s="35"/>
      <c r="D111" s="35"/>
      <c r="E111" s="11">
        <f t="shared" si="97"/>
        <v>0</v>
      </c>
      <c r="F111" s="45"/>
      <c r="G111" s="13" t="e">
        <f t="shared" si="98"/>
        <v>#DIV/0!</v>
      </c>
      <c r="H111" s="35"/>
      <c r="I111" s="38"/>
      <c r="J111" s="35">
        <f t="shared" si="99"/>
        <v>0</v>
      </c>
      <c r="K111" s="50">
        <f t="shared" si="100"/>
        <v>0</v>
      </c>
      <c r="L111" s="46" t="e">
        <f t="shared" si="101"/>
        <v>#DIV/0!</v>
      </c>
      <c r="M111" s="48"/>
      <c r="N111" s="47">
        <f t="shared" si="102"/>
        <v>0</v>
      </c>
      <c r="R111" s="76">
        <f t="shared" si="58"/>
        <v>0</v>
      </c>
    </row>
    <row r="112" spans="1:26" ht="16">
      <c r="A112" s="87"/>
      <c r="B112" s="239"/>
      <c r="C112" s="53"/>
      <c r="D112" s="53"/>
      <c r="E112" s="24">
        <f t="shared" si="97"/>
        <v>0</v>
      </c>
      <c r="F112" s="45"/>
      <c r="G112" s="54" t="e">
        <f t="shared" si="98"/>
        <v>#DIV/0!</v>
      </c>
      <c r="H112" s="53"/>
      <c r="I112" s="55"/>
      <c r="J112" s="53">
        <f t="shared" si="99"/>
        <v>0</v>
      </c>
      <c r="K112" s="50">
        <f t="shared" si="100"/>
        <v>0</v>
      </c>
      <c r="L112" s="73" t="e">
        <f t="shared" si="101"/>
        <v>#DIV/0!</v>
      </c>
      <c r="M112" s="56"/>
      <c r="N112" s="57">
        <f t="shared" si="102"/>
        <v>0</v>
      </c>
      <c r="R112" s="76">
        <f t="shared" si="58"/>
        <v>0</v>
      </c>
    </row>
    <row r="113" spans="1:18" ht="16">
      <c r="A113" s="59"/>
      <c r="B113" s="60"/>
      <c r="C113" s="59"/>
      <c r="D113" s="59" t="s">
        <v>19</v>
      </c>
      <c r="E113" s="59">
        <f>SUM(E106:E112)</f>
        <v>3427</v>
      </c>
      <c r="F113" s="37"/>
      <c r="G113" s="61" t="e">
        <f>AVERAGE(G106:G112)</f>
        <v>#DIV/0!</v>
      </c>
      <c r="H113" s="59"/>
      <c r="I113" s="62"/>
      <c r="J113" s="59">
        <f t="shared" ref="J113:K113" si="103">SUM(J106:J112)</f>
        <v>-107742</v>
      </c>
      <c r="K113" s="59">
        <f t="shared" si="103"/>
        <v>401</v>
      </c>
      <c r="L113" s="61" t="e">
        <f>AVERAGE(L106:L112)</f>
        <v>#DIV/0!</v>
      </c>
      <c r="M113" s="64"/>
      <c r="N113" s="65">
        <f>SUM(N106:N112)</f>
        <v>7736780</v>
      </c>
      <c r="R113" s="76">
        <f t="shared" si="58"/>
        <v>0</v>
      </c>
    </row>
    <row r="114" spans="1:18" ht="16">
      <c r="A114" s="66">
        <v>45965</v>
      </c>
      <c r="B114" s="90" t="s">
        <v>41</v>
      </c>
      <c r="C114" s="35">
        <v>166810</v>
      </c>
      <c r="D114" s="12">
        <v>167378</v>
      </c>
      <c r="E114" s="36">
        <f t="shared" ref="E114:E120" si="104">D114-C114</f>
        <v>568</v>
      </c>
      <c r="F114" s="37">
        <v>60</v>
      </c>
      <c r="G114" s="13">
        <f t="shared" ref="G114:G120" si="105">(F114/E114)*100</f>
        <v>10.56338028169014</v>
      </c>
      <c r="H114" s="125"/>
      <c r="I114" s="246"/>
      <c r="J114" s="39">
        <f t="shared" ref="J114:J120" si="106">I114-H114</f>
        <v>0</v>
      </c>
      <c r="K114" s="77">
        <f t="shared" ref="K114:K120" si="107">F114</f>
        <v>60</v>
      </c>
      <c r="L114" s="67" t="e">
        <f t="shared" ref="L114:L120" si="108">(K114/J114)*100</f>
        <v>#DIV/0!</v>
      </c>
      <c r="M114" s="41">
        <v>19200</v>
      </c>
      <c r="N114" s="42">
        <f t="shared" ref="N114:N120" si="109">F114*M114</f>
        <v>1152000</v>
      </c>
      <c r="R114" s="76">
        <f t="shared" si="58"/>
        <v>0</v>
      </c>
    </row>
    <row r="115" spans="1:18" ht="16">
      <c r="A115" s="118">
        <v>45971</v>
      </c>
      <c r="B115" s="119" t="s">
        <v>41</v>
      </c>
      <c r="C115" s="12">
        <v>167378</v>
      </c>
      <c r="D115" s="51">
        <v>167950</v>
      </c>
      <c r="E115" s="51">
        <f t="shared" si="104"/>
        <v>572</v>
      </c>
      <c r="F115" s="120">
        <v>67</v>
      </c>
      <c r="G115" s="13">
        <f t="shared" si="105"/>
        <v>11.713286713286713</v>
      </c>
      <c r="H115" s="35"/>
      <c r="I115" s="38">
        <v>10655</v>
      </c>
      <c r="J115" s="35">
        <f t="shared" si="106"/>
        <v>10655</v>
      </c>
      <c r="K115" s="50">
        <f t="shared" si="107"/>
        <v>67</v>
      </c>
      <c r="L115" s="46">
        <f t="shared" si="108"/>
        <v>0.62881276396058194</v>
      </c>
      <c r="M115" s="48">
        <v>19320</v>
      </c>
      <c r="N115" s="121">
        <f t="shared" si="109"/>
        <v>1294440</v>
      </c>
      <c r="R115" s="76">
        <f t="shared" si="58"/>
        <v>0</v>
      </c>
    </row>
    <row r="116" spans="1:18" ht="16">
      <c r="A116" s="118">
        <v>45978</v>
      </c>
      <c r="B116" s="119" t="s">
        <v>41</v>
      </c>
      <c r="C116" s="51">
        <v>167950</v>
      </c>
      <c r="D116" s="51">
        <v>168600</v>
      </c>
      <c r="E116" s="51">
        <f t="shared" si="104"/>
        <v>650</v>
      </c>
      <c r="F116" s="120">
        <v>72</v>
      </c>
      <c r="G116" s="13">
        <f t="shared" si="105"/>
        <v>11.076923076923077</v>
      </c>
      <c r="H116" s="38">
        <v>10655</v>
      </c>
      <c r="I116" s="35">
        <v>11293</v>
      </c>
      <c r="J116" s="35">
        <f t="shared" si="106"/>
        <v>638</v>
      </c>
      <c r="K116" s="50">
        <f t="shared" si="107"/>
        <v>72</v>
      </c>
      <c r="L116" s="46">
        <f t="shared" si="108"/>
        <v>11.285266457680251</v>
      </c>
      <c r="M116" s="48">
        <v>19860</v>
      </c>
      <c r="N116" s="121">
        <f t="shared" si="109"/>
        <v>1429920</v>
      </c>
      <c r="R116" s="76">
        <f t="shared" si="58"/>
        <v>0</v>
      </c>
    </row>
    <row r="117" spans="1:18" ht="16">
      <c r="A117" s="33">
        <v>45986</v>
      </c>
      <c r="B117" s="44" t="s">
        <v>41</v>
      </c>
      <c r="C117" s="51">
        <v>168600</v>
      </c>
      <c r="D117" s="35">
        <v>169222</v>
      </c>
      <c r="E117" s="11">
        <f t="shared" si="104"/>
        <v>622</v>
      </c>
      <c r="F117" s="45">
        <v>71</v>
      </c>
      <c r="G117" s="13">
        <f t="shared" si="105"/>
        <v>11.414790996784566</v>
      </c>
      <c r="H117" s="35">
        <v>11293</v>
      </c>
      <c r="I117" s="38">
        <v>11904</v>
      </c>
      <c r="J117" s="35">
        <f t="shared" si="106"/>
        <v>611</v>
      </c>
      <c r="K117" s="50">
        <f t="shared" si="107"/>
        <v>71</v>
      </c>
      <c r="L117" s="46">
        <f t="shared" si="108"/>
        <v>11.620294599018004</v>
      </c>
      <c r="M117" s="48">
        <v>19820</v>
      </c>
      <c r="N117" s="121">
        <f t="shared" si="109"/>
        <v>1407220</v>
      </c>
      <c r="R117" s="76">
        <f t="shared" si="58"/>
        <v>0</v>
      </c>
    </row>
    <row r="118" spans="1:18" ht="16">
      <c r="A118" s="124"/>
      <c r="B118" s="49" t="s">
        <v>41</v>
      </c>
      <c r="C118" s="50"/>
      <c r="D118" s="50"/>
      <c r="E118" s="11">
        <f t="shared" si="104"/>
        <v>0</v>
      </c>
      <c r="F118" s="45"/>
      <c r="G118" s="13" t="e">
        <f t="shared" si="105"/>
        <v>#DIV/0!</v>
      </c>
      <c r="H118" s="35"/>
      <c r="I118" s="38"/>
      <c r="J118" s="35">
        <f t="shared" si="106"/>
        <v>0</v>
      </c>
      <c r="K118" s="50">
        <f t="shared" si="107"/>
        <v>0</v>
      </c>
      <c r="L118" s="46" t="e">
        <f t="shared" si="108"/>
        <v>#DIV/0!</v>
      </c>
      <c r="M118" s="48"/>
      <c r="N118" s="121">
        <f t="shared" si="109"/>
        <v>0</v>
      </c>
      <c r="R118" s="76">
        <f t="shared" si="58"/>
        <v>0</v>
      </c>
    </row>
    <row r="119" spans="1:18" ht="16">
      <c r="A119" s="122"/>
      <c r="B119" s="44" t="s">
        <v>41</v>
      </c>
      <c r="C119" s="35"/>
      <c r="D119" s="35"/>
      <c r="E119" s="11">
        <f t="shared" si="104"/>
        <v>0</v>
      </c>
      <c r="F119" s="45"/>
      <c r="G119" s="13" t="e">
        <f t="shared" si="105"/>
        <v>#DIV/0!</v>
      </c>
      <c r="H119" s="35"/>
      <c r="I119" s="38"/>
      <c r="J119" s="35">
        <f t="shared" si="106"/>
        <v>0</v>
      </c>
      <c r="K119" s="50">
        <f t="shared" si="107"/>
        <v>0</v>
      </c>
      <c r="L119" s="46" t="e">
        <f t="shared" si="108"/>
        <v>#DIV/0!</v>
      </c>
      <c r="M119" s="48"/>
      <c r="N119" s="121">
        <f t="shared" si="109"/>
        <v>0</v>
      </c>
      <c r="R119" s="76">
        <f t="shared" si="58"/>
        <v>0</v>
      </c>
    </row>
    <row r="120" spans="1:18" ht="16">
      <c r="A120" s="87"/>
      <c r="B120" s="239"/>
      <c r="C120" s="53"/>
      <c r="D120" s="53"/>
      <c r="E120" s="24">
        <f t="shared" si="104"/>
        <v>0</v>
      </c>
      <c r="F120" s="45"/>
      <c r="G120" s="54" t="e">
        <f t="shared" si="105"/>
        <v>#DIV/0!</v>
      </c>
      <c r="H120" s="53"/>
      <c r="I120" s="55"/>
      <c r="J120" s="53">
        <f t="shared" si="106"/>
        <v>0</v>
      </c>
      <c r="K120" s="50">
        <f t="shared" si="107"/>
        <v>0</v>
      </c>
      <c r="L120" s="73" t="e">
        <f t="shared" si="108"/>
        <v>#DIV/0!</v>
      </c>
      <c r="M120" s="56"/>
      <c r="N120" s="123">
        <f t="shared" si="109"/>
        <v>0</v>
      </c>
      <c r="R120" s="76">
        <f t="shared" si="58"/>
        <v>0</v>
      </c>
    </row>
    <row r="121" spans="1:18" ht="16">
      <c r="A121" s="59"/>
      <c r="B121" s="60"/>
      <c r="C121" s="59"/>
      <c r="D121" s="59" t="s">
        <v>19</v>
      </c>
      <c r="E121" s="59">
        <f>SUM(E114:E120)</f>
        <v>2412</v>
      </c>
      <c r="F121" s="59">
        <f>SUM(F113:F120)</f>
        <v>270</v>
      </c>
      <c r="G121" s="61" t="e">
        <f>AVERAGE(G114:G120)</f>
        <v>#DIV/0!</v>
      </c>
      <c r="H121" s="59"/>
      <c r="I121" s="62"/>
      <c r="J121" s="59">
        <f t="shared" ref="J121:K121" si="110">SUM(J114:J120)</f>
        <v>11904</v>
      </c>
      <c r="K121" s="59">
        <f t="shared" si="110"/>
        <v>270</v>
      </c>
      <c r="L121" s="61" t="e">
        <f>AVERAGE(L114:L120)</f>
        <v>#DIV/0!</v>
      </c>
      <c r="M121" s="64"/>
      <c r="N121" s="65">
        <f>SUM(N114:N120)</f>
        <v>5283580</v>
      </c>
      <c r="R121" s="76">
        <f t="shared" si="58"/>
        <v>0</v>
      </c>
    </row>
    <row r="122" spans="1:18" ht="16">
      <c r="A122" s="66">
        <v>45962</v>
      </c>
      <c r="B122" s="90" t="s">
        <v>27</v>
      </c>
      <c r="C122" s="83"/>
      <c r="D122" s="12"/>
      <c r="E122" s="36">
        <f t="shared" ref="E122:E129" si="111">D122-C122</f>
        <v>0</v>
      </c>
      <c r="F122" s="37"/>
      <c r="G122" s="13" t="e">
        <f t="shared" ref="G122:G129" si="112">(F122/E122)*100</f>
        <v>#DIV/0!</v>
      </c>
      <c r="H122" s="125"/>
      <c r="I122" s="126"/>
      <c r="J122" s="39">
        <f t="shared" ref="J122:J129" si="113">I122-H122</f>
        <v>0</v>
      </c>
      <c r="K122" s="77">
        <v>55.78</v>
      </c>
      <c r="L122" s="67" t="e">
        <f t="shared" ref="L122:L126" si="114">(K122/J122)*100</f>
        <v>#DIV/0!</v>
      </c>
      <c r="M122" s="68">
        <v>19200</v>
      </c>
      <c r="N122" s="42">
        <f t="shared" ref="N122:N129" si="115">M122*K122</f>
        <v>1070976</v>
      </c>
      <c r="R122" s="76">
        <f t="shared" si="58"/>
        <v>0</v>
      </c>
    </row>
    <row r="123" spans="1:18" ht="16">
      <c r="A123" s="33">
        <v>45966</v>
      </c>
      <c r="B123" s="44" t="s">
        <v>27</v>
      </c>
      <c r="C123" s="35"/>
      <c r="D123" s="12"/>
      <c r="E123" s="11">
        <f t="shared" si="111"/>
        <v>0</v>
      </c>
      <c r="F123" s="45"/>
      <c r="G123" s="13" t="e">
        <f t="shared" si="112"/>
        <v>#DIV/0!</v>
      </c>
      <c r="H123" s="38"/>
      <c r="I123" s="38"/>
      <c r="J123" s="35">
        <f t="shared" si="113"/>
        <v>0</v>
      </c>
      <c r="K123" s="50">
        <v>67</v>
      </c>
      <c r="L123" s="46" t="e">
        <f t="shared" si="114"/>
        <v>#DIV/0!</v>
      </c>
      <c r="M123" s="48">
        <v>19200</v>
      </c>
      <c r="N123" s="42">
        <f t="shared" si="115"/>
        <v>1286400</v>
      </c>
      <c r="R123" s="76">
        <f t="shared" si="58"/>
        <v>0</v>
      </c>
    </row>
    <row r="124" spans="1:18" ht="16">
      <c r="A124" s="33">
        <v>45971</v>
      </c>
      <c r="B124" s="44" t="s">
        <v>27</v>
      </c>
      <c r="C124" s="35"/>
      <c r="D124" s="35"/>
      <c r="E124" s="11">
        <f t="shared" si="111"/>
        <v>0</v>
      </c>
      <c r="F124" s="45"/>
      <c r="G124" s="13" t="e">
        <f t="shared" si="112"/>
        <v>#DIV/0!</v>
      </c>
      <c r="H124" s="35"/>
      <c r="I124" s="38"/>
      <c r="J124" s="35">
        <f t="shared" si="113"/>
        <v>0</v>
      </c>
      <c r="K124" s="50">
        <v>65</v>
      </c>
      <c r="L124" s="46" t="e">
        <f t="shared" si="114"/>
        <v>#DIV/0!</v>
      </c>
      <c r="M124" s="48">
        <v>19320</v>
      </c>
      <c r="N124" s="42">
        <f t="shared" si="115"/>
        <v>1255800</v>
      </c>
      <c r="R124" s="76">
        <f t="shared" si="58"/>
        <v>0</v>
      </c>
    </row>
    <row r="125" spans="1:18" ht="16">
      <c r="A125" s="33">
        <v>45975</v>
      </c>
      <c r="B125" s="44" t="s">
        <v>27</v>
      </c>
      <c r="C125" s="35"/>
      <c r="D125" s="35"/>
      <c r="E125" s="11">
        <f t="shared" si="111"/>
        <v>0</v>
      </c>
      <c r="F125" s="45"/>
      <c r="G125" s="13" t="e">
        <f t="shared" si="112"/>
        <v>#DIV/0!</v>
      </c>
      <c r="H125" s="35"/>
      <c r="I125" s="38"/>
      <c r="J125" s="35">
        <f t="shared" si="113"/>
        <v>0</v>
      </c>
      <c r="K125" s="50">
        <v>63</v>
      </c>
      <c r="L125" s="46" t="e">
        <f t="shared" si="114"/>
        <v>#DIV/0!</v>
      </c>
      <c r="M125" s="48">
        <v>19860</v>
      </c>
      <c r="N125" s="42">
        <f t="shared" si="115"/>
        <v>1251180</v>
      </c>
      <c r="R125" s="76">
        <f t="shared" si="58"/>
        <v>0</v>
      </c>
    </row>
    <row r="126" spans="1:18" ht="16">
      <c r="A126" s="33">
        <v>45978</v>
      </c>
      <c r="B126" s="44" t="s">
        <v>27</v>
      </c>
      <c r="C126" s="35"/>
      <c r="D126" s="35"/>
      <c r="E126" s="11">
        <f t="shared" si="111"/>
        <v>0</v>
      </c>
      <c r="F126" s="45"/>
      <c r="G126" s="13" t="e">
        <f t="shared" si="112"/>
        <v>#DIV/0!</v>
      </c>
      <c r="H126" s="35"/>
      <c r="I126" s="38"/>
      <c r="J126" s="35">
        <f t="shared" si="113"/>
        <v>0</v>
      </c>
      <c r="K126" s="50">
        <v>65</v>
      </c>
      <c r="L126" s="46" t="e">
        <f t="shared" si="114"/>
        <v>#DIV/0!</v>
      </c>
      <c r="M126" s="48">
        <v>19860</v>
      </c>
      <c r="N126" s="42">
        <f t="shared" si="115"/>
        <v>1290900</v>
      </c>
      <c r="R126" s="76">
        <f t="shared" si="58"/>
        <v>0</v>
      </c>
    </row>
    <row r="127" spans="1:18" ht="16">
      <c r="A127" s="33">
        <v>45982</v>
      </c>
      <c r="B127" s="44" t="s">
        <v>27</v>
      </c>
      <c r="C127" s="35"/>
      <c r="D127" s="35"/>
      <c r="E127" s="11">
        <f t="shared" si="111"/>
        <v>0</v>
      </c>
      <c r="F127" s="45"/>
      <c r="G127" s="13" t="e">
        <f t="shared" si="112"/>
        <v>#DIV/0!</v>
      </c>
      <c r="H127" s="35"/>
      <c r="I127" s="38"/>
      <c r="J127" s="35">
        <f t="shared" si="113"/>
        <v>0</v>
      </c>
      <c r="K127" s="50">
        <v>58</v>
      </c>
      <c r="L127" s="46"/>
      <c r="M127" s="48">
        <v>19820</v>
      </c>
      <c r="N127" s="42">
        <f t="shared" si="115"/>
        <v>1149560</v>
      </c>
      <c r="R127" s="76">
        <f t="shared" si="58"/>
        <v>0</v>
      </c>
    </row>
    <row r="128" spans="1:18" ht="16">
      <c r="A128" s="33">
        <v>45986</v>
      </c>
      <c r="B128" s="44" t="s">
        <v>27</v>
      </c>
      <c r="C128" s="35"/>
      <c r="D128" s="35"/>
      <c r="E128" s="11">
        <f t="shared" si="111"/>
        <v>0</v>
      </c>
      <c r="F128" s="45"/>
      <c r="G128" s="13" t="e">
        <f t="shared" si="112"/>
        <v>#DIV/0!</v>
      </c>
      <c r="H128" s="35"/>
      <c r="I128" s="38"/>
      <c r="J128" s="35">
        <f t="shared" si="113"/>
        <v>0</v>
      </c>
      <c r="K128" s="50">
        <v>69</v>
      </c>
      <c r="L128" s="46" t="e">
        <f t="shared" ref="L128:L129" si="116">(K128/J128)*100</f>
        <v>#DIV/0!</v>
      </c>
      <c r="M128" s="48">
        <v>19820</v>
      </c>
      <c r="N128" s="42">
        <f t="shared" si="115"/>
        <v>1367580</v>
      </c>
      <c r="R128" s="76">
        <f t="shared" si="58"/>
        <v>0</v>
      </c>
    </row>
    <row r="129" spans="1:18" ht="16">
      <c r="A129" s="209">
        <v>45990</v>
      </c>
      <c r="B129" s="79" t="s">
        <v>27</v>
      </c>
      <c r="C129" s="53"/>
      <c r="D129" s="53"/>
      <c r="E129" s="24">
        <f t="shared" si="111"/>
        <v>0</v>
      </c>
      <c r="F129" s="45"/>
      <c r="G129" s="54" t="e">
        <f t="shared" si="112"/>
        <v>#DIV/0!</v>
      </c>
      <c r="H129" s="53"/>
      <c r="I129" s="55"/>
      <c r="J129" s="53">
        <f t="shared" si="113"/>
        <v>0</v>
      </c>
      <c r="K129" s="50">
        <v>60</v>
      </c>
      <c r="L129" s="73" t="e">
        <f t="shared" si="116"/>
        <v>#DIV/0!</v>
      </c>
      <c r="M129" s="56">
        <v>18800</v>
      </c>
      <c r="N129" s="47">
        <f t="shared" si="115"/>
        <v>1128000</v>
      </c>
      <c r="R129" s="76">
        <f t="shared" si="58"/>
        <v>0</v>
      </c>
    </row>
    <row r="130" spans="1:18" ht="16">
      <c r="A130" s="59"/>
      <c r="B130" s="60"/>
      <c r="C130" s="59"/>
      <c r="D130" s="59" t="s">
        <v>19</v>
      </c>
      <c r="E130" s="59">
        <f t="shared" ref="E130:F130" si="117">SUM(E122:E129)</f>
        <v>0</v>
      </c>
      <c r="F130" s="59">
        <f t="shared" si="117"/>
        <v>0</v>
      </c>
      <c r="G130" s="61" t="e">
        <f>AVERAGE(G122:G129)</f>
        <v>#DIV/0!</v>
      </c>
      <c r="H130" s="59"/>
      <c r="I130" s="62"/>
      <c r="J130" s="59">
        <f t="shared" ref="J130:K130" si="118">SUM(J122:J129)</f>
        <v>0</v>
      </c>
      <c r="K130" s="59">
        <f t="shared" si="118"/>
        <v>502.78</v>
      </c>
      <c r="L130" s="61" t="e">
        <f>AVERAGE(L122:L129)</f>
        <v>#DIV/0!</v>
      </c>
      <c r="M130" s="64"/>
      <c r="N130" s="132">
        <f>SUM(N122:N129)</f>
        <v>9800396</v>
      </c>
      <c r="R130" s="76">
        <f t="shared" si="58"/>
        <v>0</v>
      </c>
    </row>
    <row r="131" spans="1:18" ht="16">
      <c r="A131" s="66">
        <v>45966</v>
      </c>
      <c r="B131" s="90" t="s">
        <v>28</v>
      </c>
      <c r="C131" s="83"/>
      <c r="D131" s="12"/>
      <c r="E131" s="36">
        <f t="shared" ref="E131:E138" si="119">D131-C131</f>
        <v>0</v>
      </c>
      <c r="F131" s="37"/>
      <c r="G131" s="13" t="e">
        <f t="shared" ref="G131:G138" si="120">(F131/E131)*100</f>
        <v>#DIV/0!</v>
      </c>
      <c r="H131" s="125"/>
      <c r="I131" s="126"/>
      <c r="J131" s="39">
        <f t="shared" ref="J131:J138" si="121">I131-H131</f>
        <v>0</v>
      </c>
      <c r="K131" s="77">
        <v>70</v>
      </c>
      <c r="L131" s="67" t="e">
        <f t="shared" ref="L131:L134" si="122">(K131/J131)*100</f>
        <v>#DIV/0!</v>
      </c>
      <c r="M131" s="68">
        <v>19200</v>
      </c>
      <c r="N131" s="47">
        <f t="shared" ref="N131:N136" si="123">M131*K131</f>
        <v>1344000</v>
      </c>
      <c r="R131" s="76">
        <f t="shared" si="58"/>
        <v>0</v>
      </c>
    </row>
    <row r="132" spans="1:18" ht="16">
      <c r="A132" s="33">
        <v>45972</v>
      </c>
      <c r="B132" s="90" t="s">
        <v>28</v>
      </c>
      <c r="C132" s="35"/>
      <c r="D132" s="12"/>
      <c r="E132" s="11">
        <f t="shared" si="119"/>
        <v>0</v>
      </c>
      <c r="F132" s="45"/>
      <c r="G132" s="13" t="e">
        <f t="shared" si="120"/>
        <v>#DIV/0!</v>
      </c>
      <c r="H132" s="38"/>
      <c r="I132" s="38"/>
      <c r="J132" s="35">
        <f t="shared" si="121"/>
        <v>0</v>
      </c>
      <c r="K132" s="50">
        <v>70</v>
      </c>
      <c r="L132" s="67" t="e">
        <f t="shared" si="122"/>
        <v>#DIV/0!</v>
      </c>
      <c r="M132" s="48">
        <v>19320</v>
      </c>
      <c r="N132" s="47">
        <f t="shared" si="123"/>
        <v>1352400</v>
      </c>
      <c r="R132" s="76">
        <f t="shared" si="58"/>
        <v>0</v>
      </c>
    </row>
    <row r="133" spans="1:18" ht="16">
      <c r="A133" s="33">
        <v>45975</v>
      </c>
      <c r="B133" s="90" t="s">
        <v>28</v>
      </c>
      <c r="C133" s="35"/>
      <c r="D133" s="35"/>
      <c r="E133" s="11">
        <f t="shared" si="119"/>
        <v>0</v>
      </c>
      <c r="F133" s="45"/>
      <c r="G133" s="13" t="e">
        <f t="shared" si="120"/>
        <v>#DIV/0!</v>
      </c>
      <c r="H133" s="35"/>
      <c r="I133" s="38"/>
      <c r="J133" s="35">
        <f t="shared" si="121"/>
        <v>0</v>
      </c>
      <c r="K133" s="50">
        <v>70</v>
      </c>
      <c r="L133" s="46" t="e">
        <f t="shared" si="122"/>
        <v>#DIV/0!</v>
      </c>
      <c r="M133" s="48">
        <v>19860</v>
      </c>
      <c r="N133" s="47">
        <f t="shared" si="123"/>
        <v>1390200</v>
      </c>
      <c r="R133" s="76">
        <f t="shared" si="58"/>
        <v>0</v>
      </c>
    </row>
    <row r="134" spans="1:18" ht="16">
      <c r="A134" s="33">
        <v>45979</v>
      </c>
      <c r="B134" s="90" t="s">
        <v>28</v>
      </c>
      <c r="C134" s="35"/>
      <c r="D134" s="35"/>
      <c r="E134" s="11">
        <f t="shared" si="119"/>
        <v>0</v>
      </c>
      <c r="F134" s="45"/>
      <c r="G134" s="13" t="e">
        <f t="shared" si="120"/>
        <v>#DIV/0!</v>
      </c>
      <c r="H134" s="35"/>
      <c r="I134" s="38"/>
      <c r="J134" s="35">
        <f t="shared" si="121"/>
        <v>0</v>
      </c>
      <c r="K134" s="50">
        <v>70</v>
      </c>
      <c r="L134" s="46" t="e">
        <f t="shared" si="122"/>
        <v>#DIV/0!</v>
      </c>
      <c r="M134" s="48">
        <v>19860</v>
      </c>
      <c r="N134" s="47">
        <f t="shared" si="123"/>
        <v>1390200</v>
      </c>
      <c r="R134" s="76">
        <f t="shared" si="58"/>
        <v>0</v>
      </c>
    </row>
    <row r="135" spans="1:18" ht="16">
      <c r="A135" s="33">
        <v>45987</v>
      </c>
      <c r="B135" s="90" t="s">
        <v>28</v>
      </c>
      <c r="C135" s="35"/>
      <c r="D135" s="35"/>
      <c r="E135" s="11">
        <f t="shared" si="119"/>
        <v>0</v>
      </c>
      <c r="F135" s="45"/>
      <c r="G135" s="13" t="e">
        <f t="shared" si="120"/>
        <v>#DIV/0!</v>
      </c>
      <c r="H135" s="35"/>
      <c r="I135" s="38"/>
      <c r="J135" s="35">
        <f t="shared" si="121"/>
        <v>0</v>
      </c>
      <c r="K135" s="50">
        <v>70</v>
      </c>
      <c r="L135" s="46"/>
      <c r="M135" s="48">
        <v>19820</v>
      </c>
      <c r="N135" s="47">
        <f t="shared" si="123"/>
        <v>1387400</v>
      </c>
      <c r="R135" s="76">
        <f t="shared" si="58"/>
        <v>0</v>
      </c>
    </row>
    <row r="136" spans="1:18" ht="16">
      <c r="A136" s="33">
        <v>45990</v>
      </c>
      <c r="B136" s="90" t="s">
        <v>28</v>
      </c>
      <c r="C136" s="35"/>
      <c r="D136" s="35"/>
      <c r="E136" s="11">
        <f t="shared" si="119"/>
        <v>0</v>
      </c>
      <c r="F136" s="45"/>
      <c r="G136" s="13" t="e">
        <f t="shared" si="120"/>
        <v>#DIV/0!</v>
      </c>
      <c r="H136" s="35"/>
      <c r="I136" s="38"/>
      <c r="J136" s="35">
        <f t="shared" si="121"/>
        <v>0</v>
      </c>
      <c r="K136" s="50">
        <v>70</v>
      </c>
      <c r="L136" s="46" t="e">
        <f t="shared" ref="L136:L138" si="124">(K136/J136)*100</f>
        <v>#DIV/0!</v>
      </c>
      <c r="M136" s="48">
        <v>18800</v>
      </c>
      <c r="N136" s="47">
        <f t="shared" si="123"/>
        <v>1316000</v>
      </c>
      <c r="R136" s="76">
        <f t="shared" si="58"/>
        <v>0</v>
      </c>
    </row>
    <row r="137" spans="1:18" ht="16">
      <c r="A137" s="33"/>
      <c r="B137" s="44"/>
      <c r="C137" s="35"/>
      <c r="D137" s="35"/>
      <c r="E137" s="11">
        <f t="shared" si="119"/>
        <v>0</v>
      </c>
      <c r="F137" s="45"/>
      <c r="G137" s="13" t="e">
        <f t="shared" si="120"/>
        <v>#DIV/0!</v>
      </c>
      <c r="H137" s="35"/>
      <c r="I137" s="38"/>
      <c r="J137" s="35">
        <f t="shared" si="121"/>
        <v>0</v>
      </c>
      <c r="K137" s="50">
        <f t="shared" ref="K137:K138" si="125">F137</f>
        <v>0</v>
      </c>
      <c r="L137" s="46" t="e">
        <f t="shared" si="124"/>
        <v>#DIV/0!</v>
      </c>
      <c r="M137" s="48"/>
      <c r="N137" s="47">
        <f>F137*M137</f>
        <v>0</v>
      </c>
      <c r="R137" s="76">
        <f t="shared" si="58"/>
        <v>0</v>
      </c>
    </row>
    <row r="138" spans="1:18" ht="16">
      <c r="A138" s="88"/>
      <c r="B138" s="79"/>
      <c r="C138" s="53"/>
      <c r="D138" s="53"/>
      <c r="E138" s="24">
        <f t="shared" si="119"/>
        <v>0</v>
      </c>
      <c r="F138" s="45"/>
      <c r="G138" s="54" t="e">
        <f t="shared" si="120"/>
        <v>#DIV/0!</v>
      </c>
      <c r="H138" s="53"/>
      <c r="I138" s="55"/>
      <c r="J138" s="53">
        <f t="shared" si="121"/>
        <v>0</v>
      </c>
      <c r="K138" s="50">
        <f t="shared" si="125"/>
        <v>0</v>
      </c>
      <c r="L138" s="73" t="e">
        <f t="shared" si="124"/>
        <v>#DIV/0!</v>
      </c>
      <c r="M138" s="56"/>
      <c r="N138" s="47">
        <f>M138*K138</f>
        <v>0</v>
      </c>
      <c r="R138" s="76">
        <f t="shared" si="58"/>
        <v>0</v>
      </c>
    </row>
    <row r="139" spans="1:18" ht="16">
      <c r="A139" s="59"/>
      <c r="B139" s="60"/>
      <c r="C139" s="59"/>
      <c r="D139" s="59" t="s">
        <v>19</v>
      </c>
      <c r="E139" s="59">
        <f t="shared" ref="E139:F139" si="126">SUM(E131:E138)</f>
        <v>0</v>
      </c>
      <c r="F139" s="59">
        <f t="shared" si="126"/>
        <v>0</v>
      </c>
      <c r="G139" s="61" t="e">
        <f>AVERAGE(G131:G138)</f>
        <v>#DIV/0!</v>
      </c>
      <c r="H139" s="59"/>
      <c r="I139" s="62"/>
      <c r="J139" s="59">
        <f t="shared" ref="J139:K139" si="127">SUM(J131:J138)</f>
        <v>0</v>
      </c>
      <c r="K139" s="59">
        <f t="shared" si="127"/>
        <v>420</v>
      </c>
      <c r="L139" s="61" t="e">
        <f>AVERAGE(L131:L138)</f>
        <v>#DIV/0!</v>
      </c>
      <c r="M139" s="64"/>
      <c r="N139" s="132">
        <f>SUM(N131:N138)</f>
        <v>8180200</v>
      </c>
      <c r="R139" s="76">
        <f t="shared" si="58"/>
        <v>0</v>
      </c>
    </row>
    <row r="140" spans="1:18" ht="16">
      <c r="A140" s="85">
        <v>45965</v>
      </c>
      <c r="B140" s="90" t="s">
        <v>43</v>
      </c>
      <c r="C140" s="83"/>
      <c r="D140" s="12"/>
      <c r="E140" s="36">
        <f t="shared" ref="E140:E147" si="128">D140-C140</f>
        <v>0</v>
      </c>
      <c r="F140" s="37"/>
      <c r="G140" s="13" t="e">
        <f t="shared" ref="G140:G147" si="129">(F140/E140)*100</f>
        <v>#DIV/0!</v>
      </c>
      <c r="H140" s="125"/>
      <c r="I140" s="126"/>
      <c r="J140" s="39">
        <f t="shared" ref="J140:J147" si="130">I140-H140</f>
        <v>0</v>
      </c>
      <c r="K140" s="77">
        <v>60</v>
      </c>
      <c r="L140" s="67" t="e">
        <f t="shared" ref="L140:L147" si="131">(K140/J140)*100</f>
        <v>#DIV/0!</v>
      </c>
      <c r="M140" s="68">
        <v>19200</v>
      </c>
      <c r="N140" s="47">
        <f t="shared" ref="N140:N145" si="132">M140*K140</f>
        <v>1152000</v>
      </c>
      <c r="R140" s="76">
        <f t="shared" si="58"/>
        <v>0</v>
      </c>
    </row>
    <row r="141" spans="1:18" ht="16">
      <c r="A141" s="33">
        <v>45969</v>
      </c>
      <c r="B141" s="44" t="s">
        <v>43</v>
      </c>
      <c r="C141" s="35"/>
      <c r="D141" s="12"/>
      <c r="E141" s="11">
        <f t="shared" si="128"/>
        <v>0</v>
      </c>
      <c r="F141" s="45"/>
      <c r="G141" s="13" t="e">
        <f t="shared" si="129"/>
        <v>#DIV/0!</v>
      </c>
      <c r="H141" s="38"/>
      <c r="I141" s="38"/>
      <c r="J141" s="35">
        <f t="shared" si="130"/>
        <v>0</v>
      </c>
      <c r="K141" s="50">
        <v>40</v>
      </c>
      <c r="L141" s="46" t="e">
        <f t="shared" si="131"/>
        <v>#DIV/0!</v>
      </c>
      <c r="M141" s="48">
        <v>19320</v>
      </c>
      <c r="N141" s="47">
        <f t="shared" si="132"/>
        <v>772800</v>
      </c>
      <c r="R141" s="76">
        <f t="shared" si="58"/>
        <v>0</v>
      </c>
    </row>
    <row r="142" spans="1:18" ht="16">
      <c r="A142" s="33">
        <v>45974</v>
      </c>
      <c r="B142" s="44" t="s">
        <v>43</v>
      </c>
      <c r="C142" s="35"/>
      <c r="D142" s="35"/>
      <c r="E142" s="11">
        <f t="shared" si="128"/>
        <v>0</v>
      </c>
      <c r="F142" s="45"/>
      <c r="G142" s="13" t="e">
        <f t="shared" si="129"/>
        <v>#DIV/0!</v>
      </c>
      <c r="H142" s="35"/>
      <c r="I142" s="38"/>
      <c r="J142" s="35">
        <f t="shared" si="130"/>
        <v>0</v>
      </c>
      <c r="K142" s="50">
        <v>60</v>
      </c>
      <c r="L142" s="46" t="e">
        <f t="shared" si="131"/>
        <v>#DIV/0!</v>
      </c>
      <c r="M142" s="48">
        <v>19860</v>
      </c>
      <c r="N142" s="47">
        <f t="shared" si="132"/>
        <v>1191600</v>
      </c>
      <c r="R142" s="76">
        <f t="shared" si="58"/>
        <v>0</v>
      </c>
    </row>
    <row r="143" spans="1:18" ht="16">
      <c r="A143" s="33">
        <v>45979</v>
      </c>
      <c r="B143" s="44" t="s">
        <v>43</v>
      </c>
      <c r="C143" s="35"/>
      <c r="D143" s="35"/>
      <c r="E143" s="11">
        <f t="shared" si="128"/>
        <v>0</v>
      </c>
      <c r="F143" s="45"/>
      <c r="G143" s="13" t="e">
        <f t="shared" si="129"/>
        <v>#DIV/0!</v>
      </c>
      <c r="H143" s="35"/>
      <c r="I143" s="38"/>
      <c r="J143" s="35">
        <f t="shared" si="130"/>
        <v>0</v>
      </c>
      <c r="K143" s="50">
        <v>60</v>
      </c>
      <c r="L143" s="46" t="e">
        <f t="shared" si="131"/>
        <v>#DIV/0!</v>
      </c>
      <c r="M143" s="48">
        <v>19860</v>
      </c>
      <c r="N143" s="47">
        <f t="shared" si="132"/>
        <v>1191600</v>
      </c>
      <c r="R143" s="76">
        <f t="shared" si="58"/>
        <v>0</v>
      </c>
    </row>
    <row r="144" spans="1:18" ht="16">
      <c r="A144" s="33">
        <v>45987</v>
      </c>
      <c r="B144" s="44" t="s">
        <v>43</v>
      </c>
      <c r="C144" s="35"/>
      <c r="D144" s="35"/>
      <c r="E144" s="11">
        <f t="shared" si="128"/>
        <v>0</v>
      </c>
      <c r="F144" s="45"/>
      <c r="G144" s="13" t="e">
        <f t="shared" si="129"/>
        <v>#DIV/0!</v>
      </c>
      <c r="H144" s="35"/>
      <c r="I144" s="38"/>
      <c r="J144" s="35">
        <f t="shared" si="130"/>
        <v>0</v>
      </c>
      <c r="K144" s="50">
        <v>60</v>
      </c>
      <c r="L144" s="46" t="e">
        <f t="shared" si="131"/>
        <v>#DIV/0!</v>
      </c>
      <c r="M144" s="48">
        <v>19820</v>
      </c>
      <c r="N144" s="47">
        <f t="shared" si="132"/>
        <v>1189200</v>
      </c>
      <c r="R144" s="76">
        <f t="shared" si="58"/>
        <v>0</v>
      </c>
    </row>
    <row r="145" spans="1:18" ht="16">
      <c r="A145" s="33">
        <v>45990</v>
      </c>
      <c r="B145" s="44" t="s">
        <v>43</v>
      </c>
      <c r="C145" s="35"/>
      <c r="D145" s="35"/>
      <c r="E145" s="11">
        <f t="shared" si="128"/>
        <v>0</v>
      </c>
      <c r="F145" s="45"/>
      <c r="G145" s="13" t="e">
        <f t="shared" si="129"/>
        <v>#DIV/0!</v>
      </c>
      <c r="H145" s="35"/>
      <c r="I145" s="38"/>
      <c r="J145" s="35">
        <f t="shared" si="130"/>
        <v>0</v>
      </c>
      <c r="K145" s="50">
        <v>60</v>
      </c>
      <c r="L145" s="46" t="e">
        <f t="shared" si="131"/>
        <v>#DIV/0!</v>
      </c>
      <c r="M145" s="48">
        <v>18800</v>
      </c>
      <c r="N145" s="47">
        <f t="shared" si="132"/>
        <v>1128000</v>
      </c>
      <c r="R145" s="76">
        <f t="shared" si="58"/>
        <v>0</v>
      </c>
    </row>
    <row r="146" spans="1:18" ht="16">
      <c r="A146" s="33"/>
      <c r="B146" s="44" t="s">
        <v>43</v>
      </c>
      <c r="C146" s="35"/>
      <c r="D146" s="35"/>
      <c r="E146" s="11">
        <f t="shared" si="128"/>
        <v>0</v>
      </c>
      <c r="F146" s="45"/>
      <c r="G146" s="13" t="e">
        <f t="shared" si="129"/>
        <v>#DIV/0!</v>
      </c>
      <c r="H146" s="35"/>
      <c r="I146" s="38"/>
      <c r="J146" s="35">
        <f t="shared" si="130"/>
        <v>0</v>
      </c>
      <c r="K146" s="50">
        <f t="shared" ref="K146:K147" si="133">F146</f>
        <v>0</v>
      </c>
      <c r="L146" s="46" t="e">
        <f t="shared" si="131"/>
        <v>#DIV/0!</v>
      </c>
      <c r="M146" s="48"/>
      <c r="N146" s="47">
        <f>F146*M146</f>
        <v>0</v>
      </c>
      <c r="R146" s="76">
        <f t="shared" si="58"/>
        <v>0</v>
      </c>
    </row>
    <row r="147" spans="1:18" ht="16">
      <c r="A147" s="88"/>
      <c r="B147" s="79"/>
      <c r="C147" s="53"/>
      <c r="D147" s="53"/>
      <c r="E147" s="24">
        <f t="shared" si="128"/>
        <v>0</v>
      </c>
      <c r="F147" s="45"/>
      <c r="G147" s="54" t="e">
        <f t="shared" si="129"/>
        <v>#DIV/0!</v>
      </c>
      <c r="H147" s="53"/>
      <c r="I147" s="55"/>
      <c r="J147" s="53">
        <f t="shared" si="130"/>
        <v>0</v>
      </c>
      <c r="K147" s="50">
        <f t="shared" si="133"/>
        <v>0</v>
      </c>
      <c r="L147" s="73" t="e">
        <f t="shared" si="131"/>
        <v>#DIV/0!</v>
      </c>
      <c r="M147" s="48"/>
      <c r="N147" s="47">
        <f>M147*K147</f>
        <v>0</v>
      </c>
      <c r="R147" s="76">
        <f t="shared" si="58"/>
        <v>0</v>
      </c>
    </row>
    <row r="148" spans="1:18" ht="16">
      <c r="A148" s="59"/>
      <c r="B148" s="60"/>
      <c r="C148" s="59"/>
      <c r="D148" s="59" t="s">
        <v>19</v>
      </c>
      <c r="E148" s="59">
        <f>SUM(E140:E147)</f>
        <v>0</v>
      </c>
      <c r="F148" s="37"/>
      <c r="G148" s="61" t="e">
        <f>AVERAGE(G140:G147)</f>
        <v>#DIV/0!</v>
      </c>
      <c r="H148" s="59"/>
      <c r="I148" s="62"/>
      <c r="J148" s="59">
        <f t="shared" ref="J148:K148" si="134">SUM(J140:J147)</f>
        <v>0</v>
      </c>
      <c r="K148" s="59">
        <f t="shared" si="134"/>
        <v>340</v>
      </c>
      <c r="L148" s="61" t="e">
        <f>AVERAGE(L140:L147)</f>
        <v>#DIV/0!</v>
      </c>
      <c r="M148" s="68"/>
      <c r="N148" s="132">
        <f>SUM(N140:N147)</f>
        <v>6625200</v>
      </c>
      <c r="R148" s="76">
        <f t="shared" si="58"/>
        <v>0</v>
      </c>
    </row>
    <row r="149" spans="1:18" ht="16">
      <c r="A149" s="66">
        <v>45964</v>
      </c>
      <c r="B149" s="90" t="s">
        <v>30</v>
      </c>
      <c r="C149" s="83"/>
      <c r="D149" s="12"/>
      <c r="E149" s="36">
        <f t="shared" ref="E149:E156" si="135">D149-C149</f>
        <v>0</v>
      </c>
      <c r="F149" s="37"/>
      <c r="G149" s="13" t="e">
        <f t="shared" ref="G149:G156" si="136">(F149/E149)*100</f>
        <v>#DIV/0!</v>
      </c>
      <c r="H149" s="125"/>
      <c r="I149" s="126"/>
      <c r="J149" s="39">
        <f t="shared" ref="J149:J156" si="137">I149-H149</f>
        <v>0</v>
      </c>
      <c r="K149" s="39">
        <v>78</v>
      </c>
      <c r="L149" s="67" t="e">
        <f t="shared" ref="L149:L156" si="138">(K149/J149)*100</f>
        <v>#DIV/0!</v>
      </c>
      <c r="M149" s="68">
        <v>19200</v>
      </c>
      <c r="N149" s="47">
        <f t="shared" ref="N149:N153" si="139">M149*K149</f>
        <v>1497600</v>
      </c>
      <c r="R149" s="76">
        <f t="shared" si="58"/>
        <v>0</v>
      </c>
    </row>
    <row r="150" spans="1:18" ht="16">
      <c r="A150" s="33">
        <v>45971</v>
      </c>
      <c r="B150" s="44" t="s">
        <v>30</v>
      </c>
      <c r="C150" s="35"/>
      <c r="D150" s="12"/>
      <c r="E150" s="11">
        <f t="shared" si="135"/>
        <v>0</v>
      </c>
      <c r="F150" s="45"/>
      <c r="G150" s="13" t="e">
        <f t="shared" si="136"/>
        <v>#DIV/0!</v>
      </c>
      <c r="H150" s="38"/>
      <c r="I150" s="38"/>
      <c r="J150" s="35">
        <f t="shared" si="137"/>
        <v>0</v>
      </c>
      <c r="K150" s="39">
        <v>77</v>
      </c>
      <c r="L150" s="46" t="e">
        <f t="shared" si="138"/>
        <v>#DIV/0!</v>
      </c>
      <c r="M150" s="48">
        <v>19320</v>
      </c>
      <c r="N150" s="47">
        <f t="shared" si="139"/>
        <v>1487640</v>
      </c>
      <c r="R150" s="76">
        <f t="shared" si="58"/>
        <v>0</v>
      </c>
    </row>
    <row r="151" spans="1:18" ht="16">
      <c r="A151" s="33">
        <v>45976</v>
      </c>
      <c r="B151" s="44" t="s">
        <v>30</v>
      </c>
      <c r="C151" s="35"/>
      <c r="D151" s="35"/>
      <c r="E151" s="11">
        <f t="shared" si="135"/>
        <v>0</v>
      </c>
      <c r="F151" s="45"/>
      <c r="G151" s="13" t="e">
        <f t="shared" si="136"/>
        <v>#DIV/0!</v>
      </c>
      <c r="H151" s="35"/>
      <c r="I151" s="38"/>
      <c r="J151" s="35">
        <f t="shared" si="137"/>
        <v>0</v>
      </c>
      <c r="K151" s="39">
        <v>72</v>
      </c>
      <c r="L151" s="46" t="e">
        <f t="shared" si="138"/>
        <v>#DIV/0!</v>
      </c>
      <c r="M151" s="48">
        <v>19860</v>
      </c>
      <c r="N151" s="47">
        <f t="shared" si="139"/>
        <v>1429920</v>
      </c>
      <c r="R151" s="76">
        <f t="shared" si="58"/>
        <v>0</v>
      </c>
    </row>
    <row r="152" spans="1:18" ht="16">
      <c r="A152" s="33">
        <v>45985</v>
      </c>
      <c r="B152" s="44" t="s">
        <v>30</v>
      </c>
      <c r="C152" s="35"/>
      <c r="D152" s="35"/>
      <c r="E152" s="11">
        <f t="shared" si="135"/>
        <v>0</v>
      </c>
      <c r="F152" s="45"/>
      <c r="G152" s="13" t="e">
        <f t="shared" si="136"/>
        <v>#DIV/0!</v>
      </c>
      <c r="H152" s="35"/>
      <c r="I152" s="38"/>
      <c r="J152" s="35">
        <f t="shared" si="137"/>
        <v>0</v>
      </c>
      <c r="K152" s="39">
        <v>84</v>
      </c>
      <c r="L152" s="46" t="e">
        <f t="shared" si="138"/>
        <v>#DIV/0!</v>
      </c>
      <c r="M152" s="48">
        <v>19820</v>
      </c>
      <c r="N152" s="47">
        <f t="shared" si="139"/>
        <v>1664880</v>
      </c>
      <c r="R152" s="76">
        <f t="shared" si="58"/>
        <v>0</v>
      </c>
    </row>
    <row r="153" spans="1:18" ht="16">
      <c r="A153" s="33">
        <v>45989</v>
      </c>
      <c r="B153" s="44" t="s">
        <v>30</v>
      </c>
      <c r="C153" s="35"/>
      <c r="D153" s="35"/>
      <c r="E153" s="11">
        <f t="shared" si="135"/>
        <v>0</v>
      </c>
      <c r="F153" s="45"/>
      <c r="G153" s="13" t="e">
        <f t="shared" si="136"/>
        <v>#DIV/0!</v>
      </c>
      <c r="H153" s="35"/>
      <c r="I153" s="38"/>
      <c r="J153" s="35">
        <f t="shared" si="137"/>
        <v>0</v>
      </c>
      <c r="K153" s="39">
        <v>81</v>
      </c>
      <c r="L153" s="46" t="e">
        <f t="shared" si="138"/>
        <v>#DIV/0!</v>
      </c>
      <c r="M153" s="48">
        <v>18800</v>
      </c>
      <c r="N153" s="47">
        <f t="shared" si="139"/>
        <v>1522800</v>
      </c>
      <c r="R153" s="76">
        <f t="shared" si="58"/>
        <v>0</v>
      </c>
    </row>
    <row r="154" spans="1:18" ht="16">
      <c r="A154" s="33"/>
      <c r="B154" s="44" t="s">
        <v>30</v>
      </c>
      <c r="C154" s="35"/>
      <c r="D154" s="35"/>
      <c r="E154" s="11">
        <f t="shared" si="135"/>
        <v>0</v>
      </c>
      <c r="F154" s="45"/>
      <c r="G154" s="13" t="e">
        <f t="shared" si="136"/>
        <v>#DIV/0!</v>
      </c>
      <c r="H154" s="35"/>
      <c r="I154" s="38"/>
      <c r="J154" s="35">
        <f t="shared" si="137"/>
        <v>0</v>
      </c>
      <c r="K154" s="39"/>
      <c r="L154" s="46" t="e">
        <f t="shared" si="138"/>
        <v>#DIV/0!</v>
      </c>
      <c r="M154" s="48"/>
      <c r="N154" s="47">
        <f t="shared" ref="N154:N155" si="140">F154*M154</f>
        <v>0</v>
      </c>
      <c r="R154" s="76">
        <f t="shared" si="58"/>
        <v>0</v>
      </c>
    </row>
    <row r="155" spans="1:18" ht="16">
      <c r="A155" s="33"/>
      <c r="B155" s="79"/>
      <c r="C155" s="35"/>
      <c r="D155" s="35"/>
      <c r="E155" s="11">
        <f t="shared" si="135"/>
        <v>0</v>
      </c>
      <c r="F155" s="45"/>
      <c r="G155" s="13" t="e">
        <f t="shared" si="136"/>
        <v>#DIV/0!</v>
      </c>
      <c r="H155" s="35"/>
      <c r="I155" s="38"/>
      <c r="J155" s="35">
        <f t="shared" si="137"/>
        <v>0</v>
      </c>
      <c r="K155" s="39">
        <f>D155</f>
        <v>0</v>
      </c>
      <c r="L155" s="73" t="e">
        <f t="shared" si="138"/>
        <v>#DIV/0!</v>
      </c>
      <c r="M155" s="48"/>
      <c r="N155" s="47">
        <f t="shared" si="140"/>
        <v>0</v>
      </c>
      <c r="R155" s="76">
        <f t="shared" si="58"/>
        <v>0</v>
      </c>
    </row>
    <row r="156" spans="1:18" ht="16">
      <c r="A156" s="133"/>
      <c r="B156" s="140"/>
      <c r="C156" s="134"/>
      <c r="D156" s="134"/>
      <c r="E156" s="24">
        <f t="shared" si="135"/>
        <v>0</v>
      </c>
      <c r="F156" s="37"/>
      <c r="G156" s="54" t="e">
        <f t="shared" si="136"/>
        <v>#DIV/0!</v>
      </c>
      <c r="H156" s="134"/>
      <c r="I156" s="135"/>
      <c r="J156" s="134">
        <f t="shared" si="137"/>
        <v>0</v>
      </c>
      <c r="K156" s="134"/>
      <c r="L156" s="136" t="e">
        <f t="shared" si="138"/>
        <v>#DIV/0!</v>
      </c>
      <c r="M156" s="137"/>
      <c r="N156" s="47">
        <f>M156*K156</f>
        <v>0</v>
      </c>
      <c r="R156" s="76">
        <f t="shared" si="58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41">SUM(E149:E156)</f>
        <v>0</v>
      </c>
      <c r="F157" s="59">
        <f t="shared" si="141"/>
        <v>0</v>
      </c>
      <c r="G157" s="61" t="e">
        <f>AVERAGE(G149:G156)</f>
        <v>#DIV/0!</v>
      </c>
      <c r="H157" s="59"/>
      <c r="I157" s="62"/>
      <c r="J157" s="59">
        <f t="shared" ref="J157:K157" si="142">SUM(J149:J156)</f>
        <v>0</v>
      </c>
      <c r="K157" s="59">
        <f t="shared" si="142"/>
        <v>392</v>
      </c>
      <c r="L157" s="61" t="e">
        <f>AVERAGE(L149:L156)</f>
        <v>#DIV/0!</v>
      </c>
      <c r="M157" s="64"/>
      <c r="N157" s="65">
        <f>SUM(N149:N156)</f>
        <v>7602840</v>
      </c>
      <c r="R157" s="76">
        <f t="shared" si="58"/>
        <v>0</v>
      </c>
    </row>
    <row r="158" spans="1:18" ht="16">
      <c r="A158" s="138">
        <v>45981</v>
      </c>
      <c r="B158" s="90" t="s">
        <v>44</v>
      </c>
      <c r="C158" s="83"/>
      <c r="D158" s="12"/>
      <c r="E158" s="11">
        <f t="shared" ref="E158:E165" si="143">D158-C158</f>
        <v>0</v>
      </c>
      <c r="F158" s="37"/>
      <c r="G158" s="13" t="e">
        <f t="shared" ref="G158:G165" si="144">(F158/E158)*100</f>
        <v>#DIV/0!</v>
      </c>
      <c r="H158" s="125"/>
      <c r="I158" s="126"/>
      <c r="J158" s="39">
        <f t="shared" ref="J158:J165" si="145">I158-H158</f>
        <v>0</v>
      </c>
      <c r="K158" s="77">
        <v>60</v>
      </c>
      <c r="L158" s="67" t="e">
        <f t="shared" ref="L158:L165" si="146">(K158/J158)*100</f>
        <v>#DIV/0!</v>
      </c>
      <c r="M158" s="68">
        <v>19820</v>
      </c>
      <c r="N158" s="121">
        <f t="shared" ref="N158:N165" si="147">M158*K158</f>
        <v>1189200</v>
      </c>
    </row>
    <row r="159" spans="1:18" ht="16">
      <c r="A159" s="33">
        <v>45985</v>
      </c>
      <c r="B159" s="90" t="s">
        <v>44</v>
      </c>
      <c r="C159" s="35"/>
      <c r="D159" s="12"/>
      <c r="E159" s="11">
        <f t="shared" si="143"/>
        <v>0</v>
      </c>
      <c r="F159" s="45"/>
      <c r="G159" s="13" t="e">
        <f t="shared" si="144"/>
        <v>#DIV/0!</v>
      </c>
      <c r="H159" s="38"/>
      <c r="I159" s="38"/>
      <c r="J159" s="35">
        <f t="shared" si="145"/>
        <v>0</v>
      </c>
      <c r="K159" s="77">
        <v>60</v>
      </c>
      <c r="L159" s="46" t="e">
        <f t="shared" si="146"/>
        <v>#DIV/0!</v>
      </c>
      <c r="M159" s="68">
        <v>19820</v>
      </c>
      <c r="N159" s="121">
        <f t="shared" si="147"/>
        <v>1189200</v>
      </c>
    </row>
    <row r="160" spans="1:18" ht="16">
      <c r="A160" s="33">
        <v>45987</v>
      </c>
      <c r="B160" s="90" t="s">
        <v>44</v>
      </c>
      <c r="C160" s="35"/>
      <c r="D160" s="35"/>
      <c r="E160" s="11">
        <f t="shared" si="143"/>
        <v>0</v>
      </c>
      <c r="F160" s="45"/>
      <c r="G160" s="13" t="e">
        <f t="shared" si="144"/>
        <v>#DIV/0!</v>
      </c>
      <c r="H160" s="35"/>
      <c r="I160" s="38"/>
      <c r="J160" s="35">
        <f t="shared" si="145"/>
        <v>0</v>
      </c>
      <c r="K160" s="77">
        <v>70</v>
      </c>
      <c r="L160" s="46" t="e">
        <f t="shared" si="146"/>
        <v>#DIV/0!</v>
      </c>
      <c r="M160" s="68">
        <v>19820</v>
      </c>
      <c r="N160" s="121">
        <f t="shared" si="147"/>
        <v>1387400</v>
      </c>
    </row>
    <row r="161" spans="1:18" ht="16">
      <c r="A161" s="33">
        <v>45990</v>
      </c>
      <c r="B161" s="90" t="s">
        <v>44</v>
      </c>
      <c r="C161" s="35"/>
      <c r="D161" s="35"/>
      <c r="E161" s="11">
        <f t="shared" si="143"/>
        <v>0</v>
      </c>
      <c r="F161" s="45"/>
      <c r="G161" s="13" t="e">
        <f t="shared" si="144"/>
        <v>#DIV/0!</v>
      </c>
      <c r="H161" s="35"/>
      <c r="I161" s="38"/>
      <c r="J161" s="35">
        <f t="shared" si="145"/>
        <v>0</v>
      </c>
      <c r="K161" s="77">
        <v>60</v>
      </c>
      <c r="L161" s="46" t="e">
        <f t="shared" si="146"/>
        <v>#DIV/0!</v>
      </c>
      <c r="M161" s="68">
        <v>18800</v>
      </c>
      <c r="N161" s="121">
        <f t="shared" si="147"/>
        <v>1128000</v>
      </c>
    </row>
    <row r="162" spans="1:18" ht="16">
      <c r="A162" s="33"/>
      <c r="B162" s="90" t="s">
        <v>44</v>
      </c>
      <c r="C162" s="35"/>
      <c r="D162" s="35"/>
      <c r="E162" s="11">
        <f t="shared" si="143"/>
        <v>0</v>
      </c>
      <c r="F162" s="45"/>
      <c r="G162" s="13" t="e">
        <f t="shared" si="144"/>
        <v>#DIV/0!</v>
      </c>
      <c r="H162" s="35"/>
      <c r="I162" s="38"/>
      <c r="J162" s="35">
        <f t="shared" si="145"/>
        <v>0</v>
      </c>
      <c r="K162" s="77"/>
      <c r="L162" s="46" t="e">
        <f t="shared" si="146"/>
        <v>#DIV/0!</v>
      </c>
      <c r="M162" s="68"/>
      <c r="N162" s="121">
        <f t="shared" si="147"/>
        <v>0</v>
      </c>
    </row>
    <row r="163" spans="1:18" ht="16">
      <c r="A163" s="33"/>
      <c r="B163" s="90" t="s">
        <v>44</v>
      </c>
      <c r="C163" s="35"/>
      <c r="D163" s="35"/>
      <c r="E163" s="11">
        <f t="shared" si="143"/>
        <v>0</v>
      </c>
      <c r="F163" s="45"/>
      <c r="G163" s="13" t="e">
        <f t="shared" si="144"/>
        <v>#DIV/0!</v>
      </c>
      <c r="H163" s="35"/>
      <c r="I163" s="38"/>
      <c r="J163" s="35">
        <f t="shared" si="145"/>
        <v>0</v>
      </c>
      <c r="K163" s="77"/>
      <c r="L163" s="46" t="e">
        <f t="shared" si="146"/>
        <v>#DIV/0!</v>
      </c>
      <c r="M163" s="68"/>
      <c r="N163" s="121">
        <f t="shared" si="147"/>
        <v>0</v>
      </c>
    </row>
    <row r="164" spans="1:18" ht="16">
      <c r="A164" s="33"/>
      <c r="B164" s="90" t="s">
        <v>44</v>
      </c>
      <c r="C164" s="35"/>
      <c r="D164" s="35"/>
      <c r="E164" s="11">
        <f t="shared" si="143"/>
        <v>0</v>
      </c>
      <c r="F164" s="45"/>
      <c r="G164" s="13" t="e">
        <f t="shared" si="144"/>
        <v>#DIV/0!</v>
      </c>
      <c r="H164" s="35"/>
      <c r="I164" s="38"/>
      <c r="J164" s="35">
        <f t="shared" si="145"/>
        <v>0</v>
      </c>
      <c r="K164" s="50">
        <f t="shared" ref="K164:K165" si="148">F164</f>
        <v>0</v>
      </c>
      <c r="L164" s="46" t="e">
        <f t="shared" si="146"/>
        <v>#DIV/0!</v>
      </c>
      <c r="M164" s="48"/>
      <c r="N164" s="121">
        <f t="shared" si="147"/>
        <v>0</v>
      </c>
    </row>
    <row r="165" spans="1:18" ht="16">
      <c r="A165" s="88"/>
      <c r="B165" s="79"/>
      <c r="C165" s="53"/>
      <c r="D165" s="53"/>
      <c r="E165" s="24">
        <f t="shared" si="143"/>
        <v>0</v>
      </c>
      <c r="F165" s="45"/>
      <c r="G165" s="54" t="e">
        <f t="shared" si="144"/>
        <v>#DIV/0!</v>
      </c>
      <c r="H165" s="53"/>
      <c r="I165" s="55"/>
      <c r="J165" s="53">
        <f t="shared" si="145"/>
        <v>0</v>
      </c>
      <c r="K165" s="50">
        <f t="shared" si="148"/>
        <v>0</v>
      </c>
      <c r="L165" s="73" t="e">
        <f t="shared" si="146"/>
        <v>#DIV/0!</v>
      </c>
      <c r="M165" s="56"/>
      <c r="N165" s="47">
        <f t="shared" si="147"/>
        <v>0</v>
      </c>
    </row>
    <row r="166" spans="1:18" ht="16">
      <c r="A166" s="59"/>
      <c r="B166" s="60"/>
      <c r="C166" s="59"/>
      <c r="D166" s="59" t="s">
        <v>19</v>
      </c>
      <c r="E166" s="59">
        <f t="shared" ref="E166:F166" si="149">SUM(E158:E165)</f>
        <v>0</v>
      </c>
      <c r="F166" s="59">
        <f t="shared" si="149"/>
        <v>0</v>
      </c>
      <c r="G166" s="61" t="e">
        <f>AVERAGE(G158:G165)</f>
        <v>#DIV/0!</v>
      </c>
      <c r="H166" s="59"/>
      <c r="I166" s="62"/>
      <c r="J166" s="59">
        <f t="shared" ref="J166:K166" si="150">SUM(J158:J165)</f>
        <v>0</v>
      </c>
      <c r="K166" s="59">
        <f t="shared" si="150"/>
        <v>250</v>
      </c>
      <c r="L166" s="61" t="e">
        <f>AVERAGE(L158:L165)</f>
        <v>#DIV/0!</v>
      </c>
      <c r="M166" s="64"/>
      <c r="N166" s="65">
        <f>SUM(N158:N165)</f>
        <v>4893800</v>
      </c>
    </row>
    <row r="167" spans="1:18" ht="16">
      <c r="A167" s="139">
        <v>45965</v>
      </c>
      <c r="B167" s="140" t="s">
        <v>32</v>
      </c>
      <c r="C167" s="83"/>
      <c r="D167" s="12"/>
      <c r="E167" s="36">
        <f t="shared" ref="E167:E174" si="151">D167-C167</f>
        <v>0</v>
      </c>
      <c r="F167" s="37"/>
      <c r="G167" s="13" t="e">
        <f t="shared" ref="G167:G174" si="152">(F167/E167)*100</f>
        <v>#DIV/0!</v>
      </c>
      <c r="H167" s="125"/>
      <c r="I167" s="126"/>
      <c r="J167" s="39">
        <f t="shared" ref="J167:J174" si="153">I167-H167</f>
        <v>0</v>
      </c>
      <c r="K167" s="77">
        <v>80</v>
      </c>
      <c r="L167" s="136" t="e">
        <f t="shared" ref="L167:L174" si="154">(K167/J167)*100</f>
        <v>#DIV/0!</v>
      </c>
      <c r="M167" s="68">
        <v>19200</v>
      </c>
      <c r="N167" s="121">
        <f t="shared" ref="N167:N174" si="155">M167*K167</f>
        <v>1536000</v>
      </c>
      <c r="R167" s="76">
        <f t="shared" ref="R167:R176" si="156">Q167</f>
        <v>0</v>
      </c>
    </row>
    <row r="168" spans="1:18" ht="16">
      <c r="A168" s="138">
        <v>45972</v>
      </c>
      <c r="B168" s="140" t="s">
        <v>32</v>
      </c>
      <c r="C168" s="83"/>
      <c r="D168" s="12"/>
      <c r="E168" s="36">
        <f t="shared" si="151"/>
        <v>0</v>
      </c>
      <c r="F168" s="45"/>
      <c r="G168" s="13" t="e">
        <f t="shared" si="152"/>
        <v>#DIV/0!</v>
      </c>
      <c r="H168" s="38"/>
      <c r="I168" s="38"/>
      <c r="J168" s="35">
        <f t="shared" si="153"/>
        <v>0</v>
      </c>
      <c r="K168" s="77">
        <v>80</v>
      </c>
      <c r="L168" s="136" t="e">
        <f t="shared" si="154"/>
        <v>#DIV/0!</v>
      </c>
      <c r="M168" s="116">
        <v>19320</v>
      </c>
      <c r="N168" s="121">
        <f t="shared" si="155"/>
        <v>1545600</v>
      </c>
      <c r="R168" s="76">
        <f t="shared" si="156"/>
        <v>0</v>
      </c>
    </row>
    <row r="169" spans="1:18" ht="16">
      <c r="A169" s="138">
        <v>45980</v>
      </c>
      <c r="B169" s="140" t="s">
        <v>32</v>
      </c>
      <c r="C169" s="83"/>
      <c r="D169" s="83"/>
      <c r="E169" s="11">
        <f t="shared" si="151"/>
        <v>0</v>
      </c>
      <c r="F169" s="141"/>
      <c r="G169" s="13" t="e">
        <f t="shared" si="152"/>
        <v>#DIV/0!</v>
      </c>
      <c r="H169" s="35"/>
      <c r="I169" s="38"/>
      <c r="J169" s="35">
        <f t="shared" si="153"/>
        <v>0</v>
      </c>
      <c r="K169" s="77">
        <v>90</v>
      </c>
      <c r="L169" s="136" t="e">
        <f t="shared" si="154"/>
        <v>#DIV/0!</v>
      </c>
      <c r="M169" s="116">
        <v>19860</v>
      </c>
      <c r="N169" s="121">
        <f t="shared" si="155"/>
        <v>1787400</v>
      </c>
      <c r="R169" s="76">
        <f t="shared" si="156"/>
        <v>0</v>
      </c>
    </row>
    <row r="170" spans="1:18" ht="16">
      <c r="A170" s="138">
        <v>45987</v>
      </c>
      <c r="B170" s="140" t="s">
        <v>32</v>
      </c>
      <c r="C170" s="83"/>
      <c r="D170" s="83"/>
      <c r="E170" s="11">
        <f t="shared" si="151"/>
        <v>0</v>
      </c>
      <c r="F170" s="141"/>
      <c r="G170" s="13" t="e">
        <f t="shared" si="152"/>
        <v>#DIV/0!</v>
      </c>
      <c r="H170" s="35"/>
      <c r="I170" s="38"/>
      <c r="J170" s="35">
        <f t="shared" si="153"/>
        <v>0</v>
      </c>
      <c r="K170" s="77">
        <v>70</v>
      </c>
      <c r="L170" s="136" t="e">
        <f t="shared" si="154"/>
        <v>#DIV/0!</v>
      </c>
      <c r="M170" s="116">
        <v>19820</v>
      </c>
      <c r="N170" s="121">
        <f t="shared" si="155"/>
        <v>1387400</v>
      </c>
      <c r="R170" s="76">
        <f t="shared" si="156"/>
        <v>0</v>
      </c>
    </row>
    <row r="171" spans="1:18" ht="16">
      <c r="A171" s="138"/>
      <c r="B171" s="140" t="s">
        <v>32</v>
      </c>
      <c r="C171" s="83"/>
      <c r="D171" s="83"/>
      <c r="E171" s="11">
        <f t="shared" si="151"/>
        <v>0</v>
      </c>
      <c r="F171" s="141"/>
      <c r="G171" s="13" t="e">
        <f t="shared" si="152"/>
        <v>#DIV/0!</v>
      </c>
      <c r="H171" s="35"/>
      <c r="I171" s="38"/>
      <c r="J171" s="35">
        <f t="shared" si="153"/>
        <v>0</v>
      </c>
      <c r="K171" s="77"/>
      <c r="L171" s="136" t="e">
        <f t="shared" si="154"/>
        <v>#DIV/0!</v>
      </c>
      <c r="M171" s="116"/>
      <c r="N171" s="121">
        <f t="shared" si="155"/>
        <v>0</v>
      </c>
      <c r="R171" s="76">
        <f t="shared" si="156"/>
        <v>0</v>
      </c>
    </row>
    <row r="172" spans="1:18" ht="16">
      <c r="A172" s="138"/>
      <c r="B172" s="140" t="s">
        <v>32</v>
      </c>
      <c r="C172" s="83"/>
      <c r="D172" s="83"/>
      <c r="E172" s="11">
        <f t="shared" si="151"/>
        <v>0</v>
      </c>
      <c r="F172" s="141"/>
      <c r="G172" s="13" t="e">
        <f t="shared" si="152"/>
        <v>#DIV/0!</v>
      </c>
      <c r="H172" s="35"/>
      <c r="I172" s="38"/>
      <c r="J172" s="35">
        <f t="shared" si="153"/>
        <v>0</v>
      </c>
      <c r="K172" s="77"/>
      <c r="L172" s="136" t="e">
        <f t="shared" si="154"/>
        <v>#DIV/0!</v>
      </c>
      <c r="M172" s="116"/>
      <c r="N172" s="121">
        <f t="shared" si="155"/>
        <v>0</v>
      </c>
      <c r="R172" s="76">
        <f t="shared" si="156"/>
        <v>0</v>
      </c>
    </row>
    <row r="173" spans="1:18" ht="16">
      <c r="A173" s="138"/>
      <c r="B173" s="140" t="s">
        <v>32</v>
      </c>
      <c r="C173" s="83"/>
      <c r="D173" s="83"/>
      <c r="E173" s="11">
        <f t="shared" si="151"/>
        <v>0</v>
      </c>
      <c r="F173" s="141"/>
      <c r="G173" s="13" t="e">
        <f t="shared" si="152"/>
        <v>#DIV/0!</v>
      </c>
      <c r="H173" s="83"/>
      <c r="I173" s="125"/>
      <c r="J173" s="83">
        <f t="shared" si="153"/>
        <v>0</v>
      </c>
      <c r="K173" s="77"/>
      <c r="L173" s="136" t="e">
        <f t="shared" si="154"/>
        <v>#DIV/0!</v>
      </c>
      <c r="M173" s="116"/>
      <c r="N173" s="121">
        <f t="shared" si="155"/>
        <v>0</v>
      </c>
      <c r="R173" s="76">
        <f t="shared" si="156"/>
        <v>0</v>
      </c>
    </row>
    <row r="174" spans="1:18" ht="16">
      <c r="A174" s="138"/>
      <c r="B174" s="140" t="s">
        <v>32</v>
      </c>
      <c r="C174" s="134"/>
      <c r="D174" s="134"/>
      <c r="E174" s="24">
        <f t="shared" si="151"/>
        <v>0</v>
      </c>
      <c r="F174" s="143"/>
      <c r="G174" s="54" t="e">
        <f t="shared" si="152"/>
        <v>#DIV/0!</v>
      </c>
      <c r="H174" s="134"/>
      <c r="I174" s="135"/>
      <c r="J174" s="134">
        <f t="shared" si="153"/>
        <v>0</v>
      </c>
      <c r="K174" s="77"/>
      <c r="L174" s="136" t="e">
        <f t="shared" si="154"/>
        <v>#DIV/0!</v>
      </c>
      <c r="M174" s="137"/>
      <c r="N174" s="47">
        <f t="shared" si="155"/>
        <v>0</v>
      </c>
      <c r="R174" s="76">
        <f t="shared" si="156"/>
        <v>0</v>
      </c>
    </row>
    <row r="175" spans="1:18" ht="16">
      <c r="A175" s="138"/>
      <c r="B175" s="60"/>
      <c r="C175" s="59"/>
      <c r="D175" s="59" t="s">
        <v>19</v>
      </c>
      <c r="E175" s="59">
        <f t="shared" ref="E175:F175" si="157">SUM(E167:E174)</f>
        <v>0</v>
      </c>
      <c r="F175" s="59">
        <f t="shared" si="157"/>
        <v>0</v>
      </c>
      <c r="G175" s="61" t="e">
        <f>AVERAGE(G167:G174)</f>
        <v>#DIV/0!</v>
      </c>
      <c r="H175" s="59"/>
      <c r="I175" s="62"/>
      <c r="J175" s="59">
        <f t="shared" ref="J175:K175" si="158">SUM(J167:J174)</f>
        <v>0</v>
      </c>
      <c r="K175" s="59">
        <f t="shared" si="158"/>
        <v>320</v>
      </c>
      <c r="L175" s="61" t="e">
        <f>AVERAGE(L167:L174)</f>
        <v>#DIV/0!</v>
      </c>
      <c r="M175" s="64"/>
      <c r="N175" s="132">
        <f>SUM(N167:N174)</f>
        <v>6256400</v>
      </c>
      <c r="R175" s="76">
        <f t="shared" si="156"/>
        <v>0</v>
      </c>
    </row>
    <row r="176" spans="1:18" ht="18">
      <c r="A176" s="138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8"/>
      <c r="N176" s="149">
        <f>N11+N19+N28+N36+N45+N56+N66+N74+N82+N90+N97+N105+N113+N130+N139+N148+N175+N121+N157+N166</f>
        <v>121597356</v>
      </c>
      <c r="R176" s="76">
        <f t="shared" si="156"/>
        <v>0</v>
      </c>
    </row>
    <row r="177" spans="1:17" ht="14">
      <c r="A177" s="138"/>
      <c r="G177" s="150"/>
      <c r="L177" s="150"/>
      <c r="N177" s="151"/>
    </row>
    <row r="178" spans="1:17" ht="31.5" customHeight="1">
      <c r="A178" s="138"/>
      <c r="D178" s="152" t="s">
        <v>45</v>
      </c>
      <c r="E178" s="153"/>
      <c r="G178" s="150"/>
      <c r="L178" s="150"/>
      <c r="N178" s="151"/>
    </row>
    <row r="179" spans="1:17" ht="16">
      <c r="A179" s="138"/>
      <c r="B179" s="154" t="s">
        <v>2</v>
      </c>
      <c r="C179" s="148" t="s">
        <v>3</v>
      </c>
      <c r="D179" s="148" t="s">
        <v>4</v>
      </c>
      <c r="E179" s="148" t="s">
        <v>5</v>
      </c>
      <c r="F179" s="148" t="s">
        <v>6</v>
      </c>
      <c r="G179" s="155" t="s">
        <v>7</v>
      </c>
      <c r="H179" s="156" t="s">
        <v>8</v>
      </c>
      <c r="I179" s="157" t="s">
        <v>8</v>
      </c>
      <c r="J179" s="148" t="s">
        <v>5</v>
      </c>
      <c r="K179" s="148" t="s">
        <v>6</v>
      </c>
      <c r="L179" s="155" t="s">
        <v>7</v>
      </c>
      <c r="M179" s="148" t="s">
        <v>9</v>
      </c>
      <c r="N179" s="158" t="s">
        <v>10</v>
      </c>
      <c r="O179" s="76">
        <v>1</v>
      </c>
      <c r="P179" s="76" t="s">
        <v>46</v>
      </c>
      <c r="Q179" s="223">
        <f>N185</f>
        <v>16899946.399999999</v>
      </c>
    </row>
    <row r="180" spans="1:17" ht="16">
      <c r="A180" s="138">
        <v>45972</v>
      </c>
      <c r="B180" s="90" t="s">
        <v>46</v>
      </c>
      <c r="C180" s="12">
        <v>402182</v>
      </c>
      <c r="D180" s="12"/>
      <c r="E180" s="11">
        <f t="shared" ref="E180:E184" si="159">D180-C180</f>
        <v>-402182</v>
      </c>
      <c r="F180" s="35">
        <v>439.95</v>
      </c>
      <c r="G180" s="13">
        <f t="shared" ref="G180:G184" si="160">(F180/E180)*100</f>
        <v>-0.10939077333147679</v>
      </c>
      <c r="H180" s="83"/>
      <c r="I180" s="126"/>
      <c r="J180" s="39">
        <f t="shared" ref="J180:J184" si="161">I180-H180</f>
        <v>0</v>
      </c>
      <c r="K180" s="35">
        <f t="shared" ref="K180:K184" si="162">F180</f>
        <v>439.95</v>
      </c>
      <c r="L180" s="67" t="e">
        <f t="shared" ref="L180:L184" si="163">(K180/J180)*100</f>
        <v>#DIV/0!</v>
      </c>
      <c r="M180" s="68">
        <v>19320</v>
      </c>
      <c r="N180" s="47">
        <f t="shared" ref="N180:N184" si="164">M180*K180</f>
        <v>8499834</v>
      </c>
      <c r="O180" s="76">
        <v>2</v>
      </c>
      <c r="P180" s="76" t="s">
        <v>47</v>
      </c>
      <c r="Q180" s="223">
        <f>N191</f>
        <v>16650040.200000001</v>
      </c>
    </row>
    <row r="181" spans="1:17" ht="16">
      <c r="A181" s="138">
        <v>45983</v>
      </c>
      <c r="B181" s="44" t="s">
        <v>46</v>
      </c>
      <c r="C181" s="12">
        <v>402182</v>
      </c>
      <c r="D181" s="12">
        <v>405166</v>
      </c>
      <c r="E181" s="11">
        <f t="shared" si="159"/>
        <v>2984</v>
      </c>
      <c r="F181" s="45">
        <v>423.82</v>
      </c>
      <c r="G181" s="13">
        <f t="shared" si="160"/>
        <v>14.20308310991957</v>
      </c>
      <c r="H181" s="35"/>
      <c r="I181" s="38"/>
      <c r="J181" s="35">
        <f t="shared" si="161"/>
        <v>0</v>
      </c>
      <c r="K181" s="35">
        <f t="shared" si="162"/>
        <v>423.82</v>
      </c>
      <c r="L181" s="46" t="e">
        <f t="shared" si="163"/>
        <v>#DIV/0!</v>
      </c>
      <c r="M181" s="48">
        <v>19820</v>
      </c>
      <c r="N181" s="47">
        <f t="shared" si="164"/>
        <v>8400112.4000000004</v>
      </c>
      <c r="O181" s="76">
        <v>3</v>
      </c>
      <c r="P181" s="76" t="s">
        <v>48</v>
      </c>
      <c r="Q181" s="223">
        <f>N197</f>
        <v>11900863.800000001</v>
      </c>
    </row>
    <row r="182" spans="1:17" ht="16">
      <c r="A182" s="138"/>
      <c r="B182" s="44" t="s">
        <v>46</v>
      </c>
      <c r="C182" s="35"/>
      <c r="D182" s="35"/>
      <c r="E182" s="11">
        <f t="shared" si="159"/>
        <v>0</v>
      </c>
      <c r="F182" s="45"/>
      <c r="G182" s="13" t="e">
        <f t="shared" si="160"/>
        <v>#DIV/0!</v>
      </c>
      <c r="H182" s="35"/>
      <c r="I182" s="38"/>
      <c r="J182" s="35">
        <f t="shared" si="161"/>
        <v>0</v>
      </c>
      <c r="K182" s="35">
        <f t="shared" si="162"/>
        <v>0</v>
      </c>
      <c r="L182" s="46" t="e">
        <f t="shared" si="163"/>
        <v>#DIV/0!</v>
      </c>
      <c r="M182" s="48"/>
      <c r="N182" s="47">
        <f t="shared" si="164"/>
        <v>0</v>
      </c>
      <c r="O182" s="76">
        <v>4</v>
      </c>
      <c r="P182" s="76" t="s">
        <v>49</v>
      </c>
      <c r="Q182" s="223">
        <f>N203</f>
        <v>9500141.4000000004</v>
      </c>
    </row>
    <row r="183" spans="1:17" ht="16">
      <c r="A183" s="138"/>
      <c r="B183" s="44" t="s">
        <v>46</v>
      </c>
      <c r="C183" s="35"/>
      <c r="D183" s="35"/>
      <c r="E183" s="11">
        <f t="shared" si="159"/>
        <v>0</v>
      </c>
      <c r="F183" s="45"/>
      <c r="G183" s="13" t="e">
        <f t="shared" si="160"/>
        <v>#DIV/0!</v>
      </c>
      <c r="H183" s="35"/>
      <c r="I183" s="38"/>
      <c r="J183" s="35">
        <f t="shared" si="161"/>
        <v>0</v>
      </c>
      <c r="K183" s="35">
        <f t="shared" si="162"/>
        <v>0</v>
      </c>
      <c r="L183" s="46" t="e">
        <f t="shared" si="163"/>
        <v>#DIV/0!</v>
      </c>
      <c r="M183" s="48"/>
      <c r="N183" s="47">
        <f t="shared" si="164"/>
        <v>0</v>
      </c>
      <c r="O183" s="76">
        <v>5</v>
      </c>
      <c r="P183" s="76" t="s">
        <v>50</v>
      </c>
      <c r="Q183" s="223">
        <f>N209</f>
        <v>8200069</v>
      </c>
    </row>
    <row r="184" spans="1:17" ht="16">
      <c r="A184" s="138"/>
      <c r="B184" s="79"/>
      <c r="C184" s="35"/>
      <c r="D184" s="35"/>
      <c r="E184" s="11">
        <f t="shared" si="159"/>
        <v>0</v>
      </c>
      <c r="F184" s="45"/>
      <c r="G184" s="13" t="e">
        <f t="shared" si="160"/>
        <v>#DIV/0!</v>
      </c>
      <c r="H184" s="35"/>
      <c r="I184" s="38"/>
      <c r="J184" s="35">
        <f t="shared" si="161"/>
        <v>0</v>
      </c>
      <c r="K184" s="35">
        <f t="shared" si="162"/>
        <v>0</v>
      </c>
      <c r="L184" s="73" t="e">
        <f t="shared" si="163"/>
        <v>#DIV/0!</v>
      </c>
      <c r="M184" s="48"/>
      <c r="N184" s="47">
        <f t="shared" si="164"/>
        <v>0</v>
      </c>
      <c r="O184" s="76">
        <v>6</v>
      </c>
      <c r="P184" s="76" t="s">
        <v>51</v>
      </c>
      <c r="Q184" s="223">
        <f>N215</f>
        <v>9370094.5999999996</v>
      </c>
    </row>
    <row r="185" spans="1:17" ht="16">
      <c r="A185" s="138"/>
      <c r="B185" s="60"/>
      <c r="C185" s="59"/>
      <c r="D185" s="59" t="s">
        <v>19</v>
      </c>
      <c r="E185" s="59">
        <f t="shared" ref="E185:F185" si="165">SUM(E180:E184)</f>
        <v>-399198</v>
      </c>
      <c r="F185" s="59">
        <f t="shared" si="165"/>
        <v>863.77</v>
      </c>
      <c r="G185" s="61" t="e">
        <f>AVERAGE(G180:G184)</f>
        <v>#DIV/0!</v>
      </c>
      <c r="H185" s="59"/>
      <c r="I185" s="62"/>
      <c r="J185" s="59">
        <f t="shared" ref="J185:K185" si="166">SUM(J180:J184)</f>
        <v>0</v>
      </c>
      <c r="K185" s="59">
        <f t="shared" si="166"/>
        <v>863.77</v>
      </c>
      <c r="L185" s="61" t="e">
        <f>AVERAGE(L180:L184)</f>
        <v>#DIV/0!</v>
      </c>
      <c r="M185" s="64"/>
      <c r="N185" s="65">
        <f>SUM(N180:N184)</f>
        <v>16899946.399999999</v>
      </c>
      <c r="O185" s="76">
        <v>7</v>
      </c>
      <c r="P185" s="76" t="s">
        <v>81</v>
      </c>
      <c r="Q185" s="223">
        <f>N221</f>
        <v>21000000</v>
      </c>
    </row>
    <row r="186" spans="1:17" ht="16">
      <c r="A186" s="138">
        <v>45967</v>
      </c>
      <c r="B186" s="140" t="s">
        <v>53</v>
      </c>
      <c r="C186" s="83">
        <v>498198</v>
      </c>
      <c r="D186" s="83">
        <v>498980</v>
      </c>
      <c r="E186" s="11">
        <f t="shared" ref="E186:E190" si="167">D186-C186</f>
        <v>782</v>
      </c>
      <c r="F186" s="141">
        <v>260.42</v>
      </c>
      <c r="G186" s="13">
        <f t="shared" ref="G186:G190" si="168">(F186/E186)*100</f>
        <v>33.301790281329922</v>
      </c>
      <c r="H186" s="83"/>
      <c r="I186" s="125"/>
      <c r="J186" s="83">
        <f t="shared" ref="J186:J190" si="169">I186-H186</f>
        <v>0</v>
      </c>
      <c r="K186" s="83">
        <f t="shared" ref="K186:K190" si="170">F186</f>
        <v>260.42</v>
      </c>
      <c r="L186" s="136" t="e">
        <f t="shared" ref="L186:L190" si="171">(K186/J186)*100</f>
        <v>#DIV/0!</v>
      </c>
      <c r="M186" s="116">
        <v>19200</v>
      </c>
      <c r="N186" s="42">
        <f t="shared" ref="N186:N190" si="172">F186*M186</f>
        <v>5000064</v>
      </c>
      <c r="O186" s="76">
        <v>8</v>
      </c>
      <c r="P186" s="76" t="s">
        <v>54</v>
      </c>
      <c r="Q186" s="223">
        <f>N231</f>
        <v>38000000</v>
      </c>
    </row>
    <row r="187" spans="1:17" ht="16">
      <c r="A187" s="138">
        <v>45975</v>
      </c>
      <c r="B187" s="140" t="s">
        <v>53</v>
      </c>
      <c r="C187" s="83">
        <v>498980</v>
      </c>
      <c r="D187" s="83">
        <v>499940</v>
      </c>
      <c r="E187" s="11">
        <f t="shared" si="167"/>
        <v>960</v>
      </c>
      <c r="F187" s="141">
        <v>276.94</v>
      </c>
      <c r="G187" s="13">
        <f t="shared" si="168"/>
        <v>28.847916666666666</v>
      </c>
      <c r="H187" s="83"/>
      <c r="I187" s="125"/>
      <c r="J187" s="83">
        <f t="shared" si="169"/>
        <v>0</v>
      </c>
      <c r="K187" s="83">
        <f t="shared" si="170"/>
        <v>276.94</v>
      </c>
      <c r="L187" s="136" t="e">
        <f t="shared" si="171"/>
        <v>#DIV/0!</v>
      </c>
      <c r="M187" s="116">
        <v>19860</v>
      </c>
      <c r="N187" s="47">
        <f t="shared" si="172"/>
        <v>5500028.4000000004</v>
      </c>
      <c r="O187" s="76">
        <v>9</v>
      </c>
      <c r="P187" s="76" t="s">
        <v>69</v>
      </c>
      <c r="Q187" s="223">
        <f>N238</f>
        <v>14323000</v>
      </c>
    </row>
    <row r="188" spans="1:17" ht="16">
      <c r="A188" s="138">
        <v>45985</v>
      </c>
      <c r="B188" s="140" t="s">
        <v>53</v>
      </c>
      <c r="C188" s="83">
        <v>499940</v>
      </c>
      <c r="D188" s="83">
        <v>500835</v>
      </c>
      <c r="E188" s="11">
        <f t="shared" si="167"/>
        <v>895</v>
      </c>
      <c r="F188" s="141">
        <v>310.29000000000002</v>
      </c>
      <c r="G188" s="13">
        <f t="shared" si="168"/>
        <v>34.66927374301676</v>
      </c>
      <c r="H188" s="83"/>
      <c r="I188" s="125"/>
      <c r="J188" s="83">
        <f t="shared" si="169"/>
        <v>0</v>
      </c>
      <c r="K188" s="83">
        <f t="shared" si="170"/>
        <v>310.29000000000002</v>
      </c>
      <c r="L188" s="136" t="e">
        <f t="shared" si="171"/>
        <v>#DIV/0!</v>
      </c>
      <c r="M188" s="116">
        <v>19820</v>
      </c>
      <c r="N188" s="47">
        <f t="shared" si="172"/>
        <v>6149947.8000000007</v>
      </c>
    </row>
    <row r="189" spans="1:17" ht="16">
      <c r="A189" s="138"/>
      <c r="B189" s="140" t="s">
        <v>53</v>
      </c>
      <c r="C189" s="83"/>
      <c r="D189" s="83"/>
      <c r="E189" s="11">
        <f t="shared" si="167"/>
        <v>0</v>
      </c>
      <c r="F189" s="141"/>
      <c r="G189" s="13" t="e">
        <f t="shared" si="168"/>
        <v>#DIV/0!</v>
      </c>
      <c r="H189" s="83"/>
      <c r="I189" s="125"/>
      <c r="J189" s="83">
        <f t="shared" si="169"/>
        <v>0</v>
      </c>
      <c r="K189" s="83">
        <f t="shared" si="170"/>
        <v>0</v>
      </c>
      <c r="L189" s="136" t="e">
        <f t="shared" si="171"/>
        <v>#DIV/0!</v>
      </c>
      <c r="M189" s="116"/>
      <c r="N189" s="47">
        <f t="shared" si="172"/>
        <v>0</v>
      </c>
    </row>
    <row r="190" spans="1:17" ht="16">
      <c r="A190" s="138"/>
      <c r="B190" s="140" t="s">
        <v>53</v>
      </c>
      <c r="C190" s="83"/>
      <c r="D190" s="83"/>
      <c r="E190" s="11">
        <f t="shared" si="167"/>
        <v>0</v>
      </c>
      <c r="F190" s="141"/>
      <c r="G190" s="13" t="e">
        <f t="shared" si="168"/>
        <v>#DIV/0!</v>
      </c>
      <c r="H190" s="83"/>
      <c r="I190" s="125"/>
      <c r="J190" s="83">
        <f t="shared" si="169"/>
        <v>0</v>
      </c>
      <c r="K190" s="83">
        <f t="shared" si="170"/>
        <v>0</v>
      </c>
      <c r="L190" s="136" t="e">
        <f t="shared" si="171"/>
        <v>#DIV/0!</v>
      </c>
      <c r="M190" s="116"/>
      <c r="N190" s="47">
        <f t="shared" si="172"/>
        <v>0</v>
      </c>
    </row>
    <row r="191" spans="1:17" ht="16">
      <c r="A191" s="138"/>
      <c r="B191" s="60"/>
      <c r="C191" s="59"/>
      <c r="D191" s="59" t="s">
        <v>19</v>
      </c>
      <c r="E191" s="59">
        <f t="shared" ref="E191:F191" si="173">SUM(E186:E190)</f>
        <v>2637</v>
      </c>
      <c r="F191" s="59">
        <f t="shared" si="173"/>
        <v>847.65000000000009</v>
      </c>
      <c r="G191" s="61" t="e">
        <f>AVERAGE(G186:G190)</f>
        <v>#DIV/0!</v>
      </c>
      <c r="H191" s="59"/>
      <c r="I191" s="62"/>
      <c r="J191" s="59">
        <f t="shared" ref="J191:K191" si="174">SUM(J186:J190)</f>
        <v>0</v>
      </c>
      <c r="K191" s="59">
        <f t="shared" si="174"/>
        <v>847.65000000000009</v>
      </c>
      <c r="L191" s="61" t="e">
        <f>AVERAGE(L186:L190)</f>
        <v>#DIV/0!</v>
      </c>
      <c r="M191" s="64"/>
      <c r="N191" s="65">
        <f>SUM(N186:N190)</f>
        <v>16650040.200000001</v>
      </c>
    </row>
    <row r="192" spans="1:17" ht="16">
      <c r="A192" s="138">
        <v>45967</v>
      </c>
      <c r="B192" s="140" t="s">
        <v>48</v>
      </c>
      <c r="C192" s="83"/>
      <c r="D192" s="12"/>
      <c r="E192" s="36">
        <f t="shared" ref="E192:E196" si="175">D192-C192</f>
        <v>0</v>
      </c>
      <c r="F192" s="141">
        <v>239.58</v>
      </c>
      <c r="G192" s="13" t="e">
        <f t="shared" ref="G192:G196" si="176">(F192/E192)*100</f>
        <v>#DIV/0!</v>
      </c>
      <c r="H192" s="83"/>
      <c r="I192" s="126"/>
      <c r="J192" s="39">
        <f t="shared" ref="J192:J196" si="177">I192-H192</f>
        <v>0</v>
      </c>
      <c r="K192" s="39">
        <v>239.58</v>
      </c>
      <c r="L192" s="136" t="e">
        <f t="shared" ref="L192:L196" si="178">(K192/J192)*100</f>
        <v>#DIV/0!</v>
      </c>
      <c r="M192" s="68">
        <v>19200</v>
      </c>
      <c r="N192" s="121">
        <f t="shared" ref="N192:N196" si="179">F192*M192</f>
        <v>4599936</v>
      </c>
    </row>
    <row r="193" spans="1:14" ht="16">
      <c r="A193" s="138">
        <v>45980</v>
      </c>
      <c r="B193" s="140" t="s">
        <v>48</v>
      </c>
      <c r="C193" s="83"/>
      <c r="D193" s="12"/>
      <c r="E193" s="11">
        <f t="shared" si="175"/>
        <v>0</v>
      </c>
      <c r="F193" s="141">
        <v>201.43</v>
      </c>
      <c r="G193" s="13" t="e">
        <f t="shared" si="176"/>
        <v>#DIV/0!</v>
      </c>
      <c r="H193" s="83"/>
      <c r="I193" s="125"/>
      <c r="J193" s="83">
        <f t="shared" si="177"/>
        <v>0</v>
      </c>
      <c r="K193" s="35"/>
      <c r="L193" s="136" t="e">
        <f t="shared" si="178"/>
        <v>#DIV/0!</v>
      </c>
      <c r="M193" s="116">
        <v>19860</v>
      </c>
      <c r="N193" s="121">
        <f t="shared" si="179"/>
        <v>4000399.8000000003</v>
      </c>
    </row>
    <row r="194" spans="1:14" ht="16">
      <c r="A194" s="138">
        <v>45991</v>
      </c>
      <c r="B194" s="140" t="s">
        <v>48</v>
      </c>
      <c r="C194" s="83"/>
      <c r="D194" s="83"/>
      <c r="E194" s="11">
        <f t="shared" si="175"/>
        <v>0</v>
      </c>
      <c r="F194" s="141">
        <v>175.56</v>
      </c>
      <c r="G194" s="13" t="e">
        <f t="shared" si="176"/>
        <v>#DIV/0!</v>
      </c>
      <c r="H194" s="83"/>
      <c r="I194" s="125"/>
      <c r="J194" s="83">
        <f t="shared" si="177"/>
        <v>0</v>
      </c>
      <c r="K194" s="35">
        <f t="shared" ref="K194:K196" si="180">F194</f>
        <v>175.56</v>
      </c>
      <c r="L194" s="136" t="e">
        <f t="shared" si="178"/>
        <v>#DIV/0!</v>
      </c>
      <c r="M194" s="116">
        <v>18800</v>
      </c>
      <c r="N194" s="121">
        <f t="shared" si="179"/>
        <v>3300528</v>
      </c>
    </row>
    <row r="195" spans="1:14" ht="16">
      <c r="A195" s="138"/>
      <c r="B195" s="140" t="s">
        <v>48</v>
      </c>
      <c r="C195" s="83"/>
      <c r="D195" s="83"/>
      <c r="E195" s="11">
        <f t="shared" si="175"/>
        <v>0</v>
      </c>
      <c r="F195" s="141"/>
      <c r="G195" s="13" t="e">
        <f t="shared" si="176"/>
        <v>#DIV/0!</v>
      </c>
      <c r="H195" s="83"/>
      <c r="I195" s="125"/>
      <c r="J195" s="83">
        <f t="shared" si="177"/>
        <v>0</v>
      </c>
      <c r="K195" s="39">
        <f t="shared" si="180"/>
        <v>0</v>
      </c>
      <c r="L195" s="136" t="e">
        <f t="shared" si="178"/>
        <v>#DIV/0!</v>
      </c>
      <c r="M195" s="116"/>
      <c r="N195" s="121">
        <f t="shared" si="179"/>
        <v>0</v>
      </c>
    </row>
    <row r="196" spans="1:14" ht="16">
      <c r="A196" s="138"/>
      <c r="B196" s="140"/>
      <c r="C196" s="83"/>
      <c r="D196" s="83"/>
      <c r="E196" s="11">
        <f t="shared" si="175"/>
        <v>0</v>
      </c>
      <c r="F196" s="141"/>
      <c r="G196" s="13" t="e">
        <f t="shared" si="176"/>
        <v>#DIV/0!</v>
      </c>
      <c r="H196" s="83"/>
      <c r="I196" s="125"/>
      <c r="J196" s="83">
        <f t="shared" si="177"/>
        <v>0</v>
      </c>
      <c r="K196" s="83">
        <f t="shared" si="180"/>
        <v>0</v>
      </c>
      <c r="L196" s="136" t="e">
        <f t="shared" si="178"/>
        <v>#DIV/0!</v>
      </c>
      <c r="M196" s="116"/>
      <c r="N196" s="121">
        <f t="shared" si="179"/>
        <v>0</v>
      </c>
    </row>
    <row r="197" spans="1:14" ht="16">
      <c r="A197" s="138"/>
      <c r="B197" s="60"/>
      <c r="C197" s="59"/>
      <c r="D197" s="59" t="s">
        <v>19</v>
      </c>
      <c r="E197" s="59">
        <f t="shared" ref="E197:F197" si="181">SUM(E192:E196)</f>
        <v>0</v>
      </c>
      <c r="F197" s="59">
        <f t="shared" si="181"/>
        <v>616.56999999999994</v>
      </c>
      <c r="G197" s="61" t="e">
        <f>AVERAGE(G192:G196)</f>
        <v>#DIV/0!</v>
      </c>
      <c r="H197" s="59"/>
      <c r="I197" s="62"/>
      <c r="J197" s="59">
        <f t="shared" ref="J197:K197" si="182">SUM(J192:J196)</f>
        <v>0</v>
      </c>
      <c r="K197" s="59">
        <f t="shared" si="182"/>
        <v>415.14</v>
      </c>
      <c r="L197" s="61" t="e">
        <f>AVERAGE(L192:L196)</f>
        <v>#DIV/0!</v>
      </c>
      <c r="M197" s="64"/>
      <c r="N197" s="65">
        <f>SUM(N192:N196)</f>
        <v>11900863.800000001</v>
      </c>
    </row>
    <row r="198" spans="1:14" ht="16">
      <c r="A198" s="138">
        <v>45963</v>
      </c>
      <c r="B198" s="140" t="s">
        <v>49</v>
      </c>
      <c r="C198" s="83"/>
      <c r="D198" s="12"/>
      <c r="E198" s="36">
        <f t="shared" ref="E198:E202" si="183">D198-C198</f>
        <v>0</v>
      </c>
      <c r="F198" s="37">
        <v>260.42</v>
      </c>
      <c r="G198" s="13" t="e">
        <f t="shared" ref="G198:G202" si="184">(F198/E198)*100</f>
        <v>#DIV/0!</v>
      </c>
      <c r="H198" s="83"/>
      <c r="I198" s="126"/>
      <c r="J198" s="39">
        <f t="shared" ref="J198:J202" si="185">I198-H198</f>
        <v>0</v>
      </c>
      <c r="K198" s="39">
        <f t="shared" ref="K198:K202" si="186">F198</f>
        <v>260.42</v>
      </c>
      <c r="L198" s="46" t="e">
        <f t="shared" ref="L198:L202" si="187">(K198/J198)*100</f>
        <v>#DIV/0!</v>
      </c>
      <c r="M198" s="68">
        <v>19200</v>
      </c>
      <c r="N198" s="121">
        <f t="shared" ref="N198:N201" si="188">M198*K198</f>
        <v>5000064</v>
      </c>
    </row>
    <row r="199" spans="1:14" ht="16">
      <c r="A199" s="138">
        <v>45980</v>
      </c>
      <c r="B199" s="140" t="s">
        <v>49</v>
      </c>
      <c r="C199" s="12"/>
      <c r="D199" s="83"/>
      <c r="E199" s="11">
        <f t="shared" si="183"/>
        <v>0</v>
      </c>
      <c r="F199" s="141">
        <v>226.59</v>
      </c>
      <c r="G199" s="13" t="e">
        <f t="shared" si="184"/>
        <v>#DIV/0!</v>
      </c>
      <c r="H199" s="83"/>
      <c r="I199" s="125"/>
      <c r="J199" s="83">
        <f t="shared" si="185"/>
        <v>0</v>
      </c>
      <c r="K199" s="83">
        <f t="shared" si="186"/>
        <v>226.59</v>
      </c>
      <c r="L199" s="136" t="e">
        <f t="shared" si="187"/>
        <v>#DIV/0!</v>
      </c>
      <c r="M199" s="116">
        <v>19860</v>
      </c>
      <c r="N199" s="121">
        <f t="shared" si="188"/>
        <v>4500077.4000000004</v>
      </c>
    </row>
    <row r="200" spans="1:14" ht="16">
      <c r="A200" s="138"/>
      <c r="B200" s="140" t="s">
        <v>49</v>
      </c>
      <c r="C200" s="83"/>
      <c r="D200" s="83"/>
      <c r="E200" s="11">
        <f t="shared" si="183"/>
        <v>0</v>
      </c>
      <c r="F200" s="141"/>
      <c r="G200" s="13" t="e">
        <f t="shared" si="184"/>
        <v>#DIV/0!</v>
      </c>
      <c r="H200" s="83"/>
      <c r="I200" s="125"/>
      <c r="J200" s="83">
        <f t="shared" si="185"/>
        <v>0</v>
      </c>
      <c r="K200" s="83">
        <f t="shared" si="186"/>
        <v>0</v>
      </c>
      <c r="L200" s="136" t="e">
        <f t="shared" si="187"/>
        <v>#DIV/0!</v>
      </c>
      <c r="M200" s="116"/>
      <c r="N200" s="121">
        <f t="shared" si="188"/>
        <v>0</v>
      </c>
    </row>
    <row r="201" spans="1:14" ht="16">
      <c r="A201" s="138"/>
      <c r="B201" s="140" t="s">
        <v>49</v>
      </c>
      <c r="C201" s="83"/>
      <c r="D201" s="83"/>
      <c r="E201" s="11">
        <f t="shared" si="183"/>
        <v>0</v>
      </c>
      <c r="F201" s="141"/>
      <c r="G201" s="13" t="e">
        <f t="shared" si="184"/>
        <v>#DIV/0!</v>
      </c>
      <c r="H201" s="83"/>
      <c r="I201" s="125"/>
      <c r="J201" s="83">
        <f t="shared" si="185"/>
        <v>0</v>
      </c>
      <c r="K201" s="83">
        <f t="shared" si="186"/>
        <v>0</v>
      </c>
      <c r="L201" s="136" t="e">
        <f t="shared" si="187"/>
        <v>#DIV/0!</v>
      </c>
      <c r="M201" s="116"/>
      <c r="N201" s="121">
        <f t="shared" si="188"/>
        <v>0</v>
      </c>
    </row>
    <row r="202" spans="1:14" ht="16">
      <c r="A202" s="138"/>
      <c r="B202" s="140"/>
      <c r="C202" s="83"/>
      <c r="D202" s="83"/>
      <c r="E202" s="11">
        <f t="shared" si="183"/>
        <v>0</v>
      </c>
      <c r="F202" s="141"/>
      <c r="G202" s="13" t="e">
        <f t="shared" si="184"/>
        <v>#DIV/0!</v>
      </c>
      <c r="H202" s="83"/>
      <c r="I202" s="125"/>
      <c r="J202" s="83">
        <f t="shared" si="185"/>
        <v>0</v>
      </c>
      <c r="K202" s="83">
        <f t="shared" si="186"/>
        <v>0</v>
      </c>
      <c r="L202" s="136" t="e">
        <f t="shared" si="187"/>
        <v>#DIV/0!</v>
      </c>
      <c r="M202" s="116"/>
      <c r="N202" s="121">
        <f>F202*M202</f>
        <v>0</v>
      </c>
    </row>
    <row r="203" spans="1:14" ht="16">
      <c r="A203" s="138"/>
      <c r="B203" s="60"/>
      <c r="C203" s="59"/>
      <c r="D203" s="59" t="s">
        <v>19</v>
      </c>
      <c r="E203" s="59">
        <f t="shared" ref="E203:F203" si="189">SUM(E198:E202)</f>
        <v>0</v>
      </c>
      <c r="F203" s="59">
        <f t="shared" si="189"/>
        <v>487.01</v>
      </c>
      <c r="G203" s="61" t="e">
        <f>AVERAGE(G198:G202)</f>
        <v>#DIV/0!</v>
      </c>
      <c r="H203" s="59"/>
      <c r="I203" s="62"/>
      <c r="J203" s="59">
        <f t="shared" ref="J203:K203" si="190">SUM(J198:J202)</f>
        <v>0</v>
      </c>
      <c r="K203" s="59">
        <f t="shared" si="190"/>
        <v>487.01</v>
      </c>
      <c r="L203" s="61" t="e">
        <f>AVERAGE(L198:L202)</f>
        <v>#DIV/0!</v>
      </c>
      <c r="M203" s="64"/>
      <c r="N203" s="65">
        <f>SUM(N198:N202)</f>
        <v>9500141.4000000004</v>
      </c>
    </row>
    <row r="204" spans="1:14" ht="16">
      <c r="A204" s="138">
        <v>45972</v>
      </c>
      <c r="B204" s="140" t="s">
        <v>50</v>
      </c>
      <c r="C204" s="83"/>
      <c r="D204" s="12"/>
      <c r="E204" s="36"/>
      <c r="F204" s="37">
        <v>207.04</v>
      </c>
      <c r="G204" s="13" t="e">
        <f t="shared" ref="G204:G208" si="191">(F204/E204)*100</f>
        <v>#DIV/0!</v>
      </c>
      <c r="H204" s="83"/>
      <c r="I204" s="126"/>
      <c r="J204" s="39"/>
      <c r="K204" s="39">
        <f t="shared" ref="K204:K208" si="192">F204</f>
        <v>207.04</v>
      </c>
      <c r="L204" s="136" t="e">
        <f t="shared" ref="L204:L208" si="193">(K204/J204)*100</f>
        <v>#DIV/0!</v>
      </c>
      <c r="M204" s="68">
        <v>19320</v>
      </c>
      <c r="N204" s="47">
        <f>F204*M204</f>
        <v>4000012.8</v>
      </c>
    </row>
    <row r="205" spans="1:14" ht="16">
      <c r="A205" s="138">
        <v>45986</v>
      </c>
      <c r="B205" s="140" t="s">
        <v>50</v>
      </c>
      <c r="C205" s="83"/>
      <c r="D205" s="83"/>
      <c r="E205" s="11">
        <f t="shared" ref="E205:E208" si="194">D205-C205</f>
        <v>0</v>
      </c>
      <c r="F205" s="141">
        <v>211.91</v>
      </c>
      <c r="G205" s="13" t="e">
        <f t="shared" si="191"/>
        <v>#DIV/0!</v>
      </c>
      <c r="H205" s="83"/>
      <c r="I205" s="125"/>
      <c r="J205" s="83"/>
      <c r="K205" s="39">
        <f t="shared" si="192"/>
        <v>211.91</v>
      </c>
      <c r="L205" s="136" t="e">
        <f t="shared" si="193"/>
        <v>#DIV/0!</v>
      </c>
      <c r="M205" s="116">
        <v>19820</v>
      </c>
      <c r="N205" s="47">
        <f>M205*K205</f>
        <v>4200056.2</v>
      </c>
    </row>
    <row r="206" spans="1:14" ht="16">
      <c r="A206" s="138"/>
      <c r="B206" s="140" t="s">
        <v>50</v>
      </c>
      <c r="C206" s="83"/>
      <c r="D206" s="83"/>
      <c r="E206" s="11">
        <f t="shared" si="194"/>
        <v>0</v>
      </c>
      <c r="F206" s="141"/>
      <c r="G206" s="13" t="e">
        <f t="shared" si="191"/>
        <v>#DIV/0!</v>
      </c>
      <c r="H206" s="83"/>
      <c r="I206" s="125"/>
      <c r="J206" s="83">
        <f t="shared" ref="J206:J208" si="195">I206-H206</f>
        <v>0</v>
      </c>
      <c r="K206" s="39">
        <f t="shared" si="192"/>
        <v>0</v>
      </c>
      <c r="L206" s="136" t="e">
        <f t="shared" si="193"/>
        <v>#DIV/0!</v>
      </c>
      <c r="M206" s="116"/>
      <c r="N206" s="47">
        <f t="shared" ref="N206:N208" si="196">F206*M206</f>
        <v>0</v>
      </c>
    </row>
    <row r="207" spans="1:14" ht="16">
      <c r="A207" s="138"/>
      <c r="B207" s="140" t="s">
        <v>50</v>
      </c>
      <c r="C207" s="83"/>
      <c r="D207" s="83"/>
      <c r="E207" s="11">
        <f t="shared" si="194"/>
        <v>0</v>
      </c>
      <c r="F207" s="141"/>
      <c r="G207" s="13" t="e">
        <f t="shared" si="191"/>
        <v>#DIV/0!</v>
      </c>
      <c r="H207" s="83"/>
      <c r="I207" s="125"/>
      <c r="J207" s="83">
        <f t="shared" si="195"/>
        <v>0</v>
      </c>
      <c r="K207" s="39">
        <f t="shared" si="192"/>
        <v>0</v>
      </c>
      <c r="L207" s="136" t="e">
        <f t="shared" si="193"/>
        <v>#DIV/0!</v>
      </c>
      <c r="M207" s="116"/>
      <c r="N207" s="47">
        <f t="shared" si="196"/>
        <v>0</v>
      </c>
    </row>
    <row r="208" spans="1:14" ht="16">
      <c r="A208" s="138"/>
      <c r="B208" s="140" t="s">
        <v>50</v>
      </c>
      <c r="C208" s="83"/>
      <c r="D208" s="83"/>
      <c r="E208" s="11">
        <f t="shared" si="194"/>
        <v>0</v>
      </c>
      <c r="F208" s="141"/>
      <c r="G208" s="13" t="e">
        <f t="shared" si="191"/>
        <v>#DIV/0!</v>
      </c>
      <c r="H208" s="83"/>
      <c r="I208" s="125"/>
      <c r="J208" s="83">
        <f t="shared" si="195"/>
        <v>0</v>
      </c>
      <c r="K208" s="39">
        <f t="shared" si="192"/>
        <v>0</v>
      </c>
      <c r="L208" s="136" t="e">
        <f t="shared" si="193"/>
        <v>#DIV/0!</v>
      </c>
      <c r="M208" s="116"/>
      <c r="N208" s="47">
        <f t="shared" si="196"/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197">SUM(E204:E208)</f>
        <v>0</v>
      </c>
      <c r="F209" s="59">
        <f t="shared" si="197"/>
        <v>418.95</v>
      </c>
      <c r="G209" s="61" t="e">
        <f>AVERAGE(G204:G208)</f>
        <v>#DIV/0!</v>
      </c>
      <c r="H209" s="59"/>
      <c r="I209" s="62"/>
      <c r="J209" s="59">
        <f t="shared" ref="J209:K209" si="198">SUM(J204:J208)</f>
        <v>0</v>
      </c>
      <c r="K209" s="59">
        <f t="shared" si="198"/>
        <v>418.95</v>
      </c>
      <c r="L209" s="61" t="e">
        <f>AVERAGE(L204:L208)</f>
        <v>#DIV/0!</v>
      </c>
      <c r="M209" s="64"/>
      <c r="N209" s="65">
        <f>SUM(N204:N208)</f>
        <v>8200069</v>
      </c>
    </row>
    <row r="210" spans="1:14" ht="16">
      <c r="A210" s="138">
        <v>45969</v>
      </c>
      <c r="B210" s="140" t="s">
        <v>51</v>
      </c>
      <c r="C210" s="83">
        <v>300635</v>
      </c>
      <c r="D210" s="12">
        <v>300888</v>
      </c>
      <c r="E210" s="11">
        <f t="shared" ref="E210:E214" si="199">D210-C210</f>
        <v>253</v>
      </c>
      <c r="F210" s="37">
        <v>157.87</v>
      </c>
      <c r="G210" s="13">
        <f t="shared" ref="G210:G214" si="200">(F210/E210)*100</f>
        <v>62.399209486166008</v>
      </c>
      <c r="H210" s="83"/>
      <c r="I210" s="126"/>
      <c r="J210" s="39">
        <f t="shared" ref="J210:J214" si="201">I210-H210</f>
        <v>0</v>
      </c>
      <c r="K210" s="39">
        <f>F210</f>
        <v>157.87</v>
      </c>
      <c r="L210" s="136" t="e">
        <f t="shared" ref="L210:L214" si="202">(K210/J210)*100</f>
        <v>#DIV/0!</v>
      </c>
      <c r="M210" s="68">
        <v>19320</v>
      </c>
      <c r="N210" s="47">
        <f>F210*M210</f>
        <v>3050048.4</v>
      </c>
    </row>
    <row r="211" spans="1:14" ht="16">
      <c r="A211" s="249">
        <v>45976</v>
      </c>
      <c r="B211" s="250" t="s">
        <v>51</v>
      </c>
      <c r="C211" s="251">
        <v>300888</v>
      </c>
      <c r="D211" s="252"/>
      <c r="E211" s="253">
        <f t="shared" si="199"/>
        <v>-300888</v>
      </c>
      <c r="F211" s="254"/>
      <c r="G211" s="13">
        <f t="shared" si="200"/>
        <v>0</v>
      </c>
      <c r="H211" s="83"/>
      <c r="I211" s="125"/>
      <c r="J211" s="83">
        <f t="shared" si="201"/>
        <v>0</v>
      </c>
      <c r="K211" s="83"/>
      <c r="L211" s="136" t="e">
        <f t="shared" si="202"/>
        <v>#DIV/0!</v>
      </c>
      <c r="M211" s="116"/>
      <c r="N211" s="47">
        <v>3220000</v>
      </c>
    </row>
    <row r="212" spans="1:14" ht="16">
      <c r="A212" s="138">
        <v>45987</v>
      </c>
      <c r="B212" s="140" t="s">
        <v>51</v>
      </c>
      <c r="C212" s="12">
        <v>300888</v>
      </c>
      <c r="D212" s="83">
        <v>301477</v>
      </c>
      <c r="E212" s="11">
        <f t="shared" si="199"/>
        <v>589</v>
      </c>
      <c r="F212" s="141">
        <v>156.41</v>
      </c>
      <c r="G212" s="13">
        <f t="shared" si="200"/>
        <v>26.555178268251272</v>
      </c>
      <c r="H212" s="83"/>
      <c r="I212" s="125"/>
      <c r="J212" s="83">
        <f t="shared" si="201"/>
        <v>0</v>
      </c>
      <c r="K212" s="83">
        <f t="shared" ref="K212:K214" si="203">F212</f>
        <v>156.41</v>
      </c>
      <c r="L212" s="136" t="e">
        <f t="shared" si="202"/>
        <v>#DIV/0!</v>
      </c>
      <c r="M212" s="116">
        <v>19820</v>
      </c>
      <c r="N212" s="47">
        <f t="shared" ref="N212:N213" si="204">F212*M212</f>
        <v>3100046.1999999997</v>
      </c>
    </row>
    <row r="213" spans="1:14" ht="16">
      <c r="A213" s="138"/>
      <c r="B213" s="140" t="s">
        <v>51</v>
      </c>
      <c r="C213" s="83"/>
      <c r="D213" s="83"/>
      <c r="E213" s="11">
        <f t="shared" si="199"/>
        <v>0</v>
      </c>
      <c r="F213" s="141"/>
      <c r="G213" s="13" t="e">
        <f t="shared" si="200"/>
        <v>#DIV/0!</v>
      </c>
      <c r="H213" s="83"/>
      <c r="I213" s="125"/>
      <c r="J213" s="83">
        <f t="shared" si="201"/>
        <v>0</v>
      </c>
      <c r="K213" s="83">
        <f t="shared" si="203"/>
        <v>0</v>
      </c>
      <c r="L213" s="136" t="e">
        <f t="shared" si="202"/>
        <v>#DIV/0!</v>
      </c>
      <c r="M213" s="116"/>
      <c r="N213" s="47">
        <f t="shared" si="204"/>
        <v>0</v>
      </c>
    </row>
    <row r="214" spans="1:14" ht="16">
      <c r="A214" s="138"/>
      <c r="B214" s="140"/>
      <c r="C214" s="83"/>
      <c r="D214" s="83"/>
      <c r="E214" s="11">
        <f t="shared" si="199"/>
        <v>0</v>
      </c>
      <c r="F214" s="141"/>
      <c r="G214" s="13" t="e">
        <f t="shared" si="200"/>
        <v>#DIV/0!</v>
      </c>
      <c r="H214" s="83"/>
      <c r="I214" s="125"/>
      <c r="J214" s="83">
        <f t="shared" si="201"/>
        <v>0</v>
      </c>
      <c r="K214" s="83">
        <f t="shared" si="203"/>
        <v>0</v>
      </c>
      <c r="L214" s="136" t="e">
        <f t="shared" si="202"/>
        <v>#DIV/0!</v>
      </c>
      <c r="M214" s="116"/>
      <c r="N214" s="47">
        <f>M214*K214</f>
        <v>0</v>
      </c>
    </row>
    <row r="215" spans="1:14" ht="16">
      <c r="A215" s="138"/>
      <c r="B215" s="60"/>
      <c r="C215" s="59"/>
      <c r="D215" s="59" t="s">
        <v>19</v>
      </c>
      <c r="E215" s="59">
        <f t="shared" ref="E215:F215" si="205">SUM(E210:E214)</f>
        <v>-300046</v>
      </c>
      <c r="F215" s="59">
        <f t="shared" si="205"/>
        <v>314.27999999999997</v>
      </c>
      <c r="G215" s="61" t="e">
        <f>AVERAGE(G210:G214)</f>
        <v>#DIV/0!</v>
      </c>
      <c r="H215" s="59"/>
      <c r="I215" s="62"/>
      <c r="J215" s="59">
        <f t="shared" ref="J215:K215" si="206">SUM(J210:J214)</f>
        <v>0</v>
      </c>
      <c r="K215" s="59">
        <f t="shared" si="206"/>
        <v>314.27999999999997</v>
      </c>
      <c r="L215" s="61" t="e">
        <f>AVERAGE(L210:L214)</f>
        <v>#DIV/0!</v>
      </c>
      <c r="M215" s="64"/>
      <c r="N215" s="65">
        <f>SUM(N210:N214)</f>
        <v>9370094.5999999996</v>
      </c>
    </row>
    <row r="216" spans="1:14" ht="16">
      <c r="A216" s="138">
        <v>45962</v>
      </c>
      <c r="B216" s="172" t="s">
        <v>62</v>
      </c>
      <c r="C216" s="83"/>
      <c r="D216" s="12"/>
      <c r="E216" s="36">
        <f t="shared" ref="E216:E220" si="207">D216-C216</f>
        <v>0</v>
      </c>
      <c r="F216" s="37"/>
      <c r="G216" s="13" t="e">
        <f t="shared" ref="G216:G220" si="208">(F216/E216)*100</f>
        <v>#DIV/0!</v>
      </c>
      <c r="H216" s="83"/>
      <c r="I216" s="126"/>
      <c r="J216" s="39">
        <f t="shared" ref="J216:J220" si="209">I216-H216</f>
        <v>0</v>
      </c>
      <c r="K216" s="39">
        <f t="shared" ref="K216:K220" si="210">F216</f>
        <v>0</v>
      </c>
      <c r="L216" s="136" t="e">
        <f t="shared" ref="L216:L220" si="211">(K216/J216)*100</f>
        <v>#DIV/0!</v>
      </c>
      <c r="M216" s="68"/>
      <c r="N216" s="121">
        <v>8000000</v>
      </c>
    </row>
    <row r="217" spans="1:14" ht="16">
      <c r="A217" s="138">
        <v>45973</v>
      </c>
      <c r="B217" s="172" t="s">
        <v>62</v>
      </c>
      <c r="C217" s="83"/>
      <c r="D217" s="83"/>
      <c r="E217" s="11">
        <f t="shared" si="207"/>
        <v>0</v>
      </c>
      <c r="F217" s="141"/>
      <c r="G217" s="13" t="e">
        <f t="shared" si="208"/>
        <v>#DIV/0!</v>
      </c>
      <c r="H217" s="83"/>
      <c r="I217" s="125"/>
      <c r="J217" s="83">
        <f t="shared" si="209"/>
        <v>0</v>
      </c>
      <c r="K217" s="83">
        <f t="shared" si="210"/>
        <v>0</v>
      </c>
      <c r="L217" s="136" t="e">
        <f t="shared" si="211"/>
        <v>#DIV/0!</v>
      </c>
      <c r="M217" s="116"/>
      <c r="N217" s="121">
        <v>7000000</v>
      </c>
    </row>
    <row r="218" spans="1:14" ht="16">
      <c r="A218" s="138">
        <v>45985</v>
      </c>
      <c r="B218" s="172" t="s">
        <v>62</v>
      </c>
      <c r="C218" s="83"/>
      <c r="D218" s="83"/>
      <c r="E218" s="11">
        <f t="shared" si="207"/>
        <v>0</v>
      </c>
      <c r="F218" s="141"/>
      <c r="G218" s="13" t="e">
        <f t="shared" si="208"/>
        <v>#DIV/0!</v>
      </c>
      <c r="H218" s="83"/>
      <c r="I218" s="125"/>
      <c r="J218" s="83">
        <f t="shared" si="209"/>
        <v>0</v>
      </c>
      <c r="K218" s="83">
        <f t="shared" si="210"/>
        <v>0</v>
      </c>
      <c r="L218" s="136" t="e">
        <f t="shared" si="211"/>
        <v>#DIV/0!</v>
      </c>
      <c r="M218" s="116"/>
      <c r="N218" s="121">
        <v>6000000</v>
      </c>
    </row>
    <row r="219" spans="1:14" ht="16">
      <c r="A219" s="138"/>
      <c r="B219" s="172" t="s">
        <v>62</v>
      </c>
      <c r="C219" s="83"/>
      <c r="D219" s="83"/>
      <c r="E219" s="11">
        <f t="shared" si="207"/>
        <v>0</v>
      </c>
      <c r="F219" s="141"/>
      <c r="G219" s="13" t="e">
        <f t="shared" si="208"/>
        <v>#DIV/0!</v>
      </c>
      <c r="H219" s="83"/>
      <c r="I219" s="125"/>
      <c r="J219" s="83">
        <f t="shared" si="209"/>
        <v>0</v>
      </c>
      <c r="K219" s="83">
        <f t="shared" si="210"/>
        <v>0</v>
      </c>
      <c r="L219" s="136" t="e">
        <f t="shared" si="211"/>
        <v>#DIV/0!</v>
      </c>
      <c r="M219" s="116"/>
      <c r="N219" s="121">
        <f t="shared" ref="N219:N220" si="212">F219*M219</f>
        <v>0</v>
      </c>
    </row>
    <row r="220" spans="1:14" ht="16">
      <c r="A220" s="138"/>
      <c r="B220" s="172" t="s">
        <v>62</v>
      </c>
      <c r="C220" s="83"/>
      <c r="D220" s="83"/>
      <c r="E220" s="11">
        <f t="shared" si="207"/>
        <v>0</v>
      </c>
      <c r="F220" s="141"/>
      <c r="G220" s="13" t="e">
        <f t="shared" si="208"/>
        <v>#DIV/0!</v>
      </c>
      <c r="H220" s="83"/>
      <c r="I220" s="125"/>
      <c r="J220" s="83">
        <f t="shared" si="209"/>
        <v>0</v>
      </c>
      <c r="K220" s="83">
        <f t="shared" si="210"/>
        <v>0</v>
      </c>
      <c r="L220" s="136" t="e">
        <f t="shared" si="211"/>
        <v>#DIV/0!</v>
      </c>
      <c r="M220" s="116"/>
      <c r="N220" s="121">
        <f t="shared" si="212"/>
        <v>0</v>
      </c>
    </row>
    <row r="221" spans="1:14" ht="16">
      <c r="A221" s="59"/>
      <c r="B221" s="60"/>
      <c r="C221" s="59"/>
      <c r="D221" s="59"/>
      <c r="E221" s="59">
        <f t="shared" ref="E221:F221" si="213">SUM(E216:E220)</f>
        <v>0</v>
      </c>
      <c r="F221" s="59">
        <f t="shared" si="213"/>
        <v>0</v>
      </c>
      <c r="G221" s="61" t="e">
        <f>AVERAGE(G216:G220)</f>
        <v>#DIV/0!</v>
      </c>
      <c r="H221" s="59"/>
      <c r="I221" s="62"/>
      <c r="J221" s="59">
        <f t="shared" ref="J221:K221" si="214">SUM(J216:J220)</f>
        <v>0</v>
      </c>
      <c r="K221" s="59">
        <f t="shared" si="214"/>
        <v>0</v>
      </c>
      <c r="L221" s="61" t="e">
        <f>AVERAGE(L216:L220)</f>
        <v>#DIV/0!</v>
      </c>
      <c r="M221" s="64"/>
      <c r="N221" s="65">
        <f>SUM(N216:N220)</f>
        <v>21000000</v>
      </c>
    </row>
    <row r="222" spans="1:14" ht="16">
      <c r="A222" s="66">
        <v>45966</v>
      </c>
      <c r="B222" s="140" t="s">
        <v>54</v>
      </c>
      <c r="C222" s="83"/>
      <c r="D222" s="12"/>
      <c r="E222" s="36">
        <f t="shared" ref="E222:E227" si="215">D222-C222</f>
        <v>0</v>
      </c>
      <c r="F222" s="37"/>
      <c r="G222" s="13" t="e">
        <f t="shared" ref="G222:G227" si="216">(F222/E222)*100</f>
        <v>#DIV/0!</v>
      </c>
      <c r="H222" s="83"/>
      <c r="I222" s="126"/>
      <c r="J222" s="39">
        <f t="shared" ref="J222:J228" si="217">I222-H222</f>
        <v>0</v>
      </c>
      <c r="K222" s="39"/>
      <c r="L222" s="136" t="e">
        <f t="shared" ref="L222:L228" si="218">(K222/J222)*100</f>
        <v>#DIV/0!</v>
      </c>
      <c r="M222" s="68"/>
      <c r="N222" s="47">
        <v>3000000</v>
      </c>
    </row>
    <row r="223" spans="1:14" ht="16">
      <c r="A223" s="33">
        <v>45968</v>
      </c>
      <c r="B223" s="140" t="s">
        <v>54</v>
      </c>
      <c r="C223" s="83"/>
      <c r="D223" s="83"/>
      <c r="E223" s="11">
        <f t="shared" si="215"/>
        <v>0</v>
      </c>
      <c r="F223" s="141"/>
      <c r="G223" s="13" t="e">
        <f t="shared" si="216"/>
        <v>#DIV/0!</v>
      </c>
      <c r="H223" s="83"/>
      <c r="I223" s="125"/>
      <c r="J223" s="83">
        <f t="shared" si="217"/>
        <v>0</v>
      </c>
      <c r="K223" s="83">
        <f t="shared" ref="K223:K228" si="219">F223</f>
        <v>0</v>
      </c>
      <c r="L223" s="136" t="e">
        <f t="shared" si="218"/>
        <v>#DIV/0!</v>
      </c>
      <c r="M223" s="116"/>
      <c r="N223" s="47">
        <v>5000000</v>
      </c>
    </row>
    <row r="224" spans="1:14" ht="16">
      <c r="A224" s="33">
        <v>45971</v>
      </c>
      <c r="B224" s="140" t="s">
        <v>54</v>
      </c>
      <c r="C224" s="83"/>
      <c r="D224" s="83"/>
      <c r="E224" s="11">
        <f t="shared" si="215"/>
        <v>0</v>
      </c>
      <c r="F224" s="141"/>
      <c r="G224" s="13" t="e">
        <f t="shared" si="216"/>
        <v>#DIV/0!</v>
      </c>
      <c r="H224" s="83"/>
      <c r="I224" s="125"/>
      <c r="J224" s="83">
        <f t="shared" si="217"/>
        <v>0</v>
      </c>
      <c r="K224" s="83">
        <f t="shared" si="219"/>
        <v>0</v>
      </c>
      <c r="L224" s="136" t="e">
        <f t="shared" si="218"/>
        <v>#DIV/0!</v>
      </c>
      <c r="M224" s="116"/>
      <c r="N224" s="47">
        <v>2000000</v>
      </c>
    </row>
    <row r="225" spans="1:14" ht="16">
      <c r="A225" s="33">
        <v>45973</v>
      </c>
      <c r="B225" s="140" t="s">
        <v>54</v>
      </c>
      <c r="C225" s="83"/>
      <c r="D225" s="83"/>
      <c r="E225" s="11">
        <f t="shared" si="215"/>
        <v>0</v>
      </c>
      <c r="F225" s="141"/>
      <c r="G225" s="13" t="e">
        <f t="shared" si="216"/>
        <v>#DIV/0!</v>
      </c>
      <c r="H225" s="83"/>
      <c r="I225" s="125"/>
      <c r="J225" s="83">
        <f t="shared" si="217"/>
        <v>0</v>
      </c>
      <c r="K225" s="83">
        <f t="shared" si="219"/>
        <v>0</v>
      </c>
      <c r="L225" s="136" t="e">
        <f t="shared" si="218"/>
        <v>#DIV/0!</v>
      </c>
      <c r="M225" s="116"/>
      <c r="N225" s="47">
        <v>7000000</v>
      </c>
    </row>
    <row r="226" spans="1:14" ht="16">
      <c r="A226" s="33">
        <v>45977</v>
      </c>
      <c r="B226" s="140" t="s">
        <v>54</v>
      </c>
      <c r="C226" s="83"/>
      <c r="D226" s="83"/>
      <c r="E226" s="11">
        <f t="shared" si="215"/>
        <v>0</v>
      </c>
      <c r="F226" s="141"/>
      <c r="G226" s="13" t="e">
        <f t="shared" si="216"/>
        <v>#DIV/0!</v>
      </c>
      <c r="H226" s="83"/>
      <c r="I226" s="125"/>
      <c r="J226" s="83">
        <f t="shared" si="217"/>
        <v>0</v>
      </c>
      <c r="K226" s="83">
        <f t="shared" si="219"/>
        <v>0</v>
      </c>
      <c r="L226" s="136" t="e">
        <f t="shared" si="218"/>
        <v>#DIV/0!</v>
      </c>
      <c r="M226" s="116"/>
      <c r="N226" s="47">
        <v>3000000</v>
      </c>
    </row>
    <row r="227" spans="1:14" ht="16">
      <c r="A227" s="33">
        <v>45980</v>
      </c>
      <c r="B227" s="140" t="s">
        <v>54</v>
      </c>
      <c r="C227" s="83"/>
      <c r="D227" s="83"/>
      <c r="E227" s="11">
        <f t="shared" si="215"/>
        <v>0</v>
      </c>
      <c r="F227" s="141"/>
      <c r="G227" s="13" t="e">
        <f t="shared" si="216"/>
        <v>#DIV/0!</v>
      </c>
      <c r="H227" s="83"/>
      <c r="I227" s="125"/>
      <c r="J227" s="83">
        <f t="shared" si="217"/>
        <v>0</v>
      </c>
      <c r="K227" s="83">
        <f t="shared" si="219"/>
        <v>0</v>
      </c>
      <c r="L227" s="136" t="e">
        <f t="shared" si="218"/>
        <v>#DIV/0!</v>
      </c>
      <c r="M227" s="116"/>
      <c r="N227" s="47">
        <v>2000000</v>
      </c>
    </row>
    <row r="228" spans="1:14" ht="16">
      <c r="A228" s="33">
        <v>45982</v>
      </c>
      <c r="B228" s="140" t="s">
        <v>54</v>
      </c>
      <c r="C228" s="83"/>
      <c r="D228" s="83"/>
      <c r="E228" s="11"/>
      <c r="F228" s="141"/>
      <c r="G228" s="13"/>
      <c r="H228" s="83"/>
      <c r="I228" s="125"/>
      <c r="J228" s="83">
        <f t="shared" si="217"/>
        <v>0</v>
      </c>
      <c r="K228" s="83">
        <f t="shared" si="219"/>
        <v>0</v>
      </c>
      <c r="L228" s="136" t="e">
        <f t="shared" si="218"/>
        <v>#DIV/0!</v>
      </c>
      <c r="M228" s="116"/>
      <c r="N228" s="47">
        <v>3000000</v>
      </c>
    </row>
    <row r="229" spans="1:14" ht="16">
      <c r="A229" s="33">
        <v>45985</v>
      </c>
      <c r="B229" s="140" t="s">
        <v>54</v>
      </c>
      <c r="C229" s="83"/>
      <c r="D229" s="83"/>
      <c r="E229" s="11"/>
      <c r="F229" s="141"/>
      <c r="G229" s="13"/>
      <c r="H229" s="83"/>
      <c r="I229" s="125"/>
      <c r="J229" s="83"/>
      <c r="K229" s="83"/>
      <c r="L229" s="136"/>
      <c r="M229" s="116"/>
      <c r="N229" s="47">
        <v>6000000</v>
      </c>
    </row>
    <row r="230" spans="1:14" ht="16">
      <c r="A230" s="33">
        <v>45990</v>
      </c>
      <c r="B230" s="140" t="s">
        <v>54</v>
      </c>
      <c r="C230" s="83"/>
      <c r="D230" s="83"/>
      <c r="E230" s="11">
        <f>D230-C230</f>
        <v>0</v>
      </c>
      <c r="F230" s="141"/>
      <c r="G230" s="13" t="e">
        <f>(F230/E230)*100</f>
        <v>#DIV/0!</v>
      </c>
      <c r="H230" s="83"/>
      <c r="I230" s="125"/>
      <c r="J230" s="83">
        <f>I230-H230</f>
        <v>0</v>
      </c>
      <c r="K230" s="83">
        <f>F230</f>
        <v>0</v>
      </c>
      <c r="L230" s="136" t="e">
        <f>(K230/J230)*100</f>
        <v>#DIV/0!</v>
      </c>
      <c r="M230" s="116"/>
      <c r="N230" s="47">
        <v>7000000</v>
      </c>
    </row>
    <row r="231" spans="1:14" ht="16">
      <c r="A231" s="66"/>
      <c r="B231" s="60"/>
      <c r="C231" s="59"/>
      <c r="D231" s="59" t="s">
        <v>19</v>
      </c>
      <c r="E231" s="59">
        <f t="shared" ref="E231:F231" si="220">SUM(E222:E230)</f>
        <v>0</v>
      </c>
      <c r="F231" s="59">
        <f t="shared" si="220"/>
        <v>0</v>
      </c>
      <c r="G231" s="61" t="e">
        <f>AVERAGE(G222:G230)</f>
        <v>#DIV/0!</v>
      </c>
      <c r="H231" s="59"/>
      <c r="I231" s="62"/>
      <c r="J231" s="59">
        <f t="shared" ref="J231:K231" si="221">SUM(J222:J230)</f>
        <v>0</v>
      </c>
      <c r="K231" s="59">
        <f t="shared" si="221"/>
        <v>0</v>
      </c>
      <c r="L231" s="61" t="e">
        <f>AVERAGE(L222:L230)</f>
        <v>#DIV/0!</v>
      </c>
      <c r="M231" s="64"/>
      <c r="N231" s="65">
        <f>SUM(N222:N230)</f>
        <v>38000000</v>
      </c>
    </row>
    <row r="232" spans="1:14" ht="16">
      <c r="A232" s="66">
        <v>45962</v>
      </c>
      <c r="B232" s="140" t="s">
        <v>69</v>
      </c>
      <c r="C232" s="83"/>
      <c r="D232" s="12"/>
      <c r="E232" s="36">
        <f t="shared" ref="E232:E237" si="222">D232-C232</f>
        <v>0</v>
      </c>
      <c r="F232" s="37"/>
      <c r="G232" s="13" t="e">
        <f t="shared" ref="G232:G237" si="223">(F232/E232)*100</f>
        <v>#DIV/0!</v>
      </c>
      <c r="H232" s="83"/>
      <c r="I232" s="126"/>
      <c r="J232" s="39">
        <f t="shared" ref="J232:J237" si="224">I232-H232</f>
        <v>0</v>
      </c>
      <c r="K232" s="39">
        <f t="shared" ref="K232:K237" si="225">F232</f>
        <v>0</v>
      </c>
      <c r="L232" s="67" t="e">
        <f t="shared" ref="L232:L237" si="226">(K232/J232)*100</f>
        <v>#DIV/0!</v>
      </c>
      <c r="M232" s="68"/>
      <c r="N232" s="47">
        <v>6658000</v>
      </c>
    </row>
    <row r="233" spans="1:14" ht="16">
      <c r="A233" s="33">
        <v>45978</v>
      </c>
      <c r="B233" s="140" t="s">
        <v>69</v>
      </c>
      <c r="C233" s="83"/>
      <c r="D233" s="83"/>
      <c r="E233" s="11">
        <f t="shared" si="222"/>
        <v>0</v>
      </c>
      <c r="F233" s="141"/>
      <c r="G233" s="13" t="e">
        <f t="shared" si="223"/>
        <v>#DIV/0!</v>
      </c>
      <c r="H233" s="83"/>
      <c r="I233" s="125"/>
      <c r="J233" s="35">
        <f t="shared" si="224"/>
        <v>0</v>
      </c>
      <c r="K233" s="35">
        <f t="shared" si="225"/>
        <v>0</v>
      </c>
      <c r="L233" s="46" t="e">
        <f t="shared" si="226"/>
        <v>#DIV/0!</v>
      </c>
      <c r="M233" s="116"/>
      <c r="N233" s="47">
        <v>3000000</v>
      </c>
    </row>
    <row r="234" spans="1:14" ht="16">
      <c r="A234" s="66">
        <v>45979</v>
      </c>
      <c r="B234" s="140" t="s">
        <v>69</v>
      </c>
      <c r="C234" s="83"/>
      <c r="D234" s="12"/>
      <c r="E234" s="36">
        <f t="shared" si="222"/>
        <v>0</v>
      </c>
      <c r="F234" s="37"/>
      <c r="G234" s="13" t="e">
        <f t="shared" si="223"/>
        <v>#DIV/0!</v>
      </c>
      <c r="H234" s="83"/>
      <c r="I234" s="126"/>
      <c r="J234" s="39">
        <f t="shared" si="224"/>
        <v>0</v>
      </c>
      <c r="K234" s="39">
        <f t="shared" si="225"/>
        <v>0</v>
      </c>
      <c r="L234" s="67" t="e">
        <f t="shared" si="226"/>
        <v>#DIV/0!</v>
      </c>
      <c r="M234" s="68"/>
      <c r="N234" s="47">
        <v>4665000</v>
      </c>
    </row>
    <row r="235" spans="1:14" ht="16">
      <c r="A235" s="33"/>
      <c r="B235" s="140" t="s">
        <v>69</v>
      </c>
      <c r="C235" s="83"/>
      <c r="D235" s="83"/>
      <c r="E235" s="11">
        <f t="shared" si="222"/>
        <v>0</v>
      </c>
      <c r="F235" s="141"/>
      <c r="G235" s="13" t="e">
        <f t="shared" si="223"/>
        <v>#DIV/0!</v>
      </c>
      <c r="H235" s="83"/>
      <c r="I235" s="125"/>
      <c r="J235" s="35">
        <f t="shared" si="224"/>
        <v>0</v>
      </c>
      <c r="K235" s="35">
        <f t="shared" si="225"/>
        <v>0</v>
      </c>
      <c r="L235" s="46" t="e">
        <f t="shared" si="226"/>
        <v>#DIV/0!</v>
      </c>
      <c r="M235" s="116"/>
      <c r="N235" s="47">
        <f t="shared" ref="N235:N237" si="227">M235*F235</f>
        <v>0</v>
      </c>
    </row>
    <row r="236" spans="1:14" ht="16">
      <c r="A236" s="33"/>
      <c r="B236" s="140" t="s">
        <v>69</v>
      </c>
      <c r="C236" s="83"/>
      <c r="D236" s="83"/>
      <c r="E236" s="11">
        <f t="shared" si="222"/>
        <v>0</v>
      </c>
      <c r="F236" s="141"/>
      <c r="G236" s="13" t="e">
        <f t="shared" si="223"/>
        <v>#DIV/0!</v>
      </c>
      <c r="H236" s="83"/>
      <c r="I236" s="125"/>
      <c r="J236" s="35">
        <f t="shared" si="224"/>
        <v>0</v>
      </c>
      <c r="K236" s="35">
        <f t="shared" si="225"/>
        <v>0</v>
      </c>
      <c r="L236" s="73" t="e">
        <f t="shared" si="226"/>
        <v>#DIV/0!</v>
      </c>
      <c r="M236" s="116"/>
      <c r="N236" s="47">
        <f t="shared" si="227"/>
        <v>0</v>
      </c>
    </row>
    <row r="237" spans="1:14" ht="16">
      <c r="A237" s="33"/>
      <c r="B237" s="140" t="s">
        <v>69</v>
      </c>
      <c r="C237" s="83"/>
      <c r="D237" s="83"/>
      <c r="E237" s="11">
        <f t="shared" si="222"/>
        <v>0</v>
      </c>
      <c r="F237" s="141"/>
      <c r="G237" s="13" t="e">
        <f t="shared" si="223"/>
        <v>#DIV/0!</v>
      </c>
      <c r="H237" s="83"/>
      <c r="I237" s="125"/>
      <c r="J237" s="83">
        <f t="shared" si="224"/>
        <v>0</v>
      </c>
      <c r="K237" s="83">
        <f t="shared" si="225"/>
        <v>0</v>
      </c>
      <c r="L237" s="136" t="e">
        <f t="shared" si="226"/>
        <v>#DIV/0!</v>
      </c>
      <c r="M237" s="116"/>
      <c r="N237" s="47">
        <f t="shared" si="227"/>
        <v>0</v>
      </c>
    </row>
    <row r="238" spans="1:14" ht="16">
      <c r="A238" s="66"/>
      <c r="B238" s="60"/>
      <c r="C238" s="59"/>
      <c r="D238" s="59" t="s">
        <v>19</v>
      </c>
      <c r="E238" s="59">
        <f t="shared" ref="E238:F238" si="228">SUM(E232:E237)</f>
        <v>0</v>
      </c>
      <c r="F238" s="59">
        <f t="shared" si="228"/>
        <v>0</v>
      </c>
      <c r="G238" s="61" t="e">
        <f>AVERAGE(G232:G237)</f>
        <v>#DIV/0!</v>
      </c>
      <c r="H238" s="59"/>
      <c r="I238" s="62"/>
      <c r="J238" s="59">
        <f t="shared" ref="J238:K238" si="229">SUM(J232:J237)</f>
        <v>0</v>
      </c>
      <c r="K238" s="59">
        <f t="shared" si="229"/>
        <v>0</v>
      </c>
      <c r="L238" s="61" t="e">
        <f>AVERAGE(L232:L237)</f>
        <v>#DIV/0!</v>
      </c>
      <c r="M238" s="64"/>
      <c r="N238" s="65">
        <f>SUM(N232:N237)</f>
        <v>14323000</v>
      </c>
    </row>
    <row r="239" spans="1:14" ht="16">
      <c r="A239" s="66">
        <v>45969</v>
      </c>
      <c r="B239" s="207" t="s">
        <v>63</v>
      </c>
      <c r="C239" s="83">
        <v>139996</v>
      </c>
      <c r="D239" s="12">
        <v>140868</v>
      </c>
      <c r="E239" s="36">
        <f t="shared" ref="E239:E244" si="230">D239-C239</f>
        <v>872</v>
      </c>
      <c r="F239" s="37">
        <v>242.24</v>
      </c>
      <c r="G239" s="13">
        <f t="shared" ref="G239:G244" si="231">(F239/E239)*100</f>
        <v>27.779816513761467</v>
      </c>
      <c r="H239" s="83"/>
      <c r="I239" s="126"/>
      <c r="J239" s="39">
        <f t="shared" ref="J239:J244" si="232">I239-H239</f>
        <v>0</v>
      </c>
      <c r="K239" s="39">
        <f t="shared" ref="K239:K244" si="233">F239</f>
        <v>242.24</v>
      </c>
      <c r="L239" s="136" t="e">
        <f t="shared" ref="L239:L244" si="234">(K239/J239)*100</f>
        <v>#DIV/0!</v>
      </c>
      <c r="M239" s="68">
        <v>19320</v>
      </c>
      <c r="N239" s="47">
        <f t="shared" ref="N239:N244" si="235">M239*F239</f>
        <v>4680076.8</v>
      </c>
    </row>
    <row r="240" spans="1:14" ht="16">
      <c r="A240" s="33">
        <v>45979</v>
      </c>
      <c r="B240" s="207" t="s">
        <v>63</v>
      </c>
      <c r="C240" s="12">
        <v>140868</v>
      </c>
      <c r="D240" s="12">
        <v>141779</v>
      </c>
      <c r="E240" s="11">
        <f t="shared" si="230"/>
        <v>911</v>
      </c>
      <c r="F240" s="141">
        <v>266.87</v>
      </c>
      <c r="G240" s="13">
        <f t="shared" si="231"/>
        <v>29.294182217343579</v>
      </c>
      <c r="H240" s="83"/>
      <c r="I240" s="125"/>
      <c r="J240" s="83">
        <f t="shared" si="232"/>
        <v>0</v>
      </c>
      <c r="K240" s="35">
        <f t="shared" si="233"/>
        <v>266.87</v>
      </c>
      <c r="L240" s="136" t="e">
        <f t="shared" si="234"/>
        <v>#DIV/0!</v>
      </c>
      <c r="M240" s="116">
        <v>19860</v>
      </c>
      <c r="N240" s="47">
        <f t="shared" si="235"/>
        <v>5300038.2</v>
      </c>
    </row>
    <row r="241" spans="1:14" ht="16">
      <c r="A241" s="33">
        <v>45987</v>
      </c>
      <c r="B241" s="207" t="s">
        <v>63</v>
      </c>
      <c r="C241" s="12">
        <v>141779</v>
      </c>
      <c r="D241" s="83">
        <v>142721</v>
      </c>
      <c r="E241" s="11">
        <f t="shared" si="230"/>
        <v>942</v>
      </c>
      <c r="F241" s="141">
        <v>271.94</v>
      </c>
      <c r="G241" s="13">
        <f t="shared" si="231"/>
        <v>28.868365180467094</v>
      </c>
      <c r="H241" s="83"/>
      <c r="I241" s="125"/>
      <c r="J241" s="83">
        <f t="shared" si="232"/>
        <v>0</v>
      </c>
      <c r="K241" s="35">
        <f t="shared" si="233"/>
        <v>271.94</v>
      </c>
      <c r="L241" s="136" t="e">
        <f t="shared" si="234"/>
        <v>#DIV/0!</v>
      </c>
      <c r="M241" s="116">
        <v>19820</v>
      </c>
      <c r="N241" s="47">
        <f t="shared" si="235"/>
        <v>5389850.7999999998</v>
      </c>
    </row>
    <row r="242" spans="1:14" ht="16">
      <c r="A242" s="33"/>
      <c r="B242" s="207" t="s">
        <v>63</v>
      </c>
      <c r="C242" s="83"/>
      <c r="D242" s="83"/>
      <c r="E242" s="11">
        <f t="shared" si="230"/>
        <v>0</v>
      </c>
      <c r="F242" s="141"/>
      <c r="G242" s="13" t="e">
        <f t="shared" si="231"/>
        <v>#DIV/0!</v>
      </c>
      <c r="H242" s="83"/>
      <c r="I242" s="125"/>
      <c r="J242" s="83">
        <f t="shared" si="232"/>
        <v>0</v>
      </c>
      <c r="K242" s="35">
        <f t="shared" si="233"/>
        <v>0</v>
      </c>
      <c r="L242" s="136" t="e">
        <f t="shared" si="234"/>
        <v>#DIV/0!</v>
      </c>
      <c r="M242" s="116"/>
      <c r="N242" s="47">
        <f t="shared" si="235"/>
        <v>0</v>
      </c>
    </row>
    <row r="243" spans="1:14" ht="16">
      <c r="A243" s="33"/>
      <c r="B243" s="207" t="s">
        <v>63</v>
      </c>
      <c r="C243" s="35"/>
      <c r="D243" s="83"/>
      <c r="E243" s="11">
        <f t="shared" si="230"/>
        <v>0</v>
      </c>
      <c r="F243" s="141"/>
      <c r="G243" s="13" t="e">
        <f t="shared" si="231"/>
        <v>#DIV/0!</v>
      </c>
      <c r="H243" s="83"/>
      <c r="I243" s="125"/>
      <c r="J243" s="83">
        <f t="shared" si="232"/>
        <v>0</v>
      </c>
      <c r="K243" s="35">
        <f t="shared" si="233"/>
        <v>0</v>
      </c>
      <c r="L243" s="136" t="e">
        <f t="shared" si="234"/>
        <v>#DIV/0!</v>
      </c>
      <c r="M243" s="116"/>
      <c r="N243" s="47">
        <f t="shared" si="235"/>
        <v>0</v>
      </c>
    </row>
    <row r="244" spans="1:14" ht="16">
      <c r="A244" s="138"/>
      <c r="B244" s="140"/>
      <c r="C244" s="83"/>
      <c r="D244" s="83"/>
      <c r="E244" s="11">
        <f t="shared" si="230"/>
        <v>0</v>
      </c>
      <c r="F244" s="141"/>
      <c r="G244" s="13" t="e">
        <f t="shared" si="231"/>
        <v>#DIV/0!</v>
      </c>
      <c r="H244" s="83"/>
      <c r="I244" s="125"/>
      <c r="J244" s="83">
        <f t="shared" si="232"/>
        <v>0</v>
      </c>
      <c r="K244" s="35">
        <f t="shared" si="233"/>
        <v>0</v>
      </c>
      <c r="L244" s="136" t="e">
        <f t="shared" si="234"/>
        <v>#DIV/0!</v>
      </c>
      <c r="M244" s="116"/>
      <c r="N244" s="47">
        <f t="shared" si="235"/>
        <v>0</v>
      </c>
    </row>
    <row r="245" spans="1:14" ht="16">
      <c r="A245" s="59"/>
      <c r="B245" s="60"/>
      <c r="C245" s="59"/>
      <c r="D245" s="59" t="s">
        <v>19</v>
      </c>
      <c r="E245" s="59">
        <f t="shared" ref="E245:F245" si="236">SUM(E239:E244)</f>
        <v>2725</v>
      </c>
      <c r="F245" s="59">
        <f t="shared" si="236"/>
        <v>781.05</v>
      </c>
      <c r="G245" s="61" t="e">
        <f>AVERAGE(G239:G244)</f>
        <v>#DIV/0!</v>
      </c>
      <c r="H245" s="59"/>
      <c r="I245" s="62"/>
      <c r="J245" s="59">
        <f t="shared" ref="J245:K245" si="237">SUM(J239:J244)</f>
        <v>0</v>
      </c>
      <c r="K245" s="59">
        <f t="shared" si="237"/>
        <v>781.05</v>
      </c>
      <c r="L245" s="61" t="e">
        <f>AVERAGE(L239:L244)</f>
        <v>#DIV/0!</v>
      </c>
      <c r="M245" s="64"/>
      <c r="N245" s="65">
        <f>SUM(N239:N244)</f>
        <v>15369965.800000001</v>
      </c>
    </row>
    <row r="246" spans="1:14" ht="14">
      <c r="A246" s="354" t="s">
        <v>64</v>
      </c>
      <c r="B246" s="355"/>
      <c r="C246" s="355"/>
      <c r="D246" s="355"/>
      <c r="E246" s="355"/>
      <c r="F246" s="355"/>
      <c r="G246" s="355"/>
      <c r="H246" s="355"/>
      <c r="I246" s="355"/>
      <c r="J246" s="355"/>
      <c r="K246" s="355"/>
      <c r="L246" s="356"/>
      <c r="M246" s="64"/>
      <c r="N246" s="65">
        <f>SUM(N180:N245)/2</f>
        <v>161214121.20000002</v>
      </c>
    </row>
    <row r="247" spans="1:14" ht="13">
      <c r="G247" s="150"/>
      <c r="L247" s="150"/>
      <c r="N247" s="151"/>
    </row>
    <row r="248" spans="1:14" ht="13">
      <c r="G248" s="150"/>
      <c r="L248" s="150"/>
      <c r="N248" s="151"/>
    </row>
    <row r="249" spans="1:14" ht="13">
      <c r="G249" s="150"/>
      <c r="L249" s="150"/>
      <c r="N249" s="151"/>
    </row>
    <row r="250" spans="1:14" ht="13">
      <c r="G250" s="150"/>
      <c r="L250" s="150"/>
      <c r="N250" s="151"/>
    </row>
    <row r="251" spans="1:14" ht="13">
      <c r="G251" s="150"/>
      <c r="L251" s="150"/>
      <c r="N251" s="151"/>
    </row>
    <row r="252" spans="1:14" ht="13">
      <c r="G252" s="150"/>
      <c r="L252" s="150"/>
      <c r="N252" s="151"/>
    </row>
    <row r="253" spans="1:14" ht="13">
      <c r="G253" s="150"/>
      <c r="L253" s="150"/>
      <c r="N253" s="151"/>
    </row>
    <row r="254" spans="1:14" ht="13">
      <c r="G254" s="150"/>
      <c r="L254" s="150"/>
      <c r="N254" s="151"/>
    </row>
    <row r="255" spans="1:14" ht="13">
      <c r="G255" s="150"/>
      <c r="L255" s="150"/>
      <c r="N255" s="151"/>
    </row>
    <row r="256" spans="1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</sheetData>
  <mergeCells count="2">
    <mergeCell ref="A1:N1"/>
    <mergeCell ref="A246:L2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82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45931</v>
      </c>
      <c r="B3" s="34" t="s">
        <v>11</v>
      </c>
      <c r="C3" s="50">
        <v>191091</v>
      </c>
      <c r="D3" s="240">
        <v>191457</v>
      </c>
      <c r="E3" s="11">
        <f t="shared" ref="E3:E10" si="0">D3-C3</f>
        <v>366</v>
      </c>
      <c r="F3" s="37">
        <v>45</v>
      </c>
      <c r="G3" s="13">
        <f t="shared" ref="G3:G10" si="1">(F3/E3)*100</f>
        <v>12.295081967213115</v>
      </c>
      <c r="H3" s="246"/>
      <c r="I3" s="126"/>
      <c r="J3" s="39">
        <f t="shared" ref="J3:J8" si="2">I3-H3</f>
        <v>0</v>
      </c>
      <c r="K3" s="77">
        <f t="shared" ref="K3:K8" si="3">F3</f>
        <v>45</v>
      </c>
      <c r="L3" s="67" t="e">
        <f t="shared" ref="L3:L10" si="4">(K3/J3)*100</f>
        <v>#DIV/0!</v>
      </c>
      <c r="M3" s="68">
        <v>18650</v>
      </c>
      <c r="N3" s="121">
        <f t="shared" ref="N3:N10" si="5">F3*M3</f>
        <v>839250</v>
      </c>
    </row>
    <row r="4" spans="1:18" ht="16">
      <c r="A4" s="33">
        <v>45937</v>
      </c>
      <c r="B4" s="44" t="s">
        <v>11</v>
      </c>
      <c r="C4" s="240">
        <v>191457</v>
      </c>
      <c r="D4" s="50">
        <v>191829</v>
      </c>
      <c r="E4" s="11">
        <f t="shared" si="0"/>
        <v>372</v>
      </c>
      <c r="F4" s="45">
        <v>49</v>
      </c>
      <c r="G4" s="13">
        <f t="shared" si="1"/>
        <v>13.172043010752688</v>
      </c>
      <c r="H4" s="50"/>
      <c r="I4" s="38"/>
      <c r="J4" s="35">
        <f t="shared" si="2"/>
        <v>0</v>
      </c>
      <c r="K4" s="50">
        <f t="shared" si="3"/>
        <v>49</v>
      </c>
      <c r="L4" s="46" t="e">
        <f t="shared" si="4"/>
        <v>#DIV/0!</v>
      </c>
      <c r="M4" s="48">
        <v>19030</v>
      </c>
      <c r="N4" s="47">
        <f t="shared" si="5"/>
        <v>932470</v>
      </c>
      <c r="O4" s="76">
        <f t="shared" ref="O4:O8" si="6">O3+1</f>
        <v>1</v>
      </c>
      <c r="P4" s="76" t="s">
        <v>12</v>
      </c>
      <c r="Q4" s="223">
        <f>N19</f>
        <v>5157580</v>
      </c>
      <c r="R4" s="223">
        <f t="shared" ref="R4:R8" si="7">Q4</f>
        <v>5157580</v>
      </c>
    </row>
    <row r="5" spans="1:18" ht="16">
      <c r="A5" s="33">
        <v>45939</v>
      </c>
      <c r="B5" s="44" t="s">
        <v>11</v>
      </c>
      <c r="C5" s="50">
        <v>191829</v>
      </c>
      <c r="D5" s="50">
        <v>192103</v>
      </c>
      <c r="E5" s="11">
        <f t="shared" si="0"/>
        <v>274</v>
      </c>
      <c r="F5" s="52">
        <v>20</v>
      </c>
      <c r="G5" s="13">
        <f t="shared" si="1"/>
        <v>7.2992700729926998</v>
      </c>
      <c r="H5" s="38"/>
      <c r="I5" s="38"/>
      <c r="J5" s="35">
        <f t="shared" si="2"/>
        <v>0</v>
      </c>
      <c r="K5" s="50">
        <f t="shared" si="3"/>
        <v>20</v>
      </c>
      <c r="L5" s="46" t="e">
        <f t="shared" si="4"/>
        <v>#DIV/0!</v>
      </c>
      <c r="M5" s="224">
        <v>19030</v>
      </c>
      <c r="N5" s="47">
        <f t="shared" si="5"/>
        <v>380600</v>
      </c>
      <c r="O5" s="76">
        <f t="shared" si="6"/>
        <v>2</v>
      </c>
      <c r="P5" s="76" t="s">
        <v>13</v>
      </c>
      <c r="Q5" s="223">
        <f>N28</f>
        <v>4101660</v>
      </c>
      <c r="R5" s="223">
        <f t="shared" si="7"/>
        <v>4101660</v>
      </c>
    </row>
    <row r="6" spans="1:18" ht="16">
      <c r="A6" s="33">
        <v>45940</v>
      </c>
      <c r="B6" s="44" t="s">
        <v>11</v>
      </c>
      <c r="C6" s="50">
        <v>192103</v>
      </c>
      <c r="D6" s="50">
        <v>192376</v>
      </c>
      <c r="E6" s="11">
        <f t="shared" si="0"/>
        <v>273</v>
      </c>
      <c r="F6" s="52">
        <v>50</v>
      </c>
      <c r="G6" s="13">
        <f t="shared" si="1"/>
        <v>18.315018315018314</v>
      </c>
      <c r="H6" s="35"/>
      <c r="I6" s="38">
        <v>26310</v>
      </c>
      <c r="J6" s="35">
        <f t="shared" si="2"/>
        <v>26310</v>
      </c>
      <c r="K6" s="50">
        <f t="shared" si="3"/>
        <v>50</v>
      </c>
      <c r="L6" s="46">
        <f t="shared" si="4"/>
        <v>0.19004180919802355</v>
      </c>
      <c r="M6" s="224">
        <v>18600</v>
      </c>
      <c r="N6" s="47">
        <f t="shared" si="5"/>
        <v>930000</v>
      </c>
      <c r="O6" s="76">
        <f t="shared" si="6"/>
        <v>3</v>
      </c>
      <c r="P6" s="76" t="s">
        <v>14</v>
      </c>
      <c r="Q6" s="223">
        <f>N36</f>
        <v>4425400</v>
      </c>
      <c r="R6" s="223">
        <f t="shared" si="7"/>
        <v>4425400</v>
      </c>
    </row>
    <row r="7" spans="1:18" ht="16">
      <c r="A7" s="33">
        <v>45946</v>
      </c>
      <c r="B7" s="44" t="s">
        <v>11</v>
      </c>
      <c r="C7" s="50">
        <v>192376</v>
      </c>
      <c r="D7" s="50">
        <v>192735</v>
      </c>
      <c r="E7" s="11">
        <f t="shared" si="0"/>
        <v>359</v>
      </c>
      <c r="F7" s="52">
        <v>40</v>
      </c>
      <c r="G7" s="13">
        <f t="shared" si="1"/>
        <v>11.142061281337048</v>
      </c>
      <c r="H7" s="35">
        <v>26310</v>
      </c>
      <c r="I7" s="38">
        <v>26690</v>
      </c>
      <c r="J7" s="35">
        <f t="shared" si="2"/>
        <v>380</v>
      </c>
      <c r="K7" s="50">
        <f t="shared" si="3"/>
        <v>40</v>
      </c>
      <c r="L7" s="46">
        <f t="shared" si="4"/>
        <v>10.526315789473683</v>
      </c>
      <c r="M7" s="224">
        <v>18420</v>
      </c>
      <c r="N7" s="47">
        <f t="shared" si="5"/>
        <v>736800</v>
      </c>
      <c r="O7" s="76">
        <f t="shared" si="6"/>
        <v>4</v>
      </c>
      <c r="P7" s="76" t="s">
        <v>15</v>
      </c>
      <c r="Q7" s="223">
        <f>N45</f>
        <v>6114880</v>
      </c>
      <c r="R7" s="223">
        <f t="shared" si="7"/>
        <v>6114880</v>
      </c>
    </row>
    <row r="8" spans="1:18" ht="16">
      <c r="A8" s="33">
        <v>45951</v>
      </c>
      <c r="B8" s="44" t="s">
        <v>11</v>
      </c>
      <c r="C8" s="50">
        <v>192735</v>
      </c>
      <c r="D8" s="50">
        <v>193039</v>
      </c>
      <c r="E8" s="11">
        <f t="shared" si="0"/>
        <v>304</v>
      </c>
      <c r="F8" s="52">
        <v>40</v>
      </c>
      <c r="G8" s="13">
        <f t="shared" si="1"/>
        <v>13.157894736842104</v>
      </c>
      <c r="H8" s="35">
        <v>26690</v>
      </c>
      <c r="I8" s="38">
        <v>22600</v>
      </c>
      <c r="J8" s="35">
        <f t="shared" si="2"/>
        <v>-4090</v>
      </c>
      <c r="K8" s="50">
        <f t="shared" si="3"/>
        <v>40</v>
      </c>
      <c r="L8" s="46">
        <f t="shared" si="4"/>
        <v>-0.97799511002444983</v>
      </c>
      <c r="M8" s="224">
        <v>18420</v>
      </c>
      <c r="N8" s="47">
        <f t="shared" si="5"/>
        <v>736800</v>
      </c>
      <c r="O8" s="76">
        <f t="shared" si="6"/>
        <v>5</v>
      </c>
      <c r="P8" s="76" t="s">
        <v>16</v>
      </c>
      <c r="Q8" s="223">
        <f>N56</f>
        <v>5512880</v>
      </c>
      <c r="R8" s="223">
        <f t="shared" si="7"/>
        <v>5512880</v>
      </c>
    </row>
    <row r="9" spans="1:18" ht="16">
      <c r="A9" s="33">
        <v>45957</v>
      </c>
      <c r="B9" s="44" t="s">
        <v>11</v>
      </c>
      <c r="C9" s="50">
        <v>193039</v>
      </c>
      <c r="D9" s="221">
        <v>193368</v>
      </c>
      <c r="E9" s="11">
        <f t="shared" si="0"/>
        <v>329</v>
      </c>
      <c r="F9" s="225">
        <v>50</v>
      </c>
      <c r="G9" s="13">
        <f t="shared" si="1"/>
        <v>15.19756838905775</v>
      </c>
      <c r="H9" s="53"/>
      <c r="I9" s="55"/>
      <c r="J9" s="35"/>
      <c r="K9" s="50"/>
      <c r="L9" s="46" t="e">
        <f t="shared" si="4"/>
        <v>#DIV/0!</v>
      </c>
      <c r="M9" s="226">
        <v>17880</v>
      </c>
      <c r="N9" s="47">
        <f t="shared" si="5"/>
        <v>894000</v>
      </c>
      <c r="P9" s="76"/>
    </row>
    <row r="10" spans="1:18" ht="16">
      <c r="A10" s="33">
        <v>45961</v>
      </c>
      <c r="B10" s="79" t="s">
        <v>11</v>
      </c>
      <c r="C10" s="221">
        <v>193368</v>
      </c>
      <c r="D10" s="221">
        <v>193724</v>
      </c>
      <c r="E10" s="24">
        <f t="shared" si="0"/>
        <v>356</v>
      </c>
      <c r="F10" s="225">
        <v>50</v>
      </c>
      <c r="G10" s="54">
        <f t="shared" si="1"/>
        <v>14.04494382022472</v>
      </c>
      <c r="H10" s="53"/>
      <c r="I10" s="55"/>
      <c r="J10" s="35">
        <f>I10-H10</f>
        <v>0</v>
      </c>
      <c r="K10" s="50">
        <f>F10</f>
        <v>50</v>
      </c>
      <c r="L10" s="46" t="e">
        <f t="shared" si="4"/>
        <v>#DIV/0!</v>
      </c>
      <c r="M10" s="226">
        <v>19200</v>
      </c>
      <c r="N10" s="57">
        <f t="shared" si="5"/>
        <v>960000</v>
      </c>
      <c r="O10" s="76">
        <f>O8+1</f>
        <v>6</v>
      </c>
      <c r="P10" s="76" t="s">
        <v>18</v>
      </c>
      <c r="Q10" s="223">
        <f>N66</f>
        <v>5621890</v>
      </c>
      <c r="R10" s="223">
        <f t="shared" ref="R10:R15" si="8">Q10</f>
        <v>5621890</v>
      </c>
    </row>
    <row r="11" spans="1:18" ht="16">
      <c r="A11" s="59"/>
      <c r="B11" s="60"/>
      <c r="C11" s="59"/>
      <c r="D11" s="59" t="s">
        <v>19</v>
      </c>
      <c r="E11" s="59">
        <f t="shared" ref="E11:F11" si="9">SUM(E3:E10)</f>
        <v>2633</v>
      </c>
      <c r="F11" s="59">
        <f t="shared" si="9"/>
        <v>344</v>
      </c>
      <c r="G11" s="61">
        <f>AVERAGE(G3:G10)</f>
        <v>13.077985199179805</v>
      </c>
      <c r="H11" s="59"/>
      <c r="I11" s="62"/>
      <c r="J11" s="59">
        <f t="shared" ref="J11:K11" si="10">SUM(J3:J10)</f>
        <v>22600</v>
      </c>
      <c r="K11" s="59">
        <f t="shared" si="10"/>
        <v>294</v>
      </c>
      <c r="L11" s="61" t="e">
        <f>AVERAGE(L3:L10)</f>
        <v>#DIV/0!</v>
      </c>
      <c r="M11" s="64"/>
      <c r="N11" s="65">
        <f>SUM(N3:N10)</f>
        <v>6409920</v>
      </c>
      <c r="O11" s="76">
        <f t="shared" ref="O11:O27" si="11">O10+1</f>
        <v>7</v>
      </c>
      <c r="P11" s="76" t="s">
        <v>20</v>
      </c>
      <c r="Q11" s="223">
        <f>N74</f>
        <v>6795750</v>
      </c>
      <c r="R11" s="223">
        <f t="shared" si="8"/>
        <v>6795750</v>
      </c>
    </row>
    <row r="12" spans="1:18" ht="16">
      <c r="A12" s="236">
        <v>45932</v>
      </c>
      <c r="B12" s="34" t="s">
        <v>12</v>
      </c>
      <c r="C12" s="35">
        <v>154351</v>
      </c>
      <c r="D12" s="83">
        <v>154710</v>
      </c>
      <c r="E12" s="36">
        <f t="shared" ref="E12:E18" si="12">D12-C12</f>
        <v>359</v>
      </c>
      <c r="F12" s="37">
        <v>49</v>
      </c>
      <c r="G12" s="13">
        <f t="shared" ref="G12:G18" si="13">(F12/E12)*100</f>
        <v>13.649025069637883</v>
      </c>
      <c r="H12" s="125"/>
      <c r="I12" s="125"/>
      <c r="J12" s="39">
        <f t="shared" ref="J12:J18" si="14">I12-H12</f>
        <v>0</v>
      </c>
      <c r="K12" s="77">
        <f t="shared" ref="K12:K18" si="15">F12</f>
        <v>49</v>
      </c>
      <c r="L12" s="40" t="e">
        <f t="shared" ref="L12:L18" si="16">(K12/J12)*100</f>
        <v>#DIV/0!</v>
      </c>
      <c r="M12" s="41">
        <v>19030</v>
      </c>
      <c r="N12" s="42">
        <f t="shared" ref="N12:N18" si="17">F12*M12</f>
        <v>932470</v>
      </c>
      <c r="O12" s="76">
        <f t="shared" si="11"/>
        <v>8</v>
      </c>
      <c r="P12" s="76" t="s">
        <v>21</v>
      </c>
      <c r="Q12" s="223">
        <f>N82</f>
        <v>5457990</v>
      </c>
      <c r="R12" s="223">
        <f t="shared" si="8"/>
        <v>5457990</v>
      </c>
    </row>
    <row r="13" spans="1:18" ht="16">
      <c r="A13" s="43">
        <v>45938</v>
      </c>
      <c r="B13" s="44" t="s">
        <v>12</v>
      </c>
      <c r="C13" s="83">
        <v>154710</v>
      </c>
      <c r="D13" s="35">
        <v>155057</v>
      </c>
      <c r="E13" s="11">
        <f t="shared" si="12"/>
        <v>347</v>
      </c>
      <c r="F13" s="45">
        <v>45</v>
      </c>
      <c r="G13" s="13">
        <f t="shared" si="13"/>
        <v>12.968299711815561</v>
      </c>
      <c r="H13" s="35"/>
      <c r="I13" s="38"/>
      <c r="J13" s="35">
        <f t="shared" si="14"/>
        <v>0</v>
      </c>
      <c r="K13" s="50">
        <f t="shared" si="15"/>
        <v>45</v>
      </c>
      <c r="L13" s="46" t="e">
        <f t="shared" si="16"/>
        <v>#DIV/0!</v>
      </c>
      <c r="M13" s="48">
        <v>19030</v>
      </c>
      <c r="N13" s="47">
        <f t="shared" si="17"/>
        <v>856350</v>
      </c>
      <c r="O13" s="76">
        <f t="shared" si="11"/>
        <v>9</v>
      </c>
      <c r="P13" s="247" t="s">
        <v>22</v>
      </c>
      <c r="Q13" s="223">
        <f>N90</f>
        <v>5630750</v>
      </c>
      <c r="R13" s="223">
        <f t="shared" si="8"/>
        <v>5630750</v>
      </c>
    </row>
    <row r="14" spans="1:18" ht="16">
      <c r="A14" s="43">
        <v>45943</v>
      </c>
      <c r="B14" s="44" t="s">
        <v>12</v>
      </c>
      <c r="C14" s="35">
        <v>155057</v>
      </c>
      <c r="D14" s="35">
        <v>155375</v>
      </c>
      <c r="E14" s="11">
        <f t="shared" si="12"/>
        <v>318</v>
      </c>
      <c r="F14" s="45">
        <v>42</v>
      </c>
      <c r="G14" s="13">
        <f t="shared" si="13"/>
        <v>13.20754716981132</v>
      </c>
      <c r="H14" s="35"/>
      <c r="I14" s="38">
        <v>26060</v>
      </c>
      <c r="J14" s="35">
        <f t="shared" si="14"/>
        <v>26060</v>
      </c>
      <c r="K14" s="50">
        <f t="shared" si="15"/>
        <v>42</v>
      </c>
      <c r="L14" s="46">
        <f t="shared" si="16"/>
        <v>0.16116653875671527</v>
      </c>
      <c r="M14" s="48">
        <v>18600</v>
      </c>
      <c r="N14" s="47">
        <f t="shared" si="17"/>
        <v>781200</v>
      </c>
      <c r="O14" s="76">
        <f t="shared" si="11"/>
        <v>10</v>
      </c>
      <c r="P14" s="76" t="s">
        <v>23</v>
      </c>
      <c r="Q14" s="223">
        <f>N97</f>
        <v>6386070</v>
      </c>
      <c r="R14" s="223">
        <f t="shared" si="8"/>
        <v>6386070</v>
      </c>
    </row>
    <row r="15" spans="1:18" ht="16">
      <c r="A15" s="43">
        <v>45946</v>
      </c>
      <c r="B15" s="49" t="s">
        <v>12</v>
      </c>
      <c r="C15" s="50">
        <v>155375</v>
      </c>
      <c r="D15" s="50">
        <v>155690</v>
      </c>
      <c r="E15" s="51">
        <f t="shared" si="12"/>
        <v>315</v>
      </c>
      <c r="F15" s="52">
        <v>42</v>
      </c>
      <c r="G15" s="13">
        <f t="shared" si="13"/>
        <v>13.333333333333334</v>
      </c>
      <c r="H15" s="35">
        <v>26060</v>
      </c>
      <c r="I15" s="38">
        <v>26410</v>
      </c>
      <c r="J15" s="35">
        <f t="shared" si="14"/>
        <v>350</v>
      </c>
      <c r="K15" s="50">
        <f t="shared" si="15"/>
        <v>42</v>
      </c>
      <c r="L15" s="46">
        <f t="shared" si="16"/>
        <v>12</v>
      </c>
      <c r="M15" s="48">
        <v>18420</v>
      </c>
      <c r="N15" s="47">
        <f t="shared" si="17"/>
        <v>773640</v>
      </c>
      <c r="O15" s="76">
        <f t="shared" si="11"/>
        <v>11</v>
      </c>
      <c r="P15" s="247" t="s">
        <v>24</v>
      </c>
      <c r="Q15" s="223">
        <f>N105</f>
        <v>5796080</v>
      </c>
      <c r="R15" s="223">
        <f t="shared" si="8"/>
        <v>5796080</v>
      </c>
    </row>
    <row r="16" spans="1:18" ht="16">
      <c r="A16" s="43">
        <v>45951</v>
      </c>
      <c r="B16" s="44" t="s">
        <v>12</v>
      </c>
      <c r="C16" s="50">
        <v>155690</v>
      </c>
      <c r="D16" s="35">
        <v>156008</v>
      </c>
      <c r="E16" s="11">
        <f t="shared" si="12"/>
        <v>318</v>
      </c>
      <c r="F16" s="45">
        <v>48</v>
      </c>
      <c r="G16" s="13">
        <f t="shared" si="13"/>
        <v>15.09433962264151</v>
      </c>
      <c r="H16" s="38">
        <v>26410</v>
      </c>
      <c r="I16" s="38">
        <v>22263</v>
      </c>
      <c r="J16" s="35">
        <f t="shared" si="14"/>
        <v>-4147</v>
      </c>
      <c r="K16" s="50">
        <f t="shared" si="15"/>
        <v>48</v>
      </c>
      <c r="L16" s="46">
        <f t="shared" si="16"/>
        <v>-1.1574632264287437</v>
      </c>
      <c r="M16" s="48">
        <v>18420</v>
      </c>
      <c r="N16" s="47">
        <f t="shared" si="17"/>
        <v>884160</v>
      </c>
      <c r="O16" s="76">
        <f t="shared" si="11"/>
        <v>12</v>
      </c>
      <c r="P16" s="76" t="s">
        <v>25</v>
      </c>
      <c r="Q16" s="223">
        <f>N105</f>
        <v>5796080</v>
      </c>
      <c r="R16" s="223">
        <f>N113</f>
        <v>5248350</v>
      </c>
    </row>
    <row r="17" spans="1:18" ht="16">
      <c r="A17" s="43">
        <v>45955</v>
      </c>
      <c r="B17" s="44" t="s">
        <v>12</v>
      </c>
      <c r="C17" s="35">
        <v>156008</v>
      </c>
      <c r="D17" s="35">
        <v>156415</v>
      </c>
      <c r="E17" s="11">
        <f t="shared" si="12"/>
        <v>407</v>
      </c>
      <c r="F17" s="45">
        <v>52</v>
      </c>
      <c r="G17" s="13">
        <f t="shared" si="13"/>
        <v>12.776412776412776</v>
      </c>
      <c r="H17" s="35">
        <v>22263</v>
      </c>
      <c r="I17" s="38">
        <v>22670</v>
      </c>
      <c r="J17" s="35">
        <f t="shared" si="14"/>
        <v>407</v>
      </c>
      <c r="K17" s="50">
        <f t="shared" si="15"/>
        <v>52</v>
      </c>
      <c r="L17" s="46">
        <f t="shared" si="16"/>
        <v>12.776412776412776</v>
      </c>
      <c r="M17" s="48">
        <v>17880</v>
      </c>
      <c r="N17" s="47">
        <f t="shared" si="17"/>
        <v>929760</v>
      </c>
      <c r="O17" s="76">
        <f t="shared" si="11"/>
        <v>13</v>
      </c>
      <c r="P17" s="247" t="s">
        <v>26</v>
      </c>
      <c r="Q17" s="223">
        <f>N121</f>
        <v>4897620</v>
      </c>
      <c r="R17" s="223">
        <f t="shared" ref="R17:R27" si="18">Q17</f>
        <v>4897620</v>
      </c>
    </row>
    <row r="18" spans="1:18" ht="16">
      <c r="A18" s="87"/>
      <c r="B18" s="239"/>
      <c r="C18" s="53"/>
      <c r="D18" s="53"/>
      <c r="E18" s="24">
        <f t="shared" si="12"/>
        <v>0</v>
      </c>
      <c r="F18" s="45"/>
      <c r="G18" s="54" t="e">
        <f t="shared" si="13"/>
        <v>#DIV/0!</v>
      </c>
      <c r="H18" s="53"/>
      <c r="I18" s="55"/>
      <c r="J18" s="53">
        <f t="shared" si="14"/>
        <v>0</v>
      </c>
      <c r="K18" s="50">
        <f t="shared" si="15"/>
        <v>0</v>
      </c>
      <c r="L18" s="46" t="e">
        <f t="shared" si="16"/>
        <v>#DIV/0!</v>
      </c>
      <c r="M18" s="56"/>
      <c r="N18" s="57">
        <f t="shared" si="17"/>
        <v>0</v>
      </c>
      <c r="O18" s="76">
        <f t="shared" si="11"/>
        <v>14</v>
      </c>
      <c r="P18" s="76" t="s">
        <v>27</v>
      </c>
      <c r="Q18" s="223">
        <f>N130</f>
        <v>9055850</v>
      </c>
      <c r="R18" s="223">
        <f t="shared" si="18"/>
        <v>9055850</v>
      </c>
    </row>
    <row r="19" spans="1:18" ht="16">
      <c r="A19" s="59"/>
      <c r="B19" s="60"/>
      <c r="C19" s="59"/>
      <c r="D19" s="59" t="s">
        <v>19</v>
      </c>
      <c r="E19" s="59">
        <f>SUM(E12:E18)</f>
        <v>2064</v>
      </c>
      <c r="F19" s="59">
        <f>SUM(F11:F18)</f>
        <v>622</v>
      </c>
      <c r="G19" s="61" t="e">
        <f>AVERAGE(G12:G18)</f>
        <v>#DIV/0!</v>
      </c>
      <c r="H19" s="59"/>
      <c r="I19" s="62"/>
      <c r="J19" s="59">
        <f t="shared" ref="J19:K19" si="19">SUM(J12:J18)</f>
        <v>22670</v>
      </c>
      <c r="K19" s="59">
        <f t="shared" si="19"/>
        <v>278</v>
      </c>
      <c r="L19" s="61" t="e">
        <f>AVERAGE(L12:L18)</f>
        <v>#DIV/0!</v>
      </c>
      <c r="M19" s="64"/>
      <c r="N19" s="65">
        <f>SUM(N12:N18)</f>
        <v>5157580</v>
      </c>
      <c r="O19" s="76">
        <f t="shared" si="11"/>
        <v>15</v>
      </c>
      <c r="P19" s="76" t="s">
        <v>80</v>
      </c>
      <c r="Q19" s="223">
        <f>N139</f>
        <v>7719600</v>
      </c>
      <c r="R19" s="223">
        <f t="shared" si="18"/>
        <v>7719600</v>
      </c>
    </row>
    <row r="20" spans="1:18" ht="16">
      <c r="A20" s="66">
        <v>45939</v>
      </c>
      <c r="B20" s="34" t="s">
        <v>13</v>
      </c>
      <c r="C20" s="35">
        <v>172413</v>
      </c>
      <c r="D20" s="39">
        <v>172646</v>
      </c>
      <c r="E20" s="36">
        <f t="shared" ref="E20:E27" si="20">D20-C20</f>
        <v>233</v>
      </c>
      <c r="F20" s="37">
        <v>41</v>
      </c>
      <c r="G20" s="13">
        <f t="shared" ref="G20:G27" si="21">(F20/E20)*100</f>
        <v>17.596566523605151</v>
      </c>
      <c r="H20" s="246"/>
      <c r="I20" s="77">
        <v>25600</v>
      </c>
      <c r="J20" s="39">
        <f t="shared" ref="J20:J27" si="22">I20-H20</f>
        <v>25600</v>
      </c>
      <c r="K20" s="77">
        <f t="shared" ref="K20:K27" si="23">F20</f>
        <v>41</v>
      </c>
      <c r="L20" s="67">
        <f t="shared" ref="L20:L27" si="24">(K20/J20)*100</f>
        <v>0.16015625</v>
      </c>
      <c r="M20" s="68">
        <v>18600</v>
      </c>
      <c r="N20" s="42">
        <f t="shared" ref="N20:N27" si="25">F20*M20</f>
        <v>762600</v>
      </c>
      <c r="O20" s="76">
        <f t="shared" si="11"/>
        <v>16</v>
      </c>
      <c r="P20" s="76" t="s">
        <v>29</v>
      </c>
      <c r="Q20" s="223">
        <f>N148</f>
        <v>4621800</v>
      </c>
      <c r="R20" s="223">
        <f t="shared" si="18"/>
        <v>4621800</v>
      </c>
    </row>
    <row r="21" spans="1:18" ht="16">
      <c r="A21" s="255">
        <v>45948</v>
      </c>
      <c r="B21" s="44" t="s">
        <v>13</v>
      </c>
      <c r="C21" s="35">
        <v>172646</v>
      </c>
      <c r="D21" s="35">
        <v>172955</v>
      </c>
      <c r="E21" s="11">
        <f t="shared" si="20"/>
        <v>309</v>
      </c>
      <c r="F21" s="37">
        <v>45</v>
      </c>
      <c r="G21" s="13">
        <f t="shared" si="21"/>
        <v>14.563106796116504</v>
      </c>
      <c r="H21" s="35">
        <v>25600</v>
      </c>
      <c r="I21" s="38">
        <v>26048</v>
      </c>
      <c r="J21" s="35">
        <f t="shared" si="22"/>
        <v>448</v>
      </c>
      <c r="K21" s="50">
        <f t="shared" si="23"/>
        <v>45</v>
      </c>
      <c r="L21" s="46">
        <f t="shared" si="24"/>
        <v>10.044642857142858</v>
      </c>
      <c r="M21" s="68">
        <v>18420</v>
      </c>
      <c r="N21" s="47">
        <f t="shared" si="25"/>
        <v>828900</v>
      </c>
      <c r="O21" s="76">
        <f t="shared" si="11"/>
        <v>17</v>
      </c>
      <c r="P21" s="76" t="s">
        <v>30</v>
      </c>
      <c r="Q21" s="223">
        <f>N157</f>
        <v>5671710</v>
      </c>
      <c r="R21" s="223">
        <f t="shared" si="18"/>
        <v>5671710</v>
      </c>
    </row>
    <row r="22" spans="1:18" ht="16">
      <c r="A22" s="33">
        <v>45953</v>
      </c>
      <c r="B22" s="44" t="s">
        <v>13</v>
      </c>
      <c r="C22" s="35">
        <v>172955</v>
      </c>
      <c r="D22" s="35">
        <v>173274</v>
      </c>
      <c r="E22" s="11">
        <f t="shared" si="20"/>
        <v>319</v>
      </c>
      <c r="F22" s="45">
        <v>46</v>
      </c>
      <c r="G22" s="13">
        <f t="shared" si="21"/>
        <v>14.420062695924765</v>
      </c>
      <c r="H22" s="38">
        <v>26048</v>
      </c>
      <c r="I22" s="38">
        <v>23497</v>
      </c>
      <c r="J22" s="35">
        <f t="shared" si="22"/>
        <v>-2551</v>
      </c>
      <c r="K22" s="50">
        <f t="shared" si="23"/>
        <v>46</v>
      </c>
      <c r="L22" s="46">
        <f t="shared" si="24"/>
        <v>-1.8032144257154059</v>
      </c>
      <c r="M22" s="48">
        <v>18420</v>
      </c>
      <c r="N22" s="47">
        <f t="shared" si="25"/>
        <v>847320</v>
      </c>
      <c r="O22" s="76">
        <f t="shared" si="11"/>
        <v>18</v>
      </c>
      <c r="P22" s="76" t="s">
        <v>83</v>
      </c>
      <c r="Q22" s="223">
        <f>N166</f>
        <v>0</v>
      </c>
      <c r="R22" s="223">
        <f t="shared" si="18"/>
        <v>0</v>
      </c>
    </row>
    <row r="23" spans="1:18" ht="16">
      <c r="A23" s="33">
        <v>45957</v>
      </c>
      <c r="B23" s="44" t="s">
        <v>13</v>
      </c>
      <c r="C23" s="35">
        <v>173274</v>
      </c>
      <c r="D23" s="35">
        <v>173560</v>
      </c>
      <c r="E23" s="11">
        <f t="shared" si="20"/>
        <v>286</v>
      </c>
      <c r="F23" s="45">
        <v>43</v>
      </c>
      <c r="G23" s="13">
        <f t="shared" si="21"/>
        <v>15.034965034965033</v>
      </c>
      <c r="H23" s="35"/>
      <c r="I23" s="38"/>
      <c r="J23" s="35">
        <f t="shared" si="22"/>
        <v>0</v>
      </c>
      <c r="K23" s="50">
        <f t="shared" si="23"/>
        <v>43</v>
      </c>
      <c r="L23" s="46" t="e">
        <f t="shared" si="24"/>
        <v>#DIV/0!</v>
      </c>
      <c r="M23" s="48">
        <v>17880</v>
      </c>
      <c r="N23" s="47">
        <f t="shared" si="25"/>
        <v>768840</v>
      </c>
      <c r="O23" s="76">
        <f t="shared" si="11"/>
        <v>19</v>
      </c>
      <c r="P23" s="76" t="s">
        <v>32</v>
      </c>
      <c r="Q23" s="223">
        <f>N175</f>
        <v>11319670</v>
      </c>
      <c r="R23" s="223">
        <f t="shared" si="18"/>
        <v>11319670</v>
      </c>
    </row>
    <row r="24" spans="1:18" ht="16">
      <c r="A24" s="33">
        <v>45960</v>
      </c>
      <c r="B24" s="44" t="s">
        <v>13</v>
      </c>
      <c r="C24" s="35">
        <v>173560</v>
      </c>
      <c r="D24" s="35">
        <v>173904</v>
      </c>
      <c r="E24" s="11">
        <f t="shared" si="20"/>
        <v>344</v>
      </c>
      <c r="F24" s="45">
        <v>50</v>
      </c>
      <c r="G24" s="13">
        <f t="shared" si="21"/>
        <v>14.534883720930234</v>
      </c>
      <c r="H24" s="35"/>
      <c r="I24" s="38"/>
      <c r="J24" s="35">
        <f t="shared" si="22"/>
        <v>0</v>
      </c>
      <c r="K24" s="50">
        <f t="shared" si="23"/>
        <v>50</v>
      </c>
      <c r="L24" s="46" t="e">
        <f t="shared" si="24"/>
        <v>#DIV/0!</v>
      </c>
      <c r="M24" s="48">
        <v>17880</v>
      </c>
      <c r="N24" s="47">
        <f t="shared" si="25"/>
        <v>894000</v>
      </c>
      <c r="O24" s="76">
        <f t="shared" si="11"/>
        <v>20</v>
      </c>
      <c r="R24" s="76">
        <f t="shared" si="18"/>
        <v>0</v>
      </c>
    </row>
    <row r="25" spans="1:18" ht="16">
      <c r="A25" s="33"/>
      <c r="B25" s="44" t="s">
        <v>13</v>
      </c>
      <c r="C25" s="35"/>
      <c r="D25" s="35"/>
      <c r="E25" s="11">
        <f t="shared" si="20"/>
        <v>0</v>
      </c>
      <c r="F25" s="45"/>
      <c r="G25" s="13" t="e">
        <f t="shared" si="21"/>
        <v>#DIV/0!</v>
      </c>
      <c r="H25" s="35"/>
      <c r="I25" s="38"/>
      <c r="J25" s="35">
        <f t="shared" si="22"/>
        <v>0</v>
      </c>
      <c r="K25" s="50">
        <f t="shared" si="23"/>
        <v>0</v>
      </c>
      <c r="L25" s="46" t="e">
        <f t="shared" si="24"/>
        <v>#DIV/0!</v>
      </c>
      <c r="M25" s="48"/>
      <c r="N25" s="47">
        <f t="shared" si="25"/>
        <v>0</v>
      </c>
      <c r="O25" s="76">
        <f t="shared" si="11"/>
        <v>21</v>
      </c>
      <c r="R25" s="76">
        <f t="shared" si="18"/>
        <v>0</v>
      </c>
    </row>
    <row r="26" spans="1:18" ht="16">
      <c r="A26" s="33"/>
      <c r="B26" s="44" t="s">
        <v>13</v>
      </c>
      <c r="C26" s="35"/>
      <c r="D26" s="35"/>
      <c r="E26" s="11">
        <f t="shared" si="20"/>
        <v>0</v>
      </c>
      <c r="F26" s="45"/>
      <c r="G26" s="13" t="e">
        <f t="shared" si="21"/>
        <v>#DIV/0!</v>
      </c>
      <c r="H26" s="35"/>
      <c r="I26" s="38"/>
      <c r="J26" s="35">
        <f t="shared" si="22"/>
        <v>0</v>
      </c>
      <c r="K26" s="50">
        <f t="shared" si="23"/>
        <v>0</v>
      </c>
      <c r="L26" s="46" t="e">
        <f t="shared" si="24"/>
        <v>#DIV/0!</v>
      </c>
      <c r="M26" s="48"/>
      <c r="N26" s="47">
        <f t="shared" si="25"/>
        <v>0</v>
      </c>
      <c r="O26" s="76">
        <f t="shared" si="11"/>
        <v>22</v>
      </c>
      <c r="R26" s="76">
        <f t="shared" si="18"/>
        <v>0</v>
      </c>
    </row>
    <row r="27" spans="1:18" ht="16">
      <c r="A27" s="70"/>
      <c r="B27" s="44" t="s">
        <v>13</v>
      </c>
      <c r="C27" s="71"/>
      <c r="D27" s="71"/>
      <c r="E27" s="24">
        <f t="shared" si="20"/>
        <v>0</v>
      </c>
      <c r="F27" s="45"/>
      <c r="G27" s="54" t="e">
        <f t="shared" si="21"/>
        <v>#DIV/0!</v>
      </c>
      <c r="H27" s="71"/>
      <c r="I27" s="72"/>
      <c r="J27" s="53">
        <f t="shared" si="22"/>
        <v>0</v>
      </c>
      <c r="K27" s="50">
        <f t="shared" si="23"/>
        <v>0</v>
      </c>
      <c r="L27" s="73" t="e">
        <f t="shared" si="24"/>
        <v>#DIV/0!</v>
      </c>
      <c r="M27" s="74"/>
      <c r="N27" s="57">
        <f t="shared" si="25"/>
        <v>0</v>
      </c>
      <c r="O27" s="76">
        <f t="shared" si="11"/>
        <v>23</v>
      </c>
      <c r="R27" s="76">
        <f t="shared" si="18"/>
        <v>0</v>
      </c>
    </row>
    <row r="28" spans="1:18" ht="16">
      <c r="A28" s="59"/>
      <c r="B28" s="60"/>
      <c r="C28" s="59"/>
      <c r="D28" s="59" t="s">
        <v>19</v>
      </c>
      <c r="E28" s="59">
        <f>SUM(E20:E26)</f>
        <v>1491</v>
      </c>
      <c r="F28" s="59">
        <f>SUM(F20:F27)</f>
        <v>225</v>
      </c>
      <c r="G28" s="61" t="e">
        <f>AVERAGE(G20:G26)</f>
        <v>#DIV/0!</v>
      </c>
      <c r="H28" s="59"/>
      <c r="I28" s="62"/>
      <c r="J28" s="59">
        <f t="shared" ref="J28:K28" si="26">SUM(J20:J26)</f>
        <v>23497</v>
      </c>
      <c r="K28" s="59">
        <f t="shared" si="26"/>
        <v>225</v>
      </c>
      <c r="L28" s="61" t="e">
        <f>AVERAGE(L20:L26)</f>
        <v>#DIV/0!</v>
      </c>
      <c r="M28" s="64"/>
      <c r="N28" s="65">
        <f>SUM(N20:N27)</f>
        <v>4101660</v>
      </c>
      <c r="R28" s="223"/>
    </row>
    <row r="29" spans="1:18" ht="16">
      <c r="A29" s="66">
        <v>45933</v>
      </c>
      <c r="B29" s="34" t="s">
        <v>14</v>
      </c>
      <c r="C29" s="35">
        <v>175068</v>
      </c>
      <c r="D29" s="39">
        <v>175470</v>
      </c>
      <c r="E29" s="36">
        <f t="shared" ref="E29:E30" si="27">D29-C29</f>
        <v>402</v>
      </c>
      <c r="F29" s="37">
        <v>50</v>
      </c>
      <c r="G29" s="13">
        <f t="shared" ref="G29:G35" si="28">(F29/E29)*100</f>
        <v>12.437810945273633</v>
      </c>
      <c r="H29" s="125"/>
      <c r="I29" s="246"/>
      <c r="J29" s="39">
        <f t="shared" ref="J29:J35" si="29">I29-H29</f>
        <v>0</v>
      </c>
      <c r="K29" s="77">
        <f t="shared" ref="K29:K30" si="30">F29</f>
        <v>50</v>
      </c>
      <c r="L29" s="67" t="e">
        <f t="shared" ref="L29:L35" si="31">(K29/J29)*100</f>
        <v>#DIV/0!</v>
      </c>
      <c r="M29" s="68">
        <v>19030</v>
      </c>
      <c r="N29" s="42">
        <f t="shared" ref="N29:N30" si="32">F29*M29</f>
        <v>951500</v>
      </c>
      <c r="R29" s="76">
        <f t="shared" ref="R29:R42" si="33">Q29</f>
        <v>0</v>
      </c>
    </row>
    <row r="30" spans="1:18" ht="16">
      <c r="A30" s="33">
        <v>45939</v>
      </c>
      <c r="B30" s="44" t="s">
        <v>14</v>
      </c>
      <c r="C30" s="39">
        <v>175470</v>
      </c>
      <c r="D30" s="35">
        <v>175887</v>
      </c>
      <c r="E30" s="11">
        <f t="shared" si="27"/>
        <v>417</v>
      </c>
      <c r="F30" s="45">
        <v>50</v>
      </c>
      <c r="G30" s="13">
        <f t="shared" si="28"/>
        <v>11.990407673860911</v>
      </c>
      <c r="H30" s="35"/>
      <c r="I30" s="38"/>
      <c r="J30" s="35">
        <f t="shared" si="29"/>
        <v>0</v>
      </c>
      <c r="K30" s="50">
        <f t="shared" si="30"/>
        <v>50</v>
      </c>
      <c r="L30" s="46" t="e">
        <f t="shared" si="31"/>
        <v>#DIV/0!</v>
      </c>
      <c r="M30" s="68">
        <v>19030</v>
      </c>
      <c r="N30" s="47">
        <f t="shared" si="32"/>
        <v>951500</v>
      </c>
      <c r="R30" s="76">
        <f t="shared" si="33"/>
        <v>0</v>
      </c>
    </row>
    <row r="31" spans="1:18" ht="16">
      <c r="A31" s="33"/>
      <c r="B31" s="34" t="s">
        <v>14</v>
      </c>
      <c r="C31" s="35"/>
      <c r="D31" s="35"/>
      <c r="E31" s="11"/>
      <c r="F31" s="45"/>
      <c r="G31" s="13" t="e">
        <f t="shared" si="28"/>
        <v>#DIV/0!</v>
      </c>
      <c r="H31" s="38"/>
      <c r="I31" s="38"/>
      <c r="J31" s="35">
        <f t="shared" si="29"/>
        <v>0</v>
      </c>
      <c r="K31" s="50">
        <v>1</v>
      </c>
      <c r="L31" s="46" t="e">
        <f t="shared" si="31"/>
        <v>#DIV/0!</v>
      </c>
      <c r="M31" s="237"/>
      <c r="N31" s="256">
        <v>60000</v>
      </c>
      <c r="O31" s="76" t="s">
        <v>84</v>
      </c>
      <c r="R31" s="76">
        <f t="shared" si="33"/>
        <v>0</v>
      </c>
    </row>
    <row r="32" spans="1:18" ht="16">
      <c r="A32" s="33">
        <v>45946</v>
      </c>
      <c r="B32" s="44" t="s">
        <v>14</v>
      </c>
      <c r="C32" s="35">
        <v>175887</v>
      </c>
      <c r="D32" s="35">
        <v>176266</v>
      </c>
      <c r="E32" s="11">
        <f t="shared" ref="E32:E34" si="34">D32-C32</f>
        <v>379</v>
      </c>
      <c r="F32" s="45">
        <v>40</v>
      </c>
      <c r="G32" s="13">
        <f t="shared" si="28"/>
        <v>10.554089709762533</v>
      </c>
      <c r="H32" s="38">
        <v>20070</v>
      </c>
      <c r="I32" s="38"/>
      <c r="J32" s="35">
        <f t="shared" si="29"/>
        <v>-20070</v>
      </c>
      <c r="K32" s="50">
        <f t="shared" ref="K32:K35" si="35">F32</f>
        <v>40</v>
      </c>
      <c r="L32" s="46">
        <f t="shared" si="31"/>
        <v>-0.1993024414549078</v>
      </c>
      <c r="M32" s="48">
        <v>18420</v>
      </c>
      <c r="N32" s="47">
        <f t="shared" ref="N32:N35" si="36">F32*M32</f>
        <v>736800</v>
      </c>
      <c r="R32" s="76">
        <f t="shared" si="33"/>
        <v>0</v>
      </c>
    </row>
    <row r="33" spans="1:18" ht="16">
      <c r="A33" s="33">
        <v>45951</v>
      </c>
      <c r="B33" s="44" t="s">
        <v>14</v>
      </c>
      <c r="C33" s="35">
        <v>176266</v>
      </c>
      <c r="D33" s="35">
        <v>176629</v>
      </c>
      <c r="E33" s="11">
        <f t="shared" si="34"/>
        <v>363</v>
      </c>
      <c r="F33" s="45">
        <v>50</v>
      </c>
      <c r="G33" s="13">
        <f t="shared" si="28"/>
        <v>13.774104683195592</v>
      </c>
      <c r="H33" s="35"/>
      <c r="I33" s="38">
        <v>16220</v>
      </c>
      <c r="J33" s="35">
        <f t="shared" si="29"/>
        <v>16220</v>
      </c>
      <c r="K33" s="50">
        <f t="shared" si="35"/>
        <v>50</v>
      </c>
      <c r="L33" s="46">
        <f t="shared" si="31"/>
        <v>0.30826140567200988</v>
      </c>
      <c r="M33" s="48">
        <v>18420</v>
      </c>
      <c r="N33" s="47">
        <f t="shared" si="36"/>
        <v>921000</v>
      </c>
      <c r="R33" s="76">
        <f t="shared" si="33"/>
        <v>0</v>
      </c>
    </row>
    <row r="34" spans="1:18" ht="16">
      <c r="A34" s="33">
        <v>45958</v>
      </c>
      <c r="B34" s="44" t="s">
        <v>14</v>
      </c>
      <c r="C34" s="35">
        <v>176629</v>
      </c>
      <c r="D34" s="35">
        <v>176982</v>
      </c>
      <c r="E34" s="11">
        <f t="shared" si="34"/>
        <v>353</v>
      </c>
      <c r="F34" s="45">
        <v>45</v>
      </c>
      <c r="G34" s="13">
        <f t="shared" si="28"/>
        <v>12.747875354107649</v>
      </c>
      <c r="H34" s="35"/>
      <c r="I34" s="38"/>
      <c r="J34" s="35">
        <f t="shared" si="29"/>
        <v>0</v>
      </c>
      <c r="K34" s="50">
        <f t="shared" si="35"/>
        <v>45</v>
      </c>
      <c r="L34" s="46" t="e">
        <f t="shared" si="31"/>
        <v>#DIV/0!</v>
      </c>
      <c r="M34" s="48">
        <v>17880</v>
      </c>
      <c r="N34" s="47">
        <f t="shared" si="36"/>
        <v>804600</v>
      </c>
      <c r="R34" s="76">
        <f t="shared" si="33"/>
        <v>0</v>
      </c>
    </row>
    <row r="35" spans="1:18" ht="16">
      <c r="A35" s="238"/>
      <c r="B35" s="239"/>
      <c r="C35" s="53"/>
      <c r="D35" s="53"/>
      <c r="E35" s="24"/>
      <c r="F35" s="45"/>
      <c r="G35" s="54" t="e">
        <f t="shared" si="28"/>
        <v>#DIV/0!</v>
      </c>
      <c r="H35" s="53"/>
      <c r="I35" s="55"/>
      <c r="J35" s="53">
        <f t="shared" si="29"/>
        <v>0</v>
      </c>
      <c r="K35" s="50">
        <f t="shared" si="35"/>
        <v>0</v>
      </c>
      <c r="L35" s="73" t="e">
        <f t="shared" si="31"/>
        <v>#DIV/0!</v>
      </c>
      <c r="M35" s="48"/>
      <c r="N35" s="57">
        <f t="shared" si="36"/>
        <v>0</v>
      </c>
      <c r="R35" s="76">
        <f t="shared" si="33"/>
        <v>0</v>
      </c>
    </row>
    <row r="36" spans="1:18" ht="16">
      <c r="A36" s="59"/>
      <c r="B36" s="60"/>
      <c r="C36" s="59"/>
      <c r="D36" s="59" t="s">
        <v>19</v>
      </c>
      <c r="E36" s="59">
        <f>SUM(E29:E35)</f>
        <v>1914</v>
      </c>
      <c r="F36" s="37"/>
      <c r="G36" s="61" t="e">
        <f>AVERAGE(G29:G35)</f>
        <v>#DIV/0!</v>
      </c>
      <c r="H36" s="59"/>
      <c r="I36" s="62"/>
      <c r="J36" s="59">
        <f t="shared" ref="J36:K36" si="37">SUM(J29:J35)</f>
        <v>-3850</v>
      </c>
      <c r="K36" s="59">
        <f t="shared" si="37"/>
        <v>236</v>
      </c>
      <c r="L36" s="61" t="e">
        <f>AVERAGE(L29:L35)</f>
        <v>#DIV/0!</v>
      </c>
      <c r="M36" s="64"/>
      <c r="N36" s="65">
        <f>SUM(N29:N35)</f>
        <v>4425400</v>
      </c>
      <c r="R36" s="76">
        <f t="shared" si="33"/>
        <v>0</v>
      </c>
    </row>
    <row r="37" spans="1:18" ht="16">
      <c r="A37" s="66">
        <v>45933</v>
      </c>
      <c r="B37" s="34" t="s">
        <v>15</v>
      </c>
      <c r="C37" s="35">
        <v>161012</v>
      </c>
      <c r="D37" s="39">
        <v>161359</v>
      </c>
      <c r="E37" s="36">
        <f t="shared" ref="E37:E44" si="38">D37-C37</f>
        <v>347</v>
      </c>
      <c r="F37" s="37">
        <v>42</v>
      </c>
      <c r="G37" s="13">
        <f t="shared" ref="G37:G44" si="39">(F37/E37)*100</f>
        <v>12.103746397694524</v>
      </c>
      <c r="H37" s="83"/>
      <c r="I37" s="243"/>
      <c r="J37" s="39">
        <f t="shared" ref="J37:J42" si="40">I37-H37</f>
        <v>0</v>
      </c>
      <c r="K37" s="77">
        <f t="shared" ref="K37:K44" si="41">F37</f>
        <v>42</v>
      </c>
      <c r="L37" s="67" t="e">
        <f t="shared" ref="L37:L44" si="42">(K37/J37)*100</f>
        <v>#DIV/0!</v>
      </c>
      <c r="M37" s="68">
        <v>19030</v>
      </c>
      <c r="N37" s="42">
        <f t="shared" ref="N37:N44" si="43">F37*M37</f>
        <v>799260</v>
      </c>
      <c r="R37" s="76">
        <f t="shared" si="33"/>
        <v>0</v>
      </c>
    </row>
    <row r="38" spans="1:18" ht="16">
      <c r="A38" s="33">
        <v>45938</v>
      </c>
      <c r="B38" s="44" t="s">
        <v>15</v>
      </c>
      <c r="C38" s="39">
        <v>161359</v>
      </c>
      <c r="D38" s="35">
        <v>161742</v>
      </c>
      <c r="E38" s="11">
        <f t="shared" si="38"/>
        <v>383</v>
      </c>
      <c r="F38" s="45">
        <v>40</v>
      </c>
      <c r="G38" s="13">
        <f t="shared" si="39"/>
        <v>10.443864229765012</v>
      </c>
      <c r="H38" s="38"/>
      <c r="I38" s="38"/>
      <c r="J38" s="35">
        <f t="shared" si="40"/>
        <v>0</v>
      </c>
      <c r="K38" s="50">
        <f t="shared" si="41"/>
        <v>40</v>
      </c>
      <c r="L38" s="46" t="e">
        <f t="shared" si="42"/>
        <v>#DIV/0!</v>
      </c>
      <c r="M38" s="48">
        <v>19030</v>
      </c>
      <c r="N38" s="47">
        <f t="shared" si="43"/>
        <v>761200</v>
      </c>
      <c r="P38" s="78"/>
      <c r="R38" s="76">
        <f t="shared" si="33"/>
        <v>0</v>
      </c>
    </row>
    <row r="39" spans="1:18" ht="16">
      <c r="A39" s="33">
        <v>45943</v>
      </c>
      <c r="B39" s="44" t="s">
        <v>15</v>
      </c>
      <c r="C39" s="35">
        <v>161742</v>
      </c>
      <c r="D39" s="35">
        <v>162031</v>
      </c>
      <c r="E39" s="11">
        <f t="shared" si="38"/>
        <v>289</v>
      </c>
      <c r="F39" s="45">
        <v>39</v>
      </c>
      <c r="G39" s="13">
        <f t="shared" si="39"/>
        <v>13.494809688581316</v>
      </c>
      <c r="H39" s="35"/>
      <c r="I39" s="38">
        <v>26921</v>
      </c>
      <c r="J39" s="35">
        <f t="shared" si="40"/>
        <v>26921</v>
      </c>
      <c r="K39" s="50">
        <f t="shared" si="41"/>
        <v>39</v>
      </c>
      <c r="L39" s="46">
        <f t="shared" si="42"/>
        <v>0.14486831841313472</v>
      </c>
      <c r="M39" s="48">
        <v>18600</v>
      </c>
      <c r="N39" s="47">
        <f t="shared" si="43"/>
        <v>725400</v>
      </c>
      <c r="R39" s="76">
        <f t="shared" si="33"/>
        <v>0</v>
      </c>
    </row>
    <row r="40" spans="1:18" ht="16">
      <c r="A40" s="33">
        <v>45945</v>
      </c>
      <c r="B40" s="44" t="s">
        <v>15</v>
      </c>
      <c r="C40" s="35">
        <v>162031</v>
      </c>
      <c r="D40" s="35">
        <v>162355</v>
      </c>
      <c r="E40" s="11">
        <f t="shared" si="38"/>
        <v>324</v>
      </c>
      <c r="F40" s="45">
        <v>39</v>
      </c>
      <c r="G40" s="13">
        <f t="shared" si="39"/>
        <v>12.037037037037036</v>
      </c>
      <c r="H40" s="35">
        <v>26921</v>
      </c>
      <c r="I40" s="38">
        <v>27180</v>
      </c>
      <c r="J40" s="35">
        <f t="shared" si="40"/>
        <v>259</v>
      </c>
      <c r="K40" s="50">
        <f t="shared" si="41"/>
        <v>39</v>
      </c>
      <c r="L40" s="46">
        <f t="shared" si="42"/>
        <v>15.057915057915059</v>
      </c>
      <c r="M40" s="48">
        <v>18600</v>
      </c>
      <c r="N40" s="47">
        <f t="shared" si="43"/>
        <v>725400</v>
      </c>
      <c r="R40" s="76">
        <f t="shared" si="33"/>
        <v>0</v>
      </c>
    </row>
    <row r="41" spans="1:18" ht="16">
      <c r="A41" s="33">
        <v>45951</v>
      </c>
      <c r="B41" s="44" t="s">
        <v>15</v>
      </c>
      <c r="C41" s="35">
        <v>162355</v>
      </c>
      <c r="D41" s="35">
        <v>162732</v>
      </c>
      <c r="E41" s="11">
        <f t="shared" si="38"/>
        <v>377</v>
      </c>
      <c r="F41" s="45">
        <v>42</v>
      </c>
      <c r="G41" s="13">
        <f t="shared" si="39"/>
        <v>11.140583554376658</v>
      </c>
      <c r="H41" s="35">
        <v>27180</v>
      </c>
      <c r="I41" s="38">
        <v>27620</v>
      </c>
      <c r="J41" s="35">
        <f t="shared" si="40"/>
        <v>440</v>
      </c>
      <c r="K41" s="50">
        <f t="shared" si="41"/>
        <v>42</v>
      </c>
      <c r="L41" s="46">
        <f t="shared" si="42"/>
        <v>9.5454545454545467</v>
      </c>
      <c r="M41" s="48">
        <v>18420</v>
      </c>
      <c r="N41" s="47">
        <f t="shared" si="43"/>
        <v>773640</v>
      </c>
      <c r="R41" s="76">
        <f t="shared" si="33"/>
        <v>0</v>
      </c>
    </row>
    <row r="42" spans="1:18" ht="16">
      <c r="A42" s="33">
        <v>45953</v>
      </c>
      <c r="B42" s="44" t="s">
        <v>15</v>
      </c>
      <c r="C42" s="35">
        <v>162732</v>
      </c>
      <c r="D42" s="35">
        <v>163092</v>
      </c>
      <c r="E42" s="11">
        <f t="shared" si="38"/>
        <v>360</v>
      </c>
      <c r="F42" s="45">
        <v>45</v>
      </c>
      <c r="G42" s="13">
        <f t="shared" si="39"/>
        <v>12.5</v>
      </c>
      <c r="H42" s="35"/>
      <c r="I42" s="38">
        <v>23467</v>
      </c>
      <c r="J42" s="35">
        <f t="shared" si="40"/>
        <v>23467</v>
      </c>
      <c r="K42" s="50">
        <f t="shared" si="41"/>
        <v>45</v>
      </c>
      <c r="L42" s="46">
        <f t="shared" si="42"/>
        <v>0.19175863979204841</v>
      </c>
      <c r="M42" s="48">
        <v>18420</v>
      </c>
      <c r="N42" s="47">
        <f t="shared" si="43"/>
        <v>828900</v>
      </c>
      <c r="R42" s="76">
        <f t="shared" si="33"/>
        <v>0</v>
      </c>
    </row>
    <row r="43" spans="1:18" ht="16">
      <c r="A43" s="33">
        <v>45958</v>
      </c>
      <c r="B43" s="44" t="s">
        <v>15</v>
      </c>
      <c r="C43" s="35">
        <v>163092</v>
      </c>
      <c r="D43" s="35">
        <v>163457</v>
      </c>
      <c r="E43" s="11">
        <f t="shared" si="38"/>
        <v>365</v>
      </c>
      <c r="F43" s="45">
        <v>41</v>
      </c>
      <c r="G43" s="13">
        <f t="shared" si="39"/>
        <v>11.232876712328768</v>
      </c>
      <c r="H43" s="35"/>
      <c r="I43" s="38"/>
      <c r="J43" s="35"/>
      <c r="K43" s="50">
        <f t="shared" si="41"/>
        <v>41</v>
      </c>
      <c r="L43" s="46" t="e">
        <f t="shared" si="42"/>
        <v>#DIV/0!</v>
      </c>
      <c r="M43" s="48">
        <v>17880</v>
      </c>
      <c r="N43" s="47">
        <f t="shared" si="43"/>
        <v>733080</v>
      </c>
    </row>
    <row r="44" spans="1:18" ht="16">
      <c r="A44" s="33">
        <v>45960</v>
      </c>
      <c r="B44" s="79" t="s">
        <v>15</v>
      </c>
      <c r="C44" s="35">
        <v>163457</v>
      </c>
      <c r="D44" s="53">
        <v>163749</v>
      </c>
      <c r="E44" s="24">
        <f t="shared" si="38"/>
        <v>292</v>
      </c>
      <c r="F44" s="45">
        <v>40</v>
      </c>
      <c r="G44" s="54">
        <f t="shared" si="39"/>
        <v>13.698630136986301</v>
      </c>
      <c r="H44" s="53"/>
      <c r="I44" s="55"/>
      <c r="J44" s="53">
        <f>I44-H44</f>
        <v>0</v>
      </c>
      <c r="K44" s="50">
        <f t="shared" si="41"/>
        <v>40</v>
      </c>
      <c r="L44" s="73" t="e">
        <f t="shared" si="42"/>
        <v>#DIV/0!</v>
      </c>
      <c r="M44" s="48">
        <v>19200</v>
      </c>
      <c r="N44" s="57">
        <f t="shared" si="43"/>
        <v>768000</v>
      </c>
      <c r="R44" s="76">
        <f t="shared" ref="R44:R52" si="44">Q44</f>
        <v>0</v>
      </c>
    </row>
    <row r="45" spans="1:18" ht="16">
      <c r="A45" s="59"/>
      <c r="B45" s="60"/>
      <c r="C45" s="59"/>
      <c r="D45" s="59" t="s">
        <v>19</v>
      </c>
      <c r="E45" s="59">
        <f t="shared" ref="E45:F45" si="45">SUM(E37:E44)</f>
        <v>2737</v>
      </c>
      <c r="F45" s="59">
        <f t="shared" si="45"/>
        <v>328</v>
      </c>
      <c r="G45" s="61">
        <f>AVERAGE(G37:G44)</f>
        <v>12.0814434695962</v>
      </c>
      <c r="H45" s="59"/>
      <c r="I45" s="62"/>
      <c r="J45" s="59">
        <f t="shared" ref="J45:K45" si="46">SUM(J37:J44)</f>
        <v>51087</v>
      </c>
      <c r="K45" s="59">
        <f t="shared" si="46"/>
        <v>328</v>
      </c>
      <c r="L45" s="61" t="e">
        <f>AVERAGE(L37:L44)</f>
        <v>#DIV/0!</v>
      </c>
      <c r="M45" s="64"/>
      <c r="N45" s="65">
        <f>SUM(N37:N44)</f>
        <v>6114880</v>
      </c>
      <c r="R45" s="76">
        <f t="shared" si="44"/>
        <v>0</v>
      </c>
    </row>
    <row r="46" spans="1:18" ht="16">
      <c r="A46" s="66">
        <v>45931</v>
      </c>
      <c r="B46" s="34" t="s">
        <v>16</v>
      </c>
      <c r="C46" s="35">
        <v>138162</v>
      </c>
      <c r="D46" s="39">
        <v>138428</v>
      </c>
      <c r="E46" s="36">
        <f t="shared" ref="E46:E55" si="47">D46-C46</f>
        <v>266</v>
      </c>
      <c r="F46" s="37">
        <v>32</v>
      </c>
      <c r="G46" s="13">
        <f t="shared" ref="G46:G55" si="48">(F46/E46)*100</f>
        <v>12.030075187969924</v>
      </c>
      <c r="H46" s="125"/>
      <c r="I46" s="246"/>
      <c r="J46" s="39">
        <f t="shared" ref="J46:J51" si="49">I46-H46</f>
        <v>0</v>
      </c>
      <c r="K46" s="77">
        <f t="shared" ref="K46:K55" si="50">F46</f>
        <v>32</v>
      </c>
      <c r="L46" s="67" t="e">
        <f t="shared" ref="L46:L55" si="51">(K46/J46)*100</f>
        <v>#DIV/0!</v>
      </c>
      <c r="M46" s="68">
        <v>18650</v>
      </c>
      <c r="N46" s="42">
        <f t="shared" ref="N46:N55" si="52">F46*M46</f>
        <v>596800</v>
      </c>
      <c r="R46" s="76">
        <f t="shared" si="44"/>
        <v>0</v>
      </c>
    </row>
    <row r="47" spans="1:18" ht="16">
      <c r="A47" s="80">
        <v>45938</v>
      </c>
      <c r="B47" s="44" t="s">
        <v>16</v>
      </c>
      <c r="C47" s="39">
        <v>138428</v>
      </c>
      <c r="D47" s="35">
        <v>138701</v>
      </c>
      <c r="E47" s="11">
        <f t="shared" si="47"/>
        <v>273</v>
      </c>
      <c r="F47" s="45">
        <v>40</v>
      </c>
      <c r="G47" s="13">
        <f t="shared" si="48"/>
        <v>14.652014652014653</v>
      </c>
      <c r="H47" s="35"/>
      <c r="I47" s="38"/>
      <c r="J47" s="35">
        <f t="shared" si="49"/>
        <v>0</v>
      </c>
      <c r="K47" s="50">
        <f t="shared" si="50"/>
        <v>40</v>
      </c>
      <c r="L47" s="46" t="e">
        <f t="shared" si="51"/>
        <v>#DIV/0!</v>
      </c>
      <c r="M47" s="48">
        <v>19030</v>
      </c>
      <c r="N47" s="47">
        <f t="shared" si="52"/>
        <v>761200</v>
      </c>
      <c r="R47" s="76">
        <f t="shared" si="44"/>
        <v>0</v>
      </c>
    </row>
    <row r="48" spans="1:18" ht="16">
      <c r="A48" s="80">
        <v>45940</v>
      </c>
      <c r="B48" s="44" t="s">
        <v>16</v>
      </c>
      <c r="C48" s="35">
        <v>138701</v>
      </c>
      <c r="D48" s="35">
        <v>138974</v>
      </c>
      <c r="E48" s="11">
        <f t="shared" si="47"/>
        <v>273</v>
      </c>
      <c r="F48" s="45">
        <v>40</v>
      </c>
      <c r="G48" s="13">
        <f t="shared" si="48"/>
        <v>14.652014652014653</v>
      </c>
      <c r="H48" s="38"/>
      <c r="I48" s="38">
        <v>27700</v>
      </c>
      <c r="J48" s="35">
        <f t="shared" si="49"/>
        <v>27700</v>
      </c>
      <c r="K48" s="50">
        <f t="shared" si="50"/>
        <v>40</v>
      </c>
      <c r="L48" s="46">
        <f t="shared" si="51"/>
        <v>0.1444043321299639</v>
      </c>
      <c r="M48" s="48">
        <v>18600</v>
      </c>
      <c r="N48" s="47">
        <f t="shared" si="52"/>
        <v>744000</v>
      </c>
      <c r="R48" s="76">
        <f t="shared" si="44"/>
        <v>0</v>
      </c>
    </row>
    <row r="49" spans="1:18" ht="16">
      <c r="A49" s="80">
        <v>45944</v>
      </c>
      <c r="B49" s="44" t="s">
        <v>16</v>
      </c>
      <c r="C49" s="35">
        <v>138974</v>
      </c>
      <c r="D49" s="35">
        <v>139235</v>
      </c>
      <c r="E49" s="11">
        <f t="shared" si="47"/>
        <v>261</v>
      </c>
      <c r="F49" s="45">
        <v>35</v>
      </c>
      <c r="G49" s="13">
        <f t="shared" si="48"/>
        <v>13.409961685823754</v>
      </c>
      <c r="H49" s="38">
        <v>27700</v>
      </c>
      <c r="I49" s="38">
        <v>28000</v>
      </c>
      <c r="J49" s="35">
        <f t="shared" si="49"/>
        <v>300</v>
      </c>
      <c r="K49" s="50">
        <f t="shared" si="50"/>
        <v>35</v>
      </c>
      <c r="L49" s="46">
        <f t="shared" si="51"/>
        <v>11.666666666666666</v>
      </c>
      <c r="M49" s="48">
        <v>18600</v>
      </c>
      <c r="N49" s="47">
        <f t="shared" si="52"/>
        <v>651000</v>
      </c>
      <c r="P49" s="78"/>
      <c r="R49" s="76">
        <f t="shared" si="44"/>
        <v>0</v>
      </c>
    </row>
    <row r="50" spans="1:18" ht="16">
      <c r="A50" s="80">
        <v>45946</v>
      </c>
      <c r="B50" s="44" t="s">
        <v>16</v>
      </c>
      <c r="C50" s="35">
        <v>139235</v>
      </c>
      <c r="D50" s="35">
        <v>139539</v>
      </c>
      <c r="E50" s="11">
        <f t="shared" si="47"/>
        <v>304</v>
      </c>
      <c r="F50" s="45">
        <v>40</v>
      </c>
      <c r="G50" s="13">
        <f t="shared" si="48"/>
        <v>13.157894736842104</v>
      </c>
      <c r="H50" s="35">
        <v>28000</v>
      </c>
      <c r="I50" s="38">
        <v>28300</v>
      </c>
      <c r="J50" s="35">
        <f t="shared" si="49"/>
        <v>300</v>
      </c>
      <c r="K50" s="50">
        <f t="shared" si="50"/>
        <v>40</v>
      </c>
      <c r="L50" s="46">
        <f t="shared" si="51"/>
        <v>13.333333333333334</v>
      </c>
      <c r="M50" s="48">
        <v>18420</v>
      </c>
      <c r="N50" s="47">
        <f t="shared" si="52"/>
        <v>736800</v>
      </c>
      <c r="R50" s="76">
        <f t="shared" si="44"/>
        <v>0</v>
      </c>
    </row>
    <row r="51" spans="1:18" ht="16">
      <c r="A51" s="80">
        <v>45951</v>
      </c>
      <c r="B51" s="44" t="s">
        <v>16</v>
      </c>
      <c r="C51" s="35">
        <v>139539</v>
      </c>
      <c r="D51" s="35">
        <v>139820</v>
      </c>
      <c r="E51" s="11">
        <f t="shared" si="47"/>
        <v>281</v>
      </c>
      <c r="F51" s="45">
        <v>38</v>
      </c>
      <c r="G51" s="13">
        <f t="shared" si="48"/>
        <v>13.523131672597867</v>
      </c>
      <c r="H51" s="38">
        <v>28300</v>
      </c>
      <c r="I51" s="38">
        <v>23850</v>
      </c>
      <c r="J51" s="35">
        <f t="shared" si="49"/>
        <v>-4450</v>
      </c>
      <c r="K51" s="50">
        <f t="shared" si="50"/>
        <v>38</v>
      </c>
      <c r="L51" s="46">
        <f t="shared" si="51"/>
        <v>-0.85393258426966301</v>
      </c>
      <c r="M51" s="48">
        <v>18420</v>
      </c>
      <c r="N51" s="47">
        <f t="shared" si="52"/>
        <v>699960</v>
      </c>
      <c r="R51" s="76">
        <f t="shared" si="44"/>
        <v>0</v>
      </c>
    </row>
    <row r="52" spans="1:18" ht="16">
      <c r="A52" s="80">
        <v>45954</v>
      </c>
      <c r="B52" s="44" t="s">
        <v>16</v>
      </c>
      <c r="C52" s="35">
        <v>139820</v>
      </c>
      <c r="D52" s="35">
        <v>140192</v>
      </c>
      <c r="E52" s="11">
        <f t="shared" si="47"/>
        <v>372</v>
      </c>
      <c r="F52" s="45">
        <v>45</v>
      </c>
      <c r="G52" s="13">
        <f t="shared" si="48"/>
        <v>12.096774193548388</v>
      </c>
      <c r="H52" s="35"/>
      <c r="I52" s="38"/>
      <c r="J52" s="35"/>
      <c r="K52" s="50">
        <f t="shared" si="50"/>
        <v>45</v>
      </c>
      <c r="L52" s="46" t="e">
        <f t="shared" si="51"/>
        <v>#DIV/0!</v>
      </c>
      <c r="M52" s="48">
        <v>17880</v>
      </c>
      <c r="N52" s="47">
        <f t="shared" si="52"/>
        <v>804600</v>
      </c>
      <c r="R52" s="76">
        <f t="shared" si="44"/>
        <v>0</v>
      </c>
    </row>
    <row r="53" spans="1:18" ht="16">
      <c r="A53" s="80">
        <v>45958</v>
      </c>
      <c r="B53" s="44" t="s">
        <v>16</v>
      </c>
      <c r="C53" s="35">
        <v>140192</v>
      </c>
      <c r="D53" s="35">
        <v>140401</v>
      </c>
      <c r="E53" s="11">
        <f t="shared" si="47"/>
        <v>209</v>
      </c>
      <c r="F53" s="45">
        <v>29</v>
      </c>
      <c r="G53" s="13">
        <f t="shared" si="48"/>
        <v>13.875598086124402</v>
      </c>
      <c r="H53" s="35"/>
      <c r="I53" s="38"/>
      <c r="J53" s="35"/>
      <c r="K53" s="50">
        <f t="shared" si="50"/>
        <v>29</v>
      </c>
      <c r="L53" s="46" t="e">
        <f t="shared" si="51"/>
        <v>#DIV/0!</v>
      </c>
      <c r="M53" s="48">
        <v>17880</v>
      </c>
      <c r="N53" s="47">
        <f t="shared" si="52"/>
        <v>518520</v>
      </c>
    </row>
    <row r="54" spans="1:18" ht="16">
      <c r="A54" s="80"/>
      <c r="B54" s="44" t="s">
        <v>16</v>
      </c>
      <c r="C54" s="12"/>
      <c r="D54" s="35"/>
      <c r="E54" s="11">
        <f t="shared" si="47"/>
        <v>0</v>
      </c>
      <c r="F54" s="45"/>
      <c r="G54" s="13" t="e">
        <f t="shared" si="48"/>
        <v>#DIV/0!</v>
      </c>
      <c r="H54" s="35"/>
      <c r="I54" s="38"/>
      <c r="J54" s="35"/>
      <c r="K54" s="50">
        <f t="shared" si="50"/>
        <v>0</v>
      </c>
      <c r="L54" s="46" t="e">
        <f t="shared" si="51"/>
        <v>#DIV/0!</v>
      </c>
      <c r="M54" s="48"/>
      <c r="N54" s="47">
        <f t="shared" si="52"/>
        <v>0</v>
      </c>
      <c r="R54" s="76">
        <f t="shared" ref="R54:R59" si="53">Q54</f>
        <v>0</v>
      </c>
    </row>
    <row r="55" spans="1:18" ht="16">
      <c r="A55" s="80"/>
      <c r="B55" s="44" t="s">
        <v>16</v>
      </c>
      <c r="C55" s="53"/>
      <c r="D55" s="53"/>
      <c r="E55" s="24">
        <f t="shared" si="47"/>
        <v>0</v>
      </c>
      <c r="F55" s="45"/>
      <c r="G55" s="54" t="e">
        <f t="shared" si="48"/>
        <v>#DIV/0!</v>
      </c>
      <c r="H55" s="53"/>
      <c r="I55" s="55"/>
      <c r="J55" s="53">
        <f>I55-H55</f>
        <v>0</v>
      </c>
      <c r="K55" s="50">
        <f t="shared" si="50"/>
        <v>0</v>
      </c>
      <c r="L55" s="73" t="e">
        <f t="shared" si="51"/>
        <v>#DIV/0!</v>
      </c>
      <c r="M55" s="48"/>
      <c r="N55" s="57">
        <f t="shared" si="52"/>
        <v>0</v>
      </c>
      <c r="R55" s="76">
        <f t="shared" si="53"/>
        <v>0</v>
      </c>
    </row>
    <row r="56" spans="1:18" ht="16">
      <c r="A56" s="59"/>
      <c r="B56" s="60"/>
      <c r="C56" s="81"/>
      <c r="D56" s="59" t="s">
        <v>19</v>
      </c>
      <c r="E56" s="59">
        <f>SUM(E46:E55)</f>
        <v>2239</v>
      </c>
      <c r="F56" s="37"/>
      <c r="G56" s="61" t="e">
        <f>AVERAGE(G46:G55)</f>
        <v>#DIV/0!</v>
      </c>
      <c r="H56" s="59"/>
      <c r="I56" s="62"/>
      <c r="J56" s="59">
        <f t="shared" ref="J56:K56" si="54">SUM(J46:J55)</f>
        <v>23850</v>
      </c>
      <c r="K56" s="59">
        <f t="shared" si="54"/>
        <v>299</v>
      </c>
      <c r="L56" s="61" t="e">
        <f>AVERAGE(L46:L55)</f>
        <v>#DIV/0!</v>
      </c>
      <c r="M56" s="64"/>
      <c r="N56" s="65">
        <f>SUM(N46:N55)</f>
        <v>5512880</v>
      </c>
      <c r="R56" s="76">
        <f t="shared" si="53"/>
        <v>0</v>
      </c>
    </row>
    <row r="57" spans="1:18" ht="16">
      <c r="A57" s="66">
        <v>45933</v>
      </c>
      <c r="B57" s="82" t="s">
        <v>18</v>
      </c>
      <c r="C57" s="50">
        <v>143432</v>
      </c>
      <c r="D57" s="39">
        <v>143788</v>
      </c>
      <c r="E57" s="36">
        <f t="shared" ref="E57:E65" si="55">D57-C57</f>
        <v>356</v>
      </c>
      <c r="F57" s="37">
        <v>49</v>
      </c>
      <c r="G57" s="13">
        <f t="shared" ref="G57:G65" si="56">(F57/E57)*100</f>
        <v>13.764044943820226</v>
      </c>
      <c r="H57" s="125"/>
      <c r="I57" s="246"/>
      <c r="J57" s="39">
        <f t="shared" ref="J57:J59" si="57">I57-H57</f>
        <v>0</v>
      </c>
      <c r="K57" s="77">
        <f t="shared" ref="K57:K65" si="58">F57</f>
        <v>49</v>
      </c>
      <c r="L57" s="67" t="e">
        <f t="shared" ref="L57:L65" si="59">(K57/J57)*100</f>
        <v>#DIV/0!</v>
      </c>
      <c r="M57" s="68">
        <v>19030</v>
      </c>
      <c r="N57" s="42">
        <f t="shared" ref="N57:N65" si="60">F57*M57</f>
        <v>932470</v>
      </c>
      <c r="R57" s="76">
        <f t="shared" si="53"/>
        <v>0</v>
      </c>
    </row>
    <row r="58" spans="1:18" ht="16">
      <c r="A58" s="33">
        <v>45940</v>
      </c>
      <c r="B58" s="44" t="s">
        <v>18</v>
      </c>
      <c r="C58" s="39">
        <v>143788</v>
      </c>
      <c r="D58" s="35">
        <v>144145</v>
      </c>
      <c r="E58" s="11">
        <f t="shared" si="55"/>
        <v>357</v>
      </c>
      <c r="F58" s="45">
        <v>46</v>
      </c>
      <c r="G58" s="13">
        <f t="shared" si="56"/>
        <v>12.885154061624648</v>
      </c>
      <c r="H58" s="35"/>
      <c r="I58" s="38"/>
      <c r="J58" s="35">
        <f t="shared" si="57"/>
        <v>0</v>
      </c>
      <c r="K58" s="50">
        <f t="shared" si="58"/>
        <v>46</v>
      </c>
      <c r="L58" s="46" t="e">
        <f t="shared" si="59"/>
        <v>#DIV/0!</v>
      </c>
      <c r="M58" s="48">
        <v>18600</v>
      </c>
      <c r="N58" s="47">
        <f t="shared" si="60"/>
        <v>855600</v>
      </c>
      <c r="R58" s="76">
        <f t="shared" si="53"/>
        <v>0</v>
      </c>
    </row>
    <row r="59" spans="1:18" ht="16">
      <c r="A59" s="33">
        <v>45945</v>
      </c>
      <c r="B59" s="44" t="s">
        <v>18</v>
      </c>
      <c r="C59" s="12">
        <v>144145</v>
      </c>
      <c r="D59" s="35">
        <v>144506</v>
      </c>
      <c r="E59" s="11">
        <f t="shared" si="55"/>
        <v>361</v>
      </c>
      <c r="F59" s="45">
        <v>46</v>
      </c>
      <c r="G59" s="13">
        <f t="shared" si="56"/>
        <v>12.742382271468145</v>
      </c>
      <c r="H59" s="35"/>
      <c r="I59" s="38">
        <v>21080</v>
      </c>
      <c r="J59" s="35">
        <f t="shared" si="57"/>
        <v>21080</v>
      </c>
      <c r="K59" s="50">
        <f t="shared" si="58"/>
        <v>46</v>
      </c>
      <c r="L59" s="46">
        <f t="shared" si="59"/>
        <v>0.21821631878557873</v>
      </c>
      <c r="M59" s="48">
        <v>18600</v>
      </c>
      <c r="N59" s="47">
        <f t="shared" si="60"/>
        <v>855600</v>
      </c>
      <c r="R59" s="76">
        <f t="shared" si="53"/>
        <v>0</v>
      </c>
    </row>
    <row r="60" spans="1:18" ht="16">
      <c r="A60" s="33">
        <v>45947</v>
      </c>
      <c r="B60" s="44" t="s">
        <v>18</v>
      </c>
      <c r="C60" s="35">
        <v>144506</v>
      </c>
      <c r="D60" s="35">
        <v>144811</v>
      </c>
      <c r="E60" s="11">
        <f t="shared" si="55"/>
        <v>305</v>
      </c>
      <c r="F60" s="45">
        <v>40</v>
      </c>
      <c r="G60" s="13">
        <f t="shared" si="56"/>
        <v>13.114754098360656</v>
      </c>
      <c r="H60" s="35"/>
      <c r="I60" s="38"/>
      <c r="J60" s="35"/>
      <c r="K60" s="50">
        <f t="shared" si="58"/>
        <v>40</v>
      </c>
      <c r="L60" s="46" t="e">
        <f t="shared" si="59"/>
        <v>#DIV/0!</v>
      </c>
      <c r="M60" s="48">
        <v>18420</v>
      </c>
      <c r="N60" s="47">
        <f t="shared" si="60"/>
        <v>736800</v>
      </c>
    </row>
    <row r="61" spans="1:18" ht="16">
      <c r="A61" s="33">
        <v>45952</v>
      </c>
      <c r="B61" s="44" t="s">
        <v>18</v>
      </c>
      <c r="C61" s="35">
        <v>144811</v>
      </c>
      <c r="D61" s="35">
        <v>145162</v>
      </c>
      <c r="E61" s="11">
        <f t="shared" si="55"/>
        <v>351</v>
      </c>
      <c r="F61" s="45">
        <v>45</v>
      </c>
      <c r="G61" s="13">
        <f t="shared" si="56"/>
        <v>12.820512820512819</v>
      </c>
      <c r="H61" s="35">
        <v>21080</v>
      </c>
      <c r="I61" s="38">
        <v>16645</v>
      </c>
      <c r="J61" s="35">
        <f t="shared" ref="J61:J65" si="61">I61-H61</f>
        <v>-4435</v>
      </c>
      <c r="K61" s="50">
        <f t="shared" si="58"/>
        <v>45</v>
      </c>
      <c r="L61" s="46">
        <f t="shared" si="59"/>
        <v>-1.0146561443066515</v>
      </c>
      <c r="M61" s="48">
        <v>18420</v>
      </c>
      <c r="N61" s="47">
        <f t="shared" si="60"/>
        <v>828900</v>
      </c>
      <c r="R61" s="76">
        <f t="shared" ref="R61:R157" si="62">Q61</f>
        <v>0</v>
      </c>
    </row>
    <row r="62" spans="1:18" ht="16">
      <c r="A62" s="33">
        <v>45955</v>
      </c>
      <c r="B62" s="44" t="s">
        <v>18</v>
      </c>
      <c r="C62" s="35">
        <v>145162</v>
      </c>
      <c r="D62" s="35">
        <v>145478</v>
      </c>
      <c r="E62" s="11">
        <f t="shared" si="55"/>
        <v>316</v>
      </c>
      <c r="F62" s="45">
        <v>40</v>
      </c>
      <c r="G62" s="13">
        <f t="shared" si="56"/>
        <v>12.658227848101266</v>
      </c>
      <c r="H62" s="35"/>
      <c r="I62" s="38"/>
      <c r="J62" s="35">
        <f t="shared" si="61"/>
        <v>0</v>
      </c>
      <c r="K62" s="50">
        <f t="shared" si="58"/>
        <v>40</v>
      </c>
      <c r="L62" s="46" t="e">
        <f t="shared" si="59"/>
        <v>#DIV/0!</v>
      </c>
      <c r="M62" s="48">
        <v>17880</v>
      </c>
      <c r="N62" s="47">
        <f t="shared" si="60"/>
        <v>715200</v>
      </c>
      <c r="R62" s="76">
        <f t="shared" si="62"/>
        <v>0</v>
      </c>
    </row>
    <row r="63" spans="1:18" ht="16">
      <c r="A63" s="33">
        <v>45960</v>
      </c>
      <c r="B63" s="44" t="s">
        <v>18</v>
      </c>
      <c r="C63" s="35">
        <v>145478</v>
      </c>
      <c r="D63" s="35">
        <v>145759</v>
      </c>
      <c r="E63" s="51">
        <f t="shared" si="55"/>
        <v>281</v>
      </c>
      <c r="F63" s="45">
        <v>39</v>
      </c>
      <c r="G63" s="13">
        <f t="shared" si="56"/>
        <v>13.87900355871886</v>
      </c>
      <c r="H63" s="35"/>
      <c r="I63" s="38"/>
      <c r="J63" s="35">
        <f t="shared" si="61"/>
        <v>0</v>
      </c>
      <c r="K63" s="50">
        <f t="shared" si="58"/>
        <v>39</v>
      </c>
      <c r="L63" s="46" t="e">
        <f t="shared" si="59"/>
        <v>#DIV/0!</v>
      </c>
      <c r="M63" s="48">
        <v>17880</v>
      </c>
      <c r="N63" s="47">
        <f t="shared" si="60"/>
        <v>697320</v>
      </c>
      <c r="R63" s="76">
        <f t="shared" si="62"/>
        <v>0</v>
      </c>
    </row>
    <row r="64" spans="1:18" ht="16">
      <c r="A64" s="43"/>
      <c r="B64" s="49" t="s">
        <v>18</v>
      </c>
      <c r="C64" s="10"/>
      <c r="D64" s="50"/>
      <c r="E64" s="51">
        <f t="shared" si="55"/>
        <v>0</v>
      </c>
      <c r="F64" s="45"/>
      <c r="G64" s="13" t="e">
        <f t="shared" si="56"/>
        <v>#DIV/0!</v>
      </c>
      <c r="H64" s="35"/>
      <c r="I64" s="38"/>
      <c r="J64" s="35">
        <f t="shared" si="61"/>
        <v>0</v>
      </c>
      <c r="K64" s="50">
        <f t="shared" si="58"/>
        <v>0</v>
      </c>
      <c r="L64" s="46" t="e">
        <f t="shared" si="59"/>
        <v>#DIV/0!</v>
      </c>
      <c r="M64" s="48"/>
      <c r="N64" s="47">
        <f t="shared" si="60"/>
        <v>0</v>
      </c>
      <c r="R64" s="76">
        <f t="shared" si="62"/>
        <v>0</v>
      </c>
    </row>
    <row r="65" spans="1:18" ht="16">
      <c r="A65" s="33"/>
      <c r="B65" s="44" t="s">
        <v>18</v>
      </c>
      <c r="C65" s="12"/>
      <c r="D65" s="53"/>
      <c r="E65" s="24">
        <f t="shared" si="55"/>
        <v>0</v>
      </c>
      <c r="F65" s="45"/>
      <c r="G65" s="54" t="e">
        <f t="shared" si="56"/>
        <v>#DIV/0!</v>
      </c>
      <c r="H65" s="53"/>
      <c r="I65" s="55"/>
      <c r="J65" s="53">
        <f t="shared" si="61"/>
        <v>0</v>
      </c>
      <c r="K65" s="50">
        <f t="shared" si="58"/>
        <v>0</v>
      </c>
      <c r="L65" s="73" t="e">
        <f t="shared" si="59"/>
        <v>#DIV/0!</v>
      </c>
      <c r="M65" s="48"/>
      <c r="N65" s="57">
        <f t="shared" si="60"/>
        <v>0</v>
      </c>
      <c r="R65" s="76">
        <f t="shared" si="62"/>
        <v>0</v>
      </c>
    </row>
    <row r="66" spans="1:18" ht="16">
      <c r="A66" s="59"/>
      <c r="B66" s="60"/>
      <c r="C66" s="63"/>
      <c r="D66" s="59" t="s">
        <v>19</v>
      </c>
      <c r="E66" s="59">
        <f t="shared" ref="E66:F66" si="63">SUM(E57:E65)</f>
        <v>2327</v>
      </c>
      <c r="F66" s="59">
        <f t="shared" si="63"/>
        <v>305</v>
      </c>
      <c r="G66" s="61" t="e">
        <f>AVERAGE(G57:G65)</f>
        <v>#DIV/0!</v>
      </c>
      <c r="H66" s="59"/>
      <c r="I66" s="62"/>
      <c r="J66" s="59">
        <f t="shared" ref="J66:K66" si="64">SUM(J57:J65)</f>
        <v>16645</v>
      </c>
      <c r="K66" s="59">
        <f t="shared" si="64"/>
        <v>305</v>
      </c>
      <c r="L66" s="61" t="e">
        <f>AVERAGE(L57:L65)</f>
        <v>#DIV/0!</v>
      </c>
      <c r="M66" s="64"/>
      <c r="N66" s="65">
        <f>SUM(N57:N65)</f>
        <v>5621890</v>
      </c>
      <c r="R66" s="76">
        <f t="shared" si="62"/>
        <v>0</v>
      </c>
    </row>
    <row r="67" spans="1:18" ht="16">
      <c r="A67" s="66">
        <v>45933</v>
      </c>
      <c r="B67" s="34" t="s">
        <v>20</v>
      </c>
      <c r="C67" s="35">
        <v>389104</v>
      </c>
      <c r="D67" s="39">
        <v>389599</v>
      </c>
      <c r="E67" s="36">
        <f t="shared" ref="E67:E70" si="65">D67-C67</f>
        <v>495</v>
      </c>
      <c r="F67" s="37">
        <v>69</v>
      </c>
      <c r="G67" s="13">
        <f t="shared" ref="G67:G73" si="66">(F67/E67)*100</f>
        <v>13.939393939393941</v>
      </c>
      <c r="H67" s="125"/>
      <c r="I67" s="83"/>
      <c r="J67" s="39">
        <f t="shared" ref="J67:J73" si="67">I67-H67</f>
        <v>0</v>
      </c>
      <c r="K67" s="77">
        <f t="shared" ref="K67:K70" si="68">F67</f>
        <v>69</v>
      </c>
      <c r="L67" s="67" t="e">
        <f t="shared" ref="L67:L73" si="69">(K67/J67)*100</f>
        <v>#DIV/0!</v>
      </c>
      <c r="M67" s="68">
        <v>19030</v>
      </c>
      <c r="N67" s="42">
        <f t="shared" ref="N67:N70" si="70">F67*M67</f>
        <v>1313070</v>
      </c>
      <c r="R67" s="76">
        <f t="shared" si="62"/>
        <v>0</v>
      </c>
    </row>
    <row r="68" spans="1:18" ht="16">
      <c r="A68" s="33">
        <v>45939</v>
      </c>
      <c r="B68" s="44" t="s">
        <v>20</v>
      </c>
      <c r="C68" s="39">
        <v>389599</v>
      </c>
      <c r="D68" s="35">
        <v>390249</v>
      </c>
      <c r="E68" s="11">
        <f t="shared" si="65"/>
        <v>650</v>
      </c>
      <c r="F68" s="45">
        <v>70</v>
      </c>
      <c r="G68" s="13">
        <f t="shared" si="66"/>
        <v>10.76923076923077</v>
      </c>
      <c r="H68" s="35"/>
      <c r="I68" s="83"/>
      <c r="J68" s="35">
        <f t="shared" si="67"/>
        <v>0</v>
      </c>
      <c r="K68" s="50">
        <f t="shared" si="68"/>
        <v>70</v>
      </c>
      <c r="L68" s="46" t="e">
        <f t="shared" si="69"/>
        <v>#DIV/0!</v>
      </c>
      <c r="M68" s="48">
        <v>19030</v>
      </c>
      <c r="N68" s="47">
        <f t="shared" si="70"/>
        <v>1332100</v>
      </c>
      <c r="R68" s="76">
        <f t="shared" si="62"/>
        <v>0</v>
      </c>
    </row>
    <row r="69" spans="1:18" ht="16">
      <c r="A69" s="33">
        <v>45946</v>
      </c>
      <c r="B69" s="44" t="s">
        <v>20</v>
      </c>
      <c r="C69" s="35">
        <v>390249</v>
      </c>
      <c r="D69" s="35">
        <v>390780</v>
      </c>
      <c r="E69" s="11">
        <f t="shared" si="65"/>
        <v>531</v>
      </c>
      <c r="F69" s="45">
        <v>69</v>
      </c>
      <c r="G69" s="13">
        <f t="shared" si="66"/>
        <v>12.994350282485875</v>
      </c>
      <c r="H69" s="35"/>
      <c r="I69" s="38">
        <v>28890</v>
      </c>
      <c r="J69" s="35">
        <f t="shared" si="67"/>
        <v>28890</v>
      </c>
      <c r="K69" s="50">
        <f t="shared" si="68"/>
        <v>69</v>
      </c>
      <c r="L69" s="46">
        <f t="shared" si="69"/>
        <v>0.23883696780893043</v>
      </c>
      <c r="M69" s="48">
        <v>18420</v>
      </c>
      <c r="N69" s="47">
        <f t="shared" si="70"/>
        <v>1270980</v>
      </c>
      <c r="R69" s="76">
        <f t="shared" si="62"/>
        <v>0</v>
      </c>
    </row>
    <row r="70" spans="1:18" ht="16">
      <c r="A70" s="33">
        <v>45953</v>
      </c>
      <c r="B70" s="44" t="s">
        <v>20</v>
      </c>
      <c r="C70" s="35">
        <v>390780</v>
      </c>
      <c r="D70" s="35">
        <v>391394</v>
      </c>
      <c r="E70" s="11">
        <f t="shared" si="65"/>
        <v>614</v>
      </c>
      <c r="F70" s="45">
        <v>74</v>
      </c>
      <c r="G70" s="13">
        <f t="shared" si="66"/>
        <v>12.052117263843648</v>
      </c>
      <c r="H70" s="38">
        <v>28890</v>
      </c>
      <c r="I70" s="38">
        <v>25034</v>
      </c>
      <c r="J70" s="35">
        <f t="shared" si="67"/>
        <v>-3856</v>
      </c>
      <c r="K70" s="50">
        <f t="shared" si="68"/>
        <v>74</v>
      </c>
      <c r="L70" s="46">
        <f t="shared" si="69"/>
        <v>-1.9190871369294606</v>
      </c>
      <c r="M70" s="48">
        <v>18420</v>
      </c>
      <c r="N70" s="47">
        <f t="shared" si="70"/>
        <v>1363080</v>
      </c>
      <c r="R70" s="76">
        <f t="shared" si="62"/>
        <v>0</v>
      </c>
    </row>
    <row r="71" spans="1:18" ht="16">
      <c r="A71" s="33"/>
      <c r="B71" s="44" t="s">
        <v>20</v>
      </c>
      <c r="C71" s="35"/>
      <c r="D71" s="35"/>
      <c r="E71" s="11"/>
      <c r="F71" s="45"/>
      <c r="G71" s="13" t="e">
        <f t="shared" si="66"/>
        <v>#DIV/0!</v>
      </c>
      <c r="H71" s="35"/>
      <c r="I71" s="38"/>
      <c r="J71" s="35">
        <f t="shared" si="67"/>
        <v>0</v>
      </c>
      <c r="K71" s="50">
        <v>2</v>
      </c>
      <c r="L71" s="46" t="e">
        <f t="shared" si="69"/>
        <v>#DIV/0!</v>
      </c>
      <c r="M71" s="48">
        <v>52000</v>
      </c>
      <c r="N71" s="47">
        <f>M71*K71</f>
        <v>104000</v>
      </c>
      <c r="O71" s="76" t="s">
        <v>85</v>
      </c>
      <c r="R71" s="76">
        <f t="shared" si="62"/>
        <v>0</v>
      </c>
    </row>
    <row r="72" spans="1:18" ht="16">
      <c r="A72" s="33">
        <v>45959</v>
      </c>
      <c r="B72" s="44" t="s">
        <v>20</v>
      </c>
      <c r="C72" s="35">
        <v>391394</v>
      </c>
      <c r="D72" s="35">
        <v>392052</v>
      </c>
      <c r="E72" s="11">
        <f t="shared" ref="E72:E73" si="71">D72-C72</f>
        <v>658</v>
      </c>
      <c r="F72" s="84">
        <v>79</v>
      </c>
      <c r="G72" s="13">
        <f t="shared" si="66"/>
        <v>12.006079027355623</v>
      </c>
      <c r="H72" s="35"/>
      <c r="I72" s="38"/>
      <c r="J72" s="35">
        <f t="shared" si="67"/>
        <v>0</v>
      </c>
      <c r="K72" s="50">
        <f t="shared" ref="K72:K73" si="72">F72</f>
        <v>79</v>
      </c>
      <c r="L72" s="46" t="e">
        <f t="shared" si="69"/>
        <v>#DIV/0!</v>
      </c>
      <c r="M72" s="48">
        <v>17880</v>
      </c>
      <c r="N72" s="47">
        <f t="shared" ref="N72:N73" si="73">F72*M72</f>
        <v>1412520</v>
      </c>
      <c r="R72" s="76">
        <f t="shared" si="62"/>
        <v>0</v>
      </c>
    </row>
    <row r="73" spans="1:18" ht="16">
      <c r="A73" s="87"/>
      <c r="B73" s="239"/>
      <c r="C73" s="53"/>
      <c r="D73" s="53"/>
      <c r="E73" s="24">
        <f t="shared" si="71"/>
        <v>0</v>
      </c>
      <c r="F73" s="45"/>
      <c r="G73" s="54" t="e">
        <f t="shared" si="66"/>
        <v>#DIV/0!</v>
      </c>
      <c r="H73" s="53"/>
      <c r="I73" s="55"/>
      <c r="J73" s="53">
        <f t="shared" si="67"/>
        <v>0</v>
      </c>
      <c r="K73" s="50">
        <f t="shared" si="72"/>
        <v>0</v>
      </c>
      <c r="L73" s="73" t="e">
        <f t="shared" si="69"/>
        <v>#DIV/0!</v>
      </c>
      <c r="M73" s="56"/>
      <c r="N73" s="57">
        <f t="shared" si="73"/>
        <v>0</v>
      </c>
      <c r="R73" s="76">
        <f t="shared" si="62"/>
        <v>0</v>
      </c>
    </row>
    <row r="74" spans="1:18" ht="16">
      <c r="A74" s="59"/>
      <c r="B74" s="60"/>
      <c r="C74" s="59"/>
      <c r="D74" s="59" t="s">
        <v>19</v>
      </c>
      <c r="E74" s="59">
        <f>SUM(E67:E73)</f>
        <v>2948</v>
      </c>
      <c r="F74" s="37"/>
      <c r="G74" s="61" t="e">
        <f>AVERAGE(G67:G73)</f>
        <v>#DIV/0!</v>
      </c>
      <c r="H74" s="59"/>
      <c r="I74" s="62"/>
      <c r="J74" s="59">
        <f>SUM(J67:J73)</f>
        <v>25034</v>
      </c>
      <c r="K74" s="59">
        <f>SUM(K68:K73)</f>
        <v>294</v>
      </c>
      <c r="L74" s="61" t="e">
        <f>AVERAGE(L67:L73)</f>
        <v>#DIV/0!</v>
      </c>
      <c r="M74" s="64"/>
      <c r="N74" s="65">
        <f>SUM(N67:N73)</f>
        <v>6795750</v>
      </c>
      <c r="R74" s="76">
        <f t="shared" si="62"/>
        <v>0</v>
      </c>
    </row>
    <row r="75" spans="1:18" ht="16">
      <c r="A75" s="85">
        <v>45936</v>
      </c>
      <c r="B75" s="34" t="s">
        <v>21</v>
      </c>
      <c r="C75" s="35">
        <v>370365</v>
      </c>
      <c r="D75" s="39">
        <v>370814</v>
      </c>
      <c r="E75" s="36">
        <f t="shared" ref="E75:E81" si="74">D75-C75</f>
        <v>449</v>
      </c>
      <c r="F75" s="37">
        <v>63</v>
      </c>
      <c r="G75" s="13">
        <f t="shared" ref="G75:G81" si="75">(F75/E75)*100</f>
        <v>14.03118040089087</v>
      </c>
      <c r="H75" s="240"/>
      <c r="I75" s="243"/>
      <c r="J75" s="39">
        <f t="shared" ref="J75:J81" si="76">I75-H75</f>
        <v>0</v>
      </c>
      <c r="K75" s="77">
        <f t="shared" ref="K75:K81" si="77">F75</f>
        <v>63</v>
      </c>
      <c r="L75" s="67" t="e">
        <f t="shared" ref="L75:L81" si="78">(K75/J75)*100</f>
        <v>#DIV/0!</v>
      </c>
      <c r="M75" s="68">
        <v>19030</v>
      </c>
      <c r="N75" s="42">
        <f t="shared" ref="N75:N81" si="79">F75*M75</f>
        <v>1198890</v>
      </c>
      <c r="R75" s="76">
        <f t="shared" si="62"/>
        <v>0</v>
      </c>
    </row>
    <row r="76" spans="1:18" ht="16">
      <c r="A76" s="86">
        <v>45940</v>
      </c>
      <c r="B76" s="44" t="s">
        <v>21</v>
      </c>
      <c r="C76" s="35">
        <v>370814</v>
      </c>
      <c r="D76" s="35">
        <v>371340</v>
      </c>
      <c r="E76" s="11">
        <f t="shared" si="74"/>
        <v>526</v>
      </c>
      <c r="F76" s="45">
        <v>73</v>
      </c>
      <c r="G76" s="13">
        <f t="shared" si="75"/>
        <v>13.878326996197718</v>
      </c>
      <c r="H76" s="243"/>
      <c r="I76" s="38">
        <v>18532</v>
      </c>
      <c r="J76" s="35">
        <f t="shared" si="76"/>
        <v>18532</v>
      </c>
      <c r="K76" s="50">
        <f t="shared" si="77"/>
        <v>73</v>
      </c>
      <c r="L76" s="46">
        <f t="shared" si="78"/>
        <v>0.39391323116770988</v>
      </c>
      <c r="M76" s="48">
        <v>18600</v>
      </c>
      <c r="N76" s="47">
        <f t="shared" si="79"/>
        <v>1357800</v>
      </c>
      <c r="R76" s="76">
        <f t="shared" si="62"/>
        <v>0</v>
      </c>
    </row>
    <row r="77" spans="1:18" ht="16">
      <c r="A77" s="86">
        <v>45948</v>
      </c>
      <c r="B77" s="44" t="s">
        <v>21</v>
      </c>
      <c r="C77" s="35">
        <v>371340</v>
      </c>
      <c r="D77" s="35">
        <v>371920</v>
      </c>
      <c r="E77" s="11">
        <f t="shared" si="74"/>
        <v>580</v>
      </c>
      <c r="F77" s="45">
        <v>75</v>
      </c>
      <c r="G77" s="13">
        <f t="shared" si="75"/>
        <v>12.931034482758621</v>
      </c>
      <c r="H77" s="35">
        <v>18532</v>
      </c>
      <c r="I77" s="38">
        <v>19110</v>
      </c>
      <c r="J77" s="35">
        <f t="shared" si="76"/>
        <v>578</v>
      </c>
      <c r="K77" s="50">
        <f t="shared" si="77"/>
        <v>75</v>
      </c>
      <c r="L77" s="46">
        <f t="shared" si="78"/>
        <v>12.975778546712801</v>
      </c>
      <c r="M77" s="48">
        <v>18420</v>
      </c>
      <c r="N77" s="47">
        <f t="shared" si="79"/>
        <v>1381500</v>
      </c>
      <c r="R77" s="76">
        <f t="shared" si="62"/>
        <v>0</v>
      </c>
    </row>
    <row r="78" spans="1:18" ht="16">
      <c r="A78" s="86">
        <v>45957</v>
      </c>
      <c r="B78" s="44" t="s">
        <v>21</v>
      </c>
      <c r="C78" s="35">
        <v>371920</v>
      </c>
      <c r="D78" s="35">
        <v>372528</v>
      </c>
      <c r="E78" s="11">
        <f t="shared" si="74"/>
        <v>608</v>
      </c>
      <c r="F78" s="45">
        <v>85</v>
      </c>
      <c r="G78" s="13">
        <f t="shared" si="75"/>
        <v>13.980263157894738</v>
      </c>
      <c r="H78" s="35"/>
      <c r="I78" s="38"/>
      <c r="J78" s="35">
        <f t="shared" si="76"/>
        <v>0</v>
      </c>
      <c r="K78" s="50">
        <f t="shared" si="77"/>
        <v>85</v>
      </c>
      <c r="L78" s="46" t="e">
        <f t="shared" si="78"/>
        <v>#DIV/0!</v>
      </c>
      <c r="M78" s="48">
        <v>17880</v>
      </c>
      <c r="N78" s="47">
        <f t="shared" si="79"/>
        <v>1519800</v>
      </c>
      <c r="R78" s="76">
        <f t="shared" si="62"/>
        <v>0</v>
      </c>
    </row>
    <row r="79" spans="1:18" ht="16">
      <c r="A79" s="33"/>
      <c r="B79" s="44" t="s">
        <v>21</v>
      </c>
      <c r="C79" s="35"/>
      <c r="D79" s="35"/>
      <c r="E79" s="11">
        <f t="shared" si="74"/>
        <v>0</v>
      </c>
      <c r="F79" s="45"/>
      <c r="G79" s="13" t="e">
        <f t="shared" si="75"/>
        <v>#DIV/0!</v>
      </c>
      <c r="H79" s="35"/>
      <c r="I79" s="38"/>
      <c r="J79" s="35">
        <f t="shared" si="76"/>
        <v>0</v>
      </c>
      <c r="K79" s="50">
        <f t="shared" si="77"/>
        <v>0</v>
      </c>
      <c r="L79" s="46" t="e">
        <f t="shared" si="78"/>
        <v>#DIV/0!</v>
      </c>
      <c r="M79" s="48"/>
      <c r="N79" s="47">
        <f t="shared" si="79"/>
        <v>0</v>
      </c>
      <c r="R79" s="76">
        <f t="shared" si="62"/>
        <v>0</v>
      </c>
    </row>
    <row r="80" spans="1:18" ht="16">
      <c r="A80" s="86"/>
      <c r="B80" s="44" t="s">
        <v>37</v>
      </c>
      <c r="C80" s="35"/>
      <c r="D80" s="35"/>
      <c r="E80" s="11">
        <f t="shared" si="74"/>
        <v>0</v>
      </c>
      <c r="F80" s="45"/>
      <c r="G80" s="13" t="e">
        <f t="shared" si="75"/>
        <v>#DIV/0!</v>
      </c>
      <c r="H80" s="35"/>
      <c r="I80" s="38"/>
      <c r="J80" s="35">
        <f t="shared" si="76"/>
        <v>0</v>
      </c>
      <c r="K80" s="50">
        <f t="shared" si="77"/>
        <v>0</v>
      </c>
      <c r="L80" s="46" t="e">
        <f t="shared" si="78"/>
        <v>#DIV/0!</v>
      </c>
      <c r="M80" s="48"/>
      <c r="N80" s="47">
        <f t="shared" si="79"/>
        <v>0</v>
      </c>
      <c r="R80" s="76">
        <f t="shared" si="62"/>
        <v>0</v>
      </c>
    </row>
    <row r="81" spans="1:18" ht="16">
      <c r="A81" s="87"/>
      <c r="B81" s="239"/>
      <c r="C81" s="53"/>
      <c r="D81" s="53"/>
      <c r="E81" s="24">
        <f t="shared" si="74"/>
        <v>0</v>
      </c>
      <c r="F81" s="45"/>
      <c r="G81" s="54" t="e">
        <f t="shared" si="75"/>
        <v>#DIV/0!</v>
      </c>
      <c r="H81" s="53"/>
      <c r="I81" s="55"/>
      <c r="J81" s="53">
        <f t="shared" si="76"/>
        <v>0</v>
      </c>
      <c r="K81" s="50">
        <f t="shared" si="77"/>
        <v>0</v>
      </c>
      <c r="L81" s="73" t="e">
        <f t="shared" si="78"/>
        <v>#DIV/0!</v>
      </c>
      <c r="M81" s="56"/>
      <c r="N81" s="57">
        <f t="shared" si="79"/>
        <v>0</v>
      </c>
      <c r="R81" s="76">
        <f t="shared" si="62"/>
        <v>0</v>
      </c>
    </row>
    <row r="82" spans="1:18" ht="16">
      <c r="A82" s="59"/>
      <c r="B82" s="60"/>
      <c r="C82" s="59"/>
      <c r="D82" s="59" t="s">
        <v>19</v>
      </c>
      <c r="E82" s="59">
        <f>SUM(E75:E81)</f>
        <v>2163</v>
      </c>
      <c r="F82" s="37"/>
      <c r="G82" s="61" t="e">
        <f>AVERAGE(G75:G81)</f>
        <v>#DIV/0!</v>
      </c>
      <c r="H82" s="59"/>
      <c r="I82" s="62"/>
      <c r="J82" s="59">
        <f t="shared" ref="J82:K82" si="80">SUM(J75:J81)</f>
        <v>19110</v>
      </c>
      <c r="K82" s="59">
        <f t="shared" si="80"/>
        <v>296</v>
      </c>
      <c r="L82" s="61" t="e">
        <f>AVERAGE(L75:L81)</f>
        <v>#DIV/0!</v>
      </c>
      <c r="M82" s="64"/>
      <c r="N82" s="65">
        <f>SUM(N75:N81)</f>
        <v>5457990</v>
      </c>
      <c r="R82" s="76">
        <f t="shared" si="62"/>
        <v>0</v>
      </c>
    </row>
    <row r="83" spans="1:18" ht="16">
      <c r="A83" s="66">
        <v>45931</v>
      </c>
      <c r="B83" s="82" t="s">
        <v>22</v>
      </c>
      <c r="C83" s="35">
        <v>203911</v>
      </c>
      <c r="D83" s="12">
        <v>204619</v>
      </c>
      <c r="E83" s="36">
        <f t="shared" ref="E83:E89" si="81">D83-C83</f>
        <v>708</v>
      </c>
      <c r="F83" s="37">
        <v>79</v>
      </c>
      <c r="G83" s="13">
        <f t="shared" ref="G83:G89" si="82">(F83/E83)*100</f>
        <v>11.158192090395481</v>
      </c>
      <c r="H83" s="125"/>
      <c r="I83" s="126"/>
      <c r="J83" s="39">
        <f t="shared" ref="J83:J89" si="83">I83-H83</f>
        <v>0</v>
      </c>
      <c r="K83" s="77">
        <f t="shared" ref="K83:K89" si="84">F83</f>
        <v>79</v>
      </c>
      <c r="L83" s="67" t="e">
        <f t="shared" ref="L83:L89" si="85">(K83/J83)*100</f>
        <v>#DIV/0!</v>
      </c>
      <c r="M83" s="68">
        <v>18650</v>
      </c>
      <c r="N83" s="42">
        <f t="shared" ref="N83:N89" si="86">F83*M83</f>
        <v>1473350</v>
      </c>
      <c r="R83" s="76">
        <f t="shared" si="62"/>
        <v>0</v>
      </c>
    </row>
    <row r="84" spans="1:18" ht="16">
      <c r="A84" s="33">
        <v>45943</v>
      </c>
      <c r="B84" s="44" t="s">
        <v>22</v>
      </c>
      <c r="C84" s="12">
        <v>204619</v>
      </c>
      <c r="D84" s="35">
        <v>205200</v>
      </c>
      <c r="E84" s="11">
        <f t="shared" si="81"/>
        <v>581</v>
      </c>
      <c r="F84" s="45">
        <v>77</v>
      </c>
      <c r="G84" s="13">
        <f t="shared" si="82"/>
        <v>13.253012048192772</v>
      </c>
      <c r="H84" s="38"/>
      <c r="I84" s="38">
        <v>17650</v>
      </c>
      <c r="J84" s="35">
        <f t="shared" si="83"/>
        <v>17650</v>
      </c>
      <c r="K84" s="50">
        <f t="shared" si="84"/>
        <v>77</v>
      </c>
      <c r="L84" s="46">
        <f t="shared" si="85"/>
        <v>0.43626062322946174</v>
      </c>
      <c r="M84" s="48">
        <v>18600</v>
      </c>
      <c r="N84" s="47">
        <f t="shared" si="86"/>
        <v>1432200</v>
      </c>
      <c r="R84" s="76">
        <f t="shared" si="62"/>
        <v>0</v>
      </c>
    </row>
    <row r="85" spans="1:18" ht="16">
      <c r="A85" s="33">
        <v>45950</v>
      </c>
      <c r="B85" s="44" t="s">
        <v>22</v>
      </c>
      <c r="C85" s="35">
        <v>205200</v>
      </c>
      <c r="D85" s="35">
        <v>205900</v>
      </c>
      <c r="E85" s="11">
        <f t="shared" si="81"/>
        <v>700</v>
      </c>
      <c r="F85" s="45">
        <v>80</v>
      </c>
      <c r="G85" s="13">
        <f t="shared" si="82"/>
        <v>11.428571428571429</v>
      </c>
      <c r="H85" s="35">
        <v>17650</v>
      </c>
      <c r="I85" s="38">
        <v>18300</v>
      </c>
      <c r="J85" s="35">
        <f t="shared" si="83"/>
        <v>650</v>
      </c>
      <c r="K85" s="50">
        <f t="shared" si="84"/>
        <v>80</v>
      </c>
      <c r="L85" s="46">
        <f t="shared" si="85"/>
        <v>12.307692307692308</v>
      </c>
      <c r="M85" s="48">
        <v>18420</v>
      </c>
      <c r="N85" s="47">
        <f t="shared" si="86"/>
        <v>1473600</v>
      </c>
      <c r="R85" s="76">
        <f t="shared" si="62"/>
        <v>0</v>
      </c>
    </row>
    <row r="86" spans="1:18" ht="16">
      <c r="A86" s="33">
        <v>45957</v>
      </c>
      <c r="B86" s="44" t="s">
        <v>22</v>
      </c>
      <c r="C86" s="35">
        <v>205900</v>
      </c>
      <c r="D86" s="35">
        <v>206467</v>
      </c>
      <c r="E86" s="11">
        <f t="shared" si="81"/>
        <v>567</v>
      </c>
      <c r="F86" s="45">
        <v>70</v>
      </c>
      <c r="G86" s="13">
        <f t="shared" si="82"/>
        <v>12.345679012345679</v>
      </c>
      <c r="H86" s="35"/>
      <c r="I86" s="38"/>
      <c r="J86" s="35">
        <f t="shared" si="83"/>
        <v>0</v>
      </c>
      <c r="K86" s="50">
        <f t="shared" si="84"/>
        <v>70</v>
      </c>
      <c r="L86" s="46" t="e">
        <f t="shared" si="85"/>
        <v>#DIV/0!</v>
      </c>
      <c r="M86" s="48">
        <v>17880</v>
      </c>
      <c r="N86" s="47">
        <f t="shared" si="86"/>
        <v>1251600</v>
      </c>
      <c r="R86" s="76">
        <f t="shared" si="62"/>
        <v>0</v>
      </c>
    </row>
    <row r="87" spans="1:18" ht="16">
      <c r="A87" s="33"/>
      <c r="B87" s="44" t="s">
        <v>22</v>
      </c>
      <c r="C87" s="35"/>
      <c r="D87" s="35"/>
      <c r="E87" s="11">
        <f t="shared" si="81"/>
        <v>0</v>
      </c>
      <c r="F87" s="45"/>
      <c r="G87" s="13" t="e">
        <f t="shared" si="82"/>
        <v>#DIV/0!</v>
      </c>
      <c r="H87" s="35"/>
      <c r="I87" s="38"/>
      <c r="J87" s="35">
        <f t="shared" si="83"/>
        <v>0</v>
      </c>
      <c r="K87" s="50">
        <f t="shared" si="84"/>
        <v>0</v>
      </c>
      <c r="L87" s="46" t="e">
        <f t="shared" si="85"/>
        <v>#DIV/0!</v>
      </c>
      <c r="M87" s="48"/>
      <c r="N87" s="47">
        <f t="shared" si="86"/>
        <v>0</v>
      </c>
      <c r="R87" s="76">
        <f t="shared" si="62"/>
        <v>0</v>
      </c>
    </row>
    <row r="88" spans="1:18" ht="16">
      <c r="A88" s="86"/>
      <c r="B88" s="44" t="s">
        <v>22</v>
      </c>
      <c r="C88" s="35"/>
      <c r="D88" s="35"/>
      <c r="E88" s="11">
        <f t="shared" si="81"/>
        <v>0</v>
      </c>
      <c r="F88" s="45"/>
      <c r="G88" s="13" t="e">
        <f t="shared" si="82"/>
        <v>#DIV/0!</v>
      </c>
      <c r="H88" s="35"/>
      <c r="I88" s="38"/>
      <c r="J88" s="35">
        <f t="shared" si="83"/>
        <v>0</v>
      </c>
      <c r="K88" s="50">
        <f t="shared" si="84"/>
        <v>0</v>
      </c>
      <c r="L88" s="46" t="e">
        <f t="shared" si="85"/>
        <v>#DIV/0!</v>
      </c>
      <c r="M88" s="48"/>
      <c r="N88" s="47">
        <f t="shared" si="86"/>
        <v>0</v>
      </c>
      <c r="R88" s="76">
        <f t="shared" si="62"/>
        <v>0</v>
      </c>
    </row>
    <row r="89" spans="1:18" ht="16">
      <c r="A89" s="88"/>
      <c r="B89" s="239"/>
      <c r="C89" s="53"/>
      <c r="D89" s="53"/>
      <c r="E89" s="24">
        <f t="shared" si="81"/>
        <v>0</v>
      </c>
      <c r="F89" s="45"/>
      <c r="G89" s="54" t="e">
        <f t="shared" si="82"/>
        <v>#DIV/0!</v>
      </c>
      <c r="H89" s="53"/>
      <c r="I89" s="55"/>
      <c r="J89" s="53">
        <f t="shared" si="83"/>
        <v>0</v>
      </c>
      <c r="K89" s="50">
        <f t="shared" si="84"/>
        <v>0</v>
      </c>
      <c r="L89" s="73" t="e">
        <f t="shared" si="85"/>
        <v>#DIV/0!</v>
      </c>
      <c r="M89" s="56"/>
      <c r="N89" s="57">
        <f t="shared" si="86"/>
        <v>0</v>
      </c>
      <c r="R89" s="76">
        <f t="shared" si="62"/>
        <v>0</v>
      </c>
    </row>
    <row r="90" spans="1:18" ht="16">
      <c r="A90" s="59"/>
      <c r="B90" s="60"/>
      <c r="C90" s="59"/>
      <c r="D90" s="59" t="s">
        <v>19</v>
      </c>
      <c r="E90" s="59">
        <f>SUM(E83:E89)</f>
        <v>2556</v>
      </c>
      <c r="F90" s="59">
        <f>SUM(F82:F89)</f>
        <v>306</v>
      </c>
      <c r="G90" s="61" t="e">
        <f>AVERAGE(G83:G89)</f>
        <v>#DIV/0!</v>
      </c>
      <c r="H90" s="59"/>
      <c r="I90" s="62"/>
      <c r="J90" s="59">
        <f t="shared" ref="J90:K90" si="87">SUM(J83:J89)</f>
        <v>18300</v>
      </c>
      <c r="K90" s="59">
        <f t="shared" si="87"/>
        <v>306</v>
      </c>
      <c r="L90" s="61" t="e">
        <f>AVERAGE(L83:L89)</f>
        <v>#DIV/0!</v>
      </c>
      <c r="M90" s="64"/>
      <c r="N90" s="65">
        <f>SUM(N83:N89)</f>
        <v>5630750</v>
      </c>
      <c r="R90" s="76">
        <f t="shared" si="62"/>
        <v>0</v>
      </c>
    </row>
    <row r="91" spans="1:18" ht="16">
      <c r="A91" s="89">
        <v>45932</v>
      </c>
      <c r="B91" s="90" t="s">
        <v>38</v>
      </c>
      <c r="C91" s="35">
        <v>160527</v>
      </c>
      <c r="D91" s="39">
        <v>161128</v>
      </c>
      <c r="E91" s="36">
        <f t="shared" ref="E91:E96" si="88">D91-C91</f>
        <v>601</v>
      </c>
      <c r="F91" s="37">
        <v>69</v>
      </c>
      <c r="G91" s="13">
        <f t="shared" ref="G91:G96" si="89">(F91/E91)*100</f>
        <v>11.480865224625623</v>
      </c>
      <c r="H91" s="125"/>
      <c r="I91" s="246"/>
      <c r="J91" s="39">
        <f t="shared" ref="J91:J96" si="90">I91-H91</f>
        <v>0</v>
      </c>
      <c r="K91" s="77">
        <f t="shared" ref="K91:K96" si="91">F91</f>
        <v>69</v>
      </c>
      <c r="L91" s="67" t="e">
        <f t="shared" ref="L91:L96" si="92">(K91/J91)*100</f>
        <v>#DIV/0!</v>
      </c>
      <c r="M91" s="68">
        <v>19030</v>
      </c>
      <c r="N91" s="42">
        <f t="shared" ref="N91:N96" si="93">F91*M91</f>
        <v>1313070</v>
      </c>
      <c r="R91" s="76">
        <f t="shared" si="62"/>
        <v>0</v>
      </c>
    </row>
    <row r="92" spans="1:18" ht="16">
      <c r="A92" s="80">
        <v>45939</v>
      </c>
      <c r="B92" s="44" t="s">
        <v>38</v>
      </c>
      <c r="C92" s="39">
        <v>161128</v>
      </c>
      <c r="D92" s="35">
        <v>161765</v>
      </c>
      <c r="E92" s="11">
        <f t="shared" si="88"/>
        <v>637</v>
      </c>
      <c r="F92" s="45">
        <v>71</v>
      </c>
      <c r="G92" s="13">
        <f t="shared" si="89"/>
        <v>11.145996860282574</v>
      </c>
      <c r="H92" s="35"/>
      <c r="I92" s="38">
        <v>21800</v>
      </c>
      <c r="J92" s="35">
        <f t="shared" si="90"/>
        <v>21800</v>
      </c>
      <c r="K92" s="50">
        <f t="shared" si="91"/>
        <v>71</v>
      </c>
      <c r="L92" s="46">
        <f t="shared" si="92"/>
        <v>0.3256880733944954</v>
      </c>
      <c r="M92" s="48">
        <v>18600</v>
      </c>
      <c r="N92" s="47">
        <f t="shared" si="93"/>
        <v>1320600</v>
      </c>
      <c r="R92" s="76">
        <f t="shared" si="62"/>
        <v>0</v>
      </c>
    </row>
    <row r="93" spans="1:18" ht="16">
      <c r="A93" s="80">
        <v>45946</v>
      </c>
      <c r="B93" s="44" t="s">
        <v>38</v>
      </c>
      <c r="C93" s="35">
        <v>161765</v>
      </c>
      <c r="D93" s="35">
        <v>162322</v>
      </c>
      <c r="E93" s="11">
        <f t="shared" si="88"/>
        <v>557</v>
      </c>
      <c r="F93" s="45">
        <v>68</v>
      </c>
      <c r="G93" s="13">
        <f t="shared" si="89"/>
        <v>12.208258527827647</v>
      </c>
      <c r="H93" s="35">
        <v>21800</v>
      </c>
      <c r="I93" s="38">
        <v>22400</v>
      </c>
      <c r="J93" s="35">
        <f t="shared" si="90"/>
        <v>600</v>
      </c>
      <c r="K93" s="50">
        <f t="shared" si="91"/>
        <v>68</v>
      </c>
      <c r="L93" s="46">
        <f t="shared" si="92"/>
        <v>11.333333333333332</v>
      </c>
      <c r="M93" s="48">
        <v>18420</v>
      </c>
      <c r="N93" s="47">
        <f t="shared" si="93"/>
        <v>1252560</v>
      </c>
      <c r="R93" s="76">
        <f t="shared" si="62"/>
        <v>0</v>
      </c>
    </row>
    <row r="94" spans="1:18" ht="16">
      <c r="A94" s="80">
        <v>7350803</v>
      </c>
      <c r="B94" s="44" t="s">
        <v>38</v>
      </c>
      <c r="C94" s="248">
        <v>162322</v>
      </c>
      <c r="D94" s="35">
        <v>162842</v>
      </c>
      <c r="E94" s="11">
        <f t="shared" si="88"/>
        <v>520</v>
      </c>
      <c r="F94" s="45">
        <v>60</v>
      </c>
      <c r="G94" s="13">
        <f t="shared" si="89"/>
        <v>11.538461538461538</v>
      </c>
      <c r="H94" s="38">
        <v>22400</v>
      </c>
      <c r="I94" s="38">
        <v>18498</v>
      </c>
      <c r="J94" s="35">
        <f t="shared" si="90"/>
        <v>-3902</v>
      </c>
      <c r="K94" s="50">
        <f t="shared" si="91"/>
        <v>60</v>
      </c>
      <c r="L94" s="46">
        <f t="shared" si="92"/>
        <v>-1.5376729882111739</v>
      </c>
      <c r="M94" s="48">
        <v>18420</v>
      </c>
      <c r="N94" s="47">
        <f t="shared" si="93"/>
        <v>1105200</v>
      </c>
      <c r="R94" s="76">
        <f t="shared" si="62"/>
        <v>0</v>
      </c>
    </row>
    <row r="95" spans="1:18" ht="16">
      <c r="A95" s="80">
        <v>45960</v>
      </c>
      <c r="B95" s="44" t="s">
        <v>38</v>
      </c>
      <c r="C95" s="35">
        <v>162842</v>
      </c>
      <c r="D95" s="91">
        <v>163506</v>
      </c>
      <c r="E95" s="11">
        <f t="shared" si="88"/>
        <v>664</v>
      </c>
      <c r="F95" s="45">
        <v>78</v>
      </c>
      <c r="G95" s="13">
        <f t="shared" si="89"/>
        <v>11.746987951807229</v>
      </c>
      <c r="H95" s="35"/>
      <c r="I95" s="38"/>
      <c r="J95" s="35">
        <f t="shared" si="90"/>
        <v>0</v>
      </c>
      <c r="K95" s="50">
        <f t="shared" si="91"/>
        <v>78</v>
      </c>
      <c r="L95" s="46" t="e">
        <f t="shared" si="92"/>
        <v>#DIV/0!</v>
      </c>
      <c r="M95" s="48">
        <v>17880</v>
      </c>
      <c r="N95" s="47">
        <f t="shared" si="93"/>
        <v>1394640</v>
      </c>
      <c r="R95" s="76">
        <f t="shared" si="62"/>
        <v>0</v>
      </c>
    </row>
    <row r="96" spans="1:18" ht="16">
      <c r="A96" s="92"/>
      <c r="B96" s="93" t="s">
        <v>38</v>
      </c>
      <c r="C96" s="94"/>
      <c r="D96" s="95"/>
      <c r="E96" s="11">
        <f t="shared" si="88"/>
        <v>0</v>
      </c>
      <c r="F96" s="45"/>
      <c r="G96" s="96" t="e">
        <f t="shared" si="89"/>
        <v>#DIV/0!</v>
      </c>
      <c r="H96" s="97"/>
      <c r="I96" s="98"/>
      <c r="J96" s="97">
        <f t="shared" si="90"/>
        <v>0</v>
      </c>
      <c r="K96" s="50">
        <f t="shared" si="91"/>
        <v>0</v>
      </c>
      <c r="L96" s="99" t="e">
        <f t="shared" si="92"/>
        <v>#DIV/0!</v>
      </c>
      <c r="M96" s="100"/>
      <c r="N96" s="101">
        <f t="shared" si="93"/>
        <v>0</v>
      </c>
      <c r="R96" s="76">
        <f t="shared" si="62"/>
        <v>0</v>
      </c>
    </row>
    <row r="97" spans="1:26" ht="16">
      <c r="A97" s="102"/>
      <c r="B97" s="103"/>
      <c r="C97" s="104"/>
      <c r="D97" s="105" t="s">
        <v>19</v>
      </c>
      <c r="E97" s="106">
        <f>SUM(E91:E96)</f>
        <v>2979</v>
      </c>
      <c r="F97" s="59">
        <f>SUM(F89:F96)</f>
        <v>652</v>
      </c>
      <c r="G97" s="107" t="e">
        <f>AVERAGE(G91:G96)</f>
        <v>#DIV/0!</v>
      </c>
      <c r="H97" s="104"/>
      <c r="I97" s="108"/>
      <c r="J97" s="105">
        <f t="shared" ref="J97:K97" si="94">SUM(J91:J96)</f>
        <v>18498</v>
      </c>
      <c r="K97" s="105">
        <f t="shared" si="94"/>
        <v>346</v>
      </c>
      <c r="L97" s="109" t="e">
        <f>AVERAGE(L91:L96)</f>
        <v>#DIV/0!</v>
      </c>
      <c r="M97" s="110"/>
      <c r="N97" s="241">
        <f>SUM(N91:N96)</f>
        <v>6386070</v>
      </c>
      <c r="R97" s="76">
        <f t="shared" si="62"/>
        <v>0</v>
      </c>
    </row>
    <row r="98" spans="1:26" ht="16">
      <c r="A98" s="112">
        <v>45936</v>
      </c>
      <c r="B98" s="113" t="s">
        <v>39</v>
      </c>
      <c r="C98" s="35">
        <v>111598</v>
      </c>
      <c r="D98" s="83">
        <v>112368</v>
      </c>
      <c r="E98" s="36">
        <f t="shared" ref="E98:E104" si="95">D98-C98</f>
        <v>770</v>
      </c>
      <c r="F98" s="37">
        <v>80</v>
      </c>
      <c r="G98" s="114">
        <f t="shared" ref="G98:G104" si="96">(F98/E98)*100</f>
        <v>10.38961038961039</v>
      </c>
      <c r="H98" s="125"/>
      <c r="I98" s="243"/>
      <c r="J98" s="83">
        <f t="shared" ref="J98:J104" si="97">I98-H98</f>
        <v>0</v>
      </c>
      <c r="K98" s="77">
        <f t="shared" ref="K98:K104" si="98">F98</f>
        <v>80</v>
      </c>
      <c r="L98" s="115" t="e">
        <f t="shared" ref="L98:L104" si="99">(K98/J98)*100</f>
        <v>#DIV/0!</v>
      </c>
      <c r="M98" s="116">
        <v>19030</v>
      </c>
      <c r="N98" s="257">
        <f>M98*K98</f>
        <v>1522400</v>
      </c>
      <c r="R98" s="76">
        <f t="shared" si="62"/>
        <v>0</v>
      </c>
    </row>
    <row r="99" spans="1:26" ht="16">
      <c r="A99" s="117">
        <v>45944</v>
      </c>
      <c r="B99" s="44" t="s">
        <v>39</v>
      </c>
      <c r="C99" s="83">
        <v>112368</v>
      </c>
      <c r="D99" s="35">
        <v>113060</v>
      </c>
      <c r="E99" s="11">
        <f t="shared" si="95"/>
        <v>692</v>
      </c>
      <c r="F99" s="45">
        <v>75</v>
      </c>
      <c r="G99" s="13">
        <f t="shared" si="96"/>
        <v>10.83815028901734</v>
      </c>
      <c r="H99" s="12"/>
      <c r="I99" s="15">
        <v>24080</v>
      </c>
      <c r="J99" s="35">
        <f t="shared" si="97"/>
        <v>24080</v>
      </c>
      <c r="K99" s="50">
        <f t="shared" si="98"/>
        <v>75</v>
      </c>
      <c r="L99" s="46">
        <f t="shared" si="99"/>
        <v>0.31146179401993357</v>
      </c>
      <c r="M99" s="48">
        <v>18600</v>
      </c>
      <c r="N99" s="242">
        <f t="shared" ref="N99:N104" si="100">F99*M99</f>
        <v>1395000</v>
      </c>
      <c r="R99" s="76">
        <f t="shared" si="62"/>
        <v>0</v>
      </c>
      <c r="S99" s="229"/>
      <c r="T99" s="229"/>
      <c r="U99" s="229"/>
      <c r="V99" s="229"/>
      <c r="W99" s="229"/>
      <c r="X99" s="229"/>
      <c r="Y99" s="229"/>
      <c r="Z99" s="229"/>
    </row>
    <row r="100" spans="1:26" ht="16">
      <c r="A100" s="117">
        <v>45954</v>
      </c>
      <c r="B100" s="44" t="s">
        <v>39</v>
      </c>
      <c r="C100" s="35">
        <v>113060</v>
      </c>
      <c r="D100" s="35">
        <v>113734</v>
      </c>
      <c r="E100" s="11">
        <f t="shared" si="95"/>
        <v>674</v>
      </c>
      <c r="F100" s="45">
        <v>79</v>
      </c>
      <c r="G100" s="13">
        <f t="shared" si="96"/>
        <v>11.72106824925816</v>
      </c>
      <c r="H100" s="35"/>
      <c r="I100" s="38"/>
      <c r="J100" s="35">
        <f t="shared" si="97"/>
        <v>0</v>
      </c>
      <c r="K100" s="50">
        <f t="shared" si="98"/>
        <v>79</v>
      </c>
      <c r="L100" s="46" t="e">
        <f t="shared" si="99"/>
        <v>#DIV/0!</v>
      </c>
      <c r="M100" s="48">
        <v>17880</v>
      </c>
      <c r="N100" s="242">
        <f t="shared" si="100"/>
        <v>1412520</v>
      </c>
      <c r="P100" s="78"/>
      <c r="R100" s="76">
        <f t="shared" si="62"/>
        <v>0</v>
      </c>
    </row>
    <row r="101" spans="1:26" ht="16">
      <c r="A101" s="117">
        <v>45960</v>
      </c>
      <c r="B101" s="44" t="s">
        <v>39</v>
      </c>
      <c r="C101" s="35">
        <v>113734</v>
      </c>
      <c r="D101" s="35">
        <v>114535</v>
      </c>
      <c r="E101" s="11">
        <f t="shared" si="95"/>
        <v>801</v>
      </c>
      <c r="F101" s="45">
        <v>82</v>
      </c>
      <c r="G101" s="13">
        <f t="shared" si="96"/>
        <v>10.237203495630462</v>
      </c>
      <c r="H101" s="35"/>
      <c r="I101" s="38"/>
      <c r="J101" s="35">
        <f t="shared" si="97"/>
        <v>0</v>
      </c>
      <c r="K101" s="50">
        <f t="shared" si="98"/>
        <v>82</v>
      </c>
      <c r="L101" s="46" t="e">
        <f t="shared" si="99"/>
        <v>#DIV/0!</v>
      </c>
      <c r="M101" s="48">
        <v>17880</v>
      </c>
      <c r="N101" s="47">
        <f t="shared" si="100"/>
        <v>1466160</v>
      </c>
      <c r="R101" s="76">
        <f t="shared" si="62"/>
        <v>0</v>
      </c>
    </row>
    <row r="102" spans="1:26" ht="16">
      <c r="A102" s="33"/>
      <c r="B102" s="44" t="s">
        <v>39</v>
      </c>
      <c r="C102" s="35"/>
      <c r="D102" s="35"/>
      <c r="E102" s="11">
        <f t="shared" si="95"/>
        <v>0</v>
      </c>
      <c r="F102" s="45"/>
      <c r="G102" s="13" t="e">
        <f t="shared" si="96"/>
        <v>#DIV/0!</v>
      </c>
      <c r="H102" s="35"/>
      <c r="I102" s="38"/>
      <c r="J102" s="35">
        <f t="shared" si="97"/>
        <v>0</v>
      </c>
      <c r="K102" s="50">
        <f t="shared" si="98"/>
        <v>0</v>
      </c>
      <c r="L102" s="46" t="e">
        <f t="shared" si="99"/>
        <v>#DIV/0!</v>
      </c>
      <c r="M102" s="48"/>
      <c r="N102" s="47">
        <f t="shared" si="100"/>
        <v>0</v>
      </c>
      <c r="R102" s="76">
        <f t="shared" si="62"/>
        <v>0</v>
      </c>
    </row>
    <row r="103" spans="1:26" ht="16">
      <c r="A103" s="230"/>
      <c r="B103" s="44" t="s">
        <v>39</v>
      </c>
      <c r="C103" s="35"/>
      <c r="D103" s="35"/>
      <c r="E103" s="11">
        <f t="shared" si="95"/>
        <v>0</v>
      </c>
      <c r="F103" s="45"/>
      <c r="G103" s="13" t="e">
        <f t="shared" si="96"/>
        <v>#DIV/0!</v>
      </c>
      <c r="H103" s="35"/>
      <c r="I103" s="38"/>
      <c r="J103" s="35">
        <f t="shared" si="97"/>
        <v>0</v>
      </c>
      <c r="K103" s="50">
        <f t="shared" si="98"/>
        <v>0</v>
      </c>
      <c r="L103" s="46" t="e">
        <f t="shared" si="99"/>
        <v>#DIV/0!</v>
      </c>
      <c r="M103" s="48"/>
      <c r="N103" s="47">
        <f t="shared" si="100"/>
        <v>0</v>
      </c>
      <c r="R103" s="76">
        <f t="shared" si="62"/>
        <v>0</v>
      </c>
    </row>
    <row r="104" spans="1:26" ht="16">
      <c r="A104" s="87"/>
      <c r="B104" s="239"/>
      <c r="C104" s="53"/>
      <c r="D104" s="53"/>
      <c r="E104" s="24">
        <f t="shared" si="95"/>
        <v>0</v>
      </c>
      <c r="F104" s="45"/>
      <c r="G104" s="54" t="e">
        <f t="shared" si="96"/>
        <v>#DIV/0!</v>
      </c>
      <c r="H104" s="53"/>
      <c r="I104" s="55"/>
      <c r="J104" s="53">
        <f t="shared" si="97"/>
        <v>0</v>
      </c>
      <c r="K104" s="50">
        <f t="shared" si="98"/>
        <v>0</v>
      </c>
      <c r="L104" s="73" t="e">
        <f t="shared" si="99"/>
        <v>#DIV/0!</v>
      </c>
      <c r="M104" s="56"/>
      <c r="N104" s="57">
        <f t="shared" si="100"/>
        <v>0</v>
      </c>
      <c r="R104" s="76">
        <f t="shared" si="62"/>
        <v>0</v>
      </c>
    </row>
    <row r="105" spans="1:26" ht="16">
      <c r="A105" s="59"/>
      <c r="B105" s="60"/>
      <c r="C105" s="59"/>
      <c r="D105" s="59" t="s">
        <v>19</v>
      </c>
      <c r="E105" s="59">
        <f>SUM(E91:E104)</f>
        <v>8895</v>
      </c>
      <c r="F105" s="59">
        <f>SUM(F97:F104)</f>
        <v>968</v>
      </c>
      <c r="G105" s="61" t="e">
        <f>AVERAGE(G91:G104)</f>
        <v>#DIV/0!</v>
      </c>
      <c r="H105" s="59"/>
      <c r="I105" s="62"/>
      <c r="J105" s="59">
        <f t="shared" ref="J105:K105" si="101">SUM(J91:J104)</f>
        <v>61076</v>
      </c>
      <c r="K105" s="59">
        <f t="shared" si="101"/>
        <v>1008</v>
      </c>
      <c r="L105" s="61" t="e">
        <f>AVERAGE(L91:L104)</f>
        <v>#DIV/0!</v>
      </c>
      <c r="M105" s="64"/>
      <c r="N105" s="65">
        <f>SUM(N98:N104)</f>
        <v>5796080</v>
      </c>
      <c r="R105" s="76">
        <f t="shared" si="62"/>
        <v>0</v>
      </c>
    </row>
    <row r="106" spans="1:26" ht="16">
      <c r="A106" s="66">
        <v>45933</v>
      </c>
      <c r="B106" s="90" t="s">
        <v>40</v>
      </c>
      <c r="C106" s="12">
        <v>107417</v>
      </c>
      <c r="D106" s="12">
        <v>108029</v>
      </c>
      <c r="E106" s="36">
        <f t="shared" ref="E106:E112" si="102">D106-C106</f>
        <v>612</v>
      </c>
      <c r="F106" s="37">
        <v>69</v>
      </c>
      <c r="G106" s="13">
        <f t="shared" ref="G106:G112" si="103">(F106/E106)*100</f>
        <v>11.274509803921569</v>
      </c>
      <c r="H106" s="125"/>
      <c r="I106" s="246"/>
      <c r="J106" s="39">
        <f t="shared" ref="J106:J112" si="104">I106-H106</f>
        <v>0</v>
      </c>
      <c r="K106" s="77">
        <f t="shared" ref="K106:K112" si="105">F106</f>
        <v>69</v>
      </c>
      <c r="L106" s="67" t="e">
        <f t="shared" ref="L106:L112" si="106">(K106/J106)*100</f>
        <v>#DIV/0!</v>
      </c>
      <c r="M106" s="68">
        <v>19030</v>
      </c>
      <c r="N106" s="42">
        <f t="shared" ref="N106:N112" si="107">F106*M106</f>
        <v>1313070</v>
      </c>
      <c r="R106" s="76">
        <f t="shared" si="62"/>
        <v>0</v>
      </c>
    </row>
    <row r="107" spans="1:26" ht="16">
      <c r="A107" s="43">
        <v>45941</v>
      </c>
      <c r="B107" s="49" t="s">
        <v>40</v>
      </c>
      <c r="C107" s="12">
        <v>108029</v>
      </c>
      <c r="D107" s="10">
        <v>108668</v>
      </c>
      <c r="E107" s="51">
        <f t="shared" si="102"/>
        <v>639</v>
      </c>
      <c r="F107" s="52">
        <v>74</v>
      </c>
      <c r="G107" s="13">
        <f t="shared" si="103"/>
        <v>11.580594679186229</v>
      </c>
      <c r="H107" s="35"/>
      <c r="I107" s="38">
        <v>107470</v>
      </c>
      <c r="J107" s="35">
        <f t="shared" si="104"/>
        <v>107470</v>
      </c>
      <c r="K107" s="50">
        <f t="shared" si="105"/>
        <v>74</v>
      </c>
      <c r="L107" s="46">
        <f t="shared" si="106"/>
        <v>6.8856425048850839E-2</v>
      </c>
      <c r="M107" s="48">
        <v>18600</v>
      </c>
      <c r="N107" s="47">
        <f t="shared" si="107"/>
        <v>1376400</v>
      </c>
      <c r="R107" s="76">
        <f t="shared" si="62"/>
        <v>0</v>
      </c>
    </row>
    <row r="108" spans="1:26" ht="16">
      <c r="A108" s="33">
        <v>45948</v>
      </c>
      <c r="B108" s="44" t="s">
        <v>40</v>
      </c>
      <c r="C108" s="12">
        <v>108668</v>
      </c>
      <c r="D108" s="12">
        <v>109350</v>
      </c>
      <c r="E108" s="11">
        <f t="shared" si="102"/>
        <v>682</v>
      </c>
      <c r="F108" s="45">
        <v>70</v>
      </c>
      <c r="G108" s="13">
        <f t="shared" si="103"/>
        <v>10.263929618768328</v>
      </c>
      <c r="H108" s="35">
        <v>107470</v>
      </c>
      <c r="I108" s="38">
        <v>108100</v>
      </c>
      <c r="J108" s="35">
        <f t="shared" si="104"/>
        <v>630</v>
      </c>
      <c r="K108" s="50">
        <f t="shared" si="105"/>
        <v>70</v>
      </c>
      <c r="L108" s="46">
        <f t="shared" si="106"/>
        <v>11.111111111111111</v>
      </c>
      <c r="M108" s="48">
        <v>18420</v>
      </c>
      <c r="N108" s="47">
        <f t="shared" si="107"/>
        <v>1289400</v>
      </c>
      <c r="R108" s="76">
        <f t="shared" si="62"/>
        <v>0</v>
      </c>
    </row>
    <row r="109" spans="1:26" ht="16">
      <c r="A109" s="33">
        <v>45590</v>
      </c>
      <c r="B109" s="44" t="s">
        <v>40</v>
      </c>
      <c r="C109" s="12">
        <v>109350</v>
      </c>
      <c r="D109" s="12">
        <v>109963</v>
      </c>
      <c r="E109" s="11">
        <f t="shared" si="102"/>
        <v>613</v>
      </c>
      <c r="F109" s="45">
        <v>71</v>
      </c>
      <c r="G109" s="13">
        <f t="shared" si="103"/>
        <v>11.582381729200652</v>
      </c>
      <c r="H109" s="35">
        <v>108100</v>
      </c>
      <c r="I109" s="38">
        <v>108690</v>
      </c>
      <c r="J109" s="35">
        <f t="shared" si="104"/>
        <v>590</v>
      </c>
      <c r="K109" s="50">
        <f t="shared" si="105"/>
        <v>71</v>
      </c>
      <c r="L109" s="46">
        <f t="shared" si="106"/>
        <v>12.033898305084746</v>
      </c>
      <c r="M109" s="48">
        <v>17880</v>
      </c>
      <c r="N109" s="47">
        <f t="shared" si="107"/>
        <v>1269480</v>
      </c>
      <c r="R109" s="76">
        <f t="shared" si="62"/>
        <v>0</v>
      </c>
    </row>
    <row r="110" spans="1:26" ht="16">
      <c r="A110" s="33"/>
      <c r="B110" s="44" t="s">
        <v>40</v>
      </c>
      <c r="C110" s="35"/>
      <c r="D110" s="35"/>
      <c r="E110" s="11">
        <f t="shared" si="102"/>
        <v>0</v>
      </c>
      <c r="F110" s="45"/>
      <c r="G110" s="13" t="e">
        <f t="shared" si="103"/>
        <v>#DIV/0!</v>
      </c>
      <c r="H110" s="35"/>
      <c r="I110" s="38"/>
      <c r="J110" s="35">
        <f t="shared" si="104"/>
        <v>0</v>
      </c>
      <c r="K110" s="50">
        <f t="shared" si="105"/>
        <v>0</v>
      </c>
      <c r="L110" s="46" t="e">
        <f t="shared" si="106"/>
        <v>#DIV/0!</v>
      </c>
      <c r="M110" s="48"/>
      <c r="N110" s="47">
        <f t="shared" si="107"/>
        <v>0</v>
      </c>
      <c r="R110" s="76">
        <f t="shared" si="62"/>
        <v>0</v>
      </c>
    </row>
    <row r="111" spans="1:26" ht="16">
      <c r="A111" s="122"/>
      <c r="B111" s="44"/>
      <c r="C111" s="35"/>
      <c r="D111" s="35"/>
      <c r="E111" s="11">
        <f t="shared" si="102"/>
        <v>0</v>
      </c>
      <c r="F111" s="45"/>
      <c r="G111" s="13" t="e">
        <f t="shared" si="103"/>
        <v>#DIV/0!</v>
      </c>
      <c r="H111" s="35"/>
      <c r="I111" s="38"/>
      <c r="J111" s="35">
        <f t="shared" si="104"/>
        <v>0</v>
      </c>
      <c r="K111" s="50">
        <f t="shared" si="105"/>
        <v>0</v>
      </c>
      <c r="L111" s="46" t="e">
        <f t="shared" si="106"/>
        <v>#DIV/0!</v>
      </c>
      <c r="M111" s="48"/>
      <c r="N111" s="47">
        <f t="shared" si="107"/>
        <v>0</v>
      </c>
      <c r="R111" s="76">
        <f t="shared" si="62"/>
        <v>0</v>
      </c>
    </row>
    <row r="112" spans="1:26" ht="16">
      <c r="A112" s="87"/>
      <c r="B112" s="239"/>
      <c r="C112" s="53"/>
      <c r="D112" s="53"/>
      <c r="E112" s="24">
        <f t="shared" si="102"/>
        <v>0</v>
      </c>
      <c r="F112" s="45"/>
      <c r="G112" s="54" t="e">
        <f t="shared" si="103"/>
        <v>#DIV/0!</v>
      </c>
      <c r="H112" s="53"/>
      <c r="I112" s="55"/>
      <c r="J112" s="53">
        <f t="shared" si="104"/>
        <v>0</v>
      </c>
      <c r="K112" s="50">
        <f t="shared" si="105"/>
        <v>0</v>
      </c>
      <c r="L112" s="73" t="e">
        <f t="shared" si="106"/>
        <v>#DIV/0!</v>
      </c>
      <c r="M112" s="56"/>
      <c r="N112" s="57">
        <f t="shared" si="107"/>
        <v>0</v>
      </c>
      <c r="R112" s="76">
        <f t="shared" si="62"/>
        <v>0</v>
      </c>
    </row>
    <row r="113" spans="1:18" ht="16">
      <c r="A113" s="59"/>
      <c r="B113" s="60"/>
      <c r="C113" s="59"/>
      <c r="D113" s="59" t="s">
        <v>19</v>
      </c>
      <c r="E113" s="59">
        <f>SUM(E106:E112)</f>
        <v>2546</v>
      </c>
      <c r="F113" s="37"/>
      <c r="G113" s="61" t="e">
        <f>AVERAGE(G106:G112)</f>
        <v>#DIV/0!</v>
      </c>
      <c r="H113" s="59"/>
      <c r="I113" s="62"/>
      <c r="J113" s="59">
        <f t="shared" ref="J113:K113" si="108">SUM(J106:J112)</f>
        <v>108690</v>
      </c>
      <c r="K113" s="59">
        <f t="shared" si="108"/>
        <v>284</v>
      </c>
      <c r="L113" s="61" t="e">
        <f>AVERAGE(L106:L112)</f>
        <v>#DIV/0!</v>
      </c>
      <c r="M113" s="64"/>
      <c r="N113" s="65">
        <f>SUM(N106:N112)</f>
        <v>5248350</v>
      </c>
      <c r="R113" s="76">
        <f t="shared" si="62"/>
        <v>0</v>
      </c>
    </row>
    <row r="114" spans="1:18" ht="16">
      <c r="A114" s="66">
        <v>45936</v>
      </c>
      <c r="B114" s="90" t="s">
        <v>41</v>
      </c>
      <c r="C114" s="258">
        <v>164465</v>
      </c>
      <c r="D114" s="12">
        <v>165023</v>
      </c>
      <c r="E114" s="36">
        <f t="shared" ref="E114:E120" si="109">D114-C114</f>
        <v>558</v>
      </c>
      <c r="F114" s="37">
        <v>66</v>
      </c>
      <c r="G114" s="13">
        <f t="shared" ref="G114:G120" si="110">(F114/E114)*100</f>
        <v>11.827956989247312</v>
      </c>
      <c r="H114" s="125"/>
      <c r="I114" s="246"/>
      <c r="J114" s="39">
        <f t="shared" ref="J114:J120" si="111">I114-H114</f>
        <v>0</v>
      </c>
      <c r="K114" s="77">
        <f t="shared" ref="K114:K120" si="112">F114</f>
        <v>66</v>
      </c>
      <c r="L114" s="67" t="e">
        <f t="shared" ref="L114:L120" si="113">(K114/J114)*100</f>
        <v>#DIV/0!</v>
      </c>
      <c r="M114" s="259">
        <v>19030</v>
      </c>
      <c r="N114" s="42">
        <f t="shared" ref="N114:N120" si="114">F114*M114</f>
        <v>1255980</v>
      </c>
      <c r="R114" s="76">
        <f t="shared" si="62"/>
        <v>0</v>
      </c>
    </row>
    <row r="115" spans="1:18" ht="16">
      <c r="A115" s="118">
        <v>45945</v>
      </c>
      <c r="B115" s="119" t="s">
        <v>41</v>
      </c>
      <c r="C115" s="12">
        <v>165023</v>
      </c>
      <c r="D115" s="51">
        <v>165650</v>
      </c>
      <c r="E115" s="51">
        <f t="shared" si="109"/>
        <v>627</v>
      </c>
      <c r="F115" s="120">
        <v>71</v>
      </c>
      <c r="G115" s="13">
        <f t="shared" si="110"/>
        <v>11.323763955342903</v>
      </c>
      <c r="H115" s="35"/>
      <c r="I115" s="38">
        <v>13170</v>
      </c>
      <c r="J115" s="35">
        <f t="shared" si="111"/>
        <v>13170</v>
      </c>
      <c r="K115" s="50">
        <f t="shared" si="112"/>
        <v>71</v>
      </c>
      <c r="L115" s="46">
        <f t="shared" si="113"/>
        <v>0.53910402429764614</v>
      </c>
      <c r="M115" s="48">
        <v>18600</v>
      </c>
      <c r="N115" s="121">
        <f t="shared" si="114"/>
        <v>1320600</v>
      </c>
      <c r="R115" s="76">
        <f t="shared" si="62"/>
        <v>0</v>
      </c>
    </row>
    <row r="116" spans="1:18" ht="16">
      <c r="A116" s="118">
        <v>45952</v>
      </c>
      <c r="B116" s="119" t="s">
        <v>41</v>
      </c>
      <c r="C116" s="51">
        <v>165650</v>
      </c>
      <c r="D116" s="51">
        <v>166200</v>
      </c>
      <c r="E116" s="51">
        <f t="shared" si="109"/>
        <v>550</v>
      </c>
      <c r="F116" s="120">
        <v>60</v>
      </c>
      <c r="G116" s="13">
        <f t="shared" si="110"/>
        <v>10.909090909090908</v>
      </c>
      <c r="H116" s="35"/>
      <c r="I116" s="35">
        <v>8936</v>
      </c>
      <c r="J116" s="35">
        <f t="shared" si="111"/>
        <v>8936</v>
      </c>
      <c r="K116" s="50">
        <f t="shared" si="112"/>
        <v>60</v>
      </c>
      <c r="L116" s="46">
        <f t="shared" si="113"/>
        <v>0.67144136078782446</v>
      </c>
      <c r="M116" s="48">
        <v>18420</v>
      </c>
      <c r="N116" s="121">
        <f t="shared" si="114"/>
        <v>1105200</v>
      </c>
      <c r="R116" s="76">
        <f t="shared" si="62"/>
        <v>0</v>
      </c>
    </row>
    <row r="117" spans="1:18" ht="16">
      <c r="A117" s="33">
        <v>45958</v>
      </c>
      <c r="B117" s="44" t="s">
        <v>41</v>
      </c>
      <c r="C117" s="51">
        <v>166200</v>
      </c>
      <c r="D117" s="35">
        <v>166810</v>
      </c>
      <c r="E117" s="11">
        <f t="shared" si="109"/>
        <v>610</v>
      </c>
      <c r="F117" s="45">
        <v>68</v>
      </c>
      <c r="G117" s="13">
        <f t="shared" si="110"/>
        <v>11.147540983606557</v>
      </c>
      <c r="H117" s="35"/>
      <c r="I117" s="38"/>
      <c r="J117" s="35">
        <f t="shared" si="111"/>
        <v>0</v>
      </c>
      <c r="K117" s="50">
        <f t="shared" si="112"/>
        <v>68</v>
      </c>
      <c r="L117" s="46" t="e">
        <f t="shared" si="113"/>
        <v>#DIV/0!</v>
      </c>
      <c r="M117" s="48">
        <v>17880</v>
      </c>
      <c r="N117" s="121">
        <f t="shared" si="114"/>
        <v>1215840</v>
      </c>
      <c r="R117" s="76">
        <f t="shared" si="62"/>
        <v>0</v>
      </c>
    </row>
    <row r="118" spans="1:18" ht="16">
      <c r="A118" s="124"/>
      <c r="B118" s="49" t="s">
        <v>41</v>
      </c>
      <c r="C118" s="50"/>
      <c r="D118" s="50"/>
      <c r="E118" s="11">
        <f t="shared" si="109"/>
        <v>0</v>
      </c>
      <c r="F118" s="45"/>
      <c r="G118" s="13" t="e">
        <f t="shared" si="110"/>
        <v>#DIV/0!</v>
      </c>
      <c r="H118" s="35"/>
      <c r="I118" s="38"/>
      <c r="J118" s="35">
        <f t="shared" si="111"/>
        <v>0</v>
      </c>
      <c r="K118" s="50">
        <f t="shared" si="112"/>
        <v>0</v>
      </c>
      <c r="L118" s="46" t="e">
        <f t="shared" si="113"/>
        <v>#DIV/0!</v>
      </c>
      <c r="M118" s="48"/>
      <c r="N118" s="121">
        <f t="shared" si="114"/>
        <v>0</v>
      </c>
      <c r="R118" s="76">
        <f t="shared" si="62"/>
        <v>0</v>
      </c>
    </row>
    <row r="119" spans="1:18" ht="16">
      <c r="A119" s="122"/>
      <c r="B119" s="44" t="s">
        <v>41</v>
      </c>
      <c r="C119" s="35"/>
      <c r="D119" s="35"/>
      <c r="E119" s="11">
        <f t="shared" si="109"/>
        <v>0</v>
      </c>
      <c r="F119" s="45"/>
      <c r="G119" s="13" t="e">
        <f t="shared" si="110"/>
        <v>#DIV/0!</v>
      </c>
      <c r="H119" s="35"/>
      <c r="I119" s="38"/>
      <c r="J119" s="35">
        <f t="shared" si="111"/>
        <v>0</v>
      </c>
      <c r="K119" s="50">
        <f t="shared" si="112"/>
        <v>0</v>
      </c>
      <c r="L119" s="46" t="e">
        <f t="shared" si="113"/>
        <v>#DIV/0!</v>
      </c>
      <c r="M119" s="48"/>
      <c r="N119" s="121">
        <f t="shared" si="114"/>
        <v>0</v>
      </c>
      <c r="R119" s="76">
        <f t="shared" si="62"/>
        <v>0</v>
      </c>
    </row>
    <row r="120" spans="1:18" ht="16">
      <c r="A120" s="87"/>
      <c r="B120" s="239"/>
      <c r="C120" s="53"/>
      <c r="D120" s="53"/>
      <c r="E120" s="24">
        <f t="shared" si="109"/>
        <v>0</v>
      </c>
      <c r="F120" s="45"/>
      <c r="G120" s="54" t="e">
        <f t="shared" si="110"/>
        <v>#DIV/0!</v>
      </c>
      <c r="H120" s="53"/>
      <c r="I120" s="55"/>
      <c r="J120" s="53">
        <f t="shared" si="111"/>
        <v>0</v>
      </c>
      <c r="K120" s="50">
        <f t="shared" si="112"/>
        <v>0</v>
      </c>
      <c r="L120" s="73" t="e">
        <f t="shared" si="113"/>
        <v>#DIV/0!</v>
      </c>
      <c r="M120" s="56"/>
      <c r="N120" s="123">
        <f t="shared" si="114"/>
        <v>0</v>
      </c>
      <c r="R120" s="76">
        <f t="shared" si="62"/>
        <v>0</v>
      </c>
    </row>
    <row r="121" spans="1:18" ht="16">
      <c r="A121" s="59"/>
      <c r="B121" s="60"/>
      <c r="C121" s="59"/>
      <c r="D121" s="59" t="s">
        <v>19</v>
      </c>
      <c r="E121" s="59">
        <f>SUM(E114:E120)</f>
        <v>2345</v>
      </c>
      <c r="F121" s="59">
        <f>SUM(F113:F120)</f>
        <v>265</v>
      </c>
      <c r="G121" s="61" t="e">
        <f>AVERAGE(G114:G120)</f>
        <v>#DIV/0!</v>
      </c>
      <c r="H121" s="59"/>
      <c r="I121" s="62"/>
      <c r="J121" s="59">
        <f t="shared" ref="J121:K121" si="115">SUM(J114:J120)</f>
        <v>22106</v>
      </c>
      <c r="K121" s="59">
        <f t="shared" si="115"/>
        <v>265</v>
      </c>
      <c r="L121" s="61" t="e">
        <f>AVERAGE(L114:L120)</f>
        <v>#DIV/0!</v>
      </c>
      <c r="M121" s="64"/>
      <c r="N121" s="65">
        <f>SUM(N114:N120)</f>
        <v>4897620</v>
      </c>
      <c r="R121" s="76">
        <f t="shared" si="62"/>
        <v>0</v>
      </c>
    </row>
    <row r="122" spans="1:18" ht="16">
      <c r="A122" s="66">
        <v>45932</v>
      </c>
      <c r="B122" s="90" t="s">
        <v>27</v>
      </c>
      <c r="C122" s="83"/>
      <c r="D122" s="12"/>
      <c r="E122" s="36">
        <f t="shared" ref="E122:E129" si="116">D122-C122</f>
        <v>0</v>
      </c>
      <c r="F122" s="37"/>
      <c r="G122" s="13" t="e">
        <f t="shared" ref="G122:G129" si="117">(F122/E122)*100</f>
        <v>#DIV/0!</v>
      </c>
      <c r="H122" s="125"/>
      <c r="I122" s="126"/>
      <c r="J122" s="39">
        <f t="shared" ref="J122:J129" si="118">I122-H122</f>
        <v>0</v>
      </c>
      <c r="K122" s="77">
        <v>60</v>
      </c>
      <c r="L122" s="67" t="e">
        <f t="shared" ref="L122:L129" si="119">(K122/J122)*100</f>
        <v>#DIV/0!</v>
      </c>
      <c r="M122" s="68">
        <v>18650</v>
      </c>
      <c r="N122" s="42">
        <f t="shared" ref="N122:N129" si="120">M122*K122</f>
        <v>1119000</v>
      </c>
      <c r="R122" s="76">
        <f t="shared" si="62"/>
        <v>0</v>
      </c>
    </row>
    <row r="123" spans="1:18" ht="16">
      <c r="A123" s="33">
        <v>45936</v>
      </c>
      <c r="B123" s="44" t="s">
        <v>27</v>
      </c>
      <c r="C123" s="35"/>
      <c r="D123" s="12"/>
      <c r="E123" s="11">
        <f t="shared" si="116"/>
        <v>0</v>
      </c>
      <c r="F123" s="45"/>
      <c r="G123" s="13" t="e">
        <f t="shared" si="117"/>
        <v>#DIV/0!</v>
      </c>
      <c r="H123" s="38"/>
      <c r="I123" s="38"/>
      <c r="J123" s="35">
        <f t="shared" si="118"/>
        <v>0</v>
      </c>
      <c r="K123" s="50">
        <v>62</v>
      </c>
      <c r="L123" s="46" t="e">
        <f t="shared" si="119"/>
        <v>#DIV/0!</v>
      </c>
      <c r="M123" s="48">
        <v>19030</v>
      </c>
      <c r="N123" s="42">
        <f t="shared" si="120"/>
        <v>1179860</v>
      </c>
      <c r="R123" s="76">
        <f t="shared" si="62"/>
        <v>0</v>
      </c>
    </row>
    <row r="124" spans="1:18" ht="16">
      <c r="A124" s="33">
        <v>45939</v>
      </c>
      <c r="B124" s="44" t="s">
        <v>27</v>
      </c>
      <c r="C124" s="35"/>
      <c r="D124" s="35"/>
      <c r="E124" s="11">
        <f t="shared" si="116"/>
        <v>0</v>
      </c>
      <c r="F124" s="45"/>
      <c r="G124" s="13" t="e">
        <f t="shared" si="117"/>
        <v>#DIV/0!</v>
      </c>
      <c r="H124" s="35"/>
      <c r="I124" s="38"/>
      <c r="J124" s="35">
        <f t="shared" si="118"/>
        <v>0</v>
      </c>
      <c r="K124" s="50">
        <v>57</v>
      </c>
      <c r="L124" s="46" t="e">
        <f t="shared" si="119"/>
        <v>#DIV/0!</v>
      </c>
      <c r="M124" s="48">
        <v>19030</v>
      </c>
      <c r="N124" s="42">
        <f t="shared" si="120"/>
        <v>1084710</v>
      </c>
      <c r="R124" s="76">
        <f t="shared" si="62"/>
        <v>0</v>
      </c>
    </row>
    <row r="125" spans="1:18" ht="16">
      <c r="A125" s="33">
        <v>45944</v>
      </c>
      <c r="B125" s="44" t="s">
        <v>27</v>
      </c>
      <c r="C125" s="35"/>
      <c r="D125" s="35"/>
      <c r="E125" s="11">
        <f t="shared" si="116"/>
        <v>0</v>
      </c>
      <c r="F125" s="45"/>
      <c r="G125" s="13" t="e">
        <f t="shared" si="117"/>
        <v>#DIV/0!</v>
      </c>
      <c r="H125" s="35"/>
      <c r="I125" s="38"/>
      <c r="J125" s="35">
        <f t="shared" si="118"/>
        <v>0</v>
      </c>
      <c r="K125" s="50">
        <v>65</v>
      </c>
      <c r="L125" s="46" t="e">
        <f t="shared" si="119"/>
        <v>#DIV/0!</v>
      </c>
      <c r="M125" s="48">
        <v>18600</v>
      </c>
      <c r="N125" s="42">
        <f t="shared" si="120"/>
        <v>1209000</v>
      </c>
      <c r="R125" s="76">
        <f t="shared" si="62"/>
        <v>0</v>
      </c>
    </row>
    <row r="126" spans="1:18" ht="16">
      <c r="A126" s="33">
        <v>45948</v>
      </c>
      <c r="B126" s="44" t="s">
        <v>27</v>
      </c>
      <c r="C126" s="35"/>
      <c r="D126" s="35"/>
      <c r="E126" s="11">
        <f t="shared" si="116"/>
        <v>0</v>
      </c>
      <c r="F126" s="45"/>
      <c r="G126" s="13" t="e">
        <f t="shared" si="117"/>
        <v>#DIV/0!</v>
      </c>
      <c r="H126" s="35"/>
      <c r="I126" s="38"/>
      <c r="J126" s="35">
        <f t="shared" si="118"/>
        <v>0</v>
      </c>
      <c r="K126" s="50">
        <v>62</v>
      </c>
      <c r="L126" s="46" t="e">
        <f t="shared" si="119"/>
        <v>#DIV/0!</v>
      </c>
      <c r="M126" s="48">
        <v>18420</v>
      </c>
      <c r="N126" s="42">
        <f t="shared" si="120"/>
        <v>1142040</v>
      </c>
      <c r="R126" s="76">
        <f t="shared" si="62"/>
        <v>0</v>
      </c>
    </row>
    <row r="127" spans="1:18" ht="16">
      <c r="A127" s="33">
        <v>45952</v>
      </c>
      <c r="B127" s="44" t="s">
        <v>27</v>
      </c>
      <c r="C127" s="35"/>
      <c r="D127" s="35"/>
      <c r="E127" s="11">
        <f t="shared" si="116"/>
        <v>0</v>
      </c>
      <c r="F127" s="45"/>
      <c r="G127" s="13" t="e">
        <f t="shared" si="117"/>
        <v>#DIV/0!</v>
      </c>
      <c r="H127" s="35"/>
      <c r="I127" s="38"/>
      <c r="J127" s="35">
        <f t="shared" si="118"/>
        <v>0</v>
      </c>
      <c r="K127" s="50">
        <v>58</v>
      </c>
      <c r="L127" s="46" t="e">
        <f t="shared" si="119"/>
        <v>#DIV/0!</v>
      </c>
      <c r="M127" s="48">
        <v>18420</v>
      </c>
      <c r="N127" s="42">
        <f t="shared" si="120"/>
        <v>1068360</v>
      </c>
      <c r="R127" s="76">
        <f t="shared" si="62"/>
        <v>0</v>
      </c>
    </row>
    <row r="128" spans="1:18" ht="16">
      <c r="A128" s="33">
        <v>45955</v>
      </c>
      <c r="B128" s="44" t="s">
        <v>27</v>
      </c>
      <c r="C128" s="35"/>
      <c r="D128" s="35"/>
      <c r="E128" s="11">
        <f t="shared" si="116"/>
        <v>0</v>
      </c>
      <c r="F128" s="45"/>
      <c r="G128" s="13" t="e">
        <f t="shared" si="117"/>
        <v>#DIV/0!</v>
      </c>
      <c r="H128" s="35"/>
      <c r="I128" s="38"/>
      <c r="J128" s="35">
        <f t="shared" si="118"/>
        <v>0</v>
      </c>
      <c r="K128" s="50">
        <v>66</v>
      </c>
      <c r="L128" s="46" t="e">
        <f t="shared" si="119"/>
        <v>#DIV/0!</v>
      </c>
      <c r="M128" s="48">
        <v>17880</v>
      </c>
      <c r="N128" s="42">
        <f t="shared" si="120"/>
        <v>1180080</v>
      </c>
      <c r="R128" s="76">
        <f t="shared" si="62"/>
        <v>0</v>
      </c>
    </row>
    <row r="129" spans="1:18" ht="16">
      <c r="A129" s="209">
        <v>45959</v>
      </c>
      <c r="B129" s="79" t="s">
        <v>27</v>
      </c>
      <c r="C129" s="53"/>
      <c r="D129" s="53"/>
      <c r="E129" s="24">
        <f t="shared" si="116"/>
        <v>0</v>
      </c>
      <c r="F129" s="45"/>
      <c r="G129" s="54" t="e">
        <f t="shared" si="117"/>
        <v>#DIV/0!</v>
      </c>
      <c r="H129" s="53"/>
      <c r="I129" s="55"/>
      <c r="J129" s="53">
        <f t="shared" si="118"/>
        <v>0</v>
      </c>
      <c r="K129" s="50">
        <v>60</v>
      </c>
      <c r="L129" s="73" t="e">
        <f t="shared" si="119"/>
        <v>#DIV/0!</v>
      </c>
      <c r="M129" s="56">
        <v>17880</v>
      </c>
      <c r="N129" s="47">
        <f t="shared" si="120"/>
        <v>1072800</v>
      </c>
      <c r="R129" s="76">
        <f t="shared" si="62"/>
        <v>0</v>
      </c>
    </row>
    <row r="130" spans="1:18" ht="16">
      <c r="A130" s="59"/>
      <c r="B130" s="60"/>
      <c r="C130" s="59"/>
      <c r="D130" s="59" t="s">
        <v>19</v>
      </c>
      <c r="E130" s="59">
        <f t="shared" ref="E130:F130" si="121">SUM(E122:E129)</f>
        <v>0</v>
      </c>
      <c r="F130" s="59">
        <f t="shared" si="121"/>
        <v>0</v>
      </c>
      <c r="G130" s="61" t="e">
        <f>AVERAGE(G122:G129)</f>
        <v>#DIV/0!</v>
      </c>
      <c r="H130" s="59"/>
      <c r="I130" s="62"/>
      <c r="J130" s="59">
        <f t="shared" ref="J130:K130" si="122">SUM(J122:J129)</f>
        <v>0</v>
      </c>
      <c r="K130" s="59">
        <f t="shared" si="122"/>
        <v>490</v>
      </c>
      <c r="L130" s="61" t="e">
        <f>AVERAGE(L122:L129)</f>
        <v>#DIV/0!</v>
      </c>
      <c r="M130" s="64"/>
      <c r="N130" s="132">
        <f>SUM(N122:N129)</f>
        <v>9055850</v>
      </c>
      <c r="R130" s="76">
        <f t="shared" si="62"/>
        <v>0</v>
      </c>
    </row>
    <row r="131" spans="1:18" ht="16">
      <c r="A131" s="66">
        <v>45931</v>
      </c>
      <c r="B131" s="90" t="s">
        <v>28</v>
      </c>
      <c r="C131" s="83"/>
      <c r="D131" s="12"/>
      <c r="E131" s="36">
        <f t="shared" ref="E131:E138" si="123">D131-C131</f>
        <v>0</v>
      </c>
      <c r="F131" s="37"/>
      <c r="G131" s="13" t="e">
        <f t="shared" ref="G131:G138" si="124">(F131/E131)*100</f>
        <v>#DIV/0!</v>
      </c>
      <c r="H131" s="125"/>
      <c r="I131" s="126"/>
      <c r="J131" s="39">
        <f t="shared" ref="J131:J138" si="125">I131-H131</f>
        <v>0</v>
      </c>
      <c r="K131" s="77">
        <v>70</v>
      </c>
      <c r="L131" s="67" t="e">
        <f t="shared" ref="L131:L134" si="126">(K131/J131)*100</f>
        <v>#DIV/0!</v>
      </c>
      <c r="M131" s="68">
        <v>18650</v>
      </c>
      <c r="N131" s="47">
        <f t="shared" ref="N131:N136" si="127">M131*K131</f>
        <v>1305500</v>
      </c>
      <c r="R131" s="76">
        <f t="shared" si="62"/>
        <v>0</v>
      </c>
    </row>
    <row r="132" spans="1:18" ht="16">
      <c r="A132" s="33">
        <v>45937</v>
      </c>
      <c r="B132" s="90" t="s">
        <v>28</v>
      </c>
      <c r="C132" s="35"/>
      <c r="D132" s="12"/>
      <c r="E132" s="11">
        <f t="shared" si="123"/>
        <v>0</v>
      </c>
      <c r="F132" s="45"/>
      <c r="G132" s="13" t="e">
        <f t="shared" si="124"/>
        <v>#DIV/0!</v>
      </c>
      <c r="H132" s="38"/>
      <c r="I132" s="38"/>
      <c r="J132" s="35">
        <f t="shared" si="125"/>
        <v>0</v>
      </c>
      <c r="K132" s="50">
        <v>70</v>
      </c>
      <c r="L132" s="67" t="e">
        <f t="shared" si="126"/>
        <v>#DIV/0!</v>
      </c>
      <c r="M132" s="48">
        <v>19030</v>
      </c>
      <c r="N132" s="47">
        <f t="shared" si="127"/>
        <v>1332100</v>
      </c>
      <c r="R132" s="76">
        <f t="shared" si="62"/>
        <v>0</v>
      </c>
    </row>
    <row r="133" spans="1:18" ht="16">
      <c r="A133" s="33">
        <v>45947</v>
      </c>
      <c r="B133" s="90" t="s">
        <v>28</v>
      </c>
      <c r="C133" s="35"/>
      <c r="D133" s="35"/>
      <c r="E133" s="11">
        <f t="shared" si="123"/>
        <v>0</v>
      </c>
      <c r="F133" s="45"/>
      <c r="G133" s="13" t="e">
        <f t="shared" si="124"/>
        <v>#DIV/0!</v>
      </c>
      <c r="H133" s="35"/>
      <c r="I133" s="38"/>
      <c r="J133" s="35">
        <f t="shared" si="125"/>
        <v>0</v>
      </c>
      <c r="K133" s="50">
        <v>70</v>
      </c>
      <c r="L133" s="46" t="e">
        <f t="shared" si="126"/>
        <v>#DIV/0!</v>
      </c>
      <c r="M133" s="48">
        <v>18420</v>
      </c>
      <c r="N133" s="47">
        <f t="shared" si="127"/>
        <v>1289400</v>
      </c>
      <c r="R133" s="76">
        <f t="shared" si="62"/>
        <v>0</v>
      </c>
    </row>
    <row r="134" spans="1:18" ht="16">
      <c r="A134" s="33">
        <v>45951</v>
      </c>
      <c r="B134" s="90" t="s">
        <v>28</v>
      </c>
      <c r="C134" s="35"/>
      <c r="D134" s="35"/>
      <c r="E134" s="11">
        <f t="shared" si="123"/>
        <v>0</v>
      </c>
      <c r="F134" s="45"/>
      <c r="G134" s="13" t="e">
        <f t="shared" si="124"/>
        <v>#DIV/0!</v>
      </c>
      <c r="H134" s="35"/>
      <c r="I134" s="38"/>
      <c r="J134" s="35">
        <f t="shared" si="125"/>
        <v>0</v>
      </c>
      <c r="K134" s="50">
        <v>70</v>
      </c>
      <c r="L134" s="46" t="e">
        <f t="shared" si="126"/>
        <v>#DIV/0!</v>
      </c>
      <c r="M134" s="48">
        <v>18420</v>
      </c>
      <c r="N134" s="47">
        <f t="shared" si="127"/>
        <v>1289400</v>
      </c>
      <c r="R134" s="76">
        <f t="shared" si="62"/>
        <v>0</v>
      </c>
    </row>
    <row r="135" spans="1:18" ht="16">
      <c r="A135" s="33">
        <v>45954</v>
      </c>
      <c r="B135" s="90" t="s">
        <v>28</v>
      </c>
      <c r="C135" s="35"/>
      <c r="D135" s="35"/>
      <c r="E135" s="11">
        <f t="shared" si="123"/>
        <v>0</v>
      </c>
      <c r="F135" s="45"/>
      <c r="G135" s="13" t="e">
        <f t="shared" si="124"/>
        <v>#DIV/0!</v>
      </c>
      <c r="H135" s="35"/>
      <c r="I135" s="38"/>
      <c r="J135" s="35">
        <f t="shared" si="125"/>
        <v>0</v>
      </c>
      <c r="K135" s="50">
        <v>70</v>
      </c>
      <c r="L135" s="46"/>
      <c r="M135" s="48">
        <v>17880</v>
      </c>
      <c r="N135" s="47">
        <f t="shared" si="127"/>
        <v>1251600</v>
      </c>
      <c r="R135" s="76">
        <f t="shared" si="62"/>
        <v>0</v>
      </c>
    </row>
    <row r="136" spans="1:18" ht="16">
      <c r="A136" s="33">
        <v>45960</v>
      </c>
      <c r="B136" s="90" t="s">
        <v>28</v>
      </c>
      <c r="C136" s="35"/>
      <c r="D136" s="35"/>
      <c r="E136" s="11">
        <f t="shared" si="123"/>
        <v>0</v>
      </c>
      <c r="F136" s="45"/>
      <c r="G136" s="13" t="e">
        <f t="shared" si="124"/>
        <v>#DIV/0!</v>
      </c>
      <c r="H136" s="35"/>
      <c r="I136" s="38"/>
      <c r="J136" s="35">
        <f t="shared" si="125"/>
        <v>0</v>
      </c>
      <c r="K136" s="50">
        <v>70</v>
      </c>
      <c r="L136" s="46" t="e">
        <f t="shared" ref="L136:L138" si="128">(K136/J136)*100</f>
        <v>#DIV/0!</v>
      </c>
      <c r="M136" s="48">
        <v>17880</v>
      </c>
      <c r="N136" s="47">
        <f t="shared" si="127"/>
        <v>1251600</v>
      </c>
      <c r="R136" s="76">
        <f t="shared" si="62"/>
        <v>0</v>
      </c>
    </row>
    <row r="137" spans="1:18" ht="16">
      <c r="A137" s="33"/>
      <c r="B137" s="44"/>
      <c r="C137" s="35"/>
      <c r="D137" s="35"/>
      <c r="E137" s="11">
        <f t="shared" si="123"/>
        <v>0</v>
      </c>
      <c r="F137" s="45"/>
      <c r="G137" s="13" t="e">
        <f t="shared" si="124"/>
        <v>#DIV/0!</v>
      </c>
      <c r="H137" s="35"/>
      <c r="I137" s="38"/>
      <c r="J137" s="35">
        <f t="shared" si="125"/>
        <v>0</v>
      </c>
      <c r="K137" s="50">
        <f t="shared" ref="K137:K138" si="129">F137</f>
        <v>0</v>
      </c>
      <c r="L137" s="46" t="e">
        <f t="shared" si="128"/>
        <v>#DIV/0!</v>
      </c>
      <c r="M137" s="48"/>
      <c r="N137" s="47">
        <f>F137*M137</f>
        <v>0</v>
      </c>
      <c r="R137" s="76">
        <f t="shared" si="62"/>
        <v>0</v>
      </c>
    </row>
    <row r="138" spans="1:18" ht="16">
      <c r="A138" s="88"/>
      <c r="B138" s="79"/>
      <c r="C138" s="53"/>
      <c r="D138" s="53"/>
      <c r="E138" s="24">
        <f t="shared" si="123"/>
        <v>0</v>
      </c>
      <c r="F138" s="45"/>
      <c r="G138" s="54" t="e">
        <f t="shared" si="124"/>
        <v>#DIV/0!</v>
      </c>
      <c r="H138" s="53"/>
      <c r="I138" s="55"/>
      <c r="J138" s="53">
        <f t="shared" si="125"/>
        <v>0</v>
      </c>
      <c r="K138" s="50">
        <f t="shared" si="129"/>
        <v>0</v>
      </c>
      <c r="L138" s="73" t="e">
        <f t="shared" si="128"/>
        <v>#DIV/0!</v>
      </c>
      <c r="M138" s="56"/>
      <c r="N138" s="47">
        <f>M138*K138</f>
        <v>0</v>
      </c>
      <c r="R138" s="76">
        <f t="shared" si="62"/>
        <v>0</v>
      </c>
    </row>
    <row r="139" spans="1:18" ht="16">
      <c r="A139" s="59"/>
      <c r="B139" s="60"/>
      <c r="C139" s="59"/>
      <c r="D139" s="59" t="s">
        <v>19</v>
      </c>
      <c r="E139" s="59">
        <f t="shared" ref="E139:F139" si="130">SUM(E131:E138)</f>
        <v>0</v>
      </c>
      <c r="F139" s="59">
        <f t="shared" si="130"/>
        <v>0</v>
      </c>
      <c r="G139" s="61" t="e">
        <f>AVERAGE(G131:G138)</f>
        <v>#DIV/0!</v>
      </c>
      <c r="H139" s="59"/>
      <c r="I139" s="62"/>
      <c r="J139" s="59">
        <f t="shared" ref="J139:K139" si="131">SUM(J131:J138)</f>
        <v>0</v>
      </c>
      <c r="K139" s="59">
        <f t="shared" si="131"/>
        <v>420</v>
      </c>
      <c r="L139" s="61" t="e">
        <f>AVERAGE(L131:L138)</f>
        <v>#DIV/0!</v>
      </c>
      <c r="M139" s="64"/>
      <c r="N139" s="132">
        <f>SUM(N131:N138)</f>
        <v>7719600</v>
      </c>
      <c r="R139" s="76">
        <f t="shared" si="62"/>
        <v>0</v>
      </c>
    </row>
    <row r="140" spans="1:18" ht="16">
      <c r="A140" s="85">
        <v>45933</v>
      </c>
      <c r="B140" s="90" t="s">
        <v>43</v>
      </c>
      <c r="C140" s="83"/>
      <c r="D140" s="12"/>
      <c r="E140" s="36">
        <f t="shared" ref="E140:E147" si="132">D140-C140</f>
        <v>0</v>
      </c>
      <c r="F140" s="37"/>
      <c r="G140" s="13" t="e">
        <f t="shared" ref="G140:G147" si="133">(F140/E140)*100</f>
        <v>#DIV/0!</v>
      </c>
      <c r="H140" s="125"/>
      <c r="I140" s="126"/>
      <c r="J140" s="39">
        <f t="shared" ref="J140:J147" si="134">I140-H140</f>
        <v>0</v>
      </c>
      <c r="K140" s="77">
        <v>60</v>
      </c>
      <c r="L140" s="67" t="e">
        <f t="shared" ref="L140:L147" si="135">(K140/J140)*100</f>
        <v>#DIV/0!</v>
      </c>
      <c r="M140" s="68">
        <v>19030</v>
      </c>
      <c r="N140" s="47">
        <f t="shared" ref="N140:N143" si="136">M140*K140</f>
        <v>1141800</v>
      </c>
      <c r="R140" s="76">
        <f t="shared" si="62"/>
        <v>0</v>
      </c>
    </row>
    <row r="141" spans="1:18" ht="16">
      <c r="A141" s="33">
        <v>45946</v>
      </c>
      <c r="B141" s="44" t="s">
        <v>43</v>
      </c>
      <c r="C141" s="35"/>
      <c r="D141" s="12"/>
      <c r="E141" s="11">
        <f t="shared" si="132"/>
        <v>0</v>
      </c>
      <c r="F141" s="45"/>
      <c r="G141" s="13" t="e">
        <f t="shared" si="133"/>
        <v>#DIV/0!</v>
      </c>
      <c r="H141" s="38"/>
      <c r="I141" s="38"/>
      <c r="J141" s="35">
        <f t="shared" si="134"/>
        <v>0</v>
      </c>
      <c r="K141" s="50">
        <v>70</v>
      </c>
      <c r="L141" s="46" t="e">
        <f t="shared" si="135"/>
        <v>#DIV/0!</v>
      </c>
      <c r="M141" s="48">
        <v>18600</v>
      </c>
      <c r="N141" s="47">
        <f t="shared" si="136"/>
        <v>1302000</v>
      </c>
      <c r="R141" s="76">
        <f t="shared" si="62"/>
        <v>0</v>
      </c>
    </row>
    <row r="142" spans="1:18" ht="16">
      <c r="A142" s="33">
        <v>45952</v>
      </c>
      <c r="B142" s="44" t="s">
        <v>43</v>
      </c>
      <c r="C142" s="35"/>
      <c r="D142" s="35"/>
      <c r="E142" s="11">
        <f t="shared" si="132"/>
        <v>0</v>
      </c>
      <c r="F142" s="45"/>
      <c r="G142" s="13" t="e">
        <f t="shared" si="133"/>
        <v>#DIV/0!</v>
      </c>
      <c r="H142" s="35"/>
      <c r="I142" s="38"/>
      <c r="J142" s="35">
        <f t="shared" si="134"/>
        <v>0</v>
      </c>
      <c r="K142" s="50">
        <v>60</v>
      </c>
      <c r="L142" s="46" t="e">
        <f t="shared" si="135"/>
        <v>#DIV/0!</v>
      </c>
      <c r="M142" s="48">
        <v>18420</v>
      </c>
      <c r="N142" s="47">
        <f t="shared" si="136"/>
        <v>1105200</v>
      </c>
      <c r="R142" s="76">
        <f t="shared" si="62"/>
        <v>0</v>
      </c>
    </row>
    <row r="143" spans="1:18" ht="16">
      <c r="A143" s="33">
        <v>45959</v>
      </c>
      <c r="B143" s="44" t="s">
        <v>43</v>
      </c>
      <c r="C143" s="35"/>
      <c r="D143" s="35"/>
      <c r="E143" s="11">
        <f t="shared" si="132"/>
        <v>0</v>
      </c>
      <c r="F143" s="45"/>
      <c r="G143" s="13" t="e">
        <f t="shared" si="133"/>
        <v>#DIV/0!</v>
      </c>
      <c r="H143" s="35"/>
      <c r="I143" s="38"/>
      <c r="J143" s="35">
        <f t="shared" si="134"/>
        <v>0</v>
      </c>
      <c r="K143" s="50">
        <v>60</v>
      </c>
      <c r="L143" s="46" t="e">
        <f t="shared" si="135"/>
        <v>#DIV/0!</v>
      </c>
      <c r="M143" s="48">
        <v>17880</v>
      </c>
      <c r="N143" s="47">
        <f t="shared" si="136"/>
        <v>1072800</v>
      </c>
      <c r="R143" s="76">
        <f t="shared" si="62"/>
        <v>0</v>
      </c>
    </row>
    <row r="144" spans="1:18" ht="16">
      <c r="A144" s="33"/>
      <c r="B144" s="44" t="s">
        <v>43</v>
      </c>
      <c r="C144" s="35"/>
      <c r="D144" s="35"/>
      <c r="E144" s="11">
        <f t="shared" si="132"/>
        <v>0</v>
      </c>
      <c r="F144" s="45"/>
      <c r="G144" s="13" t="e">
        <f t="shared" si="133"/>
        <v>#DIV/0!</v>
      </c>
      <c r="H144" s="35"/>
      <c r="I144" s="38"/>
      <c r="J144" s="35">
        <f t="shared" si="134"/>
        <v>0</v>
      </c>
      <c r="K144" s="50">
        <f t="shared" ref="K144:K147" si="137">F144</f>
        <v>0</v>
      </c>
      <c r="L144" s="46" t="e">
        <f t="shared" si="135"/>
        <v>#DIV/0!</v>
      </c>
      <c r="M144" s="48"/>
      <c r="N144" s="47">
        <f t="shared" ref="N144:N146" si="138">F144*M144</f>
        <v>0</v>
      </c>
      <c r="R144" s="76">
        <f t="shared" si="62"/>
        <v>0</v>
      </c>
    </row>
    <row r="145" spans="1:18" ht="16">
      <c r="A145" s="33"/>
      <c r="B145" s="44" t="s">
        <v>43</v>
      </c>
      <c r="C145" s="35"/>
      <c r="D145" s="35"/>
      <c r="E145" s="11">
        <f t="shared" si="132"/>
        <v>0</v>
      </c>
      <c r="F145" s="45"/>
      <c r="G145" s="13" t="e">
        <f t="shared" si="133"/>
        <v>#DIV/0!</v>
      </c>
      <c r="H145" s="35"/>
      <c r="I145" s="38"/>
      <c r="J145" s="35">
        <f t="shared" si="134"/>
        <v>0</v>
      </c>
      <c r="K145" s="50">
        <f t="shared" si="137"/>
        <v>0</v>
      </c>
      <c r="L145" s="46" t="e">
        <f t="shared" si="135"/>
        <v>#DIV/0!</v>
      </c>
      <c r="M145" s="48"/>
      <c r="N145" s="47">
        <f t="shared" si="138"/>
        <v>0</v>
      </c>
      <c r="R145" s="76">
        <f t="shared" si="62"/>
        <v>0</v>
      </c>
    </row>
    <row r="146" spans="1:18" ht="16">
      <c r="A146" s="33"/>
      <c r="B146" s="44" t="s">
        <v>43</v>
      </c>
      <c r="C146" s="35"/>
      <c r="D146" s="35"/>
      <c r="E146" s="11">
        <f t="shared" si="132"/>
        <v>0</v>
      </c>
      <c r="F146" s="45"/>
      <c r="G146" s="13" t="e">
        <f t="shared" si="133"/>
        <v>#DIV/0!</v>
      </c>
      <c r="H146" s="35"/>
      <c r="I146" s="38"/>
      <c r="J146" s="35">
        <f t="shared" si="134"/>
        <v>0</v>
      </c>
      <c r="K146" s="50">
        <f t="shared" si="137"/>
        <v>0</v>
      </c>
      <c r="L146" s="46" t="e">
        <f t="shared" si="135"/>
        <v>#DIV/0!</v>
      </c>
      <c r="M146" s="48"/>
      <c r="N146" s="47">
        <f t="shared" si="138"/>
        <v>0</v>
      </c>
      <c r="R146" s="76">
        <f t="shared" si="62"/>
        <v>0</v>
      </c>
    </row>
    <row r="147" spans="1:18" ht="16">
      <c r="A147" s="88"/>
      <c r="B147" s="79"/>
      <c r="C147" s="53"/>
      <c r="D147" s="53"/>
      <c r="E147" s="24">
        <f t="shared" si="132"/>
        <v>0</v>
      </c>
      <c r="F147" s="45"/>
      <c r="G147" s="54" t="e">
        <f t="shared" si="133"/>
        <v>#DIV/0!</v>
      </c>
      <c r="H147" s="53"/>
      <c r="I147" s="55"/>
      <c r="J147" s="53">
        <f t="shared" si="134"/>
        <v>0</v>
      </c>
      <c r="K147" s="50">
        <f t="shared" si="137"/>
        <v>0</v>
      </c>
      <c r="L147" s="73" t="e">
        <f t="shared" si="135"/>
        <v>#DIV/0!</v>
      </c>
      <c r="M147" s="48"/>
      <c r="N147" s="47">
        <f>M147*K147</f>
        <v>0</v>
      </c>
      <c r="R147" s="76">
        <f t="shared" si="62"/>
        <v>0</v>
      </c>
    </row>
    <row r="148" spans="1:18" ht="16">
      <c r="A148" s="59"/>
      <c r="B148" s="60"/>
      <c r="C148" s="59"/>
      <c r="D148" s="59" t="s">
        <v>19</v>
      </c>
      <c r="E148" s="59">
        <f>SUM(E140:E147)</f>
        <v>0</v>
      </c>
      <c r="F148" s="37"/>
      <c r="G148" s="61" t="e">
        <f>AVERAGE(G140:G147)</f>
        <v>#DIV/0!</v>
      </c>
      <c r="H148" s="59"/>
      <c r="I148" s="62"/>
      <c r="J148" s="59">
        <f t="shared" ref="J148:K148" si="139">SUM(J140:J147)</f>
        <v>0</v>
      </c>
      <c r="K148" s="59">
        <f t="shared" si="139"/>
        <v>250</v>
      </c>
      <c r="L148" s="61" t="e">
        <f>AVERAGE(L140:L147)</f>
        <v>#DIV/0!</v>
      </c>
      <c r="M148" s="68"/>
      <c r="N148" s="132">
        <f>SUM(N140:N147)</f>
        <v>4621800</v>
      </c>
      <c r="R148" s="76">
        <f t="shared" si="62"/>
        <v>0</v>
      </c>
    </row>
    <row r="149" spans="1:18" ht="16">
      <c r="A149" s="66">
        <v>45936</v>
      </c>
      <c r="B149" s="90" t="s">
        <v>30</v>
      </c>
      <c r="C149" s="83"/>
      <c r="D149" s="12"/>
      <c r="E149" s="36">
        <f t="shared" ref="E149:E156" si="140">D149-C149</f>
        <v>0</v>
      </c>
      <c r="F149" s="37"/>
      <c r="G149" s="13" t="e">
        <f t="shared" ref="G149:G156" si="141">(F149/E149)*100</f>
        <v>#DIV/0!</v>
      </c>
      <c r="H149" s="125"/>
      <c r="I149" s="126"/>
      <c r="J149" s="39">
        <f t="shared" ref="J149:J156" si="142">I149-H149</f>
        <v>0</v>
      </c>
      <c r="K149" s="39">
        <v>75</v>
      </c>
      <c r="L149" s="67" t="e">
        <f t="shared" ref="L149:L156" si="143">(K149/J149)*100</f>
        <v>#DIV/0!</v>
      </c>
      <c r="M149" s="68">
        <v>19030</v>
      </c>
      <c r="N149" s="47">
        <f t="shared" ref="N149:N152" si="144">M149*K149</f>
        <v>1427250</v>
      </c>
      <c r="R149" s="76">
        <f t="shared" si="62"/>
        <v>0</v>
      </c>
    </row>
    <row r="150" spans="1:18" ht="16">
      <c r="A150" s="33">
        <v>45943</v>
      </c>
      <c r="B150" s="44" t="s">
        <v>30</v>
      </c>
      <c r="C150" s="35"/>
      <c r="D150" s="12"/>
      <c r="E150" s="11">
        <f t="shared" si="140"/>
        <v>0</v>
      </c>
      <c r="F150" s="45"/>
      <c r="G150" s="13" t="e">
        <f t="shared" si="141"/>
        <v>#DIV/0!</v>
      </c>
      <c r="H150" s="38"/>
      <c r="I150" s="38"/>
      <c r="J150" s="35">
        <f t="shared" si="142"/>
        <v>0</v>
      </c>
      <c r="K150" s="39">
        <v>79</v>
      </c>
      <c r="L150" s="46" t="e">
        <f t="shared" si="143"/>
        <v>#DIV/0!</v>
      </c>
      <c r="M150" s="48">
        <v>18600</v>
      </c>
      <c r="N150" s="47">
        <f t="shared" si="144"/>
        <v>1469400</v>
      </c>
      <c r="R150" s="76">
        <f t="shared" si="62"/>
        <v>0</v>
      </c>
    </row>
    <row r="151" spans="1:18" ht="16">
      <c r="A151" s="33">
        <v>45951</v>
      </c>
      <c r="B151" s="44" t="s">
        <v>30</v>
      </c>
      <c r="C151" s="35"/>
      <c r="D151" s="35"/>
      <c r="E151" s="11">
        <f t="shared" si="140"/>
        <v>0</v>
      </c>
      <c r="F151" s="45"/>
      <c r="G151" s="13" t="e">
        <f t="shared" si="141"/>
        <v>#DIV/0!</v>
      </c>
      <c r="H151" s="35"/>
      <c r="I151" s="38"/>
      <c r="J151" s="35">
        <f t="shared" si="142"/>
        <v>0</v>
      </c>
      <c r="K151" s="39">
        <v>73</v>
      </c>
      <c r="L151" s="46" t="e">
        <f t="shared" si="143"/>
        <v>#DIV/0!</v>
      </c>
      <c r="M151" s="48">
        <v>18420</v>
      </c>
      <c r="N151" s="47">
        <f t="shared" si="144"/>
        <v>1344660</v>
      </c>
      <c r="R151" s="76">
        <f t="shared" si="62"/>
        <v>0</v>
      </c>
    </row>
    <row r="152" spans="1:18" ht="16">
      <c r="A152" s="33">
        <v>45958</v>
      </c>
      <c r="B152" s="44" t="s">
        <v>30</v>
      </c>
      <c r="C152" s="35"/>
      <c r="D152" s="35"/>
      <c r="E152" s="11">
        <f t="shared" si="140"/>
        <v>0</v>
      </c>
      <c r="F152" s="45"/>
      <c r="G152" s="13" t="e">
        <f t="shared" si="141"/>
        <v>#DIV/0!</v>
      </c>
      <c r="H152" s="35"/>
      <c r="I152" s="38"/>
      <c r="J152" s="35">
        <f t="shared" si="142"/>
        <v>0</v>
      </c>
      <c r="K152" s="39">
        <v>80</v>
      </c>
      <c r="L152" s="46" t="e">
        <f t="shared" si="143"/>
        <v>#DIV/0!</v>
      </c>
      <c r="M152" s="48">
        <v>17880</v>
      </c>
      <c r="N152" s="47">
        <f t="shared" si="144"/>
        <v>1430400</v>
      </c>
      <c r="R152" s="76">
        <f t="shared" si="62"/>
        <v>0</v>
      </c>
    </row>
    <row r="153" spans="1:18" ht="16">
      <c r="A153" s="33"/>
      <c r="B153" s="44" t="s">
        <v>30</v>
      </c>
      <c r="C153" s="35"/>
      <c r="D153" s="35"/>
      <c r="E153" s="11">
        <f t="shared" si="140"/>
        <v>0</v>
      </c>
      <c r="F153" s="45"/>
      <c r="G153" s="13" t="e">
        <f t="shared" si="141"/>
        <v>#DIV/0!</v>
      </c>
      <c r="H153" s="35"/>
      <c r="I153" s="38"/>
      <c r="J153" s="35">
        <f t="shared" si="142"/>
        <v>0</v>
      </c>
      <c r="K153" s="39"/>
      <c r="L153" s="46" t="e">
        <f t="shared" si="143"/>
        <v>#DIV/0!</v>
      </c>
      <c r="M153" s="48"/>
      <c r="N153" s="47">
        <f t="shared" ref="N153:N155" si="145">F153*M153</f>
        <v>0</v>
      </c>
      <c r="R153" s="76">
        <f t="shared" si="62"/>
        <v>0</v>
      </c>
    </row>
    <row r="154" spans="1:18" ht="16">
      <c r="A154" s="33"/>
      <c r="B154" s="44" t="s">
        <v>30</v>
      </c>
      <c r="C154" s="35"/>
      <c r="D154" s="35"/>
      <c r="E154" s="11">
        <f t="shared" si="140"/>
        <v>0</v>
      </c>
      <c r="F154" s="45"/>
      <c r="G154" s="13" t="e">
        <f t="shared" si="141"/>
        <v>#DIV/0!</v>
      </c>
      <c r="H154" s="35"/>
      <c r="I154" s="38"/>
      <c r="J154" s="35">
        <f t="shared" si="142"/>
        <v>0</v>
      </c>
      <c r="K154" s="39"/>
      <c r="L154" s="46" t="e">
        <f t="shared" si="143"/>
        <v>#DIV/0!</v>
      </c>
      <c r="M154" s="48"/>
      <c r="N154" s="47">
        <f t="shared" si="145"/>
        <v>0</v>
      </c>
      <c r="R154" s="76">
        <f t="shared" si="62"/>
        <v>0</v>
      </c>
    </row>
    <row r="155" spans="1:18" ht="16">
      <c r="A155" s="33"/>
      <c r="B155" s="79"/>
      <c r="C155" s="35"/>
      <c r="D155" s="35"/>
      <c r="E155" s="11">
        <f t="shared" si="140"/>
        <v>0</v>
      </c>
      <c r="F155" s="45"/>
      <c r="G155" s="13" t="e">
        <f t="shared" si="141"/>
        <v>#DIV/0!</v>
      </c>
      <c r="H155" s="35"/>
      <c r="I155" s="38"/>
      <c r="J155" s="35">
        <f t="shared" si="142"/>
        <v>0</v>
      </c>
      <c r="K155" s="39">
        <f>D155</f>
        <v>0</v>
      </c>
      <c r="L155" s="73" t="e">
        <f t="shared" si="143"/>
        <v>#DIV/0!</v>
      </c>
      <c r="M155" s="48"/>
      <c r="N155" s="47">
        <f t="shared" si="145"/>
        <v>0</v>
      </c>
      <c r="R155" s="76">
        <f t="shared" si="62"/>
        <v>0</v>
      </c>
    </row>
    <row r="156" spans="1:18" ht="16">
      <c r="A156" s="133"/>
      <c r="B156" s="140"/>
      <c r="C156" s="134"/>
      <c r="D156" s="134"/>
      <c r="E156" s="24">
        <f t="shared" si="140"/>
        <v>0</v>
      </c>
      <c r="F156" s="37"/>
      <c r="G156" s="54" t="e">
        <f t="shared" si="141"/>
        <v>#DIV/0!</v>
      </c>
      <c r="H156" s="134"/>
      <c r="I156" s="135"/>
      <c r="J156" s="134">
        <f t="shared" si="142"/>
        <v>0</v>
      </c>
      <c r="K156" s="134"/>
      <c r="L156" s="136" t="e">
        <f t="shared" si="143"/>
        <v>#DIV/0!</v>
      </c>
      <c r="M156" s="137"/>
      <c r="N156" s="47">
        <f>M156*K156</f>
        <v>0</v>
      </c>
      <c r="R156" s="76">
        <f t="shared" si="62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46">SUM(E149:E156)</f>
        <v>0</v>
      </c>
      <c r="F157" s="59">
        <f t="shared" si="146"/>
        <v>0</v>
      </c>
      <c r="G157" s="61" t="e">
        <f>AVERAGE(G149:G156)</f>
        <v>#DIV/0!</v>
      </c>
      <c r="H157" s="59"/>
      <c r="I157" s="62"/>
      <c r="J157" s="59">
        <f t="shared" ref="J157:K157" si="147">SUM(J149:J156)</f>
        <v>0</v>
      </c>
      <c r="K157" s="59">
        <f t="shared" si="147"/>
        <v>307</v>
      </c>
      <c r="L157" s="61" t="e">
        <f>AVERAGE(L149:L156)</f>
        <v>#DIV/0!</v>
      </c>
      <c r="M157" s="64"/>
      <c r="N157" s="65">
        <f>SUM(N149:N156)</f>
        <v>5671710</v>
      </c>
      <c r="R157" s="76">
        <f t="shared" si="62"/>
        <v>0</v>
      </c>
    </row>
    <row r="158" spans="1:18" ht="16">
      <c r="A158" s="138"/>
      <c r="B158" s="90" t="s">
        <v>83</v>
      </c>
      <c r="C158" s="83"/>
      <c r="D158" s="12"/>
      <c r="E158" s="11">
        <f t="shared" ref="E158:E165" si="148">D158-C158</f>
        <v>0</v>
      </c>
      <c r="F158" s="37"/>
      <c r="G158" s="13" t="e">
        <f t="shared" ref="G158:G165" si="149">(F158/E158)*100</f>
        <v>#DIV/0!</v>
      </c>
      <c r="H158" s="125"/>
      <c r="I158" s="126"/>
      <c r="J158" s="39">
        <f t="shared" ref="J158:J165" si="150">I158-H158</f>
        <v>0</v>
      </c>
      <c r="K158" s="77">
        <f>E158</f>
        <v>0</v>
      </c>
      <c r="L158" s="67" t="e">
        <f t="shared" ref="L158:L165" si="151">(K158/J158)*100</f>
        <v>#DIV/0!</v>
      </c>
      <c r="M158" s="68"/>
      <c r="N158" s="121">
        <f t="shared" ref="N158:N165" si="152">M158*K158</f>
        <v>0</v>
      </c>
    </row>
    <row r="159" spans="1:18" ht="16">
      <c r="A159" s="33"/>
      <c r="B159" s="44" t="s">
        <v>83</v>
      </c>
      <c r="C159" s="35"/>
      <c r="D159" s="12"/>
      <c r="E159" s="11">
        <f t="shared" si="148"/>
        <v>0</v>
      </c>
      <c r="F159" s="45"/>
      <c r="G159" s="13" t="e">
        <f t="shared" si="149"/>
        <v>#DIV/0!</v>
      </c>
      <c r="H159" s="38"/>
      <c r="I159" s="38"/>
      <c r="J159" s="35">
        <f t="shared" si="150"/>
        <v>0</v>
      </c>
      <c r="K159" s="77">
        <f t="shared" ref="K159:K160" si="153">F159</f>
        <v>0</v>
      </c>
      <c r="L159" s="46" t="e">
        <f t="shared" si="151"/>
        <v>#DIV/0!</v>
      </c>
      <c r="M159" s="68"/>
      <c r="N159" s="121">
        <f t="shared" si="152"/>
        <v>0</v>
      </c>
    </row>
    <row r="160" spans="1:18" ht="16">
      <c r="A160" s="33"/>
      <c r="B160" s="44" t="s">
        <v>83</v>
      </c>
      <c r="C160" s="35"/>
      <c r="D160" s="35"/>
      <c r="E160" s="11">
        <f t="shared" si="148"/>
        <v>0</v>
      </c>
      <c r="F160" s="45"/>
      <c r="G160" s="13" t="e">
        <f t="shared" si="149"/>
        <v>#DIV/0!</v>
      </c>
      <c r="H160" s="35"/>
      <c r="I160" s="38"/>
      <c r="J160" s="35">
        <f t="shared" si="150"/>
        <v>0</v>
      </c>
      <c r="K160" s="77">
        <f t="shared" si="153"/>
        <v>0</v>
      </c>
      <c r="L160" s="46" t="e">
        <f t="shared" si="151"/>
        <v>#DIV/0!</v>
      </c>
      <c r="M160" s="68"/>
      <c r="N160" s="121">
        <f t="shared" si="152"/>
        <v>0</v>
      </c>
    </row>
    <row r="161" spans="1:18" ht="16">
      <c r="A161" s="33"/>
      <c r="B161" s="44" t="s">
        <v>83</v>
      </c>
      <c r="C161" s="35"/>
      <c r="D161" s="35"/>
      <c r="E161" s="11">
        <f t="shared" si="148"/>
        <v>0</v>
      </c>
      <c r="F161" s="45"/>
      <c r="G161" s="13" t="e">
        <f t="shared" si="149"/>
        <v>#DIV/0!</v>
      </c>
      <c r="H161" s="35"/>
      <c r="I161" s="38"/>
      <c r="J161" s="35">
        <f t="shared" si="150"/>
        <v>0</v>
      </c>
      <c r="K161" s="77">
        <f t="shared" ref="K161:K163" si="154">E161</f>
        <v>0</v>
      </c>
      <c r="L161" s="46" t="e">
        <f t="shared" si="151"/>
        <v>#DIV/0!</v>
      </c>
      <c r="M161" s="68"/>
      <c r="N161" s="121">
        <f t="shared" si="152"/>
        <v>0</v>
      </c>
    </row>
    <row r="162" spans="1:18" ht="16">
      <c r="A162" s="33"/>
      <c r="B162" s="44" t="s">
        <v>83</v>
      </c>
      <c r="C162" s="35"/>
      <c r="D162" s="35"/>
      <c r="E162" s="11">
        <f t="shared" si="148"/>
        <v>0</v>
      </c>
      <c r="F162" s="45"/>
      <c r="G162" s="13" t="e">
        <f t="shared" si="149"/>
        <v>#DIV/0!</v>
      </c>
      <c r="H162" s="35"/>
      <c r="I162" s="38"/>
      <c r="J162" s="35">
        <f t="shared" si="150"/>
        <v>0</v>
      </c>
      <c r="K162" s="77">
        <f t="shared" si="154"/>
        <v>0</v>
      </c>
      <c r="L162" s="46" t="e">
        <f t="shared" si="151"/>
        <v>#DIV/0!</v>
      </c>
      <c r="M162" s="68"/>
      <c r="N162" s="121">
        <f t="shared" si="152"/>
        <v>0</v>
      </c>
    </row>
    <row r="163" spans="1:18" ht="16">
      <c r="A163" s="33"/>
      <c r="B163" s="44" t="s">
        <v>83</v>
      </c>
      <c r="C163" s="35"/>
      <c r="D163" s="35"/>
      <c r="E163" s="11">
        <f t="shared" si="148"/>
        <v>0</v>
      </c>
      <c r="F163" s="45"/>
      <c r="G163" s="13" t="e">
        <f t="shared" si="149"/>
        <v>#DIV/0!</v>
      </c>
      <c r="H163" s="35"/>
      <c r="I163" s="38"/>
      <c r="J163" s="35">
        <f t="shared" si="150"/>
        <v>0</v>
      </c>
      <c r="K163" s="77">
        <f t="shared" si="154"/>
        <v>0</v>
      </c>
      <c r="L163" s="46" t="e">
        <f t="shared" si="151"/>
        <v>#DIV/0!</v>
      </c>
      <c r="M163" s="68"/>
      <c r="N163" s="121">
        <f t="shared" si="152"/>
        <v>0</v>
      </c>
    </row>
    <row r="164" spans="1:18" ht="16">
      <c r="A164" s="33"/>
      <c r="B164" s="44" t="s">
        <v>83</v>
      </c>
      <c r="C164" s="35"/>
      <c r="D164" s="35"/>
      <c r="E164" s="11">
        <f t="shared" si="148"/>
        <v>0</v>
      </c>
      <c r="F164" s="45"/>
      <c r="G164" s="13" t="e">
        <f t="shared" si="149"/>
        <v>#DIV/0!</v>
      </c>
      <c r="H164" s="35"/>
      <c r="I164" s="38"/>
      <c r="J164" s="35">
        <f t="shared" si="150"/>
        <v>0</v>
      </c>
      <c r="K164" s="50">
        <f t="shared" ref="K164:K165" si="155">F164</f>
        <v>0</v>
      </c>
      <c r="L164" s="46" t="e">
        <f t="shared" si="151"/>
        <v>#DIV/0!</v>
      </c>
      <c r="M164" s="48"/>
      <c r="N164" s="121">
        <f t="shared" si="152"/>
        <v>0</v>
      </c>
    </row>
    <row r="165" spans="1:18" ht="16">
      <c r="A165" s="88"/>
      <c r="B165" s="79"/>
      <c r="C165" s="53"/>
      <c r="D165" s="53"/>
      <c r="E165" s="24">
        <f t="shared" si="148"/>
        <v>0</v>
      </c>
      <c r="F165" s="45"/>
      <c r="G165" s="54" t="e">
        <f t="shared" si="149"/>
        <v>#DIV/0!</v>
      </c>
      <c r="H165" s="53"/>
      <c r="I165" s="55"/>
      <c r="J165" s="53">
        <f t="shared" si="150"/>
        <v>0</v>
      </c>
      <c r="K165" s="50">
        <f t="shared" si="155"/>
        <v>0</v>
      </c>
      <c r="L165" s="73" t="e">
        <f t="shared" si="151"/>
        <v>#DIV/0!</v>
      </c>
      <c r="M165" s="56"/>
      <c r="N165" s="47">
        <f t="shared" si="152"/>
        <v>0</v>
      </c>
    </row>
    <row r="166" spans="1:18" ht="16">
      <c r="A166" s="59"/>
      <c r="B166" s="60"/>
      <c r="C166" s="59"/>
      <c r="D166" s="59" t="s">
        <v>19</v>
      </c>
      <c r="E166" s="59">
        <f t="shared" ref="E166:F166" si="156">SUM(E158:E165)</f>
        <v>0</v>
      </c>
      <c r="F166" s="59">
        <f t="shared" si="156"/>
        <v>0</v>
      </c>
      <c r="G166" s="61" t="e">
        <f>AVERAGE(G158:G165)</f>
        <v>#DIV/0!</v>
      </c>
      <c r="H166" s="59"/>
      <c r="I166" s="62"/>
      <c r="J166" s="59">
        <f t="shared" ref="J166:K166" si="157">SUM(J158:J165)</f>
        <v>0</v>
      </c>
      <c r="K166" s="59">
        <f t="shared" si="157"/>
        <v>0</v>
      </c>
      <c r="L166" s="61" t="e">
        <f>AVERAGE(L158:L165)</f>
        <v>#DIV/0!</v>
      </c>
      <c r="M166" s="64"/>
      <c r="N166" s="65">
        <f>SUM(N158:N165)</f>
        <v>0</v>
      </c>
    </row>
    <row r="167" spans="1:18" ht="16">
      <c r="A167" s="139">
        <v>45931</v>
      </c>
      <c r="B167" s="140" t="s">
        <v>32</v>
      </c>
      <c r="C167" s="83"/>
      <c r="D167" s="12"/>
      <c r="E167" s="36">
        <f t="shared" ref="E167:E174" si="158">D167-C167</f>
        <v>0</v>
      </c>
      <c r="F167" s="37"/>
      <c r="G167" s="13" t="e">
        <f t="shared" ref="G167:G174" si="159">(F167/E167)*100</f>
        <v>#DIV/0!</v>
      </c>
      <c r="H167" s="125"/>
      <c r="I167" s="126"/>
      <c r="J167" s="39">
        <f t="shared" ref="J167:J174" si="160">I167-H167</f>
        <v>0</v>
      </c>
      <c r="K167" s="77">
        <v>60</v>
      </c>
      <c r="L167" s="136" t="e">
        <f t="shared" ref="L167:L174" si="161">(K167/J167)*100</f>
        <v>#DIV/0!</v>
      </c>
      <c r="M167" s="68">
        <v>18650</v>
      </c>
      <c r="N167" s="121">
        <f t="shared" ref="N167:N174" si="162">M167*K167</f>
        <v>1119000</v>
      </c>
      <c r="R167" s="76">
        <f t="shared" ref="R167:R176" si="163">Q167</f>
        <v>0</v>
      </c>
    </row>
    <row r="168" spans="1:18" ht="16">
      <c r="A168" s="138">
        <v>45933</v>
      </c>
      <c r="B168" s="140" t="s">
        <v>32</v>
      </c>
      <c r="C168" s="83"/>
      <c r="D168" s="12"/>
      <c r="E168" s="36">
        <f t="shared" si="158"/>
        <v>0</v>
      </c>
      <c r="F168" s="45"/>
      <c r="G168" s="13" t="e">
        <f t="shared" si="159"/>
        <v>#DIV/0!</v>
      </c>
      <c r="H168" s="38"/>
      <c r="I168" s="38"/>
      <c r="J168" s="35">
        <f t="shared" si="160"/>
        <v>0</v>
      </c>
      <c r="K168" s="77">
        <v>85</v>
      </c>
      <c r="L168" s="136" t="e">
        <f t="shared" si="161"/>
        <v>#DIV/0!</v>
      </c>
      <c r="M168" s="116">
        <v>19030</v>
      </c>
      <c r="N168" s="121">
        <f t="shared" si="162"/>
        <v>1617550</v>
      </c>
      <c r="R168" s="76">
        <f t="shared" si="163"/>
        <v>0</v>
      </c>
    </row>
    <row r="169" spans="1:18" ht="16">
      <c r="A169" s="138">
        <v>45937</v>
      </c>
      <c r="B169" s="140" t="s">
        <v>32</v>
      </c>
      <c r="C169" s="83"/>
      <c r="D169" s="83"/>
      <c r="E169" s="11">
        <f t="shared" si="158"/>
        <v>0</v>
      </c>
      <c r="F169" s="141"/>
      <c r="G169" s="13" t="e">
        <f t="shared" si="159"/>
        <v>#DIV/0!</v>
      </c>
      <c r="H169" s="35"/>
      <c r="I169" s="38"/>
      <c r="J169" s="35">
        <f t="shared" si="160"/>
        <v>0</v>
      </c>
      <c r="K169" s="77">
        <v>90</v>
      </c>
      <c r="L169" s="136" t="e">
        <f t="shared" si="161"/>
        <v>#DIV/0!</v>
      </c>
      <c r="M169" s="116">
        <v>19030</v>
      </c>
      <c r="N169" s="121">
        <f t="shared" si="162"/>
        <v>1712700</v>
      </c>
      <c r="R169" s="76">
        <f t="shared" si="163"/>
        <v>0</v>
      </c>
    </row>
    <row r="170" spans="1:18" ht="16">
      <c r="A170" s="138">
        <v>45943</v>
      </c>
      <c r="B170" s="140" t="s">
        <v>32</v>
      </c>
      <c r="C170" s="83"/>
      <c r="D170" s="83"/>
      <c r="E170" s="11">
        <f t="shared" si="158"/>
        <v>0</v>
      </c>
      <c r="F170" s="141"/>
      <c r="G170" s="13" t="e">
        <f t="shared" si="159"/>
        <v>#DIV/0!</v>
      </c>
      <c r="H170" s="35"/>
      <c r="I170" s="38"/>
      <c r="J170" s="35">
        <f t="shared" si="160"/>
        <v>0</v>
      </c>
      <c r="K170" s="77">
        <v>89</v>
      </c>
      <c r="L170" s="136" t="e">
        <f t="shared" si="161"/>
        <v>#DIV/0!</v>
      </c>
      <c r="M170" s="116">
        <v>18600</v>
      </c>
      <c r="N170" s="121">
        <f t="shared" si="162"/>
        <v>1655400</v>
      </c>
      <c r="R170" s="76">
        <f t="shared" si="163"/>
        <v>0</v>
      </c>
    </row>
    <row r="171" spans="1:18" ht="16">
      <c r="A171" s="138">
        <v>45948</v>
      </c>
      <c r="B171" s="140" t="s">
        <v>32</v>
      </c>
      <c r="C171" s="83"/>
      <c r="D171" s="83"/>
      <c r="E171" s="11">
        <f t="shared" si="158"/>
        <v>0</v>
      </c>
      <c r="F171" s="141"/>
      <c r="G171" s="13" t="e">
        <f t="shared" si="159"/>
        <v>#DIV/0!</v>
      </c>
      <c r="H171" s="35"/>
      <c r="I171" s="38"/>
      <c r="J171" s="35">
        <f t="shared" si="160"/>
        <v>0</v>
      </c>
      <c r="K171" s="77">
        <v>66</v>
      </c>
      <c r="L171" s="136" t="e">
        <f t="shared" si="161"/>
        <v>#DIV/0!</v>
      </c>
      <c r="M171" s="116">
        <v>18420</v>
      </c>
      <c r="N171" s="121">
        <f t="shared" si="162"/>
        <v>1215720</v>
      </c>
      <c r="R171" s="76">
        <f t="shared" si="163"/>
        <v>0</v>
      </c>
    </row>
    <row r="172" spans="1:18" ht="16">
      <c r="A172" s="138">
        <v>45949</v>
      </c>
      <c r="B172" s="140" t="s">
        <v>32</v>
      </c>
      <c r="C172" s="83"/>
      <c r="D172" s="83"/>
      <c r="E172" s="11">
        <f t="shared" si="158"/>
        <v>0</v>
      </c>
      <c r="F172" s="141"/>
      <c r="G172" s="13" t="e">
        <f t="shared" si="159"/>
        <v>#DIV/0!</v>
      </c>
      <c r="H172" s="35"/>
      <c r="I172" s="38"/>
      <c r="J172" s="35">
        <f t="shared" si="160"/>
        <v>0</v>
      </c>
      <c r="K172" s="77">
        <v>80</v>
      </c>
      <c r="L172" s="136" t="e">
        <f t="shared" si="161"/>
        <v>#DIV/0!</v>
      </c>
      <c r="M172" s="116">
        <v>18420</v>
      </c>
      <c r="N172" s="121">
        <f t="shared" si="162"/>
        <v>1473600</v>
      </c>
      <c r="R172" s="76">
        <f t="shared" si="163"/>
        <v>0</v>
      </c>
    </row>
    <row r="173" spans="1:18" ht="16">
      <c r="A173" s="138">
        <v>45952</v>
      </c>
      <c r="B173" s="140" t="s">
        <v>32</v>
      </c>
      <c r="C173" s="83"/>
      <c r="D173" s="83"/>
      <c r="E173" s="11">
        <f t="shared" si="158"/>
        <v>0</v>
      </c>
      <c r="F173" s="141"/>
      <c r="G173" s="13" t="e">
        <f t="shared" si="159"/>
        <v>#DIV/0!</v>
      </c>
      <c r="H173" s="83"/>
      <c r="I173" s="125"/>
      <c r="J173" s="83">
        <f t="shared" si="160"/>
        <v>0</v>
      </c>
      <c r="K173" s="77">
        <v>85</v>
      </c>
      <c r="L173" s="136" t="e">
        <f t="shared" si="161"/>
        <v>#DIV/0!</v>
      </c>
      <c r="M173" s="116">
        <v>18420</v>
      </c>
      <c r="N173" s="121">
        <f t="shared" si="162"/>
        <v>1565700</v>
      </c>
      <c r="R173" s="76">
        <f t="shared" si="163"/>
        <v>0</v>
      </c>
    </row>
    <row r="174" spans="1:18" ht="16">
      <c r="A174" s="138">
        <v>45960</v>
      </c>
      <c r="B174" s="140" t="s">
        <v>32</v>
      </c>
      <c r="C174" s="134"/>
      <c r="D174" s="134"/>
      <c r="E174" s="24">
        <f t="shared" si="158"/>
        <v>0</v>
      </c>
      <c r="F174" s="143"/>
      <c r="G174" s="54" t="e">
        <f t="shared" si="159"/>
        <v>#DIV/0!</v>
      </c>
      <c r="H174" s="134"/>
      <c r="I174" s="135"/>
      <c r="J174" s="134">
        <f t="shared" si="160"/>
        <v>0</v>
      </c>
      <c r="K174" s="77">
        <v>50</v>
      </c>
      <c r="L174" s="136" t="e">
        <f t="shared" si="161"/>
        <v>#DIV/0!</v>
      </c>
      <c r="M174" s="137">
        <v>19200</v>
      </c>
      <c r="N174" s="47">
        <f t="shared" si="162"/>
        <v>960000</v>
      </c>
      <c r="R174" s="76">
        <f t="shared" si="163"/>
        <v>0</v>
      </c>
    </row>
    <row r="175" spans="1:18" ht="16">
      <c r="A175" s="138"/>
      <c r="B175" s="60"/>
      <c r="C175" s="59"/>
      <c r="D175" s="59" t="s">
        <v>19</v>
      </c>
      <c r="E175" s="59">
        <f t="shared" ref="E175:F175" si="164">SUM(E167:E174)</f>
        <v>0</v>
      </c>
      <c r="F175" s="59">
        <f t="shared" si="164"/>
        <v>0</v>
      </c>
      <c r="G175" s="61" t="e">
        <f>AVERAGE(G167:G174)</f>
        <v>#DIV/0!</v>
      </c>
      <c r="H175" s="59"/>
      <c r="I175" s="62"/>
      <c r="J175" s="59">
        <f t="shared" ref="J175:K175" si="165">SUM(J167:J174)</f>
        <v>0</v>
      </c>
      <c r="K175" s="59">
        <f t="shared" si="165"/>
        <v>605</v>
      </c>
      <c r="L175" s="61" t="e">
        <f>AVERAGE(L167:L174)</f>
        <v>#DIV/0!</v>
      </c>
      <c r="M175" s="64"/>
      <c r="N175" s="132">
        <f>SUM(N167:N174)</f>
        <v>11319670</v>
      </c>
      <c r="R175" s="76">
        <f t="shared" si="163"/>
        <v>0</v>
      </c>
    </row>
    <row r="176" spans="1:18" ht="18">
      <c r="A176" s="138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8"/>
      <c r="N176" s="149">
        <f>N11+N19+N28+N36+N45+N56+N66+N74+N82+N90+N97+N105+N113+N130+N139+N148+N175+N121+N157+N166</f>
        <v>115945450</v>
      </c>
      <c r="O176" s="76">
        <v>115945450</v>
      </c>
      <c r="R176" s="76">
        <f t="shared" si="163"/>
        <v>0</v>
      </c>
    </row>
    <row r="177" spans="1:17" ht="14">
      <c r="A177" s="138"/>
      <c r="G177" s="150"/>
      <c r="L177" s="150"/>
      <c r="N177" s="151"/>
    </row>
    <row r="178" spans="1:17" ht="31.5" customHeight="1">
      <c r="A178" s="138"/>
      <c r="D178" s="152" t="s">
        <v>45</v>
      </c>
      <c r="E178" s="153"/>
      <c r="G178" s="150"/>
      <c r="L178" s="150"/>
      <c r="N178" s="151"/>
    </row>
    <row r="179" spans="1:17" ht="16">
      <c r="A179" s="138"/>
      <c r="B179" s="154" t="s">
        <v>2</v>
      </c>
      <c r="C179" s="148" t="s">
        <v>3</v>
      </c>
      <c r="D179" s="148" t="s">
        <v>4</v>
      </c>
      <c r="E179" s="148" t="s">
        <v>5</v>
      </c>
      <c r="F179" s="148" t="s">
        <v>6</v>
      </c>
      <c r="G179" s="155" t="s">
        <v>7</v>
      </c>
      <c r="H179" s="156" t="s">
        <v>8</v>
      </c>
      <c r="I179" s="157" t="s">
        <v>8</v>
      </c>
      <c r="J179" s="148" t="s">
        <v>5</v>
      </c>
      <c r="K179" s="148" t="s">
        <v>6</v>
      </c>
      <c r="L179" s="155" t="s">
        <v>7</v>
      </c>
      <c r="M179" s="148" t="s">
        <v>9</v>
      </c>
      <c r="N179" s="158" t="s">
        <v>10</v>
      </c>
      <c r="O179" s="76">
        <v>1</v>
      </c>
      <c r="P179" s="76" t="s">
        <v>46</v>
      </c>
      <c r="Q179" s="223">
        <f>N185</f>
        <v>16100014</v>
      </c>
    </row>
    <row r="180" spans="1:17" ht="16">
      <c r="A180" s="138">
        <v>45941</v>
      </c>
      <c r="B180" s="90" t="s">
        <v>46</v>
      </c>
      <c r="C180" s="35">
        <v>399234</v>
      </c>
      <c r="D180" s="260">
        <v>400837</v>
      </c>
      <c r="E180" s="178">
        <f t="shared" ref="E180:E184" si="166">D180-C180</f>
        <v>1603</v>
      </c>
      <c r="F180" s="35">
        <v>456.99</v>
      </c>
      <c r="G180" s="13">
        <f t="shared" ref="G180:G184" si="167">(F180/E180)*100</f>
        <v>28.508421709295074</v>
      </c>
      <c r="H180" s="83"/>
      <c r="I180" s="126">
        <v>18740</v>
      </c>
      <c r="J180" s="39">
        <f t="shared" ref="J180:J184" si="168">I180-H180</f>
        <v>18740</v>
      </c>
      <c r="K180" s="35">
        <f t="shared" ref="K180:K184" si="169">F180</f>
        <v>456.99</v>
      </c>
      <c r="L180" s="67">
        <f t="shared" ref="L180:L184" si="170">(K180/J180)*100</f>
        <v>2.438580576307364</v>
      </c>
      <c r="M180" s="68">
        <v>18600</v>
      </c>
      <c r="N180" s="47">
        <f>M180*K180</f>
        <v>8500014</v>
      </c>
      <c r="O180" s="76">
        <v>2</v>
      </c>
      <c r="P180" s="76" t="s">
        <v>47</v>
      </c>
      <c r="Q180" s="223">
        <f>N191</f>
        <v>14141408.1</v>
      </c>
    </row>
    <row r="181" spans="1:17" ht="16">
      <c r="A181" s="138">
        <v>45958</v>
      </c>
      <c r="B181" s="44" t="s">
        <v>46</v>
      </c>
      <c r="C181" s="12">
        <v>400837</v>
      </c>
      <c r="D181" s="12">
        <v>402182</v>
      </c>
      <c r="E181" s="11">
        <f t="shared" si="166"/>
        <v>1345</v>
      </c>
      <c r="F181" s="45">
        <v>425.06</v>
      </c>
      <c r="G181" s="13">
        <f t="shared" si="167"/>
        <v>31.602973977695171</v>
      </c>
      <c r="H181" s="35"/>
      <c r="I181" s="38"/>
      <c r="J181" s="35">
        <f t="shared" si="168"/>
        <v>0</v>
      </c>
      <c r="K181" s="35">
        <f t="shared" si="169"/>
        <v>425.06</v>
      </c>
      <c r="L181" s="46" t="e">
        <f t="shared" si="170"/>
        <v>#DIV/0!</v>
      </c>
      <c r="M181" s="48"/>
      <c r="N181" s="47">
        <v>7600000</v>
      </c>
      <c r="O181" s="76">
        <v>3</v>
      </c>
      <c r="P181" s="76" t="s">
        <v>48</v>
      </c>
      <c r="Q181" s="223">
        <f>N197</f>
        <v>9201158.3999999985</v>
      </c>
    </row>
    <row r="182" spans="1:17" ht="16">
      <c r="A182" s="138"/>
      <c r="B182" s="44" t="s">
        <v>46</v>
      </c>
      <c r="C182" s="35"/>
      <c r="D182" s="35"/>
      <c r="E182" s="11">
        <f t="shared" si="166"/>
        <v>0</v>
      </c>
      <c r="F182" s="45"/>
      <c r="G182" s="13" t="e">
        <f t="shared" si="167"/>
        <v>#DIV/0!</v>
      </c>
      <c r="H182" s="35"/>
      <c r="I182" s="38"/>
      <c r="J182" s="35">
        <f t="shared" si="168"/>
        <v>0</v>
      </c>
      <c r="K182" s="35">
        <f t="shared" si="169"/>
        <v>0</v>
      </c>
      <c r="L182" s="46" t="e">
        <f t="shared" si="170"/>
        <v>#DIV/0!</v>
      </c>
      <c r="M182" s="48"/>
      <c r="N182" s="47">
        <f t="shared" ref="N182:N184" si="171">M182*K182</f>
        <v>0</v>
      </c>
      <c r="O182" s="76">
        <v>4</v>
      </c>
      <c r="P182" s="76" t="s">
        <v>49</v>
      </c>
      <c r="Q182" s="223">
        <f>N203</f>
        <v>4300209.0999999996</v>
      </c>
    </row>
    <row r="183" spans="1:17" ht="16">
      <c r="A183" s="138"/>
      <c r="B183" s="44" t="s">
        <v>46</v>
      </c>
      <c r="C183" s="35"/>
      <c r="D183" s="35"/>
      <c r="E183" s="11">
        <f t="shared" si="166"/>
        <v>0</v>
      </c>
      <c r="F183" s="45"/>
      <c r="G183" s="13" t="e">
        <f t="shared" si="167"/>
        <v>#DIV/0!</v>
      </c>
      <c r="H183" s="35"/>
      <c r="I183" s="38"/>
      <c r="J183" s="35">
        <f t="shared" si="168"/>
        <v>0</v>
      </c>
      <c r="K183" s="35">
        <f t="shared" si="169"/>
        <v>0</v>
      </c>
      <c r="L183" s="46" t="e">
        <f t="shared" si="170"/>
        <v>#DIV/0!</v>
      </c>
      <c r="M183" s="48"/>
      <c r="N183" s="47">
        <f t="shared" si="171"/>
        <v>0</v>
      </c>
      <c r="O183" s="76">
        <v>5</v>
      </c>
      <c r="P183" s="76" t="s">
        <v>50</v>
      </c>
      <c r="Q183" s="223">
        <f>N209</f>
        <v>7699846.8000000007</v>
      </c>
    </row>
    <row r="184" spans="1:17" ht="16">
      <c r="A184" s="138"/>
      <c r="B184" s="79"/>
      <c r="C184" s="35"/>
      <c r="D184" s="35"/>
      <c r="E184" s="11">
        <f t="shared" si="166"/>
        <v>0</v>
      </c>
      <c r="F184" s="45"/>
      <c r="G184" s="13" t="e">
        <f t="shared" si="167"/>
        <v>#DIV/0!</v>
      </c>
      <c r="H184" s="35"/>
      <c r="I184" s="38"/>
      <c r="J184" s="35">
        <f t="shared" si="168"/>
        <v>0</v>
      </c>
      <c r="K184" s="35">
        <f t="shared" si="169"/>
        <v>0</v>
      </c>
      <c r="L184" s="73" t="e">
        <f t="shared" si="170"/>
        <v>#DIV/0!</v>
      </c>
      <c r="M184" s="48"/>
      <c r="N184" s="47">
        <f t="shared" si="171"/>
        <v>0</v>
      </c>
      <c r="O184" s="76">
        <v>6</v>
      </c>
      <c r="P184" s="76" t="s">
        <v>51</v>
      </c>
      <c r="Q184" s="223">
        <f>N215</f>
        <v>11350263.6</v>
      </c>
    </row>
    <row r="185" spans="1:17" ht="16">
      <c r="A185" s="138"/>
      <c r="B185" s="60"/>
      <c r="C185" s="59"/>
      <c r="D185" s="59" t="s">
        <v>19</v>
      </c>
      <c r="E185" s="65">
        <f t="shared" ref="E185:F185" si="172">SUM(E180:E184)</f>
        <v>2948</v>
      </c>
      <c r="F185" s="59">
        <f t="shared" si="172"/>
        <v>882.05</v>
      </c>
      <c r="G185" s="61" t="e">
        <f>AVERAGE(G180:G184)</f>
        <v>#DIV/0!</v>
      </c>
      <c r="H185" s="59"/>
      <c r="I185" s="62"/>
      <c r="J185" s="59">
        <f t="shared" ref="J185:K185" si="173">SUM(J180:J184)</f>
        <v>18740</v>
      </c>
      <c r="K185" s="59">
        <f t="shared" si="173"/>
        <v>882.05</v>
      </c>
      <c r="L185" s="61" t="e">
        <f>AVERAGE(L180:L184)</f>
        <v>#DIV/0!</v>
      </c>
      <c r="M185" s="64"/>
      <c r="N185" s="65">
        <f>SUM(N180:N184)</f>
        <v>16100014</v>
      </c>
      <c r="O185" s="76">
        <v>7</v>
      </c>
      <c r="P185" s="76" t="s">
        <v>81</v>
      </c>
      <c r="Q185" s="223">
        <f>N221</f>
        <v>17500000</v>
      </c>
    </row>
    <row r="186" spans="1:17" ht="16">
      <c r="A186" s="138">
        <v>45939</v>
      </c>
      <c r="B186" s="140" t="s">
        <v>53</v>
      </c>
      <c r="C186" s="83">
        <v>495682</v>
      </c>
      <c r="D186" s="83">
        <v>496539</v>
      </c>
      <c r="E186" s="11">
        <f t="shared" ref="E186:E190" si="174">D186-C186</f>
        <v>857</v>
      </c>
      <c r="F186" s="141">
        <v>267.99</v>
      </c>
      <c r="G186" s="13">
        <f t="shared" ref="G186:G190" si="175">(F186/E186)*100</f>
        <v>31.27071178529755</v>
      </c>
      <c r="H186" s="83"/>
      <c r="I186" s="125"/>
      <c r="J186" s="83">
        <f t="shared" ref="J186:J190" si="176">I186-H186</f>
        <v>0</v>
      </c>
      <c r="K186" s="83">
        <f t="shared" ref="K186:K190" si="177">F186</f>
        <v>267.99</v>
      </c>
      <c r="L186" s="136" t="e">
        <f t="shared" ref="L186:L190" si="178">(K186/J186)*100</f>
        <v>#DIV/0!</v>
      </c>
      <c r="M186" s="116">
        <v>19030</v>
      </c>
      <c r="N186" s="42">
        <f t="shared" ref="N186:N190" si="179">F186*M186</f>
        <v>5099849.7</v>
      </c>
      <c r="O186" s="76">
        <v>8</v>
      </c>
      <c r="P186" s="76" t="s">
        <v>54</v>
      </c>
      <c r="Q186" s="223">
        <f>N230</f>
        <v>38000000</v>
      </c>
    </row>
    <row r="187" spans="1:17" ht="16">
      <c r="A187" s="138">
        <v>45948</v>
      </c>
      <c r="B187" s="140" t="s">
        <v>53</v>
      </c>
      <c r="C187" s="83">
        <v>496539</v>
      </c>
      <c r="D187" s="83">
        <v>497470</v>
      </c>
      <c r="E187" s="11">
        <f t="shared" si="174"/>
        <v>931</v>
      </c>
      <c r="F187" s="141">
        <v>293.14999999999998</v>
      </c>
      <c r="G187" s="13">
        <f t="shared" si="175"/>
        <v>31.487647690655209</v>
      </c>
      <c r="H187" s="83">
        <v>25450</v>
      </c>
      <c r="I187" s="125">
        <v>14880</v>
      </c>
      <c r="J187" s="83">
        <f t="shared" si="176"/>
        <v>-10570</v>
      </c>
      <c r="K187" s="83">
        <f t="shared" si="177"/>
        <v>293.14999999999998</v>
      </c>
      <c r="L187" s="136">
        <f t="shared" si="178"/>
        <v>-2.7734153263954586</v>
      </c>
      <c r="M187" s="116">
        <v>17880</v>
      </c>
      <c r="N187" s="47">
        <f t="shared" si="179"/>
        <v>5241522</v>
      </c>
      <c r="O187" s="76">
        <v>9</v>
      </c>
      <c r="P187" s="76" t="s">
        <v>69</v>
      </c>
      <c r="Q187" s="223">
        <f>N237</f>
        <v>15499968.699999999</v>
      </c>
    </row>
    <row r="188" spans="1:17" ht="16">
      <c r="A188" s="138">
        <v>45957</v>
      </c>
      <c r="B188" s="140" t="s">
        <v>53</v>
      </c>
      <c r="C188" s="83">
        <v>497470</v>
      </c>
      <c r="D188" s="83">
        <v>498198</v>
      </c>
      <c r="E188" s="11">
        <f t="shared" si="174"/>
        <v>728</v>
      </c>
      <c r="F188" s="141">
        <v>212.53</v>
      </c>
      <c r="G188" s="13">
        <f t="shared" si="175"/>
        <v>29.193681318681321</v>
      </c>
      <c r="H188" s="83"/>
      <c r="I188" s="125"/>
      <c r="J188" s="83">
        <f t="shared" si="176"/>
        <v>0</v>
      </c>
      <c r="K188" s="83">
        <f t="shared" si="177"/>
        <v>212.53</v>
      </c>
      <c r="L188" s="136" t="e">
        <f t="shared" si="178"/>
        <v>#DIV/0!</v>
      </c>
      <c r="M188" s="116">
        <v>17880</v>
      </c>
      <c r="N188" s="47">
        <f t="shared" si="179"/>
        <v>3800036.4</v>
      </c>
    </row>
    <row r="189" spans="1:17" ht="16">
      <c r="A189" s="138"/>
      <c r="B189" s="140" t="s">
        <v>53</v>
      </c>
      <c r="C189" s="83"/>
      <c r="D189" s="83"/>
      <c r="E189" s="11">
        <f t="shared" si="174"/>
        <v>0</v>
      </c>
      <c r="F189" s="141"/>
      <c r="G189" s="13" t="e">
        <f t="shared" si="175"/>
        <v>#DIV/0!</v>
      </c>
      <c r="H189" s="83"/>
      <c r="I189" s="125"/>
      <c r="J189" s="83">
        <f t="shared" si="176"/>
        <v>0</v>
      </c>
      <c r="K189" s="83">
        <f t="shared" si="177"/>
        <v>0</v>
      </c>
      <c r="L189" s="136" t="e">
        <f t="shared" si="178"/>
        <v>#DIV/0!</v>
      </c>
      <c r="M189" s="116"/>
      <c r="N189" s="47">
        <f t="shared" si="179"/>
        <v>0</v>
      </c>
    </row>
    <row r="190" spans="1:17" ht="16">
      <c r="A190" s="138"/>
      <c r="B190" s="140" t="s">
        <v>53</v>
      </c>
      <c r="C190" s="83"/>
      <c r="D190" s="83"/>
      <c r="E190" s="11">
        <f t="shared" si="174"/>
        <v>0</v>
      </c>
      <c r="F190" s="141"/>
      <c r="G190" s="13" t="e">
        <f t="shared" si="175"/>
        <v>#DIV/0!</v>
      </c>
      <c r="H190" s="83"/>
      <c r="I190" s="125"/>
      <c r="J190" s="83">
        <f t="shared" si="176"/>
        <v>0</v>
      </c>
      <c r="K190" s="83">
        <f t="shared" si="177"/>
        <v>0</v>
      </c>
      <c r="L190" s="136" t="e">
        <f t="shared" si="178"/>
        <v>#DIV/0!</v>
      </c>
      <c r="M190" s="116"/>
      <c r="N190" s="47">
        <f t="shared" si="179"/>
        <v>0</v>
      </c>
    </row>
    <row r="191" spans="1:17" ht="16">
      <c r="A191" s="138"/>
      <c r="B191" s="60"/>
      <c r="C191" s="59"/>
      <c r="D191" s="59" t="s">
        <v>19</v>
      </c>
      <c r="E191" s="59">
        <f t="shared" ref="E191:F191" si="180">SUM(E186:E190)</f>
        <v>2516</v>
      </c>
      <c r="F191" s="59">
        <f t="shared" si="180"/>
        <v>773.67</v>
      </c>
      <c r="G191" s="61" t="e">
        <f>AVERAGE(G186:G190)</f>
        <v>#DIV/0!</v>
      </c>
      <c r="H191" s="59"/>
      <c r="I191" s="62"/>
      <c r="J191" s="59">
        <f t="shared" ref="J191:K191" si="181">SUM(J186:J190)</f>
        <v>-10570</v>
      </c>
      <c r="K191" s="59">
        <f t="shared" si="181"/>
        <v>773.67</v>
      </c>
      <c r="L191" s="61" t="e">
        <f>AVERAGE(L186:L190)</f>
        <v>#DIV/0!</v>
      </c>
      <c r="M191" s="64"/>
      <c r="N191" s="65">
        <f>SUM(N186:N190)</f>
        <v>14141408.1</v>
      </c>
    </row>
    <row r="192" spans="1:17" ht="16">
      <c r="A192" s="249">
        <v>45940</v>
      </c>
      <c r="B192" s="250" t="s">
        <v>48</v>
      </c>
      <c r="C192" s="83"/>
      <c r="D192" s="12"/>
      <c r="E192" s="36">
        <f t="shared" ref="E192:E196" si="182">D192-C192</f>
        <v>0</v>
      </c>
      <c r="F192" s="141">
        <v>249.79</v>
      </c>
      <c r="G192" s="13" t="e">
        <f t="shared" ref="G192:G196" si="183">(F192/E192)*100</f>
        <v>#DIV/0!</v>
      </c>
      <c r="H192" s="83">
        <v>4490</v>
      </c>
      <c r="I192" s="126"/>
      <c r="J192" s="39">
        <f t="shared" ref="J192:J196" si="184">I192-H192</f>
        <v>-4490</v>
      </c>
      <c r="K192" s="39">
        <v>193.55</v>
      </c>
      <c r="L192" s="136">
        <f t="shared" ref="L192:L196" si="185">(K192/J192)*100</f>
        <v>-4.3106904231625842</v>
      </c>
      <c r="M192" s="261">
        <v>18420</v>
      </c>
      <c r="N192" s="262">
        <f>F192*M192</f>
        <v>4601131.8</v>
      </c>
    </row>
    <row r="193" spans="1:14" ht="16">
      <c r="A193" s="138">
        <v>45952</v>
      </c>
      <c r="B193" s="140" t="s">
        <v>48</v>
      </c>
      <c r="C193" s="83"/>
      <c r="D193" s="12"/>
      <c r="E193" s="11">
        <f t="shared" si="182"/>
        <v>0</v>
      </c>
      <c r="F193" s="141"/>
      <c r="G193" s="13" t="e">
        <f t="shared" si="183"/>
        <v>#DIV/0!</v>
      </c>
      <c r="H193" s="83"/>
      <c r="I193" s="125"/>
      <c r="J193" s="83">
        <f t="shared" si="184"/>
        <v>0</v>
      </c>
      <c r="K193" s="35">
        <v>249.73</v>
      </c>
      <c r="L193" s="136" t="e">
        <f t="shared" si="185"/>
        <v>#DIV/0!</v>
      </c>
      <c r="M193" s="116">
        <v>18420</v>
      </c>
      <c r="N193" s="121">
        <f>M193*K193</f>
        <v>4600026.5999999996</v>
      </c>
    </row>
    <row r="194" spans="1:14" ht="16">
      <c r="A194" s="138"/>
      <c r="B194" s="140" t="s">
        <v>48</v>
      </c>
      <c r="C194" s="83"/>
      <c r="D194" s="83"/>
      <c r="E194" s="11">
        <f t="shared" si="182"/>
        <v>0</v>
      </c>
      <c r="F194" s="141"/>
      <c r="G194" s="13" t="e">
        <f t="shared" si="183"/>
        <v>#DIV/0!</v>
      </c>
      <c r="H194" s="83"/>
      <c r="I194" s="125"/>
      <c r="J194" s="83">
        <f t="shared" si="184"/>
        <v>0</v>
      </c>
      <c r="K194" s="35">
        <f t="shared" ref="K194:K196" si="186">F194</f>
        <v>0</v>
      </c>
      <c r="L194" s="136" t="e">
        <f t="shared" si="185"/>
        <v>#DIV/0!</v>
      </c>
      <c r="M194" s="116"/>
      <c r="N194" s="121">
        <f t="shared" ref="N194:N196" si="187">F194*M194</f>
        <v>0</v>
      </c>
    </row>
    <row r="195" spans="1:14" ht="16">
      <c r="A195" s="138"/>
      <c r="B195" s="140" t="s">
        <v>48</v>
      </c>
      <c r="C195" s="83"/>
      <c r="D195" s="83"/>
      <c r="E195" s="11">
        <f t="shared" si="182"/>
        <v>0</v>
      </c>
      <c r="F195" s="141"/>
      <c r="G195" s="13" t="e">
        <f t="shared" si="183"/>
        <v>#DIV/0!</v>
      </c>
      <c r="H195" s="83"/>
      <c r="I195" s="125"/>
      <c r="J195" s="83">
        <f t="shared" si="184"/>
        <v>0</v>
      </c>
      <c r="K195" s="39">
        <f t="shared" si="186"/>
        <v>0</v>
      </c>
      <c r="L195" s="136" t="e">
        <f t="shared" si="185"/>
        <v>#DIV/0!</v>
      </c>
      <c r="M195" s="116"/>
      <c r="N195" s="121">
        <f t="shared" si="187"/>
        <v>0</v>
      </c>
    </row>
    <row r="196" spans="1:14" ht="16">
      <c r="A196" s="138"/>
      <c r="B196" s="140"/>
      <c r="C196" s="83"/>
      <c r="D196" s="83"/>
      <c r="E196" s="11">
        <f t="shared" si="182"/>
        <v>0</v>
      </c>
      <c r="F196" s="141"/>
      <c r="G196" s="13" t="e">
        <f t="shared" si="183"/>
        <v>#DIV/0!</v>
      </c>
      <c r="H196" s="83"/>
      <c r="I196" s="125"/>
      <c r="J196" s="83">
        <f t="shared" si="184"/>
        <v>0</v>
      </c>
      <c r="K196" s="83">
        <f t="shared" si="186"/>
        <v>0</v>
      </c>
      <c r="L196" s="136" t="e">
        <f t="shared" si="185"/>
        <v>#DIV/0!</v>
      </c>
      <c r="M196" s="116"/>
      <c r="N196" s="121">
        <f t="shared" si="187"/>
        <v>0</v>
      </c>
    </row>
    <row r="197" spans="1:14" ht="16">
      <c r="A197" s="138"/>
      <c r="B197" s="60"/>
      <c r="C197" s="59"/>
      <c r="D197" s="59" t="s">
        <v>19</v>
      </c>
      <c r="E197" s="59">
        <f t="shared" ref="E197:F197" si="188">SUM(E192:E196)</f>
        <v>0</v>
      </c>
      <c r="F197" s="59">
        <f t="shared" si="188"/>
        <v>249.79</v>
      </c>
      <c r="G197" s="61" t="e">
        <f>AVERAGE(G192:G196)</f>
        <v>#DIV/0!</v>
      </c>
      <c r="H197" s="59"/>
      <c r="I197" s="62"/>
      <c r="J197" s="59">
        <f t="shared" ref="J197:K197" si="189">SUM(J192:J196)</f>
        <v>-4490</v>
      </c>
      <c r="K197" s="59">
        <f t="shared" si="189"/>
        <v>443.28</v>
      </c>
      <c r="L197" s="61" t="e">
        <f>AVERAGE(L192:L196)</f>
        <v>#DIV/0!</v>
      </c>
      <c r="M197" s="64"/>
      <c r="N197" s="65">
        <f>SUM(N192:N196)</f>
        <v>9201158.3999999985</v>
      </c>
    </row>
    <row r="198" spans="1:14" ht="16">
      <c r="A198" s="138">
        <v>45937</v>
      </c>
      <c r="B198" s="140" t="s">
        <v>49</v>
      </c>
      <c r="C198" s="83"/>
      <c r="D198" s="12"/>
      <c r="E198" s="36">
        <f t="shared" ref="E198:E202" si="190">D198-C198</f>
        <v>0</v>
      </c>
      <c r="F198" s="37">
        <v>225.97</v>
      </c>
      <c r="G198" s="13" t="e">
        <f t="shared" ref="G198:G202" si="191">(F198/E198)*100</f>
        <v>#DIV/0!</v>
      </c>
      <c r="H198" s="83"/>
      <c r="I198" s="126"/>
      <c r="J198" s="39">
        <f t="shared" ref="J198:J202" si="192">I198-H198</f>
        <v>0</v>
      </c>
      <c r="K198" s="39">
        <f t="shared" ref="K198:K202" si="193">F198</f>
        <v>225.97</v>
      </c>
      <c r="L198" s="46" t="e">
        <f t="shared" ref="L198:L202" si="194">(K198/J198)*100</f>
        <v>#DIV/0!</v>
      </c>
      <c r="M198" s="68">
        <v>19030</v>
      </c>
      <c r="N198" s="121">
        <f t="shared" ref="N198:N201" si="195">M198*K198</f>
        <v>4300209.0999999996</v>
      </c>
    </row>
    <row r="199" spans="1:14" ht="16">
      <c r="A199" s="138"/>
      <c r="B199" s="140" t="s">
        <v>49</v>
      </c>
      <c r="C199" s="12"/>
      <c r="D199" s="83"/>
      <c r="E199" s="11">
        <f t="shared" si="190"/>
        <v>0</v>
      </c>
      <c r="F199" s="141"/>
      <c r="G199" s="13" t="e">
        <f t="shared" si="191"/>
        <v>#DIV/0!</v>
      </c>
      <c r="H199" s="83"/>
      <c r="I199" s="125"/>
      <c r="J199" s="83">
        <f t="shared" si="192"/>
        <v>0</v>
      </c>
      <c r="K199" s="83">
        <f t="shared" si="193"/>
        <v>0</v>
      </c>
      <c r="L199" s="136" t="e">
        <f t="shared" si="194"/>
        <v>#DIV/0!</v>
      </c>
      <c r="M199" s="116"/>
      <c r="N199" s="121">
        <f t="shared" si="195"/>
        <v>0</v>
      </c>
    </row>
    <row r="200" spans="1:14" ht="16">
      <c r="A200" s="138"/>
      <c r="B200" s="140" t="s">
        <v>49</v>
      </c>
      <c r="C200" s="83"/>
      <c r="D200" s="83"/>
      <c r="E200" s="11">
        <f t="shared" si="190"/>
        <v>0</v>
      </c>
      <c r="F200" s="141"/>
      <c r="G200" s="13" t="e">
        <f t="shared" si="191"/>
        <v>#DIV/0!</v>
      </c>
      <c r="H200" s="83"/>
      <c r="I200" s="125"/>
      <c r="J200" s="83">
        <f t="shared" si="192"/>
        <v>0</v>
      </c>
      <c r="K200" s="83">
        <f t="shared" si="193"/>
        <v>0</v>
      </c>
      <c r="L200" s="136" t="e">
        <f t="shared" si="194"/>
        <v>#DIV/0!</v>
      </c>
      <c r="M200" s="116"/>
      <c r="N200" s="121">
        <f t="shared" si="195"/>
        <v>0</v>
      </c>
    </row>
    <row r="201" spans="1:14" ht="16">
      <c r="A201" s="138"/>
      <c r="B201" s="140" t="s">
        <v>49</v>
      </c>
      <c r="C201" s="83"/>
      <c r="D201" s="83"/>
      <c r="E201" s="11">
        <f t="shared" si="190"/>
        <v>0</v>
      </c>
      <c r="F201" s="141"/>
      <c r="G201" s="13" t="e">
        <f t="shared" si="191"/>
        <v>#DIV/0!</v>
      </c>
      <c r="H201" s="83"/>
      <c r="I201" s="125"/>
      <c r="J201" s="83">
        <f t="shared" si="192"/>
        <v>0</v>
      </c>
      <c r="K201" s="83">
        <f t="shared" si="193"/>
        <v>0</v>
      </c>
      <c r="L201" s="136" t="e">
        <f t="shared" si="194"/>
        <v>#DIV/0!</v>
      </c>
      <c r="M201" s="116"/>
      <c r="N201" s="121">
        <f t="shared" si="195"/>
        <v>0</v>
      </c>
    </row>
    <row r="202" spans="1:14" ht="16">
      <c r="A202" s="138"/>
      <c r="B202" s="140"/>
      <c r="C202" s="83"/>
      <c r="D202" s="83"/>
      <c r="E202" s="11">
        <f t="shared" si="190"/>
        <v>0</v>
      </c>
      <c r="F202" s="141"/>
      <c r="G202" s="13" t="e">
        <f t="shared" si="191"/>
        <v>#DIV/0!</v>
      </c>
      <c r="H202" s="83"/>
      <c r="I202" s="125"/>
      <c r="J202" s="83">
        <f t="shared" si="192"/>
        <v>0</v>
      </c>
      <c r="K202" s="83">
        <f t="shared" si="193"/>
        <v>0</v>
      </c>
      <c r="L202" s="136" t="e">
        <f t="shared" si="194"/>
        <v>#DIV/0!</v>
      </c>
      <c r="M202" s="116"/>
      <c r="N202" s="121">
        <f>F202*M202</f>
        <v>0</v>
      </c>
    </row>
    <row r="203" spans="1:14" ht="16">
      <c r="A203" s="138"/>
      <c r="B203" s="60"/>
      <c r="C203" s="59"/>
      <c r="D203" s="59" t="s">
        <v>19</v>
      </c>
      <c r="E203" s="59">
        <f t="shared" ref="E203:F203" si="196">SUM(E198:E202)</f>
        <v>0</v>
      </c>
      <c r="F203" s="59">
        <f t="shared" si="196"/>
        <v>225.97</v>
      </c>
      <c r="G203" s="61" t="e">
        <f>AVERAGE(G198:G202)</f>
        <v>#DIV/0!</v>
      </c>
      <c r="H203" s="59"/>
      <c r="I203" s="62"/>
      <c r="J203" s="59">
        <f t="shared" ref="J203:K203" si="197">SUM(J198:J202)</f>
        <v>0</v>
      </c>
      <c r="K203" s="59">
        <f t="shared" si="197"/>
        <v>225.97</v>
      </c>
      <c r="L203" s="61" t="e">
        <f>AVERAGE(L198:L202)</f>
        <v>#DIV/0!</v>
      </c>
      <c r="M203" s="64"/>
      <c r="N203" s="65">
        <f>SUM(N198:N202)</f>
        <v>4300209.0999999996</v>
      </c>
    </row>
    <row r="204" spans="1:14" ht="16">
      <c r="A204" s="138">
        <v>45941</v>
      </c>
      <c r="B204" s="140" t="s">
        <v>50</v>
      </c>
      <c r="C204" s="83"/>
      <c r="D204" s="12"/>
      <c r="E204" s="36"/>
      <c r="F204" s="37">
        <v>198.92</v>
      </c>
      <c r="G204" s="13" t="e">
        <f t="shared" ref="G204:G208" si="198">(F204/E204)*100</f>
        <v>#DIV/0!</v>
      </c>
      <c r="H204" s="83"/>
      <c r="I204" s="126">
        <v>5081</v>
      </c>
      <c r="J204" s="39">
        <f t="shared" ref="J204:J208" si="199">I204-H204</f>
        <v>5081</v>
      </c>
      <c r="K204" s="39">
        <f>F204</f>
        <v>198.92</v>
      </c>
      <c r="L204" s="136">
        <f t="shared" ref="L204:L208" si="200">(K204/J204)*100</f>
        <v>3.9149773666601058</v>
      </c>
      <c r="M204" s="68">
        <v>18600</v>
      </c>
      <c r="N204" s="47">
        <f>F204*M204</f>
        <v>3699912</v>
      </c>
    </row>
    <row r="205" spans="1:14" ht="16">
      <c r="A205" s="138">
        <v>45955</v>
      </c>
      <c r="B205" s="140" t="s">
        <v>50</v>
      </c>
      <c r="C205" s="83"/>
      <c r="D205" s="83"/>
      <c r="E205" s="11">
        <f t="shared" ref="E205:E208" si="201">D205-C205</f>
        <v>0</v>
      </c>
      <c r="F205" s="141"/>
      <c r="G205" s="13" t="e">
        <f t="shared" si="198"/>
        <v>#DIV/0!</v>
      </c>
      <c r="H205" s="83"/>
      <c r="I205" s="125">
        <v>4153</v>
      </c>
      <c r="J205" s="83">
        <f t="shared" si="199"/>
        <v>4153</v>
      </c>
      <c r="K205" s="39">
        <v>223.71</v>
      </c>
      <c r="L205" s="136">
        <f t="shared" si="200"/>
        <v>5.3867084035636896</v>
      </c>
      <c r="M205" s="116">
        <v>17880</v>
      </c>
      <c r="N205" s="47">
        <f>M205*K205</f>
        <v>3999934.8000000003</v>
      </c>
    </row>
    <row r="206" spans="1:14" ht="16">
      <c r="A206" s="138"/>
      <c r="B206" s="140" t="s">
        <v>50</v>
      </c>
      <c r="C206" s="83"/>
      <c r="D206" s="83"/>
      <c r="E206" s="11">
        <f t="shared" si="201"/>
        <v>0</v>
      </c>
      <c r="F206" s="141"/>
      <c r="G206" s="13" t="e">
        <f t="shared" si="198"/>
        <v>#DIV/0!</v>
      </c>
      <c r="H206" s="83"/>
      <c r="I206" s="125"/>
      <c r="J206" s="83">
        <f t="shared" si="199"/>
        <v>0</v>
      </c>
      <c r="K206" s="39">
        <f t="shared" ref="K206:K208" si="202">F206</f>
        <v>0</v>
      </c>
      <c r="L206" s="136" t="e">
        <f t="shared" si="200"/>
        <v>#DIV/0!</v>
      </c>
      <c r="M206" s="116"/>
      <c r="N206" s="47">
        <f t="shared" ref="N206:N208" si="203">F206*M206</f>
        <v>0</v>
      </c>
    </row>
    <row r="207" spans="1:14" ht="16">
      <c r="A207" s="138"/>
      <c r="B207" s="140" t="s">
        <v>50</v>
      </c>
      <c r="C207" s="83"/>
      <c r="D207" s="83"/>
      <c r="E207" s="11">
        <f t="shared" si="201"/>
        <v>0</v>
      </c>
      <c r="F207" s="141"/>
      <c r="G207" s="13" t="e">
        <f t="shared" si="198"/>
        <v>#DIV/0!</v>
      </c>
      <c r="H207" s="83"/>
      <c r="I207" s="125"/>
      <c r="J207" s="83">
        <f t="shared" si="199"/>
        <v>0</v>
      </c>
      <c r="K207" s="39">
        <f t="shared" si="202"/>
        <v>0</v>
      </c>
      <c r="L207" s="136" t="e">
        <f t="shared" si="200"/>
        <v>#DIV/0!</v>
      </c>
      <c r="M207" s="116"/>
      <c r="N207" s="47">
        <f t="shared" si="203"/>
        <v>0</v>
      </c>
    </row>
    <row r="208" spans="1:14" ht="16">
      <c r="A208" s="138"/>
      <c r="B208" s="140" t="s">
        <v>50</v>
      </c>
      <c r="C208" s="83"/>
      <c r="D208" s="83"/>
      <c r="E208" s="11">
        <f t="shared" si="201"/>
        <v>0</v>
      </c>
      <c r="F208" s="141"/>
      <c r="G208" s="13" t="e">
        <f t="shared" si="198"/>
        <v>#DIV/0!</v>
      </c>
      <c r="H208" s="83"/>
      <c r="I208" s="125"/>
      <c r="J208" s="83">
        <f t="shared" si="199"/>
        <v>0</v>
      </c>
      <c r="K208" s="83">
        <f t="shared" si="202"/>
        <v>0</v>
      </c>
      <c r="L208" s="136" t="e">
        <f t="shared" si="200"/>
        <v>#DIV/0!</v>
      </c>
      <c r="M208" s="116"/>
      <c r="N208" s="47">
        <f t="shared" si="203"/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204">SUM(E204:E208)</f>
        <v>0</v>
      </c>
      <c r="F209" s="59">
        <f t="shared" si="204"/>
        <v>198.92</v>
      </c>
      <c r="G209" s="61" t="e">
        <f>AVERAGE(G204:G208)</f>
        <v>#DIV/0!</v>
      </c>
      <c r="H209" s="59"/>
      <c r="I209" s="62"/>
      <c r="J209" s="59">
        <f t="shared" ref="J209:K209" si="205">SUM(J204:J208)</f>
        <v>9234</v>
      </c>
      <c r="K209" s="59">
        <f t="shared" si="205"/>
        <v>422.63</v>
      </c>
      <c r="L209" s="61" t="e">
        <f>AVERAGE(L204:L208)</f>
        <v>#DIV/0!</v>
      </c>
      <c r="M209" s="64"/>
      <c r="N209" s="65">
        <f>SUM(N204:N208)</f>
        <v>7699846.8000000007</v>
      </c>
    </row>
    <row r="210" spans="1:14" ht="16">
      <c r="A210" s="138">
        <v>45931</v>
      </c>
      <c r="B210" s="140" t="s">
        <v>51</v>
      </c>
      <c r="C210" s="83">
        <v>299715</v>
      </c>
      <c r="D210" s="12">
        <v>299938</v>
      </c>
      <c r="E210" s="11">
        <f t="shared" ref="E210:E214" si="206">D210-C210</f>
        <v>223</v>
      </c>
      <c r="F210" s="37">
        <v>160.86000000000001</v>
      </c>
      <c r="G210" s="13">
        <f t="shared" ref="G210:G214" si="207">(F210/E210)*100</f>
        <v>72.134529147982079</v>
      </c>
      <c r="H210" s="83"/>
      <c r="I210" s="126"/>
      <c r="J210" s="39">
        <f t="shared" ref="J210:J214" si="208">I210-H210</f>
        <v>0</v>
      </c>
      <c r="K210" s="39">
        <f t="shared" ref="K210:K214" si="209">F210</f>
        <v>160.86000000000001</v>
      </c>
      <c r="L210" s="136" t="e">
        <f t="shared" ref="L210:L214" si="210">(K210/J210)*100</f>
        <v>#DIV/0!</v>
      </c>
      <c r="M210" s="68">
        <v>18650</v>
      </c>
      <c r="N210" s="47">
        <f t="shared" ref="N210:N213" si="211">F210*M210</f>
        <v>3000039.0000000005</v>
      </c>
    </row>
    <row r="211" spans="1:14" ht="16">
      <c r="A211" s="138">
        <v>45941</v>
      </c>
      <c r="B211" s="140" t="s">
        <v>51</v>
      </c>
      <c r="C211" s="12">
        <v>299938</v>
      </c>
      <c r="D211" s="83">
        <v>300155</v>
      </c>
      <c r="E211" s="11">
        <f t="shared" si="206"/>
        <v>217</v>
      </c>
      <c r="F211" s="141">
        <v>153.22999999999999</v>
      </c>
      <c r="G211" s="13">
        <f t="shared" si="207"/>
        <v>70.612903225806448</v>
      </c>
      <c r="H211" s="83">
        <v>15800</v>
      </c>
      <c r="I211" s="125"/>
      <c r="J211" s="83">
        <f t="shared" si="208"/>
        <v>-15800</v>
      </c>
      <c r="K211" s="83">
        <f t="shared" si="209"/>
        <v>153.22999999999999</v>
      </c>
      <c r="L211" s="136">
        <f t="shared" si="210"/>
        <v>-0.9698101265822785</v>
      </c>
      <c r="M211" s="116">
        <v>18600</v>
      </c>
      <c r="N211" s="47">
        <f t="shared" si="211"/>
        <v>2850078</v>
      </c>
    </row>
    <row r="212" spans="1:14" ht="16">
      <c r="A212" s="138">
        <v>45952</v>
      </c>
      <c r="B212" s="140" t="s">
        <v>51</v>
      </c>
      <c r="C212" s="83">
        <v>300155</v>
      </c>
      <c r="D212" s="83">
        <v>300400</v>
      </c>
      <c r="E212" s="11">
        <f t="shared" si="206"/>
        <v>245</v>
      </c>
      <c r="F212" s="141">
        <v>135.72999999999999</v>
      </c>
      <c r="G212" s="13">
        <f t="shared" si="207"/>
        <v>55.399999999999991</v>
      </c>
      <c r="H212" s="83"/>
      <c r="I212" s="125">
        <v>14880</v>
      </c>
      <c r="J212" s="83">
        <f t="shared" si="208"/>
        <v>14880</v>
      </c>
      <c r="K212" s="83">
        <f t="shared" si="209"/>
        <v>135.72999999999999</v>
      </c>
      <c r="L212" s="136">
        <f t="shared" si="210"/>
        <v>0.91216397849462361</v>
      </c>
      <c r="M212" s="116">
        <v>18420</v>
      </c>
      <c r="N212" s="47">
        <f t="shared" si="211"/>
        <v>2500146.5999999996</v>
      </c>
    </row>
    <row r="213" spans="1:14" ht="16">
      <c r="A213" s="138">
        <v>45960</v>
      </c>
      <c r="B213" s="140" t="s">
        <v>51</v>
      </c>
      <c r="C213" s="83">
        <v>300400</v>
      </c>
      <c r="D213" s="83">
        <v>300635</v>
      </c>
      <c r="E213" s="11">
        <f t="shared" si="206"/>
        <v>235</v>
      </c>
      <c r="F213" s="141">
        <v>156.25</v>
      </c>
      <c r="G213" s="13">
        <f t="shared" si="207"/>
        <v>66.489361702127653</v>
      </c>
      <c r="H213" s="83"/>
      <c r="I213" s="125"/>
      <c r="J213" s="83">
        <f t="shared" si="208"/>
        <v>0</v>
      </c>
      <c r="K213" s="83">
        <f t="shared" si="209"/>
        <v>156.25</v>
      </c>
      <c r="L213" s="136" t="e">
        <f t="shared" si="210"/>
        <v>#DIV/0!</v>
      </c>
      <c r="M213" s="116">
        <v>19200</v>
      </c>
      <c r="N213" s="47">
        <f t="shared" si="211"/>
        <v>3000000</v>
      </c>
    </row>
    <row r="214" spans="1:14" ht="16">
      <c r="A214" s="138"/>
      <c r="B214" s="140"/>
      <c r="C214" s="83"/>
      <c r="D214" s="83"/>
      <c r="E214" s="11">
        <f t="shared" si="206"/>
        <v>0</v>
      </c>
      <c r="F214" s="141"/>
      <c r="G214" s="13" t="e">
        <f t="shared" si="207"/>
        <v>#DIV/0!</v>
      </c>
      <c r="H214" s="83"/>
      <c r="I214" s="125"/>
      <c r="J214" s="83">
        <f t="shared" si="208"/>
        <v>0</v>
      </c>
      <c r="K214" s="83">
        <f t="shared" si="209"/>
        <v>0</v>
      </c>
      <c r="L214" s="136" t="e">
        <f t="shared" si="210"/>
        <v>#DIV/0!</v>
      </c>
      <c r="M214" s="116"/>
      <c r="N214" s="47">
        <f>M214*K214</f>
        <v>0</v>
      </c>
    </row>
    <row r="215" spans="1:14" ht="16">
      <c r="A215" s="138"/>
      <c r="B215" s="60"/>
      <c r="C215" s="59"/>
      <c r="D215" s="59" t="s">
        <v>19</v>
      </c>
      <c r="E215" s="59">
        <f t="shared" ref="E215:F215" si="212">SUM(E210:E214)</f>
        <v>920</v>
      </c>
      <c r="F215" s="59">
        <f t="shared" si="212"/>
        <v>606.07000000000005</v>
      </c>
      <c r="G215" s="61" t="e">
        <f>AVERAGE(G210:G214)</f>
        <v>#DIV/0!</v>
      </c>
      <c r="H215" s="59"/>
      <c r="I215" s="62"/>
      <c r="J215" s="59">
        <f t="shared" ref="J215:K215" si="213">SUM(J210:J214)</f>
        <v>-920</v>
      </c>
      <c r="K215" s="59">
        <f t="shared" si="213"/>
        <v>606.07000000000005</v>
      </c>
      <c r="L215" s="61" t="e">
        <f>AVERAGE(L210:L214)</f>
        <v>#DIV/0!</v>
      </c>
      <c r="M215" s="64"/>
      <c r="N215" s="65">
        <f>SUM(N210:N214)</f>
        <v>11350263.6</v>
      </c>
    </row>
    <row r="216" spans="1:14" ht="16">
      <c r="A216" s="138">
        <v>45931</v>
      </c>
      <c r="B216" s="172" t="s">
        <v>62</v>
      </c>
      <c r="C216" s="83"/>
      <c r="D216" s="12"/>
      <c r="E216" s="36">
        <f t="shared" ref="E216:E220" si="214">D216-C216</f>
        <v>0</v>
      </c>
      <c r="F216" s="37"/>
      <c r="G216" s="13" t="e">
        <f t="shared" ref="G216:G220" si="215">(F216/E216)*100</f>
        <v>#DIV/0!</v>
      </c>
      <c r="H216" s="83"/>
      <c r="I216" s="126"/>
      <c r="J216" s="39">
        <f t="shared" ref="J216:J220" si="216">I216-H216</f>
        <v>0</v>
      </c>
      <c r="K216" s="39">
        <f t="shared" ref="K216:K220" si="217">F216</f>
        <v>0</v>
      </c>
      <c r="L216" s="136" t="e">
        <f t="shared" ref="L216:L220" si="218">(K216/J216)*100</f>
        <v>#DIV/0!</v>
      </c>
      <c r="M216" s="68"/>
      <c r="N216" s="121">
        <v>8000000</v>
      </c>
    </row>
    <row r="217" spans="1:14" ht="16">
      <c r="A217" s="138">
        <v>45946</v>
      </c>
      <c r="B217" s="172" t="s">
        <v>62</v>
      </c>
      <c r="C217" s="83"/>
      <c r="D217" s="83"/>
      <c r="E217" s="11">
        <f t="shared" si="214"/>
        <v>0</v>
      </c>
      <c r="F217" s="141"/>
      <c r="G217" s="13" t="e">
        <f t="shared" si="215"/>
        <v>#DIV/0!</v>
      </c>
      <c r="H217" s="83"/>
      <c r="I217" s="125"/>
      <c r="J217" s="83">
        <f t="shared" si="216"/>
        <v>0</v>
      </c>
      <c r="K217" s="83">
        <f t="shared" si="217"/>
        <v>0</v>
      </c>
      <c r="L217" s="136" t="e">
        <f t="shared" si="218"/>
        <v>#DIV/0!</v>
      </c>
      <c r="M217" s="116"/>
      <c r="N217" s="121">
        <v>6000000</v>
      </c>
    </row>
    <row r="218" spans="1:14" ht="16">
      <c r="A218" s="138">
        <v>45955</v>
      </c>
      <c r="B218" s="172" t="s">
        <v>62</v>
      </c>
      <c r="C218" s="83"/>
      <c r="D218" s="83"/>
      <c r="E218" s="11">
        <f t="shared" si="214"/>
        <v>0</v>
      </c>
      <c r="F218" s="141"/>
      <c r="G218" s="13" t="e">
        <f t="shared" si="215"/>
        <v>#DIV/0!</v>
      </c>
      <c r="H218" s="83"/>
      <c r="I218" s="125"/>
      <c r="J218" s="83">
        <f t="shared" si="216"/>
        <v>0</v>
      </c>
      <c r="K218" s="83">
        <f t="shared" si="217"/>
        <v>0</v>
      </c>
      <c r="L218" s="136" t="e">
        <f t="shared" si="218"/>
        <v>#DIV/0!</v>
      </c>
      <c r="M218" s="116"/>
      <c r="N218" s="121">
        <v>2000000</v>
      </c>
    </row>
    <row r="219" spans="1:14" ht="16">
      <c r="A219" s="138">
        <v>45960</v>
      </c>
      <c r="B219" s="172" t="s">
        <v>62</v>
      </c>
      <c r="C219" s="83"/>
      <c r="D219" s="83"/>
      <c r="E219" s="11">
        <f t="shared" si="214"/>
        <v>0</v>
      </c>
      <c r="F219" s="141"/>
      <c r="G219" s="13" t="e">
        <f t="shared" si="215"/>
        <v>#DIV/0!</v>
      </c>
      <c r="H219" s="83"/>
      <c r="I219" s="125"/>
      <c r="J219" s="83">
        <f t="shared" si="216"/>
        <v>0</v>
      </c>
      <c r="K219" s="83">
        <f t="shared" si="217"/>
        <v>0</v>
      </c>
      <c r="L219" s="136" t="e">
        <f t="shared" si="218"/>
        <v>#DIV/0!</v>
      </c>
      <c r="M219" s="116"/>
      <c r="N219" s="121">
        <v>1500000</v>
      </c>
    </row>
    <row r="220" spans="1:14" ht="16">
      <c r="A220" s="138"/>
      <c r="B220" s="172" t="s">
        <v>62</v>
      </c>
      <c r="C220" s="83"/>
      <c r="D220" s="83"/>
      <c r="E220" s="11">
        <f t="shared" si="214"/>
        <v>0</v>
      </c>
      <c r="F220" s="141"/>
      <c r="G220" s="13" t="e">
        <f t="shared" si="215"/>
        <v>#DIV/0!</v>
      </c>
      <c r="H220" s="83"/>
      <c r="I220" s="125"/>
      <c r="J220" s="83">
        <f t="shared" si="216"/>
        <v>0</v>
      </c>
      <c r="K220" s="83">
        <f t="shared" si="217"/>
        <v>0</v>
      </c>
      <c r="L220" s="136" t="e">
        <f t="shared" si="218"/>
        <v>#DIV/0!</v>
      </c>
      <c r="M220" s="116"/>
      <c r="N220" s="121">
        <f>F220*M220</f>
        <v>0</v>
      </c>
    </row>
    <row r="221" spans="1:14" ht="16">
      <c r="A221" s="59"/>
      <c r="B221" s="60"/>
      <c r="C221" s="59"/>
      <c r="D221" s="59"/>
      <c r="E221" s="59">
        <f t="shared" ref="E221:F221" si="219">SUM(E216:E220)</f>
        <v>0</v>
      </c>
      <c r="F221" s="59">
        <f t="shared" si="219"/>
        <v>0</v>
      </c>
      <c r="G221" s="61" t="e">
        <f>AVERAGE(G216:G220)</f>
        <v>#DIV/0!</v>
      </c>
      <c r="H221" s="59"/>
      <c r="I221" s="62"/>
      <c r="J221" s="59">
        <f t="shared" ref="J221:K221" si="220">SUM(J216:J220)</f>
        <v>0</v>
      </c>
      <c r="K221" s="59">
        <f t="shared" si="220"/>
        <v>0</v>
      </c>
      <c r="L221" s="61" t="e">
        <f>AVERAGE(L216:L220)</f>
        <v>#DIV/0!</v>
      </c>
      <c r="M221" s="64"/>
      <c r="N221" s="65">
        <f>SUM(N216:N220)</f>
        <v>17500000</v>
      </c>
    </row>
    <row r="222" spans="1:14" ht="16">
      <c r="A222" s="66">
        <v>45936</v>
      </c>
      <c r="B222" s="140" t="s">
        <v>54</v>
      </c>
      <c r="C222" s="83"/>
      <c r="D222" s="12"/>
      <c r="E222" s="36">
        <f t="shared" ref="E222:E227" si="221">D222-C222</f>
        <v>0</v>
      </c>
      <c r="F222" s="37"/>
      <c r="G222" s="13" t="e">
        <f t="shared" ref="G222:G227" si="222">(F222/E222)*100</f>
        <v>#DIV/0!</v>
      </c>
      <c r="H222" s="83"/>
      <c r="I222" s="126"/>
      <c r="J222" s="39">
        <f t="shared" ref="J222:J229" si="223">I222-H222</f>
        <v>0</v>
      </c>
      <c r="K222" s="39"/>
      <c r="L222" s="136" t="e">
        <f t="shared" ref="L222:L229" si="224">(K222/J222)*100</f>
        <v>#DIV/0!</v>
      </c>
      <c r="M222" s="68"/>
      <c r="N222" s="47">
        <v>5000000</v>
      </c>
    </row>
    <row r="223" spans="1:14" ht="16">
      <c r="A223" s="33">
        <v>45938</v>
      </c>
      <c r="B223" s="140" t="s">
        <v>54</v>
      </c>
      <c r="C223" s="83"/>
      <c r="D223" s="83"/>
      <c r="E223" s="11">
        <f t="shared" si="221"/>
        <v>0</v>
      </c>
      <c r="F223" s="141"/>
      <c r="G223" s="13" t="e">
        <f t="shared" si="222"/>
        <v>#DIV/0!</v>
      </c>
      <c r="H223" s="83"/>
      <c r="I223" s="125"/>
      <c r="J223" s="83">
        <f t="shared" si="223"/>
        <v>0</v>
      </c>
      <c r="K223" s="83">
        <f t="shared" ref="K223:K229" si="225">F223</f>
        <v>0</v>
      </c>
      <c r="L223" s="136" t="e">
        <f t="shared" si="224"/>
        <v>#DIV/0!</v>
      </c>
      <c r="M223" s="116"/>
      <c r="N223" s="47">
        <v>5000000</v>
      </c>
    </row>
    <row r="224" spans="1:14" ht="16">
      <c r="A224" s="33">
        <v>45945</v>
      </c>
      <c r="B224" s="140" t="s">
        <v>54</v>
      </c>
      <c r="C224" s="83"/>
      <c r="D224" s="83"/>
      <c r="E224" s="11">
        <f t="shared" si="221"/>
        <v>0</v>
      </c>
      <c r="F224" s="141"/>
      <c r="G224" s="13" t="e">
        <f t="shared" si="222"/>
        <v>#DIV/0!</v>
      </c>
      <c r="H224" s="83"/>
      <c r="I224" s="125"/>
      <c r="J224" s="83">
        <f t="shared" si="223"/>
        <v>0</v>
      </c>
      <c r="K224" s="83">
        <f t="shared" si="225"/>
        <v>0</v>
      </c>
      <c r="L224" s="136" t="e">
        <f t="shared" si="224"/>
        <v>#DIV/0!</v>
      </c>
      <c r="M224" s="116"/>
      <c r="N224" s="47">
        <v>5000000</v>
      </c>
    </row>
    <row r="225" spans="1:14" ht="16">
      <c r="A225" s="33">
        <v>45948</v>
      </c>
      <c r="B225" s="140" t="s">
        <v>54</v>
      </c>
      <c r="C225" s="83"/>
      <c r="D225" s="83"/>
      <c r="E225" s="11">
        <f t="shared" si="221"/>
        <v>0</v>
      </c>
      <c r="F225" s="141"/>
      <c r="G225" s="13" t="e">
        <f t="shared" si="222"/>
        <v>#DIV/0!</v>
      </c>
      <c r="H225" s="83"/>
      <c r="I225" s="125"/>
      <c r="J225" s="83">
        <f t="shared" si="223"/>
        <v>0</v>
      </c>
      <c r="K225" s="83">
        <f t="shared" si="225"/>
        <v>0</v>
      </c>
      <c r="L225" s="136" t="e">
        <f t="shared" si="224"/>
        <v>#DIV/0!</v>
      </c>
      <c r="M225" s="116"/>
      <c r="N225" s="47">
        <v>5000000</v>
      </c>
    </row>
    <row r="226" spans="1:14" ht="16">
      <c r="A226" s="33">
        <v>45952</v>
      </c>
      <c r="B226" s="140" t="s">
        <v>54</v>
      </c>
      <c r="C226" s="83"/>
      <c r="D226" s="83"/>
      <c r="E226" s="11">
        <f t="shared" si="221"/>
        <v>0</v>
      </c>
      <c r="F226" s="141"/>
      <c r="G226" s="13" t="e">
        <f t="shared" si="222"/>
        <v>#DIV/0!</v>
      </c>
      <c r="H226" s="83"/>
      <c r="I226" s="125"/>
      <c r="J226" s="83">
        <f t="shared" si="223"/>
        <v>0</v>
      </c>
      <c r="K226" s="83">
        <f t="shared" si="225"/>
        <v>0</v>
      </c>
      <c r="L226" s="136" t="e">
        <f t="shared" si="224"/>
        <v>#DIV/0!</v>
      </c>
      <c r="M226" s="116"/>
      <c r="N226" s="47">
        <v>5000000</v>
      </c>
    </row>
    <row r="227" spans="1:14" ht="16">
      <c r="A227" s="33">
        <v>45955</v>
      </c>
      <c r="B227" s="140" t="s">
        <v>54</v>
      </c>
      <c r="C227" s="83"/>
      <c r="D227" s="83"/>
      <c r="E227" s="11">
        <f t="shared" si="221"/>
        <v>0</v>
      </c>
      <c r="F227" s="141"/>
      <c r="G227" s="13" t="e">
        <f t="shared" si="222"/>
        <v>#DIV/0!</v>
      </c>
      <c r="H227" s="83"/>
      <c r="I227" s="125"/>
      <c r="J227" s="83">
        <f t="shared" si="223"/>
        <v>0</v>
      </c>
      <c r="K227" s="83">
        <f t="shared" si="225"/>
        <v>0</v>
      </c>
      <c r="L227" s="136" t="e">
        <f t="shared" si="224"/>
        <v>#DIV/0!</v>
      </c>
      <c r="M227" s="116"/>
      <c r="N227" s="47">
        <v>3000000</v>
      </c>
    </row>
    <row r="228" spans="1:14" ht="16">
      <c r="A228" s="33">
        <v>45957</v>
      </c>
      <c r="B228" s="140" t="s">
        <v>54</v>
      </c>
      <c r="C228" s="83"/>
      <c r="D228" s="83"/>
      <c r="E228" s="11"/>
      <c r="F228" s="141"/>
      <c r="G228" s="13"/>
      <c r="H228" s="83"/>
      <c r="I228" s="125"/>
      <c r="J228" s="83">
        <f t="shared" si="223"/>
        <v>0</v>
      </c>
      <c r="K228" s="83">
        <f t="shared" si="225"/>
        <v>0</v>
      </c>
      <c r="L228" s="136" t="e">
        <f t="shared" si="224"/>
        <v>#DIV/0!</v>
      </c>
      <c r="M228" s="116"/>
      <c r="N228" s="47">
        <v>7000000</v>
      </c>
    </row>
    <row r="229" spans="1:14" ht="16">
      <c r="A229" s="33">
        <v>45961</v>
      </c>
      <c r="B229" s="140" t="s">
        <v>54</v>
      </c>
      <c r="C229" s="83"/>
      <c r="D229" s="83"/>
      <c r="E229" s="11">
        <f>D229-C229</f>
        <v>0</v>
      </c>
      <c r="F229" s="141"/>
      <c r="G229" s="13" t="e">
        <f>(F229/E229)*100</f>
        <v>#DIV/0!</v>
      </c>
      <c r="H229" s="83"/>
      <c r="I229" s="125"/>
      <c r="J229" s="83">
        <f t="shared" si="223"/>
        <v>0</v>
      </c>
      <c r="K229" s="83">
        <f t="shared" si="225"/>
        <v>0</v>
      </c>
      <c r="L229" s="136" t="e">
        <f t="shared" si="224"/>
        <v>#DIV/0!</v>
      </c>
      <c r="M229" s="116"/>
      <c r="N229" s="47">
        <v>3000000</v>
      </c>
    </row>
    <row r="230" spans="1:14" ht="16">
      <c r="A230" s="66"/>
      <c r="B230" s="60"/>
      <c r="C230" s="59"/>
      <c r="D230" s="59" t="s">
        <v>19</v>
      </c>
      <c r="E230" s="59">
        <f t="shared" ref="E230:F230" si="226">SUM(E222:E229)</f>
        <v>0</v>
      </c>
      <c r="F230" s="59">
        <f t="shared" si="226"/>
        <v>0</v>
      </c>
      <c r="G230" s="61" t="e">
        <f>AVERAGE(G222:G229)</f>
        <v>#DIV/0!</v>
      </c>
      <c r="H230" s="59"/>
      <c r="I230" s="62"/>
      <c r="J230" s="59">
        <f t="shared" ref="J230:K230" si="227">SUM(J222:J229)</f>
        <v>0</v>
      </c>
      <c r="K230" s="59">
        <f t="shared" si="227"/>
        <v>0</v>
      </c>
      <c r="L230" s="61" t="e">
        <f>AVERAGE(L222:L229)</f>
        <v>#DIV/0!</v>
      </c>
      <c r="M230" s="64"/>
      <c r="N230" s="65">
        <f>SUM(N222:N229)</f>
        <v>38000000</v>
      </c>
    </row>
    <row r="231" spans="1:14" ht="16">
      <c r="A231" s="66">
        <v>45933</v>
      </c>
      <c r="B231" s="140" t="s">
        <v>69</v>
      </c>
      <c r="C231" s="83"/>
      <c r="D231" s="12"/>
      <c r="E231" s="36">
        <f t="shared" ref="E231:E236" si="228">D231-C231</f>
        <v>0</v>
      </c>
      <c r="F231" s="37">
        <v>315.29000000000002</v>
      </c>
      <c r="G231" s="13" t="e">
        <f t="shared" ref="G231:G236" si="229">(F231/E231)*100</f>
        <v>#DIV/0!</v>
      </c>
      <c r="H231" s="83"/>
      <c r="I231" s="126"/>
      <c r="J231" s="39">
        <f t="shared" ref="J231:J236" si="230">I231-H231</f>
        <v>0</v>
      </c>
      <c r="K231" s="39">
        <f t="shared" ref="K231:K236" si="231">F231</f>
        <v>315.29000000000002</v>
      </c>
      <c r="L231" s="67" t="e">
        <f t="shared" ref="L231:L236" si="232">(K231/J231)*100</f>
        <v>#DIV/0!</v>
      </c>
      <c r="M231" s="68">
        <v>19030</v>
      </c>
      <c r="N231" s="47">
        <f>M231*F231</f>
        <v>5999968.7000000002</v>
      </c>
    </row>
    <row r="232" spans="1:14" ht="16">
      <c r="A232" s="33">
        <v>45946</v>
      </c>
      <c r="B232" s="140" t="s">
        <v>69</v>
      </c>
      <c r="C232" s="83"/>
      <c r="D232" s="83"/>
      <c r="E232" s="11">
        <f t="shared" si="228"/>
        <v>0</v>
      </c>
      <c r="F232" s="141"/>
      <c r="G232" s="13" t="e">
        <f t="shared" si="229"/>
        <v>#DIV/0!</v>
      </c>
      <c r="H232" s="83"/>
      <c r="I232" s="125"/>
      <c r="J232" s="35">
        <f t="shared" si="230"/>
        <v>0</v>
      </c>
      <c r="K232" s="35">
        <f t="shared" si="231"/>
        <v>0</v>
      </c>
      <c r="L232" s="46" t="e">
        <f t="shared" si="232"/>
        <v>#DIV/0!</v>
      </c>
      <c r="M232" s="116"/>
      <c r="N232" s="47">
        <v>2000000</v>
      </c>
    </row>
    <row r="233" spans="1:14" ht="16">
      <c r="A233" s="66">
        <v>45946</v>
      </c>
      <c r="B233" s="140" t="s">
        <v>69</v>
      </c>
      <c r="C233" s="83"/>
      <c r="D233" s="12"/>
      <c r="E233" s="36">
        <f t="shared" si="228"/>
        <v>0</v>
      </c>
      <c r="F233" s="37"/>
      <c r="G233" s="13" t="e">
        <f t="shared" si="229"/>
        <v>#DIV/0!</v>
      </c>
      <c r="H233" s="83"/>
      <c r="I233" s="126"/>
      <c r="J233" s="39">
        <f t="shared" si="230"/>
        <v>0</v>
      </c>
      <c r="K233" s="39">
        <f t="shared" si="231"/>
        <v>0</v>
      </c>
      <c r="L233" s="67" t="e">
        <f t="shared" si="232"/>
        <v>#DIV/0!</v>
      </c>
      <c r="M233" s="68"/>
      <c r="N233" s="47">
        <v>5500000</v>
      </c>
    </row>
    <row r="234" spans="1:14" ht="16">
      <c r="A234" s="33">
        <v>45958</v>
      </c>
      <c r="B234" s="140" t="s">
        <v>69</v>
      </c>
      <c r="C234" s="83"/>
      <c r="D234" s="83"/>
      <c r="E234" s="11">
        <f t="shared" si="228"/>
        <v>0</v>
      </c>
      <c r="F234" s="141"/>
      <c r="G234" s="13" t="e">
        <f t="shared" si="229"/>
        <v>#DIV/0!</v>
      </c>
      <c r="H234" s="83"/>
      <c r="I234" s="125"/>
      <c r="J234" s="35">
        <f t="shared" si="230"/>
        <v>0</v>
      </c>
      <c r="K234" s="35">
        <f t="shared" si="231"/>
        <v>0</v>
      </c>
      <c r="L234" s="46" t="e">
        <f t="shared" si="232"/>
        <v>#DIV/0!</v>
      </c>
      <c r="M234" s="116"/>
      <c r="N234" s="47">
        <v>2000000</v>
      </c>
    </row>
    <row r="235" spans="1:14" ht="16">
      <c r="A235" s="33"/>
      <c r="B235" s="140" t="s">
        <v>69</v>
      </c>
      <c r="C235" s="83"/>
      <c r="D235" s="83"/>
      <c r="E235" s="11">
        <f t="shared" si="228"/>
        <v>0</v>
      </c>
      <c r="F235" s="141"/>
      <c r="G235" s="13" t="e">
        <f t="shared" si="229"/>
        <v>#DIV/0!</v>
      </c>
      <c r="H235" s="83"/>
      <c r="I235" s="125"/>
      <c r="J235" s="35">
        <f t="shared" si="230"/>
        <v>0</v>
      </c>
      <c r="K235" s="35">
        <f t="shared" si="231"/>
        <v>0</v>
      </c>
      <c r="L235" s="73" t="e">
        <f t="shared" si="232"/>
        <v>#DIV/0!</v>
      </c>
      <c r="M235" s="116"/>
      <c r="N235" s="47">
        <f t="shared" ref="N235:N236" si="233">M235*F235</f>
        <v>0</v>
      </c>
    </row>
    <row r="236" spans="1:14" ht="16">
      <c r="A236" s="33"/>
      <c r="B236" s="140" t="s">
        <v>69</v>
      </c>
      <c r="C236" s="83"/>
      <c r="D236" s="83"/>
      <c r="E236" s="11">
        <f t="shared" si="228"/>
        <v>0</v>
      </c>
      <c r="F236" s="141"/>
      <c r="G236" s="13" t="e">
        <f t="shared" si="229"/>
        <v>#DIV/0!</v>
      </c>
      <c r="H236" s="83"/>
      <c r="I236" s="125"/>
      <c r="J236" s="83">
        <f t="shared" si="230"/>
        <v>0</v>
      </c>
      <c r="K236" s="83">
        <f t="shared" si="231"/>
        <v>0</v>
      </c>
      <c r="L236" s="136" t="e">
        <f t="shared" si="232"/>
        <v>#DIV/0!</v>
      </c>
      <c r="M236" s="116"/>
      <c r="N236" s="47">
        <f t="shared" si="233"/>
        <v>0</v>
      </c>
    </row>
    <row r="237" spans="1:14" ht="16">
      <c r="A237" s="66"/>
      <c r="B237" s="60"/>
      <c r="C237" s="59"/>
      <c r="D237" s="59" t="s">
        <v>19</v>
      </c>
      <c r="E237" s="59">
        <f t="shared" ref="E237:F237" si="234">SUM(E231:E236)</f>
        <v>0</v>
      </c>
      <c r="F237" s="59">
        <f t="shared" si="234"/>
        <v>315.29000000000002</v>
      </c>
      <c r="G237" s="61" t="e">
        <f>AVERAGE(G231:G236)</f>
        <v>#DIV/0!</v>
      </c>
      <c r="H237" s="59"/>
      <c r="I237" s="62"/>
      <c r="J237" s="59">
        <f t="shared" ref="J237:K237" si="235">SUM(J231:J236)</f>
        <v>0</v>
      </c>
      <c r="K237" s="59">
        <f t="shared" si="235"/>
        <v>315.29000000000002</v>
      </c>
      <c r="L237" s="61" t="e">
        <f>AVERAGE(L231:L236)</f>
        <v>#DIV/0!</v>
      </c>
      <c r="M237" s="64"/>
      <c r="N237" s="65">
        <f>SUM(N231:N236)</f>
        <v>15499968.699999999</v>
      </c>
    </row>
    <row r="238" spans="1:14" ht="16">
      <c r="A238" s="66">
        <v>45933</v>
      </c>
      <c r="B238" s="207" t="s">
        <v>63</v>
      </c>
      <c r="C238" s="83">
        <v>136233</v>
      </c>
      <c r="D238" s="12">
        <v>137161</v>
      </c>
      <c r="E238" s="36">
        <f t="shared" ref="E238:E243" si="236">D238-C238</f>
        <v>928</v>
      </c>
      <c r="F238" s="37">
        <v>260.68</v>
      </c>
      <c r="G238" s="13">
        <f t="shared" ref="G238:G243" si="237">(F238/E238)*100</f>
        <v>28.09051724137931</v>
      </c>
      <c r="H238" s="83">
        <v>123</v>
      </c>
      <c r="I238" s="126">
        <v>700</v>
      </c>
      <c r="J238" s="39">
        <f t="shared" ref="J238:J243" si="238">I238-H238</f>
        <v>577</v>
      </c>
      <c r="K238" s="39">
        <f t="shared" ref="K238:K239" si="239">F238</f>
        <v>260.68</v>
      </c>
      <c r="L238" s="136">
        <f t="shared" ref="L238:L243" si="240">(K238/J238)*100</f>
        <v>45.178509532062392</v>
      </c>
      <c r="M238" s="68">
        <v>19030</v>
      </c>
      <c r="N238" s="47">
        <f t="shared" ref="N238:N243" si="241">M238*F238</f>
        <v>4960740.4000000004</v>
      </c>
    </row>
    <row r="239" spans="1:14" ht="16">
      <c r="A239" s="33">
        <v>45944</v>
      </c>
      <c r="B239" s="207" t="s">
        <v>63</v>
      </c>
      <c r="C239" s="35">
        <v>137161</v>
      </c>
      <c r="D239" s="12">
        <v>138140</v>
      </c>
      <c r="E239" s="11">
        <f t="shared" si="236"/>
        <v>979</v>
      </c>
      <c r="F239" s="141">
        <v>268.83</v>
      </c>
      <c r="G239" s="13">
        <f t="shared" si="237"/>
        <v>27.45965270684372</v>
      </c>
      <c r="H239" s="83">
        <v>700</v>
      </c>
      <c r="I239" s="125">
        <v>4320</v>
      </c>
      <c r="J239" s="83">
        <f t="shared" si="238"/>
        <v>3620</v>
      </c>
      <c r="K239" s="35">
        <f t="shared" si="239"/>
        <v>268.83</v>
      </c>
      <c r="L239" s="136">
        <f t="shared" si="240"/>
        <v>7.4262430939226522</v>
      </c>
      <c r="M239" s="116">
        <v>18600</v>
      </c>
      <c r="N239" s="47">
        <f t="shared" si="241"/>
        <v>5000238</v>
      </c>
    </row>
    <row r="240" spans="1:14" ht="16">
      <c r="A240" s="33">
        <v>45952</v>
      </c>
      <c r="B240" s="207" t="s">
        <v>63</v>
      </c>
      <c r="C240" s="12">
        <v>138140</v>
      </c>
      <c r="D240" s="83">
        <v>139140</v>
      </c>
      <c r="E240" s="11">
        <f t="shared" si="236"/>
        <v>1000</v>
      </c>
      <c r="F240" s="141">
        <v>271.44</v>
      </c>
      <c r="G240" s="13">
        <f t="shared" si="237"/>
        <v>27.144000000000002</v>
      </c>
      <c r="H240" s="83">
        <v>4320</v>
      </c>
      <c r="I240" s="125">
        <v>292</v>
      </c>
      <c r="J240" s="83">
        <f t="shared" si="238"/>
        <v>-4028</v>
      </c>
      <c r="K240" s="35">
        <v>271.44</v>
      </c>
      <c r="L240" s="136">
        <f t="shared" si="240"/>
        <v>-6.7388282025819271</v>
      </c>
      <c r="M240" s="116">
        <v>18420</v>
      </c>
      <c r="N240" s="47">
        <f t="shared" si="241"/>
        <v>4999924.8</v>
      </c>
    </row>
    <row r="241" spans="1:14" ht="16">
      <c r="A241" s="33">
        <v>45960</v>
      </c>
      <c r="B241" s="207" t="s">
        <v>63</v>
      </c>
      <c r="C241" s="83">
        <v>139140</v>
      </c>
      <c r="D241" s="83">
        <v>139996</v>
      </c>
      <c r="E241" s="11">
        <f t="shared" si="236"/>
        <v>856</v>
      </c>
      <c r="F241" s="141">
        <v>258.94</v>
      </c>
      <c r="G241" s="13">
        <f t="shared" si="237"/>
        <v>30.25</v>
      </c>
      <c r="H241" s="83"/>
      <c r="I241" s="125"/>
      <c r="J241" s="83">
        <f t="shared" si="238"/>
        <v>0</v>
      </c>
      <c r="K241" s="35">
        <f t="shared" ref="K241:K243" si="242">F241</f>
        <v>258.94</v>
      </c>
      <c r="L241" s="136" t="e">
        <f t="shared" si="240"/>
        <v>#DIV/0!</v>
      </c>
      <c r="M241" s="116">
        <v>17880</v>
      </c>
      <c r="N241" s="47">
        <f t="shared" si="241"/>
        <v>4629847.2</v>
      </c>
    </row>
    <row r="242" spans="1:14" ht="16">
      <c r="A242" s="33"/>
      <c r="B242" s="207" t="s">
        <v>63</v>
      </c>
      <c r="C242" s="35"/>
      <c r="D242" s="83"/>
      <c r="E242" s="11">
        <f t="shared" si="236"/>
        <v>0</v>
      </c>
      <c r="F242" s="141"/>
      <c r="G242" s="13" t="e">
        <f t="shared" si="237"/>
        <v>#DIV/0!</v>
      </c>
      <c r="H242" s="83"/>
      <c r="I242" s="125"/>
      <c r="J242" s="83">
        <f t="shared" si="238"/>
        <v>0</v>
      </c>
      <c r="K242" s="35">
        <f t="shared" si="242"/>
        <v>0</v>
      </c>
      <c r="L242" s="136" t="e">
        <f t="shared" si="240"/>
        <v>#DIV/0!</v>
      </c>
      <c r="M242" s="116"/>
      <c r="N242" s="47">
        <f t="shared" si="241"/>
        <v>0</v>
      </c>
    </row>
    <row r="243" spans="1:14" ht="16">
      <c r="A243" s="138"/>
      <c r="B243" s="140"/>
      <c r="C243" s="83"/>
      <c r="D243" s="83"/>
      <c r="E243" s="11">
        <f t="shared" si="236"/>
        <v>0</v>
      </c>
      <c r="F243" s="141"/>
      <c r="G243" s="13" t="e">
        <f t="shared" si="237"/>
        <v>#DIV/0!</v>
      </c>
      <c r="H243" s="83"/>
      <c r="I243" s="125"/>
      <c r="J243" s="83">
        <f t="shared" si="238"/>
        <v>0</v>
      </c>
      <c r="K243" s="83">
        <f t="shared" si="242"/>
        <v>0</v>
      </c>
      <c r="L243" s="136" t="e">
        <f t="shared" si="240"/>
        <v>#DIV/0!</v>
      </c>
      <c r="M243" s="116"/>
      <c r="N243" s="47">
        <f t="shared" si="241"/>
        <v>0</v>
      </c>
    </row>
    <row r="244" spans="1:14" ht="16">
      <c r="A244" s="59"/>
      <c r="B244" s="60"/>
      <c r="C244" s="59"/>
      <c r="D244" s="59" t="s">
        <v>19</v>
      </c>
      <c r="E244" s="59">
        <f t="shared" ref="E244:F244" si="243">SUM(E238:E243)</f>
        <v>3763</v>
      </c>
      <c r="F244" s="59">
        <f t="shared" si="243"/>
        <v>1059.8900000000001</v>
      </c>
      <c r="G244" s="61" t="e">
        <f>AVERAGE(G238:G243)</f>
        <v>#DIV/0!</v>
      </c>
      <c r="H244" s="59"/>
      <c r="I244" s="62"/>
      <c r="J244" s="59">
        <f t="shared" ref="J244:K244" si="244">SUM(J238:J243)</f>
        <v>169</v>
      </c>
      <c r="K244" s="59">
        <f t="shared" si="244"/>
        <v>1059.8900000000001</v>
      </c>
      <c r="L244" s="61" t="e">
        <f>AVERAGE(L238:L243)</f>
        <v>#DIV/0!</v>
      </c>
      <c r="M244" s="64"/>
      <c r="N244" s="65">
        <f>SUM(N238:N243)</f>
        <v>19590750.399999999</v>
      </c>
    </row>
    <row r="245" spans="1:14" ht="14">
      <c r="A245" s="354" t="s">
        <v>64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6"/>
      <c r="M245" s="64"/>
      <c r="N245" s="65">
        <f>SUM(N180:N244)/2</f>
        <v>153383619.09999996</v>
      </c>
    </row>
    <row r="246" spans="1:14" ht="13">
      <c r="G246" s="150"/>
      <c r="L246" s="150"/>
      <c r="N246" s="151"/>
    </row>
    <row r="247" spans="1:14" ht="13">
      <c r="G247" s="150"/>
      <c r="L247" s="150"/>
      <c r="N247" s="151">
        <v>124719013</v>
      </c>
    </row>
    <row r="248" spans="1:14" ht="13">
      <c r="G248" s="150"/>
      <c r="L248" s="150"/>
      <c r="N248" s="151"/>
    </row>
    <row r="249" spans="1:14" ht="13">
      <c r="G249" s="150"/>
      <c r="L249" s="150"/>
      <c r="N249" s="151"/>
    </row>
    <row r="250" spans="1:14" ht="13">
      <c r="G250" s="150"/>
      <c r="L250" s="150"/>
      <c r="N250" s="151"/>
    </row>
    <row r="251" spans="1:14" ht="13">
      <c r="G251" s="150"/>
      <c r="L251" s="150"/>
      <c r="N251" s="151"/>
    </row>
    <row r="252" spans="1:14" ht="13">
      <c r="G252" s="150"/>
      <c r="L252" s="150"/>
      <c r="N252" s="151"/>
    </row>
    <row r="253" spans="1:14" ht="13">
      <c r="G253" s="150"/>
      <c r="L253" s="150"/>
      <c r="N253" s="151"/>
    </row>
    <row r="254" spans="1:14" ht="13">
      <c r="G254" s="150"/>
      <c r="L254" s="150"/>
      <c r="N254" s="151"/>
    </row>
    <row r="255" spans="1:14" ht="13">
      <c r="G255" s="150"/>
      <c r="L255" s="150"/>
      <c r="N255" s="151"/>
    </row>
    <row r="256" spans="1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</sheetData>
  <mergeCells count="2">
    <mergeCell ref="A1:N1"/>
    <mergeCell ref="A245:L2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89"/>
  <sheetViews>
    <sheetView workbookViewId="0">
      <pane ySplit="9" topLeftCell="A122" activePane="bottomLeft" state="frozen"/>
      <selection pane="bottomLeft" activeCell="A137" sqref="A137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86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45904</v>
      </c>
      <c r="B3" s="34" t="s">
        <v>11</v>
      </c>
      <c r="C3" s="240">
        <v>189378</v>
      </c>
      <c r="D3" s="240">
        <v>189673</v>
      </c>
      <c r="E3" s="11">
        <f t="shared" ref="E3:E9" si="0">D3-C3</f>
        <v>295</v>
      </c>
      <c r="F3" s="37">
        <v>45</v>
      </c>
      <c r="G3" s="13">
        <f t="shared" ref="G3:G9" si="1">(F3/E3)*100</f>
        <v>15.254237288135593</v>
      </c>
      <c r="H3" s="246"/>
      <c r="I3" s="126">
        <v>23443</v>
      </c>
      <c r="J3" s="39">
        <f t="shared" ref="J3:J9" si="2">I3-H3</f>
        <v>23443</v>
      </c>
      <c r="K3" s="77">
        <f t="shared" ref="K3:K9" si="3">F3</f>
        <v>45</v>
      </c>
      <c r="L3" s="67">
        <f t="shared" ref="L3:L9" si="4">(K3/J3)*100</f>
        <v>0.19195495457066075</v>
      </c>
      <c r="M3" s="68">
        <v>18350</v>
      </c>
      <c r="N3" s="121">
        <f t="shared" ref="N3:N9" si="5">F3*M3</f>
        <v>825750</v>
      </c>
    </row>
    <row r="4" spans="1:18" ht="16">
      <c r="A4" s="33">
        <v>45909</v>
      </c>
      <c r="B4" s="44" t="s">
        <v>11</v>
      </c>
      <c r="C4" s="50">
        <v>189673</v>
      </c>
      <c r="D4" s="50">
        <v>189990</v>
      </c>
      <c r="E4" s="11">
        <f t="shared" si="0"/>
        <v>317</v>
      </c>
      <c r="F4" s="45">
        <v>40</v>
      </c>
      <c r="G4" s="13">
        <f t="shared" si="1"/>
        <v>12.618296529968454</v>
      </c>
      <c r="H4" s="50">
        <v>23443</v>
      </c>
      <c r="I4" s="38">
        <v>23780</v>
      </c>
      <c r="J4" s="35">
        <f t="shared" si="2"/>
        <v>337</v>
      </c>
      <c r="K4" s="50">
        <f t="shared" si="3"/>
        <v>40</v>
      </c>
      <c r="L4" s="46">
        <f t="shared" si="4"/>
        <v>11.869436201780417</v>
      </c>
      <c r="M4" s="48">
        <v>18470</v>
      </c>
      <c r="N4" s="47">
        <f t="shared" si="5"/>
        <v>738800</v>
      </c>
      <c r="O4" s="76">
        <f t="shared" ref="O4:O26" si="6">O3+1</f>
        <v>1</v>
      </c>
      <c r="P4" s="76" t="s">
        <v>12</v>
      </c>
      <c r="Q4" s="223">
        <f>N18</f>
        <v>4823700</v>
      </c>
      <c r="R4" s="223">
        <f t="shared" ref="R4:R14" si="7">Q4</f>
        <v>4823700</v>
      </c>
    </row>
    <row r="5" spans="1:18" ht="16">
      <c r="A5" s="33">
        <v>45916</v>
      </c>
      <c r="B5" s="44" t="s">
        <v>11</v>
      </c>
      <c r="C5" s="50">
        <v>189990</v>
      </c>
      <c r="D5" s="50">
        <v>190326</v>
      </c>
      <c r="E5" s="11">
        <f t="shared" si="0"/>
        <v>336</v>
      </c>
      <c r="F5" s="52">
        <v>40</v>
      </c>
      <c r="G5" s="13">
        <f t="shared" si="1"/>
        <v>11.904761904761903</v>
      </c>
      <c r="H5" s="38">
        <v>23780</v>
      </c>
      <c r="I5" s="38">
        <v>24140</v>
      </c>
      <c r="J5" s="35">
        <f t="shared" si="2"/>
        <v>360</v>
      </c>
      <c r="K5" s="50">
        <f t="shared" si="3"/>
        <v>40</v>
      </c>
      <c r="L5" s="46">
        <f t="shared" si="4"/>
        <v>11.111111111111111</v>
      </c>
      <c r="M5" s="224">
        <v>18640</v>
      </c>
      <c r="N5" s="47">
        <f t="shared" si="5"/>
        <v>745600</v>
      </c>
      <c r="O5" s="76">
        <f t="shared" si="6"/>
        <v>2</v>
      </c>
      <c r="P5" s="76" t="s">
        <v>13</v>
      </c>
      <c r="Q5" s="223">
        <f>N27</f>
        <v>2712940</v>
      </c>
      <c r="R5" s="223">
        <f t="shared" si="7"/>
        <v>2712940</v>
      </c>
    </row>
    <row r="6" spans="1:18" ht="16">
      <c r="A6" s="33">
        <v>45919</v>
      </c>
      <c r="B6" s="44" t="s">
        <v>11</v>
      </c>
      <c r="C6" s="50">
        <v>190326</v>
      </c>
      <c r="D6" s="50">
        <v>190709</v>
      </c>
      <c r="E6" s="11">
        <f t="shared" si="0"/>
        <v>383</v>
      </c>
      <c r="F6" s="52">
        <v>50</v>
      </c>
      <c r="G6" s="13">
        <f t="shared" si="1"/>
        <v>13.054830287206268</v>
      </c>
      <c r="H6" s="35"/>
      <c r="I6" s="38"/>
      <c r="J6" s="35">
        <f t="shared" si="2"/>
        <v>0</v>
      </c>
      <c r="K6" s="50">
        <f t="shared" si="3"/>
        <v>50</v>
      </c>
      <c r="L6" s="46" t="e">
        <f t="shared" si="4"/>
        <v>#DIV/0!</v>
      </c>
      <c r="M6" s="224">
        <v>18700</v>
      </c>
      <c r="N6" s="47">
        <f t="shared" si="5"/>
        <v>935000</v>
      </c>
      <c r="O6" s="76">
        <f t="shared" si="6"/>
        <v>3</v>
      </c>
      <c r="P6" s="76" t="s">
        <v>14</v>
      </c>
      <c r="Q6" s="223">
        <f>N35</f>
        <v>4097500</v>
      </c>
      <c r="R6" s="223">
        <f t="shared" si="7"/>
        <v>4097500</v>
      </c>
    </row>
    <row r="7" spans="1:18" ht="16">
      <c r="A7" s="33">
        <v>45925</v>
      </c>
      <c r="B7" s="44" t="s">
        <v>11</v>
      </c>
      <c r="C7" s="50">
        <v>190709</v>
      </c>
      <c r="D7" s="50">
        <v>191091</v>
      </c>
      <c r="E7" s="11">
        <f t="shared" si="0"/>
        <v>382</v>
      </c>
      <c r="F7" s="52">
        <v>50</v>
      </c>
      <c r="G7" s="13">
        <f t="shared" si="1"/>
        <v>13.089005235602095</v>
      </c>
      <c r="H7" s="35"/>
      <c r="I7" s="38"/>
      <c r="J7" s="35">
        <f t="shared" si="2"/>
        <v>0</v>
      </c>
      <c r="K7" s="50">
        <f t="shared" si="3"/>
        <v>50</v>
      </c>
      <c r="L7" s="46" t="e">
        <f t="shared" si="4"/>
        <v>#DIV/0!</v>
      </c>
      <c r="M7" s="224">
        <v>18700</v>
      </c>
      <c r="N7" s="47">
        <f t="shared" si="5"/>
        <v>935000</v>
      </c>
      <c r="O7" s="76">
        <f t="shared" si="6"/>
        <v>4</v>
      </c>
      <c r="P7" s="76" t="s">
        <v>15</v>
      </c>
      <c r="Q7" s="223">
        <f>N44</f>
        <v>4297930</v>
      </c>
      <c r="R7" s="223">
        <f t="shared" si="7"/>
        <v>4297930</v>
      </c>
    </row>
    <row r="8" spans="1:18" ht="16">
      <c r="A8" s="33"/>
      <c r="B8" s="44" t="s">
        <v>11</v>
      </c>
      <c r="C8" s="50"/>
      <c r="D8" s="50"/>
      <c r="E8" s="11">
        <f t="shared" si="0"/>
        <v>0</v>
      </c>
      <c r="F8" s="52"/>
      <c r="G8" s="13" t="e">
        <f t="shared" si="1"/>
        <v>#DIV/0!</v>
      </c>
      <c r="H8" s="35"/>
      <c r="I8" s="38"/>
      <c r="J8" s="35">
        <f t="shared" si="2"/>
        <v>0</v>
      </c>
      <c r="K8" s="50">
        <f t="shared" si="3"/>
        <v>0</v>
      </c>
      <c r="L8" s="46" t="e">
        <f t="shared" si="4"/>
        <v>#DIV/0!</v>
      </c>
      <c r="M8" s="224"/>
      <c r="N8" s="47">
        <f t="shared" si="5"/>
        <v>0</v>
      </c>
      <c r="O8" s="76">
        <f t="shared" si="6"/>
        <v>5</v>
      </c>
      <c r="P8" s="76" t="s">
        <v>16</v>
      </c>
      <c r="Q8" s="223">
        <f>N55</f>
        <v>4851410</v>
      </c>
      <c r="R8" s="223">
        <f t="shared" si="7"/>
        <v>4851410</v>
      </c>
    </row>
    <row r="9" spans="1:18" ht="16">
      <c r="A9" s="33"/>
      <c r="B9" s="79" t="s">
        <v>11</v>
      </c>
      <c r="C9" s="50"/>
      <c r="D9" s="221"/>
      <c r="E9" s="24">
        <f t="shared" si="0"/>
        <v>0</v>
      </c>
      <c r="F9" s="225"/>
      <c r="G9" s="54" t="e">
        <f t="shared" si="1"/>
        <v>#DIV/0!</v>
      </c>
      <c r="H9" s="53"/>
      <c r="I9" s="55"/>
      <c r="J9" s="35">
        <f t="shared" si="2"/>
        <v>0</v>
      </c>
      <c r="K9" s="50">
        <f t="shared" si="3"/>
        <v>0</v>
      </c>
      <c r="L9" s="46" t="e">
        <f t="shared" si="4"/>
        <v>#DIV/0!</v>
      </c>
      <c r="M9" s="226"/>
      <c r="N9" s="57">
        <f t="shared" si="5"/>
        <v>0</v>
      </c>
      <c r="O9" s="76">
        <f t="shared" si="6"/>
        <v>6</v>
      </c>
      <c r="P9" s="76" t="s">
        <v>18</v>
      </c>
      <c r="Q9" s="223">
        <f>N64</f>
        <v>5880320</v>
      </c>
      <c r="R9" s="223">
        <f t="shared" si="7"/>
        <v>5880320</v>
      </c>
    </row>
    <row r="10" spans="1:18" ht="16">
      <c r="A10" s="59"/>
      <c r="B10" s="60"/>
      <c r="C10" s="59"/>
      <c r="D10" s="59" t="s">
        <v>19</v>
      </c>
      <c r="E10" s="59">
        <f t="shared" ref="E10:F10" si="8">SUM(E3:E9)</f>
        <v>1713</v>
      </c>
      <c r="F10" s="59">
        <f t="shared" si="8"/>
        <v>225</v>
      </c>
      <c r="G10" s="61" t="e">
        <f>AVERAGE(G3:G9)</f>
        <v>#DIV/0!</v>
      </c>
      <c r="H10" s="59"/>
      <c r="I10" s="62"/>
      <c r="J10" s="59">
        <f t="shared" ref="J10:K10" si="9">SUM(J3:J9)</f>
        <v>24140</v>
      </c>
      <c r="K10" s="59">
        <f t="shared" si="9"/>
        <v>225</v>
      </c>
      <c r="L10" s="61" t="e">
        <f>AVERAGE(L3:L9)</f>
        <v>#DIV/0!</v>
      </c>
      <c r="M10" s="64"/>
      <c r="N10" s="65">
        <f>SUM(N3:N9)</f>
        <v>4180150</v>
      </c>
      <c r="O10" s="76">
        <f t="shared" si="6"/>
        <v>7</v>
      </c>
      <c r="P10" s="76" t="s">
        <v>20</v>
      </c>
      <c r="Q10" s="223">
        <f>N72</f>
        <v>5876730</v>
      </c>
      <c r="R10" s="223">
        <f t="shared" si="7"/>
        <v>5876730</v>
      </c>
    </row>
    <row r="11" spans="1:18" ht="16">
      <c r="A11" s="236">
        <v>45903</v>
      </c>
      <c r="B11" s="34" t="s">
        <v>12</v>
      </c>
      <c r="C11" s="83">
        <v>152380</v>
      </c>
      <c r="D11" s="83">
        <v>152735</v>
      </c>
      <c r="E11" s="36">
        <f t="shared" ref="E11:E17" si="10">D11-C11</f>
        <v>355</v>
      </c>
      <c r="F11" s="37">
        <v>48</v>
      </c>
      <c r="G11" s="13">
        <f t="shared" ref="G11:G17" si="11">(F11/E11)*100</f>
        <v>13.521126760563378</v>
      </c>
      <c r="H11" s="125"/>
      <c r="I11" s="125">
        <v>23148</v>
      </c>
      <c r="J11" s="39">
        <f t="shared" ref="J11:J17" si="12">I11-H11</f>
        <v>23148</v>
      </c>
      <c r="K11" s="77">
        <f t="shared" ref="K11:K17" si="13">F11</f>
        <v>48</v>
      </c>
      <c r="L11" s="40">
        <f t="shared" ref="L11:L17" si="14">(K11/J11)*100</f>
        <v>0.20736132711249353</v>
      </c>
      <c r="M11" s="41">
        <v>18350</v>
      </c>
      <c r="N11" s="42">
        <f t="shared" ref="N11:N17" si="15">F11*M11</f>
        <v>880800</v>
      </c>
      <c r="O11" s="76">
        <f t="shared" si="6"/>
        <v>8</v>
      </c>
      <c r="P11" s="76" t="s">
        <v>21</v>
      </c>
      <c r="Q11" s="223">
        <f>N80</f>
        <v>5240500</v>
      </c>
      <c r="R11" s="223">
        <f t="shared" si="7"/>
        <v>5240500</v>
      </c>
    </row>
    <row r="12" spans="1:18" ht="16">
      <c r="A12" s="43">
        <v>45908</v>
      </c>
      <c r="B12" s="44" t="s">
        <v>12</v>
      </c>
      <c r="C12" s="35">
        <v>152735</v>
      </c>
      <c r="D12" s="35">
        <v>153160</v>
      </c>
      <c r="E12" s="11">
        <f t="shared" si="10"/>
        <v>425</v>
      </c>
      <c r="F12" s="45">
        <v>55</v>
      </c>
      <c r="G12" s="13">
        <f t="shared" si="11"/>
        <v>12.941176470588237</v>
      </c>
      <c r="H12" s="35">
        <v>23147</v>
      </c>
      <c r="I12" s="38">
        <v>23600</v>
      </c>
      <c r="J12" s="35">
        <f t="shared" si="12"/>
        <v>453</v>
      </c>
      <c r="K12" s="50">
        <f t="shared" si="13"/>
        <v>55</v>
      </c>
      <c r="L12" s="46">
        <f t="shared" si="14"/>
        <v>12.141280353200882</v>
      </c>
      <c r="M12" s="48">
        <v>18470</v>
      </c>
      <c r="N12" s="47">
        <f t="shared" si="15"/>
        <v>1015850</v>
      </c>
      <c r="O12" s="76">
        <f t="shared" si="6"/>
        <v>9</v>
      </c>
      <c r="P12" s="247" t="s">
        <v>22</v>
      </c>
      <c r="Q12" s="223">
        <f>N88</f>
        <v>2763700</v>
      </c>
      <c r="R12" s="223">
        <f t="shared" si="7"/>
        <v>2763700</v>
      </c>
    </row>
    <row r="13" spans="1:18" ht="16">
      <c r="A13" s="43">
        <v>45912</v>
      </c>
      <c r="B13" s="44" t="s">
        <v>12</v>
      </c>
      <c r="C13" s="35">
        <v>153160</v>
      </c>
      <c r="D13" s="35">
        <v>153560</v>
      </c>
      <c r="E13" s="11">
        <f t="shared" si="10"/>
        <v>400</v>
      </c>
      <c r="F13" s="45">
        <v>50</v>
      </c>
      <c r="G13" s="13">
        <f t="shared" si="11"/>
        <v>12.5</v>
      </c>
      <c r="H13" s="35">
        <v>23600</v>
      </c>
      <c r="I13" s="38">
        <v>24060</v>
      </c>
      <c r="J13" s="35">
        <f t="shared" si="12"/>
        <v>460</v>
      </c>
      <c r="K13" s="50">
        <f t="shared" si="13"/>
        <v>50</v>
      </c>
      <c r="L13" s="46">
        <f t="shared" si="14"/>
        <v>10.869565217391305</v>
      </c>
      <c r="M13" s="48">
        <v>18640</v>
      </c>
      <c r="N13" s="47">
        <f t="shared" si="15"/>
        <v>932000</v>
      </c>
      <c r="O13" s="76">
        <f t="shared" si="6"/>
        <v>10</v>
      </c>
      <c r="P13" s="76" t="s">
        <v>23</v>
      </c>
      <c r="Q13" s="223">
        <f>N95</f>
        <v>4050880</v>
      </c>
      <c r="R13" s="223">
        <f t="shared" si="7"/>
        <v>4050880</v>
      </c>
    </row>
    <row r="14" spans="1:18" ht="16">
      <c r="A14" s="43">
        <v>45918</v>
      </c>
      <c r="B14" s="49" t="s">
        <v>12</v>
      </c>
      <c r="C14" s="50">
        <v>153560</v>
      </c>
      <c r="D14" s="50">
        <v>153954</v>
      </c>
      <c r="E14" s="51">
        <f t="shared" si="10"/>
        <v>394</v>
      </c>
      <c r="F14" s="52">
        <v>50</v>
      </c>
      <c r="G14" s="13">
        <f t="shared" si="11"/>
        <v>12.690355329949238</v>
      </c>
      <c r="H14" s="35"/>
      <c r="I14" s="38"/>
      <c r="J14" s="35">
        <f t="shared" si="12"/>
        <v>0</v>
      </c>
      <c r="K14" s="50">
        <f t="shared" si="13"/>
        <v>50</v>
      </c>
      <c r="L14" s="46" t="e">
        <f t="shared" si="14"/>
        <v>#DIV/0!</v>
      </c>
      <c r="M14" s="48">
        <v>18640</v>
      </c>
      <c r="N14" s="47">
        <f t="shared" si="15"/>
        <v>932000</v>
      </c>
      <c r="O14" s="76">
        <f t="shared" si="6"/>
        <v>11</v>
      </c>
      <c r="P14" s="247" t="s">
        <v>24</v>
      </c>
      <c r="Q14" s="223">
        <f>N103</f>
        <v>5807850</v>
      </c>
      <c r="R14" s="223">
        <f t="shared" si="7"/>
        <v>5807850</v>
      </c>
    </row>
    <row r="15" spans="1:18" ht="16">
      <c r="A15" s="43">
        <v>45929</v>
      </c>
      <c r="B15" s="44" t="s">
        <v>12</v>
      </c>
      <c r="C15" s="50">
        <v>153954</v>
      </c>
      <c r="D15" s="35">
        <v>154351</v>
      </c>
      <c r="E15" s="11">
        <f t="shared" si="10"/>
        <v>397</v>
      </c>
      <c r="F15" s="45">
        <v>57</v>
      </c>
      <c r="G15" s="13">
        <f t="shared" si="11"/>
        <v>14.357682619647354</v>
      </c>
      <c r="H15" s="38"/>
      <c r="I15" s="38"/>
      <c r="J15" s="35">
        <f t="shared" si="12"/>
        <v>0</v>
      </c>
      <c r="K15" s="50">
        <f t="shared" si="13"/>
        <v>57</v>
      </c>
      <c r="L15" s="46" t="e">
        <f t="shared" si="14"/>
        <v>#DIV/0!</v>
      </c>
      <c r="M15" s="48">
        <v>18650</v>
      </c>
      <c r="N15" s="47">
        <f t="shared" si="15"/>
        <v>1063050</v>
      </c>
      <c r="O15" s="76">
        <f t="shared" si="6"/>
        <v>12</v>
      </c>
      <c r="P15" s="76" t="s">
        <v>25</v>
      </c>
      <c r="Q15" s="223">
        <f>N103</f>
        <v>5807850</v>
      </c>
      <c r="R15" s="223">
        <f>N111</f>
        <v>5489990</v>
      </c>
    </row>
    <row r="16" spans="1:18" ht="16">
      <c r="A16" s="43"/>
      <c r="B16" s="44" t="s">
        <v>12</v>
      </c>
      <c r="C16" s="35"/>
      <c r="D16" s="35"/>
      <c r="E16" s="11">
        <f t="shared" si="10"/>
        <v>0</v>
      </c>
      <c r="F16" s="45"/>
      <c r="G16" s="13" t="e">
        <f t="shared" si="11"/>
        <v>#DIV/0!</v>
      </c>
      <c r="H16" s="35"/>
      <c r="I16" s="38"/>
      <c r="J16" s="35">
        <f t="shared" si="12"/>
        <v>0</v>
      </c>
      <c r="K16" s="50">
        <f t="shared" si="13"/>
        <v>0</v>
      </c>
      <c r="L16" s="46" t="e">
        <f t="shared" si="14"/>
        <v>#DIV/0!</v>
      </c>
      <c r="M16" s="48"/>
      <c r="N16" s="47">
        <f t="shared" si="15"/>
        <v>0</v>
      </c>
      <c r="O16" s="76">
        <f t="shared" si="6"/>
        <v>13</v>
      </c>
      <c r="P16" s="247" t="s">
        <v>26</v>
      </c>
      <c r="Q16" s="223">
        <f>N117</f>
        <v>6701120</v>
      </c>
      <c r="R16" s="223">
        <f t="shared" ref="R16:R26" si="16">Q16</f>
        <v>6701120</v>
      </c>
    </row>
    <row r="17" spans="1:18" ht="16">
      <c r="A17" s="87"/>
      <c r="B17" s="239"/>
      <c r="C17" s="53"/>
      <c r="D17" s="53"/>
      <c r="E17" s="24">
        <f t="shared" si="10"/>
        <v>0</v>
      </c>
      <c r="F17" s="45"/>
      <c r="G17" s="54" t="e">
        <f t="shared" si="11"/>
        <v>#DIV/0!</v>
      </c>
      <c r="H17" s="53"/>
      <c r="I17" s="55"/>
      <c r="J17" s="53">
        <f t="shared" si="12"/>
        <v>0</v>
      </c>
      <c r="K17" s="50">
        <f t="shared" si="13"/>
        <v>0</v>
      </c>
      <c r="L17" s="46" t="e">
        <f t="shared" si="14"/>
        <v>#DIV/0!</v>
      </c>
      <c r="M17" s="56"/>
      <c r="N17" s="57">
        <f t="shared" si="15"/>
        <v>0</v>
      </c>
      <c r="O17" s="76">
        <f t="shared" si="6"/>
        <v>14</v>
      </c>
      <c r="P17" s="76" t="s">
        <v>27</v>
      </c>
      <c r="Q17" s="223">
        <f>N126</f>
        <v>8486870</v>
      </c>
      <c r="R17" s="223">
        <f t="shared" si="16"/>
        <v>8486870</v>
      </c>
    </row>
    <row r="18" spans="1:18" ht="16">
      <c r="A18" s="59"/>
      <c r="B18" s="60"/>
      <c r="C18" s="59"/>
      <c r="D18" s="59" t="s">
        <v>19</v>
      </c>
      <c r="E18" s="59">
        <f>SUM(E11:E17)</f>
        <v>1971</v>
      </c>
      <c r="F18" s="59">
        <f>SUM(F10:F17)</f>
        <v>485</v>
      </c>
      <c r="G18" s="61" t="e">
        <f>AVERAGE(G11:G17)</f>
        <v>#DIV/0!</v>
      </c>
      <c r="H18" s="59"/>
      <c r="I18" s="62"/>
      <c r="J18" s="59">
        <f t="shared" ref="J18:K18" si="17">SUM(J11:J17)</f>
        <v>24061</v>
      </c>
      <c r="K18" s="59">
        <f t="shared" si="17"/>
        <v>260</v>
      </c>
      <c r="L18" s="61" t="e">
        <f>AVERAGE(L11:L17)</f>
        <v>#DIV/0!</v>
      </c>
      <c r="M18" s="64"/>
      <c r="N18" s="65">
        <f>SUM(N11:N17)</f>
        <v>4823700</v>
      </c>
      <c r="O18" s="76">
        <f t="shared" si="6"/>
        <v>15</v>
      </c>
      <c r="P18" s="76" t="s">
        <v>80</v>
      </c>
      <c r="Q18" s="223">
        <f>N135</f>
        <v>6318000</v>
      </c>
      <c r="R18" s="223">
        <f t="shared" si="16"/>
        <v>6318000</v>
      </c>
    </row>
    <row r="19" spans="1:18" ht="16">
      <c r="A19" s="66">
        <v>45908</v>
      </c>
      <c r="B19" s="34" t="s">
        <v>13</v>
      </c>
      <c r="C19" s="83">
        <v>171252</v>
      </c>
      <c r="D19" s="39"/>
      <c r="E19" s="36">
        <f t="shared" ref="E19:E26" si="18">D19-C19</f>
        <v>-171252</v>
      </c>
      <c r="F19" s="37">
        <v>50</v>
      </c>
      <c r="G19" s="13">
        <f t="shared" ref="G19:G26" si="19">(F19/E19)*100</f>
        <v>-2.9196739308154064E-2</v>
      </c>
      <c r="H19" s="246">
        <v>25050</v>
      </c>
      <c r="I19" s="77"/>
      <c r="J19" s="39">
        <f t="shared" ref="J19:J26" si="20">I19-H19</f>
        <v>-25050</v>
      </c>
      <c r="K19" s="77">
        <f t="shared" ref="K19:K26" si="21">F19</f>
        <v>50</v>
      </c>
      <c r="L19" s="67">
        <f t="shared" ref="L19:L26" si="22">(K19/J19)*100</f>
        <v>-0.19960079840319359</v>
      </c>
      <c r="M19" s="68">
        <v>18470</v>
      </c>
      <c r="N19" s="42">
        <f t="shared" ref="N19:N26" si="23">F19*M19</f>
        <v>923500</v>
      </c>
      <c r="O19" s="76">
        <f t="shared" si="6"/>
        <v>16</v>
      </c>
      <c r="P19" s="76" t="s">
        <v>29</v>
      </c>
      <c r="Q19" s="223">
        <f>N144</f>
        <v>6687000</v>
      </c>
      <c r="R19" s="223">
        <f t="shared" si="16"/>
        <v>6687000</v>
      </c>
    </row>
    <row r="20" spans="1:18" ht="16">
      <c r="A20" s="66">
        <v>45912</v>
      </c>
      <c r="B20" s="34" t="s">
        <v>13</v>
      </c>
      <c r="C20" s="83">
        <v>171252</v>
      </c>
      <c r="D20" s="39">
        <v>172050</v>
      </c>
      <c r="E20" s="11">
        <f t="shared" si="18"/>
        <v>798</v>
      </c>
      <c r="F20" s="37">
        <v>54</v>
      </c>
      <c r="G20" s="13">
        <f t="shared" si="19"/>
        <v>6.7669172932330826</v>
      </c>
      <c r="H20" s="35"/>
      <c r="I20" s="38"/>
      <c r="J20" s="35">
        <f t="shared" si="20"/>
        <v>0</v>
      </c>
      <c r="K20" s="50">
        <f t="shared" si="21"/>
        <v>54</v>
      </c>
      <c r="L20" s="46" t="e">
        <f t="shared" si="22"/>
        <v>#DIV/0!</v>
      </c>
      <c r="M20" s="68">
        <v>18640</v>
      </c>
      <c r="N20" s="47">
        <f t="shared" si="23"/>
        <v>1006560</v>
      </c>
      <c r="O20" s="76">
        <f t="shared" si="6"/>
        <v>17</v>
      </c>
      <c r="P20" s="76" t="s">
        <v>30</v>
      </c>
      <c r="Q20" s="223">
        <f>N153</f>
        <v>8440330</v>
      </c>
      <c r="R20" s="223">
        <f t="shared" si="16"/>
        <v>8440330</v>
      </c>
    </row>
    <row r="21" spans="1:18" ht="16">
      <c r="A21" s="33">
        <v>45917</v>
      </c>
      <c r="B21" s="44" t="s">
        <v>13</v>
      </c>
      <c r="C21" s="39">
        <v>172050</v>
      </c>
      <c r="D21" s="35">
        <v>172413</v>
      </c>
      <c r="E21" s="11">
        <f t="shared" si="18"/>
        <v>363</v>
      </c>
      <c r="F21" s="45">
        <v>42</v>
      </c>
      <c r="G21" s="13">
        <f t="shared" si="19"/>
        <v>11.570247933884298</v>
      </c>
      <c r="H21" s="35"/>
      <c r="I21" s="38"/>
      <c r="J21" s="35">
        <f t="shared" si="20"/>
        <v>0</v>
      </c>
      <c r="K21" s="50">
        <f t="shared" si="21"/>
        <v>42</v>
      </c>
      <c r="L21" s="46" t="e">
        <f t="shared" si="22"/>
        <v>#DIV/0!</v>
      </c>
      <c r="M21" s="48">
        <v>18640</v>
      </c>
      <c r="N21" s="47">
        <f t="shared" si="23"/>
        <v>782880</v>
      </c>
      <c r="O21" s="76">
        <f t="shared" si="6"/>
        <v>18</v>
      </c>
      <c r="P21" s="76" t="s">
        <v>83</v>
      </c>
      <c r="Q21" s="223">
        <f>N162</f>
        <v>4834610</v>
      </c>
      <c r="R21" s="223">
        <f t="shared" si="16"/>
        <v>4834610</v>
      </c>
    </row>
    <row r="22" spans="1:18" ht="16">
      <c r="A22" s="33"/>
      <c r="B22" s="44" t="s">
        <v>13</v>
      </c>
      <c r="C22" s="35"/>
      <c r="D22" s="35"/>
      <c r="E22" s="11">
        <f t="shared" si="18"/>
        <v>0</v>
      </c>
      <c r="F22" s="45"/>
      <c r="G22" s="13" t="e">
        <f t="shared" si="19"/>
        <v>#DIV/0!</v>
      </c>
      <c r="H22" s="35"/>
      <c r="I22" s="38"/>
      <c r="J22" s="35">
        <f t="shared" si="20"/>
        <v>0</v>
      </c>
      <c r="K22" s="50">
        <f t="shared" si="21"/>
        <v>0</v>
      </c>
      <c r="L22" s="46" t="e">
        <f t="shared" si="22"/>
        <v>#DIV/0!</v>
      </c>
      <c r="M22" s="48"/>
      <c r="N22" s="47">
        <f t="shared" si="23"/>
        <v>0</v>
      </c>
      <c r="O22" s="76">
        <f t="shared" si="6"/>
        <v>19</v>
      </c>
      <c r="P22" s="76" t="s">
        <v>32</v>
      </c>
      <c r="Q22" s="223">
        <f>N171</f>
        <v>7578440</v>
      </c>
      <c r="R22" s="223">
        <f t="shared" si="16"/>
        <v>7578440</v>
      </c>
    </row>
    <row r="23" spans="1:18" ht="16">
      <c r="A23" s="33"/>
      <c r="B23" s="44" t="s">
        <v>13</v>
      </c>
      <c r="C23" s="35"/>
      <c r="D23" s="35"/>
      <c r="E23" s="11">
        <f t="shared" si="18"/>
        <v>0</v>
      </c>
      <c r="F23" s="45"/>
      <c r="G23" s="13" t="e">
        <f t="shared" si="19"/>
        <v>#DIV/0!</v>
      </c>
      <c r="H23" s="35"/>
      <c r="I23" s="38"/>
      <c r="J23" s="35">
        <f t="shared" si="20"/>
        <v>0</v>
      </c>
      <c r="K23" s="50">
        <f t="shared" si="21"/>
        <v>0</v>
      </c>
      <c r="L23" s="46" t="e">
        <f t="shared" si="22"/>
        <v>#DIV/0!</v>
      </c>
      <c r="M23" s="48"/>
      <c r="N23" s="47">
        <f t="shared" si="23"/>
        <v>0</v>
      </c>
      <c r="O23" s="76">
        <f t="shared" si="6"/>
        <v>20</v>
      </c>
      <c r="P23" s="76" t="s">
        <v>11</v>
      </c>
      <c r="Q23" s="223">
        <f>N10</f>
        <v>4180150</v>
      </c>
      <c r="R23" s="223">
        <f t="shared" si="16"/>
        <v>4180150</v>
      </c>
    </row>
    <row r="24" spans="1:18" ht="16">
      <c r="A24" s="33"/>
      <c r="B24" s="44" t="s">
        <v>13</v>
      </c>
      <c r="C24" s="35"/>
      <c r="D24" s="35"/>
      <c r="E24" s="11">
        <f t="shared" si="18"/>
        <v>0</v>
      </c>
      <c r="F24" s="45"/>
      <c r="G24" s="13" t="e">
        <f t="shared" si="19"/>
        <v>#DIV/0!</v>
      </c>
      <c r="H24" s="35"/>
      <c r="I24" s="38"/>
      <c r="J24" s="35">
        <f t="shared" si="20"/>
        <v>0</v>
      </c>
      <c r="K24" s="50">
        <f t="shared" si="21"/>
        <v>0</v>
      </c>
      <c r="L24" s="46" t="e">
        <f t="shared" si="22"/>
        <v>#DIV/0!</v>
      </c>
      <c r="M24" s="48"/>
      <c r="N24" s="47">
        <f t="shared" si="23"/>
        <v>0</v>
      </c>
      <c r="O24" s="76">
        <f t="shared" si="6"/>
        <v>21</v>
      </c>
      <c r="R24" s="76">
        <f t="shared" si="16"/>
        <v>0</v>
      </c>
    </row>
    <row r="25" spans="1:18" ht="16">
      <c r="A25" s="33"/>
      <c r="B25" s="44" t="s">
        <v>13</v>
      </c>
      <c r="C25" s="35"/>
      <c r="D25" s="35"/>
      <c r="E25" s="11">
        <f t="shared" si="18"/>
        <v>0</v>
      </c>
      <c r="F25" s="45"/>
      <c r="G25" s="13" t="e">
        <f t="shared" si="19"/>
        <v>#DIV/0!</v>
      </c>
      <c r="H25" s="35"/>
      <c r="I25" s="38"/>
      <c r="J25" s="35">
        <f t="shared" si="20"/>
        <v>0</v>
      </c>
      <c r="K25" s="50">
        <f t="shared" si="21"/>
        <v>0</v>
      </c>
      <c r="L25" s="46" t="e">
        <f t="shared" si="22"/>
        <v>#DIV/0!</v>
      </c>
      <c r="M25" s="48"/>
      <c r="N25" s="47">
        <f t="shared" si="23"/>
        <v>0</v>
      </c>
      <c r="O25" s="76">
        <f t="shared" si="6"/>
        <v>22</v>
      </c>
      <c r="R25" s="76">
        <f t="shared" si="16"/>
        <v>0</v>
      </c>
    </row>
    <row r="26" spans="1:18" ht="16">
      <c r="A26" s="70"/>
      <c r="B26" s="44" t="s">
        <v>13</v>
      </c>
      <c r="C26" s="71"/>
      <c r="D26" s="71"/>
      <c r="E26" s="24">
        <f t="shared" si="18"/>
        <v>0</v>
      </c>
      <c r="F26" s="45"/>
      <c r="G26" s="54" t="e">
        <f t="shared" si="19"/>
        <v>#DIV/0!</v>
      </c>
      <c r="H26" s="71"/>
      <c r="I26" s="72"/>
      <c r="J26" s="53">
        <f t="shared" si="20"/>
        <v>0</v>
      </c>
      <c r="K26" s="50">
        <f t="shared" si="21"/>
        <v>0</v>
      </c>
      <c r="L26" s="73" t="e">
        <f t="shared" si="22"/>
        <v>#DIV/0!</v>
      </c>
      <c r="M26" s="74"/>
      <c r="N26" s="57">
        <f t="shared" si="23"/>
        <v>0</v>
      </c>
      <c r="O26" s="76">
        <f t="shared" si="6"/>
        <v>23</v>
      </c>
      <c r="R26" s="76">
        <f t="shared" si="16"/>
        <v>0</v>
      </c>
    </row>
    <row r="27" spans="1:18" ht="16">
      <c r="A27" s="59"/>
      <c r="B27" s="60"/>
      <c r="C27" s="59"/>
      <c r="D27" s="59" t="s">
        <v>19</v>
      </c>
      <c r="E27" s="59">
        <f>SUM(E19:E25)</f>
        <v>-170091</v>
      </c>
      <c r="F27" s="59">
        <f>SUM(F19:F26)</f>
        <v>146</v>
      </c>
      <c r="G27" s="61" t="e">
        <f>AVERAGE(G19:G25)</f>
        <v>#DIV/0!</v>
      </c>
      <c r="H27" s="59"/>
      <c r="I27" s="62"/>
      <c r="J27" s="59">
        <f t="shared" ref="J27:K27" si="24">SUM(J19:J25)</f>
        <v>-25050</v>
      </c>
      <c r="K27" s="59">
        <f t="shared" si="24"/>
        <v>146</v>
      </c>
      <c r="L27" s="61" t="e">
        <f>AVERAGE(L19:L25)</f>
        <v>#DIV/0!</v>
      </c>
      <c r="M27" s="64"/>
      <c r="N27" s="65">
        <f>SUM(N19:N26)</f>
        <v>2712940</v>
      </c>
      <c r="R27" s="223"/>
    </row>
    <row r="28" spans="1:18" ht="16">
      <c r="A28" s="66">
        <v>45906</v>
      </c>
      <c r="B28" s="34" t="s">
        <v>14</v>
      </c>
      <c r="C28" s="83">
        <v>172935</v>
      </c>
      <c r="D28" s="39">
        <v>173640</v>
      </c>
      <c r="E28" s="36">
        <f t="shared" ref="E28:E33" si="25">D28-C28</f>
        <v>705</v>
      </c>
      <c r="F28" s="37">
        <v>40</v>
      </c>
      <c r="G28" s="13">
        <f t="shared" ref="G28:G34" si="26">(F28/E28)*100</f>
        <v>5.6737588652482271</v>
      </c>
      <c r="H28" s="125"/>
      <c r="I28" s="246"/>
      <c r="J28" s="39">
        <f t="shared" ref="J28:J34" si="27">I28-H28</f>
        <v>0</v>
      </c>
      <c r="K28" s="77">
        <f t="shared" ref="K28:K34" si="28">F28</f>
        <v>40</v>
      </c>
      <c r="L28" s="67" t="e">
        <f t="shared" ref="L28:L34" si="29">(K28/J28)*100</f>
        <v>#DIV/0!</v>
      </c>
      <c r="M28" s="68">
        <v>18470</v>
      </c>
      <c r="N28" s="42">
        <f t="shared" ref="N28:N34" si="30">F28*M28</f>
        <v>738800</v>
      </c>
      <c r="R28" s="76">
        <f t="shared" ref="R28:R41" si="31">Q28</f>
        <v>0</v>
      </c>
    </row>
    <row r="29" spans="1:18" ht="16">
      <c r="A29" s="33">
        <v>45911</v>
      </c>
      <c r="B29" s="44" t="s">
        <v>14</v>
      </c>
      <c r="C29" s="35">
        <v>173640</v>
      </c>
      <c r="D29" s="35">
        <v>173970</v>
      </c>
      <c r="E29" s="11">
        <f t="shared" si="25"/>
        <v>330</v>
      </c>
      <c r="F29" s="45">
        <v>40</v>
      </c>
      <c r="G29" s="13">
        <f t="shared" si="26"/>
        <v>12.121212121212121</v>
      </c>
      <c r="H29" s="35"/>
      <c r="I29" s="38"/>
      <c r="J29" s="35">
        <f t="shared" si="27"/>
        <v>0</v>
      </c>
      <c r="K29" s="50">
        <f t="shared" si="28"/>
        <v>40</v>
      </c>
      <c r="L29" s="46" t="e">
        <f t="shared" si="29"/>
        <v>#DIV/0!</v>
      </c>
      <c r="M29" s="48">
        <v>18640</v>
      </c>
      <c r="N29" s="47">
        <f t="shared" si="30"/>
        <v>745600</v>
      </c>
      <c r="R29" s="76">
        <f t="shared" si="31"/>
        <v>0</v>
      </c>
    </row>
    <row r="30" spans="1:18" ht="16">
      <c r="A30" s="33">
        <v>45917</v>
      </c>
      <c r="B30" s="44" t="s">
        <v>14</v>
      </c>
      <c r="C30" s="35">
        <v>173970</v>
      </c>
      <c r="D30" s="35">
        <v>174307</v>
      </c>
      <c r="E30" s="11">
        <f t="shared" si="25"/>
        <v>337</v>
      </c>
      <c r="F30" s="45">
        <v>40</v>
      </c>
      <c r="G30" s="13">
        <f t="shared" si="26"/>
        <v>11.869436201780417</v>
      </c>
      <c r="H30" s="35"/>
      <c r="I30" s="38"/>
      <c r="J30" s="35">
        <f t="shared" si="27"/>
        <v>0</v>
      </c>
      <c r="K30" s="50">
        <f t="shared" si="28"/>
        <v>40</v>
      </c>
      <c r="L30" s="46" t="e">
        <f t="shared" si="29"/>
        <v>#DIV/0!</v>
      </c>
      <c r="M30" s="48">
        <v>18640</v>
      </c>
      <c r="N30" s="47">
        <f t="shared" si="30"/>
        <v>745600</v>
      </c>
      <c r="R30" s="76">
        <f t="shared" si="31"/>
        <v>0</v>
      </c>
    </row>
    <row r="31" spans="1:18" ht="16">
      <c r="A31" s="33">
        <v>45920</v>
      </c>
      <c r="B31" s="44" t="s">
        <v>14</v>
      </c>
      <c r="C31" s="35">
        <v>174307</v>
      </c>
      <c r="D31" s="35">
        <v>174666</v>
      </c>
      <c r="E31" s="11">
        <f t="shared" si="25"/>
        <v>359</v>
      </c>
      <c r="F31" s="45">
        <v>50</v>
      </c>
      <c r="G31" s="13">
        <f t="shared" si="26"/>
        <v>13.92757660167131</v>
      </c>
      <c r="H31" s="35"/>
      <c r="I31" s="38"/>
      <c r="J31" s="35">
        <f t="shared" si="27"/>
        <v>0</v>
      </c>
      <c r="K31" s="50">
        <f t="shared" si="28"/>
        <v>50</v>
      </c>
      <c r="L31" s="46" t="e">
        <f t="shared" si="29"/>
        <v>#DIV/0!</v>
      </c>
      <c r="M31" s="48">
        <v>18700</v>
      </c>
      <c r="N31" s="47">
        <f t="shared" si="30"/>
        <v>935000</v>
      </c>
      <c r="R31" s="76">
        <f t="shared" si="31"/>
        <v>0</v>
      </c>
    </row>
    <row r="32" spans="1:18" ht="16">
      <c r="A32" s="33">
        <v>45926</v>
      </c>
      <c r="B32" s="44" t="s">
        <v>14</v>
      </c>
      <c r="C32" s="35">
        <v>174666</v>
      </c>
      <c r="D32" s="35">
        <v>175068</v>
      </c>
      <c r="E32" s="11">
        <f t="shared" si="25"/>
        <v>402</v>
      </c>
      <c r="F32" s="45">
        <v>50</v>
      </c>
      <c r="G32" s="13">
        <f t="shared" si="26"/>
        <v>12.437810945273633</v>
      </c>
      <c r="H32" s="35"/>
      <c r="I32" s="38"/>
      <c r="J32" s="35">
        <f t="shared" si="27"/>
        <v>0</v>
      </c>
      <c r="K32" s="50">
        <f t="shared" si="28"/>
        <v>50</v>
      </c>
      <c r="L32" s="46" t="e">
        <f t="shared" si="29"/>
        <v>#DIV/0!</v>
      </c>
      <c r="M32" s="48">
        <v>18650</v>
      </c>
      <c r="N32" s="47">
        <f t="shared" si="30"/>
        <v>932500</v>
      </c>
      <c r="R32" s="76">
        <f t="shared" si="31"/>
        <v>0</v>
      </c>
    </row>
    <row r="33" spans="1:18" ht="16">
      <c r="A33" s="33"/>
      <c r="B33" s="44" t="s">
        <v>14</v>
      </c>
      <c r="C33" s="35"/>
      <c r="D33" s="35"/>
      <c r="E33" s="11">
        <f t="shared" si="25"/>
        <v>0</v>
      </c>
      <c r="F33" s="45"/>
      <c r="G33" s="13" t="e">
        <f t="shared" si="26"/>
        <v>#DIV/0!</v>
      </c>
      <c r="H33" s="35"/>
      <c r="I33" s="38"/>
      <c r="J33" s="35">
        <f t="shared" si="27"/>
        <v>0</v>
      </c>
      <c r="K33" s="50">
        <f t="shared" si="28"/>
        <v>0</v>
      </c>
      <c r="L33" s="46" t="e">
        <f t="shared" si="29"/>
        <v>#DIV/0!</v>
      </c>
      <c r="M33" s="48"/>
      <c r="N33" s="47">
        <f t="shared" si="30"/>
        <v>0</v>
      </c>
      <c r="R33" s="76">
        <f t="shared" si="31"/>
        <v>0</v>
      </c>
    </row>
    <row r="34" spans="1:18" ht="16">
      <c r="A34" s="238"/>
      <c r="B34" s="239"/>
      <c r="C34" s="53"/>
      <c r="D34" s="53"/>
      <c r="E34" s="24"/>
      <c r="F34" s="45"/>
      <c r="G34" s="54" t="e">
        <f t="shared" si="26"/>
        <v>#DIV/0!</v>
      </c>
      <c r="H34" s="53"/>
      <c r="I34" s="55"/>
      <c r="J34" s="53">
        <f t="shared" si="27"/>
        <v>0</v>
      </c>
      <c r="K34" s="50">
        <f t="shared" si="28"/>
        <v>0</v>
      </c>
      <c r="L34" s="73" t="e">
        <f t="shared" si="29"/>
        <v>#DIV/0!</v>
      </c>
      <c r="M34" s="48"/>
      <c r="N34" s="57">
        <f t="shared" si="30"/>
        <v>0</v>
      </c>
      <c r="R34" s="76">
        <f t="shared" si="31"/>
        <v>0</v>
      </c>
    </row>
    <row r="35" spans="1:18" ht="16">
      <c r="A35" s="59"/>
      <c r="B35" s="60"/>
      <c r="C35" s="59"/>
      <c r="D35" s="59" t="s">
        <v>19</v>
      </c>
      <c r="E35" s="59">
        <f>SUM(E28:E34)</f>
        <v>2133</v>
      </c>
      <c r="F35" s="37"/>
      <c r="G35" s="61" t="e">
        <f>AVERAGE(G28:G34)</f>
        <v>#DIV/0!</v>
      </c>
      <c r="H35" s="59"/>
      <c r="I35" s="62"/>
      <c r="J35" s="59">
        <f t="shared" ref="J35:K35" si="32">SUM(J28:J34)</f>
        <v>0</v>
      </c>
      <c r="K35" s="59">
        <f t="shared" si="32"/>
        <v>220</v>
      </c>
      <c r="L35" s="61" t="e">
        <f>AVERAGE(L28:L34)</f>
        <v>#DIV/0!</v>
      </c>
      <c r="M35" s="64"/>
      <c r="N35" s="65">
        <f>SUM(N28:N34)</f>
        <v>4097500</v>
      </c>
      <c r="R35" s="76">
        <f t="shared" si="31"/>
        <v>0</v>
      </c>
    </row>
    <row r="36" spans="1:18" ht="16">
      <c r="A36" s="66">
        <v>45905</v>
      </c>
      <c r="B36" s="34" t="s">
        <v>15</v>
      </c>
      <c r="C36" s="83">
        <v>159197</v>
      </c>
      <c r="D36" s="39">
        <v>159465</v>
      </c>
      <c r="E36" s="36">
        <f t="shared" ref="E36:E43" si="33">D36-C36</f>
        <v>268</v>
      </c>
      <c r="F36" s="37">
        <v>30</v>
      </c>
      <c r="G36" s="13">
        <f t="shared" ref="G36:G43" si="34">(F36/E36)*100</f>
        <v>11.194029850746269</v>
      </c>
      <c r="H36" s="83"/>
      <c r="I36" s="243"/>
      <c r="J36" s="39">
        <f t="shared" ref="J36:J41" si="35">I36-H36</f>
        <v>0</v>
      </c>
      <c r="K36" s="77">
        <f t="shared" ref="K36:K43" si="36">F36</f>
        <v>30</v>
      </c>
      <c r="L36" s="67" t="e">
        <f t="shared" ref="L36:L43" si="37">(K36/J36)*100</f>
        <v>#DIV/0!</v>
      </c>
      <c r="M36" s="68">
        <v>18470</v>
      </c>
      <c r="N36" s="42">
        <f t="shared" ref="N36:N43" si="38">F36*M36</f>
        <v>554100</v>
      </c>
      <c r="R36" s="76">
        <f t="shared" si="31"/>
        <v>0</v>
      </c>
    </row>
    <row r="37" spans="1:18" ht="16">
      <c r="A37" s="33">
        <v>45910</v>
      </c>
      <c r="B37" s="44" t="s">
        <v>15</v>
      </c>
      <c r="C37" s="35">
        <v>159465</v>
      </c>
      <c r="D37" s="35">
        <v>159740</v>
      </c>
      <c r="E37" s="11">
        <f t="shared" si="33"/>
        <v>275</v>
      </c>
      <c r="F37" s="45">
        <v>45</v>
      </c>
      <c r="G37" s="13">
        <f t="shared" si="34"/>
        <v>16.363636363636363</v>
      </c>
      <c r="H37" s="38"/>
      <c r="I37" s="38">
        <v>24520</v>
      </c>
      <c r="J37" s="35">
        <f t="shared" si="35"/>
        <v>24520</v>
      </c>
      <c r="K37" s="50">
        <f t="shared" si="36"/>
        <v>45</v>
      </c>
      <c r="L37" s="46">
        <f t="shared" si="37"/>
        <v>0.18352365415986949</v>
      </c>
      <c r="M37" s="48">
        <v>18470</v>
      </c>
      <c r="N37" s="47">
        <f t="shared" si="38"/>
        <v>831150</v>
      </c>
      <c r="P37" s="78"/>
      <c r="R37" s="76">
        <f t="shared" si="31"/>
        <v>0</v>
      </c>
    </row>
    <row r="38" spans="1:18" ht="16">
      <c r="A38" s="33">
        <v>45916</v>
      </c>
      <c r="B38" s="44" t="s">
        <v>15</v>
      </c>
      <c r="C38" s="35">
        <v>159740</v>
      </c>
      <c r="D38" s="35">
        <v>160094</v>
      </c>
      <c r="E38" s="11">
        <f t="shared" si="33"/>
        <v>354</v>
      </c>
      <c r="F38" s="45">
        <v>42</v>
      </c>
      <c r="G38" s="13">
        <f t="shared" si="34"/>
        <v>11.864406779661017</v>
      </c>
      <c r="H38" s="35"/>
      <c r="I38" s="38"/>
      <c r="J38" s="35">
        <f t="shared" si="35"/>
        <v>0</v>
      </c>
      <c r="K38" s="50">
        <f t="shared" si="36"/>
        <v>42</v>
      </c>
      <c r="L38" s="46" t="e">
        <f t="shared" si="37"/>
        <v>#DIV/0!</v>
      </c>
      <c r="M38" s="48">
        <v>18640</v>
      </c>
      <c r="N38" s="47">
        <f t="shared" si="38"/>
        <v>782880</v>
      </c>
      <c r="R38" s="76">
        <f t="shared" si="31"/>
        <v>0</v>
      </c>
    </row>
    <row r="39" spans="1:18" ht="16">
      <c r="A39" s="33">
        <v>45919</v>
      </c>
      <c r="B39" s="44" t="s">
        <v>15</v>
      </c>
      <c r="C39" s="35">
        <v>160094</v>
      </c>
      <c r="D39" s="35">
        <v>160416</v>
      </c>
      <c r="E39" s="11">
        <f t="shared" si="33"/>
        <v>322</v>
      </c>
      <c r="F39" s="45">
        <v>40</v>
      </c>
      <c r="G39" s="13">
        <f t="shared" si="34"/>
        <v>12.422360248447205</v>
      </c>
      <c r="H39" s="35"/>
      <c r="I39" s="38"/>
      <c r="J39" s="35">
        <f t="shared" si="35"/>
        <v>0</v>
      </c>
      <c r="K39" s="50">
        <f t="shared" si="36"/>
        <v>40</v>
      </c>
      <c r="L39" s="46" t="e">
        <f t="shared" si="37"/>
        <v>#DIV/0!</v>
      </c>
      <c r="M39" s="48">
        <v>18700</v>
      </c>
      <c r="N39" s="47">
        <f t="shared" si="38"/>
        <v>748000</v>
      </c>
      <c r="R39" s="76">
        <f t="shared" si="31"/>
        <v>0</v>
      </c>
    </row>
    <row r="40" spans="1:18" ht="16">
      <c r="A40" s="33">
        <v>45924</v>
      </c>
      <c r="B40" s="44" t="s">
        <v>15</v>
      </c>
      <c r="C40" s="35">
        <v>160416</v>
      </c>
      <c r="D40" s="35">
        <v>160699</v>
      </c>
      <c r="E40" s="11">
        <f t="shared" si="33"/>
        <v>283</v>
      </c>
      <c r="F40" s="45">
        <v>34</v>
      </c>
      <c r="G40" s="13">
        <f t="shared" si="34"/>
        <v>12.014134275618375</v>
      </c>
      <c r="H40" s="35"/>
      <c r="I40" s="38"/>
      <c r="J40" s="35">
        <f t="shared" si="35"/>
        <v>0</v>
      </c>
      <c r="K40" s="50">
        <f t="shared" si="36"/>
        <v>34</v>
      </c>
      <c r="L40" s="46" t="e">
        <f t="shared" si="37"/>
        <v>#DIV/0!</v>
      </c>
      <c r="M40" s="48">
        <v>18700</v>
      </c>
      <c r="N40" s="47">
        <f t="shared" si="38"/>
        <v>635800</v>
      </c>
      <c r="R40" s="76">
        <f t="shared" si="31"/>
        <v>0</v>
      </c>
    </row>
    <row r="41" spans="1:18" ht="16">
      <c r="A41" s="33">
        <v>45926</v>
      </c>
      <c r="B41" s="44" t="s">
        <v>15</v>
      </c>
      <c r="C41" s="35">
        <v>160699</v>
      </c>
      <c r="D41" s="35">
        <v>161012</v>
      </c>
      <c r="E41" s="11">
        <f t="shared" si="33"/>
        <v>313</v>
      </c>
      <c r="F41" s="45">
        <v>40</v>
      </c>
      <c r="G41" s="13">
        <f t="shared" si="34"/>
        <v>12.779552715654951</v>
      </c>
      <c r="H41" s="35"/>
      <c r="I41" s="38"/>
      <c r="J41" s="35">
        <f t="shared" si="35"/>
        <v>0</v>
      </c>
      <c r="K41" s="50">
        <f t="shared" si="36"/>
        <v>40</v>
      </c>
      <c r="L41" s="46" t="e">
        <f t="shared" si="37"/>
        <v>#DIV/0!</v>
      </c>
      <c r="M41" s="48">
        <v>18650</v>
      </c>
      <c r="N41" s="47">
        <f t="shared" si="38"/>
        <v>746000</v>
      </c>
      <c r="R41" s="76">
        <f t="shared" si="31"/>
        <v>0</v>
      </c>
    </row>
    <row r="42" spans="1:18" ht="16">
      <c r="A42" s="33"/>
      <c r="B42" s="44" t="s">
        <v>87</v>
      </c>
      <c r="C42" s="35"/>
      <c r="D42" s="35"/>
      <c r="E42" s="11">
        <f t="shared" si="33"/>
        <v>0</v>
      </c>
      <c r="F42" s="45"/>
      <c r="G42" s="13" t="e">
        <f t="shared" si="34"/>
        <v>#DIV/0!</v>
      </c>
      <c r="H42" s="35"/>
      <c r="I42" s="38"/>
      <c r="J42" s="35"/>
      <c r="K42" s="50">
        <f t="shared" si="36"/>
        <v>0</v>
      </c>
      <c r="L42" s="46" t="e">
        <f t="shared" si="37"/>
        <v>#DIV/0!</v>
      </c>
      <c r="M42" s="48"/>
      <c r="N42" s="47">
        <f t="shared" si="38"/>
        <v>0</v>
      </c>
    </row>
    <row r="43" spans="1:18" ht="16">
      <c r="A43" s="33"/>
      <c r="B43" s="79" t="s">
        <v>15</v>
      </c>
      <c r="C43" s="35"/>
      <c r="D43" s="53"/>
      <c r="E43" s="24">
        <f t="shared" si="33"/>
        <v>0</v>
      </c>
      <c r="F43" s="45"/>
      <c r="G43" s="54" t="e">
        <f t="shared" si="34"/>
        <v>#DIV/0!</v>
      </c>
      <c r="H43" s="53"/>
      <c r="I43" s="55"/>
      <c r="J43" s="53">
        <f>I43-H43</f>
        <v>0</v>
      </c>
      <c r="K43" s="50">
        <f t="shared" si="36"/>
        <v>0</v>
      </c>
      <c r="L43" s="73" t="e">
        <f t="shared" si="37"/>
        <v>#DIV/0!</v>
      </c>
      <c r="M43" s="48"/>
      <c r="N43" s="57">
        <f t="shared" si="38"/>
        <v>0</v>
      </c>
      <c r="R43" s="76">
        <f t="shared" ref="R43:R51" si="39">Q43</f>
        <v>0</v>
      </c>
    </row>
    <row r="44" spans="1:18" ht="16">
      <c r="A44" s="59"/>
      <c r="B44" s="60"/>
      <c r="C44" s="59"/>
      <c r="D44" s="59" t="s">
        <v>19</v>
      </c>
      <c r="E44" s="59">
        <f t="shared" ref="E44:F44" si="40">SUM(E36:E43)</f>
        <v>1815</v>
      </c>
      <c r="F44" s="59">
        <f t="shared" si="40"/>
        <v>231</v>
      </c>
      <c r="G44" s="61" t="e">
        <f>AVERAGE(G36:G43)</f>
        <v>#DIV/0!</v>
      </c>
      <c r="H44" s="59"/>
      <c r="I44" s="62"/>
      <c r="J44" s="59">
        <f t="shared" ref="J44:K44" si="41">SUM(J36:J43)</f>
        <v>24520</v>
      </c>
      <c r="K44" s="59">
        <f t="shared" si="41"/>
        <v>231</v>
      </c>
      <c r="L44" s="61" t="e">
        <f>AVERAGE(L36:L43)</f>
        <v>#DIV/0!</v>
      </c>
      <c r="M44" s="64"/>
      <c r="N44" s="65">
        <f>SUM(N36:N43)</f>
        <v>4297930</v>
      </c>
      <c r="R44" s="76">
        <f t="shared" si="39"/>
        <v>0</v>
      </c>
    </row>
    <row r="45" spans="1:18" ht="16">
      <c r="A45" s="89">
        <v>45904</v>
      </c>
      <c r="B45" s="34" t="s">
        <v>16</v>
      </c>
      <c r="C45" s="83">
        <v>136135</v>
      </c>
      <c r="D45" s="39">
        <v>136420</v>
      </c>
      <c r="E45" s="36">
        <f t="shared" ref="E45:E54" si="42">D45-C45</f>
        <v>285</v>
      </c>
      <c r="F45" s="37">
        <v>35</v>
      </c>
      <c r="G45" s="13">
        <f t="shared" ref="G45:G54" si="43">(F45/E45)*100</f>
        <v>12.280701754385964</v>
      </c>
      <c r="H45" s="125"/>
      <c r="I45" s="246">
        <v>25018</v>
      </c>
      <c r="J45" s="39">
        <f t="shared" ref="J45:J50" si="44">I45-H45</f>
        <v>25018</v>
      </c>
      <c r="K45" s="77">
        <f t="shared" ref="K45:K54" si="45">F45</f>
        <v>35</v>
      </c>
      <c r="L45" s="67">
        <f t="shared" ref="L45:L54" si="46">(K45/J45)*100</f>
        <v>0.13989927252378287</v>
      </c>
      <c r="M45" s="68">
        <v>18470</v>
      </c>
      <c r="N45" s="42">
        <f t="shared" ref="N45:N54" si="47">F45*M45</f>
        <v>646450</v>
      </c>
      <c r="R45" s="76">
        <f t="shared" si="39"/>
        <v>0</v>
      </c>
    </row>
    <row r="46" spans="1:18" ht="16">
      <c r="A46" s="80">
        <v>45908</v>
      </c>
      <c r="B46" s="44" t="s">
        <v>16</v>
      </c>
      <c r="C46" s="12">
        <v>136420</v>
      </c>
      <c r="D46" s="35">
        <v>136730</v>
      </c>
      <c r="E46" s="11">
        <f t="shared" si="42"/>
        <v>310</v>
      </c>
      <c r="F46" s="45">
        <v>44</v>
      </c>
      <c r="G46" s="13">
        <f t="shared" si="43"/>
        <v>14.193548387096774</v>
      </c>
      <c r="H46" s="35">
        <v>25018</v>
      </c>
      <c r="I46" s="38">
        <v>25300</v>
      </c>
      <c r="J46" s="35">
        <f t="shared" si="44"/>
        <v>282</v>
      </c>
      <c r="K46" s="50">
        <f t="shared" si="45"/>
        <v>44</v>
      </c>
      <c r="L46" s="46">
        <f t="shared" si="46"/>
        <v>15.602836879432624</v>
      </c>
      <c r="M46" s="48">
        <v>18470</v>
      </c>
      <c r="N46" s="47">
        <f t="shared" si="47"/>
        <v>812680</v>
      </c>
      <c r="R46" s="76">
        <f t="shared" si="39"/>
        <v>0</v>
      </c>
    </row>
    <row r="47" spans="1:18" ht="16">
      <c r="A47" s="80">
        <v>45911</v>
      </c>
      <c r="B47" s="44" t="s">
        <v>16</v>
      </c>
      <c r="C47" s="35">
        <v>136730</v>
      </c>
      <c r="D47" s="35">
        <v>136980</v>
      </c>
      <c r="E47" s="11">
        <f t="shared" si="42"/>
        <v>250</v>
      </c>
      <c r="F47" s="45">
        <v>30</v>
      </c>
      <c r="G47" s="13">
        <f t="shared" si="43"/>
        <v>12</v>
      </c>
      <c r="H47" s="38">
        <v>25300</v>
      </c>
      <c r="I47" s="38">
        <v>25530</v>
      </c>
      <c r="J47" s="35">
        <f t="shared" si="44"/>
        <v>230</v>
      </c>
      <c r="K47" s="50">
        <f t="shared" si="45"/>
        <v>30</v>
      </c>
      <c r="L47" s="46">
        <f t="shared" si="46"/>
        <v>13.043478260869565</v>
      </c>
      <c r="M47" s="48">
        <v>18470</v>
      </c>
      <c r="N47" s="47">
        <f t="shared" si="47"/>
        <v>554100</v>
      </c>
      <c r="R47" s="76">
        <f t="shared" si="39"/>
        <v>0</v>
      </c>
    </row>
    <row r="48" spans="1:18" ht="16">
      <c r="A48" s="80">
        <v>45915</v>
      </c>
      <c r="B48" s="44" t="s">
        <v>16</v>
      </c>
      <c r="C48" s="35">
        <v>136980</v>
      </c>
      <c r="D48" s="35">
        <v>137273</v>
      </c>
      <c r="E48" s="11">
        <f t="shared" si="42"/>
        <v>293</v>
      </c>
      <c r="F48" s="45">
        <v>37</v>
      </c>
      <c r="G48" s="13">
        <f t="shared" si="43"/>
        <v>12.627986348122866</v>
      </c>
      <c r="H48" s="38">
        <v>25530</v>
      </c>
      <c r="I48" s="38">
        <v>25840</v>
      </c>
      <c r="J48" s="35">
        <f t="shared" si="44"/>
        <v>310</v>
      </c>
      <c r="K48" s="50">
        <f t="shared" si="45"/>
        <v>37</v>
      </c>
      <c r="L48" s="46">
        <f t="shared" si="46"/>
        <v>11.935483870967742</v>
      </c>
      <c r="M48" s="48">
        <v>18640</v>
      </c>
      <c r="N48" s="47">
        <f t="shared" si="47"/>
        <v>689680</v>
      </c>
      <c r="P48" s="78"/>
      <c r="R48" s="76">
        <f t="shared" si="39"/>
        <v>0</v>
      </c>
    </row>
    <row r="49" spans="1:18" ht="16">
      <c r="A49" s="263">
        <v>45922</v>
      </c>
      <c r="B49" s="44" t="s">
        <v>16</v>
      </c>
      <c r="C49" s="35">
        <v>137273</v>
      </c>
      <c r="D49" s="35">
        <v>137593</v>
      </c>
      <c r="E49" s="11">
        <f t="shared" si="42"/>
        <v>320</v>
      </c>
      <c r="F49" s="45">
        <v>40</v>
      </c>
      <c r="G49" s="13">
        <f t="shared" si="43"/>
        <v>12.5</v>
      </c>
      <c r="H49" s="35"/>
      <c r="I49" s="38"/>
      <c r="J49" s="35">
        <f t="shared" si="44"/>
        <v>0</v>
      </c>
      <c r="K49" s="50">
        <f t="shared" si="45"/>
        <v>40</v>
      </c>
      <c r="L49" s="46" t="e">
        <f t="shared" si="46"/>
        <v>#DIV/0!</v>
      </c>
      <c r="M49" s="48">
        <v>18700</v>
      </c>
      <c r="N49" s="47">
        <f t="shared" si="47"/>
        <v>748000</v>
      </c>
      <c r="R49" s="76">
        <f t="shared" si="39"/>
        <v>0</v>
      </c>
    </row>
    <row r="50" spans="1:18" ht="16">
      <c r="A50" s="80">
        <v>45924</v>
      </c>
      <c r="B50" s="44" t="s">
        <v>16</v>
      </c>
      <c r="C50" s="35">
        <v>137593</v>
      </c>
      <c r="D50" s="35">
        <v>137831</v>
      </c>
      <c r="E50" s="11">
        <f t="shared" si="42"/>
        <v>238</v>
      </c>
      <c r="F50" s="45">
        <v>35</v>
      </c>
      <c r="G50" s="13">
        <f t="shared" si="43"/>
        <v>14.705882352941178</v>
      </c>
      <c r="H50" s="35"/>
      <c r="I50" s="38"/>
      <c r="J50" s="35">
        <f t="shared" si="44"/>
        <v>0</v>
      </c>
      <c r="K50" s="50">
        <f t="shared" si="45"/>
        <v>35</v>
      </c>
      <c r="L50" s="46" t="e">
        <f t="shared" si="46"/>
        <v>#DIV/0!</v>
      </c>
      <c r="M50" s="48">
        <v>18700</v>
      </c>
      <c r="N50" s="47">
        <f t="shared" si="47"/>
        <v>654500</v>
      </c>
      <c r="R50" s="76">
        <f t="shared" si="39"/>
        <v>0</v>
      </c>
    </row>
    <row r="51" spans="1:18" ht="16">
      <c r="A51" s="80">
        <v>45926</v>
      </c>
      <c r="B51" s="44" t="s">
        <v>16</v>
      </c>
      <c r="C51" s="35">
        <v>137831</v>
      </c>
      <c r="D51" s="35">
        <v>138162</v>
      </c>
      <c r="E51" s="11">
        <f t="shared" si="42"/>
        <v>331</v>
      </c>
      <c r="F51" s="45">
        <v>40</v>
      </c>
      <c r="G51" s="13">
        <f t="shared" si="43"/>
        <v>12.084592145015106</v>
      </c>
      <c r="H51" s="35"/>
      <c r="I51" s="38"/>
      <c r="J51" s="35"/>
      <c r="K51" s="50">
        <f t="shared" si="45"/>
        <v>40</v>
      </c>
      <c r="L51" s="46" t="e">
        <f t="shared" si="46"/>
        <v>#DIV/0!</v>
      </c>
      <c r="M51" s="48">
        <v>18650</v>
      </c>
      <c r="N51" s="47">
        <f t="shared" si="47"/>
        <v>746000</v>
      </c>
      <c r="R51" s="76">
        <f t="shared" si="39"/>
        <v>0</v>
      </c>
    </row>
    <row r="52" spans="1:18" ht="16">
      <c r="A52" s="80"/>
      <c r="B52" s="44" t="s">
        <v>88</v>
      </c>
      <c r="C52" s="12"/>
      <c r="D52" s="35"/>
      <c r="E52" s="11">
        <f t="shared" si="42"/>
        <v>0</v>
      </c>
      <c r="F52" s="45"/>
      <c r="G52" s="13" t="e">
        <f t="shared" si="43"/>
        <v>#DIV/0!</v>
      </c>
      <c r="H52" s="35"/>
      <c r="I52" s="38"/>
      <c r="J52" s="35"/>
      <c r="K52" s="50">
        <f t="shared" si="45"/>
        <v>0</v>
      </c>
      <c r="L52" s="46" t="e">
        <f t="shared" si="46"/>
        <v>#DIV/0!</v>
      </c>
      <c r="M52" s="48"/>
      <c r="N52" s="47">
        <f t="shared" si="47"/>
        <v>0</v>
      </c>
    </row>
    <row r="53" spans="1:18" ht="16">
      <c r="A53" s="80"/>
      <c r="B53" s="44" t="s">
        <v>16</v>
      </c>
      <c r="C53" s="12"/>
      <c r="D53" s="35"/>
      <c r="E53" s="11">
        <f t="shared" si="42"/>
        <v>0</v>
      </c>
      <c r="F53" s="45"/>
      <c r="G53" s="13" t="e">
        <f t="shared" si="43"/>
        <v>#DIV/0!</v>
      </c>
      <c r="H53" s="35"/>
      <c r="I53" s="38"/>
      <c r="J53" s="35"/>
      <c r="K53" s="50">
        <f t="shared" si="45"/>
        <v>0</v>
      </c>
      <c r="L53" s="46" t="e">
        <f t="shared" si="46"/>
        <v>#DIV/0!</v>
      </c>
      <c r="M53" s="48"/>
      <c r="N53" s="47">
        <f t="shared" si="47"/>
        <v>0</v>
      </c>
      <c r="R53" s="76">
        <f t="shared" ref="R53:R153" si="48">Q53</f>
        <v>0</v>
      </c>
    </row>
    <row r="54" spans="1:18" ht="16">
      <c r="A54" s="80"/>
      <c r="B54" s="44" t="s">
        <v>16</v>
      </c>
      <c r="C54" s="53"/>
      <c r="D54" s="53"/>
      <c r="E54" s="24">
        <f t="shared" si="42"/>
        <v>0</v>
      </c>
      <c r="F54" s="45"/>
      <c r="G54" s="54" t="e">
        <f t="shared" si="43"/>
        <v>#DIV/0!</v>
      </c>
      <c r="H54" s="53"/>
      <c r="I54" s="55"/>
      <c r="J54" s="53">
        <f>I54-H54</f>
        <v>0</v>
      </c>
      <c r="K54" s="50">
        <f t="shared" si="45"/>
        <v>0</v>
      </c>
      <c r="L54" s="73" t="e">
        <f t="shared" si="46"/>
        <v>#DIV/0!</v>
      </c>
      <c r="M54" s="48"/>
      <c r="N54" s="57">
        <f t="shared" si="47"/>
        <v>0</v>
      </c>
      <c r="R54" s="76">
        <f t="shared" si="48"/>
        <v>0</v>
      </c>
    </row>
    <row r="55" spans="1:18" ht="16">
      <c r="A55" s="59"/>
      <c r="B55" s="60"/>
      <c r="C55" s="81"/>
      <c r="D55" s="59" t="s">
        <v>19</v>
      </c>
      <c r="E55" s="59">
        <f>SUM(E45:E54)</f>
        <v>2027</v>
      </c>
      <c r="F55" s="37"/>
      <c r="G55" s="61" t="e">
        <f>AVERAGE(G45:G54)</f>
        <v>#DIV/0!</v>
      </c>
      <c r="H55" s="59"/>
      <c r="I55" s="62"/>
      <c r="J55" s="59">
        <f t="shared" ref="J55:K55" si="49">SUM(J45:J54)</f>
        <v>25840</v>
      </c>
      <c r="K55" s="59">
        <f t="shared" si="49"/>
        <v>261</v>
      </c>
      <c r="L55" s="61" t="e">
        <f>AVERAGE(L45:L54)</f>
        <v>#DIV/0!</v>
      </c>
      <c r="M55" s="64"/>
      <c r="N55" s="65">
        <f>SUM(N45:N54)</f>
        <v>4851410</v>
      </c>
      <c r="R55" s="76">
        <f t="shared" si="48"/>
        <v>0</v>
      </c>
    </row>
    <row r="56" spans="1:18" ht="16">
      <c r="A56" s="66">
        <v>45905</v>
      </c>
      <c r="B56" s="82" t="s">
        <v>18</v>
      </c>
      <c r="C56" s="12">
        <v>140768</v>
      </c>
      <c r="D56" s="39">
        <v>141388</v>
      </c>
      <c r="E56" s="36">
        <f t="shared" ref="E56:E63" si="50">D56-C56</f>
        <v>620</v>
      </c>
      <c r="F56" s="37">
        <v>44</v>
      </c>
      <c r="G56" s="13">
        <f t="shared" ref="G56:G63" si="51">(F56/E56)*100</f>
        <v>7.096774193548387</v>
      </c>
      <c r="H56" s="125"/>
      <c r="I56" s="246">
        <v>17603</v>
      </c>
      <c r="J56" s="39">
        <f t="shared" ref="J56:J63" si="52">I56-H56</f>
        <v>17603</v>
      </c>
      <c r="K56" s="77">
        <f t="shared" ref="K56:K63" si="53">F56</f>
        <v>44</v>
      </c>
      <c r="L56" s="67">
        <f t="shared" ref="L56:L63" si="54">(K56/J56)*100</f>
        <v>0.24995739362608646</v>
      </c>
      <c r="M56" s="68">
        <v>18470</v>
      </c>
      <c r="N56" s="42">
        <f t="shared" ref="N56:N63" si="55">F56*M56</f>
        <v>812680</v>
      </c>
      <c r="R56" s="76">
        <f t="shared" si="48"/>
        <v>0</v>
      </c>
    </row>
    <row r="57" spans="1:18" ht="16">
      <c r="A57" s="33">
        <v>45911</v>
      </c>
      <c r="B57" s="44" t="s">
        <v>18</v>
      </c>
      <c r="C57" s="12">
        <v>141388</v>
      </c>
      <c r="D57" s="35">
        <v>141740</v>
      </c>
      <c r="E57" s="11">
        <f t="shared" si="50"/>
        <v>352</v>
      </c>
      <c r="F57" s="45">
        <v>48</v>
      </c>
      <c r="G57" s="13">
        <f t="shared" si="51"/>
        <v>13.636363636363635</v>
      </c>
      <c r="H57" s="35">
        <v>17603</v>
      </c>
      <c r="I57" s="38">
        <v>17890</v>
      </c>
      <c r="J57" s="35">
        <f t="shared" si="52"/>
        <v>287</v>
      </c>
      <c r="K57" s="50">
        <f t="shared" si="53"/>
        <v>48</v>
      </c>
      <c r="L57" s="46">
        <f t="shared" si="54"/>
        <v>16.724738675958189</v>
      </c>
      <c r="M57" s="48">
        <v>18470</v>
      </c>
      <c r="N57" s="47">
        <f t="shared" si="55"/>
        <v>886560</v>
      </c>
      <c r="R57" s="76">
        <f t="shared" si="48"/>
        <v>0</v>
      </c>
    </row>
    <row r="58" spans="1:18" ht="16">
      <c r="A58" s="33">
        <v>45915</v>
      </c>
      <c r="B58" s="44" t="s">
        <v>18</v>
      </c>
      <c r="C58" s="12">
        <v>141740</v>
      </c>
      <c r="D58" s="35">
        <v>142077</v>
      </c>
      <c r="E58" s="11">
        <f t="shared" si="50"/>
        <v>337</v>
      </c>
      <c r="F58" s="45">
        <v>45</v>
      </c>
      <c r="G58" s="13">
        <f t="shared" si="51"/>
        <v>13.353115727002967</v>
      </c>
      <c r="H58" s="35">
        <v>17890</v>
      </c>
      <c r="I58" s="38">
        <v>18358</v>
      </c>
      <c r="J58" s="35">
        <f t="shared" si="52"/>
        <v>468</v>
      </c>
      <c r="K58" s="50">
        <f t="shared" si="53"/>
        <v>45</v>
      </c>
      <c r="L58" s="46">
        <f t="shared" si="54"/>
        <v>9.6153846153846168</v>
      </c>
      <c r="M58" s="48">
        <v>18640</v>
      </c>
      <c r="N58" s="47">
        <f t="shared" si="55"/>
        <v>838800</v>
      </c>
      <c r="R58" s="76">
        <f t="shared" si="48"/>
        <v>0</v>
      </c>
    </row>
    <row r="59" spans="1:18" ht="16">
      <c r="A59" s="33">
        <v>45918</v>
      </c>
      <c r="B59" s="44" t="s">
        <v>18</v>
      </c>
      <c r="C59" s="35">
        <v>142077</v>
      </c>
      <c r="D59" s="35">
        <v>142415</v>
      </c>
      <c r="E59" s="11">
        <f t="shared" si="50"/>
        <v>338</v>
      </c>
      <c r="F59" s="45">
        <v>42</v>
      </c>
      <c r="G59" s="13">
        <f t="shared" si="51"/>
        <v>12.42603550295858</v>
      </c>
      <c r="H59" s="35"/>
      <c r="I59" s="38"/>
      <c r="J59" s="35">
        <f t="shared" si="52"/>
        <v>0</v>
      </c>
      <c r="K59" s="50">
        <f t="shared" si="53"/>
        <v>42</v>
      </c>
      <c r="L59" s="46" t="e">
        <f t="shared" si="54"/>
        <v>#DIV/0!</v>
      </c>
      <c r="M59" s="48">
        <v>18640</v>
      </c>
      <c r="N59" s="47">
        <f t="shared" si="55"/>
        <v>782880</v>
      </c>
      <c r="R59" s="76">
        <f t="shared" si="48"/>
        <v>0</v>
      </c>
    </row>
    <row r="60" spans="1:18" ht="16">
      <c r="A60" s="33">
        <v>45920</v>
      </c>
      <c r="B60" s="44" t="s">
        <v>18</v>
      </c>
      <c r="C60" s="35">
        <v>142415</v>
      </c>
      <c r="D60" s="35">
        <v>142720</v>
      </c>
      <c r="E60" s="11">
        <f t="shared" si="50"/>
        <v>305</v>
      </c>
      <c r="F60" s="45">
        <v>42</v>
      </c>
      <c r="G60" s="13">
        <f t="shared" si="51"/>
        <v>13.77049180327869</v>
      </c>
      <c r="H60" s="35"/>
      <c r="I60" s="38"/>
      <c r="J60" s="35">
        <f t="shared" si="52"/>
        <v>0</v>
      </c>
      <c r="K60" s="50">
        <f t="shared" si="53"/>
        <v>42</v>
      </c>
      <c r="L60" s="46" t="e">
        <f t="shared" si="54"/>
        <v>#DIV/0!</v>
      </c>
      <c r="M60" s="48">
        <v>18700</v>
      </c>
      <c r="N60" s="47">
        <f t="shared" si="55"/>
        <v>785400</v>
      </c>
      <c r="R60" s="76">
        <f t="shared" si="48"/>
        <v>0</v>
      </c>
    </row>
    <row r="61" spans="1:18" ht="16">
      <c r="A61" s="33">
        <v>45925</v>
      </c>
      <c r="B61" s="44" t="s">
        <v>18</v>
      </c>
      <c r="C61" s="35">
        <v>142720</v>
      </c>
      <c r="D61" s="35">
        <v>143076</v>
      </c>
      <c r="E61" s="51">
        <f t="shared" si="50"/>
        <v>356</v>
      </c>
      <c r="F61" s="45">
        <v>45</v>
      </c>
      <c r="G61" s="13">
        <f t="shared" si="51"/>
        <v>12.640449438202248</v>
      </c>
      <c r="H61" s="35"/>
      <c r="I61" s="38"/>
      <c r="J61" s="35">
        <f t="shared" si="52"/>
        <v>0</v>
      </c>
      <c r="K61" s="50">
        <f t="shared" si="53"/>
        <v>45</v>
      </c>
      <c r="L61" s="46" t="e">
        <f t="shared" si="54"/>
        <v>#DIV/0!</v>
      </c>
      <c r="M61" s="48">
        <v>18700</v>
      </c>
      <c r="N61" s="47">
        <f t="shared" si="55"/>
        <v>841500</v>
      </c>
      <c r="R61" s="76">
        <f t="shared" si="48"/>
        <v>0</v>
      </c>
    </row>
    <row r="62" spans="1:18" ht="16">
      <c r="A62" s="43">
        <v>45930</v>
      </c>
      <c r="B62" s="49" t="s">
        <v>18</v>
      </c>
      <c r="C62" s="10">
        <v>143076</v>
      </c>
      <c r="D62" s="50">
        <v>143432</v>
      </c>
      <c r="E62" s="51">
        <f t="shared" si="50"/>
        <v>356</v>
      </c>
      <c r="F62" s="45">
        <v>50</v>
      </c>
      <c r="G62" s="13">
        <f t="shared" si="51"/>
        <v>14.04494382022472</v>
      </c>
      <c r="H62" s="35"/>
      <c r="I62" s="38"/>
      <c r="J62" s="35">
        <f t="shared" si="52"/>
        <v>0</v>
      </c>
      <c r="K62" s="50">
        <f t="shared" si="53"/>
        <v>50</v>
      </c>
      <c r="L62" s="46" t="e">
        <f t="shared" si="54"/>
        <v>#DIV/0!</v>
      </c>
      <c r="M62" s="48">
        <v>18650</v>
      </c>
      <c r="N62" s="47">
        <f t="shared" si="55"/>
        <v>932500</v>
      </c>
      <c r="R62" s="76">
        <f t="shared" si="48"/>
        <v>0</v>
      </c>
    </row>
    <row r="63" spans="1:18" ht="16">
      <c r="A63" s="33"/>
      <c r="B63" s="44" t="s">
        <v>18</v>
      </c>
      <c r="C63" s="12"/>
      <c r="D63" s="53"/>
      <c r="E63" s="24">
        <f t="shared" si="50"/>
        <v>0</v>
      </c>
      <c r="F63" s="45"/>
      <c r="G63" s="54" t="e">
        <f t="shared" si="51"/>
        <v>#DIV/0!</v>
      </c>
      <c r="H63" s="53"/>
      <c r="I63" s="55"/>
      <c r="J63" s="53">
        <f t="shared" si="52"/>
        <v>0</v>
      </c>
      <c r="K63" s="50">
        <f t="shared" si="53"/>
        <v>0</v>
      </c>
      <c r="L63" s="73" t="e">
        <f t="shared" si="54"/>
        <v>#DIV/0!</v>
      </c>
      <c r="M63" s="48"/>
      <c r="N63" s="57">
        <f t="shared" si="55"/>
        <v>0</v>
      </c>
      <c r="R63" s="76">
        <f t="shared" si="48"/>
        <v>0</v>
      </c>
    </row>
    <row r="64" spans="1:18" ht="16">
      <c r="A64" s="59"/>
      <c r="B64" s="60"/>
      <c r="C64" s="63"/>
      <c r="D64" s="59" t="s">
        <v>19</v>
      </c>
      <c r="E64" s="59">
        <f t="shared" ref="E64:F64" si="56">SUM(E56:E63)</f>
        <v>2664</v>
      </c>
      <c r="F64" s="59">
        <f t="shared" si="56"/>
        <v>316</v>
      </c>
      <c r="G64" s="61" t="e">
        <f>AVERAGE(G56:G63)</f>
        <v>#DIV/0!</v>
      </c>
      <c r="H64" s="59"/>
      <c r="I64" s="62"/>
      <c r="J64" s="59">
        <f t="shared" ref="J64:K64" si="57">SUM(J56:J63)</f>
        <v>18358</v>
      </c>
      <c r="K64" s="59">
        <f t="shared" si="57"/>
        <v>316</v>
      </c>
      <c r="L64" s="61" t="e">
        <f>AVERAGE(L56:L63)</f>
        <v>#DIV/0!</v>
      </c>
      <c r="M64" s="64"/>
      <c r="N64" s="65">
        <f>SUM(N56:N63)</f>
        <v>5880320</v>
      </c>
      <c r="R64" s="76">
        <f t="shared" si="48"/>
        <v>0</v>
      </c>
    </row>
    <row r="65" spans="1:18" ht="16">
      <c r="A65" s="66">
        <v>45903</v>
      </c>
      <c r="B65" s="34" t="s">
        <v>20</v>
      </c>
      <c r="C65" s="83">
        <v>386579</v>
      </c>
      <c r="D65" s="39">
        <v>387260</v>
      </c>
      <c r="E65" s="36">
        <f t="shared" ref="E65:E71" si="58">D65-C65</f>
        <v>681</v>
      </c>
      <c r="F65" s="37">
        <v>80</v>
      </c>
      <c r="G65" s="13">
        <f t="shared" ref="G65:G71" si="59">(F65/E65)*100</f>
        <v>11.747430249632892</v>
      </c>
      <c r="H65" s="125"/>
      <c r="I65" s="243">
        <v>25470</v>
      </c>
      <c r="J65" s="39">
        <f t="shared" ref="J65:J71" si="60">I65-H65</f>
        <v>25470</v>
      </c>
      <c r="K65" s="77">
        <f t="shared" ref="K65:K71" si="61">F65</f>
        <v>80</v>
      </c>
      <c r="L65" s="67">
        <f t="shared" ref="L65:L71" si="62">(K65/J65)*100</f>
        <v>0.31409501374165688</v>
      </c>
      <c r="M65" s="68">
        <v>18350</v>
      </c>
      <c r="N65" s="42">
        <f t="shared" ref="N65:N71" si="63">F65*M65</f>
        <v>1468000</v>
      </c>
      <c r="R65" s="76">
        <f t="shared" si="48"/>
        <v>0</v>
      </c>
    </row>
    <row r="66" spans="1:18" ht="16">
      <c r="A66" s="33">
        <v>45910</v>
      </c>
      <c r="B66" s="44" t="s">
        <v>20</v>
      </c>
      <c r="C66" s="35">
        <v>387260</v>
      </c>
      <c r="D66" s="35">
        <v>387890</v>
      </c>
      <c r="E66" s="11">
        <f t="shared" si="58"/>
        <v>630</v>
      </c>
      <c r="F66" s="45">
        <v>84</v>
      </c>
      <c r="G66" s="13">
        <f t="shared" si="59"/>
        <v>13.333333333333334</v>
      </c>
      <c r="H66" s="35">
        <v>25470</v>
      </c>
      <c r="I66" s="38">
        <v>26050</v>
      </c>
      <c r="J66" s="35">
        <f t="shared" si="60"/>
        <v>580</v>
      </c>
      <c r="K66" s="50">
        <f t="shared" si="61"/>
        <v>84</v>
      </c>
      <c r="L66" s="46">
        <f t="shared" si="62"/>
        <v>14.482758620689657</v>
      </c>
      <c r="M66" s="48">
        <v>18470</v>
      </c>
      <c r="N66" s="47">
        <f t="shared" si="63"/>
        <v>1551480</v>
      </c>
      <c r="R66" s="76">
        <f t="shared" si="48"/>
        <v>0</v>
      </c>
    </row>
    <row r="67" spans="1:18" ht="16">
      <c r="A67" s="33">
        <v>45923</v>
      </c>
      <c r="B67" s="44" t="s">
        <v>20</v>
      </c>
      <c r="C67" s="35">
        <v>387890</v>
      </c>
      <c r="D67" s="35">
        <v>388518</v>
      </c>
      <c r="E67" s="11">
        <f t="shared" si="58"/>
        <v>628</v>
      </c>
      <c r="F67" s="45">
        <v>76</v>
      </c>
      <c r="G67" s="13">
        <f t="shared" si="59"/>
        <v>12.101910828025478</v>
      </c>
      <c r="H67" s="35"/>
      <c r="I67" s="38"/>
      <c r="J67" s="35">
        <f t="shared" si="60"/>
        <v>0</v>
      </c>
      <c r="K67" s="50">
        <f t="shared" si="61"/>
        <v>76</v>
      </c>
      <c r="L67" s="46" t="e">
        <f t="shared" si="62"/>
        <v>#DIV/0!</v>
      </c>
      <c r="M67" s="48">
        <v>18700</v>
      </c>
      <c r="N67" s="47">
        <f t="shared" si="63"/>
        <v>1421200</v>
      </c>
      <c r="R67" s="76">
        <f t="shared" si="48"/>
        <v>0</v>
      </c>
    </row>
    <row r="68" spans="1:18" ht="16">
      <c r="A68" s="33">
        <v>45927</v>
      </c>
      <c r="B68" s="44" t="s">
        <v>20</v>
      </c>
      <c r="C68" s="35">
        <v>388518</v>
      </c>
      <c r="D68" s="35">
        <v>389104</v>
      </c>
      <c r="E68" s="11">
        <f t="shared" si="58"/>
        <v>586</v>
      </c>
      <c r="F68" s="45">
        <v>77</v>
      </c>
      <c r="G68" s="13">
        <f t="shared" si="59"/>
        <v>13.139931740614335</v>
      </c>
      <c r="H68" s="35"/>
      <c r="I68" s="38"/>
      <c r="J68" s="35">
        <f t="shared" si="60"/>
        <v>0</v>
      </c>
      <c r="K68" s="50">
        <f t="shared" si="61"/>
        <v>77</v>
      </c>
      <c r="L68" s="46" t="e">
        <f t="shared" si="62"/>
        <v>#DIV/0!</v>
      </c>
      <c r="M68" s="48">
        <v>18650</v>
      </c>
      <c r="N68" s="47">
        <f t="shared" si="63"/>
        <v>1436050</v>
      </c>
      <c r="R68" s="76">
        <f t="shared" si="48"/>
        <v>0</v>
      </c>
    </row>
    <row r="69" spans="1:18" ht="16">
      <c r="A69" s="33"/>
      <c r="B69" s="44" t="s">
        <v>20</v>
      </c>
      <c r="C69" s="35"/>
      <c r="D69" s="35"/>
      <c r="E69" s="11">
        <f t="shared" si="58"/>
        <v>0</v>
      </c>
      <c r="F69" s="45"/>
      <c r="G69" s="13" t="e">
        <f t="shared" si="59"/>
        <v>#DIV/0!</v>
      </c>
      <c r="H69" s="35"/>
      <c r="I69" s="38"/>
      <c r="J69" s="35">
        <f t="shared" si="60"/>
        <v>0</v>
      </c>
      <c r="K69" s="50">
        <f t="shared" si="61"/>
        <v>0</v>
      </c>
      <c r="L69" s="46" t="e">
        <f t="shared" si="62"/>
        <v>#DIV/0!</v>
      </c>
      <c r="M69" s="48"/>
      <c r="N69" s="47">
        <f t="shared" si="63"/>
        <v>0</v>
      </c>
      <c r="R69" s="76">
        <f t="shared" si="48"/>
        <v>0</v>
      </c>
    </row>
    <row r="70" spans="1:18" ht="16">
      <c r="A70" s="230"/>
      <c r="B70" s="44" t="s">
        <v>20</v>
      </c>
      <c r="C70" s="35"/>
      <c r="D70" s="35"/>
      <c r="E70" s="11">
        <f t="shared" si="58"/>
        <v>0</v>
      </c>
      <c r="F70" s="45"/>
      <c r="G70" s="13" t="e">
        <f t="shared" si="59"/>
        <v>#DIV/0!</v>
      </c>
      <c r="H70" s="35"/>
      <c r="I70" s="38"/>
      <c r="J70" s="35">
        <f t="shared" si="60"/>
        <v>0</v>
      </c>
      <c r="K70" s="50">
        <f t="shared" si="61"/>
        <v>0</v>
      </c>
      <c r="L70" s="46" t="e">
        <f t="shared" si="62"/>
        <v>#DIV/0!</v>
      </c>
      <c r="M70" s="48"/>
      <c r="N70" s="47">
        <f t="shared" si="63"/>
        <v>0</v>
      </c>
      <c r="R70" s="76">
        <f t="shared" si="48"/>
        <v>0</v>
      </c>
    </row>
    <row r="71" spans="1:18" ht="16">
      <c r="A71" s="87"/>
      <c r="B71" s="239"/>
      <c r="C71" s="53"/>
      <c r="D71" s="53"/>
      <c r="E71" s="24">
        <f t="shared" si="58"/>
        <v>0</v>
      </c>
      <c r="F71" s="45"/>
      <c r="G71" s="54" t="e">
        <f t="shared" si="59"/>
        <v>#DIV/0!</v>
      </c>
      <c r="H71" s="53"/>
      <c r="I71" s="55"/>
      <c r="J71" s="53">
        <f t="shared" si="60"/>
        <v>0</v>
      </c>
      <c r="K71" s="50">
        <f t="shared" si="61"/>
        <v>0</v>
      </c>
      <c r="L71" s="73" t="e">
        <f t="shared" si="62"/>
        <v>#DIV/0!</v>
      </c>
      <c r="M71" s="56"/>
      <c r="N71" s="57">
        <f t="shared" si="63"/>
        <v>0</v>
      </c>
      <c r="R71" s="76">
        <f t="shared" si="48"/>
        <v>0</v>
      </c>
    </row>
    <row r="72" spans="1:18" ht="16">
      <c r="A72" s="59"/>
      <c r="B72" s="60"/>
      <c r="C72" s="59"/>
      <c r="D72" s="59" t="s">
        <v>19</v>
      </c>
      <c r="E72" s="59">
        <f>SUM(E65:E71)</f>
        <v>2525</v>
      </c>
      <c r="F72" s="37"/>
      <c r="G72" s="61" t="e">
        <f>AVERAGE(G65:G71)</f>
        <v>#DIV/0!</v>
      </c>
      <c r="H72" s="59"/>
      <c r="I72" s="62"/>
      <c r="J72" s="59">
        <f>SUM(J65:J71)</f>
        <v>26050</v>
      </c>
      <c r="K72" s="59">
        <f>SUM(K66:K71)</f>
        <v>237</v>
      </c>
      <c r="L72" s="61" t="e">
        <f>AVERAGE(L65:L71)</f>
        <v>#DIV/0!</v>
      </c>
      <c r="M72" s="64"/>
      <c r="N72" s="65">
        <f>SUM(N65:N71)</f>
        <v>5876730</v>
      </c>
      <c r="R72" s="76">
        <f t="shared" si="48"/>
        <v>0</v>
      </c>
    </row>
    <row r="73" spans="1:18" ht="16">
      <c r="A73" s="85">
        <v>45903</v>
      </c>
      <c r="B73" s="34" t="s">
        <v>21</v>
      </c>
      <c r="C73" s="83">
        <v>368349</v>
      </c>
      <c r="D73" s="39">
        <v>368832</v>
      </c>
      <c r="E73" s="36">
        <f t="shared" ref="E73:E79" si="64">D73-C73</f>
        <v>483</v>
      </c>
      <c r="F73" s="37">
        <v>72</v>
      </c>
      <c r="G73" s="13">
        <f t="shared" ref="G73:G79" si="65">(F73/E73)*100</f>
        <v>14.906832298136646</v>
      </c>
      <c r="H73" s="240"/>
      <c r="I73" s="243">
        <v>16026</v>
      </c>
      <c r="J73" s="39">
        <f t="shared" ref="J73:J79" si="66">I73-H73</f>
        <v>16026</v>
      </c>
      <c r="K73" s="77">
        <f t="shared" ref="K73:K79" si="67">F73</f>
        <v>72</v>
      </c>
      <c r="L73" s="67">
        <f t="shared" ref="L73:L79" si="68">(K73/J73)*100</f>
        <v>0.44926993635342566</v>
      </c>
      <c r="M73" s="68">
        <v>18350</v>
      </c>
      <c r="N73" s="42">
        <f t="shared" ref="N73:N79" si="69">F73*M73</f>
        <v>1321200</v>
      </c>
      <c r="R73" s="76">
        <f t="shared" si="48"/>
        <v>0</v>
      </c>
    </row>
    <row r="74" spans="1:18" ht="16">
      <c r="A74" s="86">
        <v>45916</v>
      </c>
      <c r="B74" s="44" t="s">
        <v>21</v>
      </c>
      <c r="C74" s="39">
        <v>368832</v>
      </c>
      <c r="D74" s="35">
        <v>369338</v>
      </c>
      <c r="E74" s="11">
        <f t="shared" si="64"/>
        <v>506</v>
      </c>
      <c r="F74" s="45">
        <v>70</v>
      </c>
      <c r="G74" s="13">
        <f t="shared" si="65"/>
        <v>13.83399209486166</v>
      </c>
      <c r="H74" s="243">
        <v>16026</v>
      </c>
      <c r="I74" s="35">
        <v>16510</v>
      </c>
      <c r="J74" s="35">
        <f t="shared" si="66"/>
        <v>484</v>
      </c>
      <c r="K74" s="50">
        <f t="shared" si="67"/>
        <v>70</v>
      </c>
      <c r="L74" s="46">
        <f t="shared" si="68"/>
        <v>14.46280991735537</v>
      </c>
      <c r="M74" s="48">
        <v>18640</v>
      </c>
      <c r="N74" s="47">
        <f t="shared" si="69"/>
        <v>1304800</v>
      </c>
      <c r="R74" s="76">
        <f t="shared" si="48"/>
        <v>0</v>
      </c>
    </row>
    <row r="75" spans="1:18" ht="16">
      <c r="A75" s="86">
        <v>45923</v>
      </c>
      <c r="B75" s="44" t="s">
        <v>21</v>
      </c>
      <c r="C75" s="35">
        <v>369338</v>
      </c>
      <c r="D75" s="35">
        <v>369835</v>
      </c>
      <c r="E75" s="11">
        <f t="shared" si="64"/>
        <v>497</v>
      </c>
      <c r="F75" s="45">
        <v>70</v>
      </c>
      <c r="G75" s="13">
        <f t="shared" si="65"/>
        <v>14.084507042253522</v>
      </c>
      <c r="H75" s="35"/>
      <c r="I75" s="38"/>
      <c r="J75" s="35">
        <f t="shared" si="66"/>
        <v>0</v>
      </c>
      <c r="K75" s="50">
        <f t="shared" si="67"/>
        <v>70</v>
      </c>
      <c r="L75" s="46" t="e">
        <f t="shared" si="68"/>
        <v>#DIV/0!</v>
      </c>
      <c r="M75" s="48">
        <v>18700</v>
      </c>
      <c r="N75" s="47">
        <f t="shared" si="69"/>
        <v>1309000</v>
      </c>
      <c r="R75" s="76">
        <f t="shared" si="48"/>
        <v>0</v>
      </c>
    </row>
    <row r="76" spans="1:18" ht="16">
      <c r="A76" s="86">
        <v>45930</v>
      </c>
      <c r="B76" s="44" t="s">
        <v>21</v>
      </c>
      <c r="C76" s="35">
        <v>369835</v>
      </c>
      <c r="D76" s="35">
        <v>370365</v>
      </c>
      <c r="E76" s="11">
        <f t="shared" si="64"/>
        <v>530</v>
      </c>
      <c r="F76" s="45">
        <v>70</v>
      </c>
      <c r="G76" s="13">
        <f t="shared" si="65"/>
        <v>13.20754716981132</v>
      </c>
      <c r="H76" s="35"/>
      <c r="I76" s="38"/>
      <c r="J76" s="35">
        <f t="shared" si="66"/>
        <v>0</v>
      </c>
      <c r="K76" s="50">
        <f t="shared" si="67"/>
        <v>70</v>
      </c>
      <c r="L76" s="46" t="e">
        <f t="shared" si="68"/>
        <v>#DIV/0!</v>
      </c>
      <c r="M76" s="48">
        <v>18650</v>
      </c>
      <c r="N76" s="47">
        <f t="shared" si="69"/>
        <v>1305500</v>
      </c>
      <c r="R76" s="76">
        <f t="shared" si="48"/>
        <v>0</v>
      </c>
    </row>
    <row r="77" spans="1:18" ht="16">
      <c r="A77" s="33"/>
      <c r="B77" s="44" t="s">
        <v>21</v>
      </c>
      <c r="C77" s="35"/>
      <c r="D77" s="35"/>
      <c r="E77" s="11">
        <f t="shared" si="64"/>
        <v>0</v>
      </c>
      <c r="F77" s="45"/>
      <c r="G77" s="13" t="e">
        <f t="shared" si="65"/>
        <v>#DIV/0!</v>
      </c>
      <c r="H77" s="35"/>
      <c r="I77" s="38"/>
      <c r="J77" s="35">
        <f t="shared" si="66"/>
        <v>0</v>
      </c>
      <c r="K77" s="50">
        <f t="shared" si="67"/>
        <v>0</v>
      </c>
      <c r="L77" s="46" t="e">
        <f t="shared" si="68"/>
        <v>#DIV/0!</v>
      </c>
      <c r="M77" s="48"/>
      <c r="N77" s="47">
        <f t="shared" si="69"/>
        <v>0</v>
      </c>
      <c r="R77" s="76">
        <f t="shared" si="48"/>
        <v>0</v>
      </c>
    </row>
    <row r="78" spans="1:18" ht="16">
      <c r="A78" s="86"/>
      <c r="B78" s="44" t="s">
        <v>37</v>
      </c>
      <c r="C78" s="35"/>
      <c r="D78" s="35"/>
      <c r="E78" s="11">
        <f t="shared" si="64"/>
        <v>0</v>
      </c>
      <c r="F78" s="45"/>
      <c r="G78" s="13" t="e">
        <f t="shared" si="65"/>
        <v>#DIV/0!</v>
      </c>
      <c r="H78" s="35"/>
      <c r="I78" s="38"/>
      <c r="J78" s="35">
        <f t="shared" si="66"/>
        <v>0</v>
      </c>
      <c r="K78" s="50">
        <f t="shared" si="67"/>
        <v>0</v>
      </c>
      <c r="L78" s="46" t="e">
        <f t="shared" si="68"/>
        <v>#DIV/0!</v>
      </c>
      <c r="M78" s="48"/>
      <c r="N78" s="47">
        <f t="shared" si="69"/>
        <v>0</v>
      </c>
      <c r="R78" s="76">
        <f t="shared" si="48"/>
        <v>0</v>
      </c>
    </row>
    <row r="79" spans="1:18" ht="16">
      <c r="A79" s="87"/>
      <c r="B79" s="239"/>
      <c r="C79" s="53"/>
      <c r="D79" s="53"/>
      <c r="E79" s="24">
        <f t="shared" si="64"/>
        <v>0</v>
      </c>
      <c r="F79" s="45"/>
      <c r="G79" s="54" t="e">
        <f t="shared" si="65"/>
        <v>#DIV/0!</v>
      </c>
      <c r="H79" s="53"/>
      <c r="I79" s="55"/>
      <c r="J79" s="53">
        <f t="shared" si="66"/>
        <v>0</v>
      </c>
      <c r="K79" s="50">
        <f t="shared" si="67"/>
        <v>0</v>
      </c>
      <c r="L79" s="73" t="e">
        <f t="shared" si="68"/>
        <v>#DIV/0!</v>
      </c>
      <c r="M79" s="56"/>
      <c r="N79" s="57">
        <f t="shared" si="69"/>
        <v>0</v>
      </c>
      <c r="R79" s="76">
        <f t="shared" si="48"/>
        <v>0</v>
      </c>
    </row>
    <row r="80" spans="1:18" ht="16">
      <c r="A80" s="59"/>
      <c r="B80" s="60"/>
      <c r="C80" s="59"/>
      <c r="D80" s="59" t="s">
        <v>19</v>
      </c>
      <c r="E80" s="59">
        <f>SUM(E73:E79)</f>
        <v>2016</v>
      </c>
      <c r="F80" s="37"/>
      <c r="G80" s="61" t="e">
        <f>AVERAGE(G73:G79)</f>
        <v>#DIV/0!</v>
      </c>
      <c r="H80" s="59"/>
      <c r="I80" s="62"/>
      <c r="J80" s="59">
        <f t="shared" ref="J80:K80" si="70">SUM(J73:J79)</f>
        <v>16510</v>
      </c>
      <c r="K80" s="59">
        <f t="shared" si="70"/>
        <v>282</v>
      </c>
      <c r="L80" s="61" t="e">
        <f>AVERAGE(L73:L79)</f>
        <v>#DIV/0!</v>
      </c>
      <c r="M80" s="64"/>
      <c r="N80" s="65">
        <f>SUM(N73:N79)</f>
        <v>5240500</v>
      </c>
      <c r="R80" s="76">
        <f t="shared" si="48"/>
        <v>0</v>
      </c>
    </row>
    <row r="81" spans="1:18" ht="16">
      <c r="A81" s="66">
        <v>45913</v>
      </c>
      <c r="B81" s="82" t="s">
        <v>22</v>
      </c>
      <c r="C81" s="39">
        <v>202770</v>
      </c>
      <c r="D81" s="39">
        <v>203250</v>
      </c>
      <c r="E81" s="36">
        <f t="shared" ref="E81:E87" si="71">D81-C81</f>
        <v>480</v>
      </c>
      <c r="F81" s="37">
        <v>65</v>
      </c>
      <c r="G81" s="13">
        <f t="shared" ref="G81:G87" si="72">(F81/E81)*100</f>
        <v>13.541666666666666</v>
      </c>
      <c r="H81" s="125"/>
      <c r="I81" s="126">
        <v>15710</v>
      </c>
      <c r="J81" s="39">
        <f t="shared" ref="J81:J87" si="73">I81-H81</f>
        <v>15710</v>
      </c>
      <c r="K81" s="77">
        <f t="shared" ref="K81:K87" si="74">F81</f>
        <v>65</v>
      </c>
      <c r="L81" s="67">
        <f t="shared" ref="L81:L87" si="75">(K81/J81)*100</f>
        <v>0.41374920432845319</v>
      </c>
      <c r="M81" s="68">
        <v>18640</v>
      </c>
      <c r="N81" s="42">
        <f t="shared" ref="N81:N87" si="76">F81*M81</f>
        <v>1211600</v>
      </c>
      <c r="R81" s="76">
        <f t="shared" si="48"/>
        <v>0</v>
      </c>
    </row>
    <row r="82" spans="1:18" ht="16">
      <c r="A82" s="33">
        <v>45924</v>
      </c>
      <c r="B82" s="44" t="s">
        <v>22</v>
      </c>
      <c r="C82" s="39">
        <v>203250</v>
      </c>
      <c r="D82" s="35">
        <v>203911</v>
      </c>
      <c r="E82" s="11">
        <f t="shared" si="71"/>
        <v>661</v>
      </c>
      <c r="F82" s="45">
        <v>83</v>
      </c>
      <c r="G82" s="13">
        <f t="shared" si="72"/>
        <v>12.556732223903177</v>
      </c>
      <c r="H82" s="38"/>
      <c r="I82" s="38"/>
      <c r="J82" s="35">
        <f t="shared" si="73"/>
        <v>0</v>
      </c>
      <c r="K82" s="50">
        <f t="shared" si="74"/>
        <v>83</v>
      </c>
      <c r="L82" s="46" t="e">
        <f t="shared" si="75"/>
        <v>#DIV/0!</v>
      </c>
      <c r="M82" s="48">
        <v>18700</v>
      </c>
      <c r="N82" s="47">
        <f t="shared" si="76"/>
        <v>1552100</v>
      </c>
      <c r="R82" s="76">
        <f t="shared" si="48"/>
        <v>0</v>
      </c>
    </row>
    <row r="83" spans="1:18" ht="16">
      <c r="A83" s="86"/>
      <c r="B83" s="44" t="s">
        <v>22</v>
      </c>
      <c r="C83" s="35"/>
      <c r="D83" s="35"/>
      <c r="E83" s="11">
        <f t="shared" si="71"/>
        <v>0</v>
      </c>
      <c r="F83" s="45"/>
      <c r="G83" s="13" t="e">
        <f t="shared" si="72"/>
        <v>#DIV/0!</v>
      </c>
      <c r="H83" s="35"/>
      <c r="I83" s="38"/>
      <c r="J83" s="35">
        <f t="shared" si="73"/>
        <v>0</v>
      </c>
      <c r="K83" s="50">
        <f t="shared" si="74"/>
        <v>0</v>
      </c>
      <c r="L83" s="46" t="e">
        <f t="shared" si="75"/>
        <v>#DIV/0!</v>
      </c>
      <c r="M83" s="48"/>
      <c r="N83" s="47">
        <f t="shared" si="76"/>
        <v>0</v>
      </c>
      <c r="R83" s="76">
        <f t="shared" si="48"/>
        <v>0</v>
      </c>
    </row>
    <row r="84" spans="1:18" ht="16">
      <c r="A84" s="33"/>
      <c r="B84" s="44" t="s">
        <v>22</v>
      </c>
      <c r="C84" s="35"/>
      <c r="D84" s="35"/>
      <c r="E84" s="11">
        <f t="shared" si="71"/>
        <v>0</v>
      </c>
      <c r="F84" s="45"/>
      <c r="G84" s="13" t="e">
        <f t="shared" si="72"/>
        <v>#DIV/0!</v>
      </c>
      <c r="H84" s="35"/>
      <c r="I84" s="38"/>
      <c r="J84" s="35">
        <f t="shared" si="73"/>
        <v>0</v>
      </c>
      <c r="K84" s="50">
        <f t="shared" si="74"/>
        <v>0</v>
      </c>
      <c r="L84" s="46" t="e">
        <f t="shared" si="75"/>
        <v>#DIV/0!</v>
      </c>
      <c r="M84" s="48"/>
      <c r="N84" s="47">
        <f t="shared" si="76"/>
        <v>0</v>
      </c>
      <c r="R84" s="76">
        <f t="shared" si="48"/>
        <v>0</v>
      </c>
    </row>
    <row r="85" spans="1:18" ht="16">
      <c r="A85" s="33"/>
      <c r="B85" s="44" t="s">
        <v>22</v>
      </c>
      <c r="C85" s="35"/>
      <c r="D85" s="35"/>
      <c r="E85" s="11">
        <f t="shared" si="71"/>
        <v>0</v>
      </c>
      <c r="F85" s="45"/>
      <c r="G85" s="13" t="e">
        <f t="shared" si="72"/>
        <v>#DIV/0!</v>
      </c>
      <c r="H85" s="35"/>
      <c r="I85" s="38"/>
      <c r="J85" s="35">
        <f t="shared" si="73"/>
        <v>0</v>
      </c>
      <c r="K85" s="50">
        <f t="shared" si="74"/>
        <v>0</v>
      </c>
      <c r="L85" s="46" t="e">
        <f t="shared" si="75"/>
        <v>#DIV/0!</v>
      </c>
      <c r="M85" s="48"/>
      <c r="N85" s="47">
        <f t="shared" si="76"/>
        <v>0</v>
      </c>
      <c r="R85" s="76">
        <f t="shared" si="48"/>
        <v>0</v>
      </c>
    </row>
    <row r="86" spans="1:18" ht="16">
      <c r="A86" s="86"/>
      <c r="B86" s="44" t="s">
        <v>22</v>
      </c>
      <c r="C86" s="35"/>
      <c r="D86" s="35"/>
      <c r="E86" s="11">
        <f t="shared" si="71"/>
        <v>0</v>
      </c>
      <c r="F86" s="45"/>
      <c r="G86" s="13" t="e">
        <f t="shared" si="72"/>
        <v>#DIV/0!</v>
      </c>
      <c r="H86" s="35"/>
      <c r="I86" s="38"/>
      <c r="J86" s="35">
        <f t="shared" si="73"/>
        <v>0</v>
      </c>
      <c r="K86" s="50">
        <f t="shared" si="74"/>
        <v>0</v>
      </c>
      <c r="L86" s="46" t="e">
        <f t="shared" si="75"/>
        <v>#DIV/0!</v>
      </c>
      <c r="M86" s="48"/>
      <c r="N86" s="47">
        <f t="shared" si="76"/>
        <v>0</v>
      </c>
      <c r="R86" s="76">
        <f t="shared" si="48"/>
        <v>0</v>
      </c>
    </row>
    <row r="87" spans="1:18" ht="16">
      <c r="A87" s="88"/>
      <c r="B87" s="239"/>
      <c r="C87" s="53"/>
      <c r="D87" s="53"/>
      <c r="E87" s="24">
        <f t="shared" si="71"/>
        <v>0</v>
      </c>
      <c r="F87" s="45"/>
      <c r="G87" s="54" t="e">
        <f t="shared" si="72"/>
        <v>#DIV/0!</v>
      </c>
      <c r="H87" s="53"/>
      <c r="I87" s="55"/>
      <c r="J87" s="53">
        <f t="shared" si="73"/>
        <v>0</v>
      </c>
      <c r="K87" s="50">
        <f t="shared" si="74"/>
        <v>0</v>
      </c>
      <c r="L87" s="73" t="e">
        <f t="shared" si="75"/>
        <v>#DIV/0!</v>
      </c>
      <c r="M87" s="56"/>
      <c r="N87" s="57">
        <f t="shared" si="76"/>
        <v>0</v>
      </c>
      <c r="R87" s="76">
        <f t="shared" si="48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1141</v>
      </c>
      <c r="F88" s="59">
        <f>SUM(F80:F87)</f>
        <v>148</v>
      </c>
      <c r="G88" s="61" t="e">
        <f>AVERAGE(G81:G87)</f>
        <v>#DIV/0!</v>
      </c>
      <c r="H88" s="59"/>
      <c r="I88" s="62"/>
      <c r="J88" s="59">
        <f t="shared" ref="J88:K88" si="77">SUM(J81:J87)</f>
        <v>15710</v>
      </c>
      <c r="K88" s="59">
        <f t="shared" si="77"/>
        <v>148</v>
      </c>
      <c r="L88" s="61" t="e">
        <f>AVERAGE(L81:L87)</f>
        <v>#DIV/0!</v>
      </c>
      <c r="M88" s="64"/>
      <c r="N88" s="65">
        <f>SUM(N81:N87)</f>
        <v>2763700</v>
      </c>
      <c r="R88" s="76">
        <f t="shared" si="48"/>
        <v>0</v>
      </c>
    </row>
    <row r="89" spans="1:18" ht="16">
      <c r="A89" s="89">
        <v>45911</v>
      </c>
      <c r="B89" s="90" t="s">
        <v>38</v>
      </c>
      <c r="C89" s="264">
        <v>158665</v>
      </c>
      <c r="D89" s="39">
        <v>159300</v>
      </c>
      <c r="E89" s="36">
        <f t="shared" ref="E89:E94" si="78">D89-C89</f>
        <v>635</v>
      </c>
      <c r="F89" s="37">
        <v>79</v>
      </c>
      <c r="G89" s="13">
        <f t="shared" ref="G89:G94" si="79">(F89/E89)*100</f>
        <v>12.440944881889763</v>
      </c>
      <c r="H89" s="125"/>
      <c r="I89" s="246">
        <v>19380</v>
      </c>
      <c r="J89" s="39">
        <f t="shared" ref="J89:J94" si="80">I89-H89</f>
        <v>19380</v>
      </c>
      <c r="K89" s="77">
        <f t="shared" ref="K89:K94" si="81">F89</f>
        <v>79</v>
      </c>
      <c r="L89" s="67">
        <f t="shared" ref="L89:L94" si="82">(K89/J89)*100</f>
        <v>0.40763673890608876</v>
      </c>
      <c r="M89" s="68">
        <v>18470</v>
      </c>
      <c r="N89" s="42">
        <f t="shared" ref="N89:N94" si="83">F89*M89</f>
        <v>1459130</v>
      </c>
      <c r="R89" s="76">
        <f t="shared" si="48"/>
        <v>0</v>
      </c>
    </row>
    <row r="90" spans="1:18" ht="16">
      <c r="A90" s="80">
        <v>45918</v>
      </c>
      <c r="B90" s="44" t="s">
        <v>38</v>
      </c>
      <c r="C90" s="248">
        <v>159300</v>
      </c>
      <c r="D90" s="35">
        <v>159790</v>
      </c>
      <c r="E90" s="11">
        <f t="shared" si="78"/>
        <v>490</v>
      </c>
      <c r="F90" s="45">
        <v>60</v>
      </c>
      <c r="G90" s="13">
        <f t="shared" si="79"/>
        <v>12.244897959183673</v>
      </c>
      <c r="H90" s="35"/>
      <c r="I90" s="38"/>
      <c r="J90" s="35">
        <f t="shared" si="80"/>
        <v>0</v>
      </c>
      <c r="K90" s="50">
        <f t="shared" si="81"/>
        <v>60</v>
      </c>
      <c r="L90" s="46" t="e">
        <f t="shared" si="82"/>
        <v>#DIV/0!</v>
      </c>
      <c r="M90" s="48">
        <v>18640</v>
      </c>
      <c r="N90" s="47">
        <f t="shared" si="83"/>
        <v>1118400</v>
      </c>
      <c r="R90" s="76">
        <f t="shared" si="48"/>
        <v>0</v>
      </c>
    </row>
    <row r="91" spans="1:18" ht="16">
      <c r="A91" s="80">
        <v>45925</v>
      </c>
      <c r="B91" s="44" t="s">
        <v>38</v>
      </c>
      <c r="C91" s="35">
        <v>159790</v>
      </c>
      <c r="D91" s="35">
        <v>160527</v>
      </c>
      <c r="E91" s="11">
        <f t="shared" si="78"/>
        <v>737</v>
      </c>
      <c r="F91" s="45">
        <v>79</v>
      </c>
      <c r="G91" s="13">
        <f t="shared" si="79"/>
        <v>10.719131614654003</v>
      </c>
      <c r="H91" s="35"/>
      <c r="I91" s="38"/>
      <c r="J91" s="35">
        <f t="shared" si="80"/>
        <v>0</v>
      </c>
      <c r="K91" s="50">
        <f t="shared" si="81"/>
        <v>79</v>
      </c>
      <c r="L91" s="46" t="e">
        <f t="shared" si="82"/>
        <v>#DIV/0!</v>
      </c>
      <c r="M91" s="48">
        <v>18650</v>
      </c>
      <c r="N91" s="47">
        <f t="shared" si="83"/>
        <v>1473350</v>
      </c>
      <c r="R91" s="76">
        <f t="shared" si="48"/>
        <v>0</v>
      </c>
    </row>
    <row r="92" spans="1:18" ht="16">
      <c r="A92" s="80"/>
      <c r="B92" s="44" t="s">
        <v>38</v>
      </c>
      <c r="C92" s="248"/>
      <c r="D92" s="35"/>
      <c r="E92" s="11">
        <f t="shared" si="78"/>
        <v>0</v>
      </c>
      <c r="F92" s="45"/>
      <c r="G92" s="13" t="e">
        <f t="shared" si="79"/>
        <v>#DIV/0!</v>
      </c>
      <c r="H92" s="35"/>
      <c r="I92" s="38"/>
      <c r="J92" s="35">
        <f t="shared" si="80"/>
        <v>0</v>
      </c>
      <c r="K92" s="50">
        <f t="shared" si="81"/>
        <v>0</v>
      </c>
      <c r="L92" s="46" t="e">
        <f t="shared" si="82"/>
        <v>#DIV/0!</v>
      </c>
      <c r="M92" s="48"/>
      <c r="N92" s="47">
        <f t="shared" si="83"/>
        <v>0</v>
      </c>
      <c r="R92" s="76">
        <f t="shared" si="48"/>
        <v>0</v>
      </c>
    </row>
    <row r="93" spans="1:18" ht="16">
      <c r="A93" s="80"/>
      <c r="B93" s="44" t="s">
        <v>38</v>
      </c>
      <c r="C93" s="248"/>
      <c r="D93" s="91"/>
      <c r="E93" s="11">
        <f t="shared" si="78"/>
        <v>0</v>
      </c>
      <c r="F93" s="45"/>
      <c r="G93" s="13" t="e">
        <f t="shared" si="79"/>
        <v>#DIV/0!</v>
      </c>
      <c r="H93" s="35"/>
      <c r="I93" s="38"/>
      <c r="J93" s="35">
        <f t="shared" si="80"/>
        <v>0</v>
      </c>
      <c r="K93" s="50">
        <f t="shared" si="81"/>
        <v>0</v>
      </c>
      <c r="L93" s="46" t="e">
        <f t="shared" si="82"/>
        <v>#DIV/0!</v>
      </c>
      <c r="M93" s="48"/>
      <c r="N93" s="47">
        <f t="shared" si="83"/>
        <v>0</v>
      </c>
      <c r="R93" s="76">
        <f t="shared" si="48"/>
        <v>0</v>
      </c>
    </row>
    <row r="94" spans="1:18" ht="16">
      <c r="A94" s="92"/>
      <c r="B94" s="93" t="s">
        <v>38</v>
      </c>
      <c r="C94" s="94"/>
      <c r="D94" s="95"/>
      <c r="E94" s="11">
        <f t="shared" si="78"/>
        <v>0</v>
      </c>
      <c r="F94" s="45"/>
      <c r="G94" s="96" t="e">
        <f t="shared" si="79"/>
        <v>#DIV/0!</v>
      </c>
      <c r="H94" s="97"/>
      <c r="I94" s="98"/>
      <c r="J94" s="97">
        <f t="shared" si="80"/>
        <v>0</v>
      </c>
      <c r="K94" s="50">
        <f t="shared" si="81"/>
        <v>0</v>
      </c>
      <c r="L94" s="99" t="e">
        <f t="shared" si="82"/>
        <v>#DIV/0!</v>
      </c>
      <c r="M94" s="100"/>
      <c r="N94" s="101">
        <f t="shared" si="83"/>
        <v>0</v>
      </c>
      <c r="R94" s="76">
        <f t="shared" si="48"/>
        <v>0</v>
      </c>
    </row>
    <row r="95" spans="1:18" ht="16">
      <c r="A95" s="102"/>
      <c r="B95" s="103"/>
      <c r="C95" s="104"/>
      <c r="D95" s="105" t="s">
        <v>19</v>
      </c>
      <c r="E95" s="106">
        <f>SUM(E89:E94)</f>
        <v>1862</v>
      </c>
      <c r="F95" s="59">
        <f>SUM(F87:F94)</f>
        <v>366</v>
      </c>
      <c r="G95" s="107" t="e">
        <f>AVERAGE(G89:G94)</f>
        <v>#DIV/0!</v>
      </c>
      <c r="H95" s="104"/>
      <c r="I95" s="108"/>
      <c r="J95" s="105">
        <f t="shared" ref="J95:K95" si="84">SUM(J89:J94)</f>
        <v>19380</v>
      </c>
      <c r="K95" s="105">
        <f t="shared" si="84"/>
        <v>218</v>
      </c>
      <c r="L95" s="109" t="e">
        <f>AVERAGE(L89:L94)</f>
        <v>#DIV/0!</v>
      </c>
      <c r="M95" s="110"/>
      <c r="N95" s="241">
        <f>SUM(N89:N94)</f>
        <v>4050880</v>
      </c>
      <c r="R95" s="76">
        <f t="shared" si="48"/>
        <v>0</v>
      </c>
    </row>
    <row r="96" spans="1:18" ht="16">
      <c r="A96" s="112">
        <v>45906</v>
      </c>
      <c r="B96" s="113" t="s">
        <v>39</v>
      </c>
      <c r="C96" s="83">
        <v>108720</v>
      </c>
      <c r="D96" s="83">
        <v>109530</v>
      </c>
      <c r="E96" s="36">
        <f t="shared" ref="E96:E102" si="85">D96-C96</f>
        <v>810</v>
      </c>
      <c r="F96" s="37">
        <v>87</v>
      </c>
      <c r="G96" s="114">
        <f t="shared" ref="G96:G102" si="86">(F96/E96)*100</f>
        <v>10.74074074074074</v>
      </c>
      <c r="H96" s="125"/>
      <c r="I96" s="243">
        <v>20800</v>
      </c>
      <c r="J96" s="83">
        <f t="shared" ref="J96:J102" si="87">I96-H96</f>
        <v>20800</v>
      </c>
      <c r="K96" s="77">
        <f t="shared" ref="K96:K102" si="88">F96</f>
        <v>87</v>
      </c>
      <c r="L96" s="115">
        <f t="shared" ref="L96:L102" si="89">(K96/J96)*100</f>
        <v>0.41826923076923073</v>
      </c>
      <c r="M96" s="116">
        <v>18470</v>
      </c>
      <c r="N96" s="257">
        <f>M96*K96</f>
        <v>1606890</v>
      </c>
      <c r="R96" s="76">
        <f t="shared" si="48"/>
        <v>0</v>
      </c>
    </row>
    <row r="97" spans="1:26" ht="16">
      <c r="A97" s="117">
        <v>45910</v>
      </c>
      <c r="B97" s="44" t="s">
        <v>39</v>
      </c>
      <c r="C97" s="35">
        <v>109530</v>
      </c>
      <c r="D97" s="35">
        <v>110210</v>
      </c>
      <c r="E97" s="11">
        <f t="shared" si="85"/>
        <v>680</v>
      </c>
      <c r="F97" s="45">
        <v>73</v>
      </c>
      <c r="G97" s="13">
        <f t="shared" si="86"/>
        <v>10.735294117647058</v>
      </c>
      <c r="H97" s="12">
        <v>20800</v>
      </c>
      <c r="I97" s="15">
        <v>21300</v>
      </c>
      <c r="J97" s="35">
        <f t="shared" si="87"/>
        <v>500</v>
      </c>
      <c r="K97" s="50">
        <f t="shared" si="88"/>
        <v>73</v>
      </c>
      <c r="L97" s="46">
        <f t="shared" si="89"/>
        <v>14.6</v>
      </c>
      <c r="M97" s="48">
        <v>18470</v>
      </c>
      <c r="N97" s="242">
        <f t="shared" ref="N97:N102" si="90">F97*M97</f>
        <v>1348310</v>
      </c>
      <c r="R97" s="76">
        <f t="shared" si="48"/>
        <v>0</v>
      </c>
      <c r="S97" s="229"/>
      <c r="T97" s="229"/>
      <c r="U97" s="229"/>
      <c r="V97" s="229"/>
      <c r="W97" s="229"/>
      <c r="X97" s="229"/>
      <c r="Y97" s="229"/>
      <c r="Z97" s="229"/>
    </row>
    <row r="98" spans="1:26" ht="16">
      <c r="A98" s="117">
        <v>45917</v>
      </c>
      <c r="B98" s="44" t="s">
        <v>39</v>
      </c>
      <c r="C98" s="35">
        <v>110210</v>
      </c>
      <c r="D98" s="35">
        <v>110971</v>
      </c>
      <c r="E98" s="11">
        <f t="shared" si="85"/>
        <v>761</v>
      </c>
      <c r="F98" s="45">
        <v>80</v>
      </c>
      <c r="G98" s="13">
        <f t="shared" si="86"/>
        <v>10.512483574244415</v>
      </c>
      <c r="H98" s="35"/>
      <c r="I98" s="38"/>
      <c r="J98" s="35">
        <f t="shared" si="87"/>
        <v>0</v>
      </c>
      <c r="K98" s="50">
        <f t="shared" si="88"/>
        <v>80</v>
      </c>
      <c r="L98" s="46" t="e">
        <f t="shared" si="89"/>
        <v>#DIV/0!</v>
      </c>
      <c r="M98" s="48">
        <v>18640</v>
      </c>
      <c r="N98" s="242">
        <f t="shared" si="90"/>
        <v>1491200</v>
      </c>
      <c r="P98" s="78"/>
      <c r="R98" s="76">
        <f t="shared" si="48"/>
        <v>0</v>
      </c>
    </row>
    <row r="99" spans="1:26" ht="16">
      <c r="A99" s="117">
        <v>45925</v>
      </c>
      <c r="B99" s="44" t="s">
        <v>39</v>
      </c>
      <c r="C99" s="35">
        <v>110971</v>
      </c>
      <c r="D99" s="35">
        <v>111598</v>
      </c>
      <c r="E99" s="11">
        <f t="shared" si="85"/>
        <v>627</v>
      </c>
      <c r="F99" s="45">
        <v>73</v>
      </c>
      <c r="G99" s="13">
        <f t="shared" si="86"/>
        <v>11.642743221690591</v>
      </c>
      <c r="H99" s="35"/>
      <c r="I99" s="38"/>
      <c r="J99" s="35">
        <f t="shared" si="87"/>
        <v>0</v>
      </c>
      <c r="K99" s="50">
        <f t="shared" si="88"/>
        <v>73</v>
      </c>
      <c r="L99" s="46" t="e">
        <f t="shared" si="89"/>
        <v>#DIV/0!</v>
      </c>
      <c r="M99" s="48">
        <v>18650</v>
      </c>
      <c r="N99" s="47">
        <f t="shared" si="90"/>
        <v>1361450</v>
      </c>
      <c r="R99" s="76">
        <f t="shared" si="48"/>
        <v>0</v>
      </c>
    </row>
    <row r="100" spans="1:26" ht="16">
      <c r="A100" s="33"/>
      <c r="B100" s="44" t="s">
        <v>39</v>
      </c>
      <c r="C100" s="35"/>
      <c r="D100" s="35"/>
      <c r="E100" s="11">
        <f t="shared" si="85"/>
        <v>0</v>
      </c>
      <c r="F100" s="45"/>
      <c r="G100" s="13" t="e">
        <f t="shared" si="86"/>
        <v>#DIV/0!</v>
      </c>
      <c r="H100" s="35"/>
      <c r="I100" s="38"/>
      <c r="J100" s="35">
        <f t="shared" si="87"/>
        <v>0</v>
      </c>
      <c r="K100" s="50">
        <f t="shared" si="88"/>
        <v>0</v>
      </c>
      <c r="L100" s="46" t="e">
        <f t="shared" si="89"/>
        <v>#DIV/0!</v>
      </c>
      <c r="M100" s="48"/>
      <c r="N100" s="47">
        <f t="shared" si="90"/>
        <v>0</v>
      </c>
      <c r="R100" s="76">
        <f t="shared" si="48"/>
        <v>0</v>
      </c>
    </row>
    <row r="101" spans="1:26" ht="16">
      <c r="A101" s="230"/>
      <c r="B101" s="44" t="s">
        <v>39</v>
      </c>
      <c r="C101" s="35"/>
      <c r="D101" s="35"/>
      <c r="E101" s="11">
        <f t="shared" si="85"/>
        <v>0</v>
      </c>
      <c r="F101" s="45"/>
      <c r="G101" s="13" t="e">
        <f t="shared" si="86"/>
        <v>#DIV/0!</v>
      </c>
      <c r="H101" s="35"/>
      <c r="I101" s="38"/>
      <c r="J101" s="35">
        <f t="shared" si="87"/>
        <v>0</v>
      </c>
      <c r="K101" s="50">
        <f t="shared" si="88"/>
        <v>0</v>
      </c>
      <c r="L101" s="46" t="e">
        <f t="shared" si="89"/>
        <v>#DIV/0!</v>
      </c>
      <c r="M101" s="48"/>
      <c r="N101" s="47">
        <f t="shared" si="90"/>
        <v>0</v>
      </c>
      <c r="R101" s="76">
        <f t="shared" si="48"/>
        <v>0</v>
      </c>
    </row>
    <row r="102" spans="1:26" ht="16">
      <c r="A102" s="87"/>
      <c r="B102" s="239"/>
      <c r="C102" s="53"/>
      <c r="D102" s="53"/>
      <c r="E102" s="24">
        <f t="shared" si="85"/>
        <v>0</v>
      </c>
      <c r="F102" s="45"/>
      <c r="G102" s="54" t="e">
        <f t="shared" si="86"/>
        <v>#DIV/0!</v>
      </c>
      <c r="H102" s="53"/>
      <c r="I102" s="55"/>
      <c r="J102" s="53">
        <f t="shared" si="87"/>
        <v>0</v>
      </c>
      <c r="K102" s="50">
        <f t="shared" si="88"/>
        <v>0</v>
      </c>
      <c r="L102" s="73" t="e">
        <f t="shared" si="89"/>
        <v>#DIV/0!</v>
      </c>
      <c r="M102" s="56"/>
      <c r="N102" s="57">
        <f t="shared" si="90"/>
        <v>0</v>
      </c>
      <c r="R102" s="76">
        <f t="shared" si="48"/>
        <v>0</v>
      </c>
    </row>
    <row r="103" spans="1:26" ht="16">
      <c r="A103" s="59"/>
      <c r="B103" s="60"/>
      <c r="C103" s="59"/>
      <c r="D103" s="59" t="s">
        <v>19</v>
      </c>
      <c r="E103" s="59">
        <f>SUM(E89:E102)</f>
        <v>6602</v>
      </c>
      <c r="F103" s="59">
        <f>SUM(F95:F102)</f>
        <v>679</v>
      </c>
      <c r="G103" s="61" t="e">
        <f>AVERAGE(G89:G102)</f>
        <v>#DIV/0!</v>
      </c>
      <c r="H103" s="59"/>
      <c r="I103" s="62"/>
      <c r="J103" s="59">
        <f t="shared" ref="J103:K103" si="91">SUM(J89:J102)</f>
        <v>60060</v>
      </c>
      <c r="K103" s="59">
        <f t="shared" si="91"/>
        <v>749</v>
      </c>
      <c r="L103" s="61" t="e">
        <f>AVERAGE(L89:L102)</f>
        <v>#DIV/0!</v>
      </c>
      <c r="M103" s="64"/>
      <c r="N103" s="65">
        <f>SUM(N96:N102)</f>
        <v>5807850</v>
      </c>
      <c r="R103" s="76">
        <f t="shared" si="48"/>
        <v>0</v>
      </c>
    </row>
    <row r="104" spans="1:26" ht="16">
      <c r="A104" s="66">
        <v>45907</v>
      </c>
      <c r="B104" s="90" t="s">
        <v>40</v>
      </c>
      <c r="C104" s="83">
        <v>104728</v>
      </c>
      <c r="D104" s="12">
        <v>105490</v>
      </c>
      <c r="E104" s="36">
        <f t="shared" ref="E104:E110" si="92">D104-C104</f>
        <v>762</v>
      </c>
      <c r="F104" s="37">
        <v>80</v>
      </c>
      <c r="G104" s="13">
        <f t="shared" ref="G104:G110" si="93">(F104/E104)*100</f>
        <v>10.498687664041995</v>
      </c>
      <c r="H104" s="125"/>
      <c r="I104" s="246">
        <v>104570</v>
      </c>
      <c r="J104" s="39">
        <f t="shared" ref="J104:J110" si="94">I104-H104</f>
        <v>104570</v>
      </c>
      <c r="K104" s="77">
        <f t="shared" ref="K104:K110" si="95">F104</f>
        <v>80</v>
      </c>
      <c r="L104" s="67">
        <f t="shared" ref="L104:L110" si="96">(K104/J104)*100</f>
        <v>7.6503777374007834E-2</v>
      </c>
      <c r="M104" s="68">
        <v>18470</v>
      </c>
      <c r="N104" s="42">
        <f t="shared" ref="N104:N110" si="97">F104*M104</f>
        <v>1477600</v>
      </c>
      <c r="R104" s="76">
        <f t="shared" si="48"/>
        <v>0</v>
      </c>
    </row>
    <row r="105" spans="1:26" ht="16">
      <c r="A105" s="43">
        <v>45913</v>
      </c>
      <c r="B105" s="49" t="s">
        <v>40</v>
      </c>
      <c r="C105" s="50">
        <v>105490</v>
      </c>
      <c r="D105" s="10">
        <v>106200</v>
      </c>
      <c r="E105" s="51">
        <f t="shared" si="92"/>
        <v>710</v>
      </c>
      <c r="F105" s="52">
        <v>76</v>
      </c>
      <c r="G105" s="13">
        <f t="shared" si="93"/>
        <v>10.704225352112676</v>
      </c>
      <c r="H105" s="35"/>
      <c r="I105" s="38"/>
      <c r="J105" s="35">
        <f t="shared" si="94"/>
        <v>0</v>
      </c>
      <c r="K105" s="50">
        <f t="shared" si="95"/>
        <v>76</v>
      </c>
      <c r="L105" s="46" t="e">
        <f t="shared" si="96"/>
        <v>#DIV/0!</v>
      </c>
      <c r="M105" s="48">
        <v>18640</v>
      </c>
      <c r="N105" s="47">
        <f t="shared" si="97"/>
        <v>1416640</v>
      </c>
      <c r="R105" s="76">
        <f t="shared" si="48"/>
        <v>0</v>
      </c>
    </row>
    <row r="106" spans="1:26" ht="16">
      <c r="A106" s="33">
        <v>45919</v>
      </c>
      <c r="B106" s="44" t="s">
        <v>40</v>
      </c>
      <c r="C106" s="12">
        <v>106200</v>
      </c>
      <c r="D106" s="12">
        <v>106809</v>
      </c>
      <c r="E106" s="11">
        <f t="shared" si="92"/>
        <v>609</v>
      </c>
      <c r="F106" s="45">
        <v>68</v>
      </c>
      <c r="G106" s="13">
        <f t="shared" si="93"/>
        <v>11.16584564860427</v>
      </c>
      <c r="H106" s="35"/>
      <c r="I106" s="38"/>
      <c r="J106" s="35">
        <f t="shared" si="94"/>
        <v>0</v>
      </c>
      <c r="K106" s="50">
        <f t="shared" si="95"/>
        <v>68</v>
      </c>
      <c r="L106" s="46" t="e">
        <f t="shared" si="96"/>
        <v>#DIV/0!</v>
      </c>
      <c r="M106" s="48">
        <v>18700</v>
      </c>
      <c r="N106" s="47">
        <f t="shared" si="97"/>
        <v>1271600</v>
      </c>
      <c r="R106" s="76">
        <f t="shared" si="48"/>
        <v>0</v>
      </c>
    </row>
    <row r="107" spans="1:26" ht="16">
      <c r="A107" s="33">
        <v>45926</v>
      </c>
      <c r="B107" s="44" t="s">
        <v>40</v>
      </c>
      <c r="C107" s="12">
        <v>106809</v>
      </c>
      <c r="D107" s="12">
        <v>107417</v>
      </c>
      <c r="E107" s="11">
        <f t="shared" si="92"/>
        <v>608</v>
      </c>
      <c r="F107" s="45">
        <v>71</v>
      </c>
      <c r="G107" s="13">
        <f t="shared" si="93"/>
        <v>11.677631578947368</v>
      </c>
      <c r="H107" s="35"/>
      <c r="I107" s="38"/>
      <c r="J107" s="35">
        <f t="shared" si="94"/>
        <v>0</v>
      </c>
      <c r="K107" s="50">
        <f t="shared" si="95"/>
        <v>71</v>
      </c>
      <c r="L107" s="46" t="e">
        <f t="shared" si="96"/>
        <v>#DIV/0!</v>
      </c>
      <c r="M107" s="48">
        <v>18650</v>
      </c>
      <c r="N107" s="47">
        <f t="shared" si="97"/>
        <v>1324150</v>
      </c>
      <c r="R107" s="76">
        <f t="shared" si="48"/>
        <v>0</v>
      </c>
    </row>
    <row r="108" spans="1:26" ht="16">
      <c r="A108" s="33"/>
      <c r="B108" s="44" t="s">
        <v>40</v>
      </c>
      <c r="C108" s="35"/>
      <c r="D108" s="35"/>
      <c r="E108" s="11">
        <f t="shared" si="92"/>
        <v>0</v>
      </c>
      <c r="F108" s="45"/>
      <c r="G108" s="13" t="e">
        <f t="shared" si="93"/>
        <v>#DIV/0!</v>
      </c>
      <c r="H108" s="35"/>
      <c r="I108" s="38"/>
      <c r="J108" s="35">
        <f t="shared" si="94"/>
        <v>0</v>
      </c>
      <c r="K108" s="50">
        <f t="shared" si="95"/>
        <v>0</v>
      </c>
      <c r="L108" s="46" t="e">
        <f t="shared" si="96"/>
        <v>#DIV/0!</v>
      </c>
      <c r="M108" s="48"/>
      <c r="N108" s="47">
        <f t="shared" si="97"/>
        <v>0</v>
      </c>
      <c r="R108" s="76">
        <f t="shared" si="48"/>
        <v>0</v>
      </c>
    </row>
    <row r="109" spans="1:26" ht="16">
      <c r="A109" s="122"/>
      <c r="B109" s="44"/>
      <c r="C109" s="35"/>
      <c r="D109" s="35"/>
      <c r="E109" s="11">
        <f t="shared" si="92"/>
        <v>0</v>
      </c>
      <c r="F109" s="45"/>
      <c r="G109" s="13" t="e">
        <f t="shared" si="93"/>
        <v>#DIV/0!</v>
      </c>
      <c r="H109" s="35"/>
      <c r="I109" s="38"/>
      <c r="J109" s="35">
        <f t="shared" si="94"/>
        <v>0</v>
      </c>
      <c r="K109" s="50">
        <f t="shared" si="95"/>
        <v>0</v>
      </c>
      <c r="L109" s="46" t="e">
        <f t="shared" si="96"/>
        <v>#DIV/0!</v>
      </c>
      <c r="M109" s="48"/>
      <c r="N109" s="47">
        <f t="shared" si="97"/>
        <v>0</v>
      </c>
      <c r="R109" s="76">
        <f t="shared" si="48"/>
        <v>0</v>
      </c>
    </row>
    <row r="110" spans="1:26" ht="16">
      <c r="A110" s="87"/>
      <c r="B110" s="239"/>
      <c r="C110" s="53"/>
      <c r="D110" s="53"/>
      <c r="E110" s="24">
        <f t="shared" si="92"/>
        <v>0</v>
      </c>
      <c r="F110" s="45"/>
      <c r="G110" s="54" t="e">
        <f t="shared" si="93"/>
        <v>#DIV/0!</v>
      </c>
      <c r="H110" s="53"/>
      <c r="I110" s="55"/>
      <c r="J110" s="53">
        <f t="shared" si="94"/>
        <v>0</v>
      </c>
      <c r="K110" s="50">
        <f t="shared" si="95"/>
        <v>0</v>
      </c>
      <c r="L110" s="73" t="e">
        <f t="shared" si="96"/>
        <v>#DIV/0!</v>
      </c>
      <c r="M110" s="56"/>
      <c r="N110" s="57">
        <f t="shared" si="97"/>
        <v>0</v>
      </c>
      <c r="R110" s="76">
        <f t="shared" si="48"/>
        <v>0</v>
      </c>
    </row>
    <row r="111" spans="1:26" ht="16">
      <c r="A111" s="59"/>
      <c r="B111" s="60"/>
      <c r="C111" s="59"/>
      <c r="D111" s="59" t="s">
        <v>19</v>
      </c>
      <c r="E111" s="59">
        <f>SUM(E104:E110)</f>
        <v>2689</v>
      </c>
      <c r="F111" s="37"/>
      <c r="G111" s="61" t="e">
        <f>AVERAGE(G104:G110)</f>
        <v>#DIV/0!</v>
      </c>
      <c r="H111" s="59"/>
      <c r="I111" s="62"/>
      <c r="J111" s="59">
        <f t="shared" ref="J111:K111" si="98">SUM(J104:J110)</f>
        <v>104570</v>
      </c>
      <c r="K111" s="59">
        <f t="shared" si="98"/>
        <v>295</v>
      </c>
      <c r="L111" s="61" t="e">
        <f>AVERAGE(L104:L110)</f>
        <v>#DIV/0!</v>
      </c>
      <c r="M111" s="64"/>
      <c r="N111" s="65">
        <f>SUM(N104:N110)</f>
        <v>5489990</v>
      </c>
      <c r="R111" s="76">
        <f t="shared" si="48"/>
        <v>0</v>
      </c>
    </row>
    <row r="112" spans="1:26" ht="16">
      <c r="A112" s="66">
        <v>45903</v>
      </c>
      <c r="B112" s="90" t="s">
        <v>41</v>
      </c>
      <c r="C112" s="83">
        <v>161533</v>
      </c>
      <c r="D112" s="12">
        <v>162178</v>
      </c>
      <c r="E112" s="36">
        <f t="shared" ref="E112:E116" si="99">D112-C112</f>
        <v>645</v>
      </c>
      <c r="F112" s="37">
        <v>77</v>
      </c>
      <c r="G112" s="13">
        <f t="shared" ref="G112:G116" si="100">(F112/E112)*100</f>
        <v>11.937984496124031</v>
      </c>
      <c r="H112" s="125"/>
      <c r="I112" s="246">
        <v>9805</v>
      </c>
      <c r="J112" s="39">
        <f t="shared" ref="J112:J116" si="101">I112-H112</f>
        <v>9805</v>
      </c>
      <c r="K112" s="77">
        <f t="shared" ref="K112:K116" si="102">F112</f>
        <v>77</v>
      </c>
      <c r="L112" s="67">
        <f t="shared" ref="L112:L116" si="103">(K112/J112)*100</f>
        <v>0.78531361550229473</v>
      </c>
      <c r="M112" s="265">
        <v>18350</v>
      </c>
      <c r="N112" s="42">
        <f t="shared" ref="N112:N116" si="104">F112*M112</f>
        <v>1412950</v>
      </c>
      <c r="R112" s="76">
        <f t="shared" si="48"/>
        <v>0</v>
      </c>
    </row>
    <row r="113" spans="1:18" ht="16">
      <c r="A113" s="118">
        <v>45908</v>
      </c>
      <c r="B113" s="119" t="s">
        <v>41</v>
      </c>
      <c r="C113" s="266">
        <v>162178</v>
      </c>
      <c r="D113" s="51">
        <v>162670</v>
      </c>
      <c r="E113" s="51">
        <f t="shared" si="99"/>
        <v>492</v>
      </c>
      <c r="F113" s="120">
        <v>64</v>
      </c>
      <c r="G113" s="13">
        <f t="shared" si="100"/>
        <v>13.008130081300814</v>
      </c>
      <c r="H113" s="35"/>
      <c r="I113" s="38"/>
      <c r="J113" s="35">
        <f t="shared" si="101"/>
        <v>0</v>
      </c>
      <c r="K113" s="50">
        <f t="shared" si="102"/>
        <v>64</v>
      </c>
      <c r="L113" s="46" t="e">
        <f t="shared" si="103"/>
        <v>#DIV/0!</v>
      </c>
      <c r="M113" s="48">
        <v>18470</v>
      </c>
      <c r="N113" s="121">
        <f t="shared" si="104"/>
        <v>1182080</v>
      </c>
      <c r="R113" s="76">
        <f t="shared" si="48"/>
        <v>0</v>
      </c>
    </row>
    <row r="114" spans="1:18" ht="16">
      <c r="A114" s="118">
        <v>45913</v>
      </c>
      <c r="B114" s="119" t="s">
        <v>41</v>
      </c>
      <c r="C114" s="51">
        <v>162670</v>
      </c>
      <c r="D114" s="51">
        <v>163200</v>
      </c>
      <c r="E114" s="51">
        <f t="shared" si="99"/>
        <v>530</v>
      </c>
      <c r="F114" s="120">
        <v>71</v>
      </c>
      <c r="G114" s="13">
        <f t="shared" si="100"/>
        <v>13.39622641509434</v>
      </c>
      <c r="H114" s="35">
        <v>9805</v>
      </c>
      <c r="I114" s="38">
        <v>10800</v>
      </c>
      <c r="J114" s="35">
        <f t="shared" si="101"/>
        <v>995</v>
      </c>
      <c r="K114" s="50">
        <f t="shared" si="102"/>
        <v>71</v>
      </c>
      <c r="L114" s="46">
        <f t="shared" si="103"/>
        <v>7.1356783919597984</v>
      </c>
      <c r="M114" s="48">
        <v>18640</v>
      </c>
      <c r="N114" s="121">
        <f t="shared" si="104"/>
        <v>1323440</v>
      </c>
      <c r="R114" s="76">
        <f t="shared" si="48"/>
        <v>0</v>
      </c>
    </row>
    <row r="115" spans="1:18" ht="16">
      <c r="A115" s="33">
        <v>45920</v>
      </c>
      <c r="B115" s="44" t="s">
        <v>41</v>
      </c>
      <c r="C115" s="35">
        <v>163200</v>
      </c>
      <c r="D115" s="35">
        <v>163829</v>
      </c>
      <c r="E115" s="11">
        <f t="shared" si="99"/>
        <v>629</v>
      </c>
      <c r="F115" s="45">
        <v>76</v>
      </c>
      <c r="G115" s="13">
        <f t="shared" si="100"/>
        <v>12.082670906200319</v>
      </c>
      <c r="H115" s="35">
        <v>10800</v>
      </c>
      <c r="I115" s="38">
        <v>11380</v>
      </c>
      <c r="J115" s="35">
        <f t="shared" si="101"/>
        <v>580</v>
      </c>
      <c r="K115" s="50">
        <f t="shared" si="102"/>
        <v>76</v>
      </c>
      <c r="L115" s="46">
        <f t="shared" si="103"/>
        <v>13.103448275862069</v>
      </c>
      <c r="M115" s="48">
        <v>18700</v>
      </c>
      <c r="N115" s="121">
        <f t="shared" si="104"/>
        <v>1421200</v>
      </c>
      <c r="R115" s="76">
        <f t="shared" si="48"/>
        <v>0</v>
      </c>
    </row>
    <row r="116" spans="1:18" ht="16">
      <c r="A116" s="122">
        <v>45927</v>
      </c>
      <c r="B116" s="267" t="s">
        <v>41</v>
      </c>
      <c r="C116" s="258">
        <v>163829</v>
      </c>
      <c r="D116" s="258">
        <v>164465</v>
      </c>
      <c r="E116" s="11">
        <f t="shared" si="99"/>
        <v>636</v>
      </c>
      <c r="F116" s="45">
        <v>73</v>
      </c>
      <c r="G116" s="13">
        <f t="shared" si="100"/>
        <v>11.477987421383649</v>
      </c>
      <c r="H116" s="35"/>
      <c r="I116" s="38"/>
      <c r="J116" s="35">
        <f t="shared" si="101"/>
        <v>0</v>
      </c>
      <c r="K116" s="50">
        <f t="shared" si="102"/>
        <v>73</v>
      </c>
      <c r="L116" s="46" t="e">
        <f t="shared" si="103"/>
        <v>#DIV/0!</v>
      </c>
      <c r="M116" s="48">
        <v>18650</v>
      </c>
      <c r="N116" s="121">
        <f t="shared" si="104"/>
        <v>1361450</v>
      </c>
      <c r="R116" s="76">
        <f t="shared" si="48"/>
        <v>0</v>
      </c>
    </row>
    <row r="117" spans="1:18" ht="16">
      <c r="A117" s="59"/>
      <c r="B117" s="60"/>
      <c r="C117" s="59"/>
      <c r="D117" s="59" t="s">
        <v>19</v>
      </c>
      <c r="E117" s="59">
        <f>SUM(E112:E116)</f>
        <v>2932</v>
      </c>
      <c r="F117" s="59">
        <f>SUM(F111:F116)</f>
        <v>361</v>
      </c>
      <c r="G117" s="61">
        <f>AVERAGE(G112:G116)</f>
        <v>12.380599864020629</v>
      </c>
      <c r="H117" s="59"/>
      <c r="I117" s="62"/>
      <c r="J117" s="59">
        <f t="shared" ref="J117:K117" si="105">SUM(J112:J116)</f>
        <v>11380</v>
      </c>
      <c r="K117" s="59">
        <f t="shared" si="105"/>
        <v>361</v>
      </c>
      <c r="L117" s="61" t="e">
        <f>AVERAGE(L112:L116)</f>
        <v>#DIV/0!</v>
      </c>
      <c r="M117" s="64"/>
      <c r="N117" s="65">
        <f>SUM(N112:N116)</f>
        <v>6701120</v>
      </c>
      <c r="R117" s="76">
        <f t="shared" si="48"/>
        <v>0</v>
      </c>
    </row>
    <row r="118" spans="1:18" ht="16">
      <c r="A118" s="66">
        <v>45904</v>
      </c>
      <c r="B118" s="90" t="s">
        <v>27</v>
      </c>
      <c r="C118" s="83"/>
      <c r="D118" s="12"/>
      <c r="E118" s="36">
        <f t="shared" ref="E118:E125" si="106">D118-C118</f>
        <v>0</v>
      </c>
      <c r="F118" s="37">
        <v>62</v>
      </c>
      <c r="G118" s="13" t="e">
        <f t="shared" ref="G118:G125" si="107">(F118/E118)*100</f>
        <v>#DIV/0!</v>
      </c>
      <c r="H118" s="125"/>
      <c r="I118" s="126"/>
      <c r="J118" s="39">
        <f t="shared" ref="J118:J125" si="108">I118-H118</f>
        <v>0</v>
      </c>
      <c r="K118" s="77">
        <f t="shared" ref="K118:K125" si="109">F118</f>
        <v>62</v>
      </c>
      <c r="L118" s="67" t="e">
        <f t="shared" ref="L118:L125" si="110">(K118/J118)*100</f>
        <v>#DIV/0!</v>
      </c>
      <c r="M118" s="68">
        <v>18470</v>
      </c>
      <c r="N118" s="42">
        <f t="shared" ref="N118:N124" si="111">F118*M118</f>
        <v>1145140</v>
      </c>
      <c r="R118" s="76">
        <f t="shared" si="48"/>
        <v>0</v>
      </c>
    </row>
    <row r="119" spans="1:18" ht="16">
      <c r="A119" s="33">
        <v>45909</v>
      </c>
      <c r="B119" s="44" t="s">
        <v>27</v>
      </c>
      <c r="C119" s="35"/>
      <c r="D119" s="12"/>
      <c r="E119" s="11">
        <f t="shared" si="106"/>
        <v>0</v>
      </c>
      <c r="F119" s="45">
        <v>65</v>
      </c>
      <c r="G119" s="13" t="e">
        <f t="shared" si="107"/>
        <v>#DIV/0!</v>
      </c>
      <c r="H119" s="38"/>
      <c r="I119" s="38"/>
      <c r="J119" s="35">
        <f t="shared" si="108"/>
        <v>0</v>
      </c>
      <c r="K119" s="50">
        <f t="shared" si="109"/>
        <v>65</v>
      </c>
      <c r="L119" s="46" t="e">
        <f t="shared" si="110"/>
        <v>#DIV/0!</v>
      </c>
      <c r="M119" s="48">
        <v>18470</v>
      </c>
      <c r="N119" s="47">
        <f t="shared" si="111"/>
        <v>1200550</v>
      </c>
      <c r="R119" s="76">
        <f t="shared" si="48"/>
        <v>0</v>
      </c>
    </row>
    <row r="120" spans="1:18" ht="16">
      <c r="A120" s="33">
        <v>45912</v>
      </c>
      <c r="B120" s="44" t="s">
        <v>27</v>
      </c>
      <c r="C120" s="35"/>
      <c r="D120" s="35"/>
      <c r="E120" s="11">
        <f t="shared" si="106"/>
        <v>0</v>
      </c>
      <c r="F120" s="45">
        <v>68</v>
      </c>
      <c r="G120" s="13" t="e">
        <f t="shared" si="107"/>
        <v>#DIV/0!</v>
      </c>
      <c r="H120" s="35"/>
      <c r="I120" s="38"/>
      <c r="J120" s="35">
        <f t="shared" si="108"/>
        <v>0</v>
      </c>
      <c r="K120" s="50">
        <f t="shared" si="109"/>
        <v>68</v>
      </c>
      <c r="L120" s="46" t="e">
        <f t="shared" si="110"/>
        <v>#DIV/0!</v>
      </c>
      <c r="M120" s="48">
        <v>18640</v>
      </c>
      <c r="N120" s="47">
        <f t="shared" si="111"/>
        <v>1267520</v>
      </c>
      <c r="R120" s="76">
        <f t="shared" si="48"/>
        <v>0</v>
      </c>
    </row>
    <row r="121" spans="1:18" ht="16">
      <c r="A121" s="33">
        <v>45916</v>
      </c>
      <c r="B121" s="44" t="s">
        <v>27</v>
      </c>
      <c r="C121" s="35"/>
      <c r="D121" s="35"/>
      <c r="E121" s="11">
        <f t="shared" si="106"/>
        <v>0</v>
      </c>
      <c r="F121" s="45">
        <v>64</v>
      </c>
      <c r="G121" s="13" t="e">
        <f t="shared" si="107"/>
        <v>#DIV/0!</v>
      </c>
      <c r="H121" s="35"/>
      <c r="I121" s="38"/>
      <c r="J121" s="35">
        <f t="shared" si="108"/>
        <v>0</v>
      </c>
      <c r="K121" s="50">
        <f t="shared" si="109"/>
        <v>64</v>
      </c>
      <c r="L121" s="46" t="e">
        <f t="shared" si="110"/>
        <v>#DIV/0!</v>
      </c>
      <c r="M121" s="48">
        <v>18640</v>
      </c>
      <c r="N121" s="47">
        <f t="shared" si="111"/>
        <v>1192960</v>
      </c>
      <c r="R121" s="76">
        <f t="shared" si="48"/>
        <v>0</v>
      </c>
    </row>
    <row r="122" spans="1:18" ht="16">
      <c r="A122" s="33">
        <v>45920</v>
      </c>
      <c r="B122" s="44" t="s">
        <v>27</v>
      </c>
      <c r="C122" s="35"/>
      <c r="D122" s="35"/>
      <c r="E122" s="11">
        <f t="shared" si="106"/>
        <v>0</v>
      </c>
      <c r="F122" s="45">
        <v>69</v>
      </c>
      <c r="G122" s="13" t="e">
        <f t="shared" si="107"/>
        <v>#DIV/0!</v>
      </c>
      <c r="H122" s="35"/>
      <c r="I122" s="38"/>
      <c r="J122" s="35">
        <f t="shared" si="108"/>
        <v>0</v>
      </c>
      <c r="K122" s="50">
        <f t="shared" si="109"/>
        <v>69</v>
      </c>
      <c r="L122" s="46" t="e">
        <f t="shared" si="110"/>
        <v>#DIV/0!</v>
      </c>
      <c r="M122" s="48">
        <v>18700</v>
      </c>
      <c r="N122" s="47">
        <f t="shared" si="111"/>
        <v>1290300</v>
      </c>
      <c r="R122" s="76">
        <f t="shared" si="48"/>
        <v>0</v>
      </c>
    </row>
    <row r="123" spans="1:18" ht="16">
      <c r="A123" s="33">
        <v>45925</v>
      </c>
      <c r="B123" s="44" t="s">
        <v>27</v>
      </c>
      <c r="C123" s="35"/>
      <c r="D123" s="35"/>
      <c r="E123" s="11">
        <f t="shared" si="106"/>
        <v>0</v>
      </c>
      <c r="F123" s="45">
        <v>64</v>
      </c>
      <c r="G123" s="13" t="e">
        <f t="shared" si="107"/>
        <v>#DIV/0!</v>
      </c>
      <c r="H123" s="35"/>
      <c r="I123" s="38"/>
      <c r="J123" s="35">
        <f t="shared" si="108"/>
        <v>0</v>
      </c>
      <c r="K123" s="50">
        <f t="shared" si="109"/>
        <v>64</v>
      </c>
      <c r="L123" s="46" t="e">
        <f t="shared" si="110"/>
        <v>#DIV/0!</v>
      </c>
      <c r="M123" s="48">
        <v>18700</v>
      </c>
      <c r="N123" s="47">
        <f t="shared" si="111"/>
        <v>1196800</v>
      </c>
      <c r="R123" s="76">
        <f t="shared" si="48"/>
        <v>0</v>
      </c>
    </row>
    <row r="124" spans="1:18" ht="16">
      <c r="A124" s="33">
        <v>45928</v>
      </c>
      <c r="B124" s="44" t="s">
        <v>27</v>
      </c>
      <c r="C124" s="35"/>
      <c r="D124" s="35"/>
      <c r="E124" s="11">
        <f t="shared" si="106"/>
        <v>0</v>
      </c>
      <c r="F124" s="45">
        <v>64</v>
      </c>
      <c r="G124" s="13" t="e">
        <f t="shared" si="107"/>
        <v>#DIV/0!</v>
      </c>
      <c r="H124" s="35"/>
      <c r="I124" s="38"/>
      <c r="J124" s="35">
        <f t="shared" si="108"/>
        <v>0</v>
      </c>
      <c r="K124" s="50">
        <f t="shared" si="109"/>
        <v>64</v>
      </c>
      <c r="L124" s="46" t="e">
        <f t="shared" si="110"/>
        <v>#DIV/0!</v>
      </c>
      <c r="M124" s="48">
        <v>18650</v>
      </c>
      <c r="N124" s="47">
        <f t="shared" si="111"/>
        <v>1193600</v>
      </c>
      <c r="R124" s="76">
        <f t="shared" si="48"/>
        <v>0</v>
      </c>
    </row>
    <row r="125" spans="1:18" ht="16">
      <c r="A125" s="87"/>
      <c r="B125" s="79" t="s">
        <v>27</v>
      </c>
      <c r="C125" s="53"/>
      <c r="D125" s="53"/>
      <c r="E125" s="24">
        <f t="shared" si="106"/>
        <v>0</v>
      </c>
      <c r="F125" s="45"/>
      <c r="G125" s="54" t="e">
        <f t="shared" si="107"/>
        <v>#DIV/0!</v>
      </c>
      <c r="H125" s="53"/>
      <c r="I125" s="55"/>
      <c r="J125" s="53">
        <f t="shared" si="108"/>
        <v>0</v>
      </c>
      <c r="K125" s="50">
        <f t="shared" si="109"/>
        <v>0</v>
      </c>
      <c r="L125" s="73" t="e">
        <f t="shared" si="110"/>
        <v>#DIV/0!</v>
      </c>
      <c r="M125" s="56"/>
      <c r="N125" s="47">
        <f>M125*K125</f>
        <v>0</v>
      </c>
      <c r="R125" s="76">
        <f t="shared" si="48"/>
        <v>0</v>
      </c>
    </row>
    <row r="126" spans="1:18" ht="16">
      <c r="A126" s="59"/>
      <c r="B126" s="60"/>
      <c r="C126" s="59"/>
      <c r="D126" s="59" t="s">
        <v>19</v>
      </c>
      <c r="E126" s="59">
        <f t="shared" ref="E126:F126" si="112">SUM(E118:E125)</f>
        <v>0</v>
      </c>
      <c r="F126" s="59">
        <f t="shared" si="112"/>
        <v>456</v>
      </c>
      <c r="G126" s="61" t="e">
        <f>AVERAGE(G118:G125)</f>
        <v>#DIV/0!</v>
      </c>
      <c r="H126" s="59"/>
      <c r="I126" s="62"/>
      <c r="J126" s="59">
        <f t="shared" ref="J126:K126" si="113">SUM(J118:J125)</f>
        <v>0</v>
      </c>
      <c r="K126" s="59">
        <f t="shared" si="113"/>
        <v>456</v>
      </c>
      <c r="L126" s="61" t="e">
        <f>AVERAGE(L118:L125)</f>
        <v>#DIV/0!</v>
      </c>
      <c r="M126" s="64"/>
      <c r="N126" s="132">
        <f>SUM(N118:N125)</f>
        <v>8486870</v>
      </c>
      <c r="R126" s="76">
        <f t="shared" si="48"/>
        <v>0</v>
      </c>
    </row>
    <row r="127" spans="1:18" ht="16">
      <c r="A127" s="66">
        <v>45905</v>
      </c>
      <c r="B127" s="90" t="s">
        <v>80</v>
      </c>
      <c r="C127" s="83"/>
      <c r="D127" s="12"/>
      <c r="E127" s="36">
        <f t="shared" ref="E127:E134" si="114">D127-C127</f>
        <v>0</v>
      </c>
      <c r="F127" s="37">
        <v>70</v>
      </c>
      <c r="G127" s="13" t="e">
        <f t="shared" ref="G127:G134" si="115">(F127/E127)*100</f>
        <v>#DIV/0!</v>
      </c>
      <c r="H127" s="125"/>
      <c r="I127" s="126"/>
      <c r="J127" s="39">
        <f t="shared" ref="J127:J134" si="116">I127-H127</f>
        <v>0</v>
      </c>
      <c r="K127" s="77">
        <f t="shared" ref="K127:K134" si="117">F127</f>
        <v>70</v>
      </c>
      <c r="L127" s="67" t="e">
        <f t="shared" ref="L127:L134" si="118">(K127/J127)*100</f>
        <v>#DIV/0!</v>
      </c>
      <c r="M127" s="68">
        <v>18470</v>
      </c>
      <c r="N127" s="47">
        <f t="shared" ref="N127:N133" si="119">F127*M127</f>
        <v>1292900</v>
      </c>
      <c r="R127" s="76">
        <f t="shared" si="48"/>
        <v>0</v>
      </c>
    </row>
    <row r="128" spans="1:18" ht="16">
      <c r="A128" s="33">
        <v>45910</v>
      </c>
      <c r="B128" s="44" t="s">
        <v>80</v>
      </c>
      <c r="C128" s="35"/>
      <c r="D128" s="12"/>
      <c r="E128" s="11">
        <f t="shared" si="114"/>
        <v>0</v>
      </c>
      <c r="F128" s="45">
        <v>70</v>
      </c>
      <c r="G128" s="13" t="e">
        <f t="shared" si="115"/>
        <v>#DIV/0!</v>
      </c>
      <c r="H128" s="38"/>
      <c r="I128" s="38"/>
      <c r="J128" s="35">
        <f t="shared" si="116"/>
        <v>0</v>
      </c>
      <c r="K128" s="50">
        <f t="shared" si="117"/>
        <v>70</v>
      </c>
      <c r="L128" s="67" t="e">
        <f t="shared" si="118"/>
        <v>#DIV/0!</v>
      </c>
      <c r="M128" s="48">
        <v>18470</v>
      </c>
      <c r="N128" s="47">
        <f t="shared" si="119"/>
        <v>1292900</v>
      </c>
      <c r="R128" s="76">
        <f t="shared" si="48"/>
        <v>0</v>
      </c>
    </row>
    <row r="129" spans="1:18" ht="16">
      <c r="A129" s="33">
        <v>45913</v>
      </c>
      <c r="B129" s="44" t="s">
        <v>80</v>
      </c>
      <c r="C129" s="35"/>
      <c r="D129" s="35"/>
      <c r="E129" s="11">
        <f t="shared" si="114"/>
        <v>0</v>
      </c>
      <c r="F129" s="45">
        <v>60</v>
      </c>
      <c r="G129" s="13" t="e">
        <f t="shared" si="115"/>
        <v>#DIV/0!</v>
      </c>
      <c r="H129" s="35"/>
      <c r="I129" s="38"/>
      <c r="J129" s="35">
        <f t="shared" si="116"/>
        <v>0</v>
      </c>
      <c r="K129" s="50">
        <f t="shared" si="117"/>
        <v>60</v>
      </c>
      <c r="L129" s="46" t="e">
        <f t="shared" si="118"/>
        <v>#DIV/0!</v>
      </c>
      <c r="M129" s="48">
        <v>18640</v>
      </c>
      <c r="N129" s="47">
        <f t="shared" si="119"/>
        <v>1118400</v>
      </c>
      <c r="R129" s="76">
        <f t="shared" si="48"/>
        <v>0</v>
      </c>
    </row>
    <row r="130" spans="1:18" ht="16">
      <c r="A130" s="33">
        <v>45916</v>
      </c>
      <c r="B130" s="44" t="s">
        <v>80</v>
      </c>
      <c r="C130" s="35"/>
      <c r="D130" s="35"/>
      <c r="E130" s="11">
        <f t="shared" si="114"/>
        <v>0</v>
      </c>
      <c r="F130" s="45">
        <v>70</v>
      </c>
      <c r="G130" s="13" t="e">
        <f t="shared" si="115"/>
        <v>#DIV/0!</v>
      </c>
      <c r="H130" s="35"/>
      <c r="I130" s="38"/>
      <c r="J130" s="35">
        <f t="shared" si="116"/>
        <v>0</v>
      </c>
      <c r="K130" s="50">
        <f t="shared" si="117"/>
        <v>70</v>
      </c>
      <c r="L130" s="46" t="e">
        <f t="shared" si="118"/>
        <v>#DIV/0!</v>
      </c>
      <c r="M130" s="48">
        <v>18640</v>
      </c>
      <c r="N130" s="47">
        <f t="shared" si="119"/>
        <v>1304800</v>
      </c>
      <c r="R130" s="76">
        <f t="shared" si="48"/>
        <v>0</v>
      </c>
    </row>
    <row r="131" spans="1:18" ht="16">
      <c r="A131" s="33">
        <v>45920</v>
      </c>
      <c r="B131" s="44" t="s">
        <v>80</v>
      </c>
      <c r="C131" s="35"/>
      <c r="D131" s="35"/>
      <c r="E131" s="11">
        <f t="shared" si="114"/>
        <v>0</v>
      </c>
      <c r="F131" s="45">
        <v>70</v>
      </c>
      <c r="G131" s="13" t="e">
        <f t="shared" si="115"/>
        <v>#DIV/0!</v>
      </c>
      <c r="H131" s="35"/>
      <c r="I131" s="38"/>
      <c r="J131" s="35">
        <f t="shared" si="116"/>
        <v>0</v>
      </c>
      <c r="K131" s="50">
        <f t="shared" si="117"/>
        <v>70</v>
      </c>
      <c r="L131" s="46" t="e">
        <f t="shared" si="118"/>
        <v>#DIV/0!</v>
      </c>
      <c r="M131" s="48">
        <v>18700</v>
      </c>
      <c r="N131" s="47">
        <f t="shared" si="119"/>
        <v>1309000</v>
      </c>
      <c r="R131" s="76">
        <f t="shared" si="48"/>
        <v>0</v>
      </c>
    </row>
    <row r="132" spans="1:18" ht="16">
      <c r="A132" s="33"/>
      <c r="B132" s="44" t="s">
        <v>80</v>
      </c>
      <c r="C132" s="35"/>
      <c r="D132" s="35"/>
      <c r="E132" s="11">
        <f t="shared" si="114"/>
        <v>0</v>
      </c>
      <c r="F132" s="45"/>
      <c r="G132" s="13" t="e">
        <f t="shared" si="115"/>
        <v>#DIV/0!</v>
      </c>
      <c r="H132" s="35"/>
      <c r="I132" s="38"/>
      <c r="J132" s="35">
        <f t="shared" si="116"/>
        <v>0</v>
      </c>
      <c r="K132" s="50">
        <f t="shared" si="117"/>
        <v>0</v>
      </c>
      <c r="L132" s="46" t="e">
        <f t="shared" si="118"/>
        <v>#DIV/0!</v>
      </c>
      <c r="M132" s="48"/>
      <c r="N132" s="47">
        <f t="shared" si="119"/>
        <v>0</v>
      </c>
      <c r="R132" s="76">
        <f t="shared" si="48"/>
        <v>0</v>
      </c>
    </row>
    <row r="133" spans="1:18" ht="16">
      <c r="A133" s="33"/>
      <c r="B133" s="44"/>
      <c r="C133" s="35"/>
      <c r="D133" s="35"/>
      <c r="E133" s="11">
        <f t="shared" si="114"/>
        <v>0</v>
      </c>
      <c r="F133" s="45"/>
      <c r="G133" s="13" t="e">
        <f t="shared" si="115"/>
        <v>#DIV/0!</v>
      </c>
      <c r="H133" s="35"/>
      <c r="I133" s="38"/>
      <c r="J133" s="35">
        <f t="shared" si="116"/>
        <v>0</v>
      </c>
      <c r="K133" s="50">
        <f t="shared" si="117"/>
        <v>0</v>
      </c>
      <c r="L133" s="46" t="e">
        <f t="shared" si="118"/>
        <v>#DIV/0!</v>
      </c>
      <c r="M133" s="48"/>
      <c r="N133" s="47">
        <f t="shared" si="119"/>
        <v>0</v>
      </c>
      <c r="R133" s="76">
        <f t="shared" si="48"/>
        <v>0</v>
      </c>
    </row>
    <row r="134" spans="1:18" ht="16">
      <c r="A134" s="88"/>
      <c r="B134" s="79"/>
      <c r="C134" s="53"/>
      <c r="D134" s="53"/>
      <c r="E134" s="24">
        <f t="shared" si="114"/>
        <v>0</v>
      </c>
      <c r="F134" s="45"/>
      <c r="G134" s="54" t="e">
        <f t="shared" si="115"/>
        <v>#DIV/0!</v>
      </c>
      <c r="H134" s="53"/>
      <c r="I134" s="55"/>
      <c r="J134" s="53">
        <f t="shared" si="116"/>
        <v>0</v>
      </c>
      <c r="K134" s="50">
        <f t="shared" si="117"/>
        <v>0</v>
      </c>
      <c r="L134" s="73" t="e">
        <f t="shared" si="118"/>
        <v>#DIV/0!</v>
      </c>
      <c r="M134" s="56"/>
      <c r="N134" s="47">
        <f>M134*K134</f>
        <v>0</v>
      </c>
      <c r="R134" s="76">
        <f t="shared" si="48"/>
        <v>0</v>
      </c>
    </row>
    <row r="135" spans="1:18" ht="16">
      <c r="A135" s="59"/>
      <c r="B135" s="60"/>
      <c r="C135" s="59"/>
      <c r="D135" s="59" t="s">
        <v>19</v>
      </c>
      <c r="E135" s="59">
        <f t="shared" ref="E135:F135" si="120">SUM(E127:E134)</f>
        <v>0</v>
      </c>
      <c r="F135" s="59">
        <f t="shared" si="120"/>
        <v>340</v>
      </c>
      <c r="G135" s="61" t="e">
        <f>AVERAGE(G127:G134)</f>
        <v>#DIV/0!</v>
      </c>
      <c r="H135" s="59"/>
      <c r="I135" s="62"/>
      <c r="J135" s="59">
        <f t="shared" ref="J135:K135" si="121">SUM(J127:J134)</f>
        <v>0</v>
      </c>
      <c r="K135" s="59">
        <f t="shared" si="121"/>
        <v>340</v>
      </c>
      <c r="L135" s="61" t="e">
        <f>AVERAGE(L127:L134)</f>
        <v>#DIV/0!</v>
      </c>
      <c r="M135" s="64"/>
      <c r="N135" s="132">
        <f>SUM(N127:N134)</f>
        <v>6318000</v>
      </c>
      <c r="R135" s="76">
        <f t="shared" si="48"/>
        <v>0</v>
      </c>
    </row>
    <row r="136" spans="1:18" ht="16">
      <c r="A136" s="33">
        <v>45903</v>
      </c>
      <c r="B136" s="90" t="s">
        <v>43</v>
      </c>
      <c r="C136" s="83"/>
      <c r="D136" s="12"/>
      <c r="E136" s="36">
        <f t="shared" ref="E136:E143" si="122">D136-C136</f>
        <v>0</v>
      </c>
      <c r="F136" s="37">
        <v>60</v>
      </c>
      <c r="G136" s="13" t="e">
        <f t="shared" ref="G136:G143" si="123">(F136/E136)*100</f>
        <v>#DIV/0!</v>
      </c>
      <c r="H136" s="125"/>
      <c r="I136" s="126"/>
      <c r="J136" s="39">
        <f t="shared" ref="J136:J143" si="124">I136-H136</f>
        <v>0</v>
      </c>
      <c r="K136" s="77">
        <f t="shared" ref="K136:K143" si="125">F136</f>
        <v>60</v>
      </c>
      <c r="L136" s="67" t="e">
        <f t="shared" ref="L136:L143" si="126">(K136/J136)*100</f>
        <v>#DIV/0!</v>
      </c>
      <c r="M136" s="68">
        <v>18350</v>
      </c>
      <c r="N136" s="47">
        <f t="shared" ref="N136:N142" si="127">F136*M136</f>
        <v>1101000</v>
      </c>
      <c r="R136" s="76">
        <f t="shared" si="48"/>
        <v>0</v>
      </c>
    </row>
    <row r="137" spans="1:18" ht="16">
      <c r="A137" s="33">
        <v>45908</v>
      </c>
      <c r="B137" s="44" t="s">
        <v>43</v>
      </c>
      <c r="C137" s="35"/>
      <c r="D137" s="12"/>
      <c r="E137" s="11">
        <f t="shared" si="122"/>
        <v>0</v>
      </c>
      <c r="F137" s="45">
        <v>60</v>
      </c>
      <c r="G137" s="13" t="e">
        <f t="shared" si="123"/>
        <v>#DIV/0!</v>
      </c>
      <c r="H137" s="38"/>
      <c r="I137" s="38"/>
      <c r="J137" s="35">
        <f t="shared" si="124"/>
        <v>0</v>
      </c>
      <c r="K137" s="50">
        <f t="shared" si="125"/>
        <v>60</v>
      </c>
      <c r="L137" s="46" t="e">
        <f t="shared" si="126"/>
        <v>#DIV/0!</v>
      </c>
      <c r="M137" s="48">
        <v>18470</v>
      </c>
      <c r="N137" s="47">
        <f t="shared" si="127"/>
        <v>1108200</v>
      </c>
      <c r="R137" s="76">
        <f t="shared" si="48"/>
        <v>0</v>
      </c>
    </row>
    <row r="138" spans="1:18" ht="16">
      <c r="A138" s="33">
        <v>45912</v>
      </c>
      <c r="B138" s="44" t="s">
        <v>43</v>
      </c>
      <c r="C138" s="35"/>
      <c r="D138" s="35"/>
      <c r="E138" s="11">
        <f t="shared" si="122"/>
        <v>0</v>
      </c>
      <c r="F138" s="45">
        <v>60</v>
      </c>
      <c r="G138" s="13" t="e">
        <f t="shared" si="123"/>
        <v>#DIV/0!</v>
      </c>
      <c r="H138" s="35"/>
      <c r="I138" s="38"/>
      <c r="J138" s="35">
        <f t="shared" si="124"/>
        <v>0</v>
      </c>
      <c r="K138" s="50">
        <f t="shared" si="125"/>
        <v>60</v>
      </c>
      <c r="L138" s="46" t="e">
        <f t="shared" si="126"/>
        <v>#DIV/0!</v>
      </c>
      <c r="M138" s="48">
        <v>18640</v>
      </c>
      <c r="N138" s="47">
        <f t="shared" si="127"/>
        <v>1118400</v>
      </c>
      <c r="R138" s="76">
        <f t="shared" si="48"/>
        <v>0</v>
      </c>
    </row>
    <row r="139" spans="1:18" ht="16">
      <c r="A139" s="33">
        <v>45917</v>
      </c>
      <c r="B139" s="44" t="s">
        <v>43</v>
      </c>
      <c r="C139" s="35"/>
      <c r="D139" s="35"/>
      <c r="E139" s="11">
        <f t="shared" si="122"/>
        <v>0</v>
      </c>
      <c r="F139" s="45">
        <v>60</v>
      </c>
      <c r="G139" s="13" t="e">
        <f t="shared" si="123"/>
        <v>#DIV/0!</v>
      </c>
      <c r="H139" s="35"/>
      <c r="I139" s="38"/>
      <c r="J139" s="35">
        <f t="shared" si="124"/>
        <v>0</v>
      </c>
      <c r="K139" s="50">
        <f t="shared" si="125"/>
        <v>60</v>
      </c>
      <c r="L139" s="46" t="e">
        <f t="shared" si="126"/>
        <v>#DIV/0!</v>
      </c>
      <c r="M139" s="48">
        <v>18640</v>
      </c>
      <c r="N139" s="47">
        <f t="shared" si="127"/>
        <v>1118400</v>
      </c>
      <c r="R139" s="76">
        <f t="shared" si="48"/>
        <v>0</v>
      </c>
    </row>
    <row r="140" spans="1:18" ht="16">
      <c r="A140" s="33">
        <v>45923</v>
      </c>
      <c r="B140" s="44" t="s">
        <v>43</v>
      </c>
      <c r="C140" s="35"/>
      <c r="D140" s="35"/>
      <c r="E140" s="11">
        <f t="shared" si="122"/>
        <v>0</v>
      </c>
      <c r="F140" s="45">
        <v>60</v>
      </c>
      <c r="G140" s="13" t="e">
        <f t="shared" si="123"/>
        <v>#DIV/0!</v>
      </c>
      <c r="H140" s="35"/>
      <c r="I140" s="38"/>
      <c r="J140" s="35">
        <f t="shared" si="124"/>
        <v>0</v>
      </c>
      <c r="K140" s="50">
        <f t="shared" si="125"/>
        <v>60</v>
      </c>
      <c r="L140" s="46" t="e">
        <f t="shared" si="126"/>
        <v>#DIV/0!</v>
      </c>
      <c r="M140" s="48">
        <v>18700</v>
      </c>
      <c r="N140" s="47">
        <f t="shared" si="127"/>
        <v>1122000</v>
      </c>
      <c r="R140" s="76">
        <f t="shared" si="48"/>
        <v>0</v>
      </c>
    </row>
    <row r="141" spans="1:18" ht="16">
      <c r="A141" s="33">
        <v>45929</v>
      </c>
      <c r="B141" s="44" t="s">
        <v>43</v>
      </c>
      <c r="C141" s="35"/>
      <c r="D141" s="35"/>
      <c r="E141" s="11">
        <f t="shared" si="122"/>
        <v>0</v>
      </c>
      <c r="F141" s="45">
        <v>60</v>
      </c>
      <c r="G141" s="13" t="e">
        <f t="shared" si="123"/>
        <v>#DIV/0!</v>
      </c>
      <c r="H141" s="35"/>
      <c r="I141" s="38"/>
      <c r="J141" s="35">
        <f t="shared" si="124"/>
        <v>0</v>
      </c>
      <c r="K141" s="50">
        <f t="shared" si="125"/>
        <v>60</v>
      </c>
      <c r="L141" s="46" t="e">
        <f t="shared" si="126"/>
        <v>#DIV/0!</v>
      </c>
      <c r="M141" s="48">
        <v>18650</v>
      </c>
      <c r="N141" s="47">
        <f t="shared" si="127"/>
        <v>1119000</v>
      </c>
      <c r="R141" s="76">
        <f t="shared" si="48"/>
        <v>0</v>
      </c>
    </row>
    <row r="142" spans="1:18" ht="16">
      <c r="A142" s="33"/>
      <c r="B142" s="44" t="s">
        <v>43</v>
      </c>
      <c r="C142" s="35"/>
      <c r="D142" s="35"/>
      <c r="E142" s="11">
        <f t="shared" si="122"/>
        <v>0</v>
      </c>
      <c r="F142" s="45"/>
      <c r="G142" s="13" t="e">
        <f t="shared" si="123"/>
        <v>#DIV/0!</v>
      </c>
      <c r="H142" s="35"/>
      <c r="I142" s="38"/>
      <c r="J142" s="35">
        <f t="shared" si="124"/>
        <v>0</v>
      </c>
      <c r="K142" s="50">
        <f t="shared" si="125"/>
        <v>0</v>
      </c>
      <c r="L142" s="46" t="e">
        <f t="shared" si="126"/>
        <v>#DIV/0!</v>
      </c>
      <c r="M142" s="48"/>
      <c r="N142" s="47">
        <f t="shared" si="127"/>
        <v>0</v>
      </c>
      <c r="R142" s="76">
        <f t="shared" si="48"/>
        <v>0</v>
      </c>
    </row>
    <row r="143" spans="1:18" ht="16">
      <c r="A143" s="88"/>
      <c r="B143" s="79"/>
      <c r="C143" s="53"/>
      <c r="D143" s="53"/>
      <c r="E143" s="24">
        <f t="shared" si="122"/>
        <v>0</v>
      </c>
      <c r="F143" s="45"/>
      <c r="G143" s="54" t="e">
        <f t="shared" si="123"/>
        <v>#DIV/0!</v>
      </c>
      <c r="H143" s="53"/>
      <c r="I143" s="55"/>
      <c r="J143" s="53">
        <f t="shared" si="124"/>
        <v>0</v>
      </c>
      <c r="K143" s="50">
        <f t="shared" si="125"/>
        <v>0</v>
      </c>
      <c r="L143" s="73" t="e">
        <f t="shared" si="126"/>
        <v>#DIV/0!</v>
      </c>
      <c r="M143" s="48"/>
      <c r="N143" s="47">
        <f>M143*K143</f>
        <v>0</v>
      </c>
      <c r="R143" s="76">
        <f t="shared" si="48"/>
        <v>0</v>
      </c>
    </row>
    <row r="144" spans="1:18" ht="16">
      <c r="A144" s="59"/>
      <c r="B144" s="60"/>
      <c r="C144" s="59"/>
      <c r="D144" s="59" t="s">
        <v>19</v>
      </c>
      <c r="E144" s="59">
        <f>SUM(E136:E143)</f>
        <v>0</v>
      </c>
      <c r="F144" s="37"/>
      <c r="G144" s="61" t="e">
        <f>AVERAGE(G136:G143)</f>
        <v>#DIV/0!</v>
      </c>
      <c r="H144" s="59"/>
      <c r="I144" s="62"/>
      <c r="J144" s="59">
        <f t="shared" ref="J144:K144" si="128">SUM(J136:J143)</f>
        <v>0</v>
      </c>
      <c r="K144" s="59">
        <f t="shared" si="128"/>
        <v>360</v>
      </c>
      <c r="L144" s="61" t="e">
        <f>AVERAGE(L136:L143)</f>
        <v>#DIV/0!</v>
      </c>
      <c r="M144" s="68"/>
      <c r="N144" s="132">
        <f>SUM(N136:N143)</f>
        <v>6687000</v>
      </c>
      <c r="R144" s="76">
        <f t="shared" si="48"/>
        <v>0</v>
      </c>
    </row>
    <row r="145" spans="1:18" ht="16">
      <c r="A145" s="66">
        <v>45904</v>
      </c>
      <c r="B145" s="90" t="s">
        <v>30</v>
      </c>
      <c r="C145" s="83"/>
      <c r="D145" s="12">
        <v>67</v>
      </c>
      <c r="E145" s="36">
        <f t="shared" ref="E145:E152" si="129">D145-C145</f>
        <v>67</v>
      </c>
      <c r="F145" s="37"/>
      <c r="G145" s="13">
        <f t="shared" ref="G145:G152" si="130">(F145/E145)*100</f>
        <v>0</v>
      </c>
      <c r="H145" s="125"/>
      <c r="I145" s="126"/>
      <c r="J145" s="39">
        <f t="shared" ref="J145:J152" si="131">I145-H145</f>
        <v>0</v>
      </c>
      <c r="K145" s="39">
        <f t="shared" ref="K145:K148" si="132">D145</f>
        <v>67</v>
      </c>
      <c r="L145" s="67" t="e">
        <f t="shared" ref="L145:L152" si="133">(K145/J145)*100</f>
        <v>#DIV/0!</v>
      </c>
      <c r="M145" s="68">
        <v>18350</v>
      </c>
      <c r="N145" s="47">
        <f t="shared" ref="N145:N147" si="134">M145*K145</f>
        <v>1229450</v>
      </c>
      <c r="R145" s="76">
        <f t="shared" si="48"/>
        <v>0</v>
      </c>
    </row>
    <row r="146" spans="1:18" ht="16">
      <c r="A146" s="33">
        <v>45909</v>
      </c>
      <c r="B146" s="44" t="s">
        <v>30</v>
      </c>
      <c r="C146" s="35"/>
      <c r="D146" s="12">
        <v>76</v>
      </c>
      <c r="E146" s="11">
        <f t="shared" si="129"/>
        <v>76</v>
      </c>
      <c r="F146" s="45"/>
      <c r="G146" s="13">
        <f t="shared" si="130"/>
        <v>0</v>
      </c>
      <c r="H146" s="38"/>
      <c r="I146" s="38"/>
      <c r="J146" s="35">
        <f t="shared" si="131"/>
        <v>0</v>
      </c>
      <c r="K146" s="39">
        <f t="shared" si="132"/>
        <v>76</v>
      </c>
      <c r="L146" s="46" t="e">
        <f t="shared" si="133"/>
        <v>#DIV/0!</v>
      </c>
      <c r="M146" s="48">
        <v>18470</v>
      </c>
      <c r="N146" s="47">
        <f t="shared" si="134"/>
        <v>1403720</v>
      </c>
      <c r="R146" s="76">
        <f t="shared" si="48"/>
        <v>0</v>
      </c>
    </row>
    <row r="147" spans="1:18" ht="16">
      <c r="A147" s="33">
        <v>45913</v>
      </c>
      <c r="B147" s="44" t="s">
        <v>30</v>
      </c>
      <c r="C147" s="35"/>
      <c r="D147" s="35">
        <v>79</v>
      </c>
      <c r="E147" s="11">
        <f t="shared" si="129"/>
        <v>79</v>
      </c>
      <c r="F147" s="45"/>
      <c r="G147" s="13">
        <f t="shared" si="130"/>
        <v>0</v>
      </c>
      <c r="H147" s="35"/>
      <c r="I147" s="38"/>
      <c r="J147" s="35">
        <f t="shared" si="131"/>
        <v>0</v>
      </c>
      <c r="K147" s="39">
        <f t="shared" si="132"/>
        <v>79</v>
      </c>
      <c r="L147" s="46" t="e">
        <f t="shared" si="133"/>
        <v>#DIV/0!</v>
      </c>
      <c r="M147" s="48">
        <v>18640</v>
      </c>
      <c r="N147" s="47">
        <f t="shared" si="134"/>
        <v>1472560</v>
      </c>
      <c r="R147" s="76">
        <f t="shared" si="48"/>
        <v>0</v>
      </c>
    </row>
    <row r="148" spans="1:18" ht="16">
      <c r="A148" s="33">
        <v>45920</v>
      </c>
      <c r="B148" s="44" t="s">
        <v>30</v>
      </c>
      <c r="C148" s="35"/>
      <c r="D148" s="35"/>
      <c r="E148" s="11">
        <f t="shared" si="129"/>
        <v>0</v>
      </c>
      <c r="F148" s="45">
        <v>81</v>
      </c>
      <c r="G148" s="13" t="e">
        <f t="shared" si="130"/>
        <v>#DIV/0!</v>
      </c>
      <c r="H148" s="35"/>
      <c r="I148" s="38"/>
      <c r="J148" s="35">
        <f t="shared" si="131"/>
        <v>0</v>
      </c>
      <c r="K148" s="39">
        <f t="shared" si="132"/>
        <v>0</v>
      </c>
      <c r="L148" s="46" t="e">
        <f t="shared" si="133"/>
        <v>#DIV/0!</v>
      </c>
      <c r="M148" s="48">
        <v>18700</v>
      </c>
      <c r="N148" s="47">
        <f t="shared" ref="N148:N151" si="135">F148*M148</f>
        <v>1514700</v>
      </c>
      <c r="R148" s="76">
        <f t="shared" si="48"/>
        <v>0</v>
      </c>
    </row>
    <row r="149" spans="1:18" ht="16">
      <c r="A149" s="33">
        <v>45923</v>
      </c>
      <c r="B149" s="44" t="s">
        <v>30</v>
      </c>
      <c r="C149" s="35"/>
      <c r="D149" s="35"/>
      <c r="E149" s="11">
        <f t="shared" si="129"/>
        <v>0</v>
      </c>
      <c r="F149" s="45">
        <v>75</v>
      </c>
      <c r="G149" s="13" t="e">
        <f t="shared" si="130"/>
        <v>#DIV/0!</v>
      </c>
      <c r="H149" s="35"/>
      <c r="I149" s="38"/>
      <c r="J149" s="35">
        <f t="shared" si="131"/>
        <v>0</v>
      </c>
      <c r="K149" s="39">
        <v>75</v>
      </c>
      <c r="L149" s="46" t="e">
        <f t="shared" si="133"/>
        <v>#DIV/0!</v>
      </c>
      <c r="M149" s="48">
        <v>18700</v>
      </c>
      <c r="N149" s="47">
        <f t="shared" si="135"/>
        <v>1402500</v>
      </c>
      <c r="R149" s="76">
        <f t="shared" si="48"/>
        <v>0</v>
      </c>
    </row>
    <row r="150" spans="1:18" ht="16">
      <c r="A150" s="33">
        <v>45930</v>
      </c>
      <c r="B150" s="44" t="s">
        <v>30</v>
      </c>
      <c r="C150" s="35"/>
      <c r="D150" s="35"/>
      <c r="E150" s="11">
        <f t="shared" si="129"/>
        <v>0</v>
      </c>
      <c r="F150" s="45">
        <v>76</v>
      </c>
      <c r="G150" s="13" t="e">
        <f t="shared" si="130"/>
        <v>#DIV/0!</v>
      </c>
      <c r="H150" s="35"/>
      <c r="I150" s="38"/>
      <c r="J150" s="35">
        <f t="shared" si="131"/>
        <v>0</v>
      </c>
      <c r="K150" s="39">
        <v>76</v>
      </c>
      <c r="L150" s="46" t="e">
        <f t="shared" si="133"/>
        <v>#DIV/0!</v>
      </c>
      <c r="M150" s="48">
        <v>18650</v>
      </c>
      <c r="N150" s="47">
        <f t="shared" si="135"/>
        <v>1417400</v>
      </c>
      <c r="R150" s="76">
        <f t="shared" si="48"/>
        <v>0</v>
      </c>
    </row>
    <row r="151" spans="1:18" ht="16">
      <c r="A151" s="33"/>
      <c r="B151" s="79"/>
      <c r="C151" s="35"/>
      <c r="D151" s="35"/>
      <c r="E151" s="11">
        <f t="shared" si="129"/>
        <v>0</v>
      </c>
      <c r="F151" s="45"/>
      <c r="G151" s="13" t="e">
        <f t="shared" si="130"/>
        <v>#DIV/0!</v>
      </c>
      <c r="H151" s="35"/>
      <c r="I151" s="38"/>
      <c r="J151" s="35">
        <f t="shared" si="131"/>
        <v>0</v>
      </c>
      <c r="K151" s="39">
        <f>D151</f>
        <v>0</v>
      </c>
      <c r="L151" s="73" t="e">
        <f t="shared" si="133"/>
        <v>#DIV/0!</v>
      </c>
      <c r="M151" s="48"/>
      <c r="N151" s="47">
        <f t="shared" si="135"/>
        <v>0</v>
      </c>
      <c r="R151" s="76">
        <f t="shared" si="48"/>
        <v>0</v>
      </c>
    </row>
    <row r="152" spans="1:18" ht="16">
      <c r="A152" s="133"/>
      <c r="B152" s="140"/>
      <c r="C152" s="134"/>
      <c r="D152" s="134"/>
      <c r="E152" s="24">
        <f t="shared" si="129"/>
        <v>0</v>
      </c>
      <c r="F152" s="37"/>
      <c r="G152" s="54" t="e">
        <f t="shared" si="130"/>
        <v>#DIV/0!</v>
      </c>
      <c r="H152" s="134"/>
      <c r="I152" s="135"/>
      <c r="J152" s="134">
        <f t="shared" si="131"/>
        <v>0</v>
      </c>
      <c r="K152" s="134"/>
      <c r="L152" s="136" t="e">
        <f t="shared" si="133"/>
        <v>#DIV/0!</v>
      </c>
      <c r="M152" s="137"/>
      <c r="N152" s="47">
        <f>M152*K152</f>
        <v>0</v>
      </c>
      <c r="R152" s="76">
        <f t="shared" si="48"/>
        <v>0</v>
      </c>
    </row>
    <row r="153" spans="1:18" ht="16">
      <c r="A153" s="59"/>
      <c r="B153" s="60"/>
      <c r="C153" s="59"/>
      <c r="D153" s="59" t="s">
        <v>19</v>
      </c>
      <c r="E153" s="59">
        <f t="shared" ref="E153:F153" si="136">SUM(E145:E152)</f>
        <v>222</v>
      </c>
      <c r="F153" s="59">
        <f t="shared" si="136"/>
        <v>232</v>
      </c>
      <c r="G153" s="61" t="e">
        <f>AVERAGE(G145:G152)</f>
        <v>#DIV/0!</v>
      </c>
      <c r="H153" s="59"/>
      <c r="I153" s="62"/>
      <c r="J153" s="59">
        <f t="shared" ref="J153:K153" si="137">SUM(J145:J152)</f>
        <v>0</v>
      </c>
      <c r="K153" s="59">
        <f t="shared" si="137"/>
        <v>373</v>
      </c>
      <c r="L153" s="61" t="e">
        <f>AVERAGE(L145:L152)</f>
        <v>#DIV/0!</v>
      </c>
      <c r="M153" s="64"/>
      <c r="N153" s="65">
        <f>SUM(N145:N152)</f>
        <v>8440330</v>
      </c>
      <c r="R153" s="76">
        <f t="shared" si="48"/>
        <v>0</v>
      </c>
    </row>
    <row r="154" spans="1:18" ht="16">
      <c r="A154" s="138">
        <v>45904</v>
      </c>
      <c r="B154" s="90" t="s">
        <v>83</v>
      </c>
      <c r="C154" s="83"/>
      <c r="D154" s="12"/>
      <c r="E154" s="36">
        <v>91</v>
      </c>
      <c r="F154" s="37">
        <v>91</v>
      </c>
      <c r="G154" s="13">
        <f t="shared" ref="G154:G161" si="138">(F154/E154)*100</f>
        <v>100</v>
      </c>
      <c r="H154" s="125"/>
      <c r="I154" s="126"/>
      <c r="J154" s="39">
        <f t="shared" ref="J154:J161" si="139">I154-H154</f>
        <v>0</v>
      </c>
      <c r="K154" s="77">
        <f>E154</f>
        <v>91</v>
      </c>
      <c r="L154" s="67" t="e">
        <f t="shared" ref="L154:L161" si="140">(K154/J154)*100</f>
        <v>#DIV/0!</v>
      </c>
      <c r="M154" s="68">
        <v>18470</v>
      </c>
      <c r="N154" s="121">
        <f t="shared" ref="N154:N161" si="141">M154*K154</f>
        <v>1680770</v>
      </c>
    </row>
    <row r="155" spans="1:18" ht="16">
      <c r="A155" s="33">
        <v>45910</v>
      </c>
      <c r="B155" s="44" t="s">
        <v>83</v>
      </c>
      <c r="C155" s="35"/>
      <c r="D155" s="12"/>
      <c r="E155" s="11">
        <f t="shared" ref="E155:E161" si="142">D155-C155</f>
        <v>0</v>
      </c>
      <c r="F155" s="45">
        <v>88</v>
      </c>
      <c r="G155" s="13" t="e">
        <f t="shared" si="138"/>
        <v>#DIV/0!</v>
      </c>
      <c r="H155" s="38"/>
      <c r="I155" s="38"/>
      <c r="J155" s="35">
        <f t="shared" si="139"/>
        <v>0</v>
      </c>
      <c r="K155" s="77">
        <f t="shared" ref="K155:K156" si="143">F155</f>
        <v>88</v>
      </c>
      <c r="L155" s="46" t="e">
        <f t="shared" si="140"/>
        <v>#DIV/0!</v>
      </c>
      <c r="M155" s="68">
        <v>18470</v>
      </c>
      <c r="N155" s="121">
        <f t="shared" si="141"/>
        <v>1625360</v>
      </c>
    </row>
    <row r="156" spans="1:18" ht="16">
      <c r="A156" s="33">
        <v>45917</v>
      </c>
      <c r="B156" s="44" t="s">
        <v>83</v>
      </c>
      <c r="C156" s="35"/>
      <c r="D156" s="35"/>
      <c r="E156" s="11">
        <f t="shared" si="142"/>
        <v>0</v>
      </c>
      <c r="F156" s="45">
        <v>82</v>
      </c>
      <c r="G156" s="13" t="e">
        <f t="shared" si="138"/>
        <v>#DIV/0!</v>
      </c>
      <c r="H156" s="35"/>
      <c r="I156" s="38"/>
      <c r="J156" s="35">
        <f t="shared" si="139"/>
        <v>0</v>
      </c>
      <c r="K156" s="77">
        <f t="shared" si="143"/>
        <v>82</v>
      </c>
      <c r="L156" s="46" t="e">
        <f t="shared" si="140"/>
        <v>#DIV/0!</v>
      </c>
      <c r="M156" s="68">
        <v>18640</v>
      </c>
      <c r="N156" s="121">
        <f t="shared" si="141"/>
        <v>1528480</v>
      </c>
    </row>
    <row r="157" spans="1:18" ht="16">
      <c r="A157" s="33"/>
      <c r="B157" s="44" t="s">
        <v>83</v>
      </c>
      <c r="C157" s="35"/>
      <c r="D157" s="35"/>
      <c r="E157" s="11">
        <f t="shared" si="142"/>
        <v>0</v>
      </c>
      <c r="F157" s="45"/>
      <c r="G157" s="13" t="e">
        <f t="shared" si="138"/>
        <v>#DIV/0!</v>
      </c>
      <c r="H157" s="35"/>
      <c r="I157" s="38"/>
      <c r="J157" s="35">
        <f t="shared" si="139"/>
        <v>0</v>
      </c>
      <c r="K157" s="77">
        <f t="shared" ref="K157:K159" si="144">E157</f>
        <v>0</v>
      </c>
      <c r="L157" s="46" t="e">
        <f t="shared" si="140"/>
        <v>#DIV/0!</v>
      </c>
      <c r="M157" s="68"/>
      <c r="N157" s="121">
        <f t="shared" si="141"/>
        <v>0</v>
      </c>
    </row>
    <row r="158" spans="1:18" ht="16">
      <c r="A158" s="33"/>
      <c r="B158" s="44" t="s">
        <v>83</v>
      </c>
      <c r="C158" s="35"/>
      <c r="D158" s="35"/>
      <c r="E158" s="11">
        <f t="shared" si="142"/>
        <v>0</v>
      </c>
      <c r="F158" s="45"/>
      <c r="G158" s="13" t="e">
        <f t="shared" si="138"/>
        <v>#DIV/0!</v>
      </c>
      <c r="H158" s="35"/>
      <c r="I158" s="38"/>
      <c r="J158" s="35">
        <f t="shared" si="139"/>
        <v>0</v>
      </c>
      <c r="K158" s="77">
        <f t="shared" si="144"/>
        <v>0</v>
      </c>
      <c r="L158" s="46" t="e">
        <f t="shared" si="140"/>
        <v>#DIV/0!</v>
      </c>
      <c r="M158" s="68"/>
      <c r="N158" s="121">
        <f t="shared" si="141"/>
        <v>0</v>
      </c>
    </row>
    <row r="159" spans="1:18" ht="16">
      <c r="A159" s="33"/>
      <c r="B159" s="44" t="s">
        <v>83</v>
      </c>
      <c r="C159" s="35"/>
      <c r="D159" s="35"/>
      <c r="E159" s="11">
        <f t="shared" si="142"/>
        <v>0</v>
      </c>
      <c r="F159" s="45"/>
      <c r="G159" s="13" t="e">
        <f t="shared" si="138"/>
        <v>#DIV/0!</v>
      </c>
      <c r="H159" s="35"/>
      <c r="I159" s="38"/>
      <c r="J159" s="35">
        <f t="shared" si="139"/>
        <v>0</v>
      </c>
      <c r="K159" s="77">
        <f t="shared" si="144"/>
        <v>0</v>
      </c>
      <c r="L159" s="46" t="e">
        <f t="shared" si="140"/>
        <v>#DIV/0!</v>
      </c>
      <c r="M159" s="68"/>
      <c r="N159" s="121">
        <f t="shared" si="141"/>
        <v>0</v>
      </c>
    </row>
    <row r="160" spans="1:18" ht="16">
      <c r="A160" s="33"/>
      <c r="B160" s="44" t="s">
        <v>83</v>
      </c>
      <c r="C160" s="35"/>
      <c r="D160" s="35"/>
      <c r="E160" s="11">
        <f t="shared" si="142"/>
        <v>0</v>
      </c>
      <c r="F160" s="45"/>
      <c r="G160" s="13" t="e">
        <f t="shared" si="138"/>
        <v>#DIV/0!</v>
      </c>
      <c r="H160" s="35"/>
      <c r="I160" s="38"/>
      <c r="J160" s="35">
        <f t="shared" si="139"/>
        <v>0</v>
      </c>
      <c r="K160" s="50">
        <f t="shared" ref="K160:K161" si="145">F160</f>
        <v>0</v>
      </c>
      <c r="L160" s="46" t="e">
        <f t="shared" si="140"/>
        <v>#DIV/0!</v>
      </c>
      <c r="M160" s="48"/>
      <c r="N160" s="121">
        <f t="shared" si="141"/>
        <v>0</v>
      </c>
    </row>
    <row r="161" spans="1:18" ht="16">
      <c r="A161" s="88"/>
      <c r="B161" s="79"/>
      <c r="C161" s="53"/>
      <c r="D161" s="53"/>
      <c r="E161" s="24">
        <f t="shared" si="142"/>
        <v>0</v>
      </c>
      <c r="F161" s="45"/>
      <c r="G161" s="54" t="e">
        <f t="shared" si="138"/>
        <v>#DIV/0!</v>
      </c>
      <c r="H161" s="53"/>
      <c r="I161" s="55"/>
      <c r="J161" s="53">
        <f t="shared" si="139"/>
        <v>0</v>
      </c>
      <c r="K161" s="50">
        <f t="shared" si="145"/>
        <v>0</v>
      </c>
      <c r="L161" s="73" t="e">
        <f t="shared" si="140"/>
        <v>#DIV/0!</v>
      </c>
      <c r="M161" s="56"/>
      <c r="N161" s="47">
        <f t="shared" si="141"/>
        <v>0</v>
      </c>
    </row>
    <row r="162" spans="1:18" ht="16">
      <c r="A162" s="59"/>
      <c r="B162" s="60"/>
      <c r="C162" s="59"/>
      <c r="D162" s="59" t="s">
        <v>19</v>
      </c>
      <c r="E162" s="59">
        <f t="shared" ref="E162:F162" si="146">SUM(E154:E161)</f>
        <v>91</v>
      </c>
      <c r="F162" s="59">
        <f t="shared" si="146"/>
        <v>261</v>
      </c>
      <c r="G162" s="61" t="e">
        <f>AVERAGE(G154:G161)</f>
        <v>#DIV/0!</v>
      </c>
      <c r="H162" s="59"/>
      <c r="I162" s="62"/>
      <c r="J162" s="59">
        <f t="shared" ref="J162:K162" si="147">SUM(J154:J161)</f>
        <v>0</v>
      </c>
      <c r="K162" s="59">
        <f t="shared" si="147"/>
        <v>261</v>
      </c>
      <c r="L162" s="61" t="e">
        <f>AVERAGE(L154:L161)</f>
        <v>#DIV/0!</v>
      </c>
      <c r="M162" s="64"/>
      <c r="N162" s="65">
        <f>SUM(N154:N161)</f>
        <v>4834610</v>
      </c>
    </row>
    <row r="163" spans="1:18" ht="16">
      <c r="A163" s="139">
        <v>45908</v>
      </c>
      <c r="B163" s="140" t="s">
        <v>32</v>
      </c>
      <c r="C163" s="83"/>
      <c r="D163" s="12"/>
      <c r="E163" s="36">
        <f t="shared" ref="E163:E170" si="148">D163-C163</f>
        <v>0</v>
      </c>
      <c r="F163" s="37">
        <v>82</v>
      </c>
      <c r="G163" s="13" t="e">
        <f t="shared" ref="G163:G170" si="149">(F163/E163)*100</f>
        <v>#DIV/0!</v>
      </c>
      <c r="H163" s="125"/>
      <c r="I163" s="126"/>
      <c r="J163" s="39">
        <f t="shared" ref="J163:J170" si="150">I163-H163</f>
        <v>0</v>
      </c>
      <c r="K163" s="77">
        <f t="shared" ref="K163:K170" si="151">F163</f>
        <v>82</v>
      </c>
      <c r="L163" s="136" t="e">
        <f t="shared" ref="L163:L170" si="152">(K163/J163)*100</f>
        <v>#DIV/0!</v>
      </c>
      <c r="M163" s="68">
        <v>18470</v>
      </c>
      <c r="N163" s="121">
        <f>M163*K163</f>
        <v>1514540</v>
      </c>
      <c r="R163" s="76">
        <f t="shared" ref="R163:R172" si="153">Q163</f>
        <v>0</v>
      </c>
    </row>
    <row r="164" spans="1:18" ht="16">
      <c r="A164" s="138">
        <v>45913</v>
      </c>
      <c r="B164" s="140" t="s">
        <v>32</v>
      </c>
      <c r="C164" s="83"/>
      <c r="D164" s="12"/>
      <c r="E164" s="36">
        <f t="shared" si="148"/>
        <v>0</v>
      </c>
      <c r="F164" s="45">
        <v>70</v>
      </c>
      <c r="G164" s="13" t="e">
        <f t="shared" si="149"/>
        <v>#DIV/0!</v>
      </c>
      <c r="H164" s="38"/>
      <c r="I164" s="38"/>
      <c r="J164" s="35">
        <f t="shared" si="150"/>
        <v>0</v>
      </c>
      <c r="K164" s="77">
        <f t="shared" si="151"/>
        <v>70</v>
      </c>
      <c r="L164" s="136" t="e">
        <f t="shared" si="152"/>
        <v>#DIV/0!</v>
      </c>
      <c r="M164" s="116">
        <v>18640</v>
      </c>
      <c r="N164" s="47">
        <f t="shared" ref="N164:N169" si="154">F164*M164</f>
        <v>1304800</v>
      </c>
      <c r="R164" s="76">
        <f t="shared" si="153"/>
        <v>0</v>
      </c>
    </row>
    <row r="165" spans="1:18" ht="16">
      <c r="A165" s="138">
        <v>45918</v>
      </c>
      <c r="B165" s="140" t="s">
        <v>32</v>
      </c>
      <c r="C165" s="83"/>
      <c r="D165" s="83"/>
      <c r="E165" s="11">
        <f t="shared" si="148"/>
        <v>0</v>
      </c>
      <c r="F165" s="141">
        <v>90</v>
      </c>
      <c r="G165" s="13" t="e">
        <f t="shared" si="149"/>
        <v>#DIV/0!</v>
      </c>
      <c r="H165" s="35"/>
      <c r="I165" s="38"/>
      <c r="J165" s="35">
        <f t="shared" si="150"/>
        <v>0</v>
      </c>
      <c r="K165" s="77">
        <f t="shared" si="151"/>
        <v>90</v>
      </c>
      <c r="L165" s="136" t="e">
        <f t="shared" si="152"/>
        <v>#DIV/0!</v>
      </c>
      <c r="M165" s="116">
        <v>18640</v>
      </c>
      <c r="N165" s="47">
        <f t="shared" si="154"/>
        <v>1677600</v>
      </c>
      <c r="R165" s="76">
        <f t="shared" si="153"/>
        <v>0</v>
      </c>
    </row>
    <row r="166" spans="1:18" ht="16">
      <c r="A166" s="138">
        <v>45922</v>
      </c>
      <c r="B166" s="140" t="s">
        <v>32</v>
      </c>
      <c r="C166" s="83"/>
      <c r="D166" s="83"/>
      <c r="E166" s="11">
        <f t="shared" si="148"/>
        <v>0</v>
      </c>
      <c r="F166" s="141">
        <v>85</v>
      </c>
      <c r="G166" s="13" t="e">
        <f t="shared" si="149"/>
        <v>#DIV/0!</v>
      </c>
      <c r="H166" s="35"/>
      <c r="I166" s="38"/>
      <c r="J166" s="35">
        <f t="shared" si="150"/>
        <v>0</v>
      </c>
      <c r="K166" s="77">
        <f t="shared" si="151"/>
        <v>85</v>
      </c>
      <c r="L166" s="136" t="e">
        <f t="shared" si="152"/>
        <v>#DIV/0!</v>
      </c>
      <c r="M166" s="116">
        <v>18700</v>
      </c>
      <c r="N166" s="47">
        <f t="shared" si="154"/>
        <v>1589500</v>
      </c>
      <c r="R166" s="76">
        <f t="shared" si="153"/>
        <v>0</v>
      </c>
    </row>
    <row r="167" spans="1:18" ht="16">
      <c r="A167" s="138">
        <v>45927</v>
      </c>
      <c r="B167" s="140" t="s">
        <v>32</v>
      </c>
      <c r="C167" s="83"/>
      <c r="D167" s="83"/>
      <c r="E167" s="11">
        <f t="shared" si="148"/>
        <v>0</v>
      </c>
      <c r="F167" s="141">
        <v>80</v>
      </c>
      <c r="G167" s="13" t="e">
        <f t="shared" si="149"/>
        <v>#DIV/0!</v>
      </c>
      <c r="H167" s="35"/>
      <c r="I167" s="38"/>
      <c r="J167" s="35">
        <f t="shared" si="150"/>
        <v>0</v>
      </c>
      <c r="K167" s="77">
        <f t="shared" si="151"/>
        <v>80</v>
      </c>
      <c r="L167" s="136" t="e">
        <f t="shared" si="152"/>
        <v>#DIV/0!</v>
      </c>
      <c r="M167" s="116">
        <v>18650</v>
      </c>
      <c r="N167" s="47">
        <f t="shared" si="154"/>
        <v>1492000</v>
      </c>
      <c r="R167" s="76">
        <f t="shared" si="153"/>
        <v>0</v>
      </c>
    </row>
    <row r="168" spans="1:18" ht="16">
      <c r="A168" s="138"/>
      <c r="B168" s="140" t="s">
        <v>32</v>
      </c>
      <c r="C168" s="83"/>
      <c r="D168" s="83"/>
      <c r="E168" s="11">
        <f t="shared" si="148"/>
        <v>0</v>
      </c>
      <c r="F168" s="141"/>
      <c r="G168" s="13" t="e">
        <f t="shared" si="149"/>
        <v>#DIV/0!</v>
      </c>
      <c r="H168" s="35"/>
      <c r="I168" s="38"/>
      <c r="J168" s="35">
        <f t="shared" si="150"/>
        <v>0</v>
      </c>
      <c r="K168" s="77">
        <f t="shared" si="151"/>
        <v>0</v>
      </c>
      <c r="L168" s="136" t="e">
        <f t="shared" si="152"/>
        <v>#DIV/0!</v>
      </c>
      <c r="M168" s="116"/>
      <c r="N168" s="47">
        <f t="shared" si="154"/>
        <v>0</v>
      </c>
      <c r="R168" s="76">
        <f t="shared" si="153"/>
        <v>0</v>
      </c>
    </row>
    <row r="169" spans="1:18" ht="16">
      <c r="A169" s="138"/>
      <c r="B169" s="140"/>
      <c r="C169" s="83"/>
      <c r="D169" s="83"/>
      <c r="E169" s="11">
        <f t="shared" si="148"/>
        <v>0</v>
      </c>
      <c r="F169" s="141"/>
      <c r="G169" s="13" t="e">
        <f t="shared" si="149"/>
        <v>#DIV/0!</v>
      </c>
      <c r="H169" s="83"/>
      <c r="I169" s="125"/>
      <c r="J169" s="83">
        <f t="shared" si="150"/>
        <v>0</v>
      </c>
      <c r="K169" s="77">
        <f t="shared" si="151"/>
        <v>0</v>
      </c>
      <c r="L169" s="136" t="e">
        <f t="shared" si="152"/>
        <v>#DIV/0!</v>
      </c>
      <c r="M169" s="116"/>
      <c r="N169" s="47">
        <f t="shared" si="154"/>
        <v>0</v>
      </c>
      <c r="R169" s="76">
        <f t="shared" si="153"/>
        <v>0</v>
      </c>
    </row>
    <row r="170" spans="1:18" ht="16">
      <c r="A170" s="138"/>
      <c r="B170" s="140"/>
      <c r="C170" s="134"/>
      <c r="D170" s="134"/>
      <c r="E170" s="24">
        <f t="shared" si="148"/>
        <v>0</v>
      </c>
      <c r="F170" s="143"/>
      <c r="G170" s="54" t="e">
        <f t="shared" si="149"/>
        <v>#DIV/0!</v>
      </c>
      <c r="H170" s="134"/>
      <c r="I170" s="135"/>
      <c r="J170" s="134">
        <f t="shared" si="150"/>
        <v>0</v>
      </c>
      <c r="K170" s="77">
        <f t="shared" si="151"/>
        <v>0</v>
      </c>
      <c r="L170" s="136" t="e">
        <f t="shared" si="152"/>
        <v>#DIV/0!</v>
      </c>
      <c r="M170" s="137"/>
      <c r="N170" s="47">
        <f>M170*K170</f>
        <v>0</v>
      </c>
      <c r="R170" s="76">
        <f t="shared" si="153"/>
        <v>0</v>
      </c>
    </row>
    <row r="171" spans="1:18" ht="16">
      <c r="A171" s="138"/>
      <c r="B171" s="60"/>
      <c r="C171" s="59"/>
      <c r="D171" s="59" t="s">
        <v>19</v>
      </c>
      <c r="E171" s="59">
        <f t="shared" ref="E171:F171" si="155">SUM(E163:E170)</f>
        <v>0</v>
      </c>
      <c r="F171" s="59">
        <f t="shared" si="155"/>
        <v>407</v>
      </c>
      <c r="G171" s="61" t="e">
        <f>AVERAGE(G163:G170)</f>
        <v>#DIV/0!</v>
      </c>
      <c r="H171" s="59"/>
      <c r="I171" s="62"/>
      <c r="J171" s="59">
        <f t="shared" ref="J171:K171" si="156">SUM(J163:J170)</f>
        <v>0</v>
      </c>
      <c r="K171" s="59">
        <f t="shared" si="156"/>
        <v>407</v>
      </c>
      <c r="L171" s="61" t="e">
        <f>AVERAGE(L163:L170)</f>
        <v>#DIV/0!</v>
      </c>
      <c r="M171" s="64"/>
      <c r="N171" s="132">
        <f>SUM(N163:N170)</f>
        <v>7578440</v>
      </c>
      <c r="R171" s="76">
        <f t="shared" si="153"/>
        <v>0</v>
      </c>
    </row>
    <row r="172" spans="1:18" ht="18">
      <c r="A172" s="138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8"/>
      <c r="N172" s="149">
        <f>N10+N18+N27+N35+N44+N55+N64+N72+N80+N88+N95+N103+N111+N126+N135+N144+N171+N117+N153+N162</f>
        <v>109119970</v>
      </c>
      <c r="P172" s="76">
        <f>31969600+28581263+24887064+26245620</f>
        <v>111683547</v>
      </c>
      <c r="R172" s="76">
        <f t="shared" si="153"/>
        <v>0</v>
      </c>
    </row>
    <row r="173" spans="1:18" ht="14">
      <c r="A173" s="138"/>
      <c r="G173" s="150"/>
      <c r="L173" s="150"/>
      <c r="N173" s="151"/>
    </row>
    <row r="174" spans="1:18" ht="31.5" customHeight="1">
      <c r="A174" s="138"/>
      <c r="D174" s="152" t="s">
        <v>45</v>
      </c>
      <c r="E174" s="153"/>
      <c r="G174" s="150"/>
      <c r="L174" s="150"/>
      <c r="N174" s="151"/>
    </row>
    <row r="175" spans="1:18" ht="16">
      <c r="A175" s="138"/>
      <c r="B175" s="154" t="s">
        <v>2</v>
      </c>
      <c r="C175" s="148" t="s">
        <v>3</v>
      </c>
      <c r="D175" s="148" t="s">
        <v>4</v>
      </c>
      <c r="E175" s="148" t="s">
        <v>5</v>
      </c>
      <c r="F175" s="148" t="s">
        <v>6</v>
      </c>
      <c r="G175" s="155" t="s">
        <v>7</v>
      </c>
      <c r="H175" s="156" t="s">
        <v>8</v>
      </c>
      <c r="I175" s="157" t="s">
        <v>8</v>
      </c>
      <c r="J175" s="148" t="s">
        <v>5</v>
      </c>
      <c r="K175" s="148" t="s">
        <v>6</v>
      </c>
      <c r="L175" s="155" t="s">
        <v>7</v>
      </c>
      <c r="M175" s="148" t="s">
        <v>9</v>
      </c>
      <c r="N175" s="158" t="s">
        <v>10</v>
      </c>
      <c r="O175" s="76">
        <v>1</v>
      </c>
      <c r="P175" s="76" t="s">
        <v>46</v>
      </c>
      <c r="Q175" s="223">
        <f>N181</f>
        <v>21410000</v>
      </c>
    </row>
    <row r="176" spans="1:18" ht="16">
      <c r="A176" s="138">
        <v>45903</v>
      </c>
      <c r="B176" s="90" t="s">
        <v>46</v>
      </c>
      <c r="C176" s="268"/>
      <c r="D176" s="268">
        <v>396712</v>
      </c>
      <c r="E176" s="11">
        <f>C176</f>
        <v>0</v>
      </c>
      <c r="F176" s="35">
        <v>354</v>
      </c>
      <c r="G176" s="13" t="e">
        <f t="shared" ref="G176:G180" si="157">(F176/E176)*100</f>
        <v>#DIV/0!</v>
      </c>
      <c r="H176" s="83"/>
      <c r="I176" s="126"/>
      <c r="J176" s="39">
        <f t="shared" ref="J176:J180" si="158">I176-H176</f>
        <v>0</v>
      </c>
      <c r="K176" s="35">
        <f t="shared" ref="K176:K180" si="159">F176</f>
        <v>354</v>
      </c>
      <c r="L176" s="67" t="e">
        <f t="shared" ref="L176:L180" si="160">(K176/J176)*100</f>
        <v>#DIV/0!</v>
      </c>
      <c r="M176" s="68">
        <v>18350</v>
      </c>
      <c r="N176" s="47">
        <v>6500000</v>
      </c>
      <c r="O176" s="76">
        <v>2</v>
      </c>
      <c r="P176" s="76" t="s">
        <v>47</v>
      </c>
      <c r="Q176" s="223">
        <f>N185</f>
        <v>14500000</v>
      </c>
    </row>
    <row r="177" spans="1:17" ht="16">
      <c r="A177" s="138">
        <v>45915</v>
      </c>
      <c r="B177" s="44" t="s">
        <v>46</v>
      </c>
      <c r="C177" s="12">
        <v>396712</v>
      </c>
      <c r="D177" s="12">
        <v>397784</v>
      </c>
      <c r="E177" s="11">
        <f t="shared" ref="E177:E180" si="161">D177-C177</f>
        <v>1072</v>
      </c>
      <c r="F177" s="45">
        <v>140.56</v>
      </c>
      <c r="G177" s="13">
        <f t="shared" si="157"/>
        <v>13.111940298507463</v>
      </c>
      <c r="H177" s="35"/>
      <c r="I177" s="38"/>
      <c r="J177" s="35">
        <f t="shared" si="158"/>
        <v>0</v>
      </c>
      <c r="K177" s="35">
        <f t="shared" si="159"/>
        <v>140.56</v>
      </c>
      <c r="L177" s="46" t="e">
        <f t="shared" si="160"/>
        <v>#DIV/0!</v>
      </c>
      <c r="M177" s="48">
        <v>18640</v>
      </c>
      <c r="N177" s="47">
        <v>6710000</v>
      </c>
      <c r="O177" s="76">
        <v>3</v>
      </c>
      <c r="P177" s="76" t="s">
        <v>48</v>
      </c>
      <c r="Q177" s="223">
        <f>N191</f>
        <v>7500047.9000000004</v>
      </c>
    </row>
    <row r="178" spans="1:17" ht="16">
      <c r="A178" s="138">
        <v>45929</v>
      </c>
      <c r="B178" s="44" t="s">
        <v>46</v>
      </c>
      <c r="C178" s="35">
        <v>397784</v>
      </c>
      <c r="D178" s="35">
        <v>399234</v>
      </c>
      <c r="E178" s="11">
        <f t="shared" si="161"/>
        <v>1450</v>
      </c>
      <c r="F178" s="45">
        <v>439.67</v>
      </c>
      <c r="G178" s="13">
        <f t="shared" si="157"/>
        <v>30.322068965517239</v>
      </c>
      <c r="H178" s="35"/>
      <c r="I178" s="38">
        <v>17220</v>
      </c>
      <c r="J178" s="35">
        <f t="shared" si="158"/>
        <v>17220</v>
      </c>
      <c r="K178" s="35">
        <f t="shared" si="159"/>
        <v>439.67</v>
      </c>
      <c r="L178" s="46">
        <f t="shared" si="160"/>
        <v>2.5532520325203252</v>
      </c>
      <c r="M178" s="48">
        <v>18650</v>
      </c>
      <c r="N178" s="47">
        <v>8200000</v>
      </c>
      <c r="O178" s="76">
        <v>4</v>
      </c>
      <c r="P178" s="76" t="s">
        <v>49</v>
      </c>
      <c r="Q178" s="223">
        <f>N197</f>
        <v>8700078</v>
      </c>
    </row>
    <row r="179" spans="1:17" ht="16">
      <c r="A179" s="138"/>
      <c r="B179" s="44" t="s">
        <v>46</v>
      </c>
      <c r="C179" s="35"/>
      <c r="D179" s="35"/>
      <c r="E179" s="11">
        <f t="shared" si="161"/>
        <v>0</v>
      </c>
      <c r="F179" s="45"/>
      <c r="G179" s="13" t="e">
        <f t="shared" si="157"/>
        <v>#DIV/0!</v>
      </c>
      <c r="H179" s="35"/>
      <c r="I179" s="38"/>
      <c r="J179" s="35">
        <f t="shared" si="158"/>
        <v>0</v>
      </c>
      <c r="K179" s="35">
        <f t="shared" si="159"/>
        <v>0</v>
      </c>
      <c r="L179" s="46" t="e">
        <f t="shared" si="160"/>
        <v>#DIV/0!</v>
      </c>
      <c r="M179" s="48"/>
      <c r="N179" s="47">
        <f t="shared" ref="N179:N180" si="162">M179*K179</f>
        <v>0</v>
      </c>
      <c r="O179" s="76">
        <v>5</v>
      </c>
      <c r="P179" s="76" t="s">
        <v>50</v>
      </c>
      <c r="Q179" s="223">
        <f>N203</f>
        <v>7499977.5</v>
      </c>
    </row>
    <row r="180" spans="1:17" ht="16">
      <c r="A180" s="138"/>
      <c r="B180" s="79"/>
      <c r="C180" s="35"/>
      <c r="D180" s="35"/>
      <c r="E180" s="11">
        <f t="shared" si="161"/>
        <v>0</v>
      </c>
      <c r="F180" s="45"/>
      <c r="G180" s="13" t="e">
        <f t="shared" si="157"/>
        <v>#DIV/0!</v>
      </c>
      <c r="H180" s="35"/>
      <c r="I180" s="38"/>
      <c r="J180" s="35">
        <f t="shared" si="158"/>
        <v>0</v>
      </c>
      <c r="K180" s="35">
        <f t="shared" si="159"/>
        <v>0</v>
      </c>
      <c r="L180" s="73" t="e">
        <f t="shared" si="160"/>
        <v>#DIV/0!</v>
      </c>
      <c r="M180" s="48"/>
      <c r="N180" s="47">
        <f t="shared" si="162"/>
        <v>0</v>
      </c>
      <c r="O180" s="76">
        <v>6</v>
      </c>
      <c r="P180" s="76" t="s">
        <v>51</v>
      </c>
      <c r="Q180" s="223">
        <f>N209</f>
        <v>5800340.1000000006</v>
      </c>
    </row>
    <row r="181" spans="1:17" ht="16">
      <c r="A181" s="138"/>
      <c r="B181" s="60"/>
      <c r="C181" s="59"/>
      <c r="D181" s="59" t="s">
        <v>19</v>
      </c>
      <c r="E181" s="59">
        <f t="shared" ref="E181:F181" si="163">SUM(E176:E180)</f>
        <v>2522</v>
      </c>
      <c r="F181" s="59">
        <f t="shared" si="163"/>
        <v>934.23</v>
      </c>
      <c r="G181" s="61" t="e">
        <f>AVERAGE(G176:G180)</f>
        <v>#DIV/0!</v>
      </c>
      <c r="H181" s="59"/>
      <c r="I181" s="62"/>
      <c r="J181" s="59">
        <f t="shared" ref="J181:K181" si="164">SUM(J176:J180)</f>
        <v>17220</v>
      </c>
      <c r="K181" s="59">
        <f t="shared" si="164"/>
        <v>934.23</v>
      </c>
      <c r="L181" s="61" t="e">
        <f>AVERAGE(L176:L180)</f>
        <v>#DIV/0!</v>
      </c>
      <c r="M181" s="64"/>
      <c r="N181" s="65">
        <f>SUM(N176:N180)</f>
        <v>21410000</v>
      </c>
      <c r="O181" s="76">
        <v>7</v>
      </c>
      <c r="P181" s="76" t="s">
        <v>81</v>
      </c>
      <c r="Q181" s="223">
        <f>N215</f>
        <v>14000000</v>
      </c>
    </row>
    <row r="182" spans="1:17" ht="16">
      <c r="A182" s="138">
        <v>45908</v>
      </c>
      <c r="B182" s="140" t="s">
        <v>53</v>
      </c>
      <c r="C182" s="83">
        <v>493300</v>
      </c>
      <c r="D182" s="83">
        <v>493990</v>
      </c>
      <c r="E182" s="11">
        <f t="shared" ref="E182:E184" si="165">D182-C182</f>
        <v>690</v>
      </c>
      <c r="F182" s="141">
        <v>254.46</v>
      </c>
      <c r="G182" s="13">
        <f t="shared" ref="G182:G184" si="166">(F182/E182)*100</f>
        <v>36.878260869565217</v>
      </c>
      <c r="H182" s="83">
        <v>21470</v>
      </c>
      <c r="I182" s="125">
        <v>22126</v>
      </c>
      <c r="J182" s="83">
        <f t="shared" ref="J182:J184" si="167">I182-H182</f>
        <v>656</v>
      </c>
      <c r="K182" s="83">
        <f t="shared" ref="K182:K184" si="168">F182</f>
        <v>254.46</v>
      </c>
      <c r="L182" s="136">
        <f t="shared" ref="L182:L184" si="169">(K182/J182)*100</f>
        <v>38.78963414634147</v>
      </c>
      <c r="M182" s="116">
        <v>18470</v>
      </c>
      <c r="N182" s="42">
        <v>4700000</v>
      </c>
      <c r="O182" s="76">
        <v>8</v>
      </c>
      <c r="P182" s="76" t="s">
        <v>54</v>
      </c>
      <c r="Q182" s="223">
        <f>N224</f>
        <v>29000000</v>
      </c>
    </row>
    <row r="183" spans="1:17" ht="16">
      <c r="A183" s="138">
        <v>45918</v>
      </c>
      <c r="B183" s="140" t="s">
        <v>53</v>
      </c>
      <c r="C183" s="83">
        <v>493990</v>
      </c>
      <c r="D183" s="83">
        <v>494811</v>
      </c>
      <c r="E183" s="11">
        <f t="shared" si="165"/>
        <v>821</v>
      </c>
      <c r="F183" s="141">
        <v>256.68</v>
      </c>
      <c r="G183" s="13">
        <f t="shared" si="166"/>
        <v>31.26431181485993</v>
      </c>
      <c r="H183" s="83"/>
      <c r="I183" s="125"/>
      <c r="J183" s="83">
        <f t="shared" si="167"/>
        <v>0</v>
      </c>
      <c r="K183" s="83">
        <f t="shared" si="168"/>
        <v>256.68</v>
      </c>
      <c r="L183" s="136" t="e">
        <f t="shared" si="169"/>
        <v>#DIV/0!</v>
      </c>
      <c r="M183" s="116">
        <v>18700</v>
      </c>
      <c r="N183" s="47">
        <v>4800000</v>
      </c>
      <c r="O183" s="76">
        <v>9</v>
      </c>
      <c r="P183" s="76" t="s">
        <v>69</v>
      </c>
      <c r="Q183" s="223">
        <f>N231</f>
        <v>18900038.800000001</v>
      </c>
    </row>
    <row r="184" spans="1:17" ht="16">
      <c r="A184" s="138">
        <v>45929</v>
      </c>
      <c r="B184" s="140" t="s">
        <v>53</v>
      </c>
      <c r="C184" s="83">
        <v>494811</v>
      </c>
      <c r="D184" s="83">
        <v>495682</v>
      </c>
      <c r="E184" s="11">
        <f t="shared" si="165"/>
        <v>871</v>
      </c>
      <c r="F184" s="141">
        <v>268.08999999999997</v>
      </c>
      <c r="G184" s="13">
        <f t="shared" si="166"/>
        <v>30.779563719862225</v>
      </c>
      <c r="H184" s="83"/>
      <c r="I184" s="125"/>
      <c r="J184" s="83">
        <f t="shared" si="167"/>
        <v>0</v>
      </c>
      <c r="K184" s="83">
        <f t="shared" si="168"/>
        <v>268.08999999999997</v>
      </c>
      <c r="L184" s="136" t="e">
        <f t="shared" si="169"/>
        <v>#DIV/0!</v>
      </c>
      <c r="M184" s="116">
        <v>18650</v>
      </c>
      <c r="N184" s="47">
        <v>5000000</v>
      </c>
      <c r="O184" s="76">
        <v>10</v>
      </c>
      <c r="P184" s="76" t="s">
        <v>89</v>
      </c>
      <c r="Q184" s="223">
        <f>N235</f>
        <v>14800179.199999999</v>
      </c>
    </row>
    <row r="185" spans="1:17" ht="16">
      <c r="A185" s="138"/>
      <c r="B185" s="60"/>
      <c r="C185" s="59"/>
      <c r="D185" s="59" t="s">
        <v>19</v>
      </c>
      <c r="E185" s="59">
        <f t="shared" ref="E185:F185" si="170">SUM(E182:E184)</f>
        <v>2382</v>
      </c>
      <c r="F185" s="59">
        <f t="shared" si="170"/>
        <v>779.23</v>
      </c>
      <c r="G185" s="61">
        <f>AVERAGE(G182:G184)</f>
        <v>32.974045468095788</v>
      </c>
      <c r="H185" s="59"/>
      <c r="I185" s="62"/>
      <c r="J185" s="59">
        <f t="shared" ref="J185:K185" si="171">SUM(J182:J184)</f>
        <v>656</v>
      </c>
      <c r="K185" s="59">
        <f t="shared" si="171"/>
        <v>779.23</v>
      </c>
      <c r="L185" s="61" t="e">
        <f>AVERAGE(L182:L184)</f>
        <v>#DIV/0!</v>
      </c>
      <c r="M185" s="64"/>
      <c r="N185" s="65">
        <f>SUM(N182:N184)</f>
        <v>14500000</v>
      </c>
    </row>
    <row r="186" spans="1:17" ht="16">
      <c r="A186" s="138">
        <v>45911</v>
      </c>
      <c r="B186" s="140" t="s">
        <v>48</v>
      </c>
      <c r="C186" s="83"/>
      <c r="D186" s="12">
        <v>453490</v>
      </c>
      <c r="E186" s="36">
        <f t="shared" ref="E186:E190" si="172">D186-C186</f>
        <v>453490</v>
      </c>
      <c r="F186" s="141">
        <v>216.57</v>
      </c>
      <c r="G186" s="13">
        <f t="shared" ref="G186:G190" si="173">(F186/E186)*100</f>
        <v>4.7756290105625265E-2</v>
      </c>
      <c r="H186" s="83"/>
      <c r="I186" s="126">
        <v>4910</v>
      </c>
      <c r="J186" s="39">
        <f t="shared" ref="J186:J190" si="174">I186-H186</f>
        <v>4910</v>
      </c>
      <c r="K186" s="39">
        <f t="shared" ref="K186:K190" si="175">F186</f>
        <v>216.57</v>
      </c>
      <c r="L186" s="136">
        <f t="shared" ref="L186:L190" si="176">(K186/J186)*100</f>
        <v>4.410794297352342</v>
      </c>
      <c r="M186" s="68">
        <v>18470</v>
      </c>
      <c r="N186" s="121">
        <f t="shared" ref="N186:N187" si="177">F186*M186</f>
        <v>4000047.9</v>
      </c>
    </row>
    <row r="187" spans="1:17" ht="16">
      <c r="A187" s="138"/>
      <c r="B187" s="140"/>
      <c r="C187" s="83"/>
      <c r="D187" s="12"/>
      <c r="E187" s="11">
        <f t="shared" si="172"/>
        <v>0</v>
      </c>
      <c r="F187" s="141"/>
      <c r="G187" s="13" t="e">
        <f t="shared" si="173"/>
        <v>#DIV/0!</v>
      </c>
      <c r="H187" s="83"/>
      <c r="I187" s="125"/>
      <c r="J187" s="83">
        <f t="shared" si="174"/>
        <v>0</v>
      </c>
      <c r="K187" s="35">
        <f t="shared" si="175"/>
        <v>0</v>
      </c>
      <c r="L187" s="136" t="e">
        <f t="shared" si="176"/>
        <v>#DIV/0!</v>
      </c>
      <c r="M187" s="116"/>
      <c r="N187" s="121">
        <f t="shared" si="177"/>
        <v>0</v>
      </c>
    </row>
    <row r="188" spans="1:17" ht="16">
      <c r="A188" s="138">
        <v>45927</v>
      </c>
      <c r="B188" s="140" t="s">
        <v>48</v>
      </c>
      <c r="C188" s="83"/>
      <c r="D188" s="83"/>
      <c r="E188" s="11">
        <f t="shared" si="172"/>
        <v>0</v>
      </c>
      <c r="F188" s="141">
        <v>187.66</v>
      </c>
      <c r="G188" s="13" t="e">
        <f t="shared" si="173"/>
        <v>#DIV/0!</v>
      </c>
      <c r="H188" s="83"/>
      <c r="I188" s="125"/>
      <c r="J188" s="83">
        <f t="shared" si="174"/>
        <v>0</v>
      </c>
      <c r="K188" s="35">
        <f t="shared" si="175"/>
        <v>187.66</v>
      </c>
      <c r="L188" s="136" t="e">
        <f t="shared" si="176"/>
        <v>#DIV/0!</v>
      </c>
      <c r="M188" s="116">
        <v>18650</v>
      </c>
      <c r="N188" s="121">
        <v>3500000</v>
      </c>
    </row>
    <row r="189" spans="1:17" ht="16">
      <c r="A189" s="138"/>
      <c r="B189" s="140" t="s">
        <v>48</v>
      </c>
      <c r="C189" s="83"/>
      <c r="D189" s="83"/>
      <c r="E189" s="11">
        <f t="shared" si="172"/>
        <v>0</v>
      </c>
      <c r="F189" s="141"/>
      <c r="G189" s="13" t="e">
        <f t="shared" si="173"/>
        <v>#DIV/0!</v>
      </c>
      <c r="H189" s="83"/>
      <c r="I189" s="125"/>
      <c r="J189" s="83">
        <f t="shared" si="174"/>
        <v>0</v>
      </c>
      <c r="K189" s="39">
        <f t="shared" si="175"/>
        <v>0</v>
      </c>
      <c r="L189" s="136" t="e">
        <f t="shared" si="176"/>
        <v>#DIV/0!</v>
      </c>
      <c r="M189" s="116"/>
      <c r="N189" s="121">
        <f t="shared" ref="N189:N190" si="178">F189*M189</f>
        <v>0</v>
      </c>
    </row>
    <row r="190" spans="1:17" ht="16">
      <c r="A190" s="138"/>
      <c r="B190" s="140"/>
      <c r="C190" s="83"/>
      <c r="D190" s="83"/>
      <c r="E190" s="11">
        <f t="shared" si="172"/>
        <v>0</v>
      </c>
      <c r="F190" s="141"/>
      <c r="G190" s="13" t="e">
        <f t="shared" si="173"/>
        <v>#DIV/0!</v>
      </c>
      <c r="H190" s="83"/>
      <c r="I190" s="125"/>
      <c r="J190" s="83">
        <f t="shared" si="174"/>
        <v>0</v>
      </c>
      <c r="K190" s="83">
        <f t="shared" si="175"/>
        <v>0</v>
      </c>
      <c r="L190" s="136" t="e">
        <f t="shared" si="176"/>
        <v>#DIV/0!</v>
      </c>
      <c r="M190" s="116"/>
      <c r="N190" s="121">
        <f t="shared" si="178"/>
        <v>0</v>
      </c>
    </row>
    <row r="191" spans="1:17" ht="16">
      <c r="A191" s="138"/>
      <c r="B191" s="60"/>
      <c r="C191" s="59"/>
      <c r="D191" s="59" t="s">
        <v>19</v>
      </c>
      <c r="E191" s="59">
        <f t="shared" ref="E191:F191" si="179">SUM(E186:E190)</f>
        <v>453490</v>
      </c>
      <c r="F191" s="59">
        <f t="shared" si="179"/>
        <v>404.23</v>
      </c>
      <c r="G191" s="61" t="e">
        <f>AVERAGE(G186:G190)</f>
        <v>#DIV/0!</v>
      </c>
      <c r="H191" s="59"/>
      <c r="I191" s="62"/>
      <c r="J191" s="59">
        <f t="shared" ref="J191:K191" si="180">SUM(J186:J190)</f>
        <v>4910</v>
      </c>
      <c r="K191" s="59">
        <f t="shared" si="180"/>
        <v>404.23</v>
      </c>
      <c r="L191" s="61" t="e">
        <f>AVERAGE(L186:L190)</f>
        <v>#DIV/0!</v>
      </c>
      <c r="M191" s="64"/>
      <c r="N191" s="65">
        <f>SUM(N186:N190)</f>
        <v>7500047.9000000004</v>
      </c>
    </row>
    <row r="192" spans="1:17" ht="16">
      <c r="A192" s="138">
        <v>45904</v>
      </c>
      <c r="B192" s="140" t="s">
        <v>49</v>
      </c>
      <c r="C192" s="83"/>
      <c r="D192" s="12"/>
      <c r="E192" s="36">
        <f t="shared" ref="E192:E196" si="181">D192-C192</f>
        <v>0</v>
      </c>
      <c r="F192" s="37">
        <v>227.4</v>
      </c>
      <c r="G192" s="13" t="e">
        <f t="shared" ref="G192:G196" si="182">(F192/E192)*100</f>
        <v>#DIV/0!</v>
      </c>
      <c r="H192" s="83"/>
      <c r="I192" s="126"/>
      <c r="J192" s="39">
        <f t="shared" ref="J192:J196" si="183">I192-H192</f>
        <v>0</v>
      </c>
      <c r="K192" s="39">
        <f t="shared" ref="K192:K196" si="184">F192</f>
        <v>227.4</v>
      </c>
      <c r="L192" s="46" t="e">
        <f t="shared" ref="L192:L196" si="185">(K192/J192)*100</f>
        <v>#DIV/0!</v>
      </c>
      <c r="M192" s="68">
        <v>18470</v>
      </c>
      <c r="N192" s="121">
        <f>M192*K192</f>
        <v>4200078</v>
      </c>
    </row>
    <row r="193" spans="1:14" ht="16">
      <c r="A193" s="138">
        <v>45920</v>
      </c>
      <c r="B193" s="140" t="s">
        <v>49</v>
      </c>
      <c r="C193" s="83"/>
      <c r="D193" s="83"/>
      <c r="E193" s="11">
        <f t="shared" si="181"/>
        <v>0</v>
      </c>
      <c r="F193" s="141"/>
      <c r="G193" s="13" t="e">
        <f t="shared" si="182"/>
        <v>#DIV/0!</v>
      </c>
      <c r="H193" s="83"/>
      <c r="I193" s="125"/>
      <c r="J193" s="83">
        <f t="shared" si="183"/>
        <v>0</v>
      </c>
      <c r="K193" s="83">
        <f t="shared" si="184"/>
        <v>0</v>
      </c>
      <c r="L193" s="136" t="e">
        <f t="shared" si="185"/>
        <v>#DIV/0!</v>
      </c>
      <c r="M193" s="116"/>
      <c r="N193" s="121">
        <v>4500000</v>
      </c>
    </row>
    <row r="194" spans="1:14" ht="16">
      <c r="A194" s="138"/>
      <c r="B194" s="140" t="s">
        <v>49</v>
      </c>
      <c r="C194" s="83"/>
      <c r="D194" s="83"/>
      <c r="E194" s="11">
        <f t="shared" si="181"/>
        <v>0</v>
      </c>
      <c r="F194" s="141"/>
      <c r="G194" s="13" t="e">
        <f t="shared" si="182"/>
        <v>#DIV/0!</v>
      </c>
      <c r="H194" s="83"/>
      <c r="I194" s="125"/>
      <c r="J194" s="83">
        <f t="shared" si="183"/>
        <v>0</v>
      </c>
      <c r="K194" s="83">
        <f t="shared" si="184"/>
        <v>0</v>
      </c>
      <c r="L194" s="136" t="e">
        <f t="shared" si="185"/>
        <v>#DIV/0!</v>
      </c>
      <c r="M194" s="116"/>
      <c r="N194" s="121">
        <f t="shared" ref="N194:N195" si="186">M194*K194</f>
        <v>0</v>
      </c>
    </row>
    <row r="195" spans="1:14" ht="16">
      <c r="A195" s="138"/>
      <c r="B195" s="140" t="s">
        <v>49</v>
      </c>
      <c r="C195" s="83"/>
      <c r="D195" s="83"/>
      <c r="E195" s="11">
        <f t="shared" si="181"/>
        <v>0</v>
      </c>
      <c r="F195" s="141"/>
      <c r="G195" s="13" t="e">
        <f t="shared" si="182"/>
        <v>#DIV/0!</v>
      </c>
      <c r="H195" s="83"/>
      <c r="I195" s="125"/>
      <c r="J195" s="83">
        <f t="shared" si="183"/>
        <v>0</v>
      </c>
      <c r="K195" s="83">
        <f t="shared" si="184"/>
        <v>0</v>
      </c>
      <c r="L195" s="136" t="e">
        <f t="shared" si="185"/>
        <v>#DIV/0!</v>
      </c>
      <c r="M195" s="116"/>
      <c r="N195" s="121">
        <f t="shared" si="186"/>
        <v>0</v>
      </c>
    </row>
    <row r="196" spans="1:14" ht="16">
      <c r="A196" s="138"/>
      <c r="B196" s="140"/>
      <c r="C196" s="83"/>
      <c r="D196" s="83"/>
      <c r="E196" s="11">
        <f t="shared" si="181"/>
        <v>0</v>
      </c>
      <c r="F196" s="141"/>
      <c r="G196" s="13" t="e">
        <f t="shared" si="182"/>
        <v>#DIV/0!</v>
      </c>
      <c r="H196" s="83"/>
      <c r="I196" s="125"/>
      <c r="J196" s="83">
        <f t="shared" si="183"/>
        <v>0</v>
      </c>
      <c r="K196" s="83">
        <f t="shared" si="184"/>
        <v>0</v>
      </c>
      <c r="L196" s="136" t="e">
        <f t="shared" si="185"/>
        <v>#DIV/0!</v>
      </c>
      <c r="M196" s="116"/>
      <c r="N196" s="121">
        <f>F196*M196</f>
        <v>0</v>
      </c>
    </row>
    <row r="197" spans="1:14" ht="16">
      <c r="A197" s="138"/>
      <c r="B197" s="60"/>
      <c r="C197" s="59"/>
      <c r="D197" s="59" t="s">
        <v>19</v>
      </c>
      <c r="E197" s="59">
        <f t="shared" ref="E197:F197" si="187">SUM(E192:E196)</f>
        <v>0</v>
      </c>
      <c r="F197" s="59">
        <f t="shared" si="187"/>
        <v>227.4</v>
      </c>
      <c r="G197" s="61" t="e">
        <f>AVERAGE(G192:G196)</f>
        <v>#DIV/0!</v>
      </c>
      <c r="H197" s="59"/>
      <c r="I197" s="62"/>
      <c r="J197" s="59">
        <f t="shared" ref="J197:K197" si="188">SUM(J192:J196)</f>
        <v>0</v>
      </c>
      <c r="K197" s="59">
        <f t="shared" si="188"/>
        <v>227.4</v>
      </c>
      <c r="L197" s="61" t="e">
        <f>AVERAGE(L192:L196)</f>
        <v>#DIV/0!</v>
      </c>
      <c r="M197" s="64"/>
      <c r="N197" s="65">
        <f>SUM(N192:N196)</f>
        <v>8700078</v>
      </c>
    </row>
    <row r="198" spans="1:14" ht="16">
      <c r="A198" s="138"/>
      <c r="B198" s="140" t="s">
        <v>50</v>
      </c>
      <c r="C198" s="83"/>
      <c r="D198" s="12"/>
      <c r="E198" s="36"/>
      <c r="F198" s="37"/>
      <c r="G198" s="13" t="e">
        <f t="shared" ref="G198:G202" si="189">(F198/E198)*100</f>
        <v>#DIV/0!</v>
      </c>
      <c r="H198" s="83"/>
      <c r="I198" s="126"/>
      <c r="J198" s="39">
        <f t="shared" ref="J198:J202" si="190">I198-H198</f>
        <v>0</v>
      </c>
      <c r="K198" s="39">
        <f t="shared" ref="K198:K202" si="191">F198</f>
        <v>0</v>
      </c>
      <c r="L198" s="136" t="e">
        <f t="shared" ref="L198:L202" si="192">(K198/J198)*100</f>
        <v>#DIV/0!</v>
      </c>
      <c r="M198" s="68"/>
      <c r="N198" s="47">
        <f t="shared" ref="N198:N202" si="193">F198*M198</f>
        <v>0</v>
      </c>
    </row>
    <row r="199" spans="1:14" ht="16">
      <c r="A199" s="138">
        <v>45915</v>
      </c>
      <c r="B199" s="140" t="s">
        <v>50</v>
      </c>
      <c r="C199" s="83"/>
      <c r="D199" s="83"/>
      <c r="E199" s="11">
        <f t="shared" ref="E199:E202" si="194">D199-C199</f>
        <v>0</v>
      </c>
      <c r="F199" s="141">
        <v>198.5</v>
      </c>
      <c r="G199" s="13" t="e">
        <f t="shared" si="189"/>
        <v>#DIV/0!</v>
      </c>
      <c r="H199" s="83">
        <v>4480</v>
      </c>
      <c r="I199" s="125"/>
      <c r="J199" s="83">
        <f t="shared" si="190"/>
        <v>-4480</v>
      </c>
      <c r="K199" s="39">
        <f t="shared" si="191"/>
        <v>198.5</v>
      </c>
      <c r="L199" s="136">
        <f t="shared" si="192"/>
        <v>-4.4308035714285721</v>
      </c>
      <c r="M199" s="116">
        <v>18640</v>
      </c>
      <c r="N199" s="47">
        <f t="shared" si="193"/>
        <v>3700040</v>
      </c>
    </row>
    <row r="200" spans="1:14" ht="16">
      <c r="A200" s="138">
        <v>45927</v>
      </c>
      <c r="B200" s="140" t="s">
        <v>50</v>
      </c>
      <c r="C200" s="83"/>
      <c r="D200" s="83"/>
      <c r="E200" s="11">
        <f t="shared" si="194"/>
        <v>0</v>
      </c>
      <c r="F200" s="141">
        <v>203.75</v>
      </c>
      <c r="G200" s="13" t="e">
        <f t="shared" si="189"/>
        <v>#DIV/0!</v>
      </c>
      <c r="H200" s="83"/>
      <c r="I200" s="125"/>
      <c r="J200" s="83">
        <f t="shared" si="190"/>
        <v>0</v>
      </c>
      <c r="K200" s="39">
        <f t="shared" si="191"/>
        <v>203.75</v>
      </c>
      <c r="L200" s="136" t="e">
        <f t="shared" si="192"/>
        <v>#DIV/0!</v>
      </c>
      <c r="M200" s="116">
        <v>18650</v>
      </c>
      <c r="N200" s="47">
        <f t="shared" si="193"/>
        <v>3799937.5</v>
      </c>
    </row>
    <row r="201" spans="1:14" ht="16">
      <c r="A201" s="138"/>
      <c r="B201" s="140" t="s">
        <v>50</v>
      </c>
      <c r="C201" s="83"/>
      <c r="D201" s="83"/>
      <c r="E201" s="11">
        <f t="shared" si="194"/>
        <v>0</v>
      </c>
      <c r="F201" s="141"/>
      <c r="G201" s="13" t="e">
        <f t="shared" si="189"/>
        <v>#DIV/0!</v>
      </c>
      <c r="H201" s="83"/>
      <c r="I201" s="125"/>
      <c r="J201" s="83">
        <f t="shared" si="190"/>
        <v>0</v>
      </c>
      <c r="K201" s="39">
        <f t="shared" si="191"/>
        <v>0</v>
      </c>
      <c r="L201" s="136" t="e">
        <f t="shared" si="192"/>
        <v>#DIV/0!</v>
      </c>
      <c r="M201" s="116"/>
      <c r="N201" s="47">
        <f t="shared" si="193"/>
        <v>0</v>
      </c>
    </row>
    <row r="202" spans="1:14" ht="16">
      <c r="A202" s="138"/>
      <c r="B202" s="140" t="s">
        <v>50</v>
      </c>
      <c r="C202" s="83"/>
      <c r="D202" s="83"/>
      <c r="E202" s="11">
        <f t="shared" si="194"/>
        <v>0</v>
      </c>
      <c r="F202" s="141"/>
      <c r="G202" s="13" t="e">
        <f t="shared" si="189"/>
        <v>#DIV/0!</v>
      </c>
      <c r="H202" s="83"/>
      <c r="I202" s="125"/>
      <c r="J202" s="83">
        <f t="shared" si="190"/>
        <v>0</v>
      </c>
      <c r="K202" s="83">
        <f t="shared" si="191"/>
        <v>0</v>
      </c>
      <c r="L202" s="136" t="e">
        <f t="shared" si="192"/>
        <v>#DIV/0!</v>
      </c>
      <c r="M202" s="116"/>
      <c r="N202" s="47">
        <f t="shared" si="193"/>
        <v>0</v>
      </c>
    </row>
    <row r="203" spans="1:14" ht="16">
      <c r="A203" s="138"/>
      <c r="B203" s="60"/>
      <c r="C203" s="59"/>
      <c r="D203" s="59" t="s">
        <v>19</v>
      </c>
      <c r="E203" s="59">
        <f t="shared" ref="E203:F203" si="195">SUM(E198:E202)</f>
        <v>0</v>
      </c>
      <c r="F203" s="59">
        <f t="shared" si="195"/>
        <v>402.25</v>
      </c>
      <c r="G203" s="61" t="e">
        <f>AVERAGE(G198:G202)</f>
        <v>#DIV/0!</v>
      </c>
      <c r="H203" s="59"/>
      <c r="I203" s="62"/>
      <c r="J203" s="59">
        <f t="shared" ref="J203:K203" si="196">SUM(J198:J202)</f>
        <v>-4480</v>
      </c>
      <c r="K203" s="59">
        <f t="shared" si="196"/>
        <v>402.25</v>
      </c>
      <c r="L203" s="61" t="e">
        <f>AVERAGE(L198:L202)</f>
        <v>#DIV/0!</v>
      </c>
      <c r="M203" s="64"/>
      <c r="N203" s="65">
        <f>SUM(N198:N202)</f>
        <v>7499977.5</v>
      </c>
    </row>
    <row r="204" spans="1:14" ht="16">
      <c r="A204" s="138">
        <v>45909</v>
      </c>
      <c r="B204" s="140" t="s">
        <v>51</v>
      </c>
      <c r="C204" s="83"/>
      <c r="D204" s="12">
        <v>299540</v>
      </c>
      <c r="E204" s="11">
        <f t="shared" ref="E204:E208" si="197">D204-C204</f>
        <v>299540</v>
      </c>
      <c r="F204" s="37">
        <v>157.03</v>
      </c>
      <c r="G204" s="13">
        <f t="shared" ref="G204:G208" si="198">(F204/E204)*100</f>
        <v>5.2423716365093145E-2</v>
      </c>
      <c r="H204" s="83"/>
      <c r="I204" s="126">
        <v>15220</v>
      </c>
      <c r="J204" s="39">
        <f t="shared" ref="J204:J208" si="199">I204-H204</f>
        <v>15220</v>
      </c>
      <c r="K204" s="39">
        <f t="shared" ref="K204:K208" si="200">F204</f>
        <v>157.03</v>
      </c>
      <c r="L204" s="136">
        <f t="shared" ref="L204:L208" si="201">(K204/J204)*100</f>
        <v>1.0317345597897503</v>
      </c>
      <c r="M204" s="68">
        <v>18470</v>
      </c>
      <c r="N204" s="47">
        <f t="shared" ref="N204:N207" si="202">F204*M204</f>
        <v>2900344.1</v>
      </c>
    </row>
    <row r="205" spans="1:14" ht="16">
      <c r="A205" s="138">
        <v>45918</v>
      </c>
      <c r="B205" s="140" t="s">
        <v>51</v>
      </c>
      <c r="C205" s="12">
        <v>299540</v>
      </c>
      <c r="D205" s="83">
        <v>299715</v>
      </c>
      <c r="E205" s="11">
        <f t="shared" si="197"/>
        <v>175</v>
      </c>
      <c r="F205" s="141">
        <v>155.08000000000001</v>
      </c>
      <c r="G205" s="13">
        <f t="shared" si="198"/>
        <v>88.617142857142866</v>
      </c>
      <c r="H205" s="83"/>
      <c r="I205" s="125"/>
      <c r="J205" s="83">
        <f t="shared" si="199"/>
        <v>0</v>
      </c>
      <c r="K205" s="83">
        <f t="shared" si="200"/>
        <v>155.08000000000001</v>
      </c>
      <c r="L205" s="136" t="e">
        <f t="shared" si="201"/>
        <v>#DIV/0!</v>
      </c>
      <c r="M205" s="116">
        <v>18700</v>
      </c>
      <c r="N205" s="47">
        <f t="shared" si="202"/>
        <v>2899996.0000000005</v>
      </c>
    </row>
    <row r="206" spans="1:14" ht="16">
      <c r="A206" s="138"/>
      <c r="B206" s="140" t="s">
        <v>51</v>
      </c>
      <c r="C206" s="83"/>
      <c r="D206" s="83"/>
      <c r="E206" s="11">
        <f t="shared" si="197"/>
        <v>0</v>
      </c>
      <c r="F206" s="141"/>
      <c r="G206" s="13" t="e">
        <f t="shared" si="198"/>
        <v>#DIV/0!</v>
      </c>
      <c r="H206" s="83"/>
      <c r="I206" s="125"/>
      <c r="J206" s="83">
        <f t="shared" si="199"/>
        <v>0</v>
      </c>
      <c r="K206" s="83">
        <f t="shared" si="200"/>
        <v>0</v>
      </c>
      <c r="L206" s="136" t="e">
        <f t="shared" si="201"/>
        <v>#DIV/0!</v>
      </c>
      <c r="M206" s="116"/>
      <c r="N206" s="47">
        <f t="shared" si="202"/>
        <v>0</v>
      </c>
    </row>
    <row r="207" spans="1:14" ht="16">
      <c r="A207" s="138"/>
      <c r="B207" s="140" t="s">
        <v>51</v>
      </c>
      <c r="C207" s="83"/>
      <c r="D207" s="83"/>
      <c r="E207" s="11">
        <f t="shared" si="197"/>
        <v>0</v>
      </c>
      <c r="F207" s="141"/>
      <c r="G207" s="13" t="e">
        <f t="shared" si="198"/>
        <v>#DIV/0!</v>
      </c>
      <c r="H207" s="83"/>
      <c r="I207" s="125"/>
      <c r="J207" s="83">
        <f t="shared" si="199"/>
        <v>0</v>
      </c>
      <c r="K207" s="83">
        <f t="shared" si="200"/>
        <v>0</v>
      </c>
      <c r="L207" s="136" t="e">
        <f t="shared" si="201"/>
        <v>#DIV/0!</v>
      </c>
      <c r="M207" s="116"/>
      <c r="N207" s="47">
        <f t="shared" si="202"/>
        <v>0</v>
      </c>
    </row>
    <row r="208" spans="1:14" ht="16">
      <c r="A208" s="138"/>
      <c r="B208" s="140"/>
      <c r="C208" s="83"/>
      <c r="D208" s="83"/>
      <c r="E208" s="11">
        <f t="shared" si="197"/>
        <v>0</v>
      </c>
      <c r="F208" s="141"/>
      <c r="G208" s="13" t="e">
        <f t="shared" si="198"/>
        <v>#DIV/0!</v>
      </c>
      <c r="H208" s="83"/>
      <c r="I208" s="125"/>
      <c r="J208" s="83">
        <f t="shared" si="199"/>
        <v>0</v>
      </c>
      <c r="K208" s="83">
        <f t="shared" si="200"/>
        <v>0</v>
      </c>
      <c r="L208" s="136" t="e">
        <f t="shared" si="201"/>
        <v>#DIV/0!</v>
      </c>
      <c r="M208" s="116"/>
      <c r="N208" s="47">
        <f>M208*K208</f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203">SUM(E204:E208)</f>
        <v>299715</v>
      </c>
      <c r="F209" s="59">
        <f t="shared" si="203"/>
        <v>312.11</v>
      </c>
      <c r="G209" s="61" t="e">
        <f>AVERAGE(G204:G208)</f>
        <v>#DIV/0!</v>
      </c>
      <c r="H209" s="59"/>
      <c r="I209" s="62"/>
      <c r="J209" s="59">
        <f t="shared" ref="J209:K209" si="204">SUM(J204:J208)</f>
        <v>15220</v>
      </c>
      <c r="K209" s="59">
        <f t="shared" si="204"/>
        <v>312.11</v>
      </c>
      <c r="L209" s="61" t="e">
        <f>AVERAGE(L204:L208)</f>
        <v>#DIV/0!</v>
      </c>
      <c r="M209" s="64"/>
      <c r="N209" s="65">
        <f>SUM(N204:N208)</f>
        <v>5800340.1000000006</v>
      </c>
    </row>
    <row r="210" spans="1:14" ht="16">
      <c r="A210" s="138">
        <v>45908</v>
      </c>
      <c r="B210" s="140" t="s">
        <v>90</v>
      </c>
      <c r="C210" s="83"/>
      <c r="D210" s="12"/>
      <c r="E210" s="36">
        <f t="shared" ref="E210:E214" si="205">D210-C210</f>
        <v>0</v>
      </c>
      <c r="F210" s="37"/>
      <c r="G210" s="13" t="e">
        <f t="shared" ref="G210:G214" si="206">(F210/E210)*100</f>
        <v>#DIV/0!</v>
      </c>
      <c r="H210" s="83"/>
      <c r="I210" s="126"/>
      <c r="J210" s="39">
        <f t="shared" ref="J210:J214" si="207">I210-H210</f>
        <v>0</v>
      </c>
      <c r="K210" s="39">
        <f t="shared" ref="K210:K214" si="208">F210</f>
        <v>0</v>
      </c>
      <c r="L210" s="136" t="e">
        <f t="shared" ref="L210:L214" si="209">(K210/J210)*100</f>
        <v>#DIV/0!</v>
      </c>
      <c r="M210" s="68"/>
      <c r="N210" s="121">
        <v>9000000</v>
      </c>
    </row>
    <row r="211" spans="1:14" ht="16">
      <c r="A211" s="138">
        <v>45924</v>
      </c>
      <c r="B211" s="140" t="s">
        <v>90</v>
      </c>
      <c r="C211" s="83"/>
      <c r="D211" s="83"/>
      <c r="E211" s="11">
        <f t="shared" si="205"/>
        <v>0</v>
      </c>
      <c r="F211" s="141"/>
      <c r="G211" s="13" t="e">
        <f t="shared" si="206"/>
        <v>#DIV/0!</v>
      </c>
      <c r="H211" s="83"/>
      <c r="I211" s="125"/>
      <c r="J211" s="83">
        <f t="shared" si="207"/>
        <v>0</v>
      </c>
      <c r="K211" s="83">
        <f t="shared" si="208"/>
        <v>0</v>
      </c>
      <c r="L211" s="136" t="e">
        <f t="shared" si="209"/>
        <v>#DIV/0!</v>
      </c>
      <c r="M211" s="116"/>
      <c r="N211" s="121">
        <v>4000000</v>
      </c>
    </row>
    <row r="212" spans="1:14" ht="16">
      <c r="A212" s="138">
        <v>45930</v>
      </c>
      <c r="B212" s="140" t="s">
        <v>90</v>
      </c>
      <c r="C212" s="83"/>
      <c r="D212" s="83"/>
      <c r="E212" s="11">
        <f t="shared" si="205"/>
        <v>0</v>
      </c>
      <c r="F212" s="141"/>
      <c r="G212" s="13" t="e">
        <f t="shared" si="206"/>
        <v>#DIV/0!</v>
      </c>
      <c r="H212" s="83"/>
      <c r="I212" s="125"/>
      <c r="J212" s="83">
        <f t="shared" si="207"/>
        <v>0</v>
      </c>
      <c r="K212" s="83">
        <f t="shared" si="208"/>
        <v>0</v>
      </c>
      <c r="L212" s="136" t="e">
        <f t="shared" si="209"/>
        <v>#DIV/0!</v>
      </c>
      <c r="M212" s="116"/>
      <c r="N212" s="121">
        <v>1000000</v>
      </c>
    </row>
    <row r="213" spans="1:14" ht="16">
      <c r="A213" s="138"/>
      <c r="B213" s="140" t="s">
        <v>90</v>
      </c>
      <c r="C213" s="83"/>
      <c r="D213" s="83"/>
      <c r="E213" s="11">
        <f t="shared" si="205"/>
        <v>0</v>
      </c>
      <c r="F213" s="141"/>
      <c r="G213" s="13" t="e">
        <f t="shared" si="206"/>
        <v>#DIV/0!</v>
      </c>
      <c r="H213" s="83"/>
      <c r="I213" s="125"/>
      <c r="J213" s="83">
        <f t="shared" si="207"/>
        <v>0</v>
      </c>
      <c r="K213" s="83">
        <f t="shared" si="208"/>
        <v>0</v>
      </c>
      <c r="L213" s="136" t="e">
        <f t="shared" si="209"/>
        <v>#DIV/0!</v>
      </c>
      <c r="M213" s="116"/>
      <c r="N213" s="121">
        <f t="shared" ref="N213:N214" si="210">F213*M213</f>
        <v>0</v>
      </c>
    </row>
    <row r="214" spans="1:14" ht="16">
      <c r="A214" s="138"/>
      <c r="B214" s="140"/>
      <c r="C214" s="83"/>
      <c r="D214" s="83"/>
      <c r="E214" s="11">
        <f t="shared" si="205"/>
        <v>0</v>
      </c>
      <c r="F214" s="141"/>
      <c r="G214" s="13" t="e">
        <f t="shared" si="206"/>
        <v>#DIV/0!</v>
      </c>
      <c r="H214" s="83"/>
      <c r="I214" s="125"/>
      <c r="J214" s="83">
        <f t="shared" si="207"/>
        <v>0</v>
      </c>
      <c r="K214" s="83">
        <f t="shared" si="208"/>
        <v>0</v>
      </c>
      <c r="L214" s="136" t="e">
        <f t="shared" si="209"/>
        <v>#DIV/0!</v>
      </c>
      <c r="M214" s="116"/>
      <c r="N214" s="121">
        <f t="shared" si="210"/>
        <v>0</v>
      </c>
    </row>
    <row r="215" spans="1:14" ht="16">
      <c r="A215" s="59"/>
      <c r="B215" s="60"/>
      <c r="C215" s="59"/>
      <c r="D215" s="59"/>
      <c r="E215" s="59">
        <f t="shared" ref="E215:F215" si="211">SUM(E210:E214)</f>
        <v>0</v>
      </c>
      <c r="F215" s="59">
        <f t="shared" si="211"/>
        <v>0</v>
      </c>
      <c r="G215" s="61" t="e">
        <f>AVERAGE(G210:G214)</f>
        <v>#DIV/0!</v>
      </c>
      <c r="H215" s="59"/>
      <c r="I215" s="62"/>
      <c r="J215" s="59">
        <f t="shared" ref="J215:K215" si="212">SUM(J210:J214)</f>
        <v>0</v>
      </c>
      <c r="K215" s="59">
        <f t="shared" si="212"/>
        <v>0</v>
      </c>
      <c r="L215" s="61" t="e">
        <f>AVERAGE(L210:L214)</f>
        <v>#DIV/0!</v>
      </c>
      <c r="M215" s="64"/>
      <c r="N215" s="65">
        <f>SUM(N210:N214)</f>
        <v>14000000</v>
      </c>
    </row>
    <row r="216" spans="1:14" ht="16">
      <c r="A216" s="66">
        <v>45903</v>
      </c>
      <c r="B216" s="140" t="s">
        <v>54</v>
      </c>
      <c r="C216" s="83"/>
      <c r="D216" s="12"/>
      <c r="E216" s="36">
        <f t="shared" ref="E216:E221" si="213">D216-C216</f>
        <v>0</v>
      </c>
      <c r="F216" s="37"/>
      <c r="G216" s="13" t="e">
        <f t="shared" ref="G216:G221" si="214">(F216/E216)*100</f>
        <v>#DIV/0!</v>
      </c>
      <c r="H216" s="83"/>
      <c r="I216" s="126"/>
      <c r="J216" s="39">
        <f t="shared" ref="J216:J223" si="215">I216-H216</f>
        <v>0</v>
      </c>
      <c r="K216" s="39"/>
      <c r="L216" s="136" t="e">
        <f t="shared" ref="L216:L223" si="216">(K216/J216)*100</f>
        <v>#DIV/0!</v>
      </c>
      <c r="M216" s="68"/>
      <c r="N216" s="47">
        <v>8000000</v>
      </c>
    </row>
    <row r="217" spans="1:14" ht="16">
      <c r="A217" s="33">
        <v>45909</v>
      </c>
      <c r="B217" s="140" t="s">
        <v>54</v>
      </c>
      <c r="C217" s="83"/>
      <c r="D217" s="83"/>
      <c r="E217" s="11">
        <f t="shared" si="213"/>
        <v>0</v>
      </c>
      <c r="F217" s="141"/>
      <c r="G217" s="13" t="e">
        <f t="shared" si="214"/>
        <v>#DIV/0!</v>
      </c>
      <c r="H217" s="83"/>
      <c r="I217" s="125"/>
      <c r="J217" s="83">
        <f t="shared" si="215"/>
        <v>0</v>
      </c>
      <c r="K217" s="83">
        <f t="shared" ref="K217:K223" si="217">F217</f>
        <v>0</v>
      </c>
      <c r="L217" s="136" t="e">
        <f t="shared" si="216"/>
        <v>#DIV/0!</v>
      </c>
      <c r="M217" s="116"/>
      <c r="N217" s="47">
        <v>5000000</v>
      </c>
    </row>
    <row r="218" spans="1:14" ht="16">
      <c r="A218" s="33">
        <v>45912</v>
      </c>
      <c r="B218" s="140" t="s">
        <v>54</v>
      </c>
      <c r="C218" s="83"/>
      <c r="D218" s="83"/>
      <c r="E218" s="11">
        <f t="shared" si="213"/>
        <v>0</v>
      </c>
      <c r="F218" s="141"/>
      <c r="G218" s="13" t="e">
        <f t="shared" si="214"/>
        <v>#DIV/0!</v>
      </c>
      <c r="H218" s="83"/>
      <c r="I218" s="125"/>
      <c r="J218" s="83">
        <f t="shared" si="215"/>
        <v>0</v>
      </c>
      <c r="K218" s="83">
        <f t="shared" si="217"/>
        <v>0</v>
      </c>
      <c r="L218" s="136" t="e">
        <f t="shared" si="216"/>
        <v>#DIV/0!</v>
      </c>
      <c r="M218" s="116"/>
      <c r="N218" s="47">
        <v>5000000</v>
      </c>
    </row>
    <row r="219" spans="1:14" ht="16">
      <c r="A219" s="33">
        <v>45915</v>
      </c>
      <c r="B219" s="140" t="s">
        <v>54</v>
      </c>
      <c r="C219" s="83"/>
      <c r="D219" s="83"/>
      <c r="E219" s="11">
        <f t="shared" si="213"/>
        <v>0</v>
      </c>
      <c r="F219" s="141"/>
      <c r="G219" s="13" t="e">
        <f t="shared" si="214"/>
        <v>#DIV/0!</v>
      </c>
      <c r="H219" s="83"/>
      <c r="I219" s="125"/>
      <c r="J219" s="83">
        <f t="shared" si="215"/>
        <v>0</v>
      </c>
      <c r="K219" s="83">
        <f t="shared" si="217"/>
        <v>0</v>
      </c>
      <c r="L219" s="136" t="e">
        <f t="shared" si="216"/>
        <v>#DIV/0!</v>
      </c>
      <c r="M219" s="116"/>
      <c r="N219" s="47">
        <v>5000000</v>
      </c>
    </row>
    <row r="220" spans="1:14" ht="16">
      <c r="A220" s="33">
        <v>45926</v>
      </c>
      <c r="B220" s="140" t="s">
        <v>54</v>
      </c>
      <c r="C220" s="83"/>
      <c r="D220" s="83"/>
      <c r="E220" s="11">
        <f t="shared" si="213"/>
        <v>0</v>
      </c>
      <c r="F220" s="141"/>
      <c r="G220" s="13" t="e">
        <f t="shared" si="214"/>
        <v>#DIV/0!</v>
      </c>
      <c r="H220" s="83"/>
      <c r="I220" s="125"/>
      <c r="J220" s="83">
        <f t="shared" si="215"/>
        <v>0</v>
      </c>
      <c r="K220" s="83">
        <f t="shared" si="217"/>
        <v>0</v>
      </c>
      <c r="L220" s="136" t="e">
        <f t="shared" si="216"/>
        <v>#DIV/0!</v>
      </c>
      <c r="M220" s="116"/>
      <c r="N220" s="47">
        <v>3000000</v>
      </c>
    </row>
    <row r="221" spans="1:14" ht="16">
      <c r="A221" s="33">
        <v>45930</v>
      </c>
      <c r="B221" s="140" t="s">
        <v>54</v>
      </c>
      <c r="C221" s="83"/>
      <c r="D221" s="83"/>
      <c r="E221" s="11">
        <f t="shared" si="213"/>
        <v>0</v>
      </c>
      <c r="F221" s="141"/>
      <c r="G221" s="13" t="e">
        <f t="shared" si="214"/>
        <v>#DIV/0!</v>
      </c>
      <c r="H221" s="83"/>
      <c r="I221" s="125"/>
      <c r="J221" s="83">
        <f t="shared" si="215"/>
        <v>0</v>
      </c>
      <c r="K221" s="83">
        <f t="shared" si="217"/>
        <v>0</v>
      </c>
      <c r="L221" s="136" t="e">
        <f t="shared" si="216"/>
        <v>#DIV/0!</v>
      </c>
      <c r="M221" s="116"/>
      <c r="N221" s="47">
        <v>3000000</v>
      </c>
    </row>
    <row r="222" spans="1:14" ht="16">
      <c r="A222" s="33"/>
      <c r="B222" s="140" t="s">
        <v>54</v>
      </c>
      <c r="C222" s="83"/>
      <c r="D222" s="83"/>
      <c r="E222" s="11"/>
      <c r="F222" s="141"/>
      <c r="G222" s="13"/>
      <c r="H222" s="83"/>
      <c r="I222" s="125"/>
      <c r="J222" s="83">
        <f t="shared" si="215"/>
        <v>0</v>
      </c>
      <c r="K222" s="83">
        <f t="shared" si="217"/>
        <v>0</v>
      </c>
      <c r="L222" s="136" t="e">
        <f t="shared" si="216"/>
        <v>#DIV/0!</v>
      </c>
      <c r="M222" s="116"/>
      <c r="N222" s="47">
        <f t="shared" ref="N222:N223" si="218">M222*F222</f>
        <v>0</v>
      </c>
    </row>
    <row r="223" spans="1:14" ht="16">
      <c r="A223" s="33"/>
      <c r="B223" s="140" t="s">
        <v>54</v>
      </c>
      <c r="C223" s="83"/>
      <c r="D223" s="83"/>
      <c r="E223" s="11">
        <f>D223-C223</f>
        <v>0</v>
      </c>
      <c r="F223" s="141"/>
      <c r="G223" s="13" t="e">
        <f>(F223/E223)*100</f>
        <v>#DIV/0!</v>
      </c>
      <c r="H223" s="83"/>
      <c r="I223" s="125"/>
      <c r="J223" s="83">
        <f t="shared" si="215"/>
        <v>0</v>
      </c>
      <c r="K223" s="83">
        <f t="shared" si="217"/>
        <v>0</v>
      </c>
      <c r="L223" s="136" t="e">
        <f t="shared" si="216"/>
        <v>#DIV/0!</v>
      </c>
      <c r="M223" s="116"/>
      <c r="N223" s="47">
        <f t="shared" si="218"/>
        <v>0</v>
      </c>
    </row>
    <row r="224" spans="1:14" ht="16">
      <c r="A224" s="66"/>
      <c r="B224" s="60"/>
      <c r="C224" s="59"/>
      <c r="D224" s="59" t="s">
        <v>19</v>
      </c>
      <c r="E224" s="59">
        <f t="shared" ref="E224:F224" si="219">SUM(E216:E223)</f>
        <v>0</v>
      </c>
      <c r="F224" s="59">
        <f t="shared" si="219"/>
        <v>0</v>
      </c>
      <c r="G224" s="61" t="e">
        <f>AVERAGE(G216:G223)</f>
        <v>#DIV/0!</v>
      </c>
      <c r="H224" s="59"/>
      <c r="I224" s="62"/>
      <c r="J224" s="59">
        <f t="shared" ref="J224:K224" si="220">SUM(J216:J223)</f>
        <v>0</v>
      </c>
      <c r="K224" s="59">
        <f t="shared" si="220"/>
        <v>0</v>
      </c>
      <c r="L224" s="61" t="e">
        <f>AVERAGE(L216:L223)</f>
        <v>#DIV/0!</v>
      </c>
      <c r="M224" s="64"/>
      <c r="N224" s="65">
        <f>SUM(N216:N223)</f>
        <v>29000000</v>
      </c>
    </row>
    <row r="225" spans="1:14" ht="16">
      <c r="A225" s="66">
        <v>45903</v>
      </c>
      <c r="B225" s="140" t="s">
        <v>69</v>
      </c>
      <c r="C225" s="83"/>
      <c r="D225" s="12"/>
      <c r="E225" s="36">
        <f t="shared" ref="E225:E230" si="221">D225-C225</f>
        <v>0</v>
      </c>
      <c r="F225" s="37"/>
      <c r="G225" s="13" t="e">
        <f t="shared" ref="G225:G230" si="222">(F225/E225)*100</f>
        <v>#DIV/0!</v>
      </c>
      <c r="H225" s="83"/>
      <c r="I225" s="126"/>
      <c r="J225" s="39">
        <f t="shared" ref="J225:J230" si="223">I225-H225</f>
        <v>0</v>
      </c>
      <c r="K225" s="39">
        <f t="shared" ref="K225:K230" si="224">F225</f>
        <v>0</v>
      </c>
      <c r="L225" s="67" t="e">
        <f t="shared" ref="L225:L230" si="225">(K225/J225)*100</f>
        <v>#DIV/0!</v>
      </c>
      <c r="M225" s="68"/>
      <c r="N225" s="47">
        <v>6070000</v>
      </c>
    </row>
    <row r="226" spans="1:14" ht="16">
      <c r="A226" s="33">
        <v>45912</v>
      </c>
      <c r="B226" s="140" t="s">
        <v>69</v>
      </c>
      <c r="C226" s="83"/>
      <c r="D226" s="83"/>
      <c r="E226" s="11">
        <f t="shared" si="221"/>
        <v>0</v>
      </c>
      <c r="F226" s="141"/>
      <c r="G226" s="13" t="e">
        <f t="shared" si="222"/>
        <v>#DIV/0!</v>
      </c>
      <c r="H226" s="83"/>
      <c r="I226" s="125"/>
      <c r="J226" s="35">
        <f t="shared" si="223"/>
        <v>0</v>
      </c>
      <c r="K226" s="35">
        <f t="shared" si="224"/>
        <v>0</v>
      </c>
      <c r="L226" s="46" t="e">
        <f t="shared" si="225"/>
        <v>#DIV/0!</v>
      </c>
      <c r="M226" s="116"/>
      <c r="N226" s="47">
        <v>2000000</v>
      </c>
    </row>
    <row r="227" spans="1:14" ht="16">
      <c r="A227" s="66">
        <v>45915</v>
      </c>
      <c r="B227" s="140" t="s">
        <v>69</v>
      </c>
      <c r="C227" s="83"/>
      <c r="D227" s="12"/>
      <c r="E227" s="36">
        <f t="shared" si="221"/>
        <v>0</v>
      </c>
      <c r="F227" s="37">
        <v>312.77</v>
      </c>
      <c r="G227" s="13" t="e">
        <f t="shared" si="222"/>
        <v>#DIV/0!</v>
      </c>
      <c r="H227" s="83"/>
      <c r="I227" s="126"/>
      <c r="J227" s="39">
        <f t="shared" si="223"/>
        <v>0</v>
      </c>
      <c r="K227" s="39">
        <f t="shared" si="224"/>
        <v>312.77</v>
      </c>
      <c r="L227" s="67" t="e">
        <f t="shared" si="225"/>
        <v>#DIV/0!</v>
      </c>
      <c r="M227" s="68">
        <v>18640</v>
      </c>
      <c r="N227" s="47">
        <f t="shared" ref="N227:N230" si="226">M227*F227</f>
        <v>5830032.7999999998</v>
      </c>
    </row>
    <row r="228" spans="1:14" ht="16">
      <c r="A228" s="33">
        <v>45925</v>
      </c>
      <c r="B228" s="140" t="s">
        <v>69</v>
      </c>
      <c r="C228" s="83"/>
      <c r="D228" s="83"/>
      <c r="E228" s="11">
        <f t="shared" si="221"/>
        <v>0</v>
      </c>
      <c r="F228" s="141">
        <v>267.38</v>
      </c>
      <c r="G228" s="13" t="e">
        <f t="shared" si="222"/>
        <v>#DIV/0!</v>
      </c>
      <c r="H228" s="83"/>
      <c r="I228" s="125"/>
      <c r="J228" s="35">
        <f t="shared" si="223"/>
        <v>0</v>
      </c>
      <c r="K228" s="35">
        <f t="shared" si="224"/>
        <v>267.38</v>
      </c>
      <c r="L228" s="46" t="e">
        <f t="shared" si="225"/>
        <v>#DIV/0!</v>
      </c>
      <c r="M228" s="116">
        <v>18700</v>
      </c>
      <c r="N228" s="47">
        <f t="shared" si="226"/>
        <v>5000006</v>
      </c>
    </row>
    <row r="229" spans="1:14" ht="16">
      <c r="A229" s="33"/>
      <c r="B229" s="140" t="s">
        <v>69</v>
      </c>
      <c r="C229" s="83"/>
      <c r="D229" s="83"/>
      <c r="E229" s="11">
        <f t="shared" si="221"/>
        <v>0</v>
      </c>
      <c r="F229" s="141"/>
      <c r="G229" s="13" t="e">
        <f t="shared" si="222"/>
        <v>#DIV/0!</v>
      </c>
      <c r="H229" s="83"/>
      <c r="I229" s="125"/>
      <c r="J229" s="35">
        <f t="shared" si="223"/>
        <v>0</v>
      </c>
      <c r="K229" s="35">
        <f t="shared" si="224"/>
        <v>0</v>
      </c>
      <c r="L229" s="73" t="e">
        <f t="shared" si="225"/>
        <v>#DIV/0!</v>
      </c>
      <c r="M229" s="116"/>
      <c r="N229" s="47">
        <f t="shared" si="226"/>
        <v>0</v>
      </c>
    </row>
    <row r="230" spans="1:14" ht="16">
      <c r="A230" s="33"/>
      <c r="B230" s="140" t="s">
        <v>69</v>
      </c>
      <c r="C230" s="83"/>
      <c r="D230" s="83"/>
      <c r="E230" s="11">
        <f t="shared" si="221"/>
        <v>0</v>
      </c>
      <c r="F230" s="141"/>
      <c r="G230" s="13" t="e">
        <f t="shared" si="222"/>
        <v>#DIV/0!</v>
      </c>
      <c r="H230" s="83"/>
      <c r="I230" s="125"/>
      <c r="J230" s="83">
        <f t="shared" si="223"/>
        <v>0</v>
      </c>
      <c r="K230" s="83">
        <f t="shared" si="224"/>
        <v>0</v>
      </c>
      <c r="L230" s="136" t="e">
        <f t="shared" si="225"/>
        <v>#DIV/0!</v>
      </c>
      <c r="M230" s="116"/>
      <c r="N230" s="47">
        <f t="shared" si="226"/>
        <v>0</v>
      </c>
    </row>
    <row r="231" spans="1:14" ht="16">
      <c r="A231" s="66"/>
      <c r="B231" s="60"/>
      <c r="C231" s="59"/>
      <c r="D231" s="59" t="s">
        <v>19</v>
      </c>
      <c r="E231" s="59">
        <f t="shared" ref="E231:F231" si="227">SUM(E225:E230)</f>
        <v>0</v>
      </c>
      <c r="F231" s="59">
        <f t="shared" si="227"/>
        <v>580.15</v>
      </c>
      <c r="G231" s="61" t="e">
        <f>AVERAGE(G225:G230)</f>
        <v>#DIV/0!</v>
      </c>
      <c r="H231" s="59"/>
      <c r="I231" s="62"/>
      <c r="J231" s="59">
        <f t="shared" ref="J231:K231" si="228">SUM(J225:J230)</f>
        <v>0</v>
      </c>
      <c r="K231" s="59">
        <f t="shared" si="228"/>
        <v>580.15</v>
      </c>
      <c r="L231" s="61" t="e">
        <f>AVERAGE(L225:L230)</f>
        <v>#DIV/0!</v>
      </c>
      <c r="M231" s="64"/>
      <c r="N231" s="65">
        <f>SUM(N225:N230)</f>
        <v>18900038.800000001</v>
      </c>
    </row>
    <row r="232" spans="1:14" ht="16">
      <c r="A232" s="66">
        <v>45909</v>
      </c>
      <c r="B232" s="207" t="s">
        <v>63</v>
      </c>
      <c r="C232" s="83">
        <v>133770</v>
      </c>
      <c r="D232" s="12">
        <v>134400</v>
      </c>
      <c r="E232" s="36">
        <f t="shared" ref="E232:E234" si="229">D232-C232</f>
        <v>630</v>
      </c>
      <c r="F232" s="37">
        <v>254.46</v>
      </c>
      <c r="G232" s="13">
        <f t="shared" ref="G232:G234" si="230">(F232/E232)*100</f>
        <v>40.390476190476193</v>
      </c>
      <c r="H232" s="83">
        <v>123</v>
      </c>
      <c r="I232" s="126">
        <v>700</v>
      </c>
      <c r="J232" s="39">
        <f t="shared" ref="J232:J234" si="231">I232-H232</f>
        <v>577</v>
      </c>
      <c r="K232" s="39">
        <f t="shared" ref="K232:K234" si="232">F232</f>
        <v>254.46</v>
      </c>
      <c r="L232" s="136">
        <f t="shared" ref="L232:L234" si="233">(K232/J232)*100</f>
        <v>44.100519930675915</v>
      </c>
      <c r="M232" s="68">
        <v>18870</v>
      </c>
      <c r="N232" s="47">
        <v>4700000</v>
      </c>
    </row>
    <row r="233" spans="1:14" ht="16">
      <c r="A233" s="33">
        <v>45917</v>
      </c>
      <c r="B233" s="207" t="s">
        <v>63</v>
      </c>
      <c r="C233" s="35">
        <v>134400</v>
      </c>
      <c r="D233" s="12">
        <v>135280</v>
      </c>
      <c r="E233" s="11">
        <f t="shared" si="229"/>
        <v>880</v>
      </c>
      <c r="F233" s="141">
        <v>262.88</v>
      </c>
      <c r="G233" s="13">
        <f t="shared" si="230"/>
        <v>29.872727272727275</v>
      </c>
      <c r="H233" s="83"/>
      <c r="I233" s="125"/>
      <c r="J233" s="83">
        <f t="shared" si="231"/>
        <v>0</v>
      </c>
      <c r="K233" s="35">
        <f t="shared" si="232"/>
        <v>262.88</v>
      </c>
      <c r="L233" s="136" t="e">
        <f t="shared" si="233"/>
        <v>#DIV/0!</v>
      </c>
      <c r="M233" s="116">
        <v>18640</v>
      </c>
      <c r="N233" s="47">
        <f t="shared" ref="N233:N234" si="234">M233*F233</f>
        <v>4900083.2</v>
      </c>
    </row>
    <row r="234" spans="1:14" ht="16">
      <c r="A234" s="33">
        <v>45925</v>
      </c>
      <c r="B234" s="207" t="s">
        <v>63</v>
      </c>
      <c r="C234" s="12">
        <v>135280</v>
      </c>
      <c r="D234" s="83">
        <v>136233</v>
      </c>
      <c r="E234" s="11">
        <f t="shared" si="229"/>
        <v>953</v>
      </c>
      <c r="F234" s="141">
        <v>278.08</v>
      </c>
      <c r="G234" s="13">
        <f t="shared" si="230"/>
        <v>29.179433368310598</v>
      </c>
      <c r="H234" s="83"/>
      <c r="I234" s="125"/>
      <c r="J234" s="83">
        <f t="shared" si="231"/>
        <v>0</v>
      </c>
      <c r="K234" s="35">
        <f t="shared" si="232"/>
        <v>278.08</v>
      </c>
      <c r="L234" s="136" t="e">
        <f t="shared" si="233"/>
        <v>#DIV/0!</v>
      </c>
      <c r="M234" s="116">
        <v>18700</v>
      </c>
      <c r="N234" s="47">
        <f t="shared" si="234"/>
        <v>5200096</v>
      </c>
    </row>
    <row r="235" spans="1:14" ht="16">
      <c r="A235" s="59"/>
      <c r="B235" s="60"/>
      <c r="C235" s="59"/>
      <c r="D235" s="59" t="s">
        <v>19</v>
      </c>
      <c r="E235" s="59">
        <f t="shared" ref="E235:F235" si="235">SUM(E232:E234)</f>
        <v>2463</v>
      </c>
      <c r="F235" s="59">
        <f t="shared" si="235"/>
        <v>795.42000000000007</v>
      </c>
      <c r="G235" s="61">
        <f>AVERAGE(G232:G234)</f>
        <v>33.147545610504686</v>
      </c>
      <c r="H235" s="59"/>
      <c r="I235" s="62"/>
      <c r="J235" s="59">
        <f t="shared" ref="J235:K235" si="236">SUM(J232:J234)</f>
        <v>577</v>
      </c>
      <c r="K235" s="59">
        <f t="shared" si="236"/>
        <v>795.42000000000007</v>
      </c>
      <c r="L235" s="61" t="e">
        <f>AVERAGE(L232:L234)</f>
        <v>#DIV/0!</v>
      </c>
      <c r="M235" s="64"/>
      <c r="N235" s="65">
        <f>SUM(N232:N234)</f>
        <v>14800179.199999999</v>
      </c>
    </row>
    <row r="236" spans="1:14" ht="14">
      <c r="A236" s="354" t="s">
        <v>64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6"/>
      <c r="M236" s="64"/>
      <c r="N236" s="65">
        <f>SUM(N176:N235)/2</f>
        <v>142110661.5</v>
      </c>
    </row>
    <row r="237" spans="1:14" ht="13">
      <c r="G237" s="150"/>
      <c r="L237" s="150"/>
      <c r="N237" s="151"/>
    </row>
    <row r="238" spans="1:14" ht="13">
      <c r="G238" s="150"/>
      <c r="L238" s="150"/>
      <c r="N238" s="151">
        <v>124719013</v>
      </c>
    </row>
    <row r="239" spans="1:14" ht="13">
      <c r="G239" s="150"/>
      <c r="L239" s="150"/>
      <c r="N239" s="151"/>
    </row>
    <row r="240" spans="1:14" ht="13">
      <c r="G240" s="150"/>
      <c r="L240" s="150"/>
      <c r="N240" s="151"/>
    </row>
    <row r="241" spans="7:14" ht="13">
      <c r="G241" s="150"/>
      <c r="L241" s="150"/>
      <c r="N241" s="151"/>
    </row>
    <row r="242" spans="7:14" ht="13">
      <c r="G242" s="150"/>
      <c r="L242" s="150"/>
      <c r="N242" s="151"/>
    </row>
    <row r="243" spans="7:14" ht="13">
      <c r="G243" s="150"/>
      <c r="L243" s="150"/>
      <c r="N243" s="151"/>
    </row>
    <row r="244" spans="7:14" ht="13">
      <c r="G244" s="150"/>
      <c r="L244" s="150"/>
      <c r="N244" s="151"/>
    </row>
    <row r="245" spans="7:14" ht="13">
      <c r="G245" s="150"/>
      <c r="L245" s="150"/>
      <c r="N245" s="151"/>
    </row>
    <row r="246" spans="7:14" ht="13">
      <c r="G246" s="150"/>
      <c r="L246" s="150"/>
      <c r="N246" s="151"/>
    </row>
    <row r="247" spans="7:14" ht="13">
      <c r="G247" s="150"/>
      <c r="L247" s="150"/>
      <c r="N247" s="151"/>
    </row>
    <row r="248" spans="7:14" ht="13">
      <c r="G248" s="150"/>
      <c r="L248" s="150"/>
      <c r="N248" s="151"/>
    </row>
    <row r="249" spans="7:14" ht="13">
      <c r="G249" s="150"/>
      <c r="L249" s="150"/>
      <c r="N249" s="151"/>
    </row>
    <row r="250" spans="7:14" ht="13">
      <c r="G250" s="150"/>
      <c r="L250" s="150"/>
      <c r="N250" s="151"/>
    </row>
    <row r="251" spans="7:14" ht="13">
      <c r="G251" s="150"/>
      <c r="L251" s="150"/>
      <c r="N251" s="151"/>
    </row>
    <row r="252" spans="7:14" ht="13">
      <c r="G252" s="150"/>
      <c r="L252" s="150"/>
      <c r="N252" s="151"/>
    </row>
    <row r="253" spans="7:14" ht="13">
      <c r="G253" s="150"/>
      <c r="L253" s="150"/>
      <c r="N253" s="151"/>
    </row>
    <row r="254" spans="7:14" ht="13">
      <c r="G254" s="150"/>
      <c r="L254" s="150"/>
      <c r="N254" s="151"/>
    </row>
    <row r="255" spans="7:14" ht="13">
      <c r="G255" s="150"/>
      <c r="L255" s="150"/>
      <c r="N255" s="151"/>
    </row>
    <row r="256" spans="7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</sheetData>
  <mergeCells count="2">
    <mergeCell ref="A1:N1"/>
    <mergeCell ref="A236:L2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1096"/>
  <sheetViews>
    <sheetView workbookViewId="0">
      <pane ySplit="9" topLeftCell="A223" activePane="bottomLeft" state="frozen"/>
      <selection pane="bottomLeft" activeCell="A235" sqref="A235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91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8" ht="16">
      <c r="A3" s="66">
        <v>45874</v>
      </c>
      <c r="B3" s="269" t="s">
        <v>11</v>
      </c>
      <c r="C3" s="134">
        <v>186900</v>
      </c>
      <c r="D3" s="83">
        <v>187275</v>
      </c>
      <c r="E3" s="36">
        <f t="shared" ref="E3:E9" si="0">D3-C3</f>
        <v>375</v>
      </c>
      <c r="F3" s="37">
        <v>45</v>
      </c>
      <c r="G3" s="13">
        <f t="shared" ref="G3:G9" si="1">(F3/E3)*100</f>
        <v>12</v>
      </c>
      <c r="H3" s="125"/>
      <c r="I3" s="126"/>
      <c r="J3" s="39">
        <f t="shared" ref="J3:J9" si="2">I3-H3</f>
        <v>0</v>
      </c>
      <c r="K3" s="39">
        <f t="shared" ref="K3:K9" si="3">F3</f>
        <v>45</v>
      </c>
      <c r="L3" s="270" t="e">
        <f t="shared" ref="L3:L9" si="4">(K3/J3)*100</f>
        <v>#DIV/0!</v>
      </c>
      <c r="M3" s="68">
        <v>19060</v>
      </c>
      <c r="N3" s="42">
        <f t="shared" ref="N3:N9" si="5">F3*M3</f>
        <v>857700</v>
      </c>
      <c r="O3" s="76">
        <v>1</v>
      </c>
      <c r="P3" s="76" t="s">
        <v>11</v>
      </c>
      <c r="Q3" s="223">
        <f>N10</f>
        <v>5571790</v>
      </c>
      <c r="R3" s="223">
        <f t="shared" ref="R3:R14" si="6">Q3</f>
        <v>5571790</v>
      </c>
    </row>
    <row r="4" spans="1:18" ht="16">
      <c r="A4" s="138">
        <v>45877</v>
      </c>
      <c r="B4" s="140" t="s">
        <v>11</v>
      </c>
      <c r="C4" s="83">
        <v>187275</v>
      </c>
      <c r="D4" s="83">
        <v>187641</v>
      </c>
      <c r="E4" s="11">
        <f t="shared" si="0"/>
        <v>366</v>
      </c>
      <c r="F4" s="141">
        <v>40</v>
      </c>
      <c r="G4" s="13">
        <f t="shared" si="1"/>
        <v>10.928961748633879</v>
      </c>
      <c r="H4" s="125"/>
      <c r="I4" s="126"/>
      <c r="J4" s="39">
        <f t="shared" si="2"/>
        <v>0</v>
      </c>
      <c r="K4" s="83">
        <f t="shared" si="3"/>
        <v>40</v>
      </c>
      <c r="L4" s="136" t="e">
        <f t="shared" si="4"/>
        <v>#DIV/0!</v>
      </c>
      <c r="M4" s="116">
        <v>18800</v>
      </c>
      <c r="N4" s="121">
        <f t="shared" si="5"/>
        <v>752000</v>
      </c>
      <c r="O4" s="76">
        <f t="shared" ref="O4:O32" si="7">O3+1</f>
        <v>2</v>
      </c>
      <c r="P4" s="76" t="s">
        <v>12</v>
      </c>
      <c r="Q4" s="223">
        <f>N18</f>
        <v>5647930</v>
      </c>
      <c r="R4" s="223">
        <f t="shared" si="6"/>
        <v>5647930</v>
      </c>
    </row>
    <row r="5" spans="1:18" ht="16">
      <c r="A5" s="138">
        <v>45882</v>
      </c>
      <c r="B5" s="140" t="s">
        <v>11</v>
      </c>
      <c r="C5" s="83">
        <v>187641</v>
      </c>
      <c r="D5" s="83">
        <v>187954</v>
      </c>
      <c r="E5" s="11">
        <f t="shared" si="0"/>
        <v>313</v>
      </c>
      <c r="F5" s="141">
        <v>50</v>
      </c>
      <c r="G5" s="13">
        <f t="shared" si="1"/>
        <v>15.974440894568689</v>
      </c>
      <c r="H5" s="125"/>
      <c r="I5" s="125"/>
      <c r="J5" s="83">
        <f t="shared" si="2"/>
        <v>0</v>
      </c>
      <c r="K5" s="83">
        <f t="shared" si="3"/>
        <v>50</v>
      </c>
      <c r="L5" s="136" t="e">
        <f t="shared" si="4"/>
        <v>#DIV/0!</v>
      </c>
      <c r="M5" s="116">
        <v>18800</v>
      </c>
      <c r="N5" s="121">
        <f t="shared" si="5"/>
        <v>940000</v>
      </c>
      <c r="O5" s="76">
        <f t="shared" si="7"/>
        <v>3</v>
      </c>
      <c r="P5" s="76" t="s">
        <v>13</v>
      </c>
      <c r="Q5" s="223">
        <f>N27</f>
        <v>5170320</v>
      </c>
      <c r="R5" s="223">
        <f t="shared" si="6"/>
        <v>5170320</v>
      </c>
    </row>
    <row r="6" spans="1:18" ht="16">
      <c r="A6" s="138">
        <v>45887</v>
      </c>
      <c r="B6" s="140" t="s">
        <v>11</v>
      </c>
      <c r="C6" s="83">
        <v>187954</v>
      </c>
      <c r="D6" s="83">
        <v>188343</v>
      </c>
      <c r="E6" s="11">
        <f t="shared" si="0"/>
        <v>389</v>
      </c>
      <c r="F6" s="141">
        <v>47</v>
      </c>
      <c r="G6" s="13">
        <f t="shared" si="1"/>
        <v>12.082262210796916</v>
      </c>
      <c r="H6" s="83"/>
      <c r="I6" s="125"/>
      <c r="J6" s="83">
        <f t="shared" si="2"/>
        <v>0</v>
      </c>
      <c r="K6" s="83">
        <f t="shared" si="3"/>
        <v>47</v>
      </c>
      <c r="L6" s="136" t="e">
        <f t="shared" si="4"/>
        <v>#DIV/0!</v>
      </c>
      <c r="M6" s="116">
        <v>18070</v>
      </c>
      <c r="N6" s="121">
        <f t="shared" si="5"/>
        <v>849290</v>
      </c>
      <c r="O6" s="76">
        <f t="shared" si="7"/>
        <v>4</v>
      </c>
      <c r="P6" s="76" t="s">
        <v>14</v>
      </c>
      <c r="Q6" s="223">
        <f>N35</f>
        <v>5779589.5</v>
      </c>
      <c r="R6" s="223">
        <f t="shared" si="6"/>
        <v>5779589.5</v>
      </c>
    </row>
    <row r="7" spans="1:18" ht="16">
      <c r="A7" s="138">
        <v>45890</v>
      </c>
      <c r="B7" s="140" t="s">
        <v>11</v>
      </c>
      <c r="C7" s="83">
        <v>188343</v>
      </c>
      <c r="D7" s="83">
        <v>188728</v>
      </c>
      <c r="E7" s="11">
        <f t="shared" si="0"/>
        <v>385</v>
      </c>
      <c r="F7" s="141">
        <v>40</v>
      </c>
      <c r="G7" s="13">
        <f t="shared" si="1"/>
        <v>10.38961038961039</v>
      </c>
      <c r="H7" s="83"/>
      <c r="I7" s="125"/>
      <c r="J7" s="83">
        <f t="shared" si="2"/>
        <v>0</v>
      </c>
      <c r="K7" s="83">
        <f t="shared" si="3"/>
        <v>40</v>
      </c>
      <c r="L7" s="136" t="e">
        <f t="shared" si="4"/>
        <v>#DIV/0!</v>
      </c>
      <c r="M7" s="116">
        <v>18070</v>
      </c>
      <c r="N7" s="121">
        <f t="shared" si="5"/>
        <v>722800</v>
      </c>
      <c r="O7" s="76">
        <f t="shared" si="7"/>
        <v>5</v>
      </c>
      <c r="P7" s="76" t="s">
        <v>15</v>
      </c>
      <c r="Q7" s="223">
        <f>N44</f>
        <v>6044300</v>
      </c>
      <c r="R7" s="223">
        <f t="shared" si="6"/>
        <v>6044300</v>
      </c>
    </row>
    <row r="8" spans="1:18" ht="16">
      <c r="A8" s="138">
        <v>45895</v>
      </c>
      <c r="B8" s="90" t="s">
        <v>11</v>
      </c>
      <c r="C8" s="83">
        <v>188728</v>
      </c>
      <c r="D8" s="83">
        <v>189030</v>
      </c>
      <c r="E8" s="11">
        <f t="shared" si="0"/>
        <v>302</v>
      </c>
      <c r="F8" s="141">
        <v>40</v>
      </c>
      <c r="G8" s="13">
        <f t="shared" si="1"/>
        <v>13.245033112582782</v>
      </c>
      <c r="H8" s="83"/>
      <c r="I8" s="125"/>
      <c r="J8" s="83">
        <f t="shared" si="2"/>
        <v>0</v>
      </c>
      <c r="K8" s="83">
        <f t="shared" si="3"/>
        <v>40</v>
      </c>
      <c r="L8" s="136" t="e">
        <f t="shared" si="4"/>
        <v>#DIV/0!</v>
      </c>
      <c r="M8" s="116">
        <v>17900</v>
      </c>
      <c r="N8" s="121">
        <f t="shared" si="5"/>
        <v>716000</v>
      </c>
      <c r="O8" s="76">
        <f t="shared" si="7"/>
        <v>6</v>
      </c>
      <c r="P8" s="76" t="s">
        <v>16</v>
      </c>
      <c r="Q8" s="223">
        <f>N55</f>
        <v>6518410</v>
      </c>
      <c r="R8" s="223">
        <f t="shared" si="6"/>
        <v>6518410</v>
      </c>
    </row>
    <row r="9" spans="1:18" ht="16">
      <c r="A9" s="133">
        <v>45898</v>
      </c>
      <c r="B9" s="140" t="s">
        <v>11</v>
      </c>
      <c r="C9" s="83">
        <v>189030</v>
      </c>
      <c r="D9" s="134">
        <v>189378</v>
      </c>
      <c r="E9" s="24">
        <f t="shared" si="0"/>
        <v>348</v>
      </c>
      <c r="F9" s="143">
        <v>40</v>
      </c>
      <c r="G9" s="54">
        <f t="shared" si="1"/>
        <v>11.494252873563218</v>
      </c>
      <c r="H9" s="134"/>
      <c r="I9" s="135"/>
      <c r="J9" s="134">
        <f t="shared" si="2"/>
        <v>0</v>
      </c>
      <c r="K9" s="134">
        <f t="shared" si="3"/>
        <v>40</v>
      </c>
      <c r="L9" s="67" t="e">
        <f t="shared" si="4"/>
        <v>#DIV/0!</v>
      </c>
      <c r="M9" s="137">
        <v>18350</v>
      </c>
      <c r="N9" s="123">
        <f t="shared" si="5"/>
        <v>734000</v>
      </c>
      <c r="O9" s="76">
        <f t="shared" si="7"/>
        <v>7</v>
      </c>
      <c r="P9" s="76" t="s">
        <v>18</v>
      </c>
      <c r="Q9" s="223">
        <f>N64</f>
        <v>6623420</v>
      </c>
      <c r="R9" s="223">
        <f t="shared" si="6"/>
        <v>6623420</v>
      </c>
    </row>
    <row r="10" spans="1:18" ht="16">
      <c r="A10" s="59"/>
      <c r="B10" s="60"/>
      <c r="C10" s="59"/>
      <c r="D10" s="59" t="s">
        <v>19</v>
      </c>
      <c r="E10" s="59">
        <f t="shared" ref="E10:F10" si="8">SUM(E3:E9)</f>
        <v>2478</v>
      </c>
      <c r="F10" s="59">
        <f t="shared" si="8"/>
        <v>302</v>
      </c>
      <c r="G10" s="61">
        <f>AVERAGE(G3:G9)</f>
        <v>12.302080175679409</v>
      </c>
      <c r="H10" s="59"/>
      <c r="I10" s="62"/>
      <c r="J10" s="59">
        <f t="shared" ref="J10:K10" si="9">SUM(J3:J9)</f>
        <v>0</v>
      </c>
      <c r="K10" s="59">
        <f t="shared" si="9"/>
        <v>302</v>
      </c>
      <c r="L10" s="61" t="e">
        <f>AVERAGE(L3:L9)</f>
        <v>#DIV/0!</v>
      </c>
      <c r="M10" s="64"/>
      <c r="N10" s="65">
        <f>SUM(N3:N9)</f>
        <v>5571790</v>
      </c>
      <c r="O10" s="76">
        <f t="shared" si="7"/>
        <v>8</v>
      </c>
      <c r="P10" s="76" t="s">
        <v>20</v>
      </c>
      <c r="Q10" s="223">
        <f>N72</f>
        <v>5894780</v>
      </c>
      <c r="R10" s="223">
        <f t="shared" si="6"/>
        <v>5894780</v>
      </c>
    </row>
    <row r="11" spans="1:18" ht="16">
      <c r="A11" s="66">
        <v>45871</v>
      </c>
      <c r="B11" s="269" t="s">
        <v>12</v>
      </c>
      <c r="C11" s="83">
        <v>150015</v>
      </c>
      <c r="D11" s="83">
        <v>150433</v>
      </c>
      <c r="E11" s="36">
        <f t="shared" ref="E11:E17" si="10">D11-C11</f>
        <v>418</v>
      </c>
      <c r="F11" s="37">
        <v>50</v>
      </c>
      <c r="G11" s="13">
        <f t="shared" ref="G11:G17" si="11">(F11/E11)*100</f>
        <v>11.961722488038278</v>
      </c>
      <c r="H11" s="125"/>
      <c r="I11" s="126"/>
      <c r="J11" s="39">
        <f t="shared" ref="J11:J17" si="12">I11-H11</f>
        <v>0</v>
      </c>
      <c r="K11" s="39">
        <f t="shared" ref="K11:K17" si="13">F11</f>
        <v>50</v>
      </c>
      <c r="L11" s="270" t="e">
        <f t="shared" ref="L11:L17" si="14">(K11/J11)*100</f>
        <v>#DIV/0!</v>
      </c>
      <c r="M11" s="68">
        <v>19060</v>
      </c>
      <c r="N11" s="42">
        <f t="shared" ref="N11:N17" si="15">F11*M11</f>
        <v>953000</v>
      </c>
      <c r="O11" s="76">
        <f t="shared" si="7"/>
        <v>9</v>
      </c>
      <c r="P11" s="76" t="s">
        <v>21</v>
      </c>
      <c r="Q11" s="223">
        <f>N80</f>
        <v>5535714.0499999998</v>
      </c>
      <c r="R11" s="223">
        <f t="shared" si="6"/>
        <v>5535714.0499999998</v>
      </c>
    </row>
    <row r="12" spans="1:18" ht="16">
      <c r="A12" s="138">
        <v>45876</v>
      </c>
      <c r="B12" s="140" t="s">
        <v>12</v>
      </c>
      <c r="C12" s="83">
        <v>150433</v>
      </c>
      <c r="D12" s="83">
        <v>150807</v>
      </c>
      <c r="E12" s="11">
        <f t="shared" si="10"/>
        <v>374</v>
      </c>
      <c r="F12" s="141">
        <v>49</v>
      </c>
      <c r="G12" s="13">
        <f t="shared" si="11"/>
        <v>13.101604278074866</v>
      </c>
      <c r="H12" s="83"/>
      <c r="I12" s="125"/>
      <c r="J12" s="83">
        <f t="shared" si="12"/>
        <v>0</v>
      </c>
      <c r="K12" s="83">
        <f t="shared" si="13"/>
        <v>49</v>
      </c>
      <c r="L12" s="136" t="e">
        <f t="shared" si="14"/>
        <v>#DIV/0!</v>
      </c>
      <c r="M12" s="116">
        <v>19060</v>
      </c>
      <c r="N12" s="121">
        <f t="shared" si="15"/>
        <v>933940</v>
      </c>
      <c r="O12" s="76">
        <f t="shared" si="7"/>
        <v>10</v>
      </c>
      <c r="P12" s="247" t="s">
        <v>22</v>
      </c>
      <c r="Q12" s="223">
        <f>N88</f>
        <v>1505740</v>
      </c>
      <c r="R12" s="223">
        <f t="shared" si="6"/>
        <v>1505740</v>
      </c>
    </row>
    <row r="13" spans="1:18" ht="16">
      <c r="A13" s="138">
        <v>45882</v>
      </c>
      <c r="B13" s="140" t="s">
        <v>12</v>
      </c>
      <c r="C13" s="83">
        <v>150807</v>
      </c>
      <c r="D13" s="83">
        <v>151183</v>
      </c>
      <c r="E13" s="11">
        <f t="shared" si="10"/>
        <v>376</v>
      </c>
      <c r="F13" s="141">
        <v>53</v>
      </c>
      <c r="G13" s="13">
        <f t="shared" si="11"/>
        <v>14.095744680851062</v>
      </c>
      <c r="H13" s="83"/>
      <c r="I13" s="125"/>
      <c r="J13" s="83">
        <f t="shared" si="12"/>
        <v>0</v>
      </c>
      <c r="K13" s="83">
        <f t="shared" si="13"/>
        <v>53</v>
      </c>
      <c r="L13" s="136" t="e">
        <f t="shared" si="14"/>
        <v>#DIV/0!</v>
      </c>
      <c r="M13" s="116">
        <v>18800</v>
      </c>
      <c r="N13" s="121">
        <f t="shared" si="15"/>
        <v>996400</v>
      </c>
      <c r="O13" s="76">
        <f t="shared" si="7"/>
        <v>11</v>
      </c>
      <c r="P13" s="76" t="s">
        <v>23</v>
      </c>
      <c r="Q13" s="223">
        <f>N95</f>
        <v>6424850</v>
      </c>
      <c r="R13" s="223">
        <f t="shared" si="6"/>
        <v>6424850</v>
      </c>
    </row>
    <row r="14" spans="1:18" ht="16">
      <c r="A14" s="139">
        <v>45888</v>
      </c>
      <c r="B14" s="140" t="s">
        <v>12</v>
      </c>
      <c r="C14" s="83">
        <v>151183</v>
      </c>
      <c r="D14" s="83">
        <v>151571</v>
      </c>
      <c r="E14" s="11">
        <f t="shared" si="10"/>
        <v>388</v>
      </c>
      <c r="F14" s="141">
        <v>47</v>
      </c>
      <c r="G14" s="13">
        <f t="shared" si="11"/>
        <v>12.11340206185567</v>
      </c>
      <c r="H14" s="83"/>
      <c r="I14" s="125"/>
      <c r="J14" s="83">
        <f t="shared" si="12"/>
        <v>0</v>
      </c>
      <c r="K14" s="83">
        <f t="shared" si="13"/>
        <v>47</v>
      </c>
      <c r="L14" s="136" t="e">
        <f t="shared" si="14"/>
        <v>#DIV/0!</v>
      </c>
      <c r="M14" s="116">
        <v>18070</v>
      </c>
      <c r="N14" s="121">
        <f t="shared" si="15"/>
        <v>849290</v>
      </c>
      <c r="O14" s="76">
        <f t="shared" si="7"/>
        <v>12</v>
      </c>
      <c r="P14" s="247" t="s">
        <v>24</v>
      </c>
      <c r="Q14" s="223">
        <f>N103</f>
        <v>5766540</v>
      </c>
      <c r="R14" s="223">
        <f t="shared" si="6"/>
        <v>5766540</v>
      </c>
    </row>
    <row r="15" spans="1:18" ht="16">
      <c r="A15" s="138">
        <v>45892</v>
      </c>
      <c r="B15" s="140" t="s">
        <v>12</v>
      </c>
      <c r="C15" s="83">
        <v>151571</v>
      </c>
      <c r="D15" s="83">
        <v>151976</v>
      </c>
      <c r="E15" s="11">
        <f t="shared" si="10"/>
        <v>405</v>
      </c>
      <c r="F15" s="141">
        <v>55</v>
      </c>
      <c r="G15" s="13">
        <f t="shared" si="11"/>
        <v>13.580246913580247</v>
      </c>
      <c r="H15" s="125"/>
      <c r="I15" s="125"/>
      <c r="J15" s="83">
        <f t="shared" si="12"/>
        <v>0</v>
      </c>
      <c r="K15" s="83">
        <f t="shared" si="13"/>
        <v>55</v>
      </c>
      <c r="L15" s="136" t="e">
        <f t="shared" si="14"/>
        <v>#DIV/0!</v>
      </c>
      <c r="M15" s="116">
        <v>17900</v>
      </c>
      <c r="N15" s="121">
        <f t="shared" si="15"/>
        <v>984500</v>
      </c>
      <c r="O15" s="76">
        <f t="shared" si="7"/>
        <v>13</v>
      </c>
      <c r="P15" s="76" t="s">
        <v>25</v>
      </c>
      <c r="Q15" s="223">
        <f>N103</f>
        <v>5766540</v>
      </c>
      <c r="R15" s="223">
        <f>N111</f>
        <v>6575504</v>
      </c>
    </row>
    <row r="16" spans="1:18" ht="16">
      <c r="A16" s="139">
        <v>45897</v>
      </c>
      <c r="B16" s="140" t="s">
        <v>12</v>
      </c>
      <c r="C16" s="83">
        <v>151976</v>
      </c>
      <c r="D16" s="83">
        <v>152380</v>
      </c>
      <c r="E16" s="11">
        <f t="shared" si="10"/>
        <v>404</v>
      </c>
      <c r="F16" s="141">
        <v>52</v>
      </c>
      <c r="G16" s="13">
        <f t="shared" si="11"/>
        <v>12.871287128712872</v>
      </c>
      <c r="H16" s="83"/>
      <c r="I16" s="125"/>
      <c r="J16" s="83">
        <f t="shared" si="12"/>
        <v>0</v>
      </c>
      <c r="K16" s="83">
        <f t="shared" si="13"/>
        <v>52</v>
      </c>
      <c r="L16" s="136" t="e">
        <f t="shared" si="14"/>
        <v>#DIV/0!</v>
      </c>
      <c r="M16" s="116">
        <v>17900</v>
      </c>
      <c r="N16" s="121">
        <f t="shared" si="15"/>
        <v>930800</v>
      </c>
      <c r="O16" s="76">
        <f t="shared" si="7"/>
        <v>14</v>
      </c>
      <c r="P16" s="247" t="s">
        <v>26</v>
      </c>
      <c r="Q16" s="223">
        <f>N119</f>
        <v>5172050</v>
      </c>
      <c r="R16" s="223">
        <f t="shared" ref="R16:R26" si="16">Q16</f>
        <v>5172050</v>
      </c>
    </row>
    <row r="17" spans="1:18" ht="16">
      <c r="A17" s="271"/>
      <c r="B17" s="272"/>
      <c r="C17" s="134"/>
      <c r="D17" s="134"/>
      <c r="E17" s="24">
        <f t="shared" si="10"/>
        <v>0</v>
      </c>
      <c r="F17" s="143"/>
      <c r="G17" s="54" t="e">
        <f t="shared" si="11"/>
        <v>#DIV/0!</v>
      </c>
      <c r="H17" s="134"/>
      <c r="I17" s="135"/>
      <c r="J17" s="134">
        <f t="shared" si="12"/>
        <v>0</v>
      </c>
      <c r="K17" s="134">
        <f t="shared" si="13"/>
        <v>0</v>
      </c>
      <c r="L17" s="67" t="e">
        <f t="shared" si="14"/>
        <v>#DIV/0!</v>
      </c>
      <c r="M17" s="137"/>
      <c r="N17" s="123">
        <f t="shared" si="15"/>
        <v>0</v>
      </c>
      <c r="O17" s="76">
        <f t="shared" si="7"/>
        <v>15</v>
      </c>
      <c r="P17" s="76" t="s">
        <v>27</v>
      </c>
      <c r="Q17" s="223">
        <f>N128</f>
        <v>7094600</v>
      </c>
      <c r="R17" s="223">
        <f t="shared" si="16"/>
        <v>7094600</v>
      </c>
    </row>
    <row r="18" spans="1:18" ht="16">
      <c r="A18" s="59"/>
      <c r="B18" s="60"/>
      <c r="C18" s="59"/>
      <c r="D18" s="59" t="s">
        <v>19</v>
      </c>
      <c r="E18" s="59">
        <f t="shared" ref="E18:F18" si="17">SUM(E11:E17)</f>
        <v>2365</v>
      </c>
      <c r="F18" s="59">
        <f t="shared" si="17"/>
        <v>306</v>
      </c>
      <c r="G18" s="61" t="e">
        <f>AVERAGE(G11:G17)</f>
        <v>#DIV/0!</v>
      </c>
      <c r="H18" s="59"/>
      <c r="I18" s="62"/>
      <c r="J18" s="59">
        <f t="shared" ref="J18:K18" si="18">SUM(J11:J17)</f>
        <v>0</v>
      </c>
      <c r="K18" s="59">
        <f t="shared" si="18"/>
        <v>306</v>
      </c>
      <c r="L18" s="61" t="e">
        <f>AVERAGE(L11:L17)</f>
        <v>#DIV/0!</v>
      </c>
      <c r="M18" s="64"/>
      <c r="N18" s="65">
        <f>SUM(N11:N17)</f>
        <v>5647930</v>
      </c>
      <c r="O18" s="76">
        <f t="shared" si="7"/>
        <v>16</v>
      </c>
      <c r="P18" s="76" t="s">
        <v>80</v>
      </c>
      <c r="Q18" s="223">
        <f>N137</f>
        <v>7673300</v>
      </c>
      <c r="R18" s="223">
        <f t="shared" si="16"/>
        <v>7673300</v>
      </c>
    </row>
    <row r="19" spans="1:18" ht="16">
      <c r="A19" s="66">
        <v>45871</v>
      </c>
      <c r="B19" s="269" t="s">
        <v>13</v>
      </c>
      <c r="C19" s="83">
        <v>168787</v>
      </c>
      <c r="D19" s="39">
        <v>169402</v>
      </c>
      <c r="E19" s="36">
        <f t="shared" ref="E19:E26" si="19">D19-C19</f>
        <v>615</v>
      </c>
      <c r="F19" s="37">
        <v>38</v>
      </c>
      <c r="G19" s="13">
        <f t="shared" ref="G19:G26" si="20">(F19/E19)*100</f>
        <v>6.178861788617886</v>
      </c>
      <c r="H19" s="125"/>
      <c r="I19" s="126"/>
      <c r="J19" s="39">
        <f t="shared" ref="J19:J26" si="21">I19-H19</f>
        <v>0</v>
      </c>
      <c r="K19" s="39">
        <f t="shared" ref="K19:K26" si="22">F19</f>
        <v>38</v>
      </c>
      <c r="L19" s="136" t="e">
        <f t="shared" ref="L19:L26" si="23">(K19/J19)*100</f>
        <v>#DIV/0!</v>
      </c>
      <c r="M19" s="68">
        <v>19060</v>
      </c>
      <c r="N19" s="42">
        <f t="shared" ref="N19:N26" si="24">F19*M19</f>
        <v>724280</v>
      </c>
      <c r="O19" s="76">
        <f t="shared" si="7"/>
        <v>17</v>
      </c>
      <c r="P19" s="76" t="s">
        <v>29</v>
      </c>
      <c r="Q19" s="223">
        <f>N146</f>
        <v>6219300</v>
      </c>
      <c r="R19" s="223">
        <f t="shared" si="16"/>
        <v>6219300</v>
      </c>
    </row>
    <row r="20" spans="1:18" ht="16">
      <c r="A20" s="138">
        <v>45876</v>
      </c>
      <c r="B20" s="140" t="s">
        <v>13</v>
      </c>
      <c r="C20" s="39">
        <v>169402</v>
      </c>
      <c r="D20" s="39">
        <v>169704</v>
      </c>
      <c r="E20" s="11">
        <f t="shared" si="19"/>
        <v>302</v>
      </c>
      <c r="F20" s="141">
        <v>40</v>
      </c>
      <c r="G20" s="13">
        <f t="shared" si="20"/>
        <v>13.245033112582782</v>
      </c>
      <c r="H20" s="83"/>
      <c r="I20" s="125"/>
      <c r="J20" s="83">
        <f t="shared" si="21"/>
        <v>0</v>
      </c>
      <c r="K20" s="83">
        <f t="shared" si="22"/>
        <v>40</v>
      </c>
      <c r="L20" s="136" t="e">
        <f t="shared" si="23"/>
        <v>#DIV/0!</v>
      </c>
      <c r="M20" s="116">
        <v>19060</v>
      </c>
      <c r="N20" s="121">
        <f t="shared" si="24"/>
        <v>762400</v>
      </c>
      <c r="O20" s="76">
        <f t="shared" si="7"/>
        <v>18</v>
      </c>
      <c r="P20" s="76" t="s">
        <v>30</v>
      </c>
      <c r="Q20" s="223">
        <f>N155</f>
        <v>5209690</v>
      </c>
      <c r="R20" s="223">
        <f t="shared" si="16"/>
        <v>5209690</v>
      </c>
    </row>
    <row r="21" spans="1:18" ht="16">
      <c r="A21" s="138">
        <v>45880</v>
      </c>
      <c r="B21" s="140" t="s">
        <v>13</v>
      </c>
      <c r="C21" s="83">
        <v>169704</v>
      </c>
      <c r="D21" s="83">
        <v>169985</v>
      </c>
      <c r="E21" s="11">
        <f t="shared" si="19"/>
        <v>281</v>
      </c>
      <c r="F21" s="141">
        <v>40</v>
      </c>
      <c r="G21" s="13">
        <f t="shared" si="20"/>
        <v>14.23487544483986</v>
      </c>
      <c r="H21" s="83"/>
      <c r="I21" s="125"/>
      <c r="J21" s="83">
        <f t="shared" si="21"/>
        <v>0</v>
      </c>
      <c r="K21" s="83">
        <f t="shared" si="22"/>
        <v>40</v>
      </c>
      <c r="L21" s="136" t="e">
        <f t="shared" si="23"/>
        <v>#DIV/0!</v>
      </c>
      <c r="M21" s="116">
        <v>18800</v>
      </c>
      <c r="N21" s="121">
        <f t="shared" si="24"/>
        <v>752000</v>
      </c>
      <c r="O21" s="76">
        <f t="shared" si="7"/>
        <v>19</v>
      </c>
      <c r="P21" s="76" t="s">
        <v>83</v>
      </c>
      <c r="Q21" s="223">
        <f>N164</f>
        <v>4902970</v>
      </c>
      <c r="R21" s="223">
        <f t="shared" si="16"/>
        <v>4902970</v>
      </c>
    </row>
    <row r="22" spans="1:18" ht="16">
      <c r="A22" s="139">
        <v>45884</v>
      </c>
      <c r="B22" s="140" t="s">
        <v>13</v>
      </c>
      <c r="C22" s="83">
        <v>169985</v>
      </c>
      <c r="D22" s="83">
        <v>170306</v>
      </c>
      <c r="E22" s="11">
        <f t="shared" si="19"/>
        <v>321</v>
      </c>
      <c r="F22" s="141">
        <v>40</v>
      </c>
      <c r="G22" s="13">
        <f t="shared" si="20"/>
        <v>12.461059190031152</v>
      </c>
      <c r="H22" s="83"/>
      <c r="I22" s="125"/>
      <c r="J22" s="83">
        <f t="shared" si="21"/>
        <v>0</v>
      </c>
      <c r="K22" s="83">
        <f t="shared" si="22"/>
        <v>40</v>
      </c>
      <c r="L22" s="136" t="e">
        <f t="shared" si="23"/>
        <v>#DIV/0!</v>
      </c>
      <c r="M22" s="116">
        <v>18070</v>
      </c>
      <c r="N22" s="121">
        <f t="shared" si="24"/>
        <v>722800</v>
      </c>
      <c r="O22" s="76">
        <f t="shared" si="7"/>
        <v>20</v>
      </c>
      <c r="P22" s="76" t="s">
        <v>32</v>
      </c>
      <c r="Q22" s="223">
        <f>N173</f>
        <v>6011200</v>
      </c>
      <c r="R22" s="223">
        <f t="shared" si="16"/>
        <v>6011200</v>
      </c>
    </row>
    <row r="23" spans="1:18" ht="16">
      <c r="A23" s="33">
        <v>45889</v>
      </c>
      <c r="B23" s="90" t="s">
        <v>13</v>
      </c>
      <c r="C23" s="83">
        <v>170306</v>
      </c>
      <c r="D23" s="83">
        <v>170623</v>
      </c>
      <c r="E23" s="11">
        <f t="shared" si="19"/>
        <v>317</v>
      </c>
      <c r="F23" s="141">
        <v>42</v>
      </c>
      <c r="G23" s="13">
        <f t="shared" si="20"/>
        <v>13.249211356466878</v>
      </c>
      <c r="H23" s="83"/>
      <c r="I23" s="125"/>
      <c r="J23" s="83">
        <f t="shared" si="21"/>
        <v>0</v>
      </c>
      <c r="K23" s="83">
        <f t="shared" si="22"/>
        <v>42</v>
      </c>
      <c r="L23" s="67" t="e">
        <f t="shared" si="23"/>
        <v>#DIV/0!</v>
      </c>
      <c r="M23" s="116">
        <v>18070</v>
      </c>
      <c r="N23" s="121">
        <f t="shared" si="24"/>
        <v>758940</v>
      </c>
      <c r="O23" s="76">
        <f t="shared" si="7"/>
        <v>21</v>
      </c>
      <c r="P23" s="76" t="s">
        <v>46</v>
      </c>
      <c r="Q23" s="223">
        <f>N183</f>
        <v>13650000</v>
      </c>
      <c r="R23" s="223">
        <f t="shared" si="16"/>
        <v>13650000</v>
      </c>
    </row>
    <row r="24" spans="1:18" ht="16">
      <c r="A24" s="33">
        <v>45892</v>
      </c>
      <c r="B24" s="44" t="s">
        <v>13</v>
      </c>
      <c r="C24" s="83">
        <v>170623</v>
      </c>
      <c r="D24" s="83">
        <v>170960</v>
      </c>
      <c r="E24" s="11">
        <f t="shared" si="19"/>
        <v>337</v>
      </c>
      <c r="F24" s="141">
        <v>41</v>
      </c>
      <c r="G24" s="13">
        <f t="shared" si="20"/>
        <v>12.166172106824925</v>
      </c>
      <c r="H24" s="35"/>
      <c r="I24" s="38"/>
      <c r="J24" s="35">
        <f t="shared" si="21"/>
        <v>0</v>
      </c>
      <c r="K24" s="35">
        <f t="shared" si="22"/>
        <v>41</v>
      </c>
      <c r="L24" s="46" t="e">
        <f t="shared" si="23"/>
        <v>#DIV/0!</v>
      </c>
      <c r="M24" s="48">
        <v>17900</v>
      </c>
      <c r="N24" s="47">
        <f t="shared" si="24"/>
        <v>733900</v>
      </c>
      <c r="O24" s="76">
        <f t="shared" si="7"/>
        <v>22</v>
      </c>
      <c r="P24" s="76" t="s">
        <v>47</v>
      </c>
      <c r="Q24" s="223">
        <f>N189</f>
        <v>15299977.800000001</v>
      </c>
      <c r="R24" s="223">
        <f t="shared" si="16"/>
        <v>15299977.800000001</v>
      </c>
    </row>
    <row r="25" spans="1:18" ht="16">
      <c r="A25" s="86">
        <v>45897</v>
      </c>
      <c r="B25" s="44" t="s">
        <v>13</v>
      </c>
      <c r="C25" s="83">
        <v>170960</v>
      </c>
      <c r="D25" s="134">
        <v>171252</v>
      </c>
      <c r="E25" s="24">
        <f t="shared" si="19"/>
        <v>292</v>
      </c>
      <c r="F25" s="143">
        <v>40</v>
      </c>
      <c r="G25" s="54">
        <f t="shared" si="20"/>
        <v>13.698630136986301</v>
      </c>
      <c r="H25" s="35"/>
      <c r="I25" s="38"/>
      <c r="J25" s="35">
        <f t="shared" si="21"/>
        <v>0</v>
      </c>
      <c r="K25" s="35">
        <f t="shared" si="22"/>
        <v>40</v>
      </c>
      <c r="L25" s="46" t="e">
        <f t="shared" si="23"/>
        <v>#DIV/0!</v>
      </c>
      <c r="M25" s="48">
        <v>17900</v>
      </c>
      <c r="N25" s="47">
        <f t="shared" si="24"/>
        <v>716000</v>
      </c>
      <c r="O25" s="76">
        <f t="shared" si="7"/>
        <v>23</v>
      </c>
      <c r="P25" s="76" t="s">
        <v>48</v>
      </c>
      <c r="Q25" s="223">
        <f>N195</f>
        <v>10240000</v>
      </c>
      <c r="R25" s="223">
        <f t="shared" si="16"/>
        <v>10240000</v>
      </c>
    </row>
    <row r="26" spans="1:18" ht="16">
      <c r="A26" s="70"/>
      <c r="B26" s="44" t="s">
        <v>13</v>
      </c>
      <c r="C26" s="273"/>
      <c r="D26" s="273"/>
      <c r="E26" s="24">
        <f t="shared" si="19"/>
        <v>0</v>
      </c>
      <c r="F26" s="273"/>
      <c r="G26" s="54" t="e">
        <f t="shared" si="20"/>
        <v>#DIV/0!</v>
      </c>
      <c r="H26" s="71"/>
      <c r="I26" s="72"/>
      <c r="J26" s="53">
        <f t="shared" si="21"/>
        <v>0</v>
      </c>
      <c r="K26" s="53">
        <f t="shared" si="22"/>
        <v>0</v>
      </c>
      <c r="L26" s="73" t="e">
        <f t="shared" si="23"/>
        <v>#DIV/0!</v>
      </c>
      <c r="M26" s="74"/>
      <c r="N26" s="57">
        <f t="shared" si="24"/>
        <v>0</v>
      </c>
      <c r="O26" s="76">
        <f t="shared" si="7"/>
        <v>24</v>
      </c>
      <c r="P26" s="76" t="s">
        <v>49</v>
      </c>
      <c r="Q26" s="223">
        <f>N201</f>
        <v>8600000</v>
      </c>
      <c r="R26" s="223">
        <f t="shared" si="16"/>
        <v>8600000</v>
      </c>
    </row>
    <row r="27" spans="1:18" ht="16">
      <c r="A27" s="59"/>
      <c r="B27" s="60"/>
      <c r="C27" s="59"/>
      <c r="D27" s="59" t="s">
        <v>19</v>
      </c>
      <c r="E27" s="59">
        <f>SUM(E19:E25)</f>
        <v>2465</v>
      </c>
      <c r="F27" s="59">
        <f>SUM(F19:F26)</f>
        <v>281</v>
      </c>
      <c r="G27" s="61">
        <f>AVERAGE(G19:G25)</f>
        <v>12.176263305192824</v>
      </c>
      <c r="H27" s="59"/>
      <c r="I27" s="62"/>
      <c r="J27" s="59">
        <f t="shared" ref="J27:K27" si="25">SUM(J19:J25)</f>
        <v>0</v>
      </c>
      <c r="K27" s="59">
        <f t="shared" si="25"/>
        <v>281</v>
      </c>
      <c r="L27" s="61" t="e">
        <f>AVERAGE(L19:L25)</f>
        <v>#DIV/0!</v>
      </c>
      <c r="M27" s="64"/>
      <c r="N27" s="65">
        <f>SUM(N19:N26)</f>
        <v>5170320</v>
      </c>
      <c r="O27" s="76">
        <f t="shared" si="7"/>
        <v>25</v>
      </c>
      <c r="P27" s="76" t="s">
        <v>50</v>
      </c>
      <c r="Q27" s="223">
        <f>N207</f>
        <v>12000000</v>
      </c>
      <c r="R27" s="223"/>
    </row>
    <row r="28" spans="1:18" ht="16">
      <c r="A28" s="66">
        <v>45870</v>
      </c>
      <c r="B28" s="269" t="s">
        <v>14</v>
      </c>
      <c r="C28" s="83">
        <v>170717</v>
      </c>
      <c r="D28" s="39">
        <v>171082</v>
      </c>
      <c r="E28" s="36">
        <f t="shared" ref="E28:E33" si="26">D28-C28</f>
        <v>365</v>
      </c>
      <c r="F28" s="37">
        <v>50</v>
      </c>
      <c r="G28" s="13">
        <f t="shared" ref="G28:G34" si="27">(F28/E28)*100</f>
        <v>13.698630136986301</v>
      </c>
      <c r="H28" s="125"/>
      <c r="I28" s="126"/>
      <c r="J28" s="39">
        <f t="shared" ref="J28:J34" si="28">I28-H28</f>
        <v>0</v>
      </c>
      <c r="K28" s="39">
        <f t="shared" ref="K28:K34" si="29">F28</f>
        <v>50</v>
      </c>
      <c r="L28" s="136" t="e">
        <f t="shared" ref="L28:L34" si="30">(K28/J28)*100</f>
        <v>#DIV/0!</v>
      </c>
      <c r="M28" s="68">
        <v>19060</v>
      </c>
      <c r="N28" s="42">
        <f t="shared" ref="N28:N34" si="31">F28*M28</f>
        <v>953000</v>
      </c>
      <c r="O28" s="76">
        <f t="shared" si="7"/>
        <v>26</v>
      </c>
      <c r="P28" s="76" t="s">
        <v>51</v>
      </c>
      <c r="Q28" s="223">
        <f>N213</f>
        <v>10900000</v>
      </c>
      <c r="R28" s="223">
        <f t="shared" ref="R28:R41" si="32">Q28</f>
        <v>10900000</v>
      </c>
    </row>
    <row r="29" spans="1:18" ht="16">
      <c r="A29" s="138">
        <v>45876</v>
      </c>
      <c r="B29" s="140" t="s">
        <v>14</v>
      </c>
      <c r="C29" s="83">
        <v>171080</v>
      </c>
      <c r="D29" s="83">
        <v>171455</v>
      </c>
      <c r="E29" s="11">
        <f t="shared" si="26"/>
        <v>375</v>
      </c>
      <c r="F29" s="141">
        <v>50</v>
      </c>
      <c r="G29" s="13">
        <f t="shared" si="27"/>
        <v>13.333333333333334</v>
      </c>
      <c r="H29" s="83"/>
      <c r="I29" s="125"/>
      <c r="J29" s="83">
        <f t="shared" si="28"/>
        <v>0</v>
      </c>
      <c r="K29" s="83">
        <f t="shared" si="29"/>
        <v>50</v>
      </c>
      <c r="L29" s="136" t="e">
        <f t="shared" si="30"/>
        <v>#DIV/0!</v>
      </c>
      <c r="M29" s="116">
        <v>19060</v>
      </c>
      <c r="N29" s="121">
        <f t="shared" si="31"/>
        <v>953000</v>
      </c>
      <c r="O29" s="76">
        <f t="shared" si="7"/>
        <v>27</v>
      </c>
      <c r="P29" s="76" t="s">
        <v>81</v>
      </c>
      <c r="Q29" s="223">
        <f>N219</f>
        <v>18500000</v>
      </c>
      <c r="R29" s="223">
        <f t="shared" si="32"/>
        <v>18500000</v>
      </c>
    </row>
    <row r="30" spans="1:18" ht="16">
      <c r="A30" s="138">
        <v>45882</v>
      </c>
      <c r="B30" s="140" t="s">
        <v>14</v>
      </c>
      <c r="C30" s="83">
        <v>171455</v>
      </c>
      <c r="D30" s="83">
        <v>171821</v>
      </c>
      <c r="E30" s="11">
        <f t="shared" si="26"/>
        <v>366</v>
      </c>
      <c r="F30" s="141">
        <v>40</v>
      </c>
      <c r="G30" s="13">
        <f t="shared" si="27"/>
        <v>10.928961748633879</v>
      </c>
      <c r="H30" s="83"/>
      <c r="I30" s="125"/>
      <c r="J30" s="83">
        <f t="shared" si="28"/>
        <v>0</v>
      </c>
      <c r="K30" s="83">
        <f t="shared" si="29"/>
        <v>40</v>
      </c>
      <c r="L30" s="136" t="e">
        <f t="shared" si="30"/>
        <v>#DIV/0!</v>
      </c>
      <c r="M30" s="116">
        <v>18800</v>
      </c>
      <c r="N30" s="121">
        <f t="shared" si="31"/>
        <v>752000</v>
      </c>
      <c r="O30" s="76">
        <f t="shared" si="7"/>
        <v>28</v>
      </c>
      <c r="P30" s="76" t="s">
        <v>54</v>
      </c>
      <c r="Q30" s="223">
        <f>N228</f>
        <v>29000000</v>
      </c>
      <c r="R30" s="223">
        <f t="shared" si="32"/>
        <v>29000000</v>
      </c>
    </row>
    <row r="31" spans="1:18" ht="16">
      <c r="A31" s="139">
        <v>45885</v>
      </c>
      <c r="B31" s="140" t="s">
        <v>14</v>
      </c>
      <c r="C31" s="83">
        <v>171821</v>
      </c>
      <c r="D31" s="83">
        <v>172157</v>
      </c>
      <c r="E31" s="11">
        <f t="shared" si="26"/>
        <v>336</v>
      </c>
      <c r="F31" s="141">
        <v>40</v>
      </c>
      <c r="G31" s="13">
        <f t="shared" si="27"/>
        <v>11.904761904761903</v>
      </c>
      <c r="H31" s="83"/>
      <c r="I31" s="125"/>
      <c r="J31" s="83">
        <f t="shared" si="28"/>
        <v>0</v>
      </c>
      <c r="K31" s="83">
        <f t="shared" si="29"/>
        <v>40</v>
      </c>
      <c r="L31" s="136" t="e">
        <f t="shared" si="30"/>
        <v>#DIV/0!</v>
      </c>
      <c r="M31" s="116">
        <v>18070</v>
      </c>
      <c r="N31" s="121">
        <f t="shared" si="31"/>
        <v>722800</v>
      </c>
      <c r="O31" s="76">
        <f t="shared" si="7"/>
        <v>29</v>
      </c>
      <c r="P31" s="76" t="s">
        <v>69</v>
      </c>
      <c r="Q31" s="223">
        <f>N235</f>
        <v>19000000</v>
      </c>
      <c r="R31" s="223">
        <f t="shared" si="32"/>
        <v>19000000</v>
      </c>
    </row>
    <row r="32" spans="1:18" ht="16">
      <c r="A32" s="138">
        <v>45890</v>
      </c>
      <c r="B32" s="140" t="s">
        <v>14</v>
      </c>
      <c r="C32" s="83">
        <v>172157</v>
      </c>
      <c r="D32" s="83">
        <v>172531</v>
      </c>
      <c r="E32" s="11">
        <f t="shared" si="26"/>
        <v>374</v>
      </c>
      <c r="F32" s="141">
        <v>48.005000000000003</v>
      </c>
      <c r="G32" s="13">
        <f t="shared" si="27"/>
        <v>12.835561497326204</v>
      </c>
      <c r="H32" s="83"/>
      <c r="I32" s="125"/>
      <c r="J32" s="83">
        <f t="shared" si="28"/>
        <v>0</v>
      </c>
      <c r="K32" s="83">
        <f t="shared" si="29"/>
        <v>48.005000000000003</v>
      </c>
      <c r="L32" s="136" t="e">
        <f t="shared" si="30"/>
        <v>#DIV/0!</v>
      </c>
      <c r="M32" s="116">
        <v>17900</v>
      </c>
      <c r="N32" s="121">
        <f t="shared" si="31"/>
        <v>859289.5</v>
      </c>
      <c r="O32" s="76">
        <f t="shared" si="7"/>
        <v>30</v>
      </c>
      <c r="P32" s="76" t="s">
        <v>92</v>
      </c>
      <c r="Q32" s="223">
        <f>N242</f>
        <v>4299938</v>
      </c>
      <c r="R32" s="223">
        <f t="shared" si="32"/>
        <v>4299938</v>
      </c>
    </row>
    <row r="33" spans="1:18" ht="16">
      <c r="A33" s="138">
        <v>45896</v>
      </c>
      <c r="B33" s="140" t="s">
        <v>14</v>
      </c>
      <c r="C33" s="83">
        <v>172531</v>
      </c>
      <c r="D33" s="83">
        <v>172935</v>
      </c>
      <c r="E33" s="11">
        <f t="shared" si="26"/>
        <v>404</v>
      </c>
      <c r="F33" s="141">
        <v>45</v>
      </c>
      <c r="G33" s="13">
        <f t="shared" si="27"/>
        <v>11.138613861386139</v>
      </c>
      <c r="H33" s="83"/>
      <c r="I33" s="125"/>
      <c r="J33" s="83">
        <f t="shared" si="28"/>
        <v>0</v>
      </c>
      <c r="K33" s="83">
        <f t="shared" si="29"/>
        <v>45</v>
      </c>
      <c r="L33" s="136" t="e">
        <f t="shared" si="30"/>
        <v>#DIV/0!</v>
      </c>
      <c r="M33" s="116">
        <v>17900</v>
      </c>
      <c r="N33" s="121">
        <f t="shared" si="31"/>
        <v>805500</v>
      </c>
      <c r="R33" s="76">
        <f t="shared" si="32"/>
        <v>0</v>
      </c>
    </row>
    <row r="34" spans="1:18" ht="16">
      <c r="A34" s="274">
        <v>45899</v>
      </c>
      <c r="B34" s="272"/>
      <c r="C34" s="134"/>
      <c r="D34" s="134"/>
      <c r="E34" s="24"/>
      <c r="F34" s="143">
        <v>40</v>
      </c>
      <c r="G34" s="54" t="e">
        <f t="shared" si="27"/>
        <v>#DIV/0!</v>
      </c>
      <c r="H34" s="134"/>
      <c r="I34" s="135"/>
      <c r="J34" s="134">
        <f t="shared" si="28"/>
        <v>0</v>
      </c>
      <c r="K34" s="134">
        <f t="shared" si="29"/>
        <v>40</v>
      </c>
      <c r="L34" s="136" t="e">
        <f t="shared" si="30"/>
        <v>#DIV/0!</v>
      </c>
      <c r="M34" s="137">
        <v>18350</v>
      </c>
      <c r="N34" s="123">
        <f t="shared" si="31"/>
        <v>734000</v>
      </c>
      <c r="R34" s="76">
        <f t="shared" si="32"/>
        <v>0</v>
      </c>
    </row>
    <row r="35" spans="1:18" ht="16">
      <c r="A35" s="59"/>
      <c r="B35" s="60"/>
      <c r="C35" s="59"/>
      <c r="D35" s="59" t="s">
        <v>19</v>
      </c>
      <c r="E35" s="59">
        <f t="shared" ref="E35:F35" si="33">SUM(E28:E34)</f>
        <v>2220</v>
      </c>
      <c r="F35" s="59">
        <f t="shared" si="33"/>
        <v>313.005</v>
      </c>
      <c r="G35" s="61" t="e">
        <f>AVERAGE(G28:G34)</f>
        <v>#DIV/0!</v>
      </c>
      <c r="H35" s="59"/>
      <c r="I35" s="62"/>
      <c r="J35" s="59">
        <f t="shared" ref="J35:K35" si="34">SUM(J28:J34)</f>
        <v>0</v>
      </c>
      <c r="K35" s="59">
        <f t="shared" si="34"/>
        <v>313.005</v>
      </c>
      <c r="L35" s="61" t="e">
        <f>AVERAGE(L28:L34)</f>
        <v>#DIV/0!</v>
      </c>
      <c r="M35" s="64"/>
      <c r="N35" s="65">
        <f>SUM(N28:N34)</f>
        <v>5779589.5</v>
      </c>
      <c r="R35" s="76">
        <f t="shared" si="32"/>
        <v>0</v>
      </c>
    </row>
    <row r="36" spans="1:18" ht="16">
      <c r="A36" s="66">
        <v>45870</v>
      </c>
      <c r="B36" s="269" t="s">
        <v>15</v>
      </c>
      <c r="C36" s="83">
        <v>156570</v>
      </c>
      <c r="D36" s="39">
        <v>156866</v>
      </c>
      <c r="E36" s="36">
        <f t="shared" ref="E36:E43" si="35">D36-C36</f>
        <v>296</v>
      </c>
      <c r="F36" s="37">
        <v>35</v>
      </c>
      <c r="G36" s="13">
        <f t="shared" ref="G36:G43" si="36">(F36/E36)*100</f>
        <v>11.824324324324325</v>
      </c>
      <c r="H36" s="83"/>
      <c r="I36" s="125"/>
      <c r="J36" s="39">
        <f t="shared" ref="J36:J41" si="37">I36-H36</f>
        <v>0</v>
      </c>
      <c r="K36" s="39">
        <f t="shared" ref="K36:K43" si="38">F36</f>
        <v>35</v>
      </c>
      <c r="L36" s="136" t="e">
        <f t="shared" ref="L36:L43" si="39">(K36/J36)*100</f>
        <v>#DIV/0!</v>
      </c>
      <c r="M36" s="68">
        <v>19060</v>
      </c>
      <c r="N36" s="42">
        <f t="shared" ref="N36:N43" si="40">F36*M36</f>
        <v>667100</v>
      </c>
      <c r="R36" s="76">
        <f t="shared" si="32"/>
        <v>0</v>
      </c>
    </row>
    <row r="37" spans="1:18" ht="16">
      <c r="A37" s="138">
        <v>45875</v>
      </c>
      <c r="B37" s="140" t="s">
        <v>15</v>
      </c>
      <c r="C37" s="83">
        <v>156866</v>
      </c>
      <c r="D37" s="83">
        <v>157195</v>
      </c>
      <c r="E37" s="11">
        <f t="shared" si="35"/>
        <v>329</v>
      </c>
      <c r="F37" s="141">
        <v>40</v>
      </c>
      <c r="G37" s="13">
        <f t="shared" si="36"/>
        <v>12.158054711246201</v>
      </c>
      <c r="H37" s="125"/>
      <c r="I37" s="125"/>
      <c r="J37" s="83">
        <f t="shared" si="37"/>
        <v>0</v>
      </c>
      <c r="K37" s="83">
        <f t="shared" si="38"/>
        <v>40</v>
      </c>
      <c r="L37" s="136" t="e">
        <f t="shared" si="39"/>
        <v>#DIV/0!</v>
      </c>
      <c r="M37" s="116">
        <v>19060</v>
      </c>
      <c r="N37" s="121">
        <f t="shared" si="40"/>
        <v>762400</v>
      </c>
      <c r="P37" s="78"/>
      <c r="R37" s="76">
        <f t="shared" si="32"/>
        <v>0</v>
      </c>
    </row>
    <row r="38" spans="1:18" ht="16">
      <c r="A38" s="138">
        <v>45880</v>
      </c>
      <c r="B38" s="140" t="s">
        <v>15</v>
      </c>
      <c r="C38" s="83">
        <v>157195</v>
      </c>
      <c r="D38" s="83">
        <v>157537</v>
      </c>
      <c r="E38" s="11">
        <f t="shared" si="35"/>
        <v>342</v>
      </c>
      <c r="F38" s="141">
        <v>43</v>
      </c>
      <c r="G38" s="13">
        <f t="shared" si="36"/>
        <v>12.573099415204677</v>
      </c>
      <c r="H38" s="83"/>
      <c r="I38" s="125"/>
      <c r="J38" s="83">
        <f t="shared" si="37"/>
        <v>0</v>
      </c>
      <c r="K38" s="83">
        <f t="shared" si="38"/>
        <v>43</v>
      </c>
      <c r="L38" s="136" t="e">
        <f t="shared" si="39"/>
        <v>#DIV/0!</v>
      </c>
      <c r="M38" s="275">
        <v>18800</v>
      </c>
      <c r="N38" s="121">
        <f t="shared" si="40"/>
        <v>808400</v>
      </c>
      <c r="R38" s="76">
        <f t="shared" si="32"/>
        <v>0</v>
      </c>
    </row>
    <row r="39" spans="1:18" ht="16">
      <c r="A39" s="138">
        <v>45882</v>
      </c>
      <c r="B39" s="140" t="s">
        <v>15</v>
      </c>
      <c r="C39" s="83">
        <v>157537</v>
      </c>
      <c r="D39" s="83">
        <v>157850</v>
      </c>
      <c r="E39" s="11">
        <f t="shared" si="35"/>
        <v>313</v>
      </c>
      <c r="F39" s="141">
        <v>43</v>
      </c>
      <c r="G39" s="13">
        <f t="shared" si="36"/>
        <v>13.738019169329075</v>
      </c>
      <c r="H39" s="83"/>
      <c r="I39" s="125"/>
      <c r="J39" s="83">
        <f t="shared" si="37"/>
        <v>0</v>
      </c>
      <c r="K39" s="83">
        <f t="shared" si="38"/>
        <v>43</v>
      </c>
      <c r="L39" s="136" t="e">
        <f t="shared" si="39"/>
        <v>#DIV/0!</v>
      </c>
      <c r="M39" s="116">
        <v>18800</v>
      </c>
      <c r="N39" s="121">
        <f t="shared" si="40"/>
        <v>808400</v>
      </c>
      <c r="R39" s="76">
        <f t="shared" si="32"/>
        <v>0</v>
      </c>
    </row>
    <row r="40" spans="1:18" ht="16">
      <c r="A40" s="138">
        <v>45887</v>
      </c>
      <c r="B40" s="140" t="s">
        <v>15</v>
      </c>
      <c r="C40" s="83">
        <v>157850</v>
      </c>
      <c r="D40" s="83">
        <v>158171</v>
      </c>
      <c r="E40" s="11">
        <f t="shared" si="35"/>
        <v>321</v>
      </c>
      <c r="F40" s="141">
        <v>40</v>
      </c>
      <c r="G40" s="13">
        <f t="shared" si="36"/>
        <v>12.461059190031152</v>
      </c>
      <c r="H40" s="83"/>
      <c r="I40" s="125"/>
      <c r="J40" s="83">
        <f t="shared" si="37"/>
        <v>0</v>
      </c>
      <c r="K40" s="83">
        <f t="shared" si="38"/>
        <v>40</v>
      </c>
      <c r="L40" s="136" t="e">
        <f t="shared" si="39"/>
        <v>#DIV/0!</v>
      </c>
      <c r="M40" s="116">
        <v>18070</v>
      </c>
      <c r="N40" s="121">
        <f t="shared" si="40"/>
        <v>722800</v>
      </c>
      <c r="R40" s="76">
        <f t="shared" si="32"/>
        <v>0</v>
      </c>
    </row>
    <row r="41" spans="1:18" ht="16">
      <c r="A41" s="276">
        <v>45890</v>
      </c>
      <c r="B41" s="140" t="s">
        <v>15</v>
      </c>
      <c r="C41" s="83">
        <v>158171</v>
      </c>
      <c r="D41" s="83">
        <v>158521</v>
      </c>
      <c r="E41" s="11">
        <f t="shared" si="35"/>
        <v>350</v>
      </c>
      <c r="F41" s="141">
        <v>42</v>
      </c>
      <c r="G41" s="13">
        <f t="shared" si="36"/>
        <v>12</v>
      </c>
      <c r="H41" s="83"/>
      <c r="I41" s="125"/>
      <c r="J41" s="83">
        <f t="shared" si="37"/>
        <v>0</v>
      </c>
      <c r="K41" s="83">
        <f t="shared" si="38"/>
        <v>42</v>
      </c>
      <c r="L41" s="136" t="e">
        <f t="shared" si="39"/>
        <v>#DIV/0!</v>
      </c>
      <c r="M41" s="116">
        <v>17900</v>
      </c>
      <c r="N41" s="121">
        <f t="shared" si="40"/>
        <v>751800</v>
      </c>
      <c r="R41" s="76">
        <f t="shared" si="32"/>
        <v>0</v>
      </c>
    </row>
    <row r="42" spans="1:18" ht="16">
      <c r="A42" s="133">
        <v>45895</v>
      </c>
      <c r="B42" s="140" t="s">
        <v>87</v>
      </c>
      <c r="C42" s="83">
        <v>158521</v>
      </c>
      <c r="D42" s="134">
        <v>158828</v>
      </c>
      <c r="E42" s="11">
        <f t="shared" si="35"/>
        <v>307</v>
      </c>
      <c r="F42" s="143">
        <v>40</v>
      </c>
      <c r="G42" s="13">
        <f t="shared" si="36"/>
        <v>13.029315960912053</v>
      </c>
      <c r="H42" s="134"/>
      <c r="I42" s="135"/>
      <c r="J42" s="134"/>
      <c r="K42" s="83">
        <f t="shared" si="38"/>
        <v>40</v>
      </c>
      <c r="L42" s="136" t="e">
        <f t="shared" si="39"/>
        <v>#DIV/0!</v>
      </c>
      <c r="M42" s="137">
        <v>17900</v>
      </c>
      <c r="N42" s="121">
        <f t="shared" si="40"/>
        <v>716000</v>
      </c>
    </row>
    <row r="43" spans="1:18" ht="16">
      <c r="A43" s="133">
        <v>45898</v>
      </c>
      <c r="B43" s="140" t="s">
        <v>15</v>
      </c>
      <c r="C43" s="83">
        <v>158828</v>
      </c>
      <c r="D43" s="134">
        <v>159197</v>
      </c>
      <c r="E43" s="24">
        <f t="shared" si="35"/>
        <v>369</v>
      </c>
      <c r="F43" s="143">
        <v>44</v>
      </c>
      <c r="G43" s="54">
        <f t="shared" si="36"/>
        <v>11.924119241192411</v>
      </c>
      <c r="H43" s="134"/>
      <c r="I43" s="135"/>
      <c r="J43" s="134">
        <f>I43-H43</f>
        <v>0</v>
      </c>
      <c r="K43" s="134">
        <f t="shared" si="38"/>
        <v>44</v>
      </c>
      <c r="L43" s="136" t="e">
        <f t="shared" si="39"/>
        <v>#DIV/0!</v>
      </c>
      <c r="M43" s="137">
        <v>18350</v>
      </c>
      <c r="N43" s="123">
        <f t="shared" si="40"/>
        <v>807400</v>
      </c>
      <c r="R43" s="76">
        <f t="shared" ref="R43:R51" si="41">Q43</f>
        <v>0</v>
      </c>
    </row>
    <row r="44" spans="1:18" ht="16">
      <c r="A44" s="59"/>
      <c r="B44" s="60"/>
      <c r="C44" s="59"/>
      <c r="D44" s="59" t="s">
        <v>19</v>
      </c>
      <c r="E44" s="59">
        <f t="shared" ref="E44:F44" si="42">SUM(E36:E43)</f>
        <v>2627</v>
      </c>
      <c r="F44" s="59">
        <f t="shared" si="42"/>
        <v>327</v>
      </c>
      <c r="G44" s="61">
        <f>AVERAGE(G36:G43)</f>
        <v>12.463499001529987</v>
      </c>
      <c r="H44" s="59"/>
      <c r="I44" s="62"/>
      <c r="J44" s="59">
        <f t="shared" ref="J44:K44" si="43">SUM(J36:J43)</f>
        <v>0</v>
      </c>
      <c r="K44" s="59">
        <f t="shared" si="43"/>
        <v>327</v>
      </c>
      <c r="L44" s="61" t="e">
        <f>AVERAGE(L36:L43)</f>
        <v>#DIV/0!</v>
      </c>
      <c r="M44" s="64"/>
      <c r="N44" s="65">
        <f>SUM(N36:N43)</f>
        <v>6044300</v>
      </c>
      <c r="R44" s="76">
        <f t="shared" si="41"/>
        <v>0</v>
      </c>
    </row>
    <row r="45" spans="1:18" ht="16">
      <c r="A45" s="89">
        <v>45870</v>
      </c>
      <c r="B45" s="269" t="s">
        <v>16</v>
      </c>
      <c r="C45" s="134">
        <v>133458</v>
      </c>
      <c r="D45" s="39">
        <v>133663</v>
      </c>
      <c r="E45" s="36">
        <f t="shared" ref="E45:E54" si="44">D45-C45</f>
        <v>205</v>
      </c>
      <c r="F45" s="37">
        <v>28</v>
      </c>
      <c r="G45" s="13">
        <f t="shared" ref="G45:G54" si="45">(F45/E45)*100</f>
        <v>13.658536585365855</v>
      </c>
      <c r="H45" s="125"/>
      <c r="I45" s="126"/>
      <c r="J45" s="39">
        <f t="shared" ref="J45:J50" si="46">I45-H45</f>
        <v>0</v>
      </c>
      <c r="K45" s="39">
        <f t="shared" ref="K45:K54" si="47">F45</f>
        <v>28</v>
      </c>
      <c r="L45" s="136" t="e">
        <f t="shared" ref="L45:L54" si="48">(K45/J45)*100</f>
        <v>#DIV/0!</v>
      </c>
      <c r="M45" s="68">
        <v>19060</v>
      </c>
      <c r="N45" s="42">
        <f t="shared" ref="N45:N54" si="49">F45*M45</f>
        <v>533680</v>
      </c>
      <c r="R45" s="76">
        <f t="shared" si="41"/>
        <v>0</v>
      </c>
    </row>
    <row r="46" spans="1:18" ht="16">
      <c r="A46" s="138">
        <v>45874</v>
      </c>
      <c r="B46" s="140" t="s">
        <v>16</v>
      </c>
      <c r="C46" s="83">
        <v>133663</v>
      </c>
      <c r="D46" s="83"/>
      <c r="E46" s="11">
        <f t="shared" si="44"/>
        <v>-133663</v>
      </c>
      <c r="F46" s="277">
        <v>37</v>
      </c>
      <c r="G46" s="13">
        <f t="shared" si="45"/>
        <v>-2.7681557349453476E-2</v>
      </c>
      <c r="H46" s="83"/>
      <c r="I46" s="126"/>
      <c r="J46" s="83">
        <f t="shared" si="46"/>
        <v>0</v>
      </c>
      <c r="K46" s="39">
        <f t="shared" si="47"/>
        <v>37</v>
      </c>
      <c r="L46" s="136" t="e">
        <f t="shared" si="48"/>
        <v>#DIV/0!</v>
      </c>
      <c r="M46" s="116">
        <v>19060</v>
      </c>
      <c r="N46" s="121">
        <f t="shared" si="49"/>
        <v>705220</v>
      </c>
      <c r="R46" s="76">
        <f t="shared" si="41"/>
        <v>0</v>
      </c>
    </row>
    <row r="47" spans="1:18" ht="16">
      <c r="A47" s="138">
        <v>45877</v>
      </c>
      <c r="B47" s="140" t="s">
        <v>16</v>
      </c>
      <c r="C47" s="83"/>
      <c r="D47" s="83"/>
      <c r="E47" s="11">
        <f t="shared" si="44"/>
        <v>0</v>
      </c>
      <c r="F47" s="141">
        <v>36</v>
      </c>
      <c r="G47" s="13" t="e">
        <f t="shared" si="45"/>
        <v>#DIV/0!</v>
      </c>
      <c r="H47" s="83"/>
      <c r="I47" s="125"/>
      <c r="J47" s="83">
        <f t="shared" si="46"/>
        <v>0</v>
      </c>
      <c r="K47" s="39">
        <f t="shared" si="47"/>
        <v>36</v>
      </c>
      <c r="L47" s="136" t="e">
        <f t="shared" si="48"/>
        <v>#DIV/0!</v>
      </c>
      <c r="M47" s="116">
        <v>18800</v>
      </c>
      <c r="N47" s="121">
        <f t="shared" si="49"/>
        <v>676800</v>
      </c>
      <c r="R47" s="76">
        <f t="shared" si="41"/>
        <v>0</v>
      </c>
    </row>
    <row r="48" spans="1:18" ht="16">
      <c r="A48" s="138">
        <v>45881</v>
      </c>
      <c r="B48" s="140" t="s">
        <v>16</v>
      </c>
      <c r="C48" s="83"/>
      <c r="D48" s="83">
        <v>134497</v>
      </c>
      <c r="E48" s="11">
        <f t="shared" si="44"/>
        <v>134497</v>
      </c>
      <c r="F48" s="141">
        <v>36</v>
      </c>
      <c r="G48" s="13">
        <f t="shared" si="45"/>
        <v>2.6766396276496872E-2</v>
      </c>
      <c r="H48" s="83"/>
      <c r="I48" s="125"/>
      <c r="J48" s="83">
        <f t="shared" si="46"/>
        <v>0</v>
      </c>
      <c r="K48" s="39">
        <f t="shared" si="47"/>
        <v>36</v>
      </c>
      <c r="L48" s="136" t="e">
        <f t="shared" si="48"/>
        <v>#DIV/0!</v>
      </c>
      <c r="M48" s="116">
        <v>18800</v>
      </c>
      <c r="N48" s="121">
        <f t="shared" si="49"/>
        <v>676800</v>
      </c>
      <c r="P48" s="78"/>
      <c r="R48" s="76">
        <f t="shared" si="41"/>
        <v>0</v>
      </c>
    </row>
    <row r="49" spans="1:18" ht="16">
      <c r="A49" s="138">
        <v>45884</v>
      </c>
      <c r="B49" s="140" t="s">
        <v>16</v>
      </c>
      <c r="C49" s="83">
        <v>134497</v>
      </c>
      <c r="D49" s="83">
        <v>134742</v>
      </c>
      <c r="E49" s="11">
        <f t="shared" si="44"/>
        <v>245</v>
      </c>
      <c r="F49" s="141">
        <v>36</v>
      </c>
      <c r="G49" s="13">
        <f t="shared" si="45"/>
        <v>14.69387755102041</v>
      </c>
      <c r="H49" s="83"/>
      <c r="I49" s="125"/>
      <c r="J49" s="83">
        <f t="shared" si="46"/>
        <v>0</v>
      </c>
      <c r="K49" s="39">
        <f t="shared" si="47"/>
        <v>36</v>
      </c>
      <c r="L49" s="136" t="e">
        <f t="shared" si="48"/>
        <v>#DIV/0!</v>
      </c>
      <c r="M49" s="116">
        <v>18070</v>
      </c>
      <c r="N49" s="121">
        <f t="shared" si="49"/>
        <v>650520</v>
      </c>
      <c r="R49" s="76">
        <f t="shared" si="41"/>
        <v>0</v>
      </c>
    </row>
    <row r="50" spans="1:18" ht="16">
      <c r="A50" s="139">
        <v>45888</v>
      </c>
      <c r="B50" s="90" t="s">
        <v>16</v>
      </c>
      <c r="C50" s="83">
        <v>134742</v>
      </c>
      <c r="D50" s="83">
        <v>135069</v>
      </c>
      <c r="E50" s="11">
        <f t="shared" si="44"/>
        <v>327</v>
      </c>
      <c r="F50" s="141">
        <v>42</v>
      </c>
      <c r="G50" s="13">
        <f t="shared" si="45"/>
        <v>12.844036697247708</v>
      </c>
      <c r="H50" s="83"/>
      <c r="I50" s="125"/>
      <c r="J50" s="83">
        <f t="shared" si="46"/>
        <v>0</v>
      </c>
      <c r="K50" s="39">
        <f t="shared" si="47"/>
        <v>42</v>
      </c>
      <c r="L50" s="136" t="e">
        <f t="shared" si="48"/>
        <v>#DIV/0!</v>
      </c>
      <c r="M50" s="116">
        <v>18070</v>
      </c>
      <c r="N50" s="121">
        <f t="shared" si="49"/>
        <v>758940</v>
      </c>
      <c r="R50" s="76">
        <f t="shared" si="41"/>
        <v>0</v>
      </c>
    </row>
    <row r="51" spans="1:18" ht="16">
      <c r="A51" s="133">
        <v>45891</v>
      </c>
      <c r="B51" s="140" t="s">
        <v>16</v>
      </c>
      <c r="C51" s="83">
        <v>135069</v>
      </c>
      <c r="D51" s="134">
        <v>135341</v>
      </c>
      <c r="E51" s="11">
        <f t="shared" si="44"/>
        <v>272</v>
      </c>
      <c r="F51" s="143">
        <v>36</v>
      </c>
      <c r="G51" s="13">
        <f t="shared" si="45"/>
        <v>13.23529411764706</v>
      </c>
      <c r="H51" s="134"/>
      <c r="I51" s="135"/>
      <c r="J51" s="134"/>
      <c r="K51" s="39">
        <f t="shared" si="47"/>
        <v>36</v>
      </c>
      <c r="L51" s="136" t="e">
        <f t="shared" si="48"/>
        <v>#DIV/0!</v>
      </c>
      <c r="M51" s="116">
        <v>17900</v>
      </c>
      <c r="N51" s="121">
        <f t="shared" si="49"/>
        <v>644400</v>
      </c>
      <c r="R51" s="76">
        <f t="shared" si="41"/>
        <v>0</v>
      </c>
    </row>
    <row r="52" spans="1:18" ht="16">
      <c r="A52" s="133">
        <v>45895</v>
      </c>
      <c r="B52" s="140" t="s">
        <v>88</v>
      </c>
      <c r="C52" s="134">
        <v>135341</v>
      </c>
      <c r="D52" s="134">
        <v>135663</v>
      </c>
      <c r="E52" s="11">
        <f t="shared" si="44"/>
        <v>322</v>
      </c>
      <c r="F52" s="143">
        <v>40</v>
      </c>
      <c r="G52" s="13">
        <f t="shared" si="45"/>
        <v>12.422360248447205</v>
      </c>
      <c r="H52" s="134"/>
      <c r="I52" s="135"/>
      <c r="J52" s="134"/>
      <c r="K52" s="39">
        <f t="shared" si="47"/>
        <v>40</v>
      </c>
      <c r="L52" s="136" t="e">
        <f t="shared" si="48"/>
        <v>#DIV/0!</v>
      </c>
      <c r="M52" s="116">
        <v>17900</v>
      </c>
      <c r="N52" s="121">
        <f t="shared" si="49"/>
        <v>716000</v>
      </c>
    </row>
    <row r="53" spans="1:18" ht="16">
      <c r="A53" s="133">
        <v>45897</v>
      </c>
      <c r="B53" s="140" t="s">
        <v>16</v>
      </c>
      <c r="C53" s="134">
        <v>135663</v>
      </c>
      <c r="D53" s="134">
        <v>136135</v>
      </c>
      <c r="E53" s="11">
        <f t="shared" si="44"/>
        <v>472</v>
      </c>
      <c r="F53" s="143">
        <v>30</v>
      </c>
      <c r="G53" s="13">
        <f t="shared" si="45"/>
        <v>6.3559322033898304</v>
      </c>
      <c r="H53" s="134"/>
      <c r="I53" s="135"/>
      <c r="J53" s="134"/>
      <c r="K53" s="39">
        <f t="shared" si="47"/>
        <v>30</v>
      </c>
      <c r="L53" s="136" t="e">
        <f t="shared" si="48"/>
        <v>#DIV/0!</v>
      </c>
      <c r="M53" s="137">
        <v>18350</v>
      </c>
      <c r="N53" s="121">
        <f t="shared" si="49"/>
        <v>550500</v>
      </c>
      <c r="R53" s="76">
        <f t="shared" ref="R53:R155" si="50">Q53</f>
        <v>0</v>
      </c>
    </row>
    <row r="54" spans="1:18" ht="16">
      <c r="A54" s="133">
        <v>45899</v>
      </c>
      <c r="B54" s="90" t="s">
        <v>16</v>
      </c>
      <c r="C54" s="134"/>
      <c r="D54" s="134"/>
      <c r="E54" s="24">
        <f t="shared" si="44"/>
        <v>0</v>
      </c>
      <c r="F54" s="143">
        <v>33</v>
      </c>
      <c r="G54" s="54" t="e">
        <f t="shared" si="45"/>
        <v>#DIV/0!</v>
      </c>
      <c r="H54" s="134"/>
      <c r="I54" s="135"/>
      <c r="J54" s="134">
        <f>I54-H54</f>
        <v>0</v>
      </c>
      <c r="K54" s="134">
        <f t="shared" si="47"/>
        <v>33</v>
      </c>
      <c r="L54" s="136" t="e">
        <f t="shared" si="48"/>
        <v>#DIV/0!</v>
      </c>
      <c r="M54" s="137">
        <v>18350</v>
      </c>
      <c r="N54" s="123">
        <f t="shared" si="49"/>
        <v>605550</v>
      </c>
      <c r="R54" s="76">
        <f t="shared" si="50"/>
        <v>0</v>
      </c>
    </row>
    <row r="55" spans="1:18" ht="16">
      <c r="A55" s="59"/>
      <c r="B55" s="60"/>
      <c r="C55" s="59"/>
      <c r="D55" s="59" t="s">
        <v>19</v>
      </c>
      <c r="E55" s="59">
        <f t="shared" ref="E55:F55" si="51">SUM(E45:E54)</f>
        <v>2677</v>
      </c>
      <c r="F55" s="59">
        <f t="shared" si="51"/>
        <v>354</v>
      </c>
      <c r="G55" s="61" t="e">
        <f>AVERAGE(G45:G54)</f>
        <v>#DIV/0!</v>
      </c>
      <c r="H55" s="59"/>
      <c r="I55" s="62"/>
      <c r="J55" s="59">
        <f t="shared" ref="J55:K55" si="52">SUM(J45:J54)</f>
        <v>0</v>
      </c>
      <c r="K55" s="59">
        <f t="shared" si="52"/>
        <v>354</v>
      </c>
      <c r="L55" s="61" t="e">
        <f>AVERAGE(L45:L54)</f>
        <v>#DIV/0!</v>
      </c>
      <c r="M55" s="64"/>
      <c r="N55" s="65">
        <f>SUM(N45:N54)</f>
        <v>6518410</v>
      </c>
      <c r="R55" s="76">
        <f t="shared" si="50"/>
        <v>0</v>
      </c>
    </row>
    <row r="56" spans="1:18" ht="16">
      <c r="A56" s="66">
        <v>45874</v>
      </c>
      <c r="B56" s="278" t="s">
        <v>18</v>
      </c>
      <c r="C56" s="134">
        <v>137966</v>
      </c>
      <c r="D56" s="39">
        <v>138721</v>
      </c>
      <c r="E56" s="36">
        <f t="shared" ref="E56:E63" si="53">D56-C56</f>
        <v>755</v>
      </c>
      <c r="F56" s="37">
        <v>53</v>
      </c>
      <c r="G56" s="13">
        <f t="shared" ref="G56:G63" si="54">(F56/E56)*100</f>
        <v>7.0198675496688745</v>
      </c>
      <c r="H56" s="135"/>
      <c r="I56" s="126"/>
      <c r="J56" s="39">
        <f t="shared" ref="J56:J63" si="55">I56-H56</f>
        <v>0</v>
      </c>
      <c r="K56" s="39">
        <f t="shared" ref="K56:K63" si="56">F56</f>
        <v>53</v>
      </c>
      <c r="L56" s="136" t="e">
        <f t="shared" ref="L56:L63" si="57">(K56/J56)*100</f>
        <v>#DIV/0!</v>
      </c>
      <c r="M56" s="68">
        <v>19060</v>
      </c>
      <c r="N56" s="42">
        <f t="shared" ref="N56:N63" si="58">F56*M56</f>
        <v>1010180</v>
      </c>
      <c r="R56" s="76">
        <f t="shared" si="50"/>
        <v>0</v>
      </c>
    </row>
    <row r="57" spans="1:18" ht="16">
      <c r="A57" s="138">
        <v>45878</v>
      </c>
      <c r="B57" s="140" t="s">
        <v>18</v>
      </c>
      <c r="C57" s="83">
        <v>138721</v>
      </c>
      <c r="D57" s="83">
        <v>139108</v>
      </c>
      <c r="E57" s="11">
        <f t="shared" si="53"/>
        <v>387</v>
      </c>
      <c r="F57" s="141">
        <v>46</v>
      </c>
      <c r="G57" s="13">
        <f t="shared" si="54"/>
        <v>11.886304909560723</v>
      </c>
      <c r="H57" s="83"/>
      <c r="I57" s="125"/>
      <c r="J57" s="83">
        <f t="shared" si="55"/>
        <v>0</v>
      </c>
      <c r="K57" s="83">
        <f t="shared" si="56"/>
        <v>46</v>
      </c>
      <c r="L57" s="136" t="e">
        <f t="shared" si="57"/>
        <v>#DIV/0!</v>
      </c>
      <c r="M57" s="116">
        <v>18800</v>
      </c>
      <c r="N57" s="121">
        <f t="shared" si="58"/>
        <v>864800</v>
      </c>
      <c r="R57" s="76">
        <f t="shared" si="50"/>
        <v>0</v>
      </c>
    </row>
    <row r="58" spans="1:18" ht="16">
      <c r="A58" s="138">
        <v>45882</v>
      </c>
      <c r="B58" s="140" t="s">
        <v>18</v>
      </c>
      <c r="C58" s="83">
        <v>139108</v>
      </c>
      <c r="D58" s="83">
        <v>139450</v>
      </c>
      <c r="E58" s="11">
        <f t="shared" si="53"/>
        <v>342</v>
      </c>
      <c r="F58" s="141">
        <v>44</v>
      </c>
      <c r="G58" s="13">
        <f t="shared" si="54"/>
        <v>12.865497076023392</v>
      </c>
      <c r="H58" s="83"/>
      <c r="I58" s="125"/>
      <c r="J58" s="83">
        <f t="shared" si="55"/>
        <v>0</v>
      </c>
      <c r="K58" s="83">
        <f t="shared" si="56"/>
        <v>44</v>
      </c>
      <c r="L58" s="136" t="e">
        <f t="shared" si="57"/>
        <v>#DIV/0!</v>
      </c>
      <c r="M58" s="116">
        <v>18800</v>
      </c>
      <c r="N58" s="121">
        <f t="shared" si="58"/>
        <v>827200</v>
      </c>
      <c r="R58" s="76">
        <f t="shared" si="50"/>
        <v>0</v>
      </c>
    </row>
    <row r="59" spans="1:18" ht="16">
      <c r="A59" s="138">
        <v>45885</v>
      </c>
      <c r="B59" s="140" t="s">
        <v>18</v>
      </c>
      <c r="C59" s="83">
        <v>139450</v>
      </c>
      <c r="D59" s="83">
        <v>139771</v>
      </c>
      <c r="E59" s="11">
        <f t="shared" si="53"/>
        <v>321</v>
      </c>
      <c r="F59" s="141">
        <v>42</v>
      </c>
      <c r="G59" s="13">
        <f t="shared" si="54"/>
        <v>13.084112149532709</v>
      </c>
      <c r="H59" s="83"/>
      <c r="I59" s="125"/>
      <c r="J59" s="83">
        <f t="shared" si="55"/>
        <v>0</v>
      </c>
      <c r="K59" s="83">
        <f t="shared" si="56"/>
        <v>42</v>
      </c>
      <c r="L59" s="136" t="e">
        <f t="shared" si="57"/>
        <v>#DIV/0!</v>
      </c>
      <c r="M59" s="116">
        <v>18070</v>
      </c>
      <c r="N59" s="121">
        <f t="shared" si="58"/>
        <v>758940</v>
      </c>
      <c r="R59" s="76">
        <f t="shared" si="50"/>
        <v>0</v>
      </c>
    </row>
    <row r="60" spans="1:18" ht="16">
      <c r="A60" s="138">
        <v>45888</v>
      </c>
      <c r="B60" s="140" t="s">
        <v>18</v>
      </c>
      <c r="C60" s="83">
        <v>139771</v>
      </c>
      <c r="D60" s="83">
        <v>140137</v>
      </c>
      <c r="E60" s="11">
        <f t="shared" si="53"/>
        <v>366</v>
      </c>
      <c r="F60" s="141">
        <v>45</v>
      </c>
      <c r="G60" s="13">
        <f t="shared" si="54"/>
        <v>12.295081967213115</v>
      </c>
      <c r="H60" s="83"/>
      <c r="I60" s="125"/>
      <c r="J60" s="83">
        <f t="shared" si="55"/>
        <v>0</v>
      </c>
      <c r="K60" s="83">
        <f t="shared" si="56"/>
        <v>45</v>
      </c>
      <c r="L60" s="136" t="e">
        <f t="shared" si="57"/>
        <v>#DIV/0!</v>
      </c>
      <c r="M60" s="116">
        <v>18070</v>
      </c>
      <c r="N60" s="121">
        <f t="shared" si="58"/>
        <v>813150</v>
      </c>
      <c r="R60" s="76">
        <f t="shared" si="50"/>
        <v>0</v>
      </c>
    </row>
    <row r="61" spans="1:18" ht="16">
      <c r="A61" s="138">
        <v>45892</v>
      </c>
      <c r="B61" s="140" t="s">
        <v>18</v>
      </c>
      <c r="C61" s="83">
        <v>140137</v>
      </c>
      <c r="D61" s="83">
        <v>140421</v>
      </c>
      <c r="E61" s="51">
        <f t="shared" si="53"/>
        <v>284</v>
      </c>
      <c r="F61" s="141">
        <v>40</v>
      </c>
      <c r="G61" s="13">
        <f t="shared" si="54"/>
        <v>14.084507042253522</v>
      </c>
      <c r="H61" s="83"/>
      <c r="I61" s="125"/>
      <c r="J61" s="83">
        <f t="shared" si="55"/>
        <v>0</v>
      </c>
      <c r="K61" s="83">
        <f t="shared" si="56"/>
        <v>40</v>
      </c>
      <c r="L61" s="136" t="e">
        <f t="shared" si="57"/>
        <v>#DIV/0!</v>
      </c>
      <c r="M61" s="116">
        <v>17900</v>
      </c>
      <c r="N61" s="121">
        <f t="shared" si="58"/>
        <v>716000</v>
      </c>
      <c r="R61" s="76">
        <f t="shared" si="50"/>
        <v>0</v>
      </c>
    </row>
    <row r="62" spans="1:18" ht="16">
      <c r="A62" s="279">
        <v>45897</v>
      </c>
      <c r="B62" s="140" t="s">
        <v>18</v>
      </c>
      <c r="C62" s="83">
        <v>140421</v>
      </c>
      <c r="D62" s="134">
        <v>140768</v>
      </c>
      <c r="E62" s="51">
        <f t="shared" si="53"/>
        <v>347</v>
      </c>
      <c r="F62" s="143">
        <v>47</v>
      </c>
      <c r="G62" s="13">
        <f t="shared" si="54"/>
        <v>13.544668587896252</v>
      </c>
      <c r="H62" s="134"/>
      <c r="I62" s="135"/>
      <c r="J62" s="83">
        <f t="shared" si="55"/>
        <v>0</v>
      </c>
      <c r="K62" s="83">
        <f t="shared" si="56"/>
        <v>47</v>
      </c>
      <c r="L62" s="136" t="e">
        <f t="shared" si="57"/>
        <v>#DIV/0!</v>
      </c>
      <c r="M62" s="116">
        <v>18350</v>
      </c>
      <c r="N62" s="121">
        <f t="shared" si="58"/>
        <v>862450</v>
      </c>
      <c r="R62" s="76">
        <f t="shared" si="50"/>
        <v>0</v>
      </c>
    </row>
    <row r="63" spans="1:18" ht="16">
      <c r="A63" s="280">
        <v>45900</v>
      </c>
      <c r="B63" s="281" t="s">
        <v>18</v>
      </c>
      <c r="C63" s="282"/>
      <c r="D63" s="134"/>
      <c r="E63" s="24">
        <f t="shared" si="53"/>
        <v>0</v>
      </c>
      <c r="F63" s="143">
        <v>42</v>
      </c>
      <c r="G63" s="54" t="e">
        <f t="shared" si="54"/>
        <v>#DIV/0!</v>
      </c>
      <c r="H63" s="134"/>
      <c r="I63" s="135"/>
      <c r="J63" s="134">
        <f t="shared" si="55"/>
        <v>0</v>
      </c>
      <c r="K63" s="134">
        <f t="shared" si="56"/>
        <v>42</v>
      </c>
      <c r="L63" s="136" t="e">
        <f t="shared" si="57"/>
        <v>#DIV/0!</v>
      </c>
      <c r="M63" s="137">
        <v>18350</v>
      </c>
      <c r="N63" s="123">
        <f t="shared" si="58"/>
        <v>770700</v>
      </c>
      <c r="R63" s="76">
        <f t="shared" si="50"/>
        <v>0</v>
      </c>
    </row>
    <row r="64" spans="1:18" ht="16">
      <c r="A64" s="59"/>
      <c r="B64" s="60"/>
      <c r="C64" s="59"/>
      <c r="D64" s="59" t="s">
        <v>19</v>
      </c>
      <c r="E64" s="59">
        <f t="shared" ref="E64:F64" si="59">SUM(E56:E63)</f>
        <v>2802</v>
      </c>
      <c r="F64" s="59">
        <f t="shared" si="59"/>
        <v>359</v>
      </c>
      <c r="G64" s="61" t="e">
        <f>AVERAGE(G56:G63)</f>
        <v>#DIV/0!</v>
      </c>
      <c r="H64" s="59"/>
      <c r="I64" s="62"/>
      <c r="J64" s="59">
        <f t="shared" ref="J64:K64" si="60">SUM(J56:J63)</f>
        <v>0</v>
      </c>
      <c r="K64" s="59">
        <f t="shared" si="60"/>
        <v>359</v>
      </c>
      <c r="L64" s="61" t="e">
        <f>AVERAGE(L56:L63)</f>
        <v>#DIV/0!</v>
      </c>
      <c r="M64" s="64"/>
      <c r="N64" s="65">
        <f>SUM(N56:N63)</f>
        <v>6623420</v>
      </c>
      <c r="R64" s="76">
        <f t="shared" si="50"/>
        <v>0</v>
      </c>
    </row>
    <row r="65" spans="1:18" ht="16">
      <c r="A65" s="66">
        <v>45871</v>
      </c>
      <c r="B65" s="269" t="s">
        <v>20</v>
      </c>
      <c r="C65" s="83">
        <v>383938</v>
      </c>
      <c r="D65" s="39">
        <v>384681</v>
      </c>
      <c r="E65" s="36">
        <f t="shared" ref="E65:E71" si="61">D65-C65</f>
        <v>743</v>
      </c>
      <c r="F65" s="37">
        <v>92</v>
      </c>
      <c r="G65" s="13">
        <f t="shared" ref="G65:G71" si="62">(F65/E65)*100</f>
        <v>12.382234185733513</v>
      </c>
      <c r="H65" s="125"/>
      <c r="I65" s="126">
        <v>18582</v>
      </c>
      <c r="J65" s="39">
        <f t="shared" ref="J65:J71" si="63">I65-H65</f>
        <v>18582</v>
      </c>
      <c r="K65" s="39">
        <f t="shared" ref="K65:K71" si="64">F65</f>
        <v>92</v>
      </c>
      <c r="L65" s="136">
        <f t="shared" ref="L65:L71" si="65">(K65/J65)*100</f>
        <v>0.49510278764395654</v>
      </c>
      <c r="M65" s="68">
        <v>19060</v>
      </c>
      <c r="N65" s="42">
        <f t="shared" ref="N65:N71" si="66">F65*M65</f>
        <v>1753520</v>
      </c>
      <c r="R65" s="76">
        <f t="shared" si="50"/>
        <v>0</v>
      </c>
    </row>
    <row r="66" spans="1:18" ht="16">
      <c r="A66" s="138">
        <v>45878</v>
      </c>
      <c r="B66" s="140" t="s">
        <v>20</v>
      </c>
      <c r="C66" s="83">
        <v>384681</v>
      </c>
      <c r="D66" s="83">
        <v>385273</v>
      </c>
      <c r="E66" s="11">
        <f t="shared" si="61"/>
        <v>592</v>
      </c>
      <c r="F66" s="141">
        <v>70</v>
      </c>
      <c r="G66" s="13">
        <f t="shared" si="62"/>
        <v>11.824324324324325</v>
      </c>
      <c r="H66" s="83"/>
      <c r="I66" s="125"/>
      <c r="J66" s="83">
        <f t="shared" si="63"/>
        <v>0</v>
      </c>
      <c r="K66" s="39">
        <f t="shared" si="64"/>
        <v>70</v>
      </c>
      <c r="L66" s="136" t="e">
        <f t="shared" si="65"/>
        <v>#DIV/0!</v>
      </c>
      <c r="M66" s="116">
        <v>18800</v>
      </c>
      <c r="N66" s="121">
        <f t="shared" si="66"/>
        <v>1316000</v>
      </c>
      <c r="R66" s="76">
        <f t="shared" si="50"/>
        <v>0</v>
      </c>
    </row>
    <row r="67" spans="1:18" ht="16">
      <c r="A67" s="138">
        <v>45886</v>
      </c>
      <c r="B67" s="140" t="s">
        <v>20</v>
      </c>
      <c r="C67" s="83">
        <v>385273</v>
      </c>
      <c r="D67" s="83">
        <v>386020</v>
      </c>
      <c r="E67" s="11">
        <f t="shared" si="61"/>
        <v>747</v>
      </c>
      <c r="F67" s="141">
        <v>88</v>
      </c>
      <c r="G67" s="13">
        <f t="shared" si="62"/>
        <v>11.780455153949129</v>
      </c>
      <c r="H67" s="83"/>
      <c r="I67" s="125"/>
      <c r="J67" s="83">
        <f t="shared" si="63"/>
        <v>0</v>
      </c>
      <c r="K67" s="240">
        <f t="shared" si="64"/>
        <v>88</v>
      </c>
      <c r="L67" s="136" t="e">
        <f t="shared" si="65"/>
        <v>#DIV/0!</v>
      </c>
      <c r="M67" s="116">
        <v>18070</v>
      </c>
      <c r="N67" s="121">
        <f t="shared" si="66"/>
        <v>1590160</v>
      </c>
      <c r="R67" s="76">
        <f t="shared" si="50"/>
        <v>0</v>
      </c>
    </row>
    <row r="68" spans="1:18" ht="16">
      <c r="A68" s="138">
        <v>45892</v>
      </c>
      <c r="B68" s="140" t="s">
        <v>20</v>
      </c>
      <c r="C68" s="83">
        <v>386020</v>
      </c>
      <c r="D68" s="83">
        <v>386579</v>
      </c>
      <c r="E68" s="11">
        <f t="shared" si="61"/>
        <v>559</v>
      </c>
      <c r="F68" s="141">
        <v>69</v>
      </c>
      <c r="G68" s="13">
        <f t="shared" si="62"/>
        <v>12.343470483005367</v>
      </c>
      <c r="H68" s="83"/>
      <c r="I68" s="125"/>
      <c r="J68" s="83">
        <f t="shared" si="63"/>
        <v>0</v>
      </c>
      <c r="K68" s="83">
        <f t="shared" si="64"/>
        <v>69</v>
      </c>
      <c r="L68" s="136" t="e">
        <f t="shared" si="65"/>
        <v>#DIV/0!</v>
      </c>
      <c r="M68" s="116">
        <v>17900</v>
      </c>
      <c r="N68" s="121">
        <f t="shared" si="66"/>
        <v>1235100</v>
      </c>
      <c r="R68" s="76">
        <f t="shared" si="50"/>
        <v>0</v>
      </c>
    </row>
    <row r="69" spans="1:18" ht="16">
      <c r="A69" s="138"/>
      <c r="B69" s="140" t="s">
        <v>20</v>
      </c>
      <c r="C69" s="83"/>
      <c r="D69" s="83"/>
      <c r="E69" s="11">
        <f t="shared" si="61"/>
        <v>0</v>
      </c>
      <c r="F69" s="141"/>
      <c r="G69" s="13" t="e">
        <f t="shared" si="62"/>
        <v>#DIV/0!</v>
      </c>
      <c r="H69" s="83"/>
      <c r="I69" s="125"/>
      <c r="J69" s="83">
        <f t="shared" si="63"/>
        <v>0</v>
      </c>
      <c r="K69" s="83">
        <f t="shared" si="64"/>
        <v>0</v>
      </c>
      <c r="L69" s="136" t="e">
        <f t="shared" si="65"/>
        <v>#DIV/0!</v>
      </c>
      <c r="M69" s="116"/>
      <c r="N69" s="121">
        <f t="shared" si="66"/>
        <v>0</v>
      </c>
      <c r="R69" s="76">
        <f t="shared" si="50"/>
        <v>0</v>
      </c>
    </row>
    <row r="70" spans="1:18" ht="16">
      <c r="A70" s="244"/>
      <c r="B70" s="90" t="s">
        <v>20</v>
      </c>
      <c r="C70" s="83"/>
      <c r="D70" s="83"/>
      <c r="E70" s="11">
        <f t="shared" si="61"/>
        <v>0</v>
      </c>
      <c r="F70" s="141"/>
      <c r="G70" s="13" t="e">
        <f t="shared" si="62"/>
        <v>#DIV/0!</v>
      </c>
      <c r="H70" s="83"/>
      <c r="I70" s="125"/>
      <c r="J70" s="83">
        <f t="shared" si="63"/>
        <v>0</v>
      </c>
      <c r="K70" s="83">
        <f t="shared" si="64"/>
        <v>0</v>
      </c>
      <c r="L70" s="136" t="e">
        <f t="shared" si="65"/>
        <v>#DIV/0!</v>
      </c>
      <c r="M70" s="116"/>
      <c r="N70" s="121">
        <f t="shared" si="66"/>
        <v>0</v>
      </c>
      <c r="R70" s="76">
        <f t="shared" si="50"/>
        <v>0</v>
      </c>
    </row>
    <row r="71" spans="1:18" ht="16">
      <c r="A71" s="271"/>
      <c r="B71" s="283"/>
      <c r="C71" s="134"/>
      <c r="D71" s="134"/>
      <c r="E71" s="24">
        <f t="shared" si="61"/>
        <v>0</v>
      </c>
      <c r="F71" s="143"/>
      <c r="G71" s="54" t="e">
        <f t="shared" si="62"/>
        <v>#DIV/0!</v>
      </c>
      <c r="H71" s="134"/>
      <c r="I71" s="135"/>
      <c r="J71" s="134">
        <f t="shared" si="63"/>
        <v>0</v>
      </c>
      <c r="K71" s="134">
        <f t="shared" si="64"/>
        <v>0</v>
      </c>
      <c r="L71" s="136" t="e">
        <f t="shared" si="65"/>
        <v>#DIV/0!</v>
      </c>
      <c r="M71" s="137"/>
      <c r="N71" s="123">
        <f t="shared" si="66"/>
        <v>0</v>
      </c>
      <c r="R71" s="76">
        <f t="shared" si="50"/>
        <v>0</v>
      </c>
    </row>
    <row r="72" spans="1:18" ht="16">
      <c r="A72" s="59"/>
      <c r="B72" s="60"/>
      <c r="C72" s="59"/>
      <c r="D72" s="59" t="s">
        <v>19</v>
      </c>
      <c r="E72" s="59">
        <f t="shared" ref="E72:F72" si="67">SUM(E65:E71)</f>
        <v>2641</v>
      </c>
      <c r="F72" s="59">
        <f t="shared" si="67"/>
        <v>319</v>
      </c>
      <c r="G72" s="61" t="e">
        <f>AVERAGE(G65:G71)</f>
        <v>#DIV/0!</v>
      </c>
      <c r="H72" s="59"/>
      <c r="I72" s="62"/>
      <c r="J72" s="59">
        <f t="shared" ref="J72:K72" si="68">SUM(J65:J71)</f>
        <v>18582</v>
      </c>
      <c r="K72" s="59">
        <f t="shared" si="68"/>
        <v>319</v>
      </c>
      <c r="L72" s="61" t="e">
        <f>AVERAGE(L65:L71)</f>
        <v>#DIV/0!</v>
      </c>
      <c r="M72" s="64"/>
      <c r="N72" s="65">
        <f>SUM(N65:N71)</f>
        <v>5894780</v>
      </c>
      <c r="R72" s="76">
        <f t="shared" si="50"/>
        <v>0</v>
      </c>
    </row>
    <row r="73" spans="1:18" ht="16">
      <c r="A73" s="85">
        <v>45874</v>
      </c>
      <c r="B73" s="269" t="s">
        <v>21</v>
      </c>
      <c r="C73" s="83">
        <v>366021</v>
      </c>
      <c r="D73" s="39">
        <v>366604</v>
      </c>
      <c r="E73" s="36">
        <f t="shared" ref="E73:E79" si="69">D73-C73</f>
        <v>583</v>
      </c>
      <c r="F73" s="37">
        <v>75</v>
      </c>
      <c r="G73" s="13">
        <f t="shared" ref="G73:G79" si="70">(F73/E73)*100</f>
        <v>12.864493996569468</v>
      </c>
      <c r="H73" s="125"/>
      <c r="I73" s="125"/>
      <c r="J73" s="39">
        <f t="shared" ref="J73:J79" si="71">I73-H73</f>
        <v>0</v>
      </c>
      <c r="K73" s="83">
        <f t="shared" ref="K73:K79" si="72">F73</f>
        <v>75</v>
      </c>
      <c r="L73" s="136" t="e">
        <f t="shared" ref="L73:L79" si="73">(K73/J73)*100</f>
        <v>#DIV/0!</v>
      </c>
      <c r="M73" s="68">
        <v>19060</v>
      </c>
      <c r="N73" s="42">
        <f t="shared" ref="N73:N79" si="74">F73*M73</f>
        <v>1429500</v>
      </c>
      <c r="R73" s="76">
        <f t="shared" si="50"/>
        <v>0</v>
      </c>
    </row>
    <row r="74" spans="1:18" ht="16">
      <c r="A74" s="138">
        <v>45880</v>
      </c>
      <c r="B74" s="140" t="s">
        <v>21</v>
      </c>
      <c r="C74" s="39">
        <v>366604</v>
      </c>
      <c r="D74" s="83">
        <v>367187</v>
      </c>
      <c r="E74" s="11">
        <f t="shared" si="69"/>
        <v>583</v>
      </c>
      <c r="F74" s="141">
        <v>75</v>
      </c>
      <c r="G74" s="13">
        <f t="shared" si="70"/>
        <v>12.864493996569468</v>
      </c>
      <c r="H74" s="83"/>
      <c r="I74" s="125"/>
      <c r="J74" s="83">
        <f t="shared" si="71"/>
        <v>0</v>
      </c>
      <c r="K74" s="83">
        <f t="shared" si="72"/>
        <v>75</v>
      </c>
      <c r="L74" s="136" t="e">
        <f t="shared" si="73"/>
        <v>#DIV/0!</v>
      </c>
      <c r="M74" s="116">
        <v>18800</v>
      </c>
      <c r="N74" s="121">
        <f t="shared" si="74"/>
        <v>1410000</v>
      </c>
      <c r="R74" s="76">
        <f t="shared" si="50"/>
        <v>0</v>
      </c>
    </row>
    <row r="75" spans="1:18" ht="16">
      <c r="A75" s="138">
        <v>45884</v>
      </c>
      <c r="B75" s="140" t="s">
        <v>21</v>
      </c>
      <c r="C75" s="83">
        <v>367187</v>
      </c>
      <c r="D75" s="83">
        <v>367751</v>
      </c>
      <c r="E75" s="11">
        <f t="shared" si="69"/>
        <v>564</v>
      </c>
      <c r="F75" s="141">
        <v>74.915000000000006</v>
      </c>
      <c r="G75" s="13">
        <f t="shared" si="70"/>
        <v>13.282801418439719</v>
      </c>
      <c r="H75" s="83"/>
      <c r="I75" s="125"/>
      <c r="J75" s="83">
        <f t="shared" si="71"/>
        <v>0</v>
      </c>
      <c r="K75" s="83">
        <f t="shared" si="72"/>
        <v>74.915000000000006</v>
      </c>
      <c r="L75" s="136" t="e">
        <f t="shared" si="73"/>
        <v>#DIV/0!</v>
      </c>
      <c r="M75" s="116">
        <v>18070</v>
      </c>
      <c r="N75" s="121">
        <f t="shared" si="74"/>
        <v>1353714.05</v>
      </c>
      <c r="R75" s="76">
        <f t="shared" si="50"/>
        <v>0</v>
      </c>
    </row>
    <row r="76" spans="1:18" ht="16">
      <c r="A76" s="284">
        <v>45894</v>
      </c>
      <c r="B76" s="140" t="s">
        <v>21</v>
      </c>
      <c r="C76" s="83">
        <v>367751</v>
      </c>
      <c r="D76" s="83">
        <v>368349</v>
      </c>
      <c r="E76" s="11">
        <f t="shared" si="69"/>
        <v>598</v>
      </c>
      <c r="F76" s="141">
        <v>75</v>
      </c>
      <c r="G76" s="13">
        <f t="shared" si="70"/>
        <v>12.54180602006689</v>
      </c>
      <c r="H76" s="83"/>
      <c r="I76" s="125"/>
      <c r="J76" s="83">
        <f t="shared" si="71"/>
        <v>0</v>
      </c>
      <c r="K76" s="83">
        <f t="shared" si="72"/>
        <v>75</v>
      </c>
      <c r="L76" s="136" t="e">
        <f t="shared" si="73"/>
        <v>#DIV/0!</v>
      </c>
      <c r="M76" s="116">
        <v>17900</v>
      </c>
      <c r="N76" s="121">
        <f t="shared" si="74"/>
        <v>1342500</v>
      </c>
      <c r="R76" s="76">
        <f t="shared" si="50"/>
        <v>0</v>
      </c>
    </row>
    <row r="77" spans="1:18" ht="16">
      <c r="A77" s="138"/>
      <c r="B77" s="140" t="s">
        <v>21</v>
      </c>
      <c r="C77" s="83"/>
      <c r="D77" s="83"/>
      <c r="E77" s="11">
        <f t="shared" si="69"/>
        <v>0</v>
      </c>
      <c r="F77" s="141"/>
      <c r="G77" s="13" t="e">
        <f t="shared" si="70"/>
        <v>#DIV/0!</v>
      </c>
      <c r="H77" s="83"/>
      <c r="I77" s="125"/>
      <c r="J77" s="83">
        <f t="shared" si="71"/>
        <v>0</v>
      </c>
      <c r="K77" s="83">
        <f t="shared" si="72"/>
        <v>0</v>
      </c>
      <c r="L77" s="136" t="e">
        <f t="shared" si="73"/>
        <v>#DIV/0!</v>
      </c>
      <c r="M77" s="116"/>
      <c r="N77" s="121">
        <f t="shared" si="74"/>
        <v>0</v>
      </c>
      <c r="R77" s="76">
        <f t="shared" si="50"/>
        <v>0</v>
      </c>
    </row>
    <row r="78" spans="1:18" ht="16">
      <c r="A78" s="139"/>
      <c r="B78" s="90" t="s">
        <v>37</v>
      </c>
      <c r="C78" s="83"/>
      <c r="D78" s="83"/>
      <c r="E78" s="11">
        <f t="shared" si="69"/>
        <v>0</v>
      </c>
      <c r="F78" s="141"/>
      <c r="G78" s="13" t="e">
        <f t="shared" si="70"/>
        <v>#DIV/0!</v>
      </c>
      <c r="H78" s="83"/>
      <c r="I78" s="125"/>
      <c r="J78" s="83">
        <f t="shared" si="71"/>
        <v>0</v>
      </c>
      <c r="K78" s="83">
        <f t="shared" si="72"/>
        <v>0</v>
      </c>
      <c r="L78" s="136" t="e">
        <f t="shared" si="73"/>
        <v>#DIV/0!</v>
      </c>
      <c r="M78" s="116"/>
      <c r="N78" s="121">
        <f t="shared" si="74"/>
        <v>0</v>
      </c>
      <c r="R78" s="76">
        <f t="shared" si="50"/>
        <v>0</v>
      </c>
    </row>
    <row r="79" spans="1:18" ht="16">
      <c r="A79" s="271"/>
      <c r="B79" s="283"/>
      <c r="C79" s="134"/>
      <c r="D79" s="134"/>
      <c r="E79" s="24">
        <f t="shared" si="69"/>
        <v>0</v>
      </c>
      <c r="F79" s="143"/>
      <c r="G79" s="54" t="e">
        <f t="shared" si="70"/>
        <v>#DIV/0!</v>
      </c>
      <c r="H79" s="134"/>
      <c r="I79" s="135"/>
      <c r="J79" s="134">
        <f t="shared" si="71"/>
        <v>0</v>
      </c>
      <c r="K79" s="134">
        <f t="shared" si="72"/>
        <v>0</v>
      </c>
      <c r="L79" s="136" t="e">
        <f t="shared" si="73"/>
        <v>#DIV/0!</v>
      </c>
      <c r="M79" s="137"/>
      <c r="N79" s="123">
        <f t="shared" si="74"/>
        <v>0</v>
      </c>
      <c r="R79" s="76">
        <f t="shared" si="50"/>
        <v>0</v>
      </c>
    </row>
    <row r="80" spans="1:18" ht="16">
      <c r="A80" s="59"/>
      <c r="B80" s="60"/>
      <c r="C80" s="59"/>
      <c r="D80" s="59" t="s">
        <v>19</v>
      </c>
      <c r="E80" s="59">
        <f t="shared" ref="E80:F80" si="75">SUM(E73:E79)</f>
        <v>2328</v>
      </c>
      <c r="F80" s="59">
        <f t="shared" si="75"/>
        <v>299.91500000000002</v>
      </c>
      <c r="G80" s="61" t="e">
        <f>AVERAGE(G73:G79)</f>
        <v>#DIV/0!</v>
      </c>
      <c r="H80" s="59"/>
      <c r="I80" s="62"/>
      <c r="J80" s="59">
        <f t="shared" ref="J80:K80" si="76">SUM(J73:J79)</f>
        <v>0</v>
      </c>
      <c r="K80" s="59">
        <f t="shared" si="76"/>
        <v>299.91500000000002</v>
      </c>
      <c r="L80" s="61" t="e">
        <f>AVERAGE(L73:L79)</f>
        <v>#DIV/0!</v>
      </c>
      <c r="M80" s="64"/>
      <c r="N80" s="65">
        <f>SUM(N73:N79)</f>
        <v>5535714.0499999998</v>
      </c>
      <c r="R80" s="76">
        <f t="shared" si="50"/>
        <v>0</v>
      </c>
    </row>
    <row r="81" spans="1:18" ht="16">
      <c r="A81" s="66">
        <v>45870</v>
      </c>
      <c r="B81" s="278" t="s">
        <v>22</v>
      </c>
      <c r="C81" s="83">
        <v>202122</v>
      </c>
      <c r="D81" s="39">
        <v>202770</v>
      </c>
      <c r="E81" s="36">
        <f t="shared" ref="E81:E87" si="77">D81-C81</f>
        <v>648</v>
      </c>
      <c r="F81" s="37">
        <v>79</v>
      </c>
      <c r="G81" s="13">
        <f t="shared" ref="G81:G87" si="78">(F81/E81)*100</f>
        <v>12.191358024691358</v>
      </c>
      <c r="H81" s="135"/>
      <c r="I81" s="126"/>
      <c r="J81" s="39">
        <f t="shared" ref="J81:J87" si="79">I81-H81</f>
        <v>0</v>
      </c>
      <c r="K81" s="39">
        <f t="shared" ref="K81:K87" si="80">F81</f>
        <v>79</v>
      </c>
      <c r="L81" s="136" t="e">
        <f t="shared" ref="L81:L87" si="81">(K81/J81)*100</f>
        <v>#DIV/0!</v>
      </c>
      <c r="M81" s="68">
        <v>19060</v>
      </c>
      <c r="N81" s="42">
        <f t="shared" ref="N81:N87" si="82">F81*M81</f>
        <v>1505740</v>
      </c>
      <c r="R81" s="76">
        <f t="shared" si="50"/>
        <v>0</v>
      </c>
    </row>
    <row r="82" spans="1:18" ht="16">
      <c r="A82" s="138"/>
      <c r="B82" s="140" t="s">
        <v>22</v>
      </c>
      <c r="C82" s="83"/>
      <c r="D82" s="83"/>
      <c r="E82" s="11">
        <f t="shared" si="77"/>
        <v>0</v>
      </c>
      <c r="F82" s="141"/>
      <c r="G82" s="13" t="e">
        <f t="shared" si="78"/>
        <v>#DIV/0!</v>
      </c>
      <c r="H82" s="126"/>
      <c r="I82" s="126"/>
      <c r="J82" s="83">
        <f t="shared" si="79"/>
        <v>0</v>
      </c>
      <c r="K82" s="83">
        <f t="shared" si="80"/>
        <v>0</v>
      </c>
      <c r="L82" s="136" t="e">
        <f t="shared" si="81"/>
        <v>#DIV/0!</v>
      </c>
      <c r="M82" s="116"/>
      <c r="N82" s="121">
        <f t="shared" si="82"/>
        <v>0</v>
      </c>
      <c r="R82" s="76">
        <f t="shared" si="50"/>
        <v>0</v>
      </c>
    </row>
    <row r="83" spans="1:18" ht="16">
      <c r="A83" s="139"/>
      <c r="B83" s="140" t="s">
        <v>22</v>
      </c>
      <c r="C83" s="83"/>
      <c r="D83" s="83"/>
      <c r="E83" s="11">
        <f t="shared" si="77"/>
        <v>0</v>
      </c>
      <c r="F83" s="141"/>
      <c r="G83" s="13" t="e">
        <f t="shared" si="78"/>
        <v>#DIV/0!</v>
      </c>
      <c r="H83" s="83"/>
      <c r="I83" s="125"/>
      <c r="J83" s="83">
        <f t="shared" si="79"/>
        <v>0</v>
      </c>
      <c r="K83" s="83">
        <f t="shared" si="80"/>
        <v>0</v>
      </c>
      <c r="L83" s="136" t="e">
        <f t="shared" si="81"/>
        <v>#DIV/0!</v>
      </c>
      <c r="M83" s="116"/>
      <c r="N83" s="121">
        <f t="shared" si="82"/>
        <v>0</v>
      </c>
      <c r="R83" s="76">
        <f t="shared" si="50"/>
        <v>0</v>
      </c>
    </row>
    <row r="84" spans="1:18" ht="16">
      <c r="A84" s="138"/>
      <c r="B84" s="140" t="s">
        <v>22</v>
      </c>
      <c r="C84" s="83"/>
      <c r="D84" s="83"/>
      <c r="E84" s="11">
        <f t="shared" si="77"/>
        <v>0</v>
      </c>
      <c r="F84" s="141"/>
      <c r="G84" s="13" t="e">
        <f t="shared" si="78"/>
        <v>#DIV/0!</v>
      </c>
      <c r="H84" s="83"/>
      <c r="I84" s="125"/>
      <c r="J84" s="83">
        <f t="shared" si="79"/>
        <v>0</v>
      </c>
      <c r="K84" s="83">
        <f t="shared" si="80"/>
        <v>0</v>
      </c>
      <c r="L84" s="136" t="e">
        <f t="shared" si="81"/>
        <v>#DIV/0!</v>
      </c>
      <c r="M84" s="116"/>
      <c r="N84" s="121">
        <f t="shared" si="82"/>
        <v>0</v>
      </c>
      <c r="R84" s="76">
        <f t="shared" si="50"/>
        <v>0</v>
      </c>
    </row>
    <row r="85" spans="1:18" ht="16">
      <c r="A85" s="138"/>
      <c r="B85" s="140" t="s">
        <v>22</v>
      </c>
      <c r="C85" s="83"/>
      <c r="D85" s="83"/>
      <c r="E85" s="11">
        <f t="shared" si="77"/>
        <v>0</v>
      </c>
      <c r="F85" s="141"/>
      <c r="G85" s="13" t="e">
        <f t="shared" si="78"/>
        <v>#DIV/0!</v>
      </c>
      <c r="H85" s="83"/>
      <c r="I85" s="125"/>
      <c r="J85" s="83">
        <f t="shared" si="79"/>
        <v>0</v>
      </c>
      <c r="K85" s="83">
        <f t="shared" si="80"/>
        <v>0</v>
      </c>
      <c r="L85" s="136" t="e">
        <f t="shared" si="81"/>
        <v>#DIV/0!</v>
      </c>
      <c r="M85" s="116"/>
      <c r="N85" s="121">
        <f t="shared" si="82"/>
        <v>0</v>
      </c>
      <c r="R85" s="76">
        <f t="shared" si="50"/>
        <v>0</v>
      </c>
    </row>
    <row r="86" spans="1:18" ht="16">
      <c r="A86" s="133"/>
      <c r="B86" s="140" t="s">
        <v>22</v>
      </c>
      <c r="C86" s="83"/>
      <c r="D86" s="83"/>
      <c r="E86" s="11">
        <f t="shared" si="77"/>
        <v>0</v>
      </c>
      <c r="F86" s="141"/>
      <c r="G86" s="13" t="e">
        <f t="shared" si="78"/>
        <v>#DIV/0!</v>
      </c>
      <c r="H86" s="83"/>
      <c r="I86" s="125"/>
      <c r="J86" s="83">
        <f t="shared" si="79"/>
        <v>0</v>
      </c>
      <c r="K86" s="83">
        <f t="shared" si="80"/>
        <v>0</v>
      </c>
      <c r="L86" s="136" t="e">
        <f t="shared" si="81"/>
        <v>#DIV/0!</v>
      </c>
      <c r="M86" s="116"/>
      <c r="N86" s="121">
        <f t="shared" si="82"/>
        <v>0</v>
      </c>
      <c r="R86" s="76">
        <f t="shared" si="50"/>
        <v>0</v>
      </c>
    </row>
    <row r="87" spans="1:18" ht="16">
      <c r="A87" s="133"/>
      <c r="B87" s="272"/>
      <c r="C87" s="134"/>
      <c r="D87" s="134"/>
      <c r="E87" s="24">
        <f t="shared" si="77"/>
        <v>0</v>
      </c>
      <c r="F87" s="143"/>
      <c r="G87" s="54" t="e">
        <f t="shared" si="78"/>
        <v>#DIV/0!</v>
      </c>
      <c r="H87" s="134"/>
      <c r="I87" s="135"/>
      <c r="J87" s="134">
        <f t="shared" si="79"/>
        <v>0</v>
      </c>
      <c r="K87" s="134">
        <f t="shared" si="80"/>
        <v>0</v>
      </c>
      <c r="L87" s="136" t="e">
        <f t="shared" si="81"/>
        <v>#DIV/0!</v>
      </c>
      <c r="M87" s="137"/>
      <c r="N87" s="123">
        <f t="shared" si="82"/>
        <v>0</v>
      </c>
      <c r="R87" s="76">
        <f t="shared" si="50"/>
        <v>0</v>
      </c>
    </row>
    <row r="88" spans="1:18" ht="16">
      <c r="A88" s="59"/>
      <c r="B88" s="60"/>
      <c r="C88" s="59"/>
      <c r="D88" s="59" t="s">
        <v>19</v>
      </c>
      <c r="E88" s="59">
        <f t="shared" ref="E88:F88" si="83">SUM(E81:E87)</f>
        <v>648</v>
      </c>
      <c r="F88" s="59">
        <f t="shared" si="83"/>
        <v>79</v>
      </c>
      <c r="G88" s="61" t="e">
        <f>AVERAGE(G81:G87)</f>
        <v>#DIV/0!</v>
      </c>
      <c r="H88" s="59"/>
      <c r="I88" s="62"/>
      <c r="J88" s="59">
        <f t="shared" ref="J88:K88" si="84">SUM(J81:J87)</f>
        <v>0</v>
      </c>
      <c r="K88" s="59">
        <f t="shared" si="84"/>
        <v>79</v>
      </c>
      <c r="L88" s="61" t="e">
        <f>AVERAGE(L81:L87)</f>
        <v>#DIV/0!</v>
      </c>
      <c r="M88" s="64"/>
      <c r="N88" s="65">
        <f>SUM(N81:N87)</f>
        <v>1505740</v>
      </c>
      <c r="R88" s="76">
        <f t="shared" si="50"/>
        <v>0</v>
      </c>
    </row>
    <row r="89" spans="1:18" ht="16">
      <c r="A89" s="89">
        <v>45873</v>
      </c>
      <c r="B89" s="140" t="s">
        <v>38</v>
      </c>
      <c r="C89" s="248">
        <v>155845</v>
      </c>
      <c r="D89" s="39">
        <v>156407</v>
      </c>
      <c r="E89" s="36">
        <f t="shared" ref="E89:E94" si="85">D89-C89</f>
        <v>562</v>
      </c>
      <c r="F89" s="37">
        <v>70</v>
      </c>
      <c r="G89" s="13">
        <f t="shared" ref="G89:G94" si="86">(F89/E89)*100</f>
        <v>12.455516014234876</v>
      </c>
      <c r="H89" s="125"/>
      <c r="I89" s="126"/>
      <c r="J89" s="39">
        <f t="shared" ref="J89:J94" si="87">I89-H89</f>
        <v>0</v>
      </c>
      <c r="K89" s="39">
        <f t="shared" ref="K89:K94" si="88">F89</f>
        <v>70</v>
      </c>
      <c r="L89" s="136" t="e">
        <f t="shared" ref="L89:L94" si="89">(K89/J89)*100</f>
        <v>#DIV/0!</v>
      </c>
      <c r="M89" s="68">
        <v>19060</v>
      </c>
      <c r="N89" s="42">
        <f t="shared" ref="N89:N94" si="90">F89*M89</f>
        <v>1334200</v>
      </c>
      <c r="R89" s="76">
        <f t="shared" si="50"/>
        <v>0</v>
      </c>
    </row>
    <row r="90" spans="1:18" ht="16">
      <c r="A90" s="139">
        <v>45877</v>
      </c>
      <c r="B90" s="140" t="s">
        <v>38</v>
      </c>
      <c r="C90" s="83">
        <v>156407</v>
      </c>
      <c r="D90" s="83">
        <v>156870</v>
      </c>
      <c r="E90" s="36">
        <f t="shared" si="85"/>
        <v>463</v>
      </c>
      <c r="F90" s="141">
        <v>60</v>
      </c>
      <c r="G90" s="13">
        <f t="shared" si="86"/>
        <v>12.958963282937367</v>
      </c>
      <c r="H90" s="83"/>
      <c r="I90" s="125"/>
      <c r="J90" s="83">
        <f t="shared" si="87"/>
        <v>0</v>
      </c>
      <c r="K90" s="83">
        <f t="shared" si="88"/>
        <v>60</v>
      </c>
      <c r="L90" s="136" t="e">
        <f t="shared" si="89"/>
        <v>#DIV/0!</v>
      </c>
      <c r="M90" s="48">
        <v>18800</v>
      </c>
      <c r="N90" s="47">
        <f t="shared" si="90"/>
        <v>1128000</v>
      </c>
      <c r="R90" s="76">
        <f t="shared" si="50"/>
        <v>0</v>
      </c>
    </row>
    <row r="91" spans="1:18" ht="16">
      <c r="A91" s="139">
        <v>45884</v>
      </c>
      <c r="B91" s="272" t="s">
        <v>38</v>
      </c>
      <c r="C91" s="83">
        <v>156870</v>
      </c>
      <c r="D91" s="83">
        <v>157057</v>
      </c>
      <c r="E91" s="36">
        <f t="shared" si="85"/>
        <v>187</v>
      </c>
      <c r="F91" s="141">
        <v>77</v>
      </c>
      <c r="G91" s="13">
        <f t="shared" si="86"/>
        <v>41.17647058823529</v>
      </c>
      <c r="H91" s="83"/>
      <c r="I91" s="125"/>
      <c r="J91" s="83">
        <f t="shared" si="87"/>
        <v>0</v>
      </c>
      <c r="K91" s="83">
        <f t="shared" si="88"/>
        <v>77</v>
      </c>
      <c r="L91" s="136" t="e">
        <f t="shared" si="89"/>
        <v>#DIV/0!</v>
      </c>
      <c r="M91" s="48">
        <v>18070</v>
      </c>
      <c r="N91" s="47">
        <f t="shared" si="90"/>
        <v>1391390</v>
      </c>
      <c r="R91" s="76">
        <f t="shared" si="50"/>
        <v>0</v>
      </c>
    </row>
    <row r="92" spans="1:18" ht="16">
      <c r="A92" s="7">
        <v>45890</v>
      </c>
      <c r="B92" s="140" t="s">
        <v>38</v>
      </c>
      <c r="C92" s="83">
        <v>157057</v>
      </c>
      <c r="D92" s="95">
        <v>158086</v>
      </c>
      <c r="E92" s="36">
        <f t="shared" si="85"/>
        <v>1029</v>
      </c>
      <c r="F92" s="141">
        <v>68</v>
      </c>
      <c r="G92" s="13">
        <f t="shared" si="86"/>
        <v>6.6083576287657912</v>
      </c>
      <c r="H92" s="83"/>
      <c r="I92" s="125"/>
      <c r="J92" s="83">
        <f t="shared" si="87"/>
        <v>0</v>
      </c>
      <c r="K92" s="83">
        <f t="shared" si="88"/>
        <v>68</v>
      </c>
      <c r="L92" s="136" t="e">
        <f t="shared" si="89"/>
        <v>#DIV/0!</v>
      </c>
      <c r="M92" s="48">
        <v>18070</v>
      </c>
      <c r="N92" s="47">
        <f t="shared" si="90"/>
        <v>1228760</v>
      </c>
      <c r="R92" s="76">
        <f t="shared" si="50"/>
        <v>0</v>
      </c>
    </row>
    <row r="93" spans="1:18" ht="16">
      <c r="A93" s="7">
        <v>45896</v>
      </c>
      <c r="B93" s="272" t="s">
        <v>38</v>
      </c>
      <c r="C93" s="95">
        <v>158086</v>
      </c>
      <c r="D93" s="76">
        <v>158665</v>
      </c>
      <c r="E93" s="36">
        <f t="shared" si="85"/>
        <v>579</v>
      </c>
      <c r="F93" s="141">
        <v>75</v>
      </c>
      <c r="G93" s="13">
        <f t="shared" si="86"/>
        <v>12.953367875647666</v>
      </c>
      <c r="H93" s="83"/>
      <c r="I93" s="125"/>
      <c r="J93" s="83">
        <f t="shared" si="87"/>
        <v>0</v>
      </c>
      <c r="K93" s="83">
        <f t="shared" si="88"/>
        <v>75</v>
      </c>
      <c r="L93" s="136" t="e">
        <f t="shared" si="89"/>
        <v>#DIV/0!</v>
      </c>
      <c r="M93" s="48">
        <v>17900</v>
      </c>
      <c r="N93" s="47">
        <f t="shared" si="90"/>
        <v>1342500</v>
      </c>
      <c r="R93" s="76">
        <f t="shared" si="50"/>
        <v>0</v>
      </c>
    </row>
    <row r="94" spans="1:18" ht="16">
      <c r="A94" s="142"/>
      <c r="B94" s="285" t="s">
        <v>38</v>
      </c>
      <c r="C94" s="94"/>
      <c r="D94" s="95"/>
      <c r="E94" s="36">
        <f t="shared" si="85"/>
        <v>0</v>
      </c>
      <c r="F94" s="286"/>
      <c r="G94" s="96" t="e">
        <f t="shared" si="86"/>
        <v>#DIV/0!</v>
      </c>
      <c r="H94" s="287"/>
      <c r="I94" s="288"/>
      <c r="J94" s="287">
        <f t="shared" si="87"/>
        <v>0</v>
      </c>
      <c r="K94" s="287">
        <f t="shared" si="88"/>
        <v>0</v>
      </c>
      <c r="L94" s="289" t="e">
        <f t="shared" si="89"/>
        <v>#DIV/0!</v>
      </c>
      <c r="M94" s="100"/>
      <c r="N94" s="101">
        <f t="shared" si="90"/>
        <v>0</v>
      </c>
      <c r="R94" s="76">
        <f t="shared" si="50"/>
        <v>0</v>
      </c>
    </row>
    <row r="95" spans="1:18" ht="16">
      <c r="A95" s="102"/>
      <c r="B95" s="103" t="s">
        <v>38</v>
      </c>
      <c r="C95" s="104"/>
      <c r="D95" s="105" t="s">
        <v>19</v>
      </c>
      <c r="E95" s="106">
        <f t="shared" ref="E95:F95" si="91">SUM(E89:E94)</f>
        <v>2820</v>
      </c>
      <c r="F95" s="106">
        <f t="shared" si="91"/>
        <v>350</v>
      </c>
      <c r="G95" s="107" t="e">
        <f>AVERAGE(G89:G94)</f>
        <v>#DIV/0!</v>
      </c>
      <c r="H95" s="104"/>
      <c r="I95" s="108"/>
      <c r="J95" s="105">
        <f t="shared" ref="J95:K95" si="92">SUM(J89:J94)</f>
        <v>0</v>
      </c>
      <c r="K95" s="105">
        <f t="shared" si="92"/>
        <v>350</v>
      </c>
      <c r="L95" s="109" t="e">
        <f>AVERAGE(L89:L94)</f>
        <v>#DIV/0!</v>
      </c>
      <c r="M95" s="110"/>
      <c r="N95" s="241">
        <f>SUM(N89:N94)</f>
        <v>6424850</v>
      </c>
      <c r="R95" s="76">
        <f t="shared" si="50"/>
        <v>0</v>
      </c>
    </row>
    <row r="96" spans="1:18" ht="16">
      <c r="A96" s="112">
        <v>45874</v>
      </c>
      <c r="B96" s="283" t="s">
        <v>39</v>
      </c>
      <c r="C96" s="83">
        <v>105924</v>
      </c>
      <c r="D96" s="83">
        <v>106503</v>
      </c>
      <c r="E96" s="36">
        <f t="shared" ref="E96:E102" si="93">D96-C96</f>
        <v>579</v>
      </c>
      <c r="F96" s="141">
        <v>69</v>
      </c>
      <c r="G96" s="114">
        <f t="shared" ref="G96:G102" si="94">(F96/E96)*100</f>
        <v>11.917098445595855</v>
      </c>
      <c r="H96" s="125"/>
      <c r="I96" s="125"/>
      <c r="J96" s="83">
        <f t="shared" ref="J96:J102" si="95">I96-H96</f>
        <v>0</v>
      </c>
      <c r="K96" s="83">
        <f t="shared" ref="K96:K102" si="96">F96</f>
        <v>69</v>
      </c>
      <c r="L96" s="290" t="e">
        <f t="shared" ref="L96:L102" si="97">(K96/J96)*100</f>
        <v>#DIV/0!</v>
      </c>
      <c r="M96" s="116">
        <v>19060</v>
      </c>
      <c r="N96" s="257">
        <f>M96*K96</f>
        <v>1315140</v>
      </c>
      <c r="R96" s="76">
        <f t="shared" si="50"/>
        <v>0</v>
      </c>
    </row>
    <row r="97" spans="1:26" ht="16">
      <c r="A97" s="7">
        <v>45880</v>
      </c>
      <c r="B97" s="283" t="s">
        <v>39</v>
      </c>
      <c r="C97" s="12">
        <v>106503</v>
      </c>
      <c r="D97" s="12">
        <v>107196</v>
      </c>
      <c r="E97" s="11">
        <f t="shared" si="93"/>
        <v>693</v>
      </c>
      <c r="F97" s="12">
        <v>78</v>
      </c>
      <c r="G97" s="13">
        <f t="shared" si="94"/>
        <v>11.255411255411255</v>
      </c>
      <c r="H97" s="12"/>
      <c r="I97" s="15"/>
      <c r="J97" s="83">
        <f t="shared" si="95"/>
        <v>0</v>
      </c>
      <c r="K97" s="83">
        <f t="shared" si="96"/>
        <v>78</v>
      </c>
      <c r="L97" s="290" t="e">
        <f t="shared" si="97"/>
        <v>#DIV/0!</v>
      </c>
      <c r="M97" s="17">
        <v>18800</v>
      </c>
      <c r="N97" s="291">
        <f t="shared" ref="N97:N102" si="98">F97*M97</f>
        <v>1466400</v>
      </c>
      <c r="R97" s="76">
        <f t="shared" si="50"/>
        <v>0</v>
      </c>
      <c r="S97" s="229"/>
      <c r="T97" s="229"/>
      <c r="U97" s="229"/>
      <c r="V97" s="229"/>
      <c r="W97" s="229"/>
      <c r="X97" s="229"/>
      <c r="Y97" s="229"/>
      <c r="Z97" s="229"/>
    </row>
    <row r="98" spans="1:26" ht="16">
      <c r="A98" s="138">
        <v>45887</v>
      </c>
      <c r="B98" s="283" t="s">
        <v>39</v>
      </c>
      <c r="C98" s="12">
        <v>107196</v>
      </c>
      <c r="D98" s="83">
        <v>107952</v>
      </c>
      <c r="E98" s="11">
        <f t="shared" si="93"/>
        <v>756</v>
      </c>
      <c r="F98" s="141">
        <v>80</v>
      </c>
      <c r="G98" s="13">
        <f t="shared" si="94"/>
        <v>10.582010582010582</v>
      </c>
      <c r="H98" s="83"/>
      <c r="I98" s="125"/>
      <c r="J98" s="83">
        <f t="shared" si="95"/>
        <v>0</v>
      </c>
      <c r="K98" s="83">
        <f t="shared" si="96"/>
        <v>80</v>
      </c>
      <c r="L98" s="290" t="e">
        <f t="shared" si="97"/>
        <v>#DIV/0!</v>
      </c>
      <c r="M98" s="116">
        <v>18070</v>
      </c>
      <c r="N98" s="291">
        <f t="shared" si="98"/>
        <v>1445600</v>
      </c>
      <c r="P98" s="78"/>
      <c r="R98" s="76">
        <f t="shared" si="50"/>
        <v>0</v>
      </c>
    </row>
    <row r="99" spans="1:26" ht="16">
      <c r="A99" s="138">
        <v>45895</v>
      </c>
      <c r="B99" s="283" t="s">
        <v>39</v>
      </c>
      <c r="C99" s="83">
        <v>107952</v>
      </c>
      <c r="D99" s="83">
        <v>108720</v>
      </c>
      <c r="E99" s="11">
        <f t="shared" si="93"/>
        <v>768</v>
      </c>
      <c r="F99" s="141">
        <v>86</v>
      </c>
      <c r="G99" s="13">
        <f t="shared" si="94"/>
        <v>11.197916666666668</v>
      </c>
      <c r="H99" s="83"/>
      <c r="I99" s="125"/>
      <c r="J99" s="83">
        <f t="shared" si="95"/>
        <v>0</v>
      </c>
      <c r="K99" s="83">
        <f t="shared" si="96"/>
        <v>86</v>
      </c>
      <c r="L99" s="136" t="e">
        <f t="shared" si="97"/>
        <v>#DIV/0!</v>
      </c>
      <c r="M99" s="116">
        <v>17900</v>
      </c>
      <c r="N99" s="121">
        <f t="shared" si="98"/>
        <v>1539400</v>
      </c>
      <c r="R99" s="76">
        <f t="shared" si="50"/>
        <v>0</v>
      </c>
    </row>
    <row r="100" spans="1:26" ht="16">
      <c r="A100" s="138"/>
      <c r="B100" s="283" t="s">
        <v>39</v>
      </c>
      <c r="C100" s="83"/>
      <c r="D100" s="83"/>
      <c r="E100" s="11">
        <f t="shared" si="93"/>
        <v>0</v>
      </c>
      <c r="F100" s="141"/>
      <c r="G100" s="13" t="e">
        <f t="shared" si="94"/>
        <v>#DIV/0!</v>
      </c>
      <c r="H100" s="83"/>
      <c r="I100" s="125"/>
      <c r="J100" s="83">
        <f t="shared" si="95"/>
        <v>0</v>
      </c>
      <c r="K100" s="83">
        <f t="shared" si="96"/>
        <v>0</v>
      </c>
      <c r="L100" s="136" t="e">
        <f t="shared" si="97"/>
        <v>#DIV/0!</v>
      </c>
      <c r="M100" s="116"/>
      <c r="N100" s="121">
        <f t="shared" si="98"/>
        <v>0</v>
      </c>
      <c r="R100" s="76">
        <f t="shared" si="50"/>
        <v>0</v>
      </c>
    </row>
    <row r="101" spans="1:26" ht="16">
      <c r="A101" s="244"/>
      <c r="B101" s="283" t="s">
        <v>39</v>
      </c>
      <c r="C101" s="83"/>
      <c r="D101" s="83"/>
      <c r="E101" s="11">
        <f t="shared" si="93"/>
        <v>0</v>
      </c>
      <c r="F101" s="141"/>
      <c r="G101" s="13" t="e">
        <f t="shared" si="94"/>
        <v>#DIV/0!</v>
      </c>
      <c r="H101" s="83"/>
      <c r="I101" s="125"/>
      <c r="J101" s="83">
        <f t="shared" si="95"/>
        <v>0</v>
      </c>
      <c r="K101" s="83">
        <f t="shared" si="96"/>
        <v>0</v>
      </c>
      <c r="L101" s="136" t="e">
        <f t="shared" si="97"/>
        <v>#DIV/0!</v>
      </c>
      <c r="M101" s="116"/>
      <c r="N101" s="121">
        <f t="shared" si="98"/>
        <v>0</v>
      </c>
      <c r="R101" s="76">
        <f t="shared" si="50"/>
        <v>0</v>
      </c>
    </row>
    <row r="102" spans="1:26" ht="16">
      <c r="A102" s="271"/>
      <c r="B102" s="283"/>
      <c r="C102" s="134"/>
      <c r="D102" s="134"/>
      <c r="E102" s="24">
        <f t="shared" si="93"/>
        <v>0</v>
      </c>
      <c r="F102" s="143"/>
      <c r="G102" s="54" t="e">
        <f t="shared" si="94"/>
        <v>#DIV/0!</v>
      </c>
      <c r="H102" s="134"/>
      <c r="I102" s="135"/>
      <c r="J102" s="134">
        <f t="shared" si="95"/>
        <v>0</v>
      </c>
      <c r="K102" s="134">
        <f t="shared" si="96"/>
        <v>0</v>
      </c>
      <c r="L102" s="136" t="e">
        <f t="shared" si="97"/>
        <v>#DIV/0!</v>
      </c>
      <c r="M102" s="137"/>
      <c r="N102" s="123">
        <f t="shared" si="98"/>
        <v>0</v>
      </c>
      <c r="R102" s="76">
        <f t="shared" si="50"/>
        <v>0</v>
      </c>
    </row>
    <row r="103" spans="1:26" ht="16">
      <c r="A103" s="59"/>
      <c r="B103" s="60"/>
      <c r="C103" s="59"/>
      <c r="D103" s="59" t="s">
        <v>19</v>
      </c>
      <c r="E103" s="59">
        <f t="shared" ref="E103:F103" si="99">SUM(E89:E102)</f>
        <v>8436</v>
      </c>
      <c r="F103" s="59">
        <f t="shared" si="99"/>
        <v>1013</v>
      </c>
      <c r="G103" s="61" t="e">
        <f>AVERAGE(G89:G102)</f>
        <v>#DIV/0!</v>
      </c>
      <c r="H103" s="59"/>
      <c r="I103" s="62"/>
      <c r="J103" s="59">
        <f t="shared" ref="J103:K103" si="100">SUM(J89:J102)</f>
        <v>0</v>
      </c>
      <c r="K103" s="59">
        <f t="shared" si="100"/>
        <v>1013</v>
      </c>
      <c r="L103" s="61" t="e">
        <f>AVERAGE(L89:L102)</f>
        <v>#DIV/0!</v>
      </c>
      <c r="M103" s="64"/>
      <c r="N103" s="65">
        <f>SUM(N96:N102)</f>
        <v>5766540</v>
      </c>
      <c r="R103" s="76">
        <f t="shared" si="50"/>
        <v>0</v>
      </c>
    </row>
    <row r="104" spans="1:26" ht="16">
      <c r="A104" s="66">
        <v>45871</v>
      </c>
      <c r="B104" s="140" t="s">
        <v>40</v>
      </c>
      <c r="C104" s="83">
        <v>101527</v>
      </c>
      <c r="D104" s="12">
        <v>102145</v>
      </c>
      <c r="E104" s="36">
        <f t="shared" ref="E104:E110" si="101">D104-C104</f>
        <v>618</v>
      </c>
      <c r="F104" s="37">
        <v>65</v>
      </c>
      <c r="G104" s="13">
        <f t="shared" ref="G104:G110" si="102">(F104/E104)*100</f>
        <v>10.517799352750808</v>
      </c>
      <c r="H104" s="125"/>
      <c r="I104" s="126"/>
      <c r="J104" s="39">
        <f t="shared" ref="J104:J110" si="103">I104-H104</f>
        <v>0</v>
      </c>
      <c r="K104" s="39">
        <f t="shared" ref="K104:K110" si="104">F104</f>
        <v>65</v>
      </c>
      <c r="L104" s="136" t="e">
        <f t="shared" ref="L104:L110" si="105">(K104/J104)*100</f>
        <v>#DIV/0!</v>
      </c>
      <c r="M104" s="68">
        <v>19060</v>
      </c>
      <c r="N104" s="42">
        <f t="shared" ref="N104:N110" si="106">F104*M104</f>
        <v>1238900</v>
      </c>
      <c r="R104" s="76">
        <f t="shared" si="50"/>
        <v>0</v>
      </c>
    </row>
    <row r="105" spans="1:26" ht="16">
      <c r="A105" s="138">
        <v>45877</v>
      </c>
      <c r="B105" s="140" t="s">
        <v>40</v>
      </c>
      <c r="C105" s="83">
        <v>102145</v>
      </c>
      <c r="D105" s="83">
        <v>102829</v>
      </c>
      <c r="E105" s="11">
        <f t="shared" si="101"/>
        <v>684</v>
      </c>
      <c r="F105" s="141">
        <v>77.78</v>
      </c>
      <c r="G105" s="13">
        <f t="shared" si="102"/>
        <v>11.371345029239768</v>
      </c>
      <c r="H105" s="83"/>
      <c r="I105" s="125"/>
      <c r="J105" s="83">
        <f t="shared" si="103"/>
        <v>0</v>
      </c>
      <c r="K105" s="39">
        <f t="shared" si="104"/>
        <v>77.78</v>
      </c>
      <c r="L105" s="136" t="e">
        <f t="shared" si="105"/>
        <v>#DIV/0!</v>
      </c>
      <c r="M105" s="116">
        <v>18800</v>
      </c>
      <c r="N105" s="121">
        <f t="shared" si="106"/>
        <v>1462264</v>
      </c>
      <c r="R105" s="76">
        <f t="shared" si="50"/>
        <v>0</v>
      </c>
    </row>
    <row r="106" spans="1:26" ht="16">
      <c r="A106" s="138">
        <v>45884</v>
      </c>
      <c r="B106" s="140" t="s">
        <v>40</v>
      </c>
      <c r="C106" s="83">
        <v>102829</v>
      </c>
      <c r="D106" s="83">
        <v>103495</v>
      </c>
      <c r="E106" s="11">
        <f t="shared" si="101"/>
        <v>666</v>
      </c>
      <c r="F106" s="141">
        <v>72</v>
      </c>
      <c r="G106" s="13">
        <f t="shared" si="102"/>
        <v>10.810810810810811</v>
      </c>
      <c r="H106" s="83"/>
      <c r="I106" s="125"/>
      <c r="J106" s="83">
        <f t="shared" si="103"/>
        <v>0</v>
      </c>
      <c r="K106" s="39">
        <f t="shared" si="104"/>
        <v>72</v>
      </c>
      <c r="L106" s="136" t="e">
        <f t="shared" si="105"/>
        <v>#DIV/0!</v>
      </c>
      <c r="M106" s="116">
        <v>18070</v>
      </c>
      <c r="N106" s="121">
        <f t="shared" si="106"/>
        <v>1301040</v>
      </c>
      <c r="R106" s="76">
        <f t="shared" si="50"/>
        <v>0</v>
      </c>
    </row>
    <row r="107" spans="1:26" ht="16">
      <c r="A107" s="138">
        <v>45892</v>
      </c>
      <c r="B107" s="140" t="s">
        <v>40</v>
      </c>
      <c r="C107" s="83">
        <v>103495</v>
      </c>
      <c r="D107" s="83">
        <v>104117</v>
      </c>
      <c r="E107" s="11">
        <f t="shared" si="101"/>
        <v>622</v>
      </c>
      <c r="F107" s="141">
        <v>72</v>
      </c>
      <c r="G107" s="13">
        <f t="shared" si="102"/>
        <v>11.57556270096463</v>
      </c>
      <c r="H107" s="83"/>
      <c r="I107" s="125"/>
      <c r="J107" s="83">
        <f t="shared" si="103"/>
        <v>0</v>
      </c>
      <c r="K107" s="39">
        <f t="shared" si="104"/>
        <v>72</v>
      </c>
      <c r="L107" s="136" t="e">
        <f t="shared" si="105"/>
        <v>#DIV/0!</v>
      </c>
      <c r="M107" s="116">
        <v>17900</v>
      </c>
      <c r="N107" s="121">
        <f t="shared" si="106"/>
        <v>1288800</v>
      </c>
      <c r="R107" s="76">
        <f t="shared" si="50"/>
        <v>0</v>
      </c>
    </row>
    <row r="108" spans="1:26" ht="16">
      <c r="A108" s="292">
        <v>45897</v>
      </c>
      <c r="B108" s="140" t="s">
        <v>40</v>
      </c>
      <c r="C108" s="83">
        <v>104117</v>
      </c>
      <c r="D108" s="83">
        <v>104728</v>
      </c>
      <c r="E108" s="11">
        <f t="shared" si="101"/>
        <v>611</v>
      </c>
      <c r="F108" s="141">
        <v>70</v>
      </c>
      <c r="G108" s="13">
        <f t="shared" si="102"/>
        <v>11.456628477905074</v>
      </c>
      <c r="H108" s="83"/>
      <c r="I108" s="125"/>
      <c r="J108" s="83">
        <f t="shared" si="103"/>
        <v>0</v>
      </c>
      <c r="K108" s="39">
        <f t="shared" si="104"/>
        <v>70</v>
      </c>
      <c r="L108" s="136" t="e">
        <f t="shared" si="105"/>
        <v>#DIV/0!</v>
      </c>
      <c r="M108" s="116">
        <v>18350</v>
      </c>
      <c r="N108" s="121">
        <f t="shared" si="106"/>
        <v>1284500</v>
      </c>
      <c r="R108" s="76">
        <f t="shared" si="50"/>
        <v>0</v>
      </c>
    </row>
    <row r="109" spans="1:26" ht="16">
      <c r="A109" s="292"/>
      <c r="B109" s="113"/>
      <c r="C109" s="83"/>
      <c r="D109" s="83"/>
      <c r="E109" s="11">
        <f t="shared" si="101"/>
        <v>0</v>
      </c>
      <c r="F109" s="141"/>
      <c r="G109" s="13" t="e">
        <f t="shared" si="102"/>
        <v>#DIV/0!</v>
      </c>
      <c r="H109" s="83"/>
      <c r="I109" s="125"/>
      <c r="J109" s="83">
        <f t="shared" si="103"/>
        <v>0</v>
      </c>
      <c r="K109" s="39">
        <f t="shared" si="104"/>
        <v>0</v>
      </c>
      <c r="L109" s="136" t="e">
        <f t="shared" si="105"/>
        <v>#DIV/0!</v>
      </c>
      <c r="M109" s="116"/>
      <c r="N109" s="121">
        <f t="shared" si="106"/>
        <v>0</v>
      </c>
      <c r="R109" s="76">
        <f t="shared" si="50"/>
        <v>0</v>
      </c>
    </row>
    <row r="110" spans="1:26" ht="16">
      <c r="A110" s="271"/>
      <c r="B110" s="283"/>
      <c r="C110" s="134"/>
      <c r="D110" s="134"/>
      <c r="E110" s="24">
        <f t="shared" si="101"/>
        <v>0</v>
      </c>
      <c r="F110" s="143"/>
      <c r="G110" s="54" t="e">
        <f t="shared" si="102"/>
        <v>#DIV/0!</v>
      </c>
      <c r="H110" s="134"/>
      <c r="I110" s="135"/>
      <c r="J110" s="134">
        <f t="shared" si="103"/>
        <v>0</v>
      </c>
      <c r="K110" s="134">
        <f t="shared" si="104"/>
        <v>0</v>
      </c>
      <c r="L110" s="136" t="e">
        <f t="shared" si="105"/>
        <v>#DIV/0!</v>
      </c>
      <c r="M110" s="137"/>
      <c r="N110" s="123">
        <f t="shared" si="106"/>
        <v>0</v>
      </c>
      <c r="R110" s="76">
        <f t="shared" si="50"/>
        <v>0</v>
      </c>
    </row>
    <row r="111" spans="1:26" ht="16">
      <c r="A111" s="59"/>
      <c r="B111" s="60"/>
      <c r="C111" s="59"/>
      <c r="D111" s="59" t="s">
        <v>19</v>
      </c>
      <c r="E111" s="59">
        <f t="shared" ref="E111:F111" si="107">SUM(E104:E110)</f>
        <v>3201</v>
      </c>
      <c r="F111" s="59">
        <f t="shared" si="107"/>
        <v>356.78</v>
      </c>
      <c r="G111" s="61" t="e">
        <f>AVERAGE(G104:G110)</f>
        <v>#DIV/0!</v>
      </c>
      <c r="H111" s="59"/>
      <c r="I111" s="62"/>
      <c r="J111" s="59">
        <f t="shared" ref="J111:K111" si="108">SUM(J104:J110)</f>
        <v>0</v>
      </c>
      <c r="K111" s="59">
        <f t="shared" si="108"/>
        <v>356.78</v>
      </c>
      <c r="L111" s="61" t="e">
        <f>AVERAGE(L104:L110)</f>
        <v>#DIV/0!</v>
      </c>
      <c r="M111" s="64"/>
      <c r="N111" s="65">
        <f>SUM(N104:N110)</f>
        <v>6575504</v>
      </c>
      <c r="R111" s="76">
        <f t="shared" si="50"/>
        <v>0</v>
      </c>
    </row>
    <row r="112" spans="1:26" ht="16">
      <c r="A112" s="66">
        <v>45875</v>
      </c>
      <c r="B112" s="140" t="s">
        <v>41</v>
      </c>
      <c r="C112" s="83">
        <v>159157</v>
      </c>
      <c r="D112" s="12">
        <v>159754</v>
      </c>
      <c r="E112" s="36">
        <f t="shared" ref="E112:E118" si="109">D112-C112</f>
        <v>597</v>
      </c>
      <c r="F112" s="37">
        <v>75</v>
      </c>
      <c r="G112" s="13">
        <f t="shared" ref="G112:G118" si="110">(F112/E112)*100</f>
        <v>12.562814070351758</v>
      </c>
      <c r="H112" s="125"/>
      <c r="I112" s="126"/>
      <c r="J112" s="39">
        <f t="shared" ref="J112:J118" si="111">I112-H112</f>
        <v>0</v>
      </c>
      <c r="K112" s="39">
        <f t="shared" ref="K112:K118" si="112">F112</f>
        <v>75</v>
      </c>
      <c r="L112" s="136" t="e">
        <f t="shared" ref="L112:L118" si="113">(K112/J112)*100</f>
        <v>#DIV/0!</v>
      </c>
      <c r="M112" s="68">
        <v>19060</v>
      </c>
      <c r="N112" s="42">
        <f t="shared" ref="N112:N118" si="114">F112*M112</f>
        <v>1429500</v>
      </c>
      <c r="R112" s="76">
        <f t="shared" si="50"/>
        <v>0</v>
      </c>
    </row>
    <row r="113" spans="1:18" ht="16">
      <c r="A113" s="138">
        <v>45882</v>
      </c>
      <c r="B113" s="140" t="s">
        <v>41</v>
      </c>
      <c r="C113" s="12">
        <v>159754</v>
      </c>
      <c r="D113" s="83">
        <v>160331</v>
      </c>
      <c r="E113" s="11">
        <f t="shared" si="109"/>
        <v>577</v>
      </c>
      <c r="F113" s="141">
        <v>67</v>
      </c>
      <c r="G113" s="13">
        <f t="shared" si="110"/>
        <v>11.611785095320624</v>
      </c>
      <c r="H113" s="83"/>
      <c r="I113" s="125"/>
      <c r="J113" s="83">
        <f t="shared" si="111"/>
        <v>0</v>
      </c>
      <c r="K113" s="39">
        <f t="shared" si="112"/>
        <v>67</v>
      </c>
      <c r="L113" s="136" t="e">
        <f t="shared" si="113"/>
        <v>#DIV/0!</v>
      </c>
      <c r="M113" s="116">
        <v>18800</v>
      </c>
      <c r="N113" s="121">
        <f t="shared" si="114"/>
        <v>1259600</v>
      </c>
      <c r="R113" s="76">
        <f t="shared" si="50"/>
        <v>0</v>
      </c>
    </row>
    <row r="114" spans="1:18" ht="16">
      <c r="A114" s="138">
        <v>45888</v>
      </c>
      <c r="B114" s="140" t="s">
        <v>41</v>
      </c>
      <c r="C114" s="83">
        <v>160331</v>
      </c>
      <c r="D114" s="83">
        <v>160970</v>
      </c>
      <c r="E114" s="11">
        <f t="shared" si="109"/>
        <v>639</v>
      </c>
      <c r="F114" s="141">
        <v>75</v>
      </c>
      <c r="G114" s="13">
        <f t="shared" si="110"/>
        <v>11.737089201877934</v>
      </c>
      <c r="H114" s="83"/>
      <c r="I114" s="125"/>
      <c r="J114" s="83">
        <f t="shared" si="111"/>
        <v>0</v>
      </c>
      <c r="K114" s="39">
        <f t="shared" si="112"/>
        <v>75</v>
      </c>
      <c r="L114" s="136" t="e">
        <f t="shared" si="113"/>
        <v>#DIV/0!</v>
      </c>
      <c r="M114" s="116">
        <v>18070</v>
      </c>
      <c r="N114" s="121">
        <f t="shared" si="114"/>
        <v>1355250</v>
      </c>
      <c r="R114" s="76">
        <f t="shared" si="50"/>
        <v>0</v>
      </c>
    </row>
    <row r="115" spans="1:18" ht="16">
      <c r="A115" s="138">
        <v>45894</v>
      </c>
      <c r="B115" s="140" t="s">
        <v>41</v>
      </c>
      <c r="C115" s="83">
        <v>160970</v>
      </c>
      <c r="D115" s="83">
        <v>161533</v>
      </c>
      <c r="E115" s="11">
        <f t="shared" si="109"/>
        <v>563</v>
      </c>
      <c r="F115" s="141">
        <v>63</v>
      </c>
      <c r="G115" s="13">
        <f t="shared" si="110"/>
        <v>11.190053285968029</v>
      </c>
      <c r="H115" s="83"/>
      <c r="I115" s="125"/>
      <c r="J115" s="83">
        <f t="shared" si="111"/>
        <v>0</v>
      </c>
      <c r="K115" s="39">
        <f t="shared" si="112"/>
        <v>63</v>
      </c>
      <c r="L115" s="136" t="e">
        <f t="shared" si="113"/>
        <v>#DIV/0!</v>
      </c>
      <c r="M115" s="116">
        <v>17900</v>
      </c>
      <c r="N115" s="121">
        <f t="shared" si="114"/>
        <v>1127700</v>
      </c>
      <c r="R115" s="76">
        <f t="shared" si="50"/>
        <v>0</v>
      </c>
    </row>
    <row r="116" spans="1:18" ht="16">
      <c r="A116" s="292"/>
      <c r="B116" s="140" t="s">
        <v>41</v>
      </c>
      <c r="C116" s="83"/>
      <c r="D116" s="83"/>
      <c r="E116" s="11">
        <f t="shared" si="109"/>
        <v>0</v>
      </c>
      <c r="F116" s="141"/>
      <c r="G116" s="13" t="e">
        <f t="shared" si="110"/>
        <v>#DIV/0!</v>
      </c>
      <c r="H116" s="83"/>
      <c r="I116" s="125"/>
      <c r="J116" s="83">
        <f t="shared" si="111"/>
        <v>0</v>
      </c>
      <c r="K116" s="39">
        <f t="shared" si="112"/>
        <v>0</v>
      </c>
      <c r="L116" s="136" t="e">
        <f t="shared" si="113"/>
        <v>#DIV/0!</v>
      </c>
      <c r="M116" s="116"/>
      <c r="N116" s="121">
        <f t="shared" si="114"/>
        <v>0</v>
      </c>
      <c r="R116" s="76">
        <f t="shared" si="50"/>
        <v>0</v>
      </c>
    </row>
    <row r="117" spans="1:18" ht="16">
      <c r="A117" s="292"/>
      <c r="B117" s="140" t="s">
        <v>41</v>
      </c>
      <c r="C117" s="83"/>
      <c r="D117" s="83"/>
      <c r="E117" s="11">
        <f t="shared" si="109"/>
        <v>0</v>
      </c>
      <c r="F117" s="141"/>
      <c r="G117" s="13" t="e">
        <f t="shared" si="110"/>
        <v>#DIV/0!</v>
      </c>
      <c r="H117" s="83"/>
      <c r="I117" s="125"/>
      <c r="J117" s="83">
        <f t="shared" si="111"/>
        <v>0</v>
      </c>
      <c r="K117" s="39">
        <f t="shared" si="112"/>
        <v>0</v>
      </c>
      <c r="L117" s="136" t="e">
        <f t="shared" si="113"/>
        <v>#DIV/0!</v>
      </c>
      <c r="M117" s="116"/>
      <c r="N117" s="121">
        <f t="shared" si="114"/>
        <v>0</v>
      </c>
      <c r="R117" s="76">
        <f t="shared" si="50"/>
        <v>0</v>
      </c>
    </row>
    <row r="118" spans="1:18" ht="16">
      <c r="A118" s="271"/>
      <c r="B118" s="283"/>
      <c r="C118" s="134"/>
      <c r="D118" s="134"/>
      <c r="E118" s="24">
        <f t="shared" si="109"/>
        <v>0</v>
      </c>
      <c r="F118" s="143"/>
      <c r="G118" s="54" t="e">
        <f t="shared" si="110"/>
        <v>#DIV/0!</v>
      </c>
      <c r="H118" s="134"/>
      <c r="I118" s="135"/>
      <c r="J118" s="134">
        <f t="shared" si="111"/>
        <v>0</v>
      </c>
      <c r="K118" s="39">
        <f t="shared" si="112"/>
        <v>0</v>
      </c>
      <c r="L118" s="136" t="e">
        <f t="shared" si="113"/>
        <v>#DIV/0!</v>
      </c>
      <c r="M118" s="137"/>
      <c r="N118" s="123">
        <f t="shared" si="114"/>
        <v>0</v>
      </c>
      <c r="R118" s="76">
        <f t="shared" si="50"/>
        <v>0</v>
      </c>
    </row>
    <row r="119" spans="1:18" ht="16">
      <c r="A119" s="59"/>
      <c r="B119" s="60"/>
      <c r="C119" s="59"/>
      <c r="D119" s="59" t="s">
        <v>19</v>
      </c>
      <c r="E119" s="59">
        <f t="shared" ref="E119:F119" si="115">SUM(E112:E118)</f>
        <v>2376</v>
      </c>
      <c r="F119" s="59">
        <f t="shared" si="115"/>
        <v>280</v>
      </c>
      <c r="G119" s="61" t="e">
        <f>AVERAGE(G112:G118)</f>
        <v>#DIV/0!</v>
      </c>
      <c r="H119" s="59"/>
      <c r="I119" s="62"/>
      <c r="J119" s="59">
        <f t="shared" ref="J119:K119" si="116">SUM(J112:J118)</f>
        <v>0</v>
      </c>
      <c r="K119" s="59">
        <f t="shared" si="116"/>
        <v>280</v>
      </c>
      <c r="L119" s="61" t="e">
        <f>AVERAGE(L112:L118)</f>
        <v>#DIV/0!</v>
      </c>
      <c r="M119" s="64"/>
      <c r="N119" s="65">
        <f>SUM(N112:N118)</f>
        <v>5172050</v>
      </c>
      <c r="R119" s="76">
        <f t="shared" si="50"/>
        <v>0</v>
      </c>
    </row>
    <row r="120" spans="1:18" ht="16">
      <c r="A120" s="66">
        <v>45873</v>
      </c>
      <c r="B120" s="140" t="s">
        <v>27</v>
      </c>
      <c r="C120" s="83"/>
      <c r="D120" s="12"/>
      <c r="E120" s="36">
        <f t="shared" ref="E120:E127" si="117">D120-C120</f>
        <v>0</v>
      </c>
      <c r="F120" s="37">
        <v>62</v>
      </c>
      <c r="G120" s="13" t="e">
        <f t="shared" ref="G120:G127" si="118">(F120/E120)*100</f>
        <v>#DIV/0!</v>
      </c>
      <c r="H120" s="125"/>
      <c r="I120" s="126"/>
      <c r="J120" s="39">
        <f t="shared" ref="J120:J127" si="119">I120-H120</f>
        <v>0</v>
      </c>
      <c r="K120" s="39">
        <f t="shared" ref="K120:K126" si="120">F120</f>
        <v>62</v>
      </c>
      <c r="L120" s="136" t="e">
        <f t="shared" ref="L120:L127" si="121">(K120/J120)*100</f>
        <v>#DIV/0!</v>
      </c>
      <c r="M120" s="68">
        <v>19060</v>
      </c>
      <c r="N120" s="42">
        <f t="shared" ref="N120:N126" si="122">F120*M120</f>
        <v>1181720</v>
      </c>
      <c r="R120" s="76">
        <f t="shared" si="50"/>
        <v>0</v>
      </c>
    </row>
    <row r="121" spans="1:18" ht="16">
      <c r="A121" s="66">
        <v>45878</v>
      </c>
      <c r="B121" s="140" t="s">
        <v>27</v>
      </c>
      <c r="C121" s="83"/>
      <c r="D121" s="12"/>
      <c r="E121" s="36">
        <f t="shared" si="117"/>
        <v>0</v>
      </c>
      <c r="F121" s="45">
        <v>68</v>
      </c>
      <c r="G121" s="13" t="e">
        <f t="shared" si="118"/>
        <v>#DIV/0!</v>
      </c>
      <c r="H121" s="38"/>
      <c r="I121" s="38"/>
      <c r="J121" s="35">
        <f t="shared" si="119"/>
        <v>0</v>
      </c>
      <c r="K121" s="39">
        <f t="shared" si="120"/>
        <v>68</v>
      </c>
      <c r="L121" s="136" t="e">
        <f t="shared" si="121"/>
        <v>#DIV/0!</v>
      </c>
      <c r="M121" s="116">
        <v>18800</v>
      </c>
      <c r="N121" s="47">
        <f t="shared" si="122"/>
        <v>1278400</v>
      </c>
      <c r="R121" s="76">
        <f t="shared" si="50"/>
        <v>0</v>
      </c>
    </row>
    <row r="122" spans="1:18" ht="16">
      <c r="A122" s="138">
        <v>45884</v>
      </c>
      <c r="B122" s="140" t="s">
        <v>27</v>
      </c>
      <c r="C122" s="83"/>
      <c r="D122" s="83"/>
      <c r="E122" s="11">
        <f t="shared" si="117"/>
        <v>0</v>
      </c>
      <c r="F122" s="45">
        <v>67</v>
      </c>
      <c r="G122" s="13" t="e">
        <f t="shared" si="118"/>
        <v>#DIV/0!</v>
      </c>
      <c r="H122" s="35"/>
      <c r="I122" s="38"/>
      <c r="J122" s="35">
        <f t="shared" si="119"/>
        <v>0</v>
      </c>
      <c r="K122" s="39">
        <f t="shared" si="120"/>
        <v>67</v>
      </c>
      <c r="L122" s="136" t="e">
        <f t="shared" si="121"/>
        <v>#DIV/0!</v>
      </c>
      <c r="M122" s="116">
        <v>18070</v>
      </c>
      <c r="N122" s="47">
        <f t="shared" si="122"/>
        <v>1210690</v>
      </c>
      <c r="R122" s="76">
        <f t="shared" si="50"/>
        <v>0</v>
      </c>
    </row>
    <row r="123" spans="1:18" ht="16">
      <c r="A123" s="138">
        <v>45888</v>
      </c>
      <c r="B123" s="140" t="s">
        <v>27</v>
      </c>
      <c r="C123" s="83"/>
      <c r="D123" s="83"/>
      <c r="E123" s="11">
        <f t="shared" si="117"/>
        <v>0</v>
      </c>
      <c r="F123" s="45">
        <v>62</v>
      </c>
      <c r="G123" s="13" t="e">
        <f t="shared" si="118"/>
        <v>#DIV/0!</v>
      </c>
      <c r="H123" s="35"/>
      <c r="I123" s="38"/>
      <c r="J123" s="35">
        <f t="shared" si="119"/>
        <v>0</v>
      </c>
      <c r="K123" s="39">
        <f t="shared" si="120"/>
        <v>62</v>
      </c>
      <c r="L123" s="136" t="e">
        <f t="shared" si="121"/>
        <v>#DIV/0!</v>
      </c>
      <c r="M123" s="116">
        <v>18070</v>
      </c>
      <c r="N123" s="47">
        <f t="shared" si="122"/>
        <v>1120340</v>
      </c>
      <c r="R123" s="76">
        <f t="shared" si="50"/>
        <v>0</v>
      </c>
    </row>
    <row r="124" spans="1:18" ht="16">
      <c r="A124" s="138">
        <v>45894</v>
      </c>
      <c r="B124" s="140" t="s">
        <v>27</v>
      </c>
      <c r="C124" s="83"/>
      <c r="D124" s="83"/>
      <c r="E124" s="11">
        <f t="shared" si="117"/>
        <v>0</v>
      </c>
      <c r="F124" s="45">
        <v>60</v>
      </c>
      <c r="G124" s="13" t="e">
        <f t="shared" si="118"/>
        <v>#DIV/0!</v>
      </c>
      <c r="H124" s="35"/>
      <c r="I124" s="38"/>
      <c r="J124" s="35">
        <f t="shared" si="119"/>
        <v>0</v>
      </c>
      <c r="K124" s="39">
        <f t="shared" si="120"/>
        <v>60</v>
      </c>
      <c r="L124" s="136" t="e">
        <f t="shared" si="121"/>
        <v>#DIV/0!</v>
      </c>
      <c r="M124" s="116">
        <v>17900</v>
      </c>
      <c r="N124" s="47">
        <f t="shared" si="122"/>
        <v>1074000</v>
      </c>
      <c r="R124" s="76">
        <f t="shared" si="50"/>
        <v>0</v>
      </c>
    </row>
    <row r="125" spans="1:18" ht="16">
      <c r="A125" s="138">
        <v>45898</v>
      </c>
      <c r="B125" s="140" t="s">
        <v>27</v>
      </c>
      <c r="C125" s="83"/>
      <c r="D125" s="83"/>
      <c r="E125" s="11">
        <f t="shared" si="117"/>
        <v>0</v>
      </c>
      <c r="F125" s="45">
        <v>67</v>
      </c>
      <c r="G125" s="13" t="e">
        <f t="shared" si="118"/>
        <v>#DIV/0!</v>
      </c>
      <c r="H125" s="35"/>
      <c r="I125" s="38"/>
      <c r="J125" s="35">
        <f t="shared" si="119"/>
        <v>0</v>
      </c>
      <c r="K125" s="39">
        <f t="shared" si="120"/>
        <v>67</v>
      </c>
      <c r="L125" s="136" t="e">
        <f t="shared" si="121"/>
        <v>#DIV/0!</v>
      </c>
      <c r="M125" s="116">
        <v>18350</v>
      </c>
      <c r="N125" s="47">
        <f t="shared" si="122"/>
        <v>1229450</v>
      </c>
      <c r="R125" s="76">
        <f t="shared" si="50"/>
        <v>0</v>
      </c>
    </row>
    <row r="126" spans="1:18" ht="16">
      <c r="A126" s="138"/>
      <c r="B126" s="140" t="s">
        <v>27</v>
      </c>
      <c r="C126" s="83"/>
      <c r="D126" s="83"/>
      <c r="E126" s="11">
        <f t="shared" si="117"/>
        <v>0</v>
      </c>
      <c r="F126" s="141"/>
      <c r="G126" s="13" t="e">
        <f t="shared" si="118"/>
        <v>#DIV/0!</v>
      </c>
      <c r="H126" s="83"/>
      <c r="I126" s="125"/>
      <c r="J126" s="83">
        <f t="shared" si="119"/>
        <v>0</v>
      </c>
      <c r="K126" s="39">
        <f t="shared" si="120"/>
        <v>0</v>
      </c>
      <c r="L126" s="136" t="e">
        <f t="shared" si="121"/>
        <v>#DIV/0!</v>
      </c>
      <c r="M126" s="116"/>
      <c r="N126" s="47">
        <f t="shared" si="122"/>
        <v>0</v>
      </c>
      <c r="R126" s="76">
        <f t="shared" si="50"/>
        <v>0</v>
      </c>
    </row>
    <row r="127" spans="1:18" ht="16">
      <c r="A127" s="271"/>
      <c r="B127" s="140" t="s">
        <v>27</v>
      </c>
      <c r="C127" s="134"/>
      <c r="D127" s="134"/>
      <c r="E127" s="24">
        <f t="shared" si="117"/>
        <v>0</v>
      </c>
      <c r="F127" s="143"/>
      <c r="G127" s="54" t="e">
        <f t="shared" si="118"/>
        <v>#DIV/0!</v>
      </c>
      <c r="H127" s="134"/>
      <c r="I127" s="135"/>
      <c r="J127" s="134">
        <f t="shared" si="119"/>
        <v>0</v>
      </c>
      <c r="K127" s="134"/>
      <c r="L127" s="136" t="e">
        <f t="shared" si="121"/>
        <v>#DIV/0!</v>
      </c>
      <c r="M127" s="137"/>
      <c r="N127" s="47">
        <f>M127*K127</f>
        <v>0</v>
      </c>
      <c r="R127" s="76">
        <f t="shared" si="50"/>
        <v>0</v>
      </c>
    </row>
    <row r="128" spans="1:18" ht="16">
      <c r="A128" s="59"/>
      <c r="B128" s="60"/>
      <c r="C128" s="59"/>
      <c r="D128" s="59" t="s">
        <v>19</v>
      </c>
      <c r="E128" s="59">
        <f t="shared" ref="E128:F128" si="123">SUM(E120:E127)</f>
        <v>0</v>
      </c>
      <c r="F128" s="59">
        <f t="shared" si="123"/>
        <v>386</v>
      </c>
      <c r="G128" s="61" t="e">
        <f>AVERAGE(G120:G127)</f>
        <v>#DIV/0!</v>
      </c>
      <c r="H128" s="59"/>
      <c r="I128" s="62"/>
      <c r="J128" s="59">
        <f t="shared" ref="J128:K128" si="124">SUM(J120:J127)</f>
        <v>0</v>
      </c>
      <c r="K128" s="59">
        <f t="shared" si="124"/>
        <v>386</v>
      </c>
      <c r="L128" s="61" t="e">
        <f>AVERAGE(L120:L127)</f>
        <v>#DIV/0!</v>
      </c>
      <c r="M128" s="64"/>
      <c r="N128" s="132">
        <f>SUM(N120:N127)</f>
        <v>7094600</v>
      </c>
      <c r="R128" s="76">
        <f t="shared" si="50"/>
        <v>0</v>
      </c>
    </row>
    <row r="129" spans="1:18" ht="16">
      <c r="A129" s="66">
        <v>45873</v>
      </c>
      <c r="B129" s="140" t="s">
        <v>80</v>
      </c>
      <c r="C129" s="83"/>
      <c r="D129" s="12"/>
      <c r="E129" s="36">
        <f t="shared" ref="E129:E136" si="125">D129-C129</f>
        <v>0</v>
      </c>
      <c r="F129" s="37">
        <v>65</v>
      </c>
      <c r="G129" s="13" t="e">
        <f t="shared" ref="G129:G136" si="126">(F129/E129)*100</f>
        <v>#DIV/0!</v>
      </c>
      <c r="H129" s="125"/>
      <c r="I129" s="126"/>
      <c r="J129" s="39">
        <f t="shared" ref="J129:J136" si="127">I129-H129</f>
        <v>0</v>
      </c>
      <c r="K129" s="39">
        <f t="shared" ref="K129:K135" si="128">F129</f>
        <v>65</v>
      </c>
      <c r="L129" s="136" t="e">
        <f t="shared" ref="L129:L136" si="129">(K129/J129)*100</f>
        <v>#DIV/0!</v>
      </c>
      <c r="M129" s="68">
        <v>19060</v>
      </c>
      <c r="N129" s="47">
        <f t="shared" ref="N129:N135" si="130">F129*M129</f>
        <v>1238900</v>
      </c>
      <c r="R129" s="76">
        <f t="shared" si="50"/>
        <v>0</v>
      </c>
    </row>
    <row r="130" spans="1:18" ht="16">
      <c r="A130" s="66">
        <v>45877</v>
      </c>
      <c r="B130" s="140" t="s">
        <v>80</v>
      </c>
      <c r="C130" s="83"/>
      <c r="D130" s="12"/>
      <c r="E130" s="36">
        <f t="shared" si="125"/>
        <v>0</v>
      </c>
      <c r="F130" s="45">
        <v>70</v>
      </c>
      <c r="G130" s="13" t="e">
        <f t="shared" si="126"/>
        <v>#DIV/0!</v>
      </c>
      <c r="H130" s="38"/>
      <c r="I130" s="38"/>
      <c r="J130" s="35">
        <f t="shared" si="127"/>
        <v>0</v>
      </c>
      <c r="K130" s="35">
        <f t="shared" si="128"/>
        <v>70</v>
      </c>
      <c r="L130" s="136" t="e">
        <f t="shared" si="129"/>
        <v>#DIV/0!</v>
      </c>
      <c r="M130" s="116">
        <v>18800</v>
      </c>
      <c r="N130" s="47">
        <f t="shared" si="130"/>
        <v>1316000</v>
      </c>
      <c r="R130" s="76">
        <f t="shared" si="50"/>
        <v>0</v>
      </c>
    </row>
    <row r="131" spans="1:18" ht="16">
      <c r="A131" s="138">
        <v>45881</v>
      </c>
      <c r="B131" s="140" t="s">
        <v>80</v>
      </c>
      <c r="C131" s="83"/>
      <c r="D131" s="83"/>
      <c r="E131" s="11">
        <f t="shared" si="125"/>
        <v>0</v>
      </c>
      <c r="F131" s="141">
        <v>70</v>
      </c>
      <c r="G131" s="13" t="e">
        <f t="shared" si="126"/>
        <v>#DIV/0!</v>
      </c>
      <c r="H131" s="35"/>
      <c r="I131" s="38"/>
      <c r="J131" s="35">
        <f t="shared" si="127"/>
        <v>0</v>
      </c>
      <c r="K131" s="35">
        <f t="shared" si="128"/>
        <v>70</v>
      </c>
      <c r="L131" s="136" t="e">
        <f t="shared" si="129"/>
        <v>#DIV/0!</v>
      </c>
      <c r="M131" s="116">
        <v>18800</v>
      </c>
      <c r="N131" s="47">
        <f t="shared" si="130"/>
        <v>1316000</v>
      </c>
      <c r="R131" s="76">
        <f t="shared" si="50"/>
        <v>0</v>
      </c>
    </row>
    <row r="132" spans="1:18" ht="16">
      <c r="A132" s="138">
        <v>45889</v>
      </c>
      <c r="B132" s="140" t="s">
        <v>80</v>
      </c>
      <c r="C132" s="83"/>
      <c r="D132" s="83"/>
      <c r="E132" s="11">
        <f t="shared" si="125"/>
        <v>0</v>
      </c>
      <c r="F132" s="141">
        <v>70</v>
      </c>
      <c r="G132" s="13" t="e">
        <f t="shared" si="126"/>
        <v>#DIV/0!</v>
      </c>
      <c r="H132" s="35"/>
      <c r="I132" s="38"/>
      <c r="J132" s="35">
        <f t="shared" si="127"/>
        <v>0</v>
      </c>
      <c r="K132" s="35">
        <f t="shared" si="128"/>
        <v>70</v>
      </c>
      <c r="L132" s="136" t="e">
        <f t="shared" si="129"/>
        <v>#DIV/0!</v>
      </c>
      <c r="M132" s="116">
        <v>18070</v>
      </c>
      <c r="N132" s="47">
        <f t="shared" si="130"/>
        <v>1264900</v>
      </c>
      <c r="R132" s="76">
        <f t="shared" si="50"/>
        <v>0</v>
      </c>
    </row>
    <row r="133" spans="1:18" ht="16">
      <c r="A133" s="138">
        <v>45893</v>
      </c>
      <c r="B133" s="140" t="s">
        <v>80</v>
      </c>
      <c r="C133" s="83"/>
      <c r="D133" s="83"/>
      <c r="E133" s="11">
        <f t="shared" si="125"/>
        <v>0</v>
      </c>
      <c r="F133" s="141">
        <v>70</v>
      </c>
      <c r="G133" s="13" t="e">
        <f t="shared" si="126"/>
        <v>#DIV/0!</v>
      </c>
      <c r="H133" s="35"/>
      <c r="I133" s="38"/>
      <c r="J133" s="35">
        <f t="shared" si="127"/>
        <v>0</v>
      </c>
      <c r="K133" s="35">
        <f t="shared" si="128"/>
        <v>70</v>
      </c>
      <c r="L133" s="136" t="e">
        <f t="shared" si="129"/>
        <v>#DIV/0!</v>
      </c>
      <c r="M133" s="116">
        <v>17900</v>
      </c>
      <c r="N133" s="47">
        <f t="shared" si="130"/>
        <v>1253000</v>
      </c>
      <c r="R133" s="76">
        <f t="shared" si="50"/>
        <v>0</v>
      </c>
    </row>
    <row r="134" spans="1:18" ht="16">
      <c r="A134" s="138">
        <v>45898</v>
      </c>
      <c r="B134" s="140" t="s">
        <v>80</v>
      </c>
      <c r="C134" s="83"/>
      <c r="D134" s="83"/>
      <c r="E134" s="11">
        <f t="shared" si="125"/>
        <v>0</v>
      </c>
      <c r="F134" s="141">
        <v>70</v>
      </c>
      <c r="G134" s="13" t="e">
        <f t="shared" si="126"/>
        <v>#DIV/0!</v>
      </c>
      <c r="H134" s="35"/>
      <c r="I134" s="38"/>
      <c r="J134" s="35">
        <f t="shared" si="127"/>
        <v>0</v>
      </c>
      <c r="K134" s="35">
        <f t="shared" si="128"/>
        <v>70</v>
      </c>
      <c r="L134" s="136" t="e">
        <f t="shared" si="129"/>
        <v>#DIV/0!</v>
      </c>
      <c r="M134" s="116">
        <v>18350</v>
      </c>
      <c r="N134" s="47">
        <f t="shared" si="130"/>
        <v>1284500</v>
      </c>
      <c r="R134" s="76">
        <f t="shared" si="50"/>
        <v>0</v>
      </c>
    </row>
    <row r="135" spans="1:18" ht="16">
      <c r="A135" s="138"/>
      <c r="B135" s="140"/>
      <c r="C135" s="83"/>
      <c r="D135" s="83"/>
      <c r="E135" s="11">
        <f t="shared" si="125"/>
        <v>0</v>
      </c>
      <c r="F135" s="141"/>
      <c r="G135" s="13" t="e">
        <f t="shared" si="126"/>
        <v>#DIV/0!</v>
      </c>
      <c r="H135" s="83"/>
      <c r="I135" s="125"/>
      <c r="J135" s="83">
        <f t="shared" si="127"/>
        <v>0</v>
      </c>
      <c r="K135" s="35">
        <f t="shared" si="128"/>
        <v>0</v>
      </c>
      <c r="L135" s="136" t="e">
        <f t="shared" si="129"/>
        <v>#DIV/0!</v>
      </c>
      <c r="M135" s="116"/>
      <c r="N135" s="47">
        <f t="shared" si="130"/>
        <v>0</v>
      </c>
      <c r="R135" s="76">
        <f t="shared" si="50"/>
        <v>0</v>
      </c>
    </row>
    <row r="136" spans="1:18" ht="16">
      <c r="A136" s="133"/>
      <c r="B136" s="140"/>
      <c r="C136" s="134"/>
      <c r="D136" s="134"/>
      <c r="E136" s="24">
        <f t="shared" si="125"/>
        <v>0</v>
      </c>
      <c r="F136" s="143"/>
      <c r="G136" s="54" t="e">
        <f t="shared" si="126"/>
        <v>#DIV/0!</v>
      </c>
      <c r="H136" s="134"/>
      <c r="I136" s="135"/>
      <c r="J136" s="134">
        <f t="shared" si="127"/>
        <v>0</v>
      </c>
      <c r="K136" s="134"/>
      <c r="L136" s="136" t="e">
        <f t="shared" si="129"/>
        <v>#DIV/0!</v>
      </c>
      <c r="M136" s="137"/>
      <c r="N136" s="47">
        <f>M136*K136</f>
        <v>0</v>
      </c>
      <c r="R136" s="76">
        <f t="shared" si="50"/>
        <v>0</v>
      </c>
    </row>
    <row r="137" spans="1:18" ht="16">
      <c r="A137" s="59"/>
      <c r="B137" s="60"/>
      <c r="C137" s="59"/>
      <c r="D137" s="59" t="s">
        <v>19</v>
      </c>
      <c r="E137" s="59">
        <f t="shared" ref="E137:F137" si="131">SUM(E129:E136)</f>
        <v>0</v>
      </c>
      <c r="F137" s="59">
        <f t="shared" si="131"/>
        <v>415</v>
      </c>
      <c r="G137" s="61" t="e">
        <f>AVERAGE(G129:G136)</f>
        <v>#DIV/0!</v>
      </c>
      <c r="H137" s="59"/>
      <c r="I137" s="62"/>
      <c r="J137" s="59">
        <f t="shared" ref="J137:K137" si="132">SUM(J129:J136)</f>
        <v>0</v>
      </c>
      <c r="K137" s="59">
        <f t="shared" si="132"/>
        <v>415</v>
      </c>
      <c r="L137" s="61" t="e">
        <f>AVERAGE(L129:L136)</f>
        <v>#DIV/0!</v>
      </c>
      <c r="M137" s="64"/>
      <c r="N137" s="132">
        <f>SUM(N129:N136)</f>
        <v>7673300</v>
      </c>
      <c r="R137" s="76">
        <f t="shared" si="50"/>
        <v>0</v>
      </c>
    </row>
    <row r="138" spans="1:18" ht="16">
      <c r="A138" s="66">
        <v>45874</v>
      </c>
      <c r="B138" s="140" t="s">
        <v>43</v>
      </c>
      <c r="C138" s="83"/>
      <c r="D138" s="12"/>
      <c r="E138" s="36">
        <f t="shared" ref="E138:E145" si="133">D138-C138</f>
        <v>0</v>
      </c>
      <c r="F138" s="37">
        <v>60</v>
      </c>
      <c r="G138" s="13" t="e">
        <f t="shared" ref="G138:G145" si="134">(F138/E138)*100</f>
        <v>#DIV/0!</v>
      </c>
      <c r="H138" s="125"/>
      <c r="I138" s="126"/>
      <c r="J138" s="39">
        <f t="shared" ref="J138:J145" si="135">I138-H138</f>
        <v>0</v>
      </c>
      <c r="K138" s="39">
        <f t="shared" ref="K138:K144" si="136">F138</f>
        <v>60</v>
      </c>
      <c r="L138" s="136" t="e">
        <f t="shared" ref="L138:L145" si="137">(K138/J138)*100</f>
        <v>#DIV/0!</v>
      </c>
      <c r="M138" s="68">
        <v>19060</v>
      </c>
      <c r="N138" s="47">
        <f t="shared" ref="N138:N144" si="138">F138*M138</f>
        <v>1143600</v>
      </c>
      <c r="R138" s="76">
        <f t="shared" si="50"/>
        <v>0</v>
      </c>
    </row>
    <row r="139" spans="1:18" ht="16">
      <c r="A139" s="66">
        <v>45880</v>
      </c>
      <c r="B139" s="140" t="s">
        <v>43</v>
      </c>
      <c r="C139" s="83"/>
      <c r="D139" s="12"/>
      <c r="E139" s="36">
        <f t="shared" si="133"/>
        <v>0</v>
      </c>
      <c r="F139" s="45">
        <v>50</v>
      </c>
      <c r="G139" s="13" t="e">
        <f t="shared" si="134"/>
        <v>#DIV/0!</v>
      </c>
      <c r="H139" s="38"/>
      <c r="I139" s="38"/>
      <c r="J139" s="35">
        <f t="shared" si="135"/>
        <v>0</v>
      </c>
      <c r="K139" s="39">
        <f t="shared" si="136"/>
        <v>50</v>
      </c>
      <c r="L139" s="136" t="e">
        <f t="shared" si="137"/>
        <v>#DIV/0!</v>
      </c>
      <c r="M139" s="116">
        <v>18800</v>
      </c>
      <c r="N139" s="47">
        <f t="shared" si="138"/>
        <v>940000</v>
      </c>
      <c r="R139" s="76">
        <f t="shared" si="50"/>
        <v>0</v>
      </c>
    </row>
    <row r="140" spans="1:18" ht="16">
      <c r="A140" s="138">
        <v>45884</v>
      </c>
      <c r="B140" s="140" t="s">
        <v>43</v>
      </c>
      <c r="C140" s="83"/>
      <c r="D140" s="83"/>
      <c r="E140" s="11">
        <f t="shared" si="133"/>
        <v>0</v>
      </c>
      <c r="F140" s="141">
        <v>50</v>
      </c>
      <c r="G140" s="13" t="e">
        <f t="shared" si="134"/>
        <v>#DIV/0!</v>
      </c>
      <c r="H140" s="35"/>
      <c r="I140" s="38"/>
      <c r="J140" s="35">
        <f t="shared" si="135"/>
        <v>0</v>
      </c>
      <c r="K140" s="39">
        <f t="shared" si="136"/>
        <v>50</v>
      </c>
      <c r="L140" s="136" t="e">
        <f t="shared" si="137"/>
        <v>#DIV/0!</v>
      </c>
      <c r="M140" s="116">
        <v>18070</v>
      </c>
      <c r="N140" s="47">
        <f t="shared" si="138"/>
        <v>903500</v>
      </c>
      <c r="R140" s="76">
        <f t="shared" si="50"/>
        <v>0</v>
      </c>
    </row>
    <row r="141" spans="1:18" ht="16">
      <c r="A141" s="138">
        <v>45888</v>
      </c>
      <c r="B141" s="140" t="s">
        <v>43</v>
      </c>
      <c r="C141" s="83"/>
      <c r="D141" s="83"/>
      <c r="E141" s="11">
        <f t="shared" si="133"/>
        <v>0</v>
      </c>
      <c r="F141" s="141">
        <v>60</v>
      </c>
      <c r="G141" s="13" t="e">
        <f t="shared" si="134"/>
        <v>#DIV/0!</v>
      </c>
      <c r="H141" s="35"/>
      <c r="I141" s="38"/>
      <c r="J141" s="35">
        <f t="shared" si="135"/>
        <v>0</v>
      </c>
      <c r="K141" s="39">
        <f t="shared" si="136"/>
        <v>60</v>
      </c>
      <c r="L141" s="136" t="e">
        <f t="shared" si="137"/>
        <v>#DIV/0!</v>
      </c>
      <c r="M141" s="116">
        <v>18070</v>
      </c>
      <c r="N141" s="47">
        <f t="shared" si="138"/>
        <v>1084200</v>
      </c>
      <c r="R141" s="76">
        <f t="shared" si="50"/>
        <v>0</v>
      </c>
    </row>
    <row r="142" spans="1:18" ht="16">
      <c r="A142" s="138">
        <v>45892</v>
      </c>
      <c r="B142" s="140" t="s">
        <v>43</v>
      </c>
      <c r="C142" s="83"/>
      <c r="D142" s="83"/>
      <c r="E142" s="11">
        <f t="shared" si="133"/>
        <v>0</v>
      </c>
      <c r="F142" s="141">
        <v>60</v>
      </c>
      <c r="G142" s="13" t="e">
        <f t="shared" si="134"/>
        <v>#DIV/0!</v>
      </c>
      <c r="H142" s="35"/>
      <c r="I142" s="38"/>
      <c r="J142" s="35">
        <f t="shared" si="135"/>
        <v>0</v>
      </c>
      <c r="K142" s="39">
        <f t="shared" si="136"/>
        <v>60</v>
      </c>
      <c r="L142" s="136" t="e">
        <f t="shared" si="137"/>
        <v>#DIV/0!</v>
      </c>
      <c r="M142" s="116">
        <v>17900</v>
      </c>
      <c r="N142" s="47">
        <f t="shared" si="138"/>
        <v>1074000</v>
      </c>
      <c r="R142" s="76">
        <f t="shared" si="50"/>
        <v>0</v>
      </c>
    </row>
    <row r="143" spans="1:18" ht="16">
      <c r="A143" s="138">
        <v>45896</v>
      </c>
      <c r="B143" s="140" t="s">
        <v>43</v>
      </c>
      <c r="C143" s="83"/>
      <c r="D143" s="83"/>
      <c r="E143" s="11">
        <f t="shared" si="133"/>
        <v>0</v>
      </c>
      <c r="F143" s="141">
        <v>60</v>
      </c>
      <c r="G143" s="13" t="e">
        <f t="shared" si="134"/>
        <v>#DIV/0!</v>
      </c>
      <c r="H143" s="35"/>
      <c r="I143" s="38"/>
      <c r="J143" s="35">
        <f t="shared" si="135"/>
        <v>0</v>
      </c>
      <c r="K143" s="39">
        <f t="shared" si="136"/>
        <v>60</v>
      </c>
      <c r="L143" s="136" t="e">
        <f t="shared" si="137"/>
        <v>#DIV/0!</v>
      </c>
      <c r="M143" s="116">
        <v>17900</v>
      </c>
      <c r="N143" s="47">
        <f t="shared" si="138"/>
        <v>1074000</v>
      </c>
      <c r="R143" s="76">
        <f t="shared" si="50"/>
        <v>0</v>
      </c>
    </row>
    <row r="144" spans="1:18" ht="16">
      <c r="A144" s="138"/>
      <c r="B144" s="140" t="s">
        <v>43</v>
      </c>
      <c r="C144" s="83"/>
      <c r="D144" s="83"/>
      <c r="E144" s="11">
        <f t="shared" si="133"/>
        <v>0</v>
      </c>
      <c r="F144" s="141"/>
      <c r="G144" s="13" t="e">
        <f t="shared" si="134"/>
        <v>#DIV/0!</v>
      </c>
      <c r="H144" s="83"/>
      <c r="I144" s="125"/>
      <c r="J144" s="83">
        <f t="shared" si="135"/>
        <v>0</v>
      </c>
      <c r="K144" s="39">
        <f t="shared" si="136"/>
        <v>0</v>
      </c>
      <c r="L144" s="136" t="e">
        <f t="shared" si="137"/>
        <v>#DIV/0!</v>
      </c>
      <c r="M144" s="116"/>
      <c r="N144" s="47">
        <f t="shared" si="138"/>
        <v>0</v>
      </c>
      <c r="R144" s="76">
        <f t="shared" si="50"/>
        <v>0</v>
      </c>
    </row>
    <row r="145" spans="1:18" ht="16">
      <c r="A145" s="133"/>
      <c r="B145" s="140"/>
      <c r="C145" s="134"/>
      <c r="D145" s="134"/>
      <c r="E145" s="24">
        <f t="shared" si="133"/>
        <v>0</v>
      </c>
      <c r="F145" s="143"/>
      <c r="G145" s="54" t="e">
        <f t="shared" si="134"/>
        <v>#DIV/0!</v>
      </c>
      <c r="H145" s="134"/>
      <c r="I145" s="135"/>
      <c r="J145" s="134">
        <f t="shared" si="135"/>
        <v>0</v>
      </c>
      <c r="K145" s="134"/>
      <c r="L145" s="136" t="e">
        <f t="shared" si="137"/>
        <v>#DIV/0!</v>
      </c>
      <c r="M145" s="137"/>
      <c r="N145" s="47">
        <f>M145*K145</f>
        <v>0</v>
      </c>
      <c r="R145" s="76">
        <f t="shared" si="50"/>
        <v>0</v>
      </c>
    </row>
    <row r="146" spans="1:18" ht="16">
      <c r="A146" s="59"/>
      <c r="B146" s="60"/>
      <c r="C146" s="59"/>
      <c r="D146" s="59" t="s">
        <v>19</v>
      </c>
      <c r="E146" s="59">
        <f t="shared" ref="E146:F146" si="139">SUM(E138:E145)</f>
        <v>0</v>
      </c>
      <c r="F146" s="59">
        <f t="shared" si="139"/>
        <v>340</v>
      </c>
      <c r="G146" s="61" t="e">
        <f>AVERAGE(G138:G145)</f>
        <v>#DIV/0!</v>
      </c>
      <c r="H146" s="59"/>
      <c r="I146" s="62"/>
      <c r="J146" s="59">
        <f t="shared" ref="J146:K146" si="140">SUM(J138:J145)</f>
        <v>0</v>
      </c>
      <c r="K146" s="59">
        <f t="shared" si="140"/>
        <v>340</v>
      </c>
      <c r="L146" s="61" t="e">
        <f>AVERAGE(L138:L145)</f>
        <v>#DIV/0!</v>
      </c>
      <c r="M146" s="64"/>
      <c r="N146" s="132">
        <f>SUM(N138:N145)</f>
        <v>6219300</v>
      </c>
      <c r="R146" s="76">
        <f t="shared" si="50"/>
        <v>0</v>
      </c>
    </row>
    <row r="147" spans="1:18" ht="16">
      <c r="A147" s="66">
        <v>45873</v>
      </c>
      <c r="B147" s="140" t="s">
        <v>30</v>
      </c>
      <c r="C147" s="83"/>
      <c r="D147" s="12"/>
      <c r="E147" s="36">
        <f t="shared" ref="E147:E154" si="141">D147-C147</f>
        <v>0</v>
      </c>
      <c r="F147" s="37">
        <v>70</v>
      </c>
      <c r="G147" s="13" t="e">
        <f t="shared" ref="G147:G154" si="142">(F147/E147)*100</f>
        <v>#DIV/0!</v>
      </c>
      <c r="H147" s="125"/>
      <c r="I147" s="126"/>
      <c r="J147" s="39">
        <f t="shared" ref="J147:J154" si="143">I147-H147</f>
        <v>0</v>
      </c>
      <c r="K147" s="39">
        <f t="shared" ref="K147:K153" si="144">F147</f>
        <v>70</v>
      </c>
      <c r="L147" s="136" t="e">
        <f t="shared" ref="L147:L154" si="145">(K147/J147)*100</f>
        <v>#DIV/0!</v>
      </c>
      <c r="M147" s="68">
        <v>19060</v>
      </c>
      <c r="N147" s="47">
        <f t="shared" ref="N147:N153" si="146">F147*M147</f>
        <v>1334200</v>
      </c>
      <c r="R147" s="76">
        <f t="shared" si="50"/>
        <v>0</v>
      </c>
    </row>
    <row r="148" spans="1:18" ht="16">
      <c r="A148" s="66">
        <v>45878</v>
      </c>
      <c r="B148" s="140" t="s">
        <v>30</v>
      </c>
      <c r="C148" s="83"/>
      <c r="D148" s="12"/>
      <c r="E148" s="36">
        <f t="shared" si="141"/>
        <v>0</v>
      </c>
      <c r="F148" s="45">
        <v>77</v>
      </c>
      <c r="G148" s="13" t="e">
        <f t="shared" si="142"/>
        <v>#DIV/0!</v>
      </c>
      <c r="H148" s="38"/>
      <c r="I148" s="38"/>
      <c r="J148" s="35">
        <f t="shared" si="143"/>
        <v>0</v>
      </c>
      <c r="K148" s="39">
        <f t="shared" si="144"/>
        <v>77</v>
      </c>
      <c r="L148" s="136" t="e">
        <f t="shared" si="145"/>
        <v>#DIV/0!</v>
      </c>
      <c r="M148" s="116">
        <v>18800</v>
      </c>
      <c r="N148" s="47">
        <f t="shared" si="146"/>
        <v>1447600</v>
      </c>
      <c r="R148" s="76">
        <f t="shared" si="50"/>
        <v>0</v>
      </c>
    </row>
    <row r="149" spans="1:18" ht="16">
      <c r="A149" s="138">
        <v>45884</v>
      </c>
      <c r="B149" s="140" t="s">
        <v>30</v>
      </c>
      <c r="C149" s="83"/>
      <c r="D149" s="83"/>
      <c r="E149" s="11">
        <f t="shared" si="141"/>
        <v>0</v>
      </c>
      <c r="F149" s="141">
        <v>67</v>
      </c>
      <c r="G149" s="13" t="e">
        <f t="shared" si="142"/>
        <v>#DIV/0!</v>
      </c>
      <c r="H149" s="35"/>
      <c r="I149" s="38"/>
      <c r="J149" s="35">
        <f t="shared" si="143"/>
        <v>0</v>
      </c>
      <c r="K149" s="39">
        <f t="shared" si="144"/>
        <v>67</v>
      </c>
      <c r="L149" s="136" t="e">
        <f t="shared" si="145"/>
        <v>#DIV/0!</v>
      </c>
      <c r="M149" s="116">
        <v>18070</v>
      </c>
      <c r="N149" s="47">
        <f t="shared" si="146"/>
        <v>1210690</v>
      </c>
      <c r="R149" s="76">
        <f t="shared" si="50"/>
        <v>0</v>
      </c>
    </row>
    <row r="150" spans="1:18" ht="16">
      <c r="A150" s="138">
        <v>45896</v>
      </c>
      <c r="B150" s="140" t="s">
        <v>30</v>
      </c>
      <c r="C150" s="83"/>
      <c r="D150" s="83"/>
      <c r="E150" s="11">
        <f t="shared" si="141"/>
        <v>0</v>
      </c>
      <c r="F150" s="141">
        <v>68</v>
      </c>
      <c r="G150" s="13" t="e">
        <f t="shared" si="142"/>
        <v>#DIV/0!</v>
      </c>
      <c r="H150" s="35"/>
      <c r="I150" s="38"/>
      <c r="J150" s="35">
        <f t="shared" si="143"/>
        <v>0</v>
      </c>
      <c r="K150" s="39">
        <f t="shared" si="144"/>
        <v>68</v>
      </c>
      <c r="L150" s="136" t="e">
        <f t="shared" si="145"/>
        <v>#DIV/0!</v>
      </c>
      <c r="M150" s="116">
        <v>17900</v>
      </c>
      <c r="N150" s="47">
        <f t="shared" si="146"/>
        <v>1217200</v>
      </c>
      <c r="R150" s="76">
        <f t="shared" si="50"/>
        <v>0</v>
      </c>
    </row>
    <row r="151" spans="1:18" ht="16">
      <c r="A151" s="138"/>
      <c r="B151" s="140" t="s">
        <v>30</v>
      </c>
      <c r="C151" s="83"/>
      <c r="D151" s="83"/>
      <c r="E151" s="11">
        <f t="shared" si="141"/>
        <v>0</v>
      </c>
      <c r="F151" s="141"/>
      <c r="G151" s="13" t="e">
        <f t="shared" si="142"/>
        <v>#DIV/0!</v>
      </c>
      <c r="H151" s="35"/>
      <c r="I151" s="38"/>
      <c r="J151" s="35">
        <f t="shared" si="143"/>
        <v>0</v>
      </c>
      <c r="K151" s="39">
        <f t="shared" si="144"/>
        <v>0</v>
      </c>
      <c r="L151" s="136" t="e">
        <f t="shared" si="145"/>
        <v>#DIV/0!</v>
      </c>
      <c r="M151" s="116"/>
      <c r="N151" s="47">
        <f t="shared" si="146"/>
        <v>0</v>
      </c>
      <c r="R151" s="76">
        <f t="shared" si="50"/>
        <v>0</v>
      </c>
    </row>
    <row r="152" spans="1:18" ht="16">
      <c r="A152" s="138"/>
      <c r="B152" s="140" t="s">
        <v>30</v>
      </c>
      <c r="C152" s="83"/>
      <c r="D152" s="83"/>
      <c r="E152" s="11">
        <f t="shared" si="141"/>
        <v>0</v>
      </c>
      <c r="F152" s="141"/>
      <c r="G152" s="13" t="e">
        <f t="shared" si="142"/>
        <v>#DIV/0!</v>
      </c>
      <c r="H152" s="35"/>
      <c r="I152" s="38"/>
      <c r="J152" s="35">
        <f t="shared" si="143"/>
        <v>0</v>
      </c>
      <c r="K152" s="39">
        <f t="shared" si="144"/>
        <v>0</v>
      </c>
      <c r="L152" s="136" t="e">
        <f t="shared" si="145"/>
        <v>#DIV/0!</v>
      </c>
      <c r="M152" s="116"/>
      <c r="N152" s="47">
        <f t="shared" si="146"/>
        <v>0</v>
      </c>
      <c r="R152" s="76">
        <f t="shared" si="50"/>
        <v>0</v>
      </c>
    </row>
    <row r="153" spans="1:18" ht="16">
      <c r="A153" s="138"/>
      <c r="B153" s="140"/>
      <c r="C153" s="83"/>
      <c r="D153" s="83"/>
      <c r="E153" s="11">
        <f t="shared" si="141"/>
        <v>0</v>
      </c>
      <c r="F153" s="141"/>
      <c r="G153" s="13" t="e">
        <f t="shared" si="142"/>
        <v>#DIV/0!</v>
      </c>
      <c r="H153" s="83"/>
      <c r="I153" s="125"/>
      <c r="J153" s="83">
        <f t="shared" si="143"/>
        <v>0</v>
      </c>
      <c r="K153" s="39">
        <f t="shared" si="144"/>
        <v>0</v>
      </c>
      <c r="L153" s="136" t="e">
        <f t="shared" si="145"/>
        <v>#DIV/0!</v>
      </c>
      <c r="M153" s="116"/>
      <c r="N153" s="47">
        <f t="shared" si="146"/>
        <v>0</v>
      </c>
      <c r="R153" s="76">
        <f t="shared" si="50"/>
        <v>0</v>
      </c>
    </row>
    <row r="154" spans="1:18" ht="16">
      <c r="A154" s="133"/>
      <c r="B154" s="140"/>
      <c r="C154" s="134"/>
      <c r="D154" s="134"/>
      <c r="E154" s="24">
        <f t="shared" si="141"/>
        <v>0</v>
      </c>
      <c r="F154" s="143"/>
      <c r="G154" s="54" t="e">
        <f t="shared" si="142"/>
        <v>#DIV/0!</v>
      </c>
      <c r="H154" s="134"/>
      <c r="I154" s="135"/>
      <c r="J154" s="134">
        <f t="shared" si="143"/>
        <v>0</v>
      </c>
      <c r="K154" s="134"/>
      <c r="L154" s="136" t="e">
        <f t="shared" si="145"/>
        <v>#DIV/0!</v>
      </c>
      <c r="M154" s="137"/>
      <c r="N154" s="47">
        <f>M154*K154</f>
        <v>0</v>
      </c>
      <c r="R154" s="76">
        <f t="shared" si="50"/>
        <v>0</v>
      </c>
    </row>
    <row r="155" spans="1:18" ht="16">
      <c r="A155" s="59"/>
      <c r="B155" s="60"/>
      <c r="C155" s="59"/>
      <c r="D155" s="59" t="s">
        <v>19</v>
      </c>
      <c r="E155" s="59">
        <f t="shared" ref="E155:F155" si="147">SUM(E147:E154)</f>
        <v>0</v>
      </c>
      <c r="F155" s="59">
        <f t="shared" si="147"/>
        <v>282</v>
      </c>
      <c r="G155" s="61" t="e">
        <f>AVERAGE(G147:G154)</f>
        <v>#DIV/0!</v>
      </c>
      <c r="H155" s="59"/>
      <c r="I155" s="62"/>
      <c r="J155" s="59">
        <f t="shared" ref="J155:K155" si="148">SUM(J147:J154)</f>
        <v>0</v>
      </c>
      <c r="K155" s="59">
        <f t="shared" si="148"/>
        <v>282</v>
      </c>
      <c r="L155" s="61" t="e">
        <f>AVERAGE(L147:L154)</f>
        <v>#DIV/0!</v>
      </c>
      <c r="M155" s="64"/>
      <c r="N155" s="65">
        <f>SUM(N147:N154)</f>
        <v>5209690</v>
      </c>
      <c r="R155" s="76">
        <f t="shared" si="50"/>
        <v>0</v>
      </c>
    </row>
    <row r="156" spans="1:18" ht="16">
      <c r="A156" s="138">
        <v>45888</v>
      </c>
      <c r="B156" s="140" t="s">
        <v>83</v>
      </c>
      <c r="C156" s="83"/>
      <c r="D156" s="12"/>
      <c r="E156" s="36">
        <f t="shared" ref="E156:E163" si="149">D156-C156</f>
        <v>0</v>
      </c>
      <c r="F156" s="37">
        <v>56</v>
      </c>
      <c r="G156" s="13" t="e">
        <f t="shared" ref="G156:G163" si="150">(F156/E156)*100</f>
        <v>#DIV/0!</v>
      </c>
      <c r="H156" s="125"/>
      <c r="I156" s="126"/>
      <c r="J156" s="39">
        <f t="shared" ref="J156:J163" si="151">I156-H156</f>
        <v>0</v>
      </c>
      <c r="K156" s="39">
        <f t="shared" ref="K156:K162" si="152">F156</f>
        <v>56</v>
      </c>
      <c r="L156" s="136" t="e">
        <f t="shared" ref="L156:L163" si="153">(K156/J156)*100</f>
        <v>#DIV/0!</v>
      </c>
      <c r="M156" s="68">
        <v>18070</v>
      </c>
      <c r="N156" s="121">
        <f t="shared" ref="N156:N162" si="154">F156*M156</f>
        <v>1011920</v>
      </c>
    </row>
    <row r="157" spans="1:18" ht="16">
      <c r="A157" s="138">
        <v>45889</v>
      </c>
      <c r="B157" s="140" t="s">
        <v>83</v>
      </c>
      <c r="C157" s="83"/>
      <c r="D157" s="12"/>
      <c r="E157" s="36">
        <f t="shared" si="149"/>
        <v>0</v>
      </c>
      <c r="F157" s="45">
        <v>65</v>
      </c>
      <c r="G157" s="13" t="e">
        <f t="shared" si="150"/>
        <v>#DIV/0!</v>
      </c>
      <c r="H157" s="38"/>
      <c r="I157" s="38"/>
      <c r="J157" s="35">
        <f t="shared" si="151"/>
        <v>0</v>
      </c>
      <c r="K157" s="35">
        <f t="shared" si="152"/>
        <v>65</v>
      </c>
      <c r="L157" s="136" t="e">
        <f t="shared" si="153"/>
        <v>#DIV/0!</v>
      </c>
      <c r="M157" s="116">
        <v>18070</v>
      </c>
      <c r="N157" s="47">
        <f t="shared" si="154"/>
        <v>1174550</v>
      </c>
    </row>
    <row r="158" spans="1:18" ht="16">
      <c r="A158" s="138">
        <v>45895</v>
      </c>
      <c r="B158" s="140" t="s">
        <v>83</v>
      </c>
      <c r="C158" s="83"/>
      <c r="D158" s="83"/>
      <c r="E158" s="11">
        <f t="shared" si="149"/>
        <v>0</v>
      </c>
      <c r="F158" s="141">
        <v>80</v>
      </c>
      <c r="G158" s="13" t="e">
        <f t="shared" si="150"/>
        <v>#DIV/0!</v>
      </c>
      <c r="H158" s="35"/>
      <c r="I158" s="38"/>
      <c r="J158" s="35">
        <f t="shared" si="151"/>
        <v>0</v>
      </c>
      <c r="K158" s="35">
        <f t="shared" si="152"/>
        <v>80</v>
      </c>
      <c r="L158" s="136" t="e">
        <f t="shared" si="153"/>
        <v>#DIV/0!</v>
      </c>
      <c r="M158" s="116">
        <v>17900</v>
      </c>
      <c r="N158" s="47">
        <f t="shared" si="154"/>
        <v>1432000</v>
      </c>
    </row>
    <row r="159" spans="1:18" ht="16">
      <c r="A159" s="138">
        <v>45898</v>
      </c>
      <c r="B159" s="140" t="s">
        <v>83</v>
      </c>
      <c r="C159" s="83"/>
      <c r="D159" s="83"/>
      <c r="E159" s="11">
        <f t="shared" si="149"/>
        <v>0</v>
      </c>
      <c r="F159" s="141">
        <v>70</v>
      </c>
      <c r="G159" s="13" t="e">
        <f t="shared" si="150"/>
        <v>#DIV/0!</v>
      </c>
      <c r="H159" s="35"/>
      <c r="I159" s="38"/>
      <c r="J159" s="35">
        <f t="shared" si="151"/>
        <v>0</v>
      </c>
      <c r="K159" s="35">
        <f t="shared" si="152"/>
        <v>70</v>
      </c>
      <c r="L159" s="136" t="e">
        <f t="shared" si="153"/>
        <v>#DIV/0!</v>
      </c>
      <c r="M159" s="116">
        <v>18350</v>
      </c>
      <c r="N159" s="47">
        <f t="shared" si="154"/>
        <v>1284500</v>
      </c>
    </row>
    <row r="160" spans="1:18" ht="16">
      <c r="A160" s="138"/>
      <c r="B160" s="140" t="s">
        <v>83</v>
      </c>
      <c r="C160" s="83"/>
      <c r="D160" s="83"/>
      <c r="E160" s="11">
        <f t="shared" si="149"/>
        <v>0</v>
      </c>
      <c r="F160" s="141"/>
      <c r="G160" s="13" t="e">
        <f t="shared" si="150"/>
        <v>#DIV/0!</v>
      </c>
      <c r="H160" s="35"/>
      <c r="I160" s="38"/>
      <c r="J160" s="35">
        <f t="shared" si="151"/>
        <v>0</v>
      </c>
      <c r="K160" s="35">
        <f t="shared" si="152"/>
        <v>0</v>
      </c>
      <c r="L160" s="136" t="e">
        <f t="shared" si="153"/>
        <v>#DIV/0!</v>
      </c>
      <c r="M160" s="116"/>
      <c r="N160" s="47">
        <f t="shared" si="154"/>
        <v>0</v>
      </c>
    </row>
    <row r="161" spans="1:18" ht="16">
      <c r="A161" s="138"/>
      <c r="B161" s="140" t="s">
        <v>83</v>
      </c>
      <c r="C161" s="83"/>
      <c r="D161" s="83"/>
      <c r="E161" s="11">
        <f t="shared" si="149"/>
        <v>0</v>
      </c>
      <c r="F161" s="141"/>
      <c r="G161" s="13" t="e">
        <f t="shared" si="150"/>
        <v>#DIV/0!</v>
      </c>
      <c r="H161" s="35"/>
      <c r="I161" s="38"/>
      <c r="J161" s="35">
        <f t="shared" si="151"/>
        <v>0</v>
      </c>
      <c r="K161" s="35">
        <f t="shared" si="152"/>
        <v>0</v>
      </c>
      <c r="L161" s="136" t="e">
        <f t="shared" si="153"/>
        <v>#DIV/0!</v>
      </c>
      <c r="M161" s="116"/>
      <c r="N161" s="47">
        <f t="shared" si="154"/>
        <v>0</v>
      </c>
    </row>
    <row r="162" spans="1:18" ht="16">
      <c r="A162" s="138"/>
      <c r="B162" s="140" t="s">
        <v>83</v>
      </c>
      <c r="C162" s="83"/>
      <c r="D162" s="83"/>
      <c r="E162" s="11">
        <f t="shared" si="149"/>
        <v>0</v>
      </c>
      <c r="F162" s="141"/>
      <c r="G162" s="13" t="e">
        <f t="shared" si="150"/>
        <v>#DIV/0!</v>
      </c>
      <c r="H162" s="83"/>
      <c r="I162" s="125"/>
      <c r="J162" s="83">
        <f t="shared" si="151"/>
        <v>0</v>
      </c>
      <c r="K162" s="35">
        <f t="shared" si="152"/>
        <v>0</v>
      </c>
      <c r="L162" s="136" t="e">
        <f t="shared" si="153"/>
        <v>#DIV/0!</v>
      </c>
      <c r="M162" s="116"/>
      <c r="N162" s="47">
        <f t="shared" si="154"/>
        <v>0</v>
      </c>
    </row>
    <row r="163" spans="1:18" ht="16">
      <c r="A163" s="133"/>
      <c r="B163" s="140"/>
      <c r="C163" s="134"/>
      <c r="D163" s="134"/>
      <c r="E163" s="24">
        <f t="shared" si="149"/>
        <v>0</v>
      </c>
      <c r="F163" s="143"/>
      <c r="G163" s="54" t="e">
        <f t="shared" si="150"/>
        <v>#DIV/0!</v>
      </c>
      <c r="H163" s="134"/>
      <c r="I163" s="135"/>
      <c r="J163" s="134">
        <f t="shared" si="151"/>
        <v>0</v>
      </c>
      <c r="K163" s="134"/>
      <c r="L163" s="136" t="e">
        <f t="shared" si="153"/>
        <v>#DIV/0!</v>
      </c>
      <c r="M163" s="137"/>
      <c r="N163" s="47">
        <f>M163*K163</f>
        <v>0</v>
      </c>
    </row>
    <row r="164" spans="1:18" ht="16">
      <c r="A164" s="59"/>
      <c r="B164" s="60"/>
      <c r="C164" s="59"/>
      <c r="D164" s="59" t="s">
        <v>19</v>
      </c>
      <c r="E164" s="59">
        <f t="shared" ref="E164:F164" si="155">SUM(E156:E163)</f>
        <v>0</v>
      </c>
      <c r="F164" s="59">
        <f t="shared" si="155"/>
        <v>271</v>
      </c>
      <c r="G164" s="61" t="e">
        <f>AVERAGE(G156:G163)</f>
        <v>#DIV/0!</v>
      </c>
      <c r="H164" s="59"/>
      <c r="I164" s="62"/>
      <c r="J164" s="59">
        <f t="shared" ref="J164:K164" si="156">SUM(J156:J163)</f>
        <v>0</v>
      </c>
      <c r="K164" s="59">
        <f t="shared" si="156"/>
        <v>271</v>
      </c>
      <c r="L164" s="61" t="e">
        <f>AVERAGE(L156:L163)</f>
        <v>#DIV/0!</v>
      </c>
      <c r="M164" s="64"/>
      <c r="N164" s="65">
        <f>SUM(N156:N163)</f>
        <v>4902970</v>
      </c>
    </row>
    <row r="165" spans="1:18" ht="16">
      <c r="A165" s="138">
        <v>45874</v>
      </c>
      <c r="B165" s="140" t="s">
        <v>32</v>
      </c>
      <c r="C165" s="83"/>
      <c r="D165" s="12"/>
      <c r="E165" s="36">
        <f t="shared" ref="E165:E172" si="157">D165-C165</f>
        <v>0</v>
      </c>
      <c r="F165" s="37">
        <v>80</v>
      </c>
      <c r="G165" s="13" t="e">
        <f t="shared" ref="G165:G172" si="158">(F165/E165)*100</f>
        <v>#DIV/0!</v>
      </c>
      <c r="H165" s="125"/>
      <c r="I165" s="126"/>
      <c r="J165" s="39">
        <f t="shared" ref="J165:J172" si="159">I165-H165</f>
        <v>0</v>
      </c>
      <c r="K165" s="39">
        <f t="shared" ref="K165:K171" si="160">F165</f>
        <v>80</v>
      </c>
      <c r="L165" s="136" t="e">
        <f t="shared" ref="L165:L172" si="161">(K165/J165)*100</f>
        <v>#DIV/0!</v>
      </c>
      <c r="M165" s="68">
        <v>19060</v>
      </c>
      <c r="N165" s="121">
        <f t="shared" ref="N165:N171" si="162">F165*M165</f>
        <v>1524800</v>
      </c>
      <c r="R165" s="76">
        <f t="shared" ref="R165:R174" si="163">Q165</f>
        <v>0</v>
      </c>
    </row>
    <row r="166" spans="1:18" ht="16">
      <c r="A166" s="138">
        <v>45882</v>
      </c>
      <c r="B166" s="140" t="s">
        <v>32</v>
      </c>
      <c r="C166" s="83"/>
      <c r="D166" s="12"/>
      <c r="E166" s="36">
        <f t="shared" si="157"/>
        <v>0</v>
      </c>
      <c r="F166" s="45">
        <v>90</v>
      </c>
      <c r="G166" s="13" t="e">
        <f t="shared" si="158"/>
        <v>#DIV/0!</v>
      </c>
      <c r="H166" s="38"/>
      <c r="I166" s="38"/>
      <c r="J166" s="35">
        <f t="shared" si="159"/>
        <v>0</v>
      </c>
      <c r="K166" s="35">
        <f t="shared" si="160"/>
        <v>90</v>
      </c>
      <c r="L166" s="136" t="e">
        <f t="shared" si="161"/>
        <v>#DIV/0!</v>
      </c>
      <c r="M166" s="116">
        <v>18800</v>
      </c>
      <c r="N166" s="47">
        <f t="shared" si="162"/>
        <v>1692000</v>
      </c>
      <c r="R166" s="76">
        <f t="shared" si="163"/>
        <v>0</v>
      </c>
    </row>
    <row r="167" spans="1:18" ht="16">
      <c r="A167" s="138">
        <v>45892</v>
      </c>
      <c r="B167" s="140" t="s">
        <v>32</v>
      </c>
      <c r="C167" s="83"/>
      <c r="D167" s="83"/>
      <c r="E167" s="11">
        <f t="shared" si="157"/>
        <v>0</v>
      </c>
      <c r="F167" s="141">
        <v>70</v>
      </c>
      <c r="G167" s="13" t="e">
        <f t="shared" si="158"/>
        <v>#DIV/0!</v>
      </c>
      <c r="H167" s="35"/>
      <c r="I167" s="38"/>
      <c r="J167" s="35">
        <f t="shared" si="159"/>
        <v>0</v>
      </c>
      <c r="K167" s="35">
        <f t="shared" si="160"/>
        <v>70</v>
      </c>
      <c r="L167" s="136" t="e">
        <f t="shared" si="161"/>
        <v>#DIV/0!</v>
      </c>
      <c r="M167" s="116">
        <v>17900</v>
      </c>
      <c r="N167" s="47">
        <f t="shared" si="162"/>
        <v>1253000</v>
      </c>
      <c r="R167" s="76">
        <f t="shared" si="163"/>
        <v>0</v>
      </c>
    </row>
    <row r="168" spans="1:18" ht="16">
      <c r="A168" s="138">
        <v>45899</v>
      </c>
      <c r="B168" s="140" t="s">
        <v>32</v>
      </c>
      <c r="C168" s="83"/>
      <c r="D168" s="83"/>
      <c r="E168" s="11">
        <f t="shared" si="157"/>
        <v>0</v>
      </c>
      <c r="F168" s="141">
        <v>84</v>
      </c>
      <c r="G168" s="13" t="e">
        <f t="shared" si="158"/>
        <v>#DIV/0!</v>
      </c>
      <c r="H168" s="35"/>
      <c r="I168" s="38"/>
      <c r="J168" s="35">
        <f t="shared" si="159"/>
        <v>0</v>
      </c>
      <c r="K168" s="35">
        <f t="shared" si="160"/>
        <v>84</v>
      </c>
      <c r="L168" s="136" t="e">
        <f t="shared" si="161"/>
        <v>#DIV/0!</v>
      </c>
      <c r="M168" s="116">
        <v>18350</v>
      </c>
      <c r="N168" s="47">
        <f t="shared" si="162"/>
        <v>1541400</v>
      </c>
      <c r="R168" s="76">
        <f t="shared" si="163"/>
        <v>0</v>
      </c>
    </row>
    <row r="169" spans="1:18" ht="16">
      <c r="A169" s="138"/>
      <c r="B169" s="140" t="s">
        <v>32</v>
      </c>
      <c r="C169" s="83"/>
      <c r="D169" s="83"/>
      <c r="E169" s="11">
        <f t="shared" si="157"/>
        <v>0</v>
      </c>
      <c r="F169" s="141"/>
      <c r="G169" s="13" t="e">
        <f t="shared" si="158"/>
        <v>#DIV/0!</v>
      </c>
      <c r="H169" s="35"/>
      <c r="I169" s="38"/>
      <c r="J169" s="35">
        <f t="shared" si="159"/>
        <v>0</v>
      </c>
      <c r="K169" s="35">
        <f t="shared" si="160"/>
        <v>0</v>
      </c>
      <c r="L169" s="136" t="e">
        <f t="shared" si="161"/>
        <v>#DIV/0!</v>
      </c>
      <c r="M169" s="116"/>
      <c r="N169" s="47">
        <f t="shared" si="162"/>
        <v>0</v>
      </c>
      <c r="R169" s="76">
        <f t="shared" si="163"/>
        <v>0</v>
      </c>
    </row>
    <row r="170" spans="1:18" ht="16">
      <c r="A170" s="138"/>
      <c r="B170" s="140" t="s">
        <v>32</v>
      </c>
      <c r="C170" s="83"/>
      <c r="D170" s="83"/>
      <c r="E170" s="11">
        <f t="shared" si="157"/>
        <v>0</v>
      </c>
      <c r="F170" s="141"/>
      <c r="G170" s="13" t="e">
        <f t="shared" si="158"/>
        <v>#DIV/0!</v>
      </c>
      <c r="H170" s="35"/>
      <c r="I170" s="38"/>
      <c r="J170" s="35">
        <f t="shared" si="159"/>
        <v>0</v>
      </c>
      <c r="K170" s="35">
        <f t="shared" si="160"/>
        <v>0</v>
      </c>
      <c r="L170" s="136" t="e">
        <f t="shared" si="161"/>
        <v>#DIV/0!</v>
      </c>
      <c r="M170" s="116"/>
      <c r="N170" s="47">
        <f t="shared" si="162"/>
        <v>0</v>
      </c>
      <c r="R170" s="76">
        <f t="shared" si="163"/>
        <v>0</v>
      </c>
    </row>
    <row r="171" spans="1:18" ht="16">
      <c r="A171" s="138"/>
      <c r="B171" s="140"/>
      <c r="C171" s="83"/>
      <c r="D171" s="83"/>
      <c r="E171" s="11">
        <f t="shared" si="157"/>
        <v>0</v>
      </c>
      <c r="F171" s="141"/>
      <c r="G171" s="13" t="e">
        <f t="shared" si="158"/>
        <v>#DIV/0!</v>
      </c>
      <c r="H171" s="83"/>
      <c r="I171" s="125"/>
      <c r="J171" s="83">
        <f t="shared" si="159"/>
        <v>0</v>
      </c>
      <c r="K171" s="35">
        <f t="shared" si="160"/>
        <v>0</v>
      </c>
      <c r="L171" s="136" t="e">
        <f t="shared" si="161"/>
        <v>#DIV/0!</v>
      </c>
      <c r="M171" s="116"/>
      <c r="N171" s="47">
        <f t="shared" si="162"/>
        <v>0</v>
      </c>
      <c r="R171" s="76">
        <f t="shared" si="163"/>
        <v>0</v>
      </c>
    </row>
    <row r="172" spans="1:18" ht="16">
      <c r="A172" s="133"/>
      <c r="B172" s="140"/>
      <c r="C172" s="134"/>
      <c r="D172" s="134"/>
      <c r="E172" s="24">
        <f t="shared" si="157"/>
        <v>0</v>
      </c>
      <c r="F172" s="143"/>
      <c r="G172" s="54" t="e">
        <f t="shared" si="158"/>
        <v>#DIV/0!</v>
      </c>
      <c r="H172" s="134"/>
      <c r="I172" s="135"/>
      <c r="J172" s="134">
        <f t="shared" si="159"/>
        <v>0</v>
      </c>
      <c r="K172" s="134"/>
      <c r="L172" s="136" t="e">
        <f t="shared" si="161"/>
        <v>#DIV/0!</v>
      </c>
      <c r="M172" s="137"/>
      <c r="N172" s="47">
        <f>M172*K172</f>
        <v>0</v>
      </c>
      <c r="R172" s="76">
        <f t="shared" si="163"/>
        <v>0</v>
      </c>
    </row>
    <row r="173" spans="1:18" ht="16">
      <c r="A173" s="59"/>
      <c r="B173" s="60"/>
      <c r="C173" s="59"/>
      <c r="D173" s="59" t="s">
        <v>19</v>
      </c>
      <c r="E173" s="59">
        <f t="shared" ref="E173:F173" si="164">SUM(E165:E172)</f>
        <v>0</v>
      </c>
      <c r="F173" s="59">
        <f t="shared" si="164"/>
        <v>324</v>
      </c>
      <c r="G173" s="61" t="e">
        <f>AVERAGE(G165:G172)</f>
        <v>#DIV/0!</v>
      </c>
      <c r="H173" s="59"/>
      <c r="I173" s="62"/>
      <c r="J173" s="59">
        <f t="shared" ref="J173:K173" si="165">SUM(J165:J172)</f>
        <v>0</v>
      </c>
      <c r="K173" s="59">
        <f t="shared" si="165"/>
        <v>324</v>
      </c>
      <c r="L173" s="61" t="e">
        <f>AVERAGE(L165:L172)</f>
        <v>#DIV/0!</v>
      </c>
      <c r="M173" s="64"/>
      <c r="N173" s="132">
        <f>SUM(N165:N172)</f>
        <v>6011200</v>
      </c>
      <c r="R173" s="76">
        <f t="shared" si="163"/>
        <v>0</v>
      </c>
    </row>
    <row r="174" spans="1:18" ht="18">
      <c r="A174" s="354" t="s">
        <v>64</v>
      </c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7"/>
      <c r="N174" s="293">
        <f>N10+N18+N27+N35+N44+N55+N64+N72+N80+N88+N95+N103+N111+N128+N137+N146+N173+N119+N155+N164</f>
        <v>115341997.55</v>
      </c>
      <c r="P174" s="76">
        <f>31969600+28581263+24887064+26245620</f>
        <v>111683547</v>
      </c>
      <c r="R174" s="76">
        <f t="shared" si="163"/>
        <v>0</v>
      </c>
    </row>
    <row r="175" spans="1:18" ht="13">
      <c r="G175" s="150"/>
      <c r="L175" s="150"/>
      <c r="N175" s="151"/>
    </row>
    <row r="176" spans="1:18" ht="31.5" customHeight="1">
      <c r="D176" s="152" t="s">
        <v>45</v>
      </c>
      <c r="E176" s="153"/>
      <c r="G176" s="150"/>
      <c r="L176" s="150"/>
      <c r="N176" s="151"/>
    </row>
    <row r="177" spans="1:17" ht="16">
      <c r="A177" s="220" t="s">
        <v>1</v>
      </c>
      <c r="B177" s="154" t="s">
        <v>2</v>
      </c>
      <c r="C177" s="148" t="s">
        <v>3</v>
      </c>
      <c r="D177" s="148" t="s">
        <v>4</v>
      </c>
      <c r="E177" s="148" t="s">
        <v>5</v>
      </c>
      <c r="F177" s="148" t="s">
        <v>6</v>
      </c>
      <c r="G177" s="155" t="s">
        <v>7</v>
      </c>
      <c r="H177" s="156" t="s">
        <v>8</v>
      </c>
      <c r="I177" s="157" t="s">
        <v>8</v>
      </c>
      <c r="J177" s="148" t="s">
        <v>5</v>
      </c>
      <c r="K177" s="148" t="s">
        <v>6</v>
      </c>
      <c r="L177" s="155" t="s">
        <v>7</v>
      </c>
      <c r="M177" s="148" t="s">
        <v>9</v>
      </c>
      <c r="N177" s="158" t="s">
        <v>10</v>
      </c>
      <c r="O177" s="76">
        <v>1</v>
      </c>
      <c r="P177" s="76" t="s">
        <v>46</v>
      </c>
      <c r="Q177" s="223">
        <f>N183</f>
        <v>13650000</v>
      </c>
    </row>
    <row r="178" spans="1:17" ht="16">
      <c r="A178" s="66">
        <v>45878</v>
      </c>
      <c r="B178" s="90" t="s">
        <v>46</v>
      </c>
      <c r="C178" s="12"/>
      <c r="D178" s="12"/>
      <c r="E178" s="11">
        <f t="shared" ref="E178:E182" si="166">D178-C178</f>
        <v>0</v>
      </c>
      <c r="F178" s="37"/>
      <c r="G178" s="13" t="e">
        <f t="shared" ref="G178:G182" si="167">(F178/E178)*100</f>
        <v>#DIV/0!</v>
      </c>
      <c r="H178" s="83"/>
      <c r="I178" s="126"/>
      <c r="J178" s="39">
        <f t="shared" ref="J178:J182" si="168">I178-H178</f>
        <v>0</v>
      </c>
      <c r="K178" s="39">
        <f t="shared" ref="K178:K182" si="169">F178</f>
        <v>0</v>
      </c>
      <c r="L178" s="67" t="e">
        <f t="shared" ref="L178:L182" si="170">(K178/J178)*100</f>
        <v>#DIV/0!</v>
      </c>
      <c r="M178" s="68"/>
      <c r="N178" s="42">
        <v>7000000</v>
      </c>
      <c r="O178" s="76">
        <v>2</v>
      </c>
      <c r="P178" s="76" t="s">
        <v>47</v>
      </c>
      <c r="Q178" s="223">
        <f>N189</f>
        <v>15299977.800000001</v>
      </c>
    </row>
    <row r="179" spans="1:17" ht="16">
      <c r="A179" s="33">
        <v>45888</v>
      </c>
      <c r="B179" s="44" t="s">
        <v>46</v>
      </c>
      <c r="C179" s="12"/>
      <c r="D179" s="12"/>
      <c r="E179" s="11">
        <f t="shared" si="166"/>
        <v>0</v>
      </c>
      <c r="F179" s="45"/>
      <c r="G179" s="13" t="e">
        <f t="shared" si="167"/>
        <v>#DIV/0!</v>
      </c>
      <c r="H179" s="35"/>
      <c r="I179" s="38"/>
      <c r="J179" s="35">
        <f t="shared" si="168"/>
        <v>0</v>
      </c>
      <c r="K179" s="35">
        <f t="shared" si="169"/>
        <v>0</v>
      </c>
      <c r="L179" s="46" t="e">
        <f t="shared" si="170"/>
        <v>#DIV/0!</v>
      </c>
      <c r="M179" s="48"/>
      <c r="N179" s="47">
        <v>6650000</v>
      </c>
      <c r="O179" s="76">
        <v>3</v>
      </c>
      <c r="P179" s="76" t="s">
        <v>48</v>
      </c>
      <c r="Q179" s="223">
        <f>N195</f>
        <v>10240000</v>
      </c>
    </row>
    <row r="180" spans="1:17" ht="16">
      <c r="A180" s="33"/>
      <c r="B180" s="44" t="s">
        <v>46</v>
      </c>
      <c r="C180" s="35"/>
      <c r="D180" s="35"/>
      <c r="E180" s="11">
        <f t="shared" si="166"/>
        <v>0</v>
      </c>
      <c r="F180" s="45"/>
      <c r="G180" s="13" t="e">
        <f t="shared" si="167"/>
        <v>#DIV/0!</v>
      </c>
      <c r="H180" s="35"/>
      <c r="I180" s="38"/>
      <c r="J180" s="35">
        <f t="shared" si="168"/>
        <v>0</v>
      </c>
      <c r="K180" s="35">
        <f t="shared" si="169"/>
        <v>0</v>
      </c>
      <c r="L180" s="46" t="e">
        <f t="shared" si="170"/>
        <v>#DIV/0!</v>
      </c>
      <c r="M180" s="48"/>
      <c r="N180" s="47">
        <f t="shared" ref="N180:N182" si="171">F180*M180</f>
        <v>0</v>
      </c>
      <c r="O180" s="76">
        <v>4</v>
      </c>
      <c r="P180" s="76" t="s">
        <v>49</v>
      </c>
      <c r="Q180" s="223">
        <f>N201</f>
        <v>8600000</v>
      </c>
    </row>
    <row r="181" spans="1:17" ht="16">
      <c r="A181" s="33"/>
      <c r="B181" s="44" t="s">
        <v>46</v>
      </c>
      <c r="C181" s="35"/>
      <c r="D181" s="35"/>
      <c r="E181" s="11">
        <f t="shared" si="166"/>
        <v>0</v>
      </c>
      <c r="F181" s="45"/>
      <c r="G181" s="13" t="e">
        <f t="shared" si="167"/>
        <v>#DIV/0!</v>
      </c>
      <c r="H181" s="35"/>
      <c r="I181" s="38"/>
      <c r="J181" s="35">
        <f t="shared" si="168"/>
        <v>0</v>
      </c>
      <c r="K181" s="35">
        <f t="shared" si="169"/>
        <v>0</v>
      </c>
      <c r="L181" s="46" t="e">
        <f t="shared" si="170"/>
        <v>#DIV/0!</v>
      </c>
      <c r="M181" s="48"/>
      <c r="N181" s="47">
        <f t="shared" si="171"/>
        <v>0</v>
      </c>
      <c r="O181" s="76">
        <v>5</v>
      </c>
      <c r="P181" s="76" t="s">
        <v>50</v>
      </c>
      <c r="Q181" s="223">
        <f>N207</f>
        <v>12000000</v>
      </c>
    </row>
    <row r="182" spans="1:17" ht="16">
      <c r="A182" s="33"/>
      <c r="B182" s="79"/>
      <c r="C182" s="35"/>
      <c r="D182" s="35"/>
      <c r="E182" s="11">
        <f t="shared" si="166"/>
        <v>0</v>
      </c>
      <c r="F182" s="45"/>
      <c r="G182" s="13" t="e">
        <f t="shared" si="167"/>
        <v>#DIV/0!</v>
      </c>
      <c r="H182" s="35"/>
      <c r="I182" s="38"/>
      <c r="J182" s="35">
        <f t="shared" si="168"/>
        <v>0</v>
      </c>
      <c r="K182" s="35">
        <f t="shared" si="169"/>
        <v>0</v>
      </c>
      <c r="L182" s="73" t="e">
        <f t="shared" si="170"/>
        <v>#DIV/0!</v>
      </c>
      <c r="M182" s="48"/>
      <c r="N182" s="47">
        <f t="shared" si="171"/>
        <v>0</v>
      </c>
      <c r="O182" s="76">
        <v>6</v>
      </c>
      <c r="P182" s="76" t="s">
        <v>51</v>
      </c>
      <c r="Q182" s="223">
        <f>N213</f>
        <v>10900000</v>
      </c>
    </row>
    <row r="183" spans="1:17" ht="16">
      <c r="A183" s="59"/>
      <c r="B183" s="60"/>
      <c r="C183" s="59"/>
      <c r="D183" s="59" t="s">
        <v>19</v>
      </c>
      <c r="E183" s="59">
        <f t="shared" ref="E183:F183" si="172">SUM(E178:E182)</f>
        <v>0</v>
      </c>
      <c r="F183" s="59">
        <f t="shared" si="172"/>
        <v>0</v>
      </c>
      <c r="G183" s="61" t="e">
        <f>AVERAGE(G178:G182)</f>
        <v>#DIV/0!</v>
      </c>
      <c r="H183" s="59"/>
      <c r="I183" s="62"/>
      <c r="J183" s="59">
        <f t="shared" ref="J183:K183" si="173">SUM(J178:J182)</f>
        <v>0</v>
      </c>
      <c r="K183" s="59">
        <f t="shared" si="173"/>
        <v>0</v>
      </c>
      <c r="L183" s="61" t="e">
        <f>AVERAGE(L178:L182)</f>
        <v>#DIV/0!</v>
      </c>
      <c r="M183" s="64"/>
      <c r="N183" s="65">
        <f>SUM(N178:N182)</f>
        <v>13650000</v>
      </c>
      <c r="O183" s="76">
        <v>7</v>
      </c>
      <c r="P183" s="76" t="s">
        <v>81</v>
      </c>
      <c r="Q183" s="223">
        <f>N219</f>
        <v>18500000</v>
      </c>
    </row>
    <row r="184" spans="1:17" ht="16">
      <c r="A184" s="138"/>
      <c r="B184" s="140" t="s">
        <v>53</v>
      </c>
      <c r="C184" s="83"/>
      <c r="D184" s="83"/>
      <c r="E184" s="11">
        <f t="shared" ref="E184:E188" si="174">D184-C184</f>
        <v>0</v>
      </c>
      <c r="F184" s="141"/>
      <c r="G184" s="13" t="e">
        <f t="shared" ref="G184:G188" si="175">(F184/E184)*100</f>
        <v>#DIV/0!</v>
      </c>
      <c r="H184" s="83"/>
      <c r="I184" s="125"/>
      <c r="J184" s="83">
        <f t="shared" ref="J184:J188" si="176">I184-H184</f>
        <v>0</v>
      </c>
      <c r="K184" s="83">
        <f t="shared" ref="K184:K188" si="177">F184</f>
        <v>0</v>
      </c>
      <c r="L184" s="136" t="e">
        <f t="shared" ref="L184:L188" si="178">(K184/J184)*100</f>
        <v>#DIV/0!</v>
      </c>
      <c r="M184" s="116"/>
      <c r="N184" s="42">
        <f t="shared" ref="N184:N188" si="179">F184*M184</f>
        <v>0</v>
      </c>
      <c r="O184" s="76">
        <v>8</v>
      </c>
      <c r="P184" s="76" t="s">
        <v>54</v>
      </c>
      <c r="Q184" s="223">
        <f>N228</f>
        <v>29000000</v>
      </c>
    </row>
    <row r="185" spans="1:17" ht="16">
      <c r="A185" s="138">
        <v>45877</v>
      </c>
      <c r="B185" s="140" t="s">
        <v>53</v>
      </c>
      <c r="C185" s="83"/>
      <c r="D185" s="83">
        <v>491800</v>
      </c>
      <c r="E185" s="11">
        <f t="shared" si="174"/>
        <v>491800</v>
      </c>
      <c r="F185" s="141">
        <v>292.55</v>
      </c>
      <c r="G185" s="13">
        <f t="shared" si="175"/>
        <v>5.948556323708825E-2</v>
      </c>
      <c r="H185" s="83"/>
      <c r="I185" s="125"/>
      <c r="J185" s="83">
        <f t="shared" si="176"/>
        <v>0</v>
      </c>
      <c r="K185" s="83">
        <f t="shared" si="177"/>
        <v>292.55</v>
      </c>
      <c r="L185" s="136" t="e">
        <f t="shared" si="178"/>
        <v>#DIV/0!</v>
      </c>
      <c r="M185" s="116">
        <v>18800</v>
      </c>
      <c r="N185" s="47">
        <f t="shared" si="179"/>
        <v>5499940</v>
      </c>
      <c r="O185" s="76">
        <v>9</v>
      </c>
      <c r="P185" s="76" t="s">
        <v>69</v>
      </c>
      <c r="Q185" s="223">
        <f>N235</f>
        <v>19000000</v>
      </c>
    </row>
    <row r="186" spans="1:17" ht="16">
      <c r="A186" s="138">
        <v>45887</v>
      </c>
      <c r="B186" s="140" t="s">
        <v>53</v>
      </c>
      <c r="C186" s="83">
        <v>491800</v>
      </c>
      <c r="D186" s="83">
        <v>492660</v>
      </c>
      <c r="E186" s="11">
        <f t="shared" si="174"/>
        <v>860</v>
      </c>
      <c r="F186" s="141">
        <v>298.83999999999997</v>
      </c>
      <c r="G186" s="13">
        <f t="shared" si="175"/>
        <v>34.748837209302323</v>
      </c>
      <c r="H186" s="83"/>
      <c r="I186" s="125"/>
      <c r="J186" s="83">
        <f t="shared" si="176"/>
        <v>0</v>
      </c>
      <c r="K186" s="83">
        <f t="shared" si="177"/>
        <v>298.83999999999997</v>
      </c>
      <c r="L186" s="136" t="e">
        <f t="shared" si="178"/>
        <v>#DIV/0!</v>
      </c>
      <c r="M186" s="116">
        <v>18070</v>
      </c>
      <c r="N186" s="47">
        <f t="shared" si="179"/>
        <v>5400038.7999999998</v>
      </c>
    </row>
    <row r="187" spans="1:17" ht="16">
      <c r="A187" s="138">
        <v>45897</v>
      </c>
      <c r="B187" s="140" t="s">
        <v>53</v>
      </c>
      <c r="C187" s="83">
        <v>492660</v>
      </c>
      <c r="D187" s="83">
        <v>493300</v>
      </c>
      <c r="E187" s="11">
        <f t="shared" si="174"/>
        <v>640</v>
      </c>
      <c r="F187" s="141">
        <v>245.81</v>
      </c>
      <c r="G187" s="13">
        <f t="shared" si="175"/>
        <v>38.407812499999999</v>
      </c>
      <c r="H187" s="83"/>
      <c r="I187" s="125">
        <v>21470</v>
      </c>
      <c r="J187" s="83">
        <f t="shared" si="176"/>
        <v>21470</v>
      </c>
      <c r="K187" s="83">
        <f t="shared" si="177"/>
        <v>245.81</v>
      </c>
      <c r="L187" s="136">
        <f t="shared" si="178"/>
        <v>1.1448998602701443</v>
      </c>
      <c r="M187" s="116">
        <v>17900</v>
      </c>
      <c r="N187" s="47">
        <f t="shared" si="179"/>
        <v>4399999</v>
      </c>
    </row>
    <row r="188" spans="1:17" ht="16">
      <c r="A188" s="138"/>
      <c r="B188" s="140" t="s">
        <v>53</v>
      </c>
      <c r="C188" s="83"/>
      <c r="D188" s="83"/>
      <c r="E188" s="11">
        <f t="shared" si="174"/>
        <v>0</v>
      </c>
      <c r="F188" s="141"/>
      <c r="G188" s="13" t="e">
        <f t="shared" si="175"/>
        <v>#DIV/0!</v>
      </c>
      <c r="H188" s="83"/>
      <c r="I188" s="125"/>
      <c r="J188" s="83">
        <f t="shared" si="176"/>
        <v>0</v>
      </c>
      <c r="K188" s="83">
        <f t="shared" si="177"/>
        <v>0</v>
      </c>
      <c r="L188" s="136" t="e">
        <f t="shared" si="178"/>
        <v>#DIV/0!</v>
      </c>
      <c r="M188" s="116"/>
      <c r="N188" s="47">
        <f t="shared" si="179"/>
        <v>0</v>
      </c>
    </row>
    <row r="189" spans="1:17" ht="16">
      <c r="A189" s="59"/>
      <c r="B189" s="60"/>
      <c r="C189" s="59"/>
      <c r="D189" s="59" t="s">
        <v>19</v>
      </c>
      <c r="E189" s="59">
        <f t="shared" ref="E189:F189" si="180">SUM(E184:E188)</f>
        <v>493300</v>
      </c>
      <c r="F189" s="59">
        <f t="shared" si="180"/>
        <v>837.2</v>
      </c>
      <c r="G189" s="61" t="e">
        <f>AVERAGE(G184:G188)</f>
        <v>#DIV/0!</v>
      </c>
      <c r="H189" s="59"/>
      <c r="I189" s="62"/>
      <c r="J189" s="59">
        <f t="shared" ref="J189:K189" si="181">SUM(J184:J188)</f>
        <v>21470</v>
      </c>
      <c r="K189" s="59">
        <f t="shared" si="181"/>
        <v>837.2</v>
      </c>
      <c r="L189" s="61" t="e">
        <f>AVERAGE(L184:L188)</f>
        <v>#DIV/0!</v>
      </c>
      <c r="M189" s="64"/>
      <c r="N189" s="65">
        <f>SUM(N184:N188)</f>
        <v>15299977.800000001</v>
      </c>
    </row>
    <row r="190" spans="1:17" ht="16">
      <c r="A190" s="66">
        <v>45883</v>
      </c>
      <c r="B190" s="140" t="s">
        <v>48</v>
      </c>
      <c r="C190" s="83"/>
      <c r="D190" s="12"/>
      <c r="E190" s="36">
        <f t="shared" ref="E190:E194" si="182">D190-C190</f>
        <v>0</v>
      </c>
      <c r="F190" s="141"/>
      <c r="G190" s="13" t="e">
        <f t="shared" ref="G190:G194" si="183">(F190/E190)*100</f>
        <v>#DIV/0!</v>
      </c>
      <c r="H190" s="83"/>
      <c r="I190" s="126"/>
      <c r="J190" s="39">
        <f t="shared" ref="J190:J194" si="184">I190-H190</f>
        <v>0</v>
      </c>
      <c r="K190" s="39">
        <f t="shared" ref="K190:K194" si="185">F190</f>
        <v>0</v>
      </c>
      <c r="L190" s="136" t="e">
        <f t="shared" ref="L190:L194" si="186">(K190/J190)*100</f>
        <v>#DIV/0!</v>
      </c>
      <c r="M190" s="68"/>
      <c r="N190" s="42">
        <v>5390000</v>
      </c>
    </row>
    <row r="191" spans="1:17" ht="16">
      <c r="A191" s="138">
        <v>45898</v>
      </c>
      <c r="B191" s="140" t="s">
        <v>48</v>
      </c>
      <c r="C191" s="83"/>
      <c r="D191" s="83"/>
      <c r="E191" s="11">
        <f t="shared" si="182"/>
        <v>0</v>
      </c>
      <c r="F191" s="141"/>
      <c r="G191" s="13" t="e">
        <f t="shared" si="183"/>
        <v>#DIV/0!</v>
      </c>
      <c r="H191" s="83"/>
      <c r="I191" s="125"/>
      <c r="J191" s="83">
        <f t="shared" si="184"/>
        <v>0</v>
      </c>
      <c r="K191" s="35">
        <f t="shared" si="185"/>
        <v>0</v>
      </c>
      <c r="L191" s="136" t="e">
        <f t="shared" si="186"/>
        <v>#DIV/0!</v>
      </c>
      <c r="M191" s="116"/>
      <c r="N191" s="121">
        <v>4850000</v>
      </c>
    </row>
    <row r="192" spans="1:17" ht="16">
      <c r="A192" s="138"/>
      <c r="B192" s="140" t="s">
        <v>48</v>
      </c>
      <c r="C192" s="83"/>
      <c r="D192" s="83"/>
      <c r="E192" s="11">
        <f t="shared" si="182"/>
        <v>0</v>
      </c>
      <c r="F192" s="141"/>
      <c r="G192" s="13" t="e">
        <f t="shared" si="183"/>
        <v>#DIV/0!</v>
      </c>
      <c r="H192" s="83"/>
      <c r="I192" s="125"/>
      <c r="J192" s="83">
        <f t="shared" si="184"/>
        <v>0</v>
      </c>
      <c r="K192" s="35">
        <f t="shared" si="185"/>
        <v>0</v>
      </c>
      <c r="L192" s="136" t="e">
        <f t="shared" si="186"/>
        <v>#DIV/0!</v>
      </c>
      <c r="M192" s="116"/>
      <c r="N192" s="121">
        <f t="shared" ref="N192:N194" si="187">F192*M192</f>
        <v>0</v>
      </c>
    </row>
    <row r="193" spans="1:14" ht="16">
      <c r="A193" s="138"/>
      <c r="B193" s="140" t="s">
        <v>48</v>
      </c>
      <c r="C193" s="83"/>
      <c r="D193" s="83"/>
      <c r="E193" s="11">
        <f t="shared" si="182"/>
        <v>0</v>
      </c>
      <c r="F193" s="141"/>
      <c r="G193" s="13" t="e">
        <f t="shared" si="183"/>
        <v>#DIV/0!</v>
      </c>
      <c r="H193" s="83"/>
      <c r="I193" s="125"/>
      <c r="J193" s="83">
        <f t="shared" si="184"/>
        <v>0</v>
      </c>
      <c r="K193" s="39">
        <f t="shared" si="185"/>
        <v>0</v>
      </c>
      <c r="L193" s="136" t="e">
        <f t="shared" si="186"/>
        <v>#DIV/0!</v>
      </c>
      <c r="M193" s="116"/>
      <c r="N193" s="121">
        <f t="shared" si="187"/>
        <v>0</v>
      </c>
    </row>
    <row r="194" spans="1:14" ht="16">
      <c r="A194" s="138"/>
      <c r="B194" s="140"/>
      <c r="C194" s="83"/>
      <c r="D194" s="83"/>
      <c r="E194" s="11">
        <f t="shared" si="182"/>
        <v>0</v>
      </c>
      <c r="F194" s="141"/>
      <c r="G194" s="13" t="e">
        <f t="shared" si="183"/>
        <v>#DIV/0!</v>
      </c>
      <c r="H194" s="83"/>
      <c r="I194" s="125"/>
      <c r="J194" s="83">
        <f t="shared" si="184"/>
        <v>0</v>
      </c>
      <c r="K194" s="83">
        <f t="shared" si="185"/>
        <v>0</v>
      </c>
      <c r="L194" s="136" t="e">
        <f t="shared" si="186"/>
        <v>#DIV/0!</v>
      </c>
      <c r="M194" s="116"/>
      <c r="N194" s="121">
        <f t="shared" si="187"/>
        <v>0</v>
      </c>
    </row>
    <row r="195" spans="1:14" ht="16">
      <c r="A195" s="59"/>
      <c r="B195" s="60"/>
      <c r="C195" s="59"/>
      <c r="D195" s="59" t="s">
        <v>19</v>
      </c>
      <c r="E195" s="59">
        <f t="shared" ref="E195:F195" si="188">SUM(E190:E194)</f>
        <v>0</v>
      </c>
      <c r="F195" s="59">
        <f t="shared" si="188"/>
        <v>0</v>
      </c>
      <c r="G195" s="61" t="e">
        <f>AVERAGE(G190:G194)</f>
        <v>#DIV/0!</v>
      </c>
      <c r="H195" s="59"/>
      <c r="I195" s="62"/>
      <c r="J195" s="59">
        <f t="shared" ref="J195:K195" si="189">SUM(J190:J194)</f>
        <v>0</v>
      </c>
      <c r="K195" s="59">
        <f t="shared" si="189"/>
        <v>0</v>
      </c>
      <c r="L195" s="61" t="e">
        <f>AVERAGE(L190:L194)</f>
        <v>#DIV/0!</v>
      </c>
      <c r="M195" s="64"/>
      <c r="N195" s="65">
        <f>SUM(N190:N194)</f>
        <v>10240000</v>
      </c>
    </row>
    <row r="196" spans="1:14" ht="16">
      <c r="A196" s="66">
        <v>45870</v>
      </c>
      <c r="B196" s="140" t="s">
        <v>49</v>
      </c>
      <c r="C196" s="83"/>
      <c r="D196" s="12"/>
      <c r="E196" s="36">
        <f t="shared" ref="E196:E200" si="190">D196-C196</f>
        <v>0</v>
      </c>
      <c r="F196" s="37"/>
      <c r="G196" s="13" t="e">
        <f t="shared" ref="G196:G200" si="191">(F196/E196)*100</f>
        <v>#DIV/0!</v>
      </c>
      <c r="H196" s="83"/>
      <c r="I196" s="126"/>
      <c r="J196" s="39">
        <f t="shared" ref="J196:J200" si="192">I196-H196</f>
        <v>0</v>
      </c>
      <c r="K196" s="39">
        <f t="shared" ref="K196:K200" si="193">F196</f>
        <v>0</v>
      </c>
      <c r="L196" s="136" t="e">
        <f t="shared" ref="L196:L200" si="194">(K196/J196)*100</f>
        <v>#DIV/0!</v>
      </c>
      <c r="M196" s="68"/>
      <c r="N196" s="47">
        <v>4200000</v>
      </c>
    </row>
    <row r="197" spans="1:14" ht="16">
      <c r="A197" s="138">
        <v>45886</v>
      </c>
      <c r="B197" s="140" t="s">
        <v>49</v>
      </c>
      <c r="C197" s="83"/>
      <c r="D197" s="83"/>
      <c r="E197" s="11">
        <f t="shared" si="190"/>
        <v>0</v>
      </c>
      <c r="F197" s="141"/>
      <c r="G197" s="13" t="e">
        <f t="shared" si="191"/>
        <v>#DIV/0!</v>
      </c>
      <c r="H197" s="83"/>
      <c r="I197" s="125"/>
      <c r="J197" s="83">
        <f t="shared" si="192"/>
        <v>0</v>
      </c>
      <c r="K197" s="83">
        <f t="shared" si="193"/>
        <v>0</v>
      </c>
      <c r="L197" s="136" t="e">
        <f t="shared" si="194"/>
        <v>#DIV/0!</v>
      </c>
      <c r="M197" s="116"/>
      <c r="N197" s="121">
        <v>4400000</v>
      </c>
    </row>
    <row r="198" spans="1:14" ht="16">
      <c r="A198" s="138"/>
      <c r="B198" s="140" t="s">
        <v>49</v>
      </c>
      <c r="C198" s="83"/>
      <c r="D198" s="83"/>
      <c r="E198" s="11">
        <f t="shared" si="190"/>
        <v>0</v>
      </c>
      <c r="F198" s="141"/>
      <c r="G198" s="13" t="e">
        <f t="shared" si="191"/>
        <v>#DIV/0!</v>
      </c>
      <c r="H198" s="83"/>
      <c r="I198" s="125"/>
      <c r="J198" s="83">
        <f t="shared" si="192"/>
        <v>0</v>
      </c>
      <c r="K198" s="83">
        <f t="shared" si="193"/>
        <v>0</v>
      </c>
      <c r="L198" s="136" t="e">
        <f t="shared" si="194"/>
        <v>#DIV/0!</v>
      </c>
      <c r="M198" s="116"/>
      <c r="N198" s="121">
        <f t="shared" ref="N198:N200" si="195">F198*M198</f>
        <v>0</v>
      </c>
    </row>
    <row r="199" spans="1:14" ht="16">
      <c r="A199" s="138"/>
      <c r="B199" s="140" t="s">
        <v>49</v>
      </c>
      <c r="C199" s="83"/>
      <c r="D199" s="83"/>
      <c r="E199" s="11">
        <f t="shared" si="190"/>
        <v>0</v>
      </c>
      <c r="F199" s="141"/>
      <c r="G199" s="13" t="e">
        <f t="shared" si="191"/>
        <v>#DIV/0!</v>
      </c>
      <c r="H199" s="83"/>
      <c r="I199" s="125"/>
      <c r="J199" s="83">
        <f t="shared" si="192"/>
        <v>0</v>
      </c>
      <c r="K199" s="83">
        <f t="shared" si="193"/>
        <v>0</v>
      </c>
      <c r="L199" s="136" t="e">
        <f t="shared" si="194"/>
        <v>#DIV/0!</v>
      </c>
      <c r="M199" s="116"/>
      <c r="N199" s="121">
        <f t="shared" si="195"/>
        <v>0</v>
      </c>
    </row>
    <row r="200" spans="1:14" ht="16">
      <c r="A200" s="138"/>
      <c r="B200" s="140"/>
      <c r="C200" s="83"/>
      <c r="D200" s="83"/>
      <c r="E200" s="11">
        <f t="shared" si="190"/>
        <v>0</v>
      </c>
      <c r="F200" s="141"/>
      <c r="G200" s="13" t="e">
        <f t="shared" si="191"/>
        <v>#DIV/0!</v>
      </c>
      <c r="H200" s="83"/>
      <c r="I200" s="125"/>
      <c r="J200" s="83">
        <f t="shared" si="192"/>
        <v>0</v>
      </c>
      <c r="K200" s="83">
        <f t="shared" si="193"/>
        <v>0</v>
      </c>
      <c r="L200" s="136" t="e">
        <f t="shared" si="194"/>
        <v>#DIV/0!</v>
      </c>
      <c r="M200" s="116"/>
      <c r="N200" s="121">
        <f t="shared" si="195"/>
        <v>0</v>
      </c>
    </row>
    <row r="201" spans="1:14" ht="16">
      <c r="A201" s="59"/>
      <c r="B201" s="60"/>
      <c r="C201" s="59"/>
      <c r="D201" s="59" t="s">
        <v>19</v>
      </c>
      <c r="E201" s="59">
        <f t="shared" ref="E201:F201" si="196">SUM(E196:E200)</f>
        <v>0</v>
      </c>
      <c r="F201" s="59">
        <f t="shared" si="196"/>
        <v>0</v>
      </c>
      <c r="G201" s="61" t="e">
        <f>AVERAGE(G196:G200)</f>
        <v>#DIV/0!</v>
      </c>
      <c r="H201" s="59"/>
      <c r="I201" s="62"/>
      <c r="J201" s="59">
        <f t="shared" ref="J201:K201" si="197">SUM(J196:J200)</f>
        <v>0</v>
      </c>
      <c r="K201" s="59">
        <f t="shared" si="197"/>
        <v>0</v>
      </c>
      <c r="L201" s="61" t="e">
        <f>AVERAGE(L196:L200)</f>
        <v>#DIV/0!</v>
      </c>
      <c r="M201" s="64"/>
      <c r="N201" s="65">
        <f>SUM(N196:N200)</f>
        <v>8600000</v>
      </c>
    </row>
    <row r="202" spans="1:14" ht="16">
      <c r="A202" s="66">
        <v>45870</v>
      </c>
      <c r="B202" s="140" t="s">
        <v>50</v>
      </c>
      <c r="C202" s="83"/>
      <c r="D202" s="12"/>
      <c r="E202" s="36"/>
      <c r="F202" s="37"/>
      <c r="G202" s="13" t="e">
        <f t="shared" ref="G202:G206" si="198">(F202/E202)*100</f>
        <v>#DIV/0!</v>
      </c>
      <c r="H202" s="83"/>
      <c r="I202" s="126"/>
      <c r="J202" s="39">
        <f t="shared" ref="J202:J206" si="199">I202-H202</f>
        <v>0</v>
      </c>
      <c r="K202" s="39">
        <f t="shared" ref="K202:K206" si="200">F202</f>
        <v>0</v>
      </c>
      <c r="L202" s="136" t="e">
        <f t="shared" ref="L202:L206" si="201">(K202/J202)*100</f>
        <v>#DIV/0!</v>
      </c>
      <c r="M202" s="68"/>
      <c r="N202" s="47">
        <v>4000000</v>
      </c>
    </row>
    <row r="203" spans="1:14" ht="16">
      <c r="A203" s="138">
        <v>45883</v>
      </c>
      <c r="B203" s="140" t="s">
        <v>50</v>
      </c>
      <c r="C203" s="83"/>
      <c r="D203" s="83"/>
      <c r="E203" s="11">
        <f t="shared" ref="E203:E206" si="202">D203-C203</f>
        <v>0</v>
      </c>
      <c r="F203" s="141"/>
      <c r="G203" s="13" t="e">
        <f t="shared" si="198"/>
        <v>#DIV/0!</v>
      </c>
      <c r="H203" s="83"/>
      <c r="I203" s="125"/>
      <c r="J203" s="83">
        <f t="shared" si="199"/>
        <v>0</v>
      </c>
      <c r="K203" s="39">
        <f t="shared" si="200"/>
        <v>0</v>
      </c>
      <c r="L203" s="136" t="e">
        <f t="shared" si="201"/>
        <v>#DIV/0!</v>
      </c>
      <c r="M203" s="116"/>
      <c r="N203" s="47">
        <v>4000000</v>
      </c>
    </row>
    <row r="204" spans="1:14" ht="16">
      <c r="A204" s="138">
        <v>45899</v>
      </c>
      <c r="B204" s="140" t="s">
        <v>50</v>
      </c>
      <c r="C204" s="83"/>
      <c r="D204" s="83"/>
      <c r="E204" s="11">
        <f t="shared" si="202"/>
        <v>0</v>
      </c>
      <c r="F204" s="141"/>
      <c r="G204" s="13" t="e">
        <f t="shared" si="198"/>
        <v>#DIV/0!</v>
      </c>
      <c r="H204" s="83"/>
      <c r="I204" s="125"/>
      <c r="J204" s="83">
        <f t="shared" si="199"/>
        <v>0</v>
      </c>
      <c r="K204" s="39">
        <f t="shared" si="200"/>
        <v>0</v>
      </c>
      <c r="L204" s="136" t="e">
        <f t="shared" si="201"/>
        <v>#DIV/0!</v>
      </c>
      <c r="M204" s="116"/>
      <c r="N204" s="47">
        <v>4000000</v>
      </c>
    </row>
    <row r="205" spans="1:14" ht="16">
      <c r="A205" s="138"/>
      <c r="B205" s="140" t="s">
        <v>50</v>
      </c>
      <c r="C205" s="83"/>
      <c r="D205" s="83"/>
      <c r="E205" s="11">
        <f t="shared" si="202"/>
        <v>0</v>
      </c>
      <c r="F205" s="141"/>
      <c r="G205" s="13" t="e">
        <f t="shared" si="198"/>
        <v>#DIV/0!</v>
      </c>
      <c r="H205" s="83"/>
      <c r="I205" s="125"/>
      <c r="J205" s="83">
        <f t="shared" si="199"/>
        <v>0</v>
      </c>
      <c r="K205" s="39">
        <f t="shared" si="200"/>
        <v>0</v>
      </c>
      <c r="L205" s="136" t="e">
        <f t="shared" si="201"/>
        <v>#DIV/0!</v>
      </c>
      <c r="M205" s="116"/>
      <c r="N205" s="47">
        <f t="shared" ref="N205:N206" si="203">F205*M205</f>
        <v>0</v>
      </c>
    </row>
    <row r="206" spans="1:14" ht="16">
      <c r="A206" s="138"/>
      <c r="B206" s="140" t="s">
        <v>50</v>
      </c>
      <c r="C206" s="83"/>
      <c r="D206" s="83"/>
      <c r="E206" s="11">
        <f t="shared" si="202"/>
        <v>0</v>
      </c>
      <c r="F206" s="141"/>
      <c r="G206" s="13" t="e">
        <f t="shared" si="198"/>
        <v>#DIV/0!</v>
      </c>
      <c r="H206" s="83"/>
      <c r="I206" s="125"/>
      <c r="J206" s="83">
        <f t="shared" si="199"/>
        <v>0</v>
      </c>
      <c r="K206" s="83">
        <f t="shared" si="200"/>
        <v>0</v>
      </c>
      <c r="L206" s="136" t="e">
        <f t="shared" si="201"/>
        <v>#DIV/0!</v>
      </c>
      <c r="M206" s="116"/>
      <c r="N206" s="47">
        <f t="shared" si="203"/>
        <v>0</v>
      </c>
    </row>
    <row r="207" spans="1:14" ht="16">
      <c r="A207" s="59"/>
      <c r="B207" s="60"/>
      <c r="C207" s="59"/>
      <c r="D207" s="59" t="s">
        <v>19</v>
      </c>
      <c r="E207" s="59">
        <f t="shared" ref="E207:F207" si="204">SUM(E202:E206)</f>
        <v>0</v>
      </c>
      <c r="F207" s="59">
        <f t="shared" si="204"/>
        <v>0</v>
      </c>
      <c r="G207" s="61" t="e">
        <f>AVERAGE(G202:G206)</f>
        <v>#DIV/0!</v>
      </c>
      <c r="H207" s="59"/>
      <c r="I207" s="62"/>
      <c r="J207" s="59">
        <f t="shared" ref="J207:K207" si="205">SUM(J202:J206)</f>
        <v>0</v>
      </c>
      <c r="K207" s="59">
        <f t="shared" si="205"/>
        <v>0</v>
      </c>
      <c r="L207" s="61" t="e">
        <f>AVERAGE(L202:L206)</f>
        <v>#DIV/0!</v>
      </c>
      <c r="M207" s="64"/>
      <c r="N207" s="65">
        <f>SUM(N202:N206)</f>
        <v>12000000</v>
      </c>
    </row>
    <row r="208" spans="1:14" ht="16">
      <c r="A208" s="66">
        <v>45874</v>
      </c>
      <c r="B208" s="140" t="s">
        <v>51</v>
      </c>
      <c r="C208" s="83"/>
      <c r="D208" s="12"/>
      <c r="E208" s="11">
        <f t="shared" ref="E208:E212" si="206">D208-C208</f>
        <v>0</v>
      </c>
      <c r="F208" s="37"/>
      <c r="G208" s="13" t="e">
        <f t="shared" ref="G208:G212" si="207">(F208/E208)*100</f>
        <v>#DIV/0!</v>
      </c>
      <c r="H208" s="83"/>
      <c r="I208" s="126"/>
      <c r="J208" s="39">
        <f t="shared" ref="J208:J212" si="208">I208-H208</f>
        <v>0</v>
      </c>
      <c r="K208" s="39">
        <f t="shared" ref="K208:K212" si="209">F208</f>
        <v>0</v>
      </c>
      <c r="L208" s="136" t="e">
        <f t="shared" ref="L208:L212" si="210">(K208/J208)*100</f>
        <v>#DIV/0!</v>
      </c>
      <c r="M208" s="68"/>
      <c r="N208" s="42">
        <v>2900000</v>
      </c>
    </row>
    <row r="209" spans="1:14" ht="16">
      <c r="A209" s="138">
        <v>45882</v>
      </c>
      <c r="B209" s="140" t="s">
        <v>51</v>
      </c>
      <c r="C209" s="83"/>
      <c r="D209" s="83"/>
      <c r="E209" s="11">
        <f t="shared" si="206"/>
        <v>0</v>
      </c>
      <c r="F209" s="141"/>
      <c r="G209" s="13" t="e">
        <f t="shared" si="207"/>
        <v>#DIV/0!</v>
      </c>
      <c r="H209" s="83"/>
      <c r="I209" s="125"/>
      <c r="J209" s="83">
        <f t="shared" si="208"/>
        <v>0</v>
      </c>
      <c r="K209" s="83">
        <f t="shared" si="209"/>
        <v>0</v>
      </c>
      <c r="L209" s="136" t="e">
        <f t="shared" si="210"/>
        <v>#DIV/0!</v>
      </c>
      <c r="M209" s="116"/>
      <c r="N209" s="47">
        <v>2600000</v>
      </c>
    </row>
    <row r="210" spans="1:14" ht="16">
      <c r="A210" s="138">
        <v>45889</v>
      </c>
      <c r="B210" s="140" t="s">
        <v>51</v>
      </c>
      <c r="C210" s="83"/>
      <c r="D210" s="83"/>
      <c r="E210" s="11">
        <f t="shared" si="206"/>
        <v>0</v>
      </c>
      <c r="F210" s="141"/>
      <c r="G210" s="13" t="e">
        <f t="shared" si="207"/>
        <v>#DIV/0!</v>
      </c>
      <c r="H210" s="83"/>
      <c r="I210" s="125"/>
      <c r="J210" s="83">
        <f t="shared" si="208"/>
        <v>0</v>
      </c>
      <c r="K210" s="83">
        <f t="shared" si="209"/>
        <v>0</v>
      </c>
      <c r="L210" s="136" t="e">
        <f t="shared" si="210"/>
        <v>#DIV/0!</v>
      </c>
      <c r="M210" s="116"/>
      <c r="N210" s="47">
        <v>2700000</v>
      </c>
    </row>
    <row r="211" spans="1:14" ht="16">
      <c r="A211" s="138">
        <v>45898</v>
      </c>
      <c r="B211" s="140" t="s">
        <v>51</v>
      </c>
      <c r="C211" s="83"/>
      <c r="D211" s="83"/>
      <c r="E211" s="11">
        <f t="shared" si="206"/>
        <v>0</v>
      </c>
      <c r="F211" s="141"/>
      <c r="G211" s="13" t="e">
        <f t="shared" si="207"/>
        <v>#DIV/0!</v>
      </c>
      <c r="H211" s="83"/>
      <c r="I211" s="125"/>
      <c r="J211" s="83">
        <f t="shared" si="208"/>
        <v>0</v>
      </c>
      <c r="K211" s="83">
        <f t="shared" si="209"/>
        <v>0</v>
      </c>
      <c r="L211" s="136" t="e">
        <f t="shared" si="210"/>
        <v>#DIV/0!</v>
      </c>
      <c r="M211" s="116"/>
      <c r="N211" s="47">
        <v>2700000</v>
      </c>
    </row>
    <row r="212" spans="1:14" ht="16">
      <c r="A212" s="138"/>
      <c r="B212" s="140"/>
      <c r="C212" s="83"/>
      <c r="D212" s="83"/>
      <c r="E212" s="11">
        <f t="shared" si="206"/>
        <v>0</v>
      </c>
      <c r="F212" s="141"/>
      <c r="G212" s="13" t="e">
        <f t="shared" si="207"/>
        <v>#DIV/0!</v>
      </c>
      <c r="H212" s="83"/>
      <c r="I212" s="125"/>
      <c r="J212" s="83">
        <f t="shared" si="208"/>
        <v>0</v>
      </c>
      <c r="K212" s="83">
        <f t="shared" si="209"/>
        <v>0</v>
      </c>
      <c r="L212" s="136" t="e">
        <f t="shared" si="210"/>
        <v>#DIV/0!</v>
      </c>
      <c r="M212" s="116"/>
      <c r="N212" s="47">
        <f>M212*K212</f>
        <v>0</v>
      </c>
    </row>
    <row r="213" spans="1:14" ht="16">
      <c r="A213" s="59"/>
      <c r="B213" s="60"/>
      <c r="C213" s="59"/>
      <c r="D213" s="59" t="s">
        <v>19</v>
      </c>
      <c r="E213" s="59">
        <f t="shared" ref="E213:F213" si="211">SUM(E208:E212)</f>
        <v>0</v>
      </c>
      <c r="F213" s="59">
        <f t="shared" si="211"/>
        <v>0</v>
      </c>
      <c r="G213" s="61" t="e">
        <f>AVERAGE(G208:G212)</f>
        <v>#DIV/0!</v>
      </c>
      <c r="H213" s="59"/>
      <c r="I213" s="62"/>
      <c r="J213" s="59">
        <f t="shared" ref="J213:K213" si="212">SUM(J208:J212)</f>
        <v>0</v>
      </c>
      <c r="K213" s="59">
        <f t="shared" si="212"/>
        <v>0</v>
      </c>
      <c r="L213" s="61" t="e">
        <f>AVERAGE(L208:L212)</f>
        <v>#DIV/0!</v>
      </c>
      <c r="M213" s="64"/>
      <c r="N213" s="65">
        <f>SUM(N208:N212)</f>
        <v>10900000</v>
      </c>
    </row>
    <row r="214" spans="1:14" ht="16">
      <c r="A214" s="66">
        <v>45873</v>
      </c>
      <c r="B214" s="140" t="s">
        <v>90</v>
      </c>
      <c r="C214" s="83"/>
      <c r="D214" s="12"/>
      <c r="E214" s="36">
        <f t="shared" ref="E214:E218" si="213">D214-C214</f>
        <v>0</v>
      </c>
      <c r="F214" s="37"/>
      <c r="G214" s="13" t="e">
        <f t="shared" ref="G214:G218" si="214">(F214/E214)*100</f>
        <v>#DIV/0!</v>
      </c>
      <c r="H214" s="83"/>
      <c r="I214" s="126"/>
      <c r="J214" s="39">
        <f t="shared" ref="J214:J218" si="215">I214-H214</f>
        <v>0</v>
      </c>
      <c r="K214" s="39">
        <f t="shared" ref="K214:K218" si="216">F214</f>
        <v>0</v>
      </c>
      <c r="L214" s="136" t="e">
        <f t="shared" ref="L214:L218" si="217">(K214/J214)*100</f>
        <v>#DIV/0!</v>
      </c>
      <c r="M214" s="68"/>
      <c r="N214" s="121">
        <v>9500000</v>
      </c>
    </row>
    <row r="215" spans="1:14" ht="16">
      <c r="A215" s="138">
        <v>45888</v>
      </c>
      <c r="B215" s="140" t="s">
        <v>90</v>
      </c>
      <c r="C215" s="83"/>
      <c r="D215" s="83"/>
      <c r="E215" s="11">
        <f t="shared" si="213"/>
        <v>0</v>
      </c>
      <c r="F215" s="141"/>
      <c r="G215" s="13" t="e">
        <f t="shared" si="214"/>
        <v>#DIV/0!</v>
      </c>
      <c r="H215" s="83"/>
      <c r="I215" s="125"/>
      <c r="J215" s="83">
        <f t="shared" si="215"/>
        <v>0</v>
      </c>
      <c r="K215" s="83">
        <f t="shared" si="216"/>
        <v>0</v>
      </c>
      <c r="L215" s="136" t="e">
        <f t="shared" si="217"/>
        <v>#DIV/0!</v>
      </c>
      <c r="M215" s="116"/>
      <c r="N215" s="121">
        <v>9000000</v>
      </c>
    </row>
    <row r="216" spans="1:14" ht="16">
      <c r="A216" s="138"/>
      <c r="B216" s="140" t="s">
        <v>90</v>
      </c>
      <c r="C216" s="83"/>
      <c r="D216" s="83"/>
      <c r="E216" s="11">
        <f t="shared" si="213"/>
        <v>0</v>
      </c>
      <c r="F216" s="141"/>
      <c r="G216" s="13" t="e">
        <f t="shared" si="214"/>
        <v>#DIV/0!</v>
      </c>
      <c r="H216" s="83"/>
      <c r="I216" s="125"/>
      <c r="J216" s="83">
        <f t="shared" si="215"/>
        <v>0</v>
      </c>
      <c r="K216" s="83">
        <f t="shared" si="216"/>
        <v>0</v>
      </c>
      <c r="L216" s="136" t="e">
        <f t="shared" si="217"/>
        <v>#DIV/0!</v>
      </c>
      <c r="M216" s="116"/>
      <c r="N216" s="121">
        <f t="shared" ref="N216:N218" si="218">F216*M216</f>
        <v>0</v>
      </c>
    </row>
    <row r="217" spans="1:14" ht="16">
      <c r="A217" s="138"/>
      <c r="B217" s="140" t="s">
        <v>90</v>
      </c>
      <c r="C217" s="83"/>
      <c r="D217" s="83"/>
      <c r="E217" s="11">
        <f t="shared" si="213"/>
        <v>0</v>
      </c>
      <c r="F217" s="141"/>
      <c r="G217" s="13" t="e">
        <f t="shared" si="214"/>
        <v>#DIV/0!</v>
      </c>
      <c r="H217" s="83"/>
      <c r="I217" s="125"/>
      <c r="J217" s="83">
        <f t="shared" si="215"/>
        <v>0</v>
      </c>
      <c r="K217" s="83">
        <f t="shared" si="216"/>
        <v>0</v>
      </c>
      <c r="L217" s="136" t="e">
        <f t="shared" si="217"/>
        <v>#DIV/0!</v>
      </c>
      <c r="M217" s="116"/>
      <c r="N217" s="121">
        <f t="shared" si="218"/>
        <v>0</v>
      </c>
    </row>
    <row r="218" spans="1:14" ht="16">
      <c r="A218" s="138"/>
      <c r="B218" s="140"/>
      <c r="C218" s="83"/>
      <c r="D218" s="83"/>
      <c r="E218" s="11">
        <f t="shared" si="213"/>
        <v>0</v>
      </c>
      <c r="F218" s="141"/>
      <c r="G218" s="13" t="e">
        <f t="shared" si="214"/>
        <v>#DIV/0!</v>
      </c>
      <c r="H218" s="83"/>
      <c r="I218" s="125"/>
      <c r="J218" s="83">
        <f t="shared" si="215"/>
        <v>0</v>
      </c>
      <c r="K218" s="83">
        <f t="shared" si="216"/>
        <v>0</v>
      </c>
      <c r="L218" s="136" t="e">
        <f t="shared" si="217"/>
        <v>#DIV/0!</v>
      </c>
      <c r="M218" s="116"/>
      <c r="N218" s="121">
        <f t="shared" si="218"/>
        <v>0</v>
      </c>
    </row>
    <row r="219" spans="1:14" ht="16">
      <c r="A219" s="59"/>
      <c r="B219" s="60"/>
      <c r="C219" s="59"/>
      <c r="D219" s="59"/>
      <c r="E219" s="59">
        <f t="shared" ref="E219:F219" si="219">SUM(E214:E218)</f>
        <v>0</v>
      </c>
      <c r="F219" s="59">
        <f t="shared" si="219"/>
        <v>0</v>
      </c>
      <c r="G219" s="61" t="e">
        <f>AVERAGE(G214:G218)</f>
        <v>#DIV/0!</v>
      </c>
      <c r="H219" s="59"/>
      <c r="I219" s="62"/>
      <c r="J219" s="59">
        <f t="shared" ref="J219:K219" si="220">SUM(J214:J218)</f>
        <v>0</v>
      </c>
      <c r="K219" s="59">
        <f t="shared" si="220"/>
        <v>0</v>
      </c>
      <c r="L219" s="61" t="e">
        <f>AVERAGE(L214:L218)</f>
        <v>#DIV/0!</v>
      </c>
      <c r="M219" s="64"/>
      <c r="N219" s="65">
        <f>SUM(N214:N218)</f>
        <v>18500000</v>
      </c>
    </row>
    <row r="220" spans="1:14" ht="16">
      <c r="A220" s="66">
        <v>45875</v>
      </c>
      <c r="B220" s="140" t="s">
        <v>54</v>
      </c>
      <c r="C220" s="83"/>
      <c r="D220" s="12"/>
      <c r="E220" s="36">
        <f t="shared" ref="E220:E225" si="221">D220-C220</f>
        <v>0</v>
      </c>
      <c r="F220" s="37"/>
      <c r="G220" s="13" t="e">
        <f t="shared" ref="G220:G225" si="222">(F220/E220)*100</f>
        <v>#DIV/0!</v>
      </c>
      <c r="H220" s="83"/>
      <c r="I220" s="126"/>
      <c r="J220" s="39">
        <f t="shared" ref="J220:J227" si="223">I220-H220</f>
        <v>0</v>
      </c>
      <c r="K220" s="39"/>
      <c r="L220" s="136" t="e">
        <f t="shared" ref="L220:L227" si="224">(K220/J220)*100</f>
        <v>#DIV/0!</v>
      </c>
      <c r="M220" s="68"/>
      <c r="N220" s="42">
        <v>5000000</v>
      </c>
    </row>
    <row r="221" spans="1:14" ht="16">
      <c r="A221" s="66">
        <v>45880</v>
      </c>
      <c r="B221" s="140" t="s">
        <v>54</v>
      </c>
      <c r="C221" s="83"/>
      <c r="D221" s="83"/>
      <c r="E221" s="11">
        <f t="shared" si="221"/>
        <v>0</v>
      </c>
      <c r="F221" s="141"/>
      <c r="G221" s="13" t="e">
        <f t="shared" si="222"/>
        <v>#DIV/0!</v>
      </c>
      <c r="H221" s="83"/>
      <c r="I221" s="125"/>
      <c r="J221" s="83">
        <f t="shared" si="223"/>
        <v>0</v>
      </c>
      <c r="K221" s="83">
        <f t="shared" ref="K221:K227" si="225">F221</f>
        <v>0</v>
      </c>
      <c r="L221" s="136" t="e">
        <f t="shared" si="224"/>
        <v>#DIV/0!</v>
      </c>
      <c r="M221" s="116"/>
      <c r="N221" s="47">
        <v>2000000</v>
      </c>
    </row>
    <row r="222" spans="1:14" ht="16">
      <c r="A222" s="138">
        <v>45881</v>
      </c>
      <c r="B222" s="140" t="s">
        <v>54</v>
      </c>
      <c r="C222" s="83"/>
      <c r="D222" s="83"/>
      <c r="E222" s="11">
        <f t="shared" si="221"/>
        <v>0</v>
      </c>
      <c r="F222" s="141"/>
      <c r="G222" s="13" t="e">
        <f t="shared" si="222"/>
        <v>#DIV/0!</v>
      </c>
      <c r="H222" s="83"/>
      <c r="I222" s="125"/>
      <c r="J222" s="83">
        <f t="shared" si="223"/>
        <v>0</v>
      </c>
      <c r="K222" s="83">
        <f t="shared" si="225"/>
        <v>0</v>
      </c>
      <c r="L222" s="136" t="e">
        <f t="shared" si="224"/>
        <v>#DIV/0!</v>
      </c>
      <c r="M222" s="116"/>
      <c r="N222" s="47">
        <v>4000000</v>
      </c>
    </row>
    <row r="223" spans="1:14" ht="16">
      <c r="A223" s="138">
        <v>45883</v>
      </c>
      <c r="B223" s="140" t="s">
        <v>54</v>
      </c>
      <c r="C223" s="83"/>
      <c r="D223" s="83"/>
      <c r="E223" s="11">
        <f t="shared" si="221"/>
        <v>0</v>
      </c>
      <c r="F223" s="141"/>
      <c r="G223" s="13" t="e">
        <f t="shared" si="222"/>
        <v>#DIV/0!</v>
      </c>
      <c r="H223" s="83"/>
      <c r="I223" s="125"/>
      <c r="J223" s="83">
        <f t="shared" si="223"/>
        <v>0</v>
      </c>
      <c r="K223" s="83">
        <f t="shared" si="225"/>
        <v>0</v>
      </c>
      <c r="L223" s="136" t="e">
        <f t="shared" si="224"/>
        <v>#DIV/0!</v>
      </c>
      <c r="M223" s="116"/>
      <c r="N223" s="47">
        <v>4000000</v>
      </c>
    </row>
    <row r="224" spans="1:14" ht="16">
      <c r="A224" s="138">
        <v>45888</v>
      </c>
      <c r="B224" s="140" t="s">
        <v>54</v>
      </c>
      <c r="C224" s="83"/>
      <c r="D224" s="83"/>
      <c r="E224" s="11">
        <f t="shared" si="221"/>
        <v>0</v>
      </c>
      <c r="F224" s="141"/>
      <c r="G224" s="13" t="e">
        <f t="shared" si="222"/>
        <v>#DIV/0!</v>
      </c>
      <c r="H224" s="83"/>
      <c r="I224" s="125"/>
      <c r="J224" s="83">
        <f t="shared" si="223"/>
        <v>0</v>
      </c>
      <c r="K224" s="83">
        <f t="shared" si="225"/>
        <v>0</v>
      </c>
      <c r="L224" s="136" t="e">
        <f t="shared" si="224"/>
        <v>#DIV/0!</v>
      </c>
      <c r="M224" s="116"/>
      <c r="N224" s="47">
        <v>5000000</v>
      </c>
    </row>
    <row r="225" spans="1:14" ht="16">
      <c r="A225" s="138">
        <v>45891</v>
      </c>
      <c r="B225" s="140" t="s">
        <v>54</v>
      </c>
      <c r="C225" s="83"/>
      <c r="D225" s="83"/>
      <c r="E225" s="11">
        <f t="shared" si="221"/>
        <v>0</v>
      </c>
      <c r="F225" s="141"/>
      <c r="G225" s="13" t="e">
        <f t="shared" si="222"/>
        <v>#DIV/0!</v>
      </c>
      <c r="H225" s="83"/>
      <c r="I225" s="125"/>
      <c r="J225" s="83">
        <f t="shared" si="223"/>
        <v>0</v>
      </c>
      <c r="K225" s="83">
        <f t="shared" si="225"/>
        <v>0</v>
      </c>
      <c r="L225" s="136" t="e">
        <f t="shared" si="224"/>
        <v>#DIV/0!</v>
      </c>
      <c r="M225" s="116"/>
      <c r="N225" s="47">
        <v>4000000</v>
      </c>
    </row>
    <row r="226" spans="1:14" ht="16">
      <c r="A226" s="139">
        <v>45897</v>
      </c>
      <c r="B226" s="140" t="s">
        <v>54</v>
      </c>
      <c r="C226" s="83"/>
      <c r="D226" s="83"/>
      <c r="E226" s="11"/>
      <c r="F226" s="141"/>
      <c r="G226" s="13"/>
      <c r="H226" s="83"/>
      <c r="I226" s="125"/>
      <c r="J226" s="83">
        <f t="shared" si="223"/>
        <v>0</v>
      </c>
      <c r="K226" s="83">
        <f t="shared" si="225"/>
        <v>0</v>
      </c>
      <c r="L226" s="136" t="e">
        <f t="shared" si="224"/>
        <v>#DIV/0!</v>
      </c>
      <c r="M226" s="116"/>
      <c r="N226" s="47">
        <v>5000000</v>
      </c>
    </row>
    <row r="227" spans="1:14" ht="16">
      <c r="A227" s="138"/>
      <c r="B227" s="140" t="s">
        <v>54</v>
      </c>
      <c r="C227" s="83"/>
      <c r="D227" s="83"/>
      <c r="E227" s="11">
        <f>D227-C227</f>
        <v>0</v>
      </c>
      <c r="F227" s="141"/>
      <c r="G227" s="13" t="e">
        <f>(F227/E227)*100</f>
        <v>#DIV/0!</v>
      </c>
      <c r="H227" s="83"/>
      <c r="I227" s="125"/>
      <c r="J227" s="83">
        <f t="shared" si="223"/>
        <v>0</v>
      </c>
      <c r="K227" s="83">
        <f t="shared" si="225"/>
        <v>0</v>
      </c>
      <c r="L227" s="136" t="e">
        <f t="shared" si="224"/>
        <v>#DIV/0!</v>
      </c>
      <c r="M227" s="116"/>
      <c r="N227" s="47">
        <f>M227*F227</f>
        <v>0</v>
      </c>
    </row>
    <row r="228" spans="1:14" ht="16">
      <c r="A228" s="59"/>
      <c r="B228" s="60"/>
      <c r="C228" s="59"/>
      <c r="D228" s="59" t="s">
        <v>19</v>
      </c>
      <c r="E228" s="59">
        <f t="shared" ref="E228:F228" si="226">SUM(E220:E227)</f>
        <v>0</v>
      </c>
      <c r="F228" s="59">
        <f t="shared" si="226"/>
        <v>0</v>
      </c>
      <c r="G228" s="61" t="e">
        <f>AVERAGE(G220:G227)</f>
        <v>#DIV/0!</v>
      </c>
      <c r="H228" s="59"/>
      <c r="I228" s="62"/>
      <c r="J228" s="59">
        <f t="shared" ref="J228:K228" si="227">SUM(J220:J227)</f>
        <v>0</v>
      </c>
      <c r="K228" s="59">
        <f t="shared" si="227"/>
        <v>0</v>
      </c>
      <c r="L228" s="61" t="e">
        <f>AVERAGE(L220:L227)</f>
        <v>#DIV/0!</v>
      </c>
      <c r="M228" s="64"/>
      <c r="N228" s="65">
        <f>SUM(N220:N227)</f>
        <v>29000000</v>
      </c>
    </row>
    <row r="229" spans="1:14" ht="16">
      <c r="A229" s="66">
        <v>45870</v>
      </c>
      <c r="B229" s="140" t="s">
        <v>69</v>
      </c>
      <c r="C229" s="83"/>
      <c r="D229" s="12"/>
      <c r="E229" s="36">
        <f t="shared" ref="E229:E234" si="228">D229-C229</f>
        <v>0</v>
      </c>
      <c r="F229" s="37"/>
      <c r="G229" s="13" t="e">
        <f t="shared" ref="G229:G234" si="229">(F229/E229)*100</f>
        <v>#DIV/0!</v>
      </c>
      <c r="H229" s="83"/>
      <c r="I229" s="126"/>
      <c r="J229" s="39">
        <f t="shared" ref="J229:J234" si="230">I229-H229</f>
        <v>0</v>
      </c>
      <c r="K229" s="39">
        <f t="shared" ref="K229:K234" si="231">F229</f>
        <v>0</v>
      </c>
      <c r="L229" s="136" t="e">
        <f t="shared" ref="L229:L234" si="232">(K229/J229)*100</f>
        <v>#DIV/0!</v>
      </c>
      <c r="M229" s="68"/>
      <c r="N229" s="42">
        <v>6500000</v>
      </c>
    </row>
    <row r="230" spans="1:14" ht="16">
      <c r="A230" s="138">
        <v>45875</v>
      </c>
      <c r="B230" s="140" t="s">
        <v>69</v>
      </c>
      <c r="C230" s="83"/>
      <c r="D230" s="83"/>
      <c r="E230" s="11">
        <f t="shared" si="228"/>
        <v>0</v>
      </c>
      <c r="F230" s="141"/>
      <c r="G230" s="13" t="e">
        <f t="shared" si="229"/>
        <v>#DIV/0!</v>
      </c>
      <c r="H230" s="83"/>
      <c r="I230" s="125"/>
      <c r="J230" s="83">
        <f t="shared" si="230"/>
        <v>0</v>
      </c>
      <c r="K230" s="39">
        <f t="shared" si="231"/>
        <v>0</v>
      </c>
      <c r="L230" s="136" t="e">
        <f t="shared" si="232"/>
        <v>#DIV/0!</v>
      </c>
      <c r="M230" s="116"/>
      <c r="N230" s="47">
        <v>4500000</v>
      </c>
    </row>
    <row r="231" spans="1:14" ht="16">
      <c r="A231" s="138">
        <v>45883</v>
      </c>
      <c r="B231" s="140" t="s">
        <v>69</v>
      </c>
      <c r="C231" s="83"/>
      <c r="D231" s="83"/>
      <c r="E231" s="11">
        <f t="shared" si="228"/>
        <v>0</v>
      </c>
      <c r="F231" s="141"/>
      <c r="G231" s="13" t="e">
        <f t="shared" si="229"/>
        <v>#DIV/0!</v>
      </c>
      <c r="H231" s="83"/>
      <c r="I231" s="125"/>
      <c r="J231" s="83">
        <f t="shared" si="230"/>
        <v>0</v>
      </c>
      <c r="K231" s="39">
        <f t="shared" si="231"/>
        <v>0</v>
      </c>
      <c r="L231" s="136" t="e">
        <f t="shared" si="232"/>
        <v>#DIV/0!</v>
      </c>
      <c r="M231" s="116"/>
      <c r="N231" s="47">
        <v>5000000</v>
      </c>
    </row>
    <row r="232" spans="1:14" ht="16">
      <c r="A232" s="138">
        <v>45885</v>
      </c>
      <c r="B232" s="140" t="s">
        <v>69</v>
      </c>
      <c r="C232" s="83"/>
      <c r="D232" s="83"/>
      <c r="E232" s="11">
        <f t="shared" si="228"/>
        <v>0</v>
      </c>
      <c r="F232" s="141"/>
      <c r="G232" s="13" t="e">
        <f t="shared" si="229"/>
        <v>#DIV/0!</v>
      </c>
      <c r="H232" s="83"/>
      <c r="I232" s="125"/>
      <c r="J232" s="83">
        <f t="shared" si="230"/>
        <v>0</v>
      </c>
      <c r="K232" s="39">
        <f t="shared" si="231"/>
        <v>0</v>
      </c>
      <c r="L232" s="136" t="e">
        <f t="shared" si="232"/>
        <v>#DIV/0!</v>
      </c>
      <c r="M232" s="116"/>
      <c r="N232" s="47">
        <v>1000000</v>
      </c>
    </row>
    <row r="233" spans="1:14" ht="16">
      <c r="A233" s="138">
        <v>45898</v>
      </c>
      <c r="B233" s="140" t="s">
        <v>69</v>
      </c>
      <c r="C233" s="83"/>
      <c r="D233" s="83"/>
      <c r="E233" s="11">
        <f t="shared" si="228"/>
        <v>0</v>
      </c>
      <c r="F233" s="141"/>
      <c r="G233" s="13" t="e">
        <f t="shared" si="229"/>
        <v>#DIV/0!</v>
      </c>
      <c r="H233" s="83"/>
      <c r="I233" s="125"/>
      <c r="J233" s="83">
        <f t="shared" si="230"/>
        <v>0</v>
      </c>
      <c r="K233" s="39">
        <f t="shared" si="231"/>
        <v>0</v>
      </c>
      <c r="L233" s="136" t="e">
        <f t="shared" si="232"/>
        <v>#DIV/0!</v>
      </c>
      <c r="M233" s="116"/>
      <c r="N233" s="47">
        <v>1000000</v>
      </c>
    </row>
    <row r="234" spans="1:14" ht="16">
      <c r="A234" s="138">
        <v>45899</v>
      </c>
      <c r="B234" s="140" t="s">
        <v>69</v>
      </c>
      <c r="C234" s="83"/>
      <c r="D234" s="83"/>
      <c r="E234" s="11">
        <f t="shared" si="228"/>
        <v>0</v>
      </c>
      <c r="F234" s="141"/>
      <c r="G234" s="13" t="e">
        <f t="shared" si="229"/>
        <v>#DIV/0!</v>
      </c>
      <c r="H234" s="83"/>
      <c r="I234" s="125"/>
      <c r="J234" s="83">
        <f t="shared" si="230"/>
        <v>0</v>
      </c>
      <c r="K234" s="83">
        <f t="shared" si="231"/>
        <v>0</v>
      </c>
      <c r="L234" s="136" t="e">
        <f t="shared" si="232"/>
        <v>#DIV/0!</v>
      </c>
      <c r="M234" s="116"/>
      <c r="N234" s="47">
        <v>1000000</v>
      </c>
    </row>
    <row r="235" spans="1:14" ht="16">
      <c r="A235" s="59"/>
      <c r="B235" s="60"/>
      <c r="C235" s="59"/>
      <c r="D235" s="59" t="s">
        <v>19</v>
      </c>
      <c r="E235" s="59">
        <f t="shared" ref="E235:F235" si="233">SUM(E229:E234)</f>
        <v>0</v>
      </c>
      <c r="F235" s="59">
        <f t="shared" si="233"/>
        <v>0</v>
      </c>
      <c r="G235" s="61" t="e">
        <f>AVERAGE(G229:G234)</f>
        <v>#DIV/0!</v>
      </c>
      <c r="H235" s="59"/>
      <c r="I235" s="62"/>
      <c r="J235" s="59">
        <f t="shared" ref="J235:K235" si="234">SUM(J229:J234)</f>
        <v>0</v>
      </c>
      <c r="K235" s="59">
        <f t="shared" si="234"/>
        <v>0</v>
      </c>
      <c r="L235" s="61" t="e">
        <f>AVERAGE(L229:L234)</f>
        <v>#DIV/0!</v>
      </c>
      <c r="M235" s="64"/>
      <c r="N235" s="65">
        <f>SUM(N229:N234)</f>
        <v>19000000</v>
      </c>
    </row>
    <row r="236" spans="1:14" ht="16">
      <c r="A236" s="66">
        <v>45897</v>
      </c>
      <c r="B236" s="207" t="s">
        <v>63</v>
      </c>
      <c r="C236" s="83">
        <v>133770</v>
      </c>
      <c r="D236" s="12"/>
      <c r="E236" s="36">
        <f t="shared" ref="E236:E241" si="235">D236-C236</f>
        <v>-133770</v>
      </c>
      <c r="F236" s="37">
        <v>240.22</v>
      </c>
      <c r="G236" s="13">
        <f t="shared" ref="G236:G241" si="236">(F236/E236)*100</f>
        <v>-0.17957688569933469</v>
      </c>
      <c r="H236" s="83">
        <v>123</v>
      </c>
      <c r="I236" s="126"/>
      <c r="J236" s="39">
        <f t="shared" ref="J236:J241" si="237">I236-H236</f>
        <v>-123</v>
      </c>
      <c r="K236" s="39">
        <f t="shared" ref="K236:K241" si="238">F236</f>
        <v>240.22</v>
      </c>
      <c r="L236" s="136">
        <f t="shared" ref="L236:L241" si="239">(K236/J236)*100</f>
        <v>-195.30081300813006</v>
      </c>
      <c r="M236" s="68">
        <v>17900</v>
      </c>
      <c r="N236" s="42">
        <f t="shared" ref="N236:N241" si="240">M236*F236</f>
        <v>4299938</v>
      </c>
    </row>
    <row r="237" spans="1:14" ht="16">
      <c r="A237" s="33"/>
      <c r="B237" s="44"/>
      <c r="C237" s="35"/>
      <c r="D237" s="83"/>
      <c r="E237" s="11">
        <f t="shared" si="235"/>
        <v>0</v>
      </c>
      <c r="F237" s="141"/>
      <c r="G237" s="13" t="e">
        <f t="shared" si="236"/>
        <v>#DIV/0!</v>
      </c>
      <c r="H237" s="83"/>
      <c r="I237" s="125"/>
      <c r="J237" s="83">
        <f t="shared" si="237"/>
        <v>0</v>
      </c>
      <c r="K237" s="35">
        <f t="shared" si="238"/>
        <v>0</v>
      </c>
      <c r="L237" s="136" t="e">
        <f t="shared" si="239"/>
        <v>#DIV/0!</v>
      </c>
      <c r="M237" s="116"/>
      <c r="N237" s="47">
        <f t="shared" si="240"/>
        <v>0</v>
      </c>
    </row>
    <row r="238" spans="1:14" ht="16">
      <c r="A238" s="33"/>
      <c r="B238" s="44"/>
      <c r="C238" s="35"/>
      <c r="D238" s="83"/>
      <c r="E238" s="11">
        <f t="shared" si="235"/>
        <v>0</v>
      </c>
      <c r="F238" s="141"/>
      <c r="G238" s="13" t="e">
        <f t="shared" si="236"/>
        <v>#DIV/0!</v>
      </c>
      <c r="H238" s="83"/>
      <c r="I238" s="125"/>
      <c r="J238" s="83">
        <f t="shared" si="237"/>
        <v>0</v>
      </c>
      <c r="K238" s="35">
        <f t="shared" si="238"/>
        <v>0</v>
      </c>
      <c r="L238" s="136" t="e">
        <f t="shared" si="239"/>
        <v>#DIV/0!</v>
      </c>
      <c r="M238" s="116"/>
      <c r="N238" s="47">
        <f t="shared" si="240"/>
        <v>0</v>
      </c>
    </row>
    <row r="239" spans="1:14" ht="16">
      <c r="A239" s="33"/>
      <c r="B239" s="44"/>
      <c r="C239" s="35"/>
      <c r="D239" s="83"/>
      <c r="E239" s="11">
        <f t="shared" si="235"/>
        <v>0</v>
      </c>
      <c r="F239" s="141"/>
      <c r="G239" s="13" t="e">
        <f t="shared" si="236"/>
        <v>#DIV/0!</v>
      </c>
      <c r="H239" s="83"/>
      <c r="I239" s="125"/>
      <c r="J239" s="83">
        <f t="shared" si="237"/>
        <v>0</v>
      </c>
      <c r="K239" s="35">
        <f t="shared" si="238"/>
        <v>0</v>
      </c>
      <c r="L239" s="136" t="e">
        <f t="shared" si="239"/>
        <v>#DIV/0!</v>
      </c>
      <c r="M239" s="116"/>
      <c r="N239" s="47">
        <f t="shared" si="240"/>
        <v>0</v>
      </c>
    </row>
    <row r="240" spans="1:14" ht="16">
      <c r="A240" s="33"/>
      <c r="B240" s="79"/>
      <c r="C240" s="35"/>
      <c r="D240" s="83"/>
      <c r="E240" s="11">
        <f t="shared" si="235"/>
        <v>0</v>
      </c>
      <c r="F240" s="141"/>
      <c r="G240" s="13" t="e">
        <f t="shared" si="236"/>
        <v>#DIV/0!</v>
      </c>
      <c r="H240" s="83"/>
      <c r="I240" s="125"/>
      <c r="J240" s="83">
        <f t="shared" si="237"/>
        <v>0</v>
      </c>
      <c r="K240" s="35">
        <f t="shared" si="238"/>
        <v>0</v>
      </c>
      <c r="L240" s="136" t="e">
        <f t="shared" si="239"/>
        <v>#DIV/0!</v>
      </c>
      <c r="M240" s="116"/>
      <c r="N240" s="47">
        <f t="shared" si="240"/>
        <v>0</v>
      </c>
    </row>
    <row r="241" spans="1:14" ht="16">
      <c r="A241" s="138"/>
      <c r="B241" s="140"/>
      <c r="C241" s="83"/>
      <c r="D241" s="83"/>
      <c r="E241" s="11">
        <f t="shared" si="235"/>
        <v>0</v>
      </c>
      <c r="F241" s="141"/>
      <c r="G241" s="13" t="e">
        <f t="shared" si="236"/>
        <v>#DIV/0!</v>
      </c>
      <c r="H241" s="83"/>
      <c r="I241" s="125"/>
      <c r="J241" s="83">
        <f t="shared" si="237"/>
        <v>0</v>
      </c>
      <c r="K241" s="83">
        <f t="shared" si="238"/>
        <v>0</v>
      </c>
      <c r="L241" s="136" t="e">
        <f t="shared" si="239"/>
        <v>#DIV/0!</v>
      </c>
      <c r="M241" s="116"/>
      <c r="N241" s="47">
        <f t="shared" si="240"/>
        <v>0</v>
      </c>
    </row>
    <row r="242" spans="1:14" ht="16">
      <c r="A242" s="59"/>
      <c r="B242" s="60"/>
      <c r="C242" s="59"/>
      <c r="D242" s="59" t="s">
        <v>19</v>
      </c>
      <c r="E242" s="59">
        <f t="shared" ref="E242:F242" si="241">SUM(E236:E241)</f>
        <v>-133770</v>
      </c>
      <c r="F242" s="59">
        <f t="shared" si="241"/>
        <v>240.22</v>
      </c>
      <c r="G242" s="61" t="e">
        <f>AVERAGE(G236:G241)</f>
        <v>#DIV/0!</v>
      </c>
      <c r="H242" s="59"/>
      <c r="I242" s="62"/>
      <c r="J242" s="59">
        <f t="shared" ref="J242:K242" si="242">SUM(J236:J241)</f>
        <v>-123</v>
      </c>
      <c r="K242" s="59">
        <f t="shared" si="242"/>
        <v>240.22</v>
      </c>
      <c r="L242" s="61" t="e">
        <f>AVERAGE(L236:L241)</f>
        <v>#DIV/0!</v>
      </c>
      <c r="M242" s="64"/>
      <c r="N242" s="65">
        <f>SUM(N236:N241)</f>
        <v>4299938</v>
      </c>
    </row>
    <row r="243" spans="1:14" ht="14">
      <c r="A243" s="354" t="s">
        <v>64</v>
      </c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6"/>
      <c r="M243" s="64"/>
      <c r="N243" s="65">
        <f>SUM(N178:N242)/2</f>
        <v>141489915.80000001</v>
      </c>
    </row>
    <row r="244" spans="1:14" ht="13">
      <c r="G244" s="150"/>
      <c r="L244" s="150"/>
      <c r="N244" s="151"/>
    </row>
    <row r="245" spans="1:14" ht="13">
      <c r="G245" s="150"/>
      <c r="L245" s="150"/>
      <c r="N245" s="151">
        <v>124719013</v>
      </c>
    </row>
    <row r="246" spans="1:14" ht="13">
      <c r="G246" s="150"/>
      <c r="L246" s="150"/>
      <c r="N246" s="151"/>
    </row>
    <row r="247" spans="1:14" ht="13">
      <c r="G247" s="150"/>
      <c r="L247" s="150"/>
      <c r="N247" s="151"/>
    </row>
    <row r="248" spans="1:14" ht="13">
      <c r="G248" s="150"/>
      <c r="L248" s="150"/>
      <c r="N248" s="151"/>
    </row>
    <row r="249" spans="1:14" ht="13">
      <c r="G249" s="150"/>
      <c r="L249" s="150"/>
      <c r="N249" s="151"/>
    </row>
    <row r="250" spans="1:14" ht="13">
      <c r="G250" s="150"/>
      <c r="L250" s="150"/>
      <c r="N250" s="151"/>
    </row>
    <row r="251" spans="1:14" ht="13">
      <c r="G251" s="150"/>
      <c r="L251" s="150"/>
      <c r="N251" s="151"/>
    </row>
    <row r="252" spans="1:14" ht="13">
      <c r="G252" s="150"/>
      <c r="L252" s="150"/>
      <c r="N252" s="151"/>
    </row>
    <row r="253" spans="1:14" ht="13">
      <c r="G253" s="150"/>
      <c r="L253" s="150"/>
      <c r="N253" s="151"/>
    </row>
    <row r="254" spans="1:14" ht="13">
      <c r="G254" s="150"/>
      <c r="L254" s="150"/>
      <c r="N254" s="151"/>
    </row>
    <row r="255" spans="1:14" ht="13">
      <c r="G255" s="150"/>
      <c r="L255" s="150"/>
      <c r="N255" s="151"/>
    </row>
    <row r="256" spans="1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</sheetData>
  <mergeCells count="3">
    <mergeCell ref="A1:N1"/>
    <mergeCell ref="A174:M174"/>
    <mergeCell ref="A243:L24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69"/>
  <sheetViews>
    <sheetView workbookViewId="0">
      <pane ySplit="9" topLeftCell="A110" activePane="bottomLeft" state="frozen"/>
      <selection pane="bottomLeft" activeCell="A126" sqref="A126"/>
    </sheetView>
  </sheetViews>
  <sheetFormatPr baseColWidth="10" defaultColWidth="12.6640625" defaultRowHeight="15.75" customHeight="1"/>
  <cols>
    <col min="14" max="14" width="14.6640625" customWidth="1"/>
  </cols>
  <sheetData>
    <row r="1" spans="1:17" ht="18">
      <c r="A1" s="352" t="s">
        <v>93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7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7" ht="17">
      <c r="A3" s="66">
        <v>45840</v>
      </c>
      <c r="B3" s="269" t="s">
        <v>11</v>
      </c>
      <c r="C3" s="134">
        <v>185231</v>
      </c>
      <c r="D3" s="83">
        <v>185571</v>
      </c>
      <c r="E3" s="36">
        <f t="shared" ref="E3:E9" si="0">D3-C3</f>
        <v>340</v>
      </c>
      <c r="F3" s="37">
        <v>40</v>
      </c>
      <c r="G3" s="13">
        <f t="shared" ref="G3:G9" si="1">(F3/E3)*100</f>
        <v>11.76470588235294</v>
      </c>
      <c r="H3" s="125"/>
      <c r="I3" s="126"/>
      <c r="J3" s="39">
        <f t="shared" ref="J3:J9" si="2">I3-H3</f>
        <v>0</v>
      </c>
      <c r="K3" s="39">
        <f t="shared" ref="K3:K9" si="3">F3</f>
        <v>40</v>
      </c>
      <c r="L3" s="270" t="e">
        <f t="shared" ref="L3:L9" si="4">(K3/J3)*100</f>
        <v>#DIV/0!</v>
      </c>
      <c r="M3" s="68">
        <v>19340</v>
      </c>
      <c r="N3" s="294">
        <f t="shared" ref="N3:N9" si="5">F3*M3</f>
        <v>773600</v>
      </c>
      <c r="O3" s="76">
        <v>1</v>
      </c>
      <c r="P3" s="76" t="s">
        <v>11</v>
      </c>
      <c r="Q3" s="295">
        <f>N10</f>
        <v>3823940</v>
      </c>
    </row>
    <row r="4" spans="1:17" ht="17">
      <c r="A4" s="138">
        <v>45845</v>
      </c>
      <c r="B4" s="140" t="s">
        <v>11</v>
      </c>
      <c r="C4" s="83">
        <v>185571</v>
      </c>
      <c r="D4" s="83">
        <v>185911</v>
      </c>
      <c r="E4" s="11">
        <f t="shared" si="0"/>
        <v>340</v>
      </c>
      <c r="F4" s="141">
        <v>50</v>
      </c>
      <c r="G4" s="13">
        <f t="shared" si="1"/>
        <v>14.705882352941178</v>
      </c>
      <c r="H4" s="125"/>
      <c r="I4" s="126"/>
      <c r="J4" s="39">
        <f t="shared" si="2"/>
        <v>0</v>
      </c>
      <c r="K4" s="83">
        <f t="shared" si="3"/>
        <v>50</v>
      </c>
      <c r="L4" s="136" t="e">
        <f t="shared" si="4"/>
        <v>#DIV/0!</v>
      </c>
      <c r="M4" s="116">
        <v>18400</v>
      </c>
      <c r="N4" s="296">
        <f t="shared" si="5"/>
        <v>920000</v>
      </c>
      <c r="O4" s="76">
        <f t="shared" ref="O4:O26" si="6">O3+1</f>
        <v>2</v>
      </c>
      <c r="P4" s="76" t="s">
        <v>12</v>
      </c>
      <c r="Q4" s="295">
        <f>N18</f>
        <v>5603080</v>
      </c>
    </row>
    <row r="5" spans="1:17" ht="17">
      <c r="A5" s="138">
        <v>45852</v>
      </c>
      <c r="B5" s="140" t="s">
        <v>11</v>
      </c>
      <c r="C5" s="83">
        <v>185911</v>
      </c>
      <c r="D5" s="83">
        <v>186302</v>
      </c>
      <c r="E5" s="11">
        <f t="shared" si="0"/>
        <v>391</v>
      </c>
      <c r="F5" s="141">
        <v>30</v>
      </c>
      <c r="G5" s="13">
        <f t="shared" si="1"/>
        <v>7.6726342710997448</v>
      </c>
      <c r="H5" s="125"/>
      <c r="I5" s="125"/>
      <c r="J5" s="83">
        <f t="shared" si="2"/>
        <v>0</v>
      </c>
      <c r="K5" s="83">
        <f t="shared" si="3"/>
        <v>30</v>
      </c>
      <c r="L5" s="136" t="e">
        <f t="shared" si="4"/>
        <v>#DIV/0!</v>
      </c>
      <c r="M5" s="116">
        <v>18830</v>
      </c>
      <c r="N5" s="296">
        <f t="shared" si="5"/>
        <v>564900</v>
      </c>
      <c r="O5" s="76">
        <f t="shared" si="6"/>
        <v>3</v>
      </c>
      <c r="P5" s="76" t="s">
        <v>13</v>
      </c>
      <c r="Q5" s="295">
        <f>N27</f>
        <v>6656260</v>
      </c>
    </row>
    <row r="6" spans="1:17" ht="17">
      <c r="A6" s="138">
        <v>45866</v>
      </c>
      <c r="B6" s="140" t="s">
        <v>11</v>
      </c>
      <c r="C6" s="83">
        <v>186302</v>
      </c>
      <c r="D6" s="83">
        <v>186566</v>
      </c>
      <c r="E6" s="11">
        <f t="shared" si="0"/>
        <v>264</v>
      </c>
      <c r="F6" s="141">
        <v>42</v>
      </c>
      <c r="G6" s="13">
        <f t="shared" si="1"/>
        <v>15.909090909090908</v>
      </c>
      <c r="H6" s="83"/>
      <c r="I6" s="125"/>
      <c r="J6" s="83">
        <f t="shared" si="2"/>
        <v>0</v>
      </c>
      <c r="K6" s="83">
        <f t="shared" si="3"/>
        <v>42</v>
      </c>
      <c r="L6" s="136" t="e">
        <f t="shared" si="4"/>
        <v>#DIV/0!</v>
      </c>
      <c r="M6" s="116">
        <v>19120</v>
      </c>
      <c r="N6" s="296">
        <f t="shared" si="5"/>
        <v>803040</v>
      </c>
      <c r="O6" s="76">
        <f t="shared" si="6"/>
        <v>4</v>
      </c>
      <c r="P6" s="76" t="s">
        <v>14</v>
      </c>
      <c r="Q6" s="295">
        <f>N35</f>
        <v>5381100</v>
      </c>
    </row>
    <row r="7" spans="1:17" ht="17">
      <c r="A7" s="138">
        <v>45869</v>
      </c>
      <c r="B7" s="140" t="s">
        <v>11</v>
      </c>
      <c r="C7" s="83">
        <v>186566</v>
      </c>
      <c r="D7" s="83">
        <v>186900</v>
      </c>
      <c r="E7" s="11">
        <f t="shared" si="0"/>
        <v>334</v>
      </c>
      <c r="F7" s="141">
        <v>40</v>
      </c>
      <c r="G7" s="13">
        <f t="shared" si="1"/>
        <v>11.976047904191617</v>
      </c>
      <c r="H7" s="83"/>
      <c r="I7" s="125"/>
      <c r="J7" s="83">
        <f t="shared" si="2"/>
        <v>0</v>
      </c>
      <c r="K7" s="83">
        <f t="shared" si="3"/>
        <v>40</v>
      </c>
      <c r="L7" s="136" t="e">
        <f t="shared" si="4"/>
        <v>#DIV/0!</v>
      </c>
      <c r="M7" s="116">
        <v>19060</v>
      </c>
      <c r="N7" s="297">
        <f t="shared" si="5"/>
        <v>762400</v>
      </c>
      <c r="O7" s="76">
        <f t="shared" si="6"/>
        <v>5</v>
      </c>
      <c r="P7" s="76" t="s">
        <v>15</v>
      </c>
      <c r="Q7" s="295">
        <f>N43</f>
        <v>4918600</v>
      </c>
    </row>
    <row r="8" spans="1:17" ht="17">
      <c r="A8" s="138"/>
      <c r="B8" s="90" t="s">
        <v>11</v>
      </c>
      <c r="C8" s="83"/>
      <c r="D8" s="83"/>
      <c r="E8" s="11">
        <f t="shared" si="0"/>
        <v>0</v>
      </c>
      <c r="F8" s="141"/>
      <c r="G8" s="13" t="e">
        <f t="shared" si="1"/>
        <v>#DIV/0!</v>
      </c>
      <c r="H8" s="83"/>
      <c r="I8" s="125"/>
      <c r="J8" s="83">
        <f t="shared" si="2"/>
        <v>0</v>
      </c>
      <c r="K8" s="83">
        <f t="shared" si="3"/>
        <v>0</v>
      </c>
      <c r="L8" s="136" t="e">
        <f t="shared" si="4"/>
        <v>#DIV/0!</v>
      </c>
      <c r="M8" s="116"/>
      <c r="N8" s="297">
        <f t="shared" si="5"/>
        <v>0</v>
      </c>
      <c r="O8" s="76">
        <f t="shared" si="6"/>
        <v>6</v>
      </c>
      <c r="P8" s="76" t="s">
        <v>16</v>
      </c>
      <c r="Q8" s="295">
        <f>N53</f>
        <v>6397930</v>
      </c>
    </row>
    <row r="9" spans="1:17" ht="17">
      <c r="A9" s="133"/>
      <c r="B9" s="140" t="s">
        <v>11</v>
      </c>
      <c r="C9" s="83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298">
        <f t="shared" si="5"/>
        <v>0</v>
      </c>
      <c r="O9" s="76">
        <f t="shared" si="6"/>
        <v>7</v>
      </c>
      <c r="P9" s="76" t="s">
        <v>18</v>
      </c>
      <c r="Q9" s="295">
        <f>N62</f>
        <v>6497870</v>
      </c>
    </row>
    <row r="10" spans="1:17" ht="17">
      <c r="A10" s="59"/>
      <c r="B10" s="60"/>
      <c r="C10" s="59"/>
      <c r="D10" s="59" t="s">
        <v>19</v>
      </c>
      <c r="E10" s="59">
        <f t="shared" ref="E10:F10" si="7">SUM(E3:E9)</f>
        <v>1669</v>
      </c>
      <c r="F10" s="59">
        <f t="shared" si="7"/>
        <v>202</v>
      </c>
      <c r="G10" s="61" t="e">
        <f>AVERAGE(G3:G9)</f>
        <v>#DIV/0!</v>
      </c>
      <c r="H10" s="59"/>
      <c r="I10" s="62"/>
      <c r="J10" s="59">
        <f t="shared" ref="J10:K10" si="8">SUM(J3:J9)</f>
        <v>0</v>
      </c>
      <c r="K10" s="59">
        <f t="shared" si="8"/>
        <v>202</v>
      </c>
      <c r="L10" s="61" t="e">
        <f>AVERAGE(L3:L9)</f>
        <v>#DIV/0!</v>
      </c>
      <c r="M10" s="64"/>
      <c r="N10" s="299">
        <f>SUM(N3:N9)</f>
        <v>3823940</v>
      </c>
      <c r="O10" s="76">
        <f t="shared" si="6"/>
        <v>8</v>
      </c>
      <c r="P10" s="76" t="s">
        <v>20</v>
      </c>
      <c r="Q10" s="295">
        <f>N70</f>
        <v>4385500</v>
      </c>
    </row>
    <row r="11" spans="1:17" ht="17">
      <c r="A11" s="66">
        <v>45840</v>
      </c>
      <c r="B11" s="269" t="s">
        <v>12</v>
      </c>
      <c r="C11" s="83">
        <v>147761</v>
      </c>
      <c r="D11" s="83">
        <v>148091</v>
      </c>
      <c r="E11" s="36">
        <f t="shared" ref="E11:E17" si="9">D11-C11</f>
        <v>330</v>
      </c>
      <c r="F11" s="37">
        <v>48</v>
      </c>
      <c r="G11" s="13">
        <f t="shared" ref="G11:G17" si="10">(F11/E11)*100</f>
        <v>14.545454545454545</v>
      </c>
      <c r="H11" s="125"/>
      <c r="I11" s="126"/>
      <c r="J11" s="39">
        <f t="shared" ref="J11:J17" si="11">I11-H11</f>
        <v>0</v>
      </c>
      <c r="K11" s="39">
        <f t="shared" ref="K11:K17" si="12">F11</f>
        <v>48</v>
      </c>
      <c r="L11" s="270" t="e">
        <f t="shared" ref="L11:L17" si="13">(K11/J11)*100</f>
        <v>#DIV/0!</v>
      </c>
      <c r="M11" s="68">
        <v>19340</v>
      </c>
      <c r="N11" s="294">
        <f t="shared" ref="N11:N17" si="14">F11*M11</f>
        <v>928320</v>
      </c>
      <c r="O11" s="76">
        <f t="shared" si="6"/>
        <v>9</v>
      </c>
      <c r="P11" s="76" t="s">
        <v>21</v>
      </c>
      <c r="Q11" s="295">
        <f>N78</f>
        <v>5429520</v>
      </c>
    </row>
    <row r="12" spans="1:17" ht="17">
      <c r="A12" s="138">
        <v>45846</v>
      </c>
      <c r="B12" s="140" t="s">
        <v>12</v>
      </c>
      <c r="C12" s="83">
        <v>148091</v>
      </c>
      <c r="D12" s="83">
        <v>148466</v>
      </c>
      <c r="E12" s="11">
        <f t="shared" si="9"/>
        <v>375</v>
      </c>
      <c r="F12" s="141">
        <v>50</v>
      </c>
      <c r="G12" s="13">
        <f t="shared" si="10"/>
        <v>13.333333333333334</v>
      </c>
      <c r="H12" s="83"/>
      <c r="I12" s="125"/>
      <c r="J12" s="83">
        <f t="shared" si="11"/>
        <v>0</v>
      </c>
      <c r="K12" s="83">
        <f t="shared" si="12"/>
        <v>50</v>
      </c>
      <c r="L12" s="136" t="e">
        <f t="shared" si="13"/>
        <v>#DIV/0!</v>
      </c>
      <c r="M12" s="116">
        <v>18400</v>
      </c>
      <c r="N12" s="296">
        <f t="shared" si="14"/>
        <v>920000</v>
      </c>
      <c r="O12" s="76">
        <f t="shared" si="6"/>
        <v>10</v>
      </c>
      <c r="P12" s="247" t="s">
        <v>22</v>
      </c>
      <c r="Q12" s="295">
        <f>N86</f>
        <v>5447340</v>
      </c>
    </row>
    <row r="13" spans="1:17" ht="17">
      <c r="A13" s="138">
        <v>45853</v>
      </c>
      <c r="B13" s="140" t="s">
        <v>12</v>
      </c>
      <c r="C13" s="83">
        <v>148466</v>
      </c>
      <c r="D13" s="83">
        <v>148858</v>
      </c>
      <c r="E13" s="11">
        <f t="shared" si="9"/>
        <v>392</v>
      </c>
      <c r="F13" s="141">
        <v>50</v>
      </c>
      <c r="G13" s="13">
        <f t="shared" si="10"/>
        <v>12.755102040816327</v>
      </c>
      <c r="H13" s="83"/>
      <c r="I13" s="125"/>
      <c r="J13" s="83">
        <f t="shared" si="11"/>
        <v>0</v>
      </c>
      <c r="K13" s="83">
        <f t="shared" si="12"/>
        <v>50</v>
      </c>
      <c r="L13" s="136" t="e">
        <f t="shared" si="13"/>
        <v>#DIV/0!</v>
      </c>
      <c r="M13" s="116">
        <v>18830</v>
      </c>
      <c r="N13" s="296">
        <f t="shared" si="14"/>
        <v>941500</v>
      </c>
      <c r="O13" s="76">
        <f t="shared" si="6"/>
        <v>11</v>
      </c>
      <c r="P13" s="76" t="s">
        <v>23</v>
      </c>
      <c r="Q13" s="295">
        <f>N93</f>
        <v>8155920</v>
      </c>
    </row>
    <row r="14" spans="1:17" ht="17">
      <c r="A14" s="139">
        <v>45859</v>
      </c>
      <c r="B14" s="140" t="s">
        <v>12</v>
      </c>
      <c r="C14" s="83">
        <v>148858</v>
      </c>
      <c r="D14" s="83">
        <v>149246</v>
      </c>
      <c r="E14" s="11">
        <f t="shared" si="9"/>
        <v>388</v>
      </c>
      <c r="F14" s="141">
        <v>50</v>
      </c>
      <c r="G14" s="13">
        <f t="shared" si="10"/>
        <v>12.886597938144329</v>
      </c>
      <c r="H14" s="83"/>
      <c r="I14" s="125"/>
      <c r="J14" s="83">
        <f t="shared" si="11"/>
        <v>0</v>
      </c>
      <c r="K14" s="83">
        <f t="shared" si="12"/>
        <v>50</v>
      </c>
      <c r="L14" s="136" t="e">
        <f t="shared" si="13"/>
        <v>#DIV/0!</v>
      </c>
      <c r="M14" s="116">
        <v>18790</v>
      </c>
      <c r="N14" s="297">
        <f t="shared" si="14"/>
        <v>939500</v>
      </c>
      <c r="O14" s="76">
        <f t="shared" si="6"/>
        <v>12</v>
      </c>
      <c r="P14" s="247" t="s">
        <v>24</v>
      </c>
      <c r="Q14" s="295">
        <f>N101</f>
        <v>6232190</v>
      </c>
    </row>
    <row r="15" spans="1:17" ht="17">
      <c r="A15" s="138">
        <v>45862</v>
      </c>
      <c r="B15" s="140" t="s">
        <v>12</v>
      </c>
      <c r="C15" s="83">
        <v>149246</v>
      </c>
      <c r="D15" s="83">
        <v>149649</v>
      </c>
      <c r="E15" s="11">
        <f t="shared" si="9"/>
        <v>403</v>
      </c>
      <c r="F15" s="141">
        <v>51</v>
      </c>
      <c r="G15" s="13">
        <f t="shared" si="10"/>
        <v>12.655086848635236</v>
      </c>
      <c r="H15" s="125"/>
      <c r="I15" s="125"/>
      <c r="J15" s="83">
        <f t="shared" si="11"/>
        <v>0</v>
      </c>
      <c r="K15" s="83">
        <f t="shared" si="12"/>
        <v>51</v>
      </c>
      <c r="L15" s="136" t="e">
        <f t="shared" si="13"/>
        <v>#DIV/0!</v>
      </c>
      <c r="M15" s="116">
        <v>19120</v>
      </c>
      <c r="N15" s="297">
        <f t="shared" si="14"/>
        <v>975120</v>
      </c>
      <c r="O15" s="76">
        <f t="shared" si="6"/>
        <v>13</v>
      </c>
      <c r="P15" s="76" t="s">
        <v>25</v>
      </c>
      <c r="Q15" s="295">
        <f>N109</f>
        <v>6918180</v>
      </c>
    </row>
    <row r="16" spans="1:17" ht="17">
      <c r="A16" s="139">
        <v>45868</v>
      </c>
      <c r="B16" s="140" t="s">
        <v>12</v>
      </c>
      <c r="C16" s="83">
        <v>149649</v>
      </c>
      <c r="D16" s="83">
        <v>150015</v>
      </c>
      <c r="E16" s="11">
        <f t="shared" si="9"/>
        <v>366</v>
      </c>
      <c r="F16" s="141">
        <v>47</v>
      </c>
      <c r="G16" s="13">
        <f t="shared" si="10"/>
        <v>12.841530054644808</v>
      </c>
      <c r="H16" s="83"/>
      <c r="I16" s="125"/>
      <c r="J16" s="83">
        <f t="shared" si="11"/>
        <v>0</v>
      </c>
      <c r="K16" s="83">
        <f t="shared" si="12"/>
        <v>47</v>
      </c>
      <c r="L16" s="136" t="e">
        <f t="shared" si="13"/>
        <v>#DIV/0!</v>
      </c>
      <c r="M16" s="116">
        <v>19120</v>
      </c>
      <c r="N16" s="300">
        <f t="shared" si="14"/>
        <v>898640</v>
      </c>
      <c r="O16" s="76">
        <f t="shared" si="6"/>
        <v>14</v>
      </c>
      <c r="P16" s="247" t="s">
        <v>26</v>
      </c>
      <c r="Q16" s="295">
        <f>N117</f>
        <v>5542120</v>
      </c>
    </row>
    <row r="17" spans="1:17" ht="17">
      <c r="A17" s="271"/>
      <c r="B17" s="272"/>
      <c r="C17" s="134"/>
      <c r="D17" s="134"/>
      <c r="E17" s="24">
        <f t="shared" si="9"/>
        <v>0</v>
      </c>
      <c r="F17" s="143"/>
      <c r="G17" s="54" t="e">
        <f t="shared" si="10"/>
        <v>#DIV/0!</v>
      </c>
      <c r="H17" s="134"/>
      <c r="I17" s="135"/>
      <c r="J17" s="134">
        <f t="shared" si="11"/>
        <v>0</v>
      </c>
      <c r="K17" s="134">
        <f t="shared" si="12"/>
        <v>0</v>
      </c>
      <c r="L17" s="67" t="e">
        <f t="shared" si="13"/>
        <v>#DIV/0!</v>
      </c>
      <c r="M17" s="137"/>
      <c r="N17" s="298">
        <f t="shared" si="14"/>
        <v>0</v>
      </c>
      <c r="O17" s="76">
        <f t="shared" si="6"/>
        <v>15</v>
      </c>
      <c r="P17" s="76" t="s">
        <v>27</v>
      </c>
      <c r="Q17" s="295">
        <f>N126</f>
        <v>9554640</v>
      </c>
    </row>
    <row r="18" spans="1:17" ht="17">
      <c r="A18" s="59"/>
      <c r="B18" s="60"/>
      <c r="C18" s="59"/>
      <c r="D18" s="59" t="s">
        <v>19</v>
      </c>
      <c r="E18" s="59">
        <f t="shared" ref="E18:F18" si="15">SUM(E11:E17)</f>
        <v>2254</v>
      </c>
      <c r="F18" s="59">
        <f t="shared" si="15"/>
        <v>296</v>
      </c>
      <c r="G18" s="61" t="e">
        <f>AVERAGE(G11:G17)</f>
        <v>#DIV/0!</v>
      </c>
      <c r="H18" s="59"/>
      <c r="I18" s="62"/>
      <c r="J18" s="59">
        <f t="shared" ref="J18:K18" si="16">SUM(J11:J17)</f>
        <v>0</v>
      </c>
      <c r="K18" s="59">
        <f t="shared" si="16"/>
        <v>296</v>
      </c>
      <c r="L18" s="61" t="e">
        <f>AVERAGE(L11:L17)</f>
        <v>#DIV/0!</v>
      </c>
      <c r="M18" s="64"/>
      <c r="N18" s="299">
        <f>SUM(N11:N17)</f>
        <v>5603080</v>
      </c>
      <c r="O18" s="76">
        <f t="shared" si="6"/>
        <v>16</v>
      </c>
      <c r="P18" s="76" t="s">
        <v>80</v>
      </c>
      <c r="Q18" s="295">
        <f>N135</f>
        <v>5232500</v>
      </c>
    </row>
    <row r="19" spans="1:17" ht="17">
      <c r="A19" s="66">
        <v>45839</v>
      </c>
      <c r="B19" s="269" t="s">
        <v>13</v>
      </c>
      <c r="C19" s="83">
        <v>166484</v>
      </c>
      <c r="D19" s="39">
        <v>166862</v>
      </c>
      <c r="E19" s="36">
        <f t="shared" ref="E19:E26" si="17">D19-C19</f>
        <v>378</v>
      </c>
      <c r="F19" s="37">
        <v>54</v>
      </c>
      <c r="G19" s="13">
        <f t="shared" ref="G19:G26" si="18">(F19/E19)*100</f>
        <v>14.285714285714285</v>
      </c>
      <c r="H19" s="125"/>
      <c r="I19" s="126"/>
      <c r="J19" s="39">
        <f t="shared" ref="J19:J26" si="19">I19-H19</f>
        <v>0</v>
      </c>
      <c r="K19" s="39">
        <f t="shared" ref="K19:K26" si="20">F19</f>
        <v>54</v>
      </c>
      <c r="L19" s="136" t="e">
        <f t="shared" ref="L19:L26" si="21">(K19/J19)*100</f>
        <v>#DIV/0!</v>
      </c>
      <c r="M19" s="68">
        <v>19340</v>
      </c>
      <c r="N19" s="294">
        <f t="shared" ref="N19:N26" si="22">F19*M19</f>
        <v>1044360</v>
      </c>
      <c r="O19" s="76">
        <f t="shared" si="6"/>
        <v>17</v>
      </c>
      <c r="P19" s="76" t="s">
        <v>29</v>
      </c>
      <c r="Q19" s="295">
        <f>N144</f>
        <v>5655600</v>
      </c>
    </row>
    <row r="20" spans="1:17" ht="17">
      <c r="A20" s="138">
        <v>45845</v>
      </c>
      <c r="B20" s="140" t="s">
        <v>13</v>
      </c>
      <c r="C20" s="39">
        <v>166862</v>
      </c>
      <c r="D20" s="39">
        <v>167191</v>
      </c>
      <c r="E20" s="11">
        <f t="shared" si="17"/>
        <v>329</v>
      </c>
      <c r="F20" s="141">
        <v>45</v>
      </c>
      <c r="G20" s="13">
        <f t="shared" si="18"/>
        <v>13.677811550151976</v>
      </c>
      <c r="H20" s="83"/>
      <c r="I20" s="125"/>
      <c r="J20" s="83">
        <f t="shared" si="19"/>
        <v>0</v>
      </c>
      <c r="K20" s="83">
        <f t="shared" si="20"/>
        <v>45</v>
      </c>
      <c r="L20" s="136" t="e">
        <f t="shared" si="21"/>
        <v>#DIV/0!</v>
      </c>
      <c r="M20" s="116">
        <v>18400</v>
      </c>
      <c r="N20" s="296">
        <f t="shared" si="22"/>
        <v>828000</v>
      </c>
      <c r="O20" s="76">
        <f t="shared" si="6"/>
        <v>18</v>
      </c>
      <c r="P20" s="76" t="s">
        <v>30</v>
      </c>
      <c r="Q20" s="295">
        <f>N153</f>
        <v>7190580</v>
      </c>
    </row>
    <row r="21" spans="1:17" ht="16">
      <c r="A21" s="138">
        <v>45848</v>
      </c>
      <c r="B21" s="140" t="s">
        <v>13</v>
      </c>
      <c r="C21" s="83">
        <v>167191</v>
      </c>
      <c r="D21" s="83">
        <v>167507</v>
      </c>
      <c r="E21" s="11">
        <f t="shared" si="17"/>
        <v>316</v>
      </c>
      <c r="F21" s="141">
        <v>44</v>
      </c>
      <c r="G21" s="13">
        <f t="shared" si="18"/>
        <v>13.924050632911392</v>
      </c>
      <c r="H21" s="83"/>
      <c r="I21" s="125"/>
      <c r="J21" s="83">
        <f t="shared" si="19"/>
        <v>0</v>
      </c>
      <c r="K21" s="83">
        <f t="shared" si="20"/>
        <v>44</v>
      </c>
      <c r="L21" s="136" t="e">
        <f t="shared" si="21"/>
        <v>#DIV/0!</v>
      </c>
      <c r="M21" s="116">
        <v>18400</v>
      </c>
      <c r="N21" s="301">
        <f t="shared" si="22"/>
        <v>809600</v>
      </c>
      <c r="O21" s="76">
        <f t="shared" si="6"/>
        <v>19</v>
      </c>
    </row>
    <row r="22" spans="1:17" ht="16">
      <c r="A22" s="139">
        <v>45853</v>
      </c>
      <c r="B22" s="140" t="s">
        <v>13</v>
      </c>
      <c r="C22" s="83">
        <v>167507</v>
      </c>
      <c r="D22" s="83">
        <v>167870</v>
      </c>
      <c r="E22" s="11">
        <f t="shared" si="17"/>
        <v>363</v>
      </c>
      <c r="F22" s="141">
        <v>50</v>
      </c>
      <c r="G22" s="13">
        <f t="shared" si="18"/>
        <v>13.774104683195592</v>
      </c>
      <c r="H22" s="83"/>
      <c r="I22" s="125"/>
      <c r="J22" s="83">
        <f t="shared" si="19"/>
        <v>0</v>
      </c>
      <c r="K22" s="83">
        <f t="shared" si="20"/>
        <v>50</v>
      </c>
      <c r="L22" s="136" t="e">
        <f t="shared" si="21"/>
        <v>#DIV/0!</v>
      </c>
      <c r="M22" s="116">
        <v>18830</v>
      </c>
      <c r="N22" s="297">
        <f t="shared" si="22"/>
        <v>941500</v>
      </c>
      <c r="O22" s="76">
        <f t="shared" si="6"/>
        <v>20</v>
      </c>
    </row>
    <row r="23" spans="1:17" ht="16">
      <c r="A23" s="138">
        <v>45856</v>
      </c>
      <c r="B23" s="140" t="s">
        <v>13</v>
      </c>
      <c r="C23" s="83">
        <v>167870</v>
      </c>
      <c r="D23" s="83">
        <v>168201</v>
      </c>
      <c r="E23" s="11">
        <f t="shared" si="17"/>
        <v>331</v>
      </c>
      <c r="F23" s="141">
        <v>42</v>
      </c>
      <c r="G23" s="13">
        <f t="shared" si="18"/>
        <v>12.688821752265861</v>
      </c>
      <c r="H23" s="83"/>
      <c r="I23" s="125"/>
      <c r="J23" s="83">
        <f t="shared" si="19"/>
        <v>0</v>
      </c>
      <c r="K23" s="83">
        <f t="shared" si="20"/>
        <v>42</v>
      </c>
      <c r="L23" s="136" t="e">
        <f t="shared" si="21"/>
        <v>#DIV/0!</v>
      </c>
      <c r="M23" s="116">
        <v>18790</v>
      </c>
      <c r="N23" s="297">
        <f t="shared" si="22"/>
        <v>789180</v>
      </c>
      <c r="O23" s="76">
        <f t="shared" si="6"/>
        <v>21</v>
      </c>
    </row>
    <row r="24" spans="1:17" ht="16">
      <c r="A24" s="138">
        <v>45860</v>
      </c>
      <c r="B24" s="90" t="s">
        <v>13</v>
      </c>
      <c r="C24" s="83">
        <v>168201</v>
      </c>
      <c r="D24" s="83">
        <v>168485</v>
      </c>
      <c r="E24" s="11">
        <f t="shared" si="17"/>
        <v>284</v>
      </c>
      <c r="F24" s="141">
        <v>38</v>
      </c>
      <c r="G24" s="13">
        <f t="shared" si="18"/>
        <v>13.380281690140844</v>
      </c>
      <c r="H24" s="83"/>
      <c r="I24" s="125"/>
      <c r="J24" s="83">
        <f t="shared" si="19"/>
        <v>0</v>
      </c>
      <c r="K24" s="83">
        <f t="shared" si="20"/>
        <v>38</v>
      </c>
      <c r="L24" s="136" t="e">
        <f t="shared" si="21"/>
        <v>#DIV/0!</v>
      </c>
      <c r="M24" s="116">
        <v>18790</v>
      </c>
      <c r="N24" s="297">
        <f t="shared" si="22"/>
        <v>714020</v>
      </c>
      <c r="O24" s="76">
        <f t="shared" si="6"/>
        <v>22</v>
      </c>
    </row>
    <row r="25" spans="1:17" ht="16">
      <c r="A25" s="133">
        <v>45863</v>
      </c>
      <c r="B25" s="34" t="s">
        <v>13</v>
      </c>
      <c r="C25" s="134">
        <v>168485</v>
      </c>
      <c r="D25" s="134">
        <v>168787</v>
      </c>
      <c r="E25" s="24">
        <f t="shared" si="17"/>
        <v>302</v>
      </c>
      <c r="F25" s="143">
        <v>39</v>
      </c>
      <c r="G25" s="54">
        <f t="shared" si="18"/>
        <v>12.913907284768211</v>
      </c>
      <c r="H25" s="134"/>
      <c r="I25" s="135"/>
      <c r="J25" s="134">
        <f t="shared" si="19"/>
        <v>0</v>
      </c>
      <c r="K25" s="134">
        <f t="shared" si="20"/>
        <v>39</v>
      </c>
      <c r="L25" s="136" t="e">
        <f t="shared" si="21"/>
        <v>#DIV/0!</v>
      </c>
      <c r="M25" s="137">
        <v>19120</v>
      </c>
      <c r="N25" s="302">
        <f t="shared" si="22"/>
        <v>745680</v>
      </c>
      <c r="O25" s="76">
        <f t="shared" si="6"/>
        <v>23</v>
      </c>
    </row>
    <row r="26" spans="1:17" ht="16">
      <c r="A26" s="303">
        <v>45868</v>
      </c>
      <c r="B26" s="34" t="s">
        <v>13</v>
      </c>
      <c r="C26" s="273">
        <v>168787</v>
      </c>
      <c r="D26" s="273">
        <v>169071</v>
      </c>
      <c r="E26" s="24">
        <f t="shared" si="17"/>
        <v>284</v>
      </c>
      <c r="F26" s="273">
        <v>41</v>
      </c>
      <c r="G26" s="54">
        <f t="shared" si="18"/>
        <v>14.43661971830986</v>
      </c>
      <c r="H26" s="273"/>
      <c r="I26" s="304"/>
      <c r="J26" s="134">
        <f t="shared" si="19"/>
        <v>0</v>
      </c>
      <c r="K26" s="134">
        <f t="shared" si="20"/>
        <v>41</v>
      </c>
      <c r="L26" s="136" t="e">
        <f t="shared" si="21"/>
        <v>#DIV/0!</v>
      </c>
      <c r="M26" s="143">
        <v>19120</v>
      </c>
      <c r="N26" s="302">
        <f t="shared" si="22"/>
        <v>783920</v>
      </c>
      <c r="O26" s="76">
        <f t="shared" si="6"/>
        <v>24</v>
      </c>
    </row>
    <row r="27" spans="1:17" ht="16">
      <c r="A27" s="59"/>
      <c r="B27" s="60"/>
      <c r="C27" s="59"/>
      <c r="D27" s="59" t="s">
        <v>19</v>
      </c>
      <c r="E27" s="59">
        <f>SUM(E19:E25)</f>
        <v>2303</v>
      </c>
      <c r="F27" s="59">
        <f>SUM(F19:F26)</f>
        <v>353</v>
      </c>
      <c r="G27" s="61">
        <f>AVERAGE(G19:G25)</f>
        <v>13.520670268449738</v>
      </c>
      <c r="H27" s="59"/>
      <c r="I27" s="62"/>
      <c r="J27" s="59">
        <f t="shared" ref="J27:K27" si="23">SUM(J19:J25)</f>
        <v>0</v>
      </c>
      <c r="K27" s="59">
        <f t="shared" si="23"/>
        <v>312</v>
      </c>
      <c r="L27" s="61" t="e">
        <f>AVERAGE(L19:L25)</f>
        <v>#DIV/0!</v>
      </c>
      <c r="M27" s="64"/>
      <c r="N27" s="299">
        <f>SUM(N19:N26)</f>
        <v>6656260</v>
      </c>
    </row>
    <row r="28" spans="1:17" ht="16">
      <c r="A28" s="66">
        <v>45839</v>
      </c>
      <c r="B28" s="269" t="s">
        <v>14</v>
      </c>
      <c r="C28" s="83">
        <v>168289</v>
      </c>
      <c r="D28" s="39">
        <v>168705</v>
      </c>
      <c r="E28" s="36">
        <f t="shared" ref="E28:E34" si="24">D28-C28</f>
        <v>416</v>
      </c>
      <c r="F28" s="37">
        <v>55</v>
      </c>
      <c r="G28" s="13">
        <f t="shared" ref="G28:G34" si="25">(F28/E28)*100</f>
        <v>13.221153846153847</v>
      </c>
      <c r="H28" s="125"/>
      <c r="I28" s="126"/>
      <c r="J28" s="39">
        <f t="shared" ref="J28:J34" si="26">I28-H28</f>
        <v>0</v>
      </c>
      <c r="K28" s="39">
        <f t="shared" ref="K28:K34" si="27">F28</f>
        <v>55</v>
      </c>
      <c r="L28" s="136" t="e">
        <f t="shared" ref="L28:L34" si="28">(K28/J28)*100</f>
        <v>#DIV/0!</v>
      </c>
      <c r="M28" s="68">
        <v>19340</v>
      </c>
      <c r="N28" s="294">
        <f t="shared" ref="N28:N34" si="29">F28*M28</f>
        <v>1063700</v>
      </c>
    </row>
    <row r="29" spans="1:17" ht="16">
      <c r="A29" s="138">
        <v>45845</v>
      </c>
      <c r="B29" s="140" t="s">
        <v>14</v>
      </c>
      <c r="C29" s="83">
        <v>168705</v>
      </c>
      <c r="D29" s="83">
        <v>169165</v>
      </c>
      <c r="E29" s="11">
        <f t="shared" si="24"/>
        <v>460</v>
      </c>
      <c r="F29" s="141">
        <v>50</v>
      </c>
      <c r="G29" s="13">
        <f t="shared" si="25"/>
        <v>10.869565217391305</v>
      </c>
      <c r="H29" s="83"/>
      <c r="I29" s="125"/>
      <c r="J29" s="83">
        <f t="shared" si="26"/>
        <v>0</v>
      </c>
      <c r="K29" s="83">
        <f t="shared" si="27"/>
        <v>50</v>
      </c>
      <c r="L29" s="136" t="e">
        <f t="shared" si="28"/>
        <v>#DIV/0!</v>
      </c>
      <c r="M29" s="116">
        <v>18400</v>
      </c>
      <c r="N29" s="301">
        <f t="shared" si="29"/>
        <v>920000</v>
      </c>
    </row>
    <row r="30" spans="1:17" ht="16">
      <c r="A30" s="138">
        <v>45852</v>
      </c>
      <c r="B30" s="140" t="s">
        <v>14</v>
      </c>
      <c r="C30" s="83">
        <v>169165</v>
      </c>
      <c r="D30" s="83">
        <v>169165</v>
      </c>
      <c r="E30" s="11">
        <f t="shared" si="24"/>
        <v>0</v>
      </c>
      <c r="F30" s="141">
        <v>50</v>
      </c>
      <c r="G30" s="13" t="e">
        <f t="shared" si="25"/>
        <v>#DIV/0!</v>
      </c>
      <c r="H30" s="83"/>
      <c r="I30" s="125"/>
      <c r="J30" s="83">
        <f t="shared" si="26"/>
        <v>0</v>
      </c>
      <c r="K30" s="83">
        <f t="shared" si="27"/>
        <v>50</v>
      </c>
      <c r="L30" s="136" t="e">
        <f t="shared" si="28"/>
        <v>#DIV/0!</v>
      </c>
      <c r="M30" s="116">
        <v>18830</v>
      </c>
      <c r="N30" s="297">
        <f t="shared" si="29"/>
        <v>941500</v>
      </c>
    </row>
    <row r="31" spans="1:17" ht="16">
      <c r="A31" s="139">
        <v>45856</v>
      </c>
      <c r="B31" s="140" t="s">
        <v>14</v>
      </c>
      <c r="C31" s="83">
        <v>169165</v>
      </c>
      <c r="D31" s="83">
        <v>169964</v>
      </c>
      <c r="E31" s="11">
        <f t="shared" si="24"/>
        <v>799</v>
      </c>
      <c r="F31" s="141">
        <v>40</v>
      </c>
      <c r="G31" s="13">
        <f t="shared" si="25"/>
        <v>5.0062578222778473</v>
      </c>
      <c r="H31" s="83"/>
      <c r="I31" s="125"/>
      <c r="J31" s="83">
        <f t="shared" si="26"/>
        <v>0</v>
      </c>
      <c r="K31" s="83">
        <f t="shared" si="27"/>
        <v>40</v>
      </c>
      <c r="L31" s="136" t="e">
        <f t="shared" si="28"/>
        <v>#DIV/0!</v>
      </c>
      <c r="M31" s="116">
        <v>18790</v>
      </c>
      <c r="N31" s="297">
        <f t="shared" si="29"/>
        <v>751600</v>
      </c>
    </row>
    <row r="32" spans="1:17" ht="16">
      <c r="A32" s="138">
        <v>45861</v>
      </c>
      <c r="B32" s="140" t="s">
        <v>14</v>
      </c>
      <c r="C32" s="83">
        <v>169964</v>
      </c>
      <c r="D32" s="83">
        <v>170344</v>
      </c>
      <c r="E32" s="11">
        <f t="shared" si="24"/>
        <v>380</v>
      </c>
      <c r="F32" s="141">
        <v>50</v>
      </c>
      <c r="G32" s="13">
        <f t="shared" si="25"/>
        <v>13.157894736842104</v>
      </c>
      <c r="H32" s="83"/>
      <c r="I32" s="125"/>
      <c r="J32" s="83">
        <f t="shared" si="26"/>
        <v>0</v>
      </c>
      <c r="K32" s="83">
        <f t="shared" si="27"/>
        <v>50</v>
      </c>
      <c r="L32" s="136" t="e">
        <f t="shared" si="28"/>
        <v>#DIV/0!</v>
      </c>
      <c r="M32" s="116">
        <v>18790</v>
      </c>
      <c r="N32" s="297">
        <f t="shared" si="29"/>
        <v>939500</v>
      </c>
    </row>
    <row r="33" spans="1:16" ht="16">
      <c r="A33" s="138">
        <v>45866</v>
      </c>
      <c r="B33" s="140" t="s">
        <v>14</v>
      </c>
      <c r="C33" s="83">
        <v>170344</v>
      </c>
      <c r="D33" s="83">
        <v>170717</v>
      </c>
      <c r="E33" s="11">
        <f t="shared" si="24"/>
        <v>373</v>
      </c>
      <c r="F33" s="141">
        <v>40</v>
      </c>
      <c r="G33" s="13">
        <f t="shared" si="25"/>
        <v>10.723860589812332</v>
      </c>
      <c r="H33" s="83"/>
      <c r="I33" s="125"/>
      <c r="J33" s="83">
        <f t="shared" si="26"/>
        <v>0</v>
      </c>
      <c r="K33" s="83">
        <f t="shared" si="27"/>
        <v>40</v>
      </c>
      <c r="L33" s="136" t="e">
        <f t="shared" si="28"/>
        <v>#DIV/0!</v>
      </c>
      <c r="M33" s="116">
        <v>19120</v>
      </c>
      <c r="N33" s="297">
        <f t="shared" si="29"/>
        <v>764800</v>
      </c>
    </row>
    <row r="34" spans="1:16" ht="16">
      <c r="A34" s="271"/>
      <c r="B34" s="272"/>
      <c r="C34" s="134"/>
      <c r="D34" s="134"/>
      <c r="E34" s="24">
        <f t="shared" si="24"/>
        <v>0</v>
      </c>
      <c r="F34" s="143"/>
      <c r="G34" s="54" t="e">
        <f t="shared" si="25"/>
        <v>#DIV/0!</v>
      </c>
      <c r="H34" s="134"/>
      <c r="I34" s="135"/>
      <c r="J34" s="134">
        <f t="shared" si="26"/>
        <v>0</v>
      </c>
      <c r="K34" s="134">
        <f t="shared" si="27"/>
        <v>0</v>
      </c>
      <c r="L34" s="136" t="e">
        <f t="shared" si="28"/>
        <v>#DIV/0!</v>
      </c>
      <c r="M34" s="137"/>
      <c r="N34" s="298">
        <f t="shared" si="29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30">SUM(E28:E34)</f>
        <v>2428</v>
      </c>
      <c r="F35" s="59">
        <f t="shared" si="30"/>
        <v>285</v>
      </c>
      <c r="G35" s="61" t="e">
        <f>AVERAGE(G28:G34)</f>
        <v>#DIV/0!</v>
      </c>
      <c r="H35" s="59"/>
      <c r="I35" s="62"/>
      <c r="J35" s="59">
        <f t="shared" ref="J35:K35" si="31">SUM(J28:J34)</f>
        <v>0</v>
      </c>
      <c r="K35" s="59">
        <f t="shared" si="31"/>
        <v>285</v>
      </c>
      <c r="L35" s="61" t="e">
        <f>AVERAGE(L28:L34)</f>
        <v>#DIV/0!</v>
      </c>
      <c r="M35" s="64"/>
      <c r="N35" s="299">
        <f>SUM(N28:N34)</f>
        <v>5381100</v>
      </c>
    </row>
    <row r="36" spans="1:16" ht="16">
      <c r="A36" s="66">
        <v>45840</v>
      </c>
      <c r="B36" s="269" t="s">
        <v>15</v>
      </c>
      <c r="C36" s="83">
        <v>154475</v>
      </c>
      <c r="D36" s="39">
        <v>154744</v>
      </c>
      <c r="E36" s="36">
        <f t="shared" ref="E36:E42" si="32">D36-C36</f>
        <v>269</v>
      </c>
      <c r="F36" s="37">
        <v>37</v>
      </c>
      <c r="G36" s="13">
        <f t="shared" ref="G36:G42" si="33">(F36/E36)*100</f>
        <v>13.754646840148698</v>
      </c>
      <c r="H36" s="83"/>
      <c r="I36" s="125"/>
      <c r="J36" s="39">
        <f t="shared" ref="J36:J42" si="34">I36-H36</f>
        <v>0</v>
      </c>
      <c r="K36" s="39">
        <f t="shared" ref="K36:K42" si="35">F36</f>
        <v>37</v>
      </c>
      <c r="L36" s="136" t="e">
        <f t="shared" ref="L36:L42" si="36">(K36/J36)*100</f>
        <v>#DIV/0!</v>
      </c>
      <c r="M36" s="68">
        <v>19340</v>
      </c>
      <c r="N36" s="294">
        <f t="shared" ref="N36:N42" si="37">F36*M36</f>
        <v>715580</v>
      </c>
    </row>
    <row r="37" spans="1:16" ht="16">
      <c r="A37" s="249">
        <v>45846</v>
      </c>
      <c r="B37" s="140" t="s">
        <v>15</v>
      </c>
      <c r="C37" s="83">
        <v>154744</v>
      </c>
      <c r="D37" s="83">
        <v>155044</v>
      </c>
      <c r="E37" s="11">
        <f t="shared" si="32"/>
        <v>300</v>
      </c>
      <c r="F37" s="141">
        <v>35</v>
      </c>
      <c r="G37" s="13">
        <f t="shared" si="33"/>
        <v>11.666666666666666</v>
      </c>
      <c r="H37" s="125"/>
      <c r="I37" s="125"/>
      <c r="J37" s="83">
        <f t="shared" si="34"/>
        <v>0</v>
      </c>
      <c r="K37" s="83">
        <f t="shared" si="35"/>
        <v>35</v>
      </c>
      <c r="L37" s="136" t="e">
        <f t="shared" si="36"/>
        <v>#DIV/0!</v>
      </c>
      <c r="M37" s="116">
        <v>18400</v>
      </c>
      <c r="N37" s="296">
        <f t="shared" si="37"/>
        <v>644000</v>
      </c>
      <c r="P37" s="78"/>
    </row>
    <row r="38" spans="1:16" ht="16">
      <c r="A38" s="138">
        <v>45852</v>
      </c>
      <c r="B38" s="140" t="s">
        <v>15</v>
      </c>
      <c r="C38" s="83">
        <v>155044</v>
      </c>
      <c r="D38" s="83">
        <v>155307</v>
      </c>
      <c r="E38" s="11">
        <f t="shared" si="32"/>
        <v>263</v>
      </c>
      <c r="F38" s="141">
        <v>40</v>
      </c>
      <c r="G38" s="13">
        <f t="shared" si="33"/>
        <v>15.209125475285171</v>
      </c>
      <c r="H38" s="83">
        <v>17505</v>
      </c>
      <c r="I38" s="125"/>
      <c r="J38" s="83">
        <f t="shared" si="34"/>
        <v>-17505</v>
      </c>
      <c r="K38" s="83">
        <f t="shared" si="35"/>
        <v>40</v>
      </c>
      <c r="L38" s="136">
        <f t="shared" si="36"/>
        <v>-0.22850614110254214</v>
      </c>
      <c r="M38" s="275">
        <v>18830</v>
      </c>
      <c r="N38" s="296">
        <f t="shared" si="37"/>
        <v>753200</v>
      </c>
    </row>
    <row r="39" spans="1:16" ht="16">
      <c r="A39" s="138">
        <v>45855</v>
      </c>
      <c r="B39" s="140" t="s">
        <v>15</v>
      </c>
      <c r="C39" s="83">
        <v>155307</v>
      </c>
      <c r="D39" s="83">
        <v>155668</v>
      </c>
      <c r="E39" s="11">
        <f t="shared" si="32"/>
        <v>361</v>
      </c>
      <c r="F39" s="141">
        <v>45</v>
      </c>
      <c r="G39" s="13">
        <f t="shared" si="33"/>
        <v>12.465373961218837</v>
      </c>
      <c r="H39" s="83"/>
      <c r="I39" s="125"/>
      <c r="J39" s="83">
        <f t="shared" si="34"/>
        <v>0</v>
      </c>
      <c r="K39" s="83">
        <f t="shared" si="35"/>
        <v>45</v>
      </c>
      <c r="L39" s="136" t="e">
        <f t="shared" si="36"/>
        <v>#DIV/0!</v>
      </c>
      <c r="M39" s="116">
        <v>18830</v>
      </c>
      <c r="N39" s="296">
        <f t="shared" si="37"/>
        <v>847350</v>
      </c>
    </row>
    <row r="40" spans="1:16" ht="16">
      <c r="A40" s="138">
        <v>45860</v>
      </c>
      <c r="B40" s="140" t="s">
        <v>15</v>
      </c>
      <c r="C40" s="83">
        <v>155668</v>
      </c>
      <c r="D40" s="83">
        <v>155952</v>
      </c>
      <c r="E40" s="11">
        <f t="shared" si="32"/>
        <v>284</v>
      </c>
      <c r="F40" s="141">
        <v>33</v>
      </c>
      <c r="G40" s="13">
        <f t="shared" si="33"/>
        <v>11.619718309859154</v>
      </c>
      <c r="H40" s="83"/>
      <c r="I40" s="125"/>
      <c r="J40" s="83">
        <f t="shared" si="34"/>
        <v>0</v>
      </c>
      <c r="K40" s="83">
        <f t="shared" si="35"/>
        <v>33</v>
      </c>
      <c r="L40" s="136" t="e">
        <f t="shared" si="36"/>
        <v>#DIV/0!</v>
      </c>
      <c r="M40" s="116">
        <v>18790</v>
      </c>
      <c r="N40" s="297">
        <f t="shared" si="37"/>
        <v>620070</v>
      </c>
    </row>
    <row r="41" spans="1:16" ht="16">
      <c r="A41" s="276">
        <v>45864</v>
      </c>
      <c r="B41" s="140" t="s">
        <v>15</v>
      </c>
      <c r="C41" s="83">
        <v>155952</v>
      </c>
      <c r="D41" s="83">
        <v>156321</v>
      </c>
      <c r="E41" s="11">
        <f t="shared" si="32"/>
        <v>369</v>
      </c>
      <c r="F41" s="141">
        <v>42</v>
      </c>
      <c r="G41" s="13">
        <f t="shared" si="33"/>
        <v>11.38211382113821</v>
      </c>
      <c r="H41" s="83"/>
      <c r="I41" s="125"/>
      <c r="J41" s="83">
        <f t="shared" si="34"/>
        <v>0</v>
      </c>
      <c r="K41" s="83">
        <f t="shared" si="35"/>
        <v>42</v>
      </c>
      <c r="L41" s="136" t="e">
        <f t="shared" si="36"/>
        <v>#DIV/0!</v>
      </c>
      <c r="M41" s="116">
        <v>19120</v>
      </c>
      <c r="N41" s="297">
        <f t="shared" si="37"/>
        <v>803040</v>
      </c>
    </row>
    <row r="42" spans="1:16" ht="16">
      <c r="A42" s="133">
        <v>45868</v>
      </c>
      <c r="B42" s="140" t="s">
        <v>15</v>
      </c>
      <c r="C42" s="83">
        <v>156321</v>
      </c>
      <c r="D42" s="134">
        <v>156570</v>
      </c>
      <c r="E42" s="24">
        <f t="shared" si="32"/>
        <v>249</v>
      </c>
      <c r="F42" s="143">
        <v>28</v>
      </c>
      <c r="G42" s="54">
        <f t="shared" si="33"/>
        <v>11.244979919678714</v>
      </c>
      <c r="H42" s="134"/>
      <c r="I42" s="135"/>
      <c r="J42" s="134">
        <f t="shared" si="34"/>
        <v>0</v>
      </c>
      <c r="K42" s="134">
        <f t="shared" si="35"/>
        <v>28</v>
      </c>
      <c r="L42" s="136" t="e">
        <f t="shared" si="36"/>
        <v>#DIV/0!</v>
      </c>
      <c r="M42" s="137">
        <v>19120</v>
      </c>
      <c r="N42" s="302">
        <f t="shared" si="37"/>
        <v>535360</v>
      </c>
    </row>
    <row r="43" spans="1:16" ht="16">
      <c r="A43" s="59"/>
      <c r="B43" s="60"/>
      <c r="C43" s="59"/>
      <c r="D43" s="59" t="s">
        <v>19</v>
      </c>
      <c r="E43" s="59">
        <f t="shared" ref="E43:F43" si="38">SUM(E36:E42)</f>
        <v>2095</v>
      </c>
      <c r="F43" s="59">
        <f t="shared" si="38"/>
        <v>260</v>
      </c>
      <c r="G43" s="61">
        <f>AVERAGE(G36:G42)</f>
        <v>12.477517856285063</v>
      </c>
      <c r="H43" s="59"/>
      <c r="I43" s="62"/>
      <c r="J43" s="59">
        <f t="shared" ref="J43:K43" si="39">SUM(J36:J42)</f>
        <v>-17505</v>
      </c>
      <c r="K43" s="59">
        <f t="shared" si="39"/>
        <v>260</v>
      </c>
      <c r="L43" s="61" t="e">
        <f>AVERAGE(L36:L42)</f>
        <v>#DIV/0!</v>
      </c>
      <c r="M43" s="64"/>
      <c r="N43" s="299">
        <f>SUM(N36:N42)</f>
        <v>4918600</v>
      </c>
    </row>
    <row r="44" spans="1:16" ht="16">
      <c r="A44" s="89">
        <v>45841</v>
      </c>
      <c r="B44" s="269" t="s">
        <v>16</v>
      </c>
      <c r="C44" s="134">
        <v>130963</v>
      </c>
      <c r="D44" s="39">
        <v>131282</v>
      </c>
      <c r="E44" s="36">
        <f t="shared" ref="E44:E52" si="40">D44-C44</f>
        <v>319</v>
      </c>
      <c r="F44" s="37">
        <v>45</v>
      </c>
      <c r="G44" s="13">
        <f t="shared" ref="G44:G52" si="41">(F44/E44)*100</f>
        <v>14.106583072100312</v>
      </c>
      <c r="H44" s="125"/>
      <c r="I44" s="126"/>
      <c r="J44" s="39">
        <f t="shared" ref="J44:J49" si="42">I44-H44</f>
        <v>0</v>
      </c>
      <c r="K44" s="39">
        <f t="shared" ref="K44:K52" si="43">F44</f>
        <v>45</v>
      </c>
      <c r="L44" s="136" t="e">
        <f t="shared" ref="L44:L52" si="44">(K44/J44)*100</f>
        <v>#DIV/0!</v>
      </c>
      <c r="M44" s="68">
        <v>19340</v>
      </c>
      <c r="N44" s="294">
        <f t="shared" ref="N44:N52" si="45">F44*M44</f>
        <v>870300</v>
      </c>
    </row>
    <row r="45" spans="1:16" ht="16">
      <c r="A45" s="138">
        <v>45846</v>
      </c>
      <c r="B45" s="140" t="s">
        <v>16</v>
      </c>
      <c r="C45" s="83">
        <v>131282</v>
      </c>
      <c r="D45" s="83">
        <v>131573</v>
      </c>
      <c r="E45" s="11">
        <f t="shared" si="40"/>
        <v>291</v>
      </c>
      <c r="F45" s="277">
        <v>39</v>
      </c>
      <c r="G45" s="13">
        <f t="shared" si="41"/>
        <v>13.402061855670103</v>
      </c>
      <c r="H45" s="83"/>
      <c r="I45" s="126"/>
      <c r="J45" s="83">
        <f t="shared" si="42"/>
        <v>0</v>
      </c>
      <c r="K45" s="39">
        <f t="shared" si="43"/>
        <v>39</v>
      </c>
      <c r="L45" s="136" t="e">
        <f t="shared" si="44"/>
        <v>#DIV/0!</v>
      </c>
      <c r="M45" s="116">
        <v>18400</v>
      </c>
      <c r="N45" s="296">
        <f t="shared" si="45"/>
        <v>717600</v>
      </c>
    </row>
    <row r="46" spans="1:16" ht="16">
      <c r="A46" s="138">
        <v>45852</v>
      </c>
      <c r="B46" s="140" t="s">
        <v>16</v>
      </c>
      <c r="C46" s="83">
        <v>131573</v>
      </c>
      <c r="D46" s="83">
        <v>131852</v>
      </c>
      <c r="E46" s="11">
        <f t="shared" si="40"/>
        <v>279</v>
      </c>
      <c r="F46" s="141">
        <v>38</v>
      </c>
      <c r="G46" s="13">
        <f t="shared" si="41"/>
        <v>13.620071684587815</v>
      </c>
      <c r="H46" s="83"/>
      <c r="I46" s="125"/>
      <c r="J46" s="83">
        <f t="shared" si="42"/>
        <v>0</v>
      </c>
      <c r="K46" s="39">
        <f t="shared" si="43"/>
        <v>38</v>
      </c>
      <c r="L46" s="136" t="e">
        <f t="shared" si="44"/>
        <v>#DIV/0!</v>
      </c>
      <c r="M46" s="116">
        <v>18830</v>
      </c>
      <c r="N46" s="296">
        <f t="shared" si="45"/>
        <v>715540</v>
      </c>
    </row>
    <row r="47" spans="1:16" ht="16">
      <c r="A47" s="138">
        <v>45854</v>
      </c>
      <c r="B47" s="140" t="s">
        <v>16</v>
      </c>
      <c r="C47" s="83">
        <v>131852</v>
      </c>
      <c r="D47" s="83">
        <v>132130</v>
      </c>
      <c r="E47" s="11">
        <f t="shared" si="40"/>
        <v>278</v>
      </c>
      <c r="F47" s="141">
        <v>30</v>
      </c>
      <c r="G47" s="13">
        <f t="shared" si="41"/>
        <v>10.791366906474821</v>
      </c>
      <c r="H47" s="83"/>
      <c r="I47" s="125"/>
      <c r="J47" s="83">
        <f t="shared" si="42"/>
        <v>0</v>
      </c>
      <c r="K47" s="39">
        <f t="shared" si="43"/>
        <v>30</v>
      </c>
      <c r="L47" s="136" t="e">
        <f t="shared" si="44"/>
        <v>#DIV/0!</v>
      </c>
      <c r="M47" s="116">
        <v>18830</v>
      </c>
      <c r="N47" s="296">
        <f t="shared" si="45"/>
        <v>564900</v>
      </c>
      <c r="P47" s="78"/>
    </row>
    <row r="48" spans="1:16" ht="16">
      <c r="A48" s="138">
        <v>45857</v>
      </c>
      <c r="B48" s="140" t="s">
        <v>16</v>
      </c>
      <c r="C48" s="83">
        <v>132130</v>
      </c>
      <c r="D48" s="83">
        <v>132359</v>
      </c>
      <c r="E48" s="11">
        <f t="shared" si="40"/>
        <v>229</v>
      </c>
      <c r="F48" s="141">
        <v>40</v>
      </c>
      <c r="G48" s="13">
        <f t="shared" si="41"/>
        <v>17.467248908296941</v>
      </c>
      <c r="H48" s="83"/>
      <c r="I48" s="125"/>
      <c r="J48" s="83">
        <f t="shared" si="42"/>
        <v>0</v>
      </c>
      <c r="K48" s="39">
        <f t="shared" si="43"/>
        <v>40</v>
      </c>
      <c r="L48" s="136" t="e">
        <f t="shared" si="44"/>
        <v>#DIV/0!</v>
      </c>
      <c r="M48" s="116">
        <v>18790</v>
      </c>
      <c r="N48" s="297">
        <f t="shared" si="45"/>
        <v>751600</v>
      </c>
    </row>
    <row r="49" spans="1:14" ht="16">
      <c r="A49" s="139">
        <v>45861</v>
      </c>
      <c r="B49" s="90" t="s">
        <v>16</v>
      </c>
      <c r="C49" s="83">
        <v>132359</v>
      </c>
      <c r="D49" s="83">
        <v>132665</v>
      </c>
      <c r="E49" s="11">
        <f t="shared" si="40"/>
        <v>306</v>
      </c>
      <c r="F49" s="141">
        <v>41</v>
      </c>
      <c r="G49" s="13">
        <f t="shared" si="41"/>
        <v>13.398692810457517</v>
      </c>
      <c r="H49" s="83"/>
      <c r="I49" s="125"/>
      <c r="J49" s="83">
        <f t="shared" si="42"/>
        <v>0</v>
      </c>
      <c r="K49" s="39">
        <f t="shared" si="43"/>
        <v>41</v>
      </c>
      <c r="L49" s="136" t="e">
        <f t="shared" si="44"/>
        <v>#DIV/0!</v>
      </c>
      <c r="M49" s="116">
        <v>18790</v>
      </c>
      <c r="N49" s="297">
        <f t="shared" si="45"/>
        <v>770390</v>
      </c>
    </row>
    <row r="50" spans="1:14" ht="16">
      <c r="A50" s="133">
        <v>45863</v>
      </c>
      <c r="B50" s="140" t="s">
        <v>16</v>
      </c>
      <c r="C50" s="134">
        <v>132665</v>
      </c>
      <c r="D50" s="134">
        <v>132920</v>
      </c>
      <c r="E50" s="11">
        <f t="shared" si="40"/>
        <v>255</v>
      </c>
      <c r="F50" s="143">
        <v>37</v>
      </c>
      <c r="G50" s="13">
        <f t="shared" si="41"/>
        <v>14.509803921568629</v>
      </c>
      <c r="H50" s="134"/>
      <c r="I50" s="135"/>
      <c r="J50" s="134"/>
      <c r="K50" s="39">
        <f t="shared" si="43"/>
        <v>37</v>
      </c>
      <c r="L50" s="136" t="e">
        <f t="shared" si="44"/>
        <v>#DIV/0!</v>
      </c>
      <c r="M50" s="116">
        <v>19120</v>
      </c>
      <c r="N50" s="297">
        <f t="shared" si="45"/>
        <v>707440</v>
      </c>
    </row>
    <row r="51" spans="1:14" ht="16">
      <c r="A51" s="133">
        <v>45866</v>
      </c>
      <c r="B51" s="140" t="s">
        <v>16</v>
      </c>
      <c r="C51" s="134">
        <v>132920</v>
      </c>
      <c r="D51" s="134">
        <v>133203</v>
      </c>
      <c r="E51" s="11">
        <f t="shared" si="40"/>
        <v>283</v>
      </c>
      <c r="F51" s="143">
        <v>33</v>
      </c>
      <c r="G51" s="13">
        <f t="shared" si="41"/>
        <v>11.66077738515901</v>
      </c>
      <c r="H51" s="134"/>
      <c r="I51" s="135"/>
      <c r="J51" s="134"/>
      <c r="K51" s="39">
        <f t="shared" si="43"/>
        <v>33</v>
      </c>
      <c r="L51" s="136" t="e">
        <f t="shared" si="44"/>
        <v>#DIV/0!</v>
      </c>
      <c r="M51" s="137">
        <v>19120</v>
      </c>
      <c r="N51" s="297">
        <f t="shared" si="45"/>
        <v>630960</v>
      </c>
    </row>
    <row r="52" spans="1:14" ht="16">
      <c r="A52" s="133">
        <v>45869</v>
      </c>
      <c r="B52" s="90" t="s">
        <v>16</v>
      </c>
      <c r="C52" s="134">
        <v>133203</v>
      </c>
      <c r="D52" s="134">
        <v>133458</v>
      </c>
      <c r="E52" s="24">
        <f t="shared" si="40"/>
        <v>255</v>
      </c>
      <c r="F52" s="143">
        <v>35</v>
      </c>
      <c r="G52" s="54">
        <f t="shared" si="41"/>
        <v>13.725490196078432</v>
      </c>
      <c r="H52" s="134"/>
      <c r="I52" s="135"/>
      <c r="J52" s="134">
        <f>I52-H52</f>
        <v>0</v>
      </c>
      <c r="K52" s="134">
        <f t="shared" si="43"/>
        <v>35</v>
      </c>
      <c r="L52" s="136" t="e">
        <f t="shared" si="44"/>
        <v>#DIV/0!</v>
      </c>
      <c r="M52" s="137">
        <v>19120</v>
      </c>
      <c r="N52" s="298">
        <f t="shared" si="45"/>
        <v>669200</v>
      </c>
    </row>
    <row r="53" spans="1:14" ht="16">
      <c r="A53" s="59"/>
      <c r="B53" s="60"/>
      <c r="C53" s="59"/>
      <c r="D53" s="59" t="s">
        <v>19</v>
      </c>
      <c r="E53" s="59">
        <f t="shared" ref="E53:F53" si="46">SUM(E44:E52)</f>
        <v>2495</v>
      </c>
      <c r="F53" s="59">
        <f t="shared" si="46"/>
        <v>338</v>
      </c>
      <c r="G53" s="61">
        <f>AVERAGE(G44:G52)</f>
        <v>13.631344082265953</v>
      </c>
      <c r="H53" s="59"/>
      <c r="I53" s="62"/>
      <c r="J53" s="59">
        <f t="shared" ref="J53:K53" si="47">SUM(J44:J52)</f>
        <v>0</v>
      </c>
      <c r="K53" s="59">
        <f t="shared" si="47"/>
        <v>338</v>
      </c>
      <c r="L53" s="61" t="e">
        <f>AVERAGE(L44:L52)</f>
        <v>#DIV/0!</v>
      </c>
      <c r="M53" s="64"/>
      <c r="N53" s="299">
        <f>SUM(N44:N52)</f>
        <v>6397930</v>
      </c>
    </row>
    <row r="54" spans="1:14" ht="16">
      <c r="A54" s="66">
        <v>45839</v>
      </c>
      <c r="B54" s="278" t="s">
        <v>18</v>
      </c>
      <c r="C54" s="134">
        <v>135663</v>
      </c>
      <c r="D54" s="39">
        <v>136015</v>
      </c>
      <c r="E54" s="36">
        <f t="shared" ref="E54:E61" si="48">D54-C54</f>
        <v>352</v>
      </c>
      <c r="F54" s="37">
        <v>50</v>
      </c>
      <c r="G54" s="13">
        <f t="shared" ref="G54:G61" si="49">(F54/E54)*100</f>
        <v>14.204545454545455</v>
      </c>
      <c r="H54" s="135"/>
      <c r="I54" s="126">
        <v>9269</v>
      </c>
      <c r="J54" s="39">
        <f t="shared" ref="J54:J59" si="50">I54-H54</f>
        <v>9269</v>
      </c>
      <c r="K54" s="39">
        <f t="shared" ref="K54:K61" si="51">F54</f>
        <v>50</v>
      </c>
      <c r="L54" s="136">
        <f t="shared" ref="L54:L59" si="52">(K54/J54)*100</f>
        <v>0.53943251699212436</v>
      </c>
      <c r="M54" s="68">
        <v>19340</v>
      </c>
      <c r="N54" s="294">
        <f t="shared" ref="N54:N61" si="53">F54*M54</f>
        <v>967000</v>
      </c>
    </row>
    <row r="55" spans="1:14" ht="16">
      <c r="A55" s="138">
        <v>45843</v>
      </c>
      <c r="B55" s="140" t="s">
        <v>18</v>
      </c>
      <c r="C55" s="83">
        <v>136015</v>
      </c>
      <c r="D55" s="83">
        <v>136321</v>
      </c>
      <c r="E55" s="11">
        <f t="shared" si="48"/>
        <v>306</v>
      </c>
      <c r="F55" s="141">
        <v>38</v>
      </c>
      <c r="G55" s="13">
        <f t="shared" si="49"/>
        <v>12.418300653594772</v>
      </c>
      <c r="H55" s="83"/>
      <c r="I55" s="125"/>
      <c r="J55" s="83">
        <f t="shared" si="50"/>
        <v>0</v>
      </c>
      <c r="K55" s="83">
        <f t="shared" si="51"/>
        <v>38</v>
      </c>
      <c r="L55" s="136" t="e">
        <f t="shared" si="52"/>
        <v>#DIV/0!</v>
      </c>
      <c r="M55" s="116">
        <v>18400</v>
      </c>
      <c r="N55" s="296">
        <f t="shared" si="53"/>
        <v>699200</v>
      </c>
    </row>
    <row r="56" spans="1:14" ht="16">
      <c r="A56" s="249">
        <v>45849</v>
      </c>
      <c r="B56" s="140" t="s">
        <v>18</v>
      </c>
      <c r="C56" s="83">
        <v>136321</v>
      </c>
      <c r="D56" s="83">
        <v>136706</v>
      </c>
      <c r="E56" s="11">
        <f t="shared" si="48"/>
        <v>385</v>
      </c>
      <c r="F56" s="141">
        <v>52</v>
      </c>
      <c r="G56" s="13">
        <f t="shared" si="49"/>
        <v>13.506493506493506</v>
      </c>
      <c r="H56" s="83"/>
      <c r="I56" s="125"/>
      <c r="J56" s="83">
        <f t="shared" si="50"/>
        <v>0</v>
      </c>
      <c r="K56" s="83">
        <f t="shared" si="51"/>
        <v>52</v>
      </c>
      <c r="L56" s="136" t="e">
        <f t="shared" si="52"/>
        <v>#DIV/0!</v>
      </c>
      <c r="M56" s="116">
        <v>18830</v>
      </c>
      <c r="N56" s="296">
        <f t="shared" si="53"/>
        <v>979160</v>
      </c>
    </row>
    <row r="57" spans="1:14" ht="16">
      <c r="A57" s="138">
        <v>45855</v>
      </c>
      <c r="B57" s="140" t="s">
        <v>18</v>
      </c>
      <c r="C57" s="83">
        <v>136706</v>
      </c>
      <c r="D57" s="83">
        <v>137061</v>
      </c>
      <c r="E57" s="11">
        <f t="shared" si="48"/>
        <v>355</v>
      </c>
      <c r="F57" s="141">
        <v>46</v>
      </c>
      <c r="G57" s="13">
        <f t="shared" si="49"/>
        <v>12.957746478873238</v>
      </c>
      <c r="H57" s="83"/>
      <c r="I57" s="125"/>
      <c r="J57" s="83">
        <f t="shared" si="50"/>
        <v>0</v>
      </c>
      <c r="K57" s="83">
        <f t="shared" si="51"/>
        <v>46</v>
      </c>
      <c r="L57" s="136" t="e">
        <f t="shared" si="52"/>
        <v>#DIV/0!</v>
      </c>
      <c r="M57" s="116">
        <v>18830</v>
      </c>
      <c r="N57" s="297">
        <f t="shared" si="53"/>
        <v>866180</v>
      </c>
    </row>
    <row r="58" spans="1:14" ht="16">
      <c r="A58" s="138">
        <v>45859</v>
      </c>
      <c r="B58" s="140" t="s">
        <v>18</v>
      </c>
      <c r="C58" s="83">
        <v>137061</v>
      </c>
      <c r="D58" s="83">
        <v>137383</v>
      </c>
      <c r="E58" s="11">
        <f t="shared" si="48"/>
        <v>322</v>
      </c>
      <c r="F58" s="141">
        <v>39</v>
      </c>
      <c r="G58" s="13">
        <f t="shared" si="49"/>
        <v>12.111801242236025</v>
      </c>
      <c r="H58" s="83"/>
      <c r="I58" s="125"/>
      <c r="J58" s="83">
        <f t="shared" si="50"/>
        <v>0</v>
      </c>
      <c r="K58" s="83">
        <f t="shared" si="51"/>
        <v>39</v>
      </c>
      <c r="L58" s="136" t="e">
        <f t="shared" si="52"/>
        <v>#DIV/0!</v>
      </c>
      <c r="M58" s="116">
        <v>18790</v>
      </c>
      <c r="N58" s="300">
        <f t="shared" si="53"/>
        <v>732810</v>
      </c>
    </row>
    <row r="59" spans="1:14" ht="16">
      <c r="A59" s="138">
        <v>45862</v>
      </c>
      <c r="B59" s="140" t="s">
        <v>18</v>
      </c>
      <c r="C59" s="83">
        <v>137383</v>
      </c>
      <c r="D59" s="83">
        <v>137677</v>
      </c>
      <c r="E59" s="51">
        <f t="shared" si="48"/>
        <v>294</v>
      </c>
      <c r="F59" s="141">
        <v>38</v>
      </c>
      <c r="G59" s="13">
        <f t="shared" si="49"/>
        <v>12.925170068027212</v>
      </c>
      <c r="H59" s="83"/>
      <c r="I59" s="125"/>
      <c r="J59" s="83">
        <f t="shared" si="50"/>
        <v>0</v>
      </c>
      <c r="K59" s="83">
        <f t="shared" si="51"/>
        <v>38</v>
      </c>
      <c r="L59" s="136" t="e">
        <f t="shared" si="52"/>
        <v>#DIV/0!</v>
      </c>
      <c r="M59" s="116">
        <v>19120</v>
      </c>
      <c r="N59" s="300">
        <f t="shared" si="53"/>
        <v>726560</v>
      </c>
    </row>
    <row r="60" spans="1:14" ht="16">
      <c r="A60" s="279">
        <v>45869</v>
      </c>
      <c r="B60" s="140" t="s">
        <v>18</v>
      </c>
      <c r="C60" s="134">
        <v>137966</v>
      </c>
      <c r="D60" s="134">
        <v>138328</v>
      </c>
      <c r="E60" s="51">
        <f t="shared" si="48"/>
        <v>362</v>
      </c>
      <c r="F60" s="143">
        <v>44</v>
      </c>
      <c r="G60" s="13">
        <f t="shared" si="49"/>
        <v>12.154696132596685</v>
      </c>
      <c r="H60" s="134"/>
      <c r="I60" s="135"/>
      <c r="J60" s="134"/>
      <c r="K60" s="83">
        <f t="shared" si="51"/>
        <v>44</v>
      </c>
      <c r="L60" s="136"/>
      <c r="M60" s="137">
        <v>19060</v>
      </c>
      <c r="N60" s="300">
        <f t="shared" si="53"/>
        <v>838640</v>
      </c>
    </row>
    <row r="61" spans="1:14" ht="16">
      <c r="A61" s="279">
        <v>45866</v>
      </c>
      <c r="B61" s="90" t="s">
        <v>18</v>
      </c>
      <c r="C61" s="134">
        <v>137677</v>
      </c>
      <c r="D61" s="134">
        <v>137966</v>
      </c>
      <c r="E61" s="24">
        <f t="shared" si="48"/>
        <v>289</v>
      </c>
      <c r="F61" s="143">
        <v>36</v>
      </c>
      <c r="G61" s="54">
        <f t="shared" si="49"/>
        <v>12.45674740484429</v>
      </c>
      <c r="H61" s="134"/>
      <c r="I61" s="135"/>
      <c r="J61" s="134">
        <f>I61-H61</f>
        <v>0</v>
      </c>
      <c r="K61" s="134">
        <f t="shared" si="51"/>
        <v>36</v>
      </c>
      <c r="L61" s="136" t="e">
        <f>(K61/J61)*100</f>
        <v>#DIV/0!</v>
      </c>
      <c r="M61" s="137">
        <v>19120</v>
      </c>
      <c r="N61" s="298">
        <f t="shared" si="53"/>
        <v>688320</v>
      </c>
    </row>
    <row r="62" spans="1:14" ht="16">
      <c r="A62" s="59"/>
      <c r="B62" s="60"/>
      <c r="C62" s="59"/>
      <c r="D62" s="59" t="s">
        <v>19</v>
      </c>
      <c r="E62" s="59">
        <f t="shared" ref="E62:F62" si="54">SUM(E54:E61)</f>
        <v>2665</v>
      </c>
      <c r="F62" s="59">
        <f t="shared" si="54"/>
        <v>343</v>
      </c>
      <c r="G62" s="61">
        <f>AVERAGE(G54:G61)</f>
        <v>12.841937617651398</v>
      </c>
      <c r="H62" s="59"/>
      <c r="I62" s="62"/>
      <c r="J62" s="59">
        <f t="shared" ref="J62:K62" si="55">SUM(J54:J61)</f>
        <v>9269</v>
      </c>
      <c r="K62" s="59">
        <f t="shared" si="55"/>
        <v>343</v>
      </c>
      <c r="L62" s="61" t="e">
        <f>AVERAGE(L54:L61)</f>
        <v>#DIV/0!</v>
      </c>
      <c r="M62" s="64"/>
      <c r="N62" s="299">
        <f>SUM(N54:N61)</f>
        <v>6497870</v>
      </c>
    </row>
    <row r="63" spans="1:14" ht="16">
      <c r="A63" s="66">
        <v>45843</v>
      </c>
      <c r="B63" s="269" t="s">
        <v>20</v>
      </c>
      <c r="C63" s="83">
        <v>381978</v>
      </c>
      <c r="D63" s="39">
        <v>382701</v>
      </c>
      <c r="E63" s="36">
        <f t="shared" ref="E63:E69" si="56">D63-C63</f>
        <v>723</v>
      </c>
      <c r="F63" s="37">
        <v>85</v>
      </c>
      <c r="G63" s="13">
        <f t="shared" ref="G63:G69" si="57">(F63/E63)*100</f>
        <v>11.756569847856154</v>
      </c>
      <c r="H63" s="125"/>
      <c r="I63" s="126">
        <v>18582</v>
      </c>
      <c r="J63" s="39">
        <f t="shared" ref="J63:J69" si="58">I63-H63</f>
        <v>18582</v>
      </c>
      <c r="K63" s="39">
        <f t="shared" ref="K63:K69" si="59">F63</f>
        <v>85</v>
      </c>
      <c r="L63" s="136">
        <f t="shared" ref="L63:L69" si="60">(K63/J63)*100</f>
        <v>0.45743192336669897</v>
      </c>
      <c r="M63" s="68">
        <v>18400</v>
      </c>
      <c r="N63" s="305">
        <f t="shared" ref="N63:N69" si="61">F63*M63</f>
        <v>1564000</v>
      </c>
    </row>
    <row r="64" spans="1:14" ht="16">
      <c r="A64" s="138">
        <v>45853</v>
      </c>
      <c r="B64" s="140" t="s">
        <v>20</v>
      </c>
      <c r="C64" s="83">
        <v>382701</v>
      </c>
      <c r="D64" s="83">
        <v>383274</v>
      </c>
      <c r="E64" s="11">
        <f t="shared" si="56"/>
        <v>573</v>
      </c>
      <c r="F64" s="141">
        <v>75</v>
      </c>
      <c r="G64" s="13">
        <f t="shared" si="57"/>
        <v>13.089005235602095</v>
      </c>
      <c r="H64" s="83"/>
      <c r="I64" s="125"/>
      <c r="J64" s="83">
        <f t="shared" si="58"/>
        <v>0</v>
      </c>
      <c r="K64" s="39">
        <f t="shared" si="59"/>
        <v>75</v>
      </c>
      <c r="L64" s="136" t="e">
        <f t="shared" si="60"/>
        <v>#DIV/0!</v>
      </c>
      <c r="M64" s="116">
        <v>18830</v>
      </c>
      <c r="N64" s="296">
        <f t="shared" si="61"/>
        <v>1412250</v>
      </c>
    </row>
    <row r="65" spans="1:14" ht="16">
      <c r="A65" s="138">
        <v>45860</v>
      </c>
      <c r="B65" s="140" t="s">
        <v>20</v>
      </c>
      <c r="C65" s="83">
        <v>383274</v>
      </c>
      <c r="D65" s="83">
        <v>383938</v>
      </c>
      <c r="E65" s="11">
        <f t="shared" si="56"/>
        <v>664</v>
      </c>
      <c r="F65" s="141">
        <v>75</v>
      </c>
      <c r="G65" s="13">
        <f t="shared" si="57"/>
        <v>11.295180722891567</v>
      </c>
      <c r="H65" s="83"/>
      <c r="I65" s="125"/>
      <c r="J65" s="83">
        <f t="shared" si="58"/>
        <v>0</v>
      </c>
      <c r="K65" s="240">
        <f t="shared" si="59"/>
        <v>75</v>
      </c>
      <c r="L65" s="136" t="e">
        <f t="shared" si="60"/>
        <v>#DIV/0!</v>
      </c>
      <c r="M65" s="116">
        <v>18790</v>
      </c>
      <c r="N65" s="297">
        <f t="shared" si="61"/>
        <v>1409250</v>
      </c>
    </row>
    <row r="66" spans="1:14" ht="16">
      <c r="A66" s="138"/>
      <c r="B66" s="140" t="s">
        <v>20</v>
      </c>
      <c r="C66" s="83"/>
      <c r="D66" s="83"/>
      <c r="E66" s="11">
        <f t="shared" si="56"/>
        <v>0</v>
      </c>
      <c r="F66" s="141"/>
      <c r="G66" s="13" t="e">
        <f t="shared" si="57"/>
        <v>#DIV/0!</v>
      </c>
      <c r="H66" s="83"/>
      <c r="I66" s="125"/>
      <c r="J66" s="83">
        <f t="shared" si="58"/>
        <v>0</v>
      </c>
      <c r="K66" s="83">
        <f t="shared" si="59"/>
        <v>0</v>
      </c>
      <c r="L66" s="136" t="e">
        <f t="shared" si="60"/>
        <v>#DIV/0!</v>
      </c>
      <c r="M66" s="116"/>
      <c r="N66" s="300">
        <f t="shared" si="61"/>
        <v>0</v>
      </c>
    </row>
    <row r="67" spans="1:14" ht="16">
      <c r="A67" s="138"/>
      <c r="B67" s="140" t="s">
        <v>20</v>
      </c>
      <c r="C67" s="83"/>
      <c r="D67" s="83"/>
      <c r="E67" s="11">
        <f t="shared" si="56"/>
        <v>0</v>
      </c>
      <c r="F67" s="141"/>
      <c r="G67" s="13" t="e">
        <f t="shared" si="57"/>
        <v>#DIV/0!</v>
      </c>
      <c r="H67" s="83"/>
      <c r="I67" s="125"/>
      <c r="J67" s="83">
        <f t="shared" si="58"/>
        <v>0</v>
      </c>
      <c r="K67" s="83">
        <f t="shared" si="59"/>
        <v>0</v>
      </c>
      <c r="L67" s="136" t="e">
        <f t="shared" si="60"/>
        <v>#DIV/0!</v>
      </c>
      <c r="M67" s="116"/>
      <c r="N67" s="300">
        <f t="shared" si="61"/>
        <v>0</v>
      </c>
    </row>
    <row r="68" spans="1:14" ht="16">
      <c r="A68" s="244"/>
      <c r="B68" s="90" t="s">
        <v>20</v>
      </c>
      <c r="C68" s="83"/>
      <c r="D68" s="83"/>
      <c r="E68" s="11">
        <f t="shared" si="56"/>
        <v>0</v>
      </c>
      <c r="F68" s="141"/>
      <c r="G68" s="13" t="e">
        <f t="shared" si="57"/>
        <v>#DIV/0!</v>
      </c>
      <c r="H68" s="83"/>
      <c r="I68" s="125"/>
      <c r="J68" s="83">
        <f t="shared" si="58"/>
        <v>0</v>
      </c>
      <c r="K68" s="83">
        <f t="shared" si="59"/>
        <v>0</v>
      </c>
      <c r="L68" s="136" t="e">
        <f t="shared" si="60"/>
        <v>#DIV/0!</v>
      </c>
      <c r="M68" s="116"/>
      <c r="N68" s="300">
        <f t="shared" si="61"/>
        <v>0</v>
      </c>
    </row>
    <row r="69" spans="1:14" ht="16">
      <c r="A69" s="271"/>
      <c r="B69" s="283"/>
      <c r="C69" s="134"/>
      <c r="D69" s="134"/>
      <c r="E69" s="24">
        <f t="shared" si="56"/>
        <v>0</v>
      </c>
      <c r="F69" s="143"/>
      <c r="G69" s="54" t="e">
        <f t="shared" si="57"/>
        <v>#DIV/0!</v>
      </c>
      <c r="H69" s="134"/>
      <c r="I69" s="135"/>
      <c r="J69" s="134">
        <f t="shared" si="58"/>
        <v>0</v>
      </c>
      <c r="K69" s="134">
        <f t="shared" si="59"/>
        <v>0</v>
      </c>
      <c r="L69" s="136" t="e">
        <f t="shared" si="60"/>
        <v>#DIV/0!</v>
      </c>
      <c r="M69" s="137"/>
      <c r="N69" s="298">
        <f t="shared" si="61"/>
        <v>0</v>
      </c>
    </row>
    <row r="70" spans="1:14" ht="16">
      <c r="A70" s="59"/>
      <c r="B70" s="60"/>
      <c r="C70" s="59"/>
      <c r="D70" s="59" t="s">
        <v>19</v>
      </c>
      <c r="E70" s="59">
        <f t="shared" ref="E70:F70" si="62">SUM(E63:E69)</f>
        <v>1960</v>
      </c>
      <c r="F70" s="59">
        <f t="shared" si="62"/>
        <v>235</v>
      </c>
      <c r="G70" s="61" t="e">
        <f>AVERAGE(G63:G69)</f>
        <v>#DIV/0!</v>
      </c>
      <c r="H70" s="59"/>
      <c r="I70" s="62"/>
      <c r="J70" s="59">
        <f t="shared" ref="J70:K70" si="63">SUM(J63:J69)</f>
        <v>18582</v>
      </c>
      <c r="K70" s="59">
        <f t="shared" si="63"/>
        <v>235</v>
      </c>
      <c r="L70" s="61" t="e">
        <f>AVERAGE(L63:L69)</f>
        <v>#DIV/0!</v>
      </c>
      <c r="M70" s="64"/>
      <c r="N70" s="299">
        <f>SUM(N63:N69)</f>
        <v>4385500</v>
      </c>
    </row>
    <row r="71" spans="1:14" ht="16">
      <c r="A71" s="85">
        <v>45843</v>
      </c>
      <c r="B71" s="269" t="s">
        <v>21</v>
      </c>
      <c r="C71" s="83">
        <v>363984</v>
      </c>
      <c r="D71" s="39">
        <v>364500</v>
      </c>
      <c r="E71" s="36">
        <f t="shared" ref="E71:E77" si="64">D71-C71</f>
        <v>516</v>
      </c>
      <c r="F71" s="37">
        <v>73</v>
      </c>
      <c r="G71" s="13">
        <f t="shared" ref="G71:G77" si="65">(F71/E71)*100</f>
        <v>14.147286821705427</v>
      </c>
      <c r="H71" s="125"/>
      <c r="I71" s="125"/>
      <c r="J71" s="39">
        <f t="shared" ref="J71:J77" si="66">I71-H71</f>
        <v>0</v>
      </c>
      <c r="K71" s="39">
        <f t="shared" ref="K71:K77" si="67">F71</f>
        <v>73</v>
      </c>
      <c r="L71" s="136" t="e">
        <f t="shared" ref="L71:L77" si="68">(K71/J71)*100</f>
        <v>#DIV/0!</v>
      </c>
      <c r="M71" s="68">
        <v>18400</v>
      </c>
      <c r="N71" s="294">
        <f t="shared" ref="N71:N77" si="69">F71*M71</f>
        <v>1343200</v>
      </c>
    </row>
    <row r="72" spans="1:14" ht="16">
      <c r="A72" s="138">
        <v>45853</v>
      </c>
      <c r="B72" s="140" t="s">
        <v>21</v>
      </c>
      <c r="C72" s="39">
        <v>364500</v>
      </c>
      <c r="D72" s="83">
        <v>365009</v>
      </c>
      <c r="E72" s="11">
        <f t="shared" si="64"/>
        <v>509</v>
      </c>
      <c r="F72" s="141">
        <v>65</v>
      </c>
      <c r="G72" s="13">
        <f t="shared" si="65"/>
        <v>12.770137524557956</v>
      </c>
      <c r="H72" s="83"/>
      <c r="I72" s="125"/>
      <c r="J72" s="83">
        <f t="shared" si="66"/>
        <v>0</v>
      </c>
      <c r="K72" s="39">
        <f t="shared" si="67"/>
        <v>65</v>
      </c>
      <c r="L72" s="136" t="e">
        <f t="shared" si="68"/>
        <v>#DIV/0!</v>
      </c>
      <c r="M72" s="116">
        <v>18830</v>
      </c>
      <c r="N72" s="296">
        <f t="shared" si="69"/>
        <v>1223950</v>
      </c>
    </row>
    <row r="73" spans="1:14" ht="16">
      <c r="A73" s="138">
        <v>45861</v>
      </c>
      <c r="B73" s="140" t="s">
        <v>21</v>
      </c>
      <c r="C73" s="83">
        <v>365009</v>
      </c>
      <c r="D73" s="83">
        <v>365498</v>
      </c>
      <c r="E73" s="11">
        <f t="shared" si="64"/>
        <v>489</v>
      </c>
      <c r="F73" s="141">
        <v>75</v>
      </c>
      <c r="G73" s="13">
        <f t="shared" si="65"/>
        <v>15.337423312883436</v>
      </c>
      <c r="H73" s="83"/>
      <c r="I73" s="125"/>
      <c r="J73" s="83">
        <f t="shared" si="66"/>
        <v>0</v>
      </c>
      <c r="K73" s="39">
        <f t="shared" si="67"/>
        <v>75</v>
      </c>
      <c r="L73" s="136" t="e">
        <f t="shared" si="68"/>
        <v>#DIV/0!</v>
      </c>
      <c r="M73" s="116">
        <v>18790</v>
      </c>
      <c r="N73" s="296">
        <f t="shared" si="69"/>
        <v>1409250</v>
      </c>
    </row>
    <row r="74" spans="1:14" ht="16">
      <c r="A74" s="284">
        <v>45869</v>
      </c>
      <c r="B74" s="140" t="s">
        <v>21</v>
      </c>
      <c r="C74" s="83">
        <v>365498</v>
      </c>
      <c r="D74" s="83">
        <v>366021</v>
      </c>
      <c r="E74" s="11">
        <f t="shared" si="64"/>
        <v>523</v>
      </c>
      <c r="F74" s="141">
        <v>76</v>
      </c>
      <c r="G74" s="13">
        <f t="shared" si="65"/>
        <v>14.531548757170173</v>
      </c>
      <c r="H74" s="83"/>
      <c r="I74" s="125"/>
      <c r="J74" s="83">
        <f t="shared" si="66"/>
        <v>0</v>
      </c>
      <c r="K74" s="39">
        <f t="shared" si="67"/>
        <v>76</v>
      </c>
      <c r="L74" s="136" t="e">
        <f t="shared" si="68"/>
        <v>#DIV/0!</v>
      </c>
      <c r="M74" s="116">
        <v>19120</v>
      </c>
      <c r="N74" s="306">
        <f t="shared" si="69"/>
        <v>1453120</v>
      </c>
    </row>
    <row r="75" spans="1:14" ht="16">
      <c r="A75" s="138"/>
      <c r="B75" s="140" t="s">
        <v>21</v>
      </c>
      <c r="C75" s="83"/>
      <c r="D75" s="83"/>
      <c r="E75" s="11">
        <f t="shared" si="64"/>
        <v>0</v>
      </c>
      <c r="F75" s="141"/>
      <c r="G75" s="13" t="e">
        <f t="shared" si="65"/>
        <v>#DIV/0!</v>
      </c>
      <c r="H75" s="83"/>
      <c r="I75" s="125"/>
      <c r="J75" s="83">
        <f t="shared" si="66"/>
        <v>0</v>
      </c>
      <c r="K75" s="83">
        <f t="shared" si="67"/>
        <v>0</v>
      </c>
      <c r="L75" s="136" t="e">
        <f t="shared" si="68"/>
        <v>#DIV/0!</v>
      </c>
      <c r="M75" s="116"/>
      <c r="N75" s="300">
        <f t="shared" si="69"/>
        <v>0</v>
      </c>
    </row>
    <row r="76" spans="1:14" ht="16">
      <c r="A76" s="139"/>
      <c r="B76" s="90" t="s">
        <v>37</v>
      </c>
      <c r="C76" s="83"/>
      <c r="D76" s="83"/>
      <c r="E76" s="11">
        <f t="shared" si="64"/>
        <v>0</v>
      </c>
      <c r="F76" s="141"/>
      <c r="G76" s="13" t="e">
        <f t="shared" si="65"/>
        <v>#DIV/0!</v>
      </c>
      <c r="H76" s="83"/>
      <c r="I76" s="125"/>
      <c r="J76" s="83">
        <f t="shared" si="66"/>
        <v>0</v>
      </c>
      <c r="K76" s="83">
        <f t="shared" si="67"/>
        <v>0</v>
      </c>
      <c r="L76" s="136" t="e">
        <f t="shared" si="68"/>
        <v>#DIV/0!</v>
      </c>
      <c r="M76" s="116"/>
      <c r="N76" s="300">
        <f t="shared" si="69"/>
        <v>0</v>
      </c>
    </row>
    <row r="77" spans="1:14" ht="16">
      <c r="A77" s="271"/>
      <c r="B77" s="283"/>
      <c r="C77" s="134"/>
      <c r="D77" s="134"/>
      <c r="E77" s="24">
        <f t="shared" si="64"/>
        <v>0</v>
      </c>
      <c r="F77" s="143"/>
      <c r="G77" s="54" t="e">
        <f t="shared" si="65"/>
        <v>#DIV/0!</v>
      </c>
      <c r="H77" s="134"/>
      <c r="I77" s="135"/>
      <c r="J77" s="134">
        <f t="shared" si="66"/>
        <v>0</v>
      </c>
      <c r="K77" s="134">
        <f t="shared" si="67"/>
        <v>0</v>
      </c>
      <c r="L77" s="136" t="e">
        <f t="shared" si="68"/>
        <v>#DIV/0!</v>
      </c>
      <c r="M77" s="137"/>
      <c r="N77" s="298">
        <f t="shared" si="69"/>
        <v>0</v>
      </c>
    </row>
    <row r="78" spans="1:14" ht="16">
      <c r="A78" s="59"/>
      <c r="B78" s="60"/>
      <c r="C78" s="59"/>
      <c r="D78" s="59" t="s">
        <v>19</v>
      </c>
      <c r="E78" s="59">
        <f t="shared" ref="E78:F78" si="70">SUM(E71:E77)</f>
        <v>2037</v>
      </c>
      <c r="F78" s="59">
        <f t="shared" si="70"/>
        <v>289</v>
      </c>
      <c r="G78" s="61" t="e">
        <f>AVERAGE(G71:G77)</f>
        <v>#DIV/0!</v>
      </c>
      <c r="H78" s="59"/>
      <c r="I78" s="62"/>
      <c r="J78" s="59">
        <f t="shared" ref="J78:K78" si="71">SUM(J71:J77)</f>
        <v>0</v>
      </c>
      <c r="K78" s="59">
        <f t="shared" si="71"/>
        <v>289</v>
      </c>
      <c r="L78" s="61" t="e">
        <f>AVERAGE(L71:L77)</f>
        <v>#DIV/0!</v>
      </c>
      <c r="M78" s="64"/>
      <c r="N78" s="299">
        <f>SUM(N71:N77)</f>
        <v>5429520</v>
      </c>
    </row>
    <row r="79" spans="1:14" ht="16">
      <c r="A79" s="66">
        <v>45845</v>
      </c>
      <c r="B79" s="278" t="s">
        <v>22</v>
      </c>
      <c r="C79" s="83">
        <v>199823</v>
      </c>
      <c r="D79" s="39">
        <v>200393</v>
      </c>
      <c r="E79" s="36">
        <f t="shared" ref="E79:E85" si="72">D79-C79</f>
        <v>570</v>
      </c>
      <c r="F79" s="37">
        <v>74</v>
      </c>
      <c r="G79" s="13">
        <f t="shared" ref="G79:G85" si="73">(F79/E79)*100</f>
        <v>12.982456140350877</v>
      </c>
      <c r="H79" s="135"/>
      <c r="I79" s="126"/>
      <c r="J79" s="39">
        <f t="shared" ref="J79:J85" si="74">I79-H79</f>
        <v>0</v>
      </c>
      <c r="K79" s="39">
        <f t="shared" ref="K79:K85" si="75">F79</f>
        <v>74</v>
      </c>
      <c r="L79" s="136" t="e">
        <f t="shared" ref="L79:L85" si="76">(K79/J79)*100</f>
        <v>#DIV/0!</v>
      </c>
      <c r="M79" s="68">
        <v>18400</v>
      </c>
      <c r="N79" s="294">
        <f t="shared" ref="N79:N85" si="77">F79*M79</f>
        <v>1361600</v>
      </c>
    </row>
    <row r="80" spans="1:14" ht="16">
      <c r="A80" s="138">
        <v>45849</v>
      </c>
      <c r="B80" s="140" t="s">
        <v>22</v>
      </c>
      <c r="C80" s="83">
        <v>200393</v>
      </c>
      <c r="D80" s="83">
        <v>200943</v>
      </c>
      <c r="E80" s="11">
        <f t="shared" si="72"/>
        <v>550</v>
      </c>
      <c r="F80" s="141">
        <v>67</v>
      </c>
      <c r="G80" s="13">
        <f t="shared" si="73"/>
        <v>12.181818181818182</v>
      </c>
      <c r="H80" s="126"/>
      <c r="I80" s="126"/>
      <c r="J80" s="83">
        <f t="shared" si="74"/>
        <v>0</v>
      </c>
      <c r="K80" s="83">
        <f t="shared" si="75"/>
        <v>67</v>
      </c>
      <c r="L80" s="136" t="e">
        <f t="shared" si="76"/>
        <v>#DIV/0!</v>
      </c>
      <c r="M80" s="116">
        <v>18830</v>
      </c>
      <c r="N80" s="296">
        <f t="shared" si="77"/>
        <v>1261610</v>
      </c>
    </row>
    <row r="81" spans="1:26" ht="16">
      <c r="A81" s="139">
        <v>45857</v>
      </c>
      <c r="B81" s="140" t="s">
        <v>22</v>
      </c>
      <c r="C81" s="83">
        <v>200943</v>
      </c>
      <c r="D81" s="83">
        <v>201517</v>
      </c>
      <c r="E81" s="11">
        <f t="shared" si="72"/>
        <v>574</v>
      </c>
      <c r="F81" s="141">
        <v>75</v>
      </c>
      <c r="G81" s="13">
        <f t="shared" si="73"/>
        <v>13.066202090592336</v>
      </c>
      <c r="H81" s="83"/>
      <c r="I81" s="125"/>
      <c r="J81" s="83">
        <f t="shared" si="74"/>
        <v>0</v>
      </c>
      <c r="K81" s="83">
        <f t="shared" si="75"/>
        <v>75</v>
      </c>
      <c r="L81" s="136" t="e">
        <f t="shared" si="76"/>
        <v>#DIV/0!</v>
      </c>
      <c r="M81" s="116">
        <v>18790</v>
      </c>
      <c r="N81" s="297">
        <f t="shared" si="77"/>
        <v>1409250</v>
      </c>
    </row>
    <row r="82" spans="1:26" ht="16">
      <c r="A82" s="138">
        <v>45863</v>
      </c>
      <c r="B82" s="140" t="s">
        <v>22</v>
      </c>
      <c r="C82" s="83">
        <v>201517</v>
      </c>
      <c r="D82" s="83">
        <v>202122</v>
      </c>
      <c r="E82" s="11">
        <f t="shared" si="72"/>
        <v>605</v>
      </c>
      <c r="F82" s="141">
        <v>74</v>
      </c>
      <c r="G82" s="13">
        <f t="shared" si="73"/>
        <v>12.231404958677686</v>
      </c>
      <c r="H82" s="83"/>
      <c r="I82" s="125"/>
      <c r="J82" s="83">
        <f t="shared" si="74"/>
        <v>0</v>
      </c>
      <c r="K82" s="83">
        <f t="shared" si="75"/>
        <v>74</v>
      </c>
      <c r="L82" s="136" t="e">
        <f t="shared" si="76"/>
        <v>#DIV/0!</v>
      </c>
      <c r="M82" s="116">
        <v>19120</v>
      </c>
      <c r="N82" s="297">
        <f t="shared" si="77"/>
        <v>1414880</v>
      </c>
    </row>
    <row r="83" spans="1:26" ht="16">
      <c r="A83" s="138"/>
      <c r="B83" s="140" t="s">
        <v>22</v>
      </c>
      <c r="C83" s="83"/>
      <c r="D83" s="83"/>
      <c r="E83" s="11">
        <f t="shared" si="72"/>
        <v>0</v>
      </c>
      <c r="F83" s="141"/>
      <c r="G83" s="13" t="e">
        <f t="shared" si="73"/>
        <v>#DIV/0!</v>
      </c>
      <c r="H83" s="83"/>
      <c r="I83" s="125"/>
      <c r="J83" s="83">
        <f t="shared" si="74"/>
        <v>0</v>
      </c>
      <c r="K83" s="83">
        <f t="shared" si="75"/>
        <v>0</v>
      </c>
      <c r="L83" s="136" t="e">
        <f t="shared" si="76"/>
        <v>#DIV/0!</v>
      </c>
      <c r="M83" s="116"/>
      <c r="N83" s="297">
        <f t="shared" si="77"/>
        <v>0</v>
      </c>
    </row>
    <row r="84" spans="1:26" ht="16">
      <c r="A84" s="133"/>
      <c r="B84" s="140" t="s">
        <v>22</v>
      </c>
      <c r="C84" s="83"/>
      <c r="D84" s="83"/>
      <c r="E84" s="11">
        <f t="shared" si="72"/>
        <v>0</v>
      </c>
      <c r="F84" s="141"/>
      <c r="G84" s="13" t="e">
        <f t="shared" si="73"/>
        <v>#DIV/0!</v>
      </c>
      <c r="H84" s="83"/>
      <c r="I84" s="125"/>
      <c r="J84" s="83">
        <f t="shared" si="74"/>
        <v>0</v>
      </c>
      <c r="K84" s="83">
        <f t="shared" si="75"/>
        <v>0</v>
      </c>
      <c r="L84" s="136" t="e">
        <f t="shared" si="76"/>
        <v>#DIV/0!</v>
      </c>
      <c r="M84" s="116"/>
      <c r="N84" s="300">
        <f t="shared" si="77"/>
        <v>0</v>
      </c>
    </row>
    <row r="85" spans="1:26" ht="16">
      <c r="A85" s="133"/>
      <c r="B85" s="272"/>
      <c r="C85" s="134"/>
      <c r="D85" s="134"/>
      <c r="E85" s="24">
        <f t="shared" si="72"/>
        <v>0</v>
      </c>
      <c r="F85" s="143"/>
      <c r="G85" s="54" t="e">
        <f t="shared" si="73"/>
        <v>#DIV/0!</v>
      </c>
      <c r="H85" s="134"/>
      <c r="I85" s="135"/>
      <c r="J85" s="134">
        <f t="shared" si="74"/>
        <v>0</v>
      </c>
      <c r="K85" s="134">
        <f t="shared" si="75"/>
        <v>0</v>
      </c>
      <c r="L85" s="136" t="e">
        <f t="shared" si="76"/>
        <v>#DIV/0!</v>
      </c>
      <c r="M85" s="137"/>
      <c r="N85" s="298">
        <f t="shared" si="77"/>
        <v>0</v>
      </c>
    </row>
    <row r="86" spans="1:26" ht="16">
      <c r="A86" s="59"/>
      <c r="B86" s="60"/>
      <c r="C86" s="59"/>
      <c r="D86" s="59" t="s">
        <v>19</v>
      </c>
      <c r="E86" s="59">
        <f t="shared" ref="E86:F86" si="78">SUM(E79:E85)</f>
        <v>2299</v>
      </c>
      <c r="F86" s="59">
        <f t="shared" si="78"/>
        <v>290</v>
      </c>
      <c r="G86" s="61" t="e">
        <f>AVERAGE(G79:G85)</f>
        <v>#DIV/0!</v>
      </c>
      <c r="H86" s="59"/>
      <c r="I86" s="62"/>
      <c r="J86" s="59">
        <f t="shared" ref="J86:K86" si="79">SUM(J79:J85)</f>
        <v>0</v>
      </c>
      <c r="K86" s="59">
        <f t="shared" si="79"/>
        <v>290</v>
      </c>
      <c r="L86" s="61" t="e">
        <f>AVERAGE(L79:L85)</f>
        <v>#DIV/0!</v>
      </c>
      <c r="M86" s="64"/>
      <c r="N86" s="299">
        <f>SUM(N79:N85)</f>
        <v>5447340</v>
      </c>
    </row>
    <row r="87" spans="1:26" ht="16">
      <c r="A87" s="89">
        <v>45840</v>
      </c>
      <c r="B87" s="140" t="s">
        <v>38</v>
      </c>
      <c r="C87" s="95">
        <v>152491</v>
      </c>
      <c r="D87" s="39">
        <v>153049</v>
      </c>
      <c r="E87" s="36">
        <f t="shared" ref="E87:E92" si="80">D87-C87</f>
        <v>558</v>
      </c>
      <c r="F87" s="37">
        <v>75</v>
      </c>
      <c r="G87" s="13">
        <f t="shared" ref="G87:G92" si="81">(F87/E87)*100</f>
        <v>13.440860215053762</v>
      </c>
      <c r="H87" s="125"/>
      <c r="I87" s="126"/>
      <c r="J87" s="39">
        <f t="shared" ref="J87:J90" si="82">I87-H87</f>
        <v>0</v>
      </c>
      <c r="K87" s="39">
        <f t="shared" ref="K87:K92" si="83">F87</f>
        <v>75</v>
      </c>
      <c r="L87" s="136" t="e">
        <f t="shared" ref="L87:L92" si="84">(K87/J87)*100</f>
        <v>#DIV/0!</v>
      </c>
      <c r="M87" s="68">
        <v>19340</v>
      </c>
      <c r="N87" s="294">
        <f t="shared" ref="N87:N92" si="85">F87*M87</f>
        <v>1450500</v>
      </c>
    </row>
    <row r="88" spans="1:26" ht="16">
      <c r="A88" s="139">
        <v>45848</v>
      </c>
      <c r="B88" s="140" t="s">
        <v>38</v>
      </c>
      <c r="C88" s="39">
        <v>153049</v>
      </c>
      <c r="D88" s="39">
        <v>153670</v>
      </c>
      <c r="E88" s="36">
        <f t="shared" si="80"/>
        <v>621</v>
      </c>
      <c r="F88" s="141">
        <v>78</v>
      </c>
      <c r="G88" s="13">
        <f t="shared" si="81"/>
        <v>12.560386473429952</v>
      </c>
      <c r="H88" s="83"/>
      <c r="I88" s="125"/>
      <c r="J88" s="83">
        <f t="shared" si="82"/>
        <v>0</v>
      </c>
      <c r="K88" s="83">
        <f t="shared" si="83"/>
        <v>78</v>
      </c>
      <c r="L88" s="136" t="e">
        <f t="shared" si="84"/>
        <v>#DIV/0!</v>
      </c>
      <c r="M88" s="116">
        <v>18400</v>
      </c>
      <c r="N88" s="294">
        <f t="shared" si="85"/>
        <v>1435200</v>
      </c>
    </row>
    <row r="89" spans="1:26" ht="16">
      <c r="A89" s="139">
        <v>45854</v>
      </c>
      <c r="B89" s="272" t="s">
        <v>38</v>
      </c>
      <c r="C89" s="83">
        <v>153670</v>
      </c>
      <c r="D89" s="83">
        <v>154239</v>
      </c>
      <c r="E89" s="36">
        <f t="shared" si="80"/>
        <v>569</v>
      </c>
      <c r="F89" s="141">
        <v>76</v>
      </c>
      <c r="G89" s="13">
        <f t="shared" si="81"/>
        <v>13.356766256590511</v>
      </c>
      <c r="H89" s="83"/>
      <c r="I89" s="125"/>
      <c r="J89" s="83">
        <f t="shared" si="82"/>
        <v>0</v>
      </c>
      <c r="K89" s="83">
        <f t="shared" si="83"/>
        <v>76</v>
      </c>
      <c r="L89" s="136" t="e">
        <f t="shared" si="84"/>
        <v>#DIV/0!</v>
      </c>
      <c r="M89" s="116">
        <v>18830</v>
      </c>
      <c r="N89" s="307">
        <f t="shared" si="85"/>
        <v>1431080</v>
      </c>
    </row>
    <row r="90" spans="1:26" ht="16">
      <c r="A90" s="7">
        <v>45859</v>
      </c>
      <c r="B90" s="140" t="s">
        <v>38</v>
      </c>
      <c r="C90" s="12">
        <v>154239</v>
      </c>
      <c r="D90" s="95">
        <v>154799</v>
      </c>
      <c r="E90" s="36">
        <f t="shared" si="80"/>
        <v>560</v>
      </c>
      <c r="F90" s="141">
        <v>70</v>
      </c>
      <c r="G90" s="13">
        <f t="shared" si="81"/>
        <v>12.5</v>
      </c>
      <c r="H90" s="83"/>
      <c r="I90" s="125"/>
      <c r="J90" s="83">
        <f t="shared" si="82"/>
        <v>0</v>
      </c>
      <c r="K90" s="83">
        <f t="shared" si="83"/>
        <v>70</v>
      </c>
      <c r="L90" s="136" t="e">
        <f t="shared" si="84"/>
        <v>#DIV/0!</v>
      </c>
      <c r="M90" s="116">
        <v>18790</v>
      </c>
      <c r="N90" s="307">
        <f t="shared" si="85"/>
        <v>1315300</v>
      </c>
    </row>
    <row r="91" spans="1:26" ht="16">
      <c r="A91" s="7">
        <v>45863</v>
      </c>
      <c r="B91" s="272" t="s">
        <v>38</v>
      </c>
      <c r="C91" s="95">
        <v>154799</v>
      </c>
      <c r="D91" s="95">
        <v>155274</v>
      </c>
      <c r="E91" s="36">
        <f t="shared" si="80"/>
        <v>475</v>
      </c>
      <c r="F91" s="141">
        <v>60</v>
      </c>
      <c r="G91" s="13">
        <f t="shared" si="81"/>
        <v>12.631578947368421</v>
      </c>
      <c r="H91" s="125"/>
      <c r="I91" s="125"/>
      <c r="J91" s="83"/>
      <c r="K91" s="83">
        <f t="shared" si="83"/>
        <v>60</v>
      </c>
      <c r="L91" s="136" t="e">
        <f t="shared" si="84"/>
        <v>#DIV/0!</v>
      </c>
      <c r="M91" s="116">
        <v>19120</v>
      </c>
      <c r="N91" s="308">
        <f t="shared" si="85"/>
        <v>1147200</v>
      </c>
    </row>
    <row r="92" spans="1:26" ht="16">
      <c r="A92" s="138">
        <v>45868</v>
      </c>
      <c r="B92" s="272" t="s">
        <v>38</v>
      </c>
      <c r="C92" s="95">
        <v>155274</v>
      </c>
      <c r="D92" s="83">
        <v>155845</v>
      </c>
      <c r="E92" s="36">
        <f t="shared" si="80"/>
        <v>571</v>
      </c>
      <c r="F92" s="141">
        <v>72</v>
      </c>
      <c r="G92" s="13">
        <f t="shared" si="81"/>
        <v>12.609457092819614</v>
      </c>
      <c r="H92" s="83"/>
      <c r="I92" s="125"/>
      <c r="J92" s="83"/>
      <c r="K92" s="83">
        <f t="shared" si="83"/>
        <v>72</v>
      </c>
      <c r="L92" s="309" t="e">
        <f t="shared" si="84"/>
        <v>#DIV/0!</v>
      </c>
      <c r="M92" s="116">
        <v>19120</v>
      </c>
      <c r="N92" s="308">
        <f t="shared" si="85"/>
        <v>1376640</v>
      </c>
    </row>
    <row r="93" spans="1:26" ht="16">
      <c r="A93" s="310"/>
      <c r="B93" s="8" t="s">
        <v>38</v>
      </c>
      <c r="C93" s="311"/>
      <c r="D93" s="312" t="s">
        <v>19</v>
      </c>
      <c r="E93" s="313">
        <f t="shared" ref="E93:F93" si="86">SUM(E87:E92)</f>
        <v>3354</v>
      </c>
      <c r="F93" s="313">
        <f t="shared" si="86"/>
        <v>431</v>
      </c>
      <c r="G93" s="314">
        <f>AVERAGE(G87:G92)</f>
        <v>12.849841497543709</v>
      </c>
      <c r="H93" s="311"/>
      <c r="I93" s="315"/>
      <c r="J93" s="312">
        <f t="shared" ref="J93:K93" si="87">SUM(J87:J92)</f>
        <v>0</v>
      </c>
      <c r="K93" s="312">
        <f t="shared" si="87"/>
        <v>431</v>
      </c>
      <c r="L93" s="316" t="e">
        <f>AVERAGE(L87:L92)</f>
        <v>#DIV/0!</v>
      </c>
      <c r="M93" s="317"/>
      <c r="N93" s="318">
        <f>SUM(N87:N92)</f>
        <v>8155920</v>
      </c>
    </row>
    <row r="94" spans="1:26" ht="16">
      <c r="A94" s="112">
        <v>45845</v>
      </c>
      <c r="B94" s="283" t="s">
        <v>39</v>
      </c>
      <c r="C94" s="83">
        <v>102935</v>
      </c>
      <c r="D94" s="83">
        <v>103716</v>
      </c>
      <c r="E94" s="36">
        <f t="shared" ref="E94:E100" si="88">D94-C94</f>
        <v>781</v>
      </c>
      <c r="F94" s="141">
        <v>88</v>
      </c>
      <c r="G94" s="114">
        <f t="shared" ref="G94:G100" si="89">(F94/E94)*100</f>
        <v>11.267605633802818</v>
      </c>
      <c r="H94" s="125"/>
      <c r="I94" s="125">
        <v>11955</v>
      </c>
      <c r="J94" s="83">
        <f t="shared" ref="J94:J100" si="90">I94-H94</f>
        <v>11955</v>
      </c>
      <c r="K94" s="83">
        <f t="shared" ref="K94:K100" si="91">F94</f>
        <v>88</v>
      </c>
      <c r="L94" s="290">
        <f t="shared" ref="L94:L100" si="92">(K94/J94)*100</f>
        <v>0.73609368465077374</v>
      </c>
      <c r="M94" s="116">
        <v>18400</v>
      </c>
      <c r="N94" s="319">
        <f>M94*K94</f>
        <v>1619200</v>
      </c>
    </row>
    <row r="95" spans="1:26" ht="16">
      <c r="A95" s="7">
        <v>45853</v>
      </c>
      <c r="B95" s="283" t="s">
        <v>39</v>
      </c>
      <c r="C95" s="12">
        <v>103716</v>
      </c>
      <c r="D95" s="12">
        <v>104493</v>
      </c>
      <c r="E95" s="11">
        <f t="shared" si="88"/>
        <v>777</v>
      </c>
      <c r="F95" s="12">
        <v>87</v>
      </c>
      <c r="G95" s="13">
        <f t="shared" si="89"/>
        <v>11.196911196911197</v>
      </c>
      <c r="H95" s="12"/>
      <c r="I95" s="15"/>
      <c r="J95" s="83">
        <f t="shared" si="90"/>
        <v>0</v>
      </c>
      <c r="K95" s="83">
        <f t="shared" si="91"/>
        <v>87</v>
      </c>
      <c r="L95" s="290" t="e">
        <f t="shared" si="92"/>
        <v>#DIV/0!</v>
      </c>
      <c r="M95" s="17">
        <v>18830</v>
      </c>
      <c r="N95" s="320">
        <f t="shared" ref="N95:N100" si="93">F95*M95</f>
        <v>1638210</v>
      </c>
      <c r="S95" s="229"/>
      <c r="T95" s="229"/>
      <c r="U95" s="229"/>
      <c r="V95" s="229"/>
      <c r="W95" s="229"/>
      <c r="X95" s="229"/>
      <c r="Y95" s="229"/>
      <c r="Z95" s="229"/>
    </row>
    <row r="96" spans="1:26" ht="16">
      <c r="A96" s="138">
        <v>45860</v>
      </c>
      <c r="B96" s="283" t="s">
        <v>39</v>
      </c>
      <c r="C96" s="83">
        <v>104493</v>
      </c>
      <c r="D96" s="83">
        <v>105231</v>
      </c>
      <c r="E96" s="11">
        <f t="shared" si="88"/>
        <v>738</v>
      </c>
      <c r="F96" s="141">
        <v>82</v>
      </c>
      <c r="G96" s="13">
        <f t="shared" si="89"/>
        <v>11.111111111111111</v>
      </c>
      <c r="H96" s="83"/>
      <c r="I96" s="125"/>
      <c r="J96" s="83">
        <f t="shared" si="90"/>
        <v>0</v>
      </c>
      <c r="K96" s="83">
        <f t="shared" si="91"/>
        <v>82</v>
      </c>
      <c r="L96" s="290" t="e">
        <f t="shared" si="92"/>
        <v>#DIV/0!</v>
      </c>
      <c r="M96" s="116">
        <v>18790</v>
      </c>
      <c r="N96" s="320">
        <f t="shared" si="93"/>
        <v>1540780</v>
      </c>
      <c r="P96" s="78"/>
    </row>
    <row r="97" spans="1:14" ht="16">
      <c r="A97" s="138">
        <v>45867</v>
      </c>
      <c r="B97" s="283" t="s">
        <v>39</v>
      </c>
      <c r="C97" s="83">
        <v>105231</v>
      </c>
      <c r="D97" s="83">
        <v>105924</v>
      </c>
      <c r="E97" s="11">
        <f t="shared" si="88"/>
        <v>693</v>
      </c>
      <c r="F97" s="141">
        <v>75</v>
      </c>
      <c r="G97" s="13">
        <f t="shared" si="89"/>
        <v>10.822510822510822</v>
      </c>
      <c r="H97" s="83"/>
      <c r="I97" s="125"/>
      <c r="J97" s="83">
        <f t="shared" si="90"/>
        <v>0</v>
      </c>
      <c r="K97" s="83">
        <f t="shared" si="91"/>
        <v>75</v>
      </c>
      <c r="L97" s="136" t="e">
        <f t="shared" si="92"/>
        <v>#DIV/0!</v>
      </c>
      <c r="M97" s="116">
        <v>19120</v>
      </c>
      <c r="N97" s="297">
        <f t="shared" si="93"/>
        <v>1434000</v>
      </c>
    </row>
    <row r="98" spans="1:14" ht="16">
      <c r="A98" s="138"/>
      <c r="B98" s="140"/>
      <c r="C98" s="83"/>
      <c r="D98" s="83"/>
      <c r="E98" s="11">
        <f t="shared" si="88"/>
        <v>0</v>
      </c>
      <c r="F98" s="141"/>
      <c r="G98" s="13" t="e">
        <f t="shared" si="89"/>
        <v>#DIV/0!</v>
      </c>
      <c r="H98" s="83"/>
      <c r="I98" s="125"/>
      <c r="J98" s="83">
        <f t="shared" si="90"/>
        <v>0</v>
      </c>
      <c r="K98" s="83">
        <f t="shared" si="91"/>
        <v>0</v>
      </c>
      <c r="L98" s="136" t="e">
        <f t="shared" si="92"/>
        <v>#DIV/0!</v>
      </c>
      <c r="M98" s="116"/>
      <c r="N98" s="300">
        <f t="shared" si="93"/>
        <v>0</v>
      </c>
    </row>
    <row r="99" spans="1:14" ht="16">
      <c r="A99" s="244"/>
      <c r="B99" s="90"/>
      <c r="C99" s="83"/>
      <c r="D99" s="83"/>
      <c r="E99" s="11">
        <f t="shared" si="88"/>
        <v>0</v>
      </c>
      <c r="F99" s="141"/>
      <c r="G99" s="13" t="e">
        <f t="shared" si="89"/>
        <v>#DIV/0!</v>
      </c>
      <c r="H99" s="83"/>
      <c r="I99" s="125"/>
      <c r="J99" s="83">
        <f t="shared" si="90"/>
        <v>0</v>
      </c>
      <c r="K99" s="83">
        <f t="shared" si="91"/>
        <v>0</v>
      </c>
      <c r="L99" s="136" t="e">
        <f t="shared" si="92"/>
        <v>#DIV/0!</v>
      </c>
      <c r="M99" s="116"/>
      <c r="N99" s="300">
        <f t="shared" si="93"/>
        <v>0</v>
      </c>
    </row>
    <row r="100" spans="1:14" ht="16">
      <c r="A100" s="271"/>
      <c r="B100" s="283"/>
      <c r="C100" s="134"/>
      <c r="D100" s="134"/>
      <c r="E100" s="24">
        <f t="shared" si="88"/>
        <v>0</v>
      </c>
      <c r="F100" s="143"/>
      <c r="G100" s="54" t="e">
        <f t="shared" si="89"/>
        <v>#DIV/0!</v>
      </c>
      <c r="H100" s="134"/>
      <c r="I100" s="135"/>
      <c r="J100" s="134">
        <f t="shared" si="90"/>
        <v>0</v>
      </c>
      <c r="K100" s="134">
        <f t="shared" si="91"/>
        <v>0</v>
      </c>
      <c r="L100" s="136" t="e">
        <f t="shared" si="92"/>
        <v>#DIV/0!</v>
      </c>
      <c r="M100" s="137"/>
      <c r="N100" s="298">
        <f t="shared" si="93"/>
        <v>0</v>
      </c>
    </row>
    <row r="101" spans="1:14" ht="16">
      <c r="A101" s="59"/>
      <c r="B101" s="60"/>
      <c r="C101" s="59"/>
      <c r="D101" s="59" t="s">
        <v>19</v>
      </c>
      <c r="E101" s="59">
        <f t="shared" ref="E101:F101" si="94">SUM(E87:E100)</f>
        <v>9697</v>
      </c>
      <c r="F101" s="59">
        <f t="shared" si="94"/>
        <v>1194</v>
      </c>
      <c r="G101" s="61" t="e">
        <f>AVERAGE(G87:G100)</f>
        <v>#DIV/0!</v>
      </c>
      <c r="H101" s="59"/>
      <c r="I101" s="62"/>
      <c r="J101" s="59">
        <f t="shared" ref="J101:K101" si="95">SUM(J87:J100)</f>
        <v>11955</v>
      </c>
      <c r="K101" s="59">
        <f t="shared" si="95"/>
        <v>1194</v>
      </c>
      <c r="L101" s="61" t="e">
        <f>AVERAGE(L87:L100)</f>
        <v>#DIV/0!</v>
      </c>
      <c r="M101" s="64"/>
      <c r="N101" s="299">
        <f>SUM(N94:N100)</f>
        <v>6232190</v>
      </c>
    </row>
    <row r="102" spans="1:14" ht="16">
      <c r="A102" s="66">
        <v>45841</v>
      </c>
      <c r="B102" s="140" t="s">
        <v>40</v>
      </c>
      <c r="C102" s="83">
        <v>98283</v>
      </c>
      <c r="D102" s="12">
        <v>98958</v>
      </c>
      <c r="E102" s="36">
        <f t="shared" ref="E102:E108" si="96">D102-C102</f>
        <v>675</v>
      </c>
      <c r="F102" s="37">
        <v>73</v>
      </c>
      <c r="G102" s="13">
        <f t="shared" ref="G102:G108" si="97">(F102/E102)*100</f>
        <v>10.814814814814815</v>
      </c>
      <c r="H102" s="125"/>
      <c r="I102" s="126"/>
      <c r="J102" s="39">
        <f t="shared" ref="J102:J108" si="98">I102-H102</f>
        <v>0</v>
      </c>
      <c r="K102" s="39">
        <f t="shared" ref="K102:K108" si="99">F102</f>
        <v>73</v>
      </c>
      <c r="L102" s="136" t="e">
        <f t="shared" ref="L102:L108" si="100">(K102/J102)*100</f>
        <v>#DIV/0!</v>
      </c>
      <c r="M102" s="68">
        <v>18400</v>
      </c>
      <c r="N102" s="294">
        <f t="shared" ref="N102:N108" si="101">F102*M102</f>
        <v>1343200</v>
      </c>
    </row>
    <row r="103" spans="1:14" ht="16">
      <c r="A103" s="138">
        <v>45850</v>
      </c>
      <c r="B103" s="140" t="s">
        <v>40</v>
      </c>
      <c r="C103" s="83">
        <v>98958</v>
      </c>
      <c r="D103" s="83">
        <v>99636</v>
      </c>
      <c r="E103" s="11">
        <f t="shared" si="96"/>
        <v>678</v>
      </c>
      <c r="F103" s="141">
        <v>80</v>
      </c>
      <c r="G103" s="13">
        <f t="shared" si="97"/>
        <v>11.799410029498524</v>
      </c>
      <c r="H103" s="83"/>
      <c r="I103" s="125">
        <v>95972</v>
      </c>
      <c r="J103" s="83">
        <f t="shared" si="98"/>
        <v>95972</v>
      </c>
      <c r="K103" s="39">
        <f t="shared" si="99"/>
        <v>80</v>
      </c>
      <c r="L103" s="136">
        <f t="shared" si="100"/>
        <v>8.3357645980077513E-2</v>
      </c>
      <c r="M103" s="116">
        <v>18830</v>
      </c>
      <c r="N103" s="296">
        <f t="shared" si="101"/>
        <v>1506400</v>
      </c>
    </row>
    <row r="104" spans="1:14" ht="16">
      <c r="A104" s="138">
        <v>45856</v>
      </c>
      <c r="B104" s="140" t="s">
        <v>40</v>
      </c>
      <c r="C104" s="83">
        <v>99636</v>
      </c>
      <c r="D104" s="83">
        <v>100261</v>
      </c>
      <c r="E104" s="11">
        <f t="shared" si="96"/>
        <v>625</v>
      </c>
      <c r="F104" s="141">
        <v>70</v>
      </c>
      <c r="G104" s="13">
        <f t="shared" si="97"/>
        <v>11.200000000000001</v>
      </c>
      <c r="H104" s="83"/>
      <c r="I104" s="125"/>
      <c r="J104" s="83">
        <f t="shared" si="98"/>
        <v>0</v>
      </c>
      <c r="K104" s="39">
        <f t="shared" si="99"/>
        <v>70</v>
      </c>
      <c r="L104" s="136" t="e">
        <f t="shared" si="100"/>
        <v>#DIV/0!</v>
      </c>
      <c r="M104" s="116">
        <v>18790</v>
      </c>
      <c r="N104" s="297">
        <f t="shared" si="101"/>
        <v>1315300</v>
      </c>
    </row>
    <row r="105" spans="1:14" ht="16">
      <c r="A105" s="138">
        <v>45862</v>
      </c>
      <c r="B105" s="140" t="s">
        <v>40</v>
      </c>
      <c r="C105" s="83">
        <v>100261</v>
      </c>
      <c r="D105" s="83">
        <v>100866</v>
      </c>
      <c r="E105" s="11">
        <f t="shared" si="96"/>
        <v>605</v>
      </c>
      <c r="F105" s="141">
        <v>68</v>
      </c>
      <c r="G105" s="13">
        <f t="shared" si="97"/>
        <v>11.239669421487603</v>
      </c>
      <c r="H105" s="83"/>
      <c r="I105" s="125"/>
      <c r="J105" s="83">
        <f t="shared" si="98"/>
        <v>0</v>
      </c>
      <c r="K105" s="39">
        <f t="shared" si="99"/>
        <v>68</v>
      </c>
      <c r="L105" s="136" t="e">
        <f t="shared" si="100"/>
        <v>#DIV/0!</v>
      </c>
      <c r="M105" s="116">
        <v>19120</v>
      </c>
      <c r="N105" s="297">
        <f t="shared" si="101"/>
        <v>1300160</v>
      </c>
    </row>
    <row r="106" spans="1:14" ht="16">
      <c r="A106" s="292">
        <v>45868</v>
      </c>
      <c r="B106" s="140" t="s">
        <v>40</v>
      </c>
      <c r="C106" s="83">
        <v>100866</v>
      </c>
      <c r="D106" s="83">
        <v>101527</v>
      </c>
      <c r="E106" s="11">
        <f t="shared" si="96"/>
        <v>661</v>
      </c>
      <c r="F106" s="141">
        <v>76</v>
      </c>
      <c r="G106" s="13">
        <f t="shared" si="97"/>
        <v>11.497730711043873</v>
      </c>
      <c r="H106" s="83"/>
      <c r="I106" s="125"/>
      <c r="J106" s="83">
        <f t="shared" si="98"/>
        <v>0</v>
      </c>
      <c r="K106" s="39">
        <f t="shared" si="99"/>
        <v>76</v>
      </c>
      <c r="L106" s="136" t="e">
        <f t="shared" si="100"/>
        <v>#DIV/0!</v>
      </c>
      <c r="M106" s="116">
        <v>19120</v>
      </c>
      <c r="N106" s="297">
        <f t="shared" si="101"/>
        <v>1453120</v>
      </c>
    </row>
    <row r="107" spans="1:14" ht="16">
      <c r="A107" s="292"/>
      <c r="B107" s="113"/>
      <c r="C107" s="83"/>
      <c r="D107" s="83"/>
      <c r="E107" s="11">
        <f t="shared" si="96"/>
        <v>0</v>
      </c>
      <c r="F107" s="141"/>
      <c r="G107" s="13" t="e">
        <f t="shared" si="97"/>
        <v>#DIV/0!</v>
      </c>
      <c r="H107" s="83"/>
      <c r="I107" s="125"/>
      <c r="J107" s="83">
        <f t="shared" si="98"/>
        <v>0</v>
      </c>
      <c r="K107" s="39">
        <f t="shared" si="99"/>
        <v>0</v>
      </c>
      <c r="L107" s="136" t="e">
        <f t="shared" si="100"/>
        <v>#DIV/0!</v>
      </c>
      <c r="M107" s="116"/>
      <c r="N107" s="300">
        <f t="shared" si="101"/>
        <v>0</v>
      </c>
    </row>
    <row r="108" spans="1:14" ht="16">
      <c r="A108" s="271"/>
      <c r="B108" s="283"/>
      <c r="C108" s="134"/>
      <c r="D108" s="134"/>
      <c r="E108" s="24">
        <f t="shared" si="96"/>
        <v>0</v>
      </c>
      <c r="F108" s="143"/>
      <c r="G108" s="54" t="e">
        <f t="shared" si="97"/>
        <v>#DIV/0!</v>
      </c>
      <c r="H108" s="134"/>
      <c r="I108" s="135"/>
      <c r="J108" s="134">
        <f t="shared" si="98"/>
        <v>0</v>
      </c>
      <c r="K108" s="134">
        <f t="shared" si="99"/>
        <v>0</v>
      </c>
      <c r="L108" s="136" t="e">
        <f t="shared" si="100"/>
        <v>#DIV/0!</v>
      </c>
      <c r="M108" s="137"/>
      <c r="N108" s="298">
        <f t="shared" si="101"/>
        <v>0</v>
      </c>
    </row>
    <row r="109" spans="1:14" ht="16">
      <c r="A109" s="59"/>
      <c r="B109" s="60"/>
      <c r="C109" s="59"/>
      <c r="D109" s="59" t="s">
        <v>19</v>
      </c>
      <c r="E109" s="59">
        <f t="shared" ref="E109:F109" si="102">SUM(E102:E108)</f>
        <v>3244</v>
      </c>
      <c r="F109" s="59">
        <f t="shared" si="102"/>
        <v>367</v>
      </c>
      <c r="G109" s="61" t="e">
        <f>AVERAGE(G102:G108)</f>
        <v>#DIV/0!</v>
      </c>
      <c r="H109" s="59"/>
      <c r="I109" s="62"/>
      <c r="J109" s="59">
        <f t="shared" ref="J109:K109" si="103">SUM(J102:J108)</f>
        <v>95972</v>
      </c>
      <c r="K109" s="59">
        <f t="shared" si="103"/>
        <v>367</v>
      </c>
      <c r="L109" s="61" t="e">
        <f>AVERAGE(L102:L108)</f>
        <v>#DIV/0!</v>
      </c>
      <c r="M109" s="64"/>
      <c r="N109" s="299">
        <f>SUM(N102:N108)</f>
        <v>6918180</v>
      </c>
    </row>
    <row r="110" spans="1:14" ht="16">
      <c r="A110" s="66">
        <v>45842</v>
      </c>
      <c r="B110" s="140" t="s">
        <v>41</v>
      </c>
      <c r="C110" s="83">
        <v>156714</v>
      </c>
      <c r="D110" s="12">
        <v>157338</v>
      </c>
      <c r="E110" s="36">
        <f t="shared" ref="E110:E116" si="104">D110-C110</f>
        <v>624</v>
      </c>
      <c r="F110" s="37">
        <v>71</v>
      </c>
      <c r="G110" s="13">
        <f t="shared" ref="G110:G116" si="105">(F110/E110)*100</f>
        <v>11.378205128205128</v>
      </c>
      <c r="H110" s="125"/>
      <c r="I110" s="126"/>
      <c r="J110" s="39">
        <f t="shared" ref="J110:J116" si="106">I110-H110</f>
        <v>0</v>
      </c>
      <c r="K110" s="39">
        <f t="shared" ref="K110:K116" si="107">F110</f>
        <v>71</v>
      </c>
      <c r="L110" s="136" t="e">
        <f t="shared" ref="L110:L116" si="108">(K110/J110)*100</f>
        <v>#DIV/0!</v>
      </c>
      <c r="M110" s="68">
        <v>18400</v>
      </c>
      <c r="N110" s="294">
        <f t="shared" ref="N110:N116" si="109">F110*M110</f>
        <v>1306400</v>
      </c>
    </row>
    <row r="111" spans="1:14" ht="16">
      <c r="A111" s="138">
        <v>45849</v>
      </c>
      <c r="B111" s="140" t="s">
        <v>41</v>
      </c>
      <c r="C111" s="12">
        <v>157338</v>
      </c>
      <c r="D111" s="83">
        <v>157897</v>
      </c>
      <c r="E111" s="11">
        <f t="shared" si="104"/>
        <v>559</v>
      </c>
      <c r="F111" s="141">
        <v>75</v>
      </c>
      <c r="G111" s="13">
        <f t="shared" si="105"/>
        <v>13.416815742397137</v>
      </c>
      <c r="H111" s="83"/>
      <c r="I111" s="125"/>
      <c r="J111" s="83">
        <f t="shared" si="106"/>
        <v>0</v>
      </c>
      <c r="K111" s="39">
        <f t="shared" si="107"/>
        <v>75</v>
      </c>
      <c r="L111" s="136" t="e">
        <f t="shared" si="108"/>
        <v>#DIV/0!</v>
      </c>
      <c r="M111" s="116">
        <v>18830</v>
      </c>
      <c r="N111" s="296">
        <f t="shared" si="109"/>
        <v>1412250</v>
      </c>
    </row>
    <row r="112" spans="1:14" ht="16">
      <c r="A112" s="138">
        <v>45860</v>
      </c>
      <c r="B112" s="140" t="s">
        <v>41</v>
      </c>
      <c r="C112" s="83">
        <v>157897</v>
      </c>
      <c r="D112" s="83">
        <v>158529</v>
      </c>
      <c r="E112" s="11">
        <f t="shared" si="104"/>
        <v>632</v>
      </c>
      <c r="F112" s="141">
        <v>77</v>
      </c>
      <c r="G112" s="13">
        <f t="shared" si="105"/>
        <v>12.183544303797468</v>
      </c>
      <c r="H112" s="83"/>
      <c r="I112" s="125"/>
      <c r="J112" s="83">
        <f t="shared" si="106"/>
        <v>0</v>
      </c>
      <c r="K112" s="39">
        <f t="shared" si="107"/>
        <v>77</v>
      </c>
      <c r="L112" s="136" t="e">
        <f t="shared" si="108"/>
        <v>#DIV/0!</v>
      </c>
      <c r="M112" s="116">
        <v>18790</v>
      </c>
      <c r="N112" s="297">
        <f t="shared" si="109"/>
        <v>1446830</v>
      </c>
    </row>
    <row r="113" spans="1:14" ht="16">
      <c r="A113" s="138">
        <v>45867</v>
      </c>
      <c r="B113" s="140" t="s">
        <v>41</v>
      </c>
      <c r="C113" s="83">
        <v>158529</v>
      </c>
      <c r="D113" s="83">
        <v>159157</v>
      </c>
      <c r="E113" s="11">
        <f t="shared" si="104"/>
        <v>628</v>
      </c>
      <c r="F113" s="141">
        <v>72</v>
      </c>
      <c r="G113" s="13">
        <f t="shared" si="105"/>
        <v>11.464968152866243</v>
      </c>
      <c r="H113" s="83"/>
      <c r="I113" s="125"/>
      <c r="J113" s="83">
        <f t="shared" si="106"/>
        <v>0</v>
      </c>
      <c r="K113" s="39">
        <f t="shared" si="107"/>
        <v>72</v>
      </c>
      <c r="L113" s="136" t="e">
        <f t="shared" si="108"/>
        <v>#DIV/0!</v>
      </c>
      <c r="M113" s="116">
        <v>19120</v>
      </c>
      <c r="N113" s="297">
        <f t="shared" si="109"/>
        <v>1376640</v>
      </c>
    </row>
    <row r="114" spans="1:14" ht="16">
      <c r="A114" s="292"/>
      <c r="B114" s="140" t="s">
        <v>41</v>
      </c>
      <c r="C114" s="83"/>
      <c r="D114" s="83"/>
      <c r="E114" s="11">
        <f t="shared" si="104"/>
        <v>0</v>
      </c>
      <c r="F114" s="141"/>
      <c r="G114" s="13" t="e">
        <f t="shared" si="105"/>
        <v>#DIV/0!</v>
      </c>
      <c r="H114" s="83"/>
      <c r="I114" s="125"/>
      <c r="J114" s="83">
        <f t="shared" si="106"/>
        <v>0</v>
      </c>
      <c r="K114" s="39">
        <f t="shared" si="107"/>
        <v>0</v>
      </c>
      <c r="L114" s="136" t="e">
        <f t="shared" si="108"/>
        <v>#DIV/0!</v>
      </c>
      <c r="M114" s="116"/>
      <c r="N114" s="297">
        <f t="shared" si="109"/>
        <v>0</v>
      </c>
    </row>
    <row r="115" spans="1:14" ht="16">
      <c r="A115" s="292"/>
      <c r="B115" s="140" t="s">
        <v>41</v>
      </c>
      <c r="C115" s="83"/>
      <c r="D115" s="83"/>
      <c r="E115" s="11">
        <f t="shared" si="104"/>
        <v>0</v>
      </c>
      <c r="F115" s="141"/>
      <c r="G115" s="13" t="e">
        <f t="shared" si="105"/>
        <v>#DIV/0!</v>
      </c>
      <c r="H115" s="83"/>
      <c r="I115" s="125"/>
      <c r="J115" s="83">
        <f t="shared" si="106"/>
        <v>0</v>
      </c>
      <c r="K115" s="39">
        <f t="shared" si="107"/>
        <v>0</v>
      </c>
      <c r="L115" s="136" t="e">
        <f t="shared" si="108"/>
        <v>#DIV/0!</v>
      </c>
      <c r="M115" s="116"/>
      <c r="N115" s="300">
        <f t="shared" si="109"/>
        <v>0</v>
      </c>
    </row>
    <row r="116" spans="1:14" ht="16">
      <c r="A116" s="271"/>
      <c r="B116" s="283"/>
      <c r="C116" s="134"/>
      <c r="D116" s="134"/>
      <c r="E116" s="24">
        <f t="shared" si="104"/>
        <v>0</v>
      </c>
      <c r="F116" s="143"/>
      <c r="G116" s="54" t="e">
        <f t="shared" si="105"/>
        <v>#DIV/0!</v>
      </c>
      <c r="H116" s="134"/>
      <c r="I116" s="135"/>
      <c r="J116" s="134">
        <f t="shared" si="106"/>
        <v>0</v>
      </c>
      <c r="K116" s="39">
        <f t="shared" si="107"/>
        <v>0</v>
      </c>
      <c r="L116" s="136" t="e">
        <f t="shared" si="108"/>
        <v>#DIV/0!</v>
      </c>
      <c r="M116" s="137"/>
      <c r="N116" s="298">
        <f t="shared" si="109"/>
        <v>0</v>
      </c>
    </row>
    <row r="117" spans="1:14" ht="16">
      <c r="A117" s="59"/>
      <c r="B117" s="60"/>
      <c r="C117" s="59"/>
      <c r="D117" s="59" t="s">
        <v>19</v>
      </c>
      <c r="E117" s="59">
        <f t="shared" ref="E117:F117" si="110">SUM(E110:E116)</f>
        <v>2443</v>
      </c>
      <c r="F117" s="59">
        <f t="shared" si="110"/>
        <v>295</v>
      </c>
      <c r="G117" s="61" t="e">
        <f>AVERAGE(G110:G116)</f>
        <v>#DIV/0!</v>
      </c>
      <c r="H117" s="59"/>
      <c r="I117" s="62"/>
      <c r="J117" s="59">
        <f t="shared" ref="J117:K117" si="111">SUM(J110:J116)</f>
        <v>0</v>
      </c>
      <c r="K117" s="59">
        <f t="shared" si="111"/>
        <v>295</v>
      </c>
      <c r="L117" s="61" t="e">
        <f>AVERAGE(L110:L116)</f>
        <v>#DIV/0!</v>
      </c>
      <c r="M117" s="64"/>
      <c r="N117" s="299">
        <f>SUM(N110:N116)</f>
        <v>5542120</v>
      </c>
    </row>
    <row r="118" spans="1:14" ht="16">
      <c r="A118" s="66">
        <v>45840</v>
      </c>
      <c r="B118" s="140" t="s">
        <v>27</v>
      </c>
      <c r="C118" s="83"/>
      <c r="D118" s="12"/>
      <c r="E118" s="36">
        <f t="shared" ref="E118:E125" si="112">D118-C118</f>
        <v>0</v>
      </c>
      <c r="F118" s="37">
        <v>66</v>
      </c>
      <c r="G118" s="13" t="e">
        <f t="shared" ref="G118:G125" si="113">(F118/E118)*100</f>
        <v>#DIV/0!</v>
      </c>
      <c r="H118" s="125"/>
      <c r="I118" s="126"/>
      <c r="J118" s="39">
        <f t="shared" ref="J118:J125" si="114">I118-H118</f>
        <v>0</v>
      </c>
      <c r="K118" s="39">
        <f t="shared" ref="K118:K124" si="115">F118</f>
        <v>66</v>
      </c>
      <c r="L118" s="136" t="e">
        <f t="shared" ref="L118:L125" si="116">(K118/J118)*100</f>
        <v>#DIV/0!</v>
      </c>
      <c r="M118" s="68">
        <v>19340</v>
      </c>
      <c r="N118" s="294">
        <f t="shared" ref="N118:N124" si="117">F118*M118</f>
        <v>1276440</v>
      </c>
    </row>
    <row r="119" spans="1:14" ht="16">
      <c r="A119" s="66">
        <v>45845</v>
      </c>
      <c r="B119" s="140" t="s">
        <v>27</v>
      </c>
      <c r="C119" s="83"/>
      <c r="D119" s="12"/>
      <c r="E119" s="36">
        <f t="shared" si="112"/>
        <v>0</v>
      </c>
      <c r="F119" s="45">
        <v>65</v>
      </c>
      <c r="G119" s="13" t="e">
        <f t="shared" si="113"/>
        <v>#DIV/0!</v>
      </c>
      <c r="H119" s="38"/>
      <c r="I119" s="38"/>
      <c r="J119" s="35">
        <f t="shared" si="114"/>
        <v>0</v>
      </c>
      <c r="K119" s="39">
        <f t="shared" si="115"/>
        <v>65</v>
      </c>
      <c r="L119" s="136" t="e">
        <f t="shared" si="116"/>
        <v>#DIV/0!</v>
      </c>
      <c r="M119" s="116">
        <v>18400</v>
      </c>
      <c r="N119" s="321">
        <f t="shared" si="117"/>
        <v>1196000</v>
      </c>
    </row>
    <row r="120" spans="1:14" ht="16">
      <c r="A120" s="138">
        <v>45848</v>
      </c>
      <c r="B120" s="140" t="s">
        <v>27</v>
      </c>
      <c r="C120" s="83"/>
      <c r="D120" s="83"/>
      <c r="E120" s="11">
        <f t="shared" si="112"/>
        <v>0</v>
      </c>
      <c r="F120" s="45">
        <v>66</v>
      </c>
      <c r="G120" s="13" t="e">
        <f t="shared" si="113"/>
        <v>#DIV/0!</v>
      </c>
      <c r="H120" s="35"/>
      <c r="I120" s="38"/>
      <c r="J120" s="35">
        <f t="shared" si="114"/>
        <v>0</v>
      </c>
      <c r="K120" s="39">
        <f t="shared" si="115"/>
        <v>66</v>
      </c>
      <c r="L120" s="136" t="e">
        <f t="shared" si="116"/>
        <v>#DIV/0!</v>
      </c>
      <c r="M120" s="116">
        <v>18400</v>
      </c>
      <c r="N120" s="321">
        <f t="shared" si="117"/>
        <v>1214400</v>
      </c>
    </row>
    <row r="121" spans="1:14" ht="16">
      <c r="A121" s="138">
        <v>45853</v>
      </c>
      <c r="B121" s="140" t="s">
        <v>27</v>
      </c>
      <c r="C121" s="83"/>
      <c r="D121" s="83"/>
      <c r="E121" s="11">
        <f t="shared" si="112"/>
        <v>0</v>
      </c>
      <c r="F121" s="45">
        <v>66</v>
      </c>
      <c r="G121" s="13" t="e">
        <f t="shared" si="113"/>
        <v>#DIV/0!</v>
      </c>
      <c r="H121" s="35"/>
      <c r="I121" s="38"/>
      <c r="J121" s="35">
        <f t="shared" si="114"/>
        <v>0</v>
      </c>
      <c r="K121" s="39">
        <f t="shared" si="115"/>
        <v>66</v>
      </c>
      <c r="L121" s="136" t="e">
        <f t="shared" si="116"/>
        <v>#DIV/0!</v>
      </c>
      <c r="M121" s="116">
        <v>18830</v>
      </c>
      <c r="N121" s="321">
        <f t="shared" si="117"/>
        <v>1242780</v>
      </c>
    </row>
    <row r="122" spans="1:14" ht="16">
      <c r="A122" s="138">
        <v>45858</v>
      </c>
      <c r="B122" s="140" t="s">
        <v>27</v>
      </c>
      <c r="C122" s="83"/>
      <c r="D122" s="83"/>
      <c r="E122" s="11">
        <f t="shared" si="112"/>
        <v>0</v>
      </c>
      <c r="F122" s="45">
        <v>64</v>
      </c>
      <c r="G122" s="13" t="e">
        <f t="shared" si="113"/>
        <v>#DIV/0!</v>
      </c>
      <c r="H122" s="35"/>
      <c r="I122" s="38"/>
      <c r="J122" s="35">
        <f t="shared" si="114"/>
        <v>0</v>
      </c>
      <c r="K122" s="39">
        <f t="shared" si="115"/>
        <v>64</v>
      </c>
      <c r="L122" s="136" t="e">
        <f t="shared" si="116"/>
        <v>#DIV/0!</v>
      </c>
      <c r="M122" s="116">
        <v>18790</v>
      </c>
      <c r="N122" s="321">
        <f t="shared" si="117"/>
        <v>1202560</v>
      </c>
    </row>
    <row r="123" spans="1:14" ht="16">
      <c r="A123" s="138">
        <v>45861</v>
      </c>
      <c r="B123" s="140" t="s">
        <v>27</v>
      </c>
      <c r="C123" s="83"/>
      <c r="D123" s="83"/>
      <c r="E123" s="11">
        <f t="shared" si="112"/>
        <v>0</v>
      </c>
      <c r="F123" s="45">
        <v>58</v>
      </c>
      <c r="G123" s="13" t="e">
        <f t="shared" si="113"/>
        <v>#DIV/0!</v>
      </c>
      <c r="H123" s="35"/>
      <c r="I123" s="38"/>
      <c r="J123" s="35">
        <f t="shared" si="114"/>
        <v>0</v>
      </c>
      <c r="K123" s="39">
        <f t="shared" si="115"/>
        <v>58</v>
      </c>
      <c r="L123" s="136" t="e">
        <f t="shared" si="116"/>
        <v>#DIV/0!</v>
      </c>
      <c r="M123" s="116">
        <v>18790</v>
      </c>
      <c r="N123" s="321">
        <f t="shared" si="117"/>
        <v>1089820</v>
      </c>
    </row>
    <row r="124" spans="1:14" ht="16">
      <c r="A124" s="138">
        <v>45864</v>
      </c>
      <c r="B124" s="140" t="s">
        <v>27</v>
      </c>
      <c r="C124" s="83"/>
      <c r="D124" s="83"/>
      <c r="E124" s="11">
        <f t="shared" si="112"/>
        <v>0</v>
      </c>
      <c r="F124" s="141">
        <v>60</v>
      </c>
      <c r="G124" s="13" t="e">
        <f t="shared" si="113"/>
        <v>#DIV/0!</v>
      </c>
      <c r="H124" s="83"/>
      <c r="I124" s="125"/>
      <c r="J124" s="83">
        <f t="shared" si="114"/>
        <v>0</v>
      </c>
      <c r="K124" s="39">
        <f t="shared" si="115"/>
        <v>60</v>
      </c>
      <c r="L124" s="136" t="e">
        <f t="shared" si="116"/>
        <v>#DIV/0!</v>
      </c>
      <c r="M124" s="116">
        <v>19120</v>
      </c>
      <c r="N124" s="321">
        <f t="shared" si="117"/>
        <v>1147200</v>
      </c>
    </row>
    <row r="125" spans="1:14" ht="16">
      <c r="A125" s="138">
        <v>45869</v>
      </c>
      <c r="B125" s="140" t="s">
        <v>27</v>
      </c>
      <c r="C125" s="134"/>
      <c r="D125" s="134"/>
      <c r="E125" s="24">
        <f t="shared" si="112"/>
        <v>0</v>
      </c>
      <c r="F125" s="143">
        <v>62</v>
      </c>
      <c r="G125" s="54" t="e">
        <f t="shared" si="113"/>
        <v>#DIV/0!</v>
      </c>
      <c r="H125" s="134"/>
      <c r="I125" s="135"/>
      <c r="J125" s="134">
        <f t="shared" si="114"/>
        <v>0</v>
      </c>
      <c r="K125" s="134">
        <v>62</v>
      </c>
      <c r="L125" s="136" t="e">
        <f t="shared" si="116"/>
        <v>#DIV/0!</v>
      </c>
      <c r="M125" s="137">
        <v>19120</v>
      </c>
      <c r="N125" s="321">
        <f>M125*K125</f>
        <v>1185440</v>
      </c>
    </row>
    <row r="126" spans="1:14" ht="16">
      <c r="A126" s="59"/>
      <c r="B126" s="60"/>
      <c r="C126" s="59"/>
      <c r="D126" s="59" t="s">
        <v>19</v>
      </c>
      <c r="E126" s="59">
        <f t="shared" ref="E126:F126" si="118">SUM(E118:E125)</f>
        <v>0</v>
      </c>
      <c r="F126" s="59">
        <f t="shared" si="118"/>
        <v>507</v>
      </c>
      <c r="G126" s="61" t="e">
        <f>AVERAGE(G118:G125)</f>
        <v>#DIV/0!</v>
      </c>
      <c r="H126" s="59"/>
      <c r="I126" s="62"/>
      <c r="J126" s="59">
        <f t="shared" ref="J126:K126" si="119">SUM(J118:J125)</f>
        <v>0</v>
      </c>
      <c r="K126" s="59">
        <f t="shared" si="119"/>
        <v>507</v>
      </c>
      <c r="L126" s="61" t="e">
        <f>AVERAGE(L118:L125)</f>
        <v>#DIV/0!</v>
      </c>
      <c r="M126" s="64"/>
      <c r="N126" s="322">
        <f>SUM(N118:N125)</f>
        <v>9554640</v>
      </c>
    </row>
    <row r="127" spans="1:14" ht="16">
      <c r="A127" s="66">
        <v>45842</v>
      </c>
      <c r="B127" s="140" t="s">
        <v>80</v>
      </c>
      <c r="C127" s="83"/>
      <c r="D127" s="12"/>
      <c r="E127" s="36">
        <f t="shared" ref="E127:E134" si="120">D127-C127</f>
        <v>0</v>
      </c>
      <c r="F127" s="37">
        <v>70</v>
      </c>
      <c r="G127" s="13" t="e">
        <f t="shared" ref="G127:G134" si="121">(F127/E127)*100</f>
        <v>#DIV/0!</v>
      </c>
      <c r="H127" s="125"/>
      <c r="I127" s="126"/>
      <c r="J127" s="39">
        <f t="shared" ref="J127:J134" si="122">I127-H127</f>
        <v>0</v>
      </c>
      <c r="K127" s="39">
        <f t="shared" ref="K127:K133" si="123">F127</f>
        <v>70</v>
      </c>
      <c r="L127" s="136" t="e">
        <f t="shared" ref="L127:L134" si="124">(K127/J127)*100</f>
        <v>#DIV/0!</v>
      </c>
      <c r="M127" s="68">
        <v>18400</v>
      </c>
      <c r="N127" s="321">
        <f t="shared" ref="N127:N133" si="125">F127*M127</f>
        <v>1288000</v>
      </c>
    </row>
    <row r="128" spans="1:14" ht="16">
      <c r="A128" s="66">
        <v>45847</v>
      </c>
      <c r="B128" s="140" t="s">
        <v>80</v>
      </c>
      <c r="C128" s="83"/>
      <c r="D128" s="12"/>
      <c r="E128" s="36">
        <f t="shared" si="120"/>
        <v>0</v>
      </c>
      <c r="F128" s="45">
        <v>70</v>
      </c>
      <c r="G128" s="13" t="e">
        <f t="shared" si="121"/>
        <v>#DIV/0!</v>
      </c>
      <c r="H128" s="38"/>
      <c r="I128" s="38"/>
      <c r="J128" s="35">
        <f t="shared" si="122"/>
        <v>0</v>
      </c>
      <c r="K128" s="39">
        <f t="shared" si="123"/>
        <v>70</v>
      </c>
      <c r="L128" s="136" t="e">
        <f t="shared" si="124"/>
        <v>#DIV/0!</v>
      </c>
      <c r="M128" s="116">
        <v>18400</v>
      </c>
      <c r="N128" s="321">
        <f t="shared" si="125"/>
        <v>1288000</v>
      </c>
    </row>
    <row r="129" spans="1:14" ht="16">
      <c r="A129" s="138">
        <v>45852</v>
      </c>
      <c r="B129" s="140" t="s">
        <v>80</v>
      </c>
      <c r="C129" s="83"/>
      <c r="D129" s="83"/>
      <c r="E129" s="11">
        <f t="shared" si="120"/>
        <v>0</v>
      </c>
      <c r="F129" s="141">
        <v>70</v>
      </c>
      <c r="G129" s="13" t="e">
        <f t="shared" si="121"/>
        <v>#DIV/0!</v>
      </c>
      <c r="H129" s="35"/>
      <c r="I129" s="38"/>
      <c r="J129" s="35">
        <f t="shared" si="122"/>
        <v>0</v>
      </c>
      <c r="K129" s="39">
        <f t="shared" si="123"/>
        <v>70</v>
      </c>
      <c r="L129" s="136" t="e">
        <f t="shared" si="124"/>
        <v>#DIV/0!</v>
      </c>
      <c r="M129" s="116">
        <v>18830</v>
      </c>
      <c r="N129" s="321">
        <f t="shared" si="125"/>
        <v>1318100</v>
      </c>
    </row>
    <row r="130" spans="1:14" ht="16">
      <c r="A130" s="138">
        <v>45867</v>
      </c>
      <c r="B130" s="140" t="s">
        <v>80</v>
      </c>
      <c r="C130" s="83"/>
      <c r="D130" s="83"/>
      <c r="E130" s="11">
        <f t="shared" si="120"/>
        <v>0</v>
      </c>
      <c r="F130" s="141">
        <v>70</v>
      </c>
      <c r="G130" s="13" t="e">
        <f t="shared" si="121"/>
        <v>#DIV/0!</v>
      </c>
      <c r="H130" s="35"/>
      <c r="I130" s="38"/>
      <c r="J130" s="35">
        <f t="shared" si="122"/>
        <v>0</v>
      </c>
      <c r="K130" s="39">
        <f t="shared" si="123"/>
        <v>70</v>
      </c>
      <c r="L130" s="136" t="e">
        <f t="shared" si="124"/>
        <v>#DIV/0!</v>
      </c>
      <c r="M130" s="116">
        <v>19120</v>
      </c>
      <c r="N130" s="321">
        <f t="shared" si="125"/>
        <v>1338400</v>
      </c>
    </row>
    <row r="131" spans="1:14" ht="16">
      <c r="A131" s="138"/>
      <c r="B131" s="140" t="s">
        <v>80</v>
      </c>
      <c r="C131" s="83"/>
      <c r="D131" s="83"/>
      <c r="E131" s="11">
        <f t="shared" si="120"/>
        <v>0</v>
      </c>
      <c r="F131" s="141"/>
      <c r="G131" s="13" t="e">
        <f t="shared" si="121"/>
        <v>#DIV/0!</v>
      </c>
      <c r="H131" s="35"/>
      <c r="I131" s="38"/>
      <c r="J131" s="35">
        <f t="shared" si="122"/>
        <v>0</v>
      </c>
      <c r="K131" s="39">
        <f t="shared" si="123"/>
        <v>0</v>
      </c>
      <c r="L131" s="136" t="e">
        <f t="shared" si="124"/>
        <v>#DIV/0!</v>
      </c>
      <c r="M131" s="116"/>
      <c r="N131" s="321">
        <f t="shared" si="125"/>
        <v>0</v>
      </c>
    </row>
    <row r="132" spans="1:14" ht="16">
      <c r="A132" s="138"/>
      <c r="B132" s="140" t="s">
        <v>80</v>
      </c>
      <c r="C132" s="83"/>
      <c r="D132" s="83"/>
      <c r="E132" s="11">
        <f t="shared" si="120"/>
        <v>0</v>
      </c>
      <c r="F132" s="141"/>
      <c r="G132" s="13" t="e">
        <f t="shared" si="121"/>
        <v>#DIV/0!</v>
      </c>
      <c r="H132" s="35"/>
      <c r="I132" s="38"/>
      <c r="J132" s="35">
        <f t="shared" si="122"/>
        <v>0</v>
      </c>
      <c r="K132" s="39">
        <f t="shared" si="123"/>
        <v>0</v>
      </c>
      <c r="L132" s="136" t="e">
        <f t="shared" si="124"/>
        <v>#DIV/0!</v>
      </c>
      <c r="M132" s="116"/>
      <c r="N132" s="321">
        <f t="shared" si="125"/>
        <v>0</v>
      </c>
    </row>
    <row r="133" spans="1:14" ht="16">
      <c r="A133" s="138"/>
      <c r="B133" s="140"/>
      <c r="C133" s="83"/>
      <c r="D133" s="83"/>
      <c r="E133" s="11">
        <f t="shared" si="120"/>
        <v>0</v>
      </c>
      <c r="F133" s="141"/>
      <c r="G133" s="13" t="e">
        <f t="shared" si="121"/>
        <v>#DIV/0!</v>
      </c>
      <c r="H133" s="83"/>
      <c r="I133" s="125"/>
      <c r="J133" s="83">
        <f t="shared" si="122"/>
        <v>0</v>
      </c>
      <c r="K133" s="39">
        <f t="shared" si="123"/>
        <v>0</v>
      </c>
      <c r="L133" s="136" t="e">
        <f t="shared" si="124"/>
        <v>#DIV/0!</v>
      </c>
      <c r="M133" s="116"/>
      <c r="N133" s="321">
        <f t="shared" si="125"/>
        <v>0</v>
      </c>
    </row>
    <row r="134" spans="1:14" ht="16">
      <c r="A134" s="133"/>
      <c r="B134" s="140"/>
      <c r="C134" s="134"/>
      <c r="D134" s="134"/>
      <c r="E134" s="24">
        <f t="shared" si="120"/>
        <v>0</v>
      </c>
      <c r="F134" s="143"/>
      <c r="G134" s="54" t="e">
        <f t="shared" si="121"/>
        <v>#DIV/0!</v>
      </c>
      <c r="H134" s="134"/>
      <c r="I134" s="135"/>
      <c r="J134" s="134">
        <f t="shared" si="122"/>
        <v>0</v>
      </c>
      <c r="K134" s="134"/>
      <c r="L134" s="136" t="e">
        <f t="shared" si="124"/>
        <v>#DIV/0!</v>
      </c>
      <c r="M134" s="137"/>
      <c r="N134" s="321">
        <f>M134*K134</f>
        <v>0</v>
      </c>
    </row>
    <row r="135" spans="1:14" ht="16">
      <c r="A135" s="59"/>
      <c r="B135" s="60"/>
      <c r="C135" s="59"/>
      <c r="D135" s="59" t="s">
        <v>19</v>
      </c>
      <c r="E135" s="59">
        <f t="shared" ref="E135:F135" si="126">SUM(E127:E134)</f>
        <v>0</v>
      </c>
      <c r="F135" s="59">
        <f t="shared" si="126"/>
        <v>280</v>
      </c>
      <c r="G135" s="61" t="e">
        <f>AVERAGE(G127:G134)</f>
        <v>#DIV/0!</v>
      </c>
      <c r="H135" s="59"/>
      <c r="I135" s="62"/>
      <c r="J135" s="59">
        <f t="shared" ref="J135:K135" si="127">SUM(J127:J134)</f>
        <v>0</v>
      </c>
      <c r="K135" s="59">
        <f t="shared" si="127"/>
        <v>280</v>
      </c>
      <c r="L135" s="61" t="e">
        <f>AVERAGE(L127:L134)</f>
        <v>#DIV/0!</v>
      </c>
      <c r="M135" s="64"/>
      <c r="N135" s="322">
        <f>SUM(N127:N134)</f>
        <v>5232500</v>
      </c>
    </row>
    <row r="136" spans="1:14" ht="16">
      <c r="A136" s="66">
        <v>45845</v>
      </c>
      <c r="B136" s="140" t="s">
        <v>43</v>
      </c>
      <c r="C136" s="83"/>
      <c r="D136" s="12"/>
      <c r="E136" s="36">
        <f t="shared" ref="E136:E143" si="128">D136-C136</f>
        <v>0</v>
      </c>
      <c r="F136" s="37">
        <v>60</v>
      </c>
      <c r="G136" s="13" t="e">
        <f t="shared" ref="G136:G143" si="129">(F136/E136)*100</f>
        <v>#DIV/0!</v>
      </c>
      <c r="H136" s="125"/>
      <c r="I136" s="126"/>
      <c r="J136" s="39">
        <f t="shared" ref="J136:J143" si="130">I136-H136</f>
        <v>0</v>
      </c>
      <c r="K136" s="39">
        <f t="shared" ref="K136:K142" si="131">F136</f>
        <v>60</v>
      </c>
      <c r="L136" s="136" t="e">
        <f t="shared" ref="L136:L143" si="132">(K136/J136)*100</f>
        <v>#DIV/0!</v>
      </c>
      <c r="M136" s="68">
        <v>18400</v>
      </c>
      <c r="N136" s="321">
        <f t="shared" ref="N136:N142" si="133">F136*M136</f>
        <v>1104000</v>
      </c>
    </row>
    <row r="137" spans="1:14" ht="16">
      <c r="A137" s="66">
        <v>45849</v>
      </c>
      <c r="B137" s="140" t="s">
        <v>43</v>
      </c>
      <c r="C137" s="83"/>
      <c r="D137" s="12"/>
      <c r="E137" s="36">
        <f t="shared" si="128"/>
        <v>0</v>
      </c>
      <c r="F137" s="45">
        <v>60</v>
      </c>
      <c r="G137" s="13" t="e">
        <f t="shared" si="129"/>
        <v>#DIV/0!</v>
      </c>
      <c r="H137" s="38"/>
      <c r="I137" s="38"/>
      <c r="J137" s="35">
        <f t="shared" si="130"/>
        <v>0</v>
      </c>
      <c r="K137" s="39">
        <f t="shared" si="131"/>
        <v>60</v>
      </c>
      <c r="L137" s="136" t="e">
        <f t="shared" si="132"/>
        <v>#DIV/0!</v>
      </c>
      <c r="M137" s="116">
        <v>18830</v>
      </c>
      <c r="N137" s="321">
        <f t="shared" si="133"/>
        <v>1129800</v>
      </c>
    </row>
    <row r="138" spans="1:14" ht="16">
      <c r="A138" s="138">
        <v>45859</v>
      </c>
      <c r="B138" s="140" t="s">
        <v>43</v>
      </c>
      <c r="C138" s="83"/>
      <c r="D138" s="83"/>
      <c r="E138" s="11">
        <f t="shared" si="128"/>
        <v>0</v>
      </c>
      <c r="F138" s="141">
        <v>60</v>
      </c>
      <c r="G138" s="13" t="e">
        <f t="shared" si="129"/>
        <v>#DIV/0!</v>
      </c>
      <c r="H138" s="35"/>
      <c r="I138" s="38"/>
      <c r="J138" s="35">
        <f t="shared" si="130"/>
        <v>0</v>
      </c>
      <c r="K138" s="39">
        <f t="shared" si="131"/>
        <v>60</v>
      </c>
      <c r="L138" s="136" t="e">
        <f t="shared" si="132"/>
        <v>#DIV/0!</v>
      </c>
      <c r="M138" s="116">
        <v>18790</v>
      </c>
      <c r="N138" s="321">
        <f t="shared" si="133"/>
        <v>1127400</v>
      </c>
    </row>
    <row r="139" spans="1:14" ht="16">
      <c r="A139" s="138">
        <v>45863</v>
      </c>
      <c r="B139" s="140" t="s">
        <v>43</v>
      </c>
      <c r="C139" s="83"/>
      <c r="D139" s="83"/>
      <c r="E139" s="11">
        <f t="shared" si="128"/>
        <v>0</v>
      </c>
      <c r="F139" s="141">
        <v>60</v>
      </c>
      <c r="G139" s="13" t="e">
        <f t="shared" si="129"/>
        <v>#DIV/0!</v>
      </c>
      <c r="H139" s="35"/>
      <c r="I139" s="38"/>
      <c r="J139" s="35">
        <f t="shared" si="130"/>
        <v>0</v>
      </c>
      <c r="K139" s="39">
        <f t="shared" si="131"/>
        <v>60</v>
      </c>
      <c r="L139" s="136" t="e">
        <f t="shared" si="132"/>
        <v>#DIV/0!</v>
      </c>
      <c r="M139" s="116">
        <v>19120</v>
      </c>
      <c r="N139" s="321">
        <f t="shared" si="133"/>
        <v>1147200</v>
      </c>
    </row>
    <row r="140" spans="1:14" ht="16">
      <c r="A140" s="138">
        <v>45867</v>
      </c>
      <c r="B140" s="140" t="s">
        <v>43</v>
      </c>
      <c r="C140" s="83"/>
      <c r="D140" s="83"/>
      <c r="E140" s="11">
        <f t="shared" si="128"/>
        <v>0</v>
      </c>
      <c r="F140" s="141">
        <v>60</v>
      </c>
      <c r="G140" s="13" t="e">
        <f t="shared" si="129"/>
        <v>#DIV/0!</v>
      </c>
      <c r="H140" s="35"/>
      <c r="I140" s="38"/>
      <c r="J140" s="35">
        <f t="shared" si="130"/>
        <v>0</v>
      </c>
      <c r="K140" s="39">
        <f t="shared" si="131"/>
        <v>60</v>
      </c>
      <c r="L140" s="136" t="e">
        <f t="shared" si="132"/>
        <v>#DIV/0!</v>
      </c>
      <c r="M140" s="116">
        <v>19120</v>
      </c>
      <c r="N140" s="321">
        <f t="shared" si="133"/>
        <v>1147200</v>
      </c>
    </row>
    <row r="141" spans="1:14" ht="16">
      <c r="A141" s="138"/>
      <c r="B141" s="140" t="s">
        <v>43</v>
      </c>
      <c r="C141" s="83"/>
      <c r="D141" s="83"/>
      <c r="E141" s="11">
        <f t="shared" si="128"/>
        <v>0</v>
      </c>
      <c r="F141" s="141"/>
      <c r="G141" s="13" t="e">
        <f t="shared" si="129"/>
        <v>#DIV/0!</v>
      </c>
      <c r="H141" s="35"/>
      <c r="I141" s="38"/>
      <c r="J141" s="35">
        <f t="shared" si="130"/>
        <v>0</v>
      </c>
      <c r="K141" s="39">
        <f t="shared" si="131"/>
        <v>0</v>
      </c>
      <c r="L141" s="136" t="e">
        <f t="shared" si="132"/>
        <v>#DIV/0!</v>
      </c>
      <c r="M141" s="116"/>
      <c r="N141" s="321">
        <f t="shared" si="133"/>
        <v>0</v>
      </c>
    </row>
    <row r="142" spans="1:14" ht="16">
      <c r="A142" s="138"/>
      <c r="B142" s="140" t="s">
        <v>43</v>
      </c>
      <c r="C142" s="83"/>
      <c r="D142" s="83"/>
      <c r="E142" s="11">
        <f t="shared" si="128"/>
        <v>0</v>
      </c>
      <c r="F142" s="141"/>
      <c r="G142" s="13" t="e">
        <f t="shared" si="129"/>
        <v>#DIV/0!</v>
      </c>
      <c r="H142" s="83"/>
      <c r="I142" s="125"/>
      <c r="J142" s="83">
        <f t="shared" si="130"/>
        <v>0</v>
      </c>
      <c r="K142" s="39">
        <f t="shared" si="131"/>
        <v>0</v>
      </c>
      <c r="L142" s="136" t="e">
        <f t="shared" si="132"/>
        <v>#DIV/0!</v>
      </c>
      <c r="M142" s="116"/>
      <c r="N142" s="321">
        <f t="shared" si="133"/>
        <v>0</v>
      </c>
    </row>
    <row r="143" spans="1:14" ht="16">
      <c r="A143" s="133"/>
      <c r="B143" s="140"/>
      <c r="C143" s="134"/>
      <c r="D143" s="134"/>
      <c r="E143" s="24">
        <f t="shared" si="128"/>
        <v>0</v>
      </c>
      <c r="F143" s="143"/>
      <c r="G143" s="54" t="e">
        <f t="shared" si="129"/>
        <v>#DIV/0!</v>
      </c>
      <c r="H143" s="134"/>
      <c r="I143" s="135"/>
      <c r="J143" s="134">
        <f t="shared" si="130"/>
        <v>0</v>
      </c>
      <c r="K143" s="134"/>
      <c r="L143" s="136" t="e">
        <f t="shared" si="132"/>
        <v>#DIV/0!</v>
      </c>
      <c r="M143" s="137"/>
      <c r="N143" s="321">
        <f>M143*K143</f>
        <v>0</v>
      </c>
    </row>
    <row r="144" spans="1:14" ht="16">
      <c r="A144" s="59"/>
      <c r="B144" s="60"/>
      <c r="C144" s="59"/>
      <c r="D144" s="59" t="s">
        <v>19</v>
      </c>
      <c r="E144" s="59">
        <f t="shared" ref="E144:F144" si="134">SUM(E136:E143)</f>
        <v>0</v>
      </c>
      <c r="F144" s="59">
        <f t="shared" si="134"/>
        <v>300</v>
      </c>
      <c r="G144" s="61" t="e">
        <f>AVERAGE(G136:G143)</f>
        <v>#DIV/0!</v>
      </c>
      <c r="H144" s="59"/>
      <c r="I144" s="62"/>
      <c r="J144" s="59">
        <f t="shared" ref="J144:K144" si="135">SUM(J136:J143)</f>
        <v>0</v>
      </c>
      <c r="K144" s="59">
        <f t="shared" si="135"/>
        <v>300</v>
      </c>
      <c r="L144" s="61" t="e">
        <f>AVERAGE(L136:L143)</f>
        <v>#DIV/0!</v>
      </c>
      <c r="M144" s="64"/>
      <c r="N144" s="322">
        <f>SUM(N136:N143)</f>
        <v>5655600</v>
      </c>
    </row>
    <row r="145" spans="1:16" ht="16">
      <c r="A145" s="66">
        <v>45843</v>
      </c>
      <c r="B145" s="140" t="s">
        <v>30</v>
      </c>
      <c r="C145" s="83"/>
      <c r="D145" s="12"/>
      <c r="E145" s="36">
        <f t="shared" ref="E145:E152" si="136">D145-C145</f>
        <v>0</v>
      </c>
      <c r="F145" s="37">
        <v>81</v>
      </c>
      <c r="G145" s="13" t="e">
        <f t="shared" ref="G145:G152" si="137">(F145/E145)*100</f>
        <v>#DIV/0!</v>
      </c>
      <c r="H145" s="125"/>
      <c r="I145" s="126"/>
      <c r="J145" s="39">
        <f t="shared" ref="J145:J152" si="138">I145-H145</f>
        <v>0</v>
      </c>
      <c r="K145" s="39">
        <f t="shared" ref="K145:K151" si="139">F145</f>
        <v>81</v>
      </c>
      <c r="L145" s="136" t="e">
        <f t="shared" ref="L145:L152" si="140">(K145/J145)*100</f>
        <v>#DIV/0!</v>
      </c>
      <c r="M145" s="68">
        <v>18400</v>
      </c>
      <c r="N145" s="321">
        <f t="shared" ref="N145:N151" si="141">F145*M145</f>
        <v>1490400</v>
      </c>
    </row>
    <row r="146" spans="1:16" ht="16">
      <c r="A146" s="66">
        <v>45849</v>
      </c>
      <c r="B146" s="140" t="s">
        <v>30</v>
      </c>
      <c r="C146" s="83"/>
      <c r="D146" s="12"/>
      <c r="E146" s="36">
        <f t="shared" si="136"/>
        <v>0</v>
      </c>
      <c r="F146" s="45">
        <v>79</v>
      </c>
      <c r="G146" s="13" t="e">
        <f t="shared" si="137"/>
        <v>#DIV/0!</v>
      </c>
      <c r="H146" s="38"/>
      <c r="I146" s="38"/>
      <c r="J146" s="35">
        <f t="shared" si="138"/>
        <v>0</v>
      </c>
      <c r="K146" s="39">
        <f t="shared" si="139"/>
        <v>79</v>
      </c>
      <c r="L146" s="136" t="e">
        <f t="shared" si="140"/>
        <v>#DIV/0!</v>
      </c>
      <c r="M146" s="116">
        <v>18830</v>
      </c>
      <c r="N146" s="321">
        <f t="shared" si="141"/>
        <v>1487570</v>
      </c>
    </row>
    <row r="147" spans="1:16" ht="16">
      <c r="A147" s="138">
        <v>45855</v>
      </c>
      <c r="B147" s="140" t="s">
        <v>30</v>
      </c>
      <c r="C147" s="83"/>
      <c r="D147" s="83"/>
      <c r="E147" s="11">
        <f t="shared" si="136"/>
        <v>0</v>
      </c>
      <c r="F147" s="141">
        <v>81</v>
      </c>
      <c r="G147" s="13" t="e">
        <f t="shared" si="137"/>
        <v>#DIV/0!</v>
      </c>
      <c r="H147" s="35"/>
      <c r="I147" s="38"/>
      <c r="J147" s="35">
        <f t="shared" si="138"/>
        <v>0</v>
      </c>
      <c r="K147" s="39">
        <f t="shared" si="139"/>
        <v>81</v>
      </c>
      <c r="L147" s="136" t="e">
        <f t="shared" si="140"/>
        <v>#DIV/0!</v>
      </c>
      <c r="M147" s="116">
        <v>18790</v>
      </c>
      <c r="N147" s="321">
        <f t="shared" si="141"/>
        <v>1521990</v>
      </c>
    </row>
    <row r="148" spans="1:16" ht="16">
      <c r="A148" s="138">
        <v>45861</v>
      </c>
      <c r="B148" s="140" t="s">
        <v>30</v>
      </c>
      <c r="C148" s="83"/>
      <c r="D148" s="83"/>
      <c r="E148" s="11">
        <f t="shared" si="136"/>
        <v>0</v>
      </c>
      <c r="F148" s="141">
        <v>74</v>
      </c>
      <c r="G148" s="13" t="e">
        <f t="shared" si="137"/>
        <v>#DIV/0!</v>
      </c>
      <c r="H148" s="35"/>
      <c r="I148" s="38"/>
      <c r="J148" s="35">
        <f t="shared" si="138"/>
        <v>0</v>
      </c>
      <c r="K148" s="39">
        <f t="shared" si="139"/>
        <v>74</v>
      </c>
      <c r="L148" s="136" t="e">
        <f t="shared" si="140"/>
        <v>#DIV/0!</v>
      </c>
      <c r="M148" s="116">
        <v>18790</v>
      </c>
      <c r="N148" s="321">
        <f t="shared" si="141"/>
        <v>1390460</v>
      </c>
    </row>
    <row r="149" spans="1:16" ht="16">
      <c r="A149" s="138">
        <v>45868</v>
      </c>
      <c r="B149" s="140" t="s">
        <v>30</v>
      </c>
      <c r="C149" s="83"/>
      <c r="D149" s="83"/>
      <c r="E149" s="11">
        <f t="shared" si="136"/>
        <v>0</v>
      </c>
      <c r="F149" s="141">
        <v>68</v>
      </c>
      <c r="G149" s="13" t="e">
        <f t="shared" si="137"/>
        <v>#DIV/0!</v>
      </c>
      <c r="H149" s="35"/>
      <c r="I149" s="38"/>
      <c r="J149" s="35">
        <f t="shared" si="138"/>
        <v>0</v>
      </c>
      <c r="K149" s="39">
        <f t="shared" si="139"/>
        <v>68</v>
      </c>
      <c r="L149" s="136" t="e">
        <f t="shared" si="140"/>
        <v>#DIV/0!</v>
      </c>
      <c r="M149" s="116">
        <v>19120</v>
      </c>
      <c r="N149" s="321">
        <f t="shared" si="141"/>
        <v>1300160</v>
      </c>
    </row>
    <row r="150" spans="1:16" ht="16">
      <c r="A150" s="138"/>
      <c r="B150" s="140" t="s">
        <v>30</v>
      </c>
      <c r="C150" s="83"/>
      <c r="D150" s="83"/>
      <c r="E150" s="11">
        <f t="shared" si="136"/>
        <v>0</v>
      </c>
      <c r="F150" s="141"/>
      <c r="G150" s="13" t="e">
        <f t="shared" si="137"/>
        <v>#DIV/0!</v>
      </c>
      <c r="H150" s="35"/>
      <c r="I150" s="38"/>
      <c r="J150" s="35">
        <f t="shared" si="138"/>
        <v>0</v>
      </c>
      <c r="K150" s="39">
        <f t="shared" si="139"/>
        <v>0</v>
      </c>
      <c r="L150" s="136" t="e">
        <f t="shared" si="140"/>
        <v>#DIV/0!</v>
      </c>
      <c r="M150" s="116"/>
      <c r="N150" s="321">
        <f t="shared" si="141"/>
        <v>0</v>
      </c>
    </row>
    <row r="151" spans="1:16" ht="16">
      <c r="A151" s="138"/>
      <c r="B151" s="140"/>
      <c r="C151" s="83"/>
      <c r="D151" s="83"/>
      <c r="E151" s="11">
        <f t="shared" si="136"/>
        <v>0</v>
      </c>
      <c r="F151" s="141"/>
      <c r="G151" s="13" t="e">
        <f t="shared" si="137"/>
        <v>#DIV/0!</v>
      </c>
      <c r="H151" s="83"/>
      <c r="I151" s="125"/>
      <c r="J151" s="83">
        <f t="shared" si="138"/>
        <v>0</v>
      </c>
      <c r="K151" s="39">
        <f t="shared" si="139"/>
        <v>0</v>
      </c>
      <c r="L151" s="136" t="e">
        <f t="shared" si="140"/>
        <v>#DIV/0!</v>
      </c>
      <c r="M151" s="116"/>
      <c r="N151" s="321">
        <f t="shared" si="141"/>
        <v>0</v>
      </c>
    </row>
    <row r="152" spans="1:16" ht="16">
      <c r="A152" s="133"/>
      <c r="B152" s="140"/>
      <c r="C152" s="134"/>
      <c r="D152" s="134"/>
      <c r="E152" s="24">
        <f t="shared" si="136"/>
        <v>0</v>
      </c>
      <c r="F152" s="143"/>
      <c r="G152" s="54" t="e">
        <f t="shared" si="137"/>
        <v>#DIV/0!</v>
      </c>
      <c r="H152" s="134"/>
      <c r="I152" s="135"/>
      <c r="J152" s="134">
        <f t="shared" si="138"/>
        <v>0</v>
      </c>
      <c r="K152" s="134"/>
      <c r="L152" s="136" t="e">
        <f t="shared" si="140"/>
        <v>#DIV/0!</v>
      </c>
      <c r="M152" s="137"/>
      <c r="N152" s="321">
        <f>M152*K152</f>
        <v>0</v>
      </c>
    </row>
    <row r="153" spans="1:16" ht="16">
      <c r="A153" s="59"/>
      <c r="B153" s="60"/>
      <c r="C153" s="59"/>
      <c r="D153" s="59" t="s">
        <v>19</v>
      </c>
      <c r="E153" s="59">
        <f t="shared" ref="E153:F153" si="142">SUM(E145:E152)</f>
        <v>0</v>
      </c>
      <c r="F153" s="59">
        <f t="shared" si="142"/>
        <v>383</v>
      </c>
      <c r="G153" s="61" t="e">
        <f>AVERAGE(G145:G152)</f>
        <v>#DIV/0!</v>
      </c>
      <c r="H153" s="59"/>
      <c r="I153" s="62"/>
      <c r="J153" s="59">
        <f t="shared" ref="J153:K153" si="143">SUM(J145:J152)</f>
        <v>0</v>
      </c>
      <c r="K153" s="59">
        <f t="shared" si="143"/>
        <v>383</v>
      </c>
      <c r="L153" s="61" t="e">
        <f>AVERAGE(L145:L152)</f>
        <v>#DIV/0!</v>
      </c>
      <c r="M153" s="64"/>
      <c r="N153" s="322">
        <f>SUM(N145:N152)</f>
        <v>7190580</v>
      </c>
    </row>
    <row r="154" spans="1:16" ht="18">
      <c r="A154" s="354" t="s">
        <v>64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7"/>
      <c r="N154" s="323">
        <f>N10+N18+N27+N35+N43+N53+N62+N70+N78+N86+N93+N101+N109+N126+N135+N144+N153+N117</f>
        <v>109022870</v>
      </c>
    </row>
    <row r="155" spans="1:16" ht="13">
      <c r="G155" s="150"/>
      <c r="L155" s="150"/>
    </row>
    <row r="156" spans="1:16" ht="31.5" customHeight="1">
      <c r="D156" s="152" t="s">
        <v>45</v>
      </c>
      <c r="E156" s="153"/>
      <c r="G156" s="150"/>
      <c r="L156" s="150"/>
    </row>
    <row r="157" spans="1:16" ht="16">
      <c r="A157" s="220" t="s">
        <v>1</v>
      </c>
      <c r="B157" s="154" t="s">
        <v>2</v>
      </c>
      <c r="C157" s="148" t="s">
        <v>3</v>
      </c>
      <c r="D157" s="148" t="s">
        <v>4</v>
      </c>
      <c r="E157" s="148" t="s">
        <v>5</v>
      </c>
      <c r="F157" s="148" t="s">
        <v>6</v>
      </c>
      <c r="G157" s="155" t="s">
        <v>7</v>
      </c>
      <c r="H157" s="156" t="s">
        <v>8</v>
      </c>
      <c r="I157" s="157" t="s">
        <v>8</v>
      </c>
      <c r="J157" s="148" t="s">
        <v>5</v>
      </c>
      <c r="K157" s="148" t="s">
        <v>6</v>
      </c>
      <c r="L157" s="155" t="s">
        <v>7</v>
      </c>
      <c r="M157" s="148" t="s">
        <v>9</v>
      </c>
      <c r="N157" s="158" t="s">
        <v>10</v>
      </c>
      <c r="O157" s="76">
        <v>1</v>
      </c>
      <c r="P157" s="76" t="s">
        <v>46</v>
      </c>
    </row>
    <row r="158" spans="1:16" ht="16">
      <c r="A158" s="66">
        <v>45840</v>
      </c>
      <c r="B158" s="140" t="s">
        <v>46</v>
      </c>
      <c r="C158" s="12"/>
      <c r="D158" s="12"/>
      <c r="E158" s="11"/>
      <c r="F158" s="37"/>
      <c r="G158" s="13"/>
      <c r="H158" s="83"/>
      <c r="I158" s="126"/>
      <c r="J158" s="39"/>
      <c r="K158" s="39">
        <f t="shared" ref="K158:K162" si="144">F158</f>
        <v>0</v>
      </c>
      <c r="L158" s="136" t="e">
        <f t="shared" ref="L158:L162" si="145">(K158/J158)*100</f>
        <v>#DIV/0!</v>
      </c>
      <c r="M158" s="68"/>
      <c r="N158" s="324">
        <v>7270000</v>
      </c>
      <c r="O158" s="76">
        <v>2</v>
      </c>
      <c r="P158" s="76" t="s">
        <v>47</v>
      </c>
    </row>
    <row r="159" spans="1:16" ht="16">
      <c r="A159" s="66">
        <v>45852</v>
      </c>
      <c r="B159" s="140" t="s">
        <v>46</v>
      </c>
      <c r="C159" s="12"/>
      <c r="D159" s="12"/>
      <c r="E159" s="11">
        <f t="shared" ref="E159:E162" si="146">D159-C159</f>
        <v>0</v>
      </c>
      <c r="F159" s="37">
        <v>339.88</v>
      </c>
      <c r="G159" s="13" t="e">
        <f t="shared" ref="G159:G162" si="147">(F159/E159)*100</f>
        <v>#DIV/0!</v>
      </c>
      <c r="H159" s="83"/>
      <c r="I159" s="126"/>
      <c r="J159" s="39">
        <f t="shared" ref="J159:J162" si="148">I159-H159</f>
        <v>0</v>
      </c>
      <c r="K159" s="39">
        <f t="shared" si="144"/>
        <v>339.88</v>
      </c>
      <c r="L159" s="136" t="e">
        <f t="shared" si="145"/>
        <v>#DIV/0!</v>
      </c>
      <c r="M159" s="68">
        <v>18830</v>
      </c>
      <c r="N159" s="324">
        <f>M159*K159</f>
        <v>6399940.4000000004</v>
      </c>
      <c r="O159" s="76">
        <v>3</v>
      </c>
      <c r="P159" s="76" t="s">
        <v>48</v>
      </c>
    </row>
    <row r="160" spans="1:16" ht="16">
      <c r="A160" s="138">
        <v>45862</v>
      </c>
      <c r="B160" s="140" t="s">
        <v>46</v>
      </c>
      <c r="C160" s="83"/>
      <c r="D160" s="83"/>
      <c r="E160" s="11">
        <f t="shared" si="146"/>
        <v>0</v>
      </c>
      <c r="F160" s="141"/>
      <c r="G160" s="13" t="e">
        <f t="shared" si="147"/>
        <v>#DIV/0!</v>
      </c>
      <c r="H160" s="83"/>
      <c r="I160" s="125"/>
      <c r="J160" s="83">
        <f t="shared" si="148"/>
        <v>0</v>
      </c>
      <c r="K160" s="39">
        <f t="shared" si="144"/>
        <v>0</v>
      </c>
      <c r="L160" s="136" t="e">
        <f t="shared" si="145"/>
        <v>#DIV/0!</v>
      </c>
      <c r="M160" s="116"/>
      <c r="N160" s="201">
        <v>6900000</v>
      </c>
      <c r="O160" s="76">
        <v>4</v>
      </c>
      <c r="P160" s="76" t="s">
        <v>49</v>
      </c>
    </row>
    <row r="161" spans="1:16" ht="16">
      <c r="A161" s="138"/>
      <c r="B161" s="140" t="s">
        <v>46</v>
      </c>
      <c r="C161" s="83"/>
      <c r="D161" s="83"/>
      <c r="E161" s="11">
        <f t="shared" si="146"/>
        <v>0</v>
      </c>
      <c r="F161" s="141"/>
      <c r="G161" s="13" t="e">
        <f t="shared" si="147"/>
        <v>#DIV/0!</v>
      </c>
      <c r="H161" s="83"/>
      <c r="I161" s="125"/>
      <c r="J161" s="83">
        <f t="shared" si="148"/>
        <v>0</v>
      </c>
      <c r="K161" s="39">
        <f t="shared" si="144"/>
        <v>0</v>
      </c>
      <c r="L161" s="136" t="e">
        <f t="shared" si="145"/>
        <v>#DIV/0!</v>
      </c>
      <c r="M161" s="116"/>
      <c r="N161" s="201">
        <f t="shared" ref="N161:N162" si="149">F161*M161</f>
        <v>0</v>
      </c>
      <c r="O161" s="76">
        <v>5</v>
      </c>
      <c r="P161" s="76" t="s">
        <v>50</v>
      </c>
    </row>
    <row r="162" spans="1:16" ht="16">
      <c r="A162" s="138"/>
      <c r="B162" s="140"/>
      <c r="C162" s="83"/>
      <c r="D162" s="83"/>
      <c r="E162" s="11">
        <f t="shared" si="146"/>
        <v>0</v>
      </c>
      <c r="F162" s="141"/>
      <c r="G162" s="13" t="e">
        <f t="shared" si="147"/>
        <v>#DIV/0!</v>
      </c>
      <c r="H162" s="83"/>
      <c r="I162" s="125"/>
      <c r="J162" s="83">
        <f t="shared" si="148"/>
        <v>0</v>
      </c>
      <c r="K162" s="83">
        <f t="shared" si="144"/>
        <v>0</v>
      </c>
      <c r="L162" s="136" t="e">
        <f t="shared" si="145"/>
        <v>#DIV/0!</v>
      </c>
      <c r="M162" s="116"/>
      <c r="N162" s="201">
        <f t="shared" si="149"/>
        <v>0</v>
      </c>
      <c r="O162" s="76">
        <v>6</v>
      </c>
      <c r="P162" s="76" t="s">
        <v>51</v>
      </c>
    </row>
    <row r="163" spans="1:16" ht="16">
      <c r="A163" s="59"/>
      <c r="B163" s="60"/>
      <c r="C163" s="59"/>
      <c r="D163" s="59" t="s">
        <v>19</v>
      </c>
      <c r="E163" s="59">
        <f t="shared" ref="E163:F163" si="150">SUM(E158:E162)</f>
        <v>0</v>
      </c>
      <c r="F163" s="59">
        <f t="shared" si="150"/>
        <v>339.88</v>
      </c>
      <c r="G163" s="61" t="e">
        <f>AVERAGE(G158:G162)</f>
        <v>#DIV/0!</v>
      </c>
      <c r="H163" s="59"/>
      <c r="I163" s="62"/>
      <c r="J163" s="59">
        <f t="shared" ref="J163:K163" si="151">SUM(J158:J162)</f>
        <v>0</v>
      </c>
      <c r="K163" s="59">
        <f t="shared" si="151"/>
        <v>339.88</v>
      </c>
      <c r="L163" s="61" t="e">
        <f>AVERAGE(L158:L162)</f>
        <v>#DIV/0!</v>
      </c>
      <c r="M163" s="64"/>
      <c r="N163" s="325">
        <f>SUM(N158:N162)</f>
        <v>20569940.399999999</v>
      </c>
      <c r="O163" s="76">
        <v>7</v>
      </c>
      <c r="P163" s="76" t="s">
        <v>81</v>
      </c>
    </row>
    <row r="164" spans="1:16" ht="16">
      <c r="A164" s="138">
        <v>45841</v>
      </c>
      <c r="B164" s="140" t="s">
        <v>53</v>
      </c>
      <c r="C164" s="83"/>
      <c r="D164" s="83"/>
      <c r="E164" s="11">
        <f t="shared" ref="E164:E166" si="152">D164-C164</f>
        <v>0</v>
      </c>
      <c r="F164" s="141"/>
      <c r="G164" s="13" t="e">
        <f t="shared" ref="G164:G166" si="153">(F164/E164)*100</f>
        <v>#DIV/0!</v>
      </c>
      <c r="H164" s="83"/>
      <c r="I164" s="125"/>
      <c r="J164" s="83">
        <f t="shared" ref="J164:J166" si="154">I164-H164</f>
        <v>0</v>
      </c>
      <c r="K164" s="83">
        <f t="shared" ref="K164:K166" si="155">F164</f>
        <v>0</v>
      </c>
      <c r="L164" s="136" t="e">
        <f t="shared" ref="L164:L166" si="156">(K164/J164)*100</f>
        <v>#DIV/0!</v>
      </c>
      <c r="M164" s="116"/>
      <c r="N164" s="201">
        <v>2100000</v>
      </c>
      <c r="O164" s="76">
        <v>8</v>
      </c>
      <c r="P164" s="76" t="s">
        <v>54</v>
      </c>
    </row>
    <row r="165" spans="1:16" ht="16">
      <c r="A165" s="138">
        <v>45848</v>
      </c>
      <c r="B165" s="140" t="s">
        <v>53</v>
      </c>
      <c r="C165" s="83"/>
      <c r="D165" s="83"/>
      <c r="E165" s="11">
        <f t="shared" si="152"/>
        <v>0</v>
      </c>
      <c r="F165" s="141"/>
      <c r="G165" s="13" t="e">
        <f t="shared" si="153"/>
        <v>#DIV/0!</v>
      </c>
      <c r="H165" s="83"/>
      <c r="I165" s="125"/>
      <c r="J165" s="83">
        <f t="shared" si="154"/>
        <v>0</v>
      </c>
      <c r="K165" s="83">
        <f t="shared" si="155"/>
        <v>0</v>
      </c>
      <c r="L165" s="136" t="e">
        <f t="shared" si="156"/>
        <v>#DIV/0!</v>
      </c>
      <c r="M165" s="116"/>
      <c r="N165" s="326">
        <v>4300000</v>
      </c>
      <c r="O165" s="76">
        <v>9</v>
      </c>
      <c r="P165" s="76" t="s">
        <v>69</v>
      </c>
    </row>
    <row r="166" spans="1:16" ht="16">
      <c r="A166" s="138">
        <v>45855</v>
      </c>
      <c r="B166" s="140" t="s">
        <v>53</v>
      </c>
      <c r="C166" s="83"/>
      <c r="D166" s="83"/>
      <c r="E166" s="11">
        <f t="shared" si="152"/>
        <v>0</v>
      </c>
      <c r="F166" s="141"/>
      <c r="G166" s="13" t="e">
        <f t="shared" si="153"/>
        <v>#DIV/0!</v>
      </c>
      <c r="H166" s="83"/>
      <c r="I166" s="125"/>
      <c r="J166" s="83">
        <f t="shared" si="154"/>
        <v>0</v>
      </c>
      <c r="K166" s="83">
        <f t="shared" si="155"/>
        <v>0</v>
      </c>
      <c r="L166" s="136" t="e">
        <f t="shared" si="156"/>
        <v>#DIV/0!</v>
      </c>
      <c r="M166" s="116"/>
      <c r="N166" s="201">
        <v>4450000</v>
      </c>
    </row>
    <row r="167" spans="1:16" ht="16">
      <c r="A167" s="138">
        <v>45861</v>
      </c>
      <c r="B167" s="140" t="s">
        <v>53</v>
      </c>
      <c r="C167" s="83"/>
      <c r="D167" s="83"/>
      <c r="E167" s="11"/>
      <c r="F167" s="141"/>
      <c r="G167" s="13"/>
      <c r="H167" s="83"/>
      <c r="I167" s="125"/>
      <c r="J167" s="83"/>
      <c r="K167" s="83"/>
      <c r="L167" s="136"/>
      <c r="M167" s="116"/>
      <c r="N167" s="327">
        <v>4700000</v>
      </c>
    </row>
    <row r="168" spans="1:16" ht="16">
      <c r="A168" s="138">
        <v>45869</v>
      </c>
      <c r="B168" s="140" t="s">
        <v>53</v>
      </c>
      <c r="C168" s="83"/>
      <c r="D168" s="83"/>
      <c r="E168" s="11">
        <f>D168-C168</f>
        <v>0</v>
      </c>
      <c r="F168" s="141"/>
      <c r="G168" s="13" t="e">
        <f>(F168/E168)*100</f>
        <v>#DIV/0!</v>
      </c>
      <c r="H168" s="83"/>
      <c r="I168" s="125"/>
      <c r="J168" s="83">
        <f>I168-H168</f>
        <v>0</v>
      </c>
      <c r="K168" s="83">
        <f>F168</f>
        <v>0</v>
      </c>
      <c r="L168" s="136" t="e">
        <f>(K168/J168)*100</f>
        <v>#DIV/0!</v>
      </c>
      <c r="M168" s="116"/>
      <c r="N168" s="327">
        <v>5650000</v>
      </c>
    </row>
    <row r="169" spans="1:16" ht="16">
      <c r="A169" s="59"/>
      <c r="B169" s="60"/>
      <c r="C169" s="59"/>
      <c r="D169" s="59" t="s">
        <v>19</v>
      </c>
      <c r="E169" s="59">
        <f t="shared" ref="E169:F169" si="157">SUM(E164:E168)</f>
        <v>0</v>
      </c>
      <c r="F169" s="59">
        <f t="shared" si="157"/>
        <v>0</v>
      </c>
      <c r="G169" s="61" t="e">
        <f>AVERAGE(G164:G168)</f>
        <v>#DIV/0!</v>
      </c>
      <c r="H169" s="59"/>
      <c r="I169" s="62"/>
      <c r="J169" s="59">
        <f t="shared" ref="J169:K169" si="158">SUM(J164:J168)</f>
        <v>0</v>
      </c>
      <c r="K169" s="59">
        <f t="shared" si="158"/>
        <v>0</v>
      </c>
      <c r="L169" s="61" t="e">
        <f>AVERAGE(L164:L168)</f>
        <v>#DIV/0!</v>
      </c>
      <c r="M169" s="64"/>
      <c r="N169" s="325">
        <f>SUM(N164:N168)</f>
        <v>21200000</v>
      </c>
    </row>
    <row r="170" spans="1:16" ht="16">
      <c r="A170" s="66">
        <v>45847</v>
      </c>
      <c r="B170" s="140" t="s">
        <v>48</v>
      </c>
      <c r="C170" s="83"/>
      <c r="D170" s="12"/>
      <c r="E170" s="36">
        <f t="shared" ref="E170:E174" si="159">D170-C170</f>
        <v>0</v>
      </c>
      <c r="F170" s="141">
        <v>271.74</v>
      </c>
      <c r="G170" s="13" t="e">
        <f t="shared" ref="G170:G174" si="160">(F170/E170)*100</f>
        <v>#DIV/0!</v>
      </c>
      <c r="H170" s="83"/>
      <c r="I170" s="126"/>
      <c r="J170" s="39">
        <f t="shared" ref="J170:J174" si="161">I170-H170</f>
        <v>0</v>
      </c>
      <c r="K170" s="39">
        <f t="shared" ref="K170:K174" si="162">F170</f>
        <v>271.74</v>
      </c>
      <c r="L170" s="136" t="e">
        <f t="shared" ref="L170:L174" si="163">(K170/J170)*100</f>
        <v>#DIV/0!</v>
      </c>
      <c r="M170" s="68">
        <v>18400</v>
      </c>
      <c r="N170" s="328">
        <f>K170*M170</f>
        <v>5000016</v>
      </c>
    </row>
    <row r="171" spans="1:16" ht="16">
      <c r="A171" s="138">
        <v>45865</v>
      </c>
      <c r="B171" s="140" t="s">
        <v>48</v>
      </c>
      <c r="C171" s="83"/>
      <c r="D171" s="83"/>
      <c r="E171" s="11">
        <f t="shared" si="159"/>
        <v>0</v>
      </c>
      <c r="F171" s="141"/>
      <c r="G171" s="13" t="e">
        <f t="shared" si="160"/>
        <v>#DIV/0!</v>
      </c>
      <c r="H171" s="83"/>
      <c r="I171" s="125"/>
      <c r="J171" s="83">
        <f t="shared" si="161"/>
        <v>0</v>
      </c>
      <c r="K171" s="39">
        <f t="shared" si="162"/>
        <v>0</v>
      </c>
      <c r="L171" s="136" t="e">
        <f t="shared" si="163"/>
        <v>#DIV/0!</v>
      </c>
      <c r="M171" s="116"/>
      <c r="N171" s="329">
        <v>5700000</v>
      </c>
    </row>
    <row r="172" spans="1:16" ht="16">
      <c r="A172" s="138"/>
      <c r="B172" s="140" t="s">
        <v>48</v>
      </c>
      <c r="C172" s="83"/>
      <c r="D172" s="83"/>
      <c r="E172" s="11">
        <f t="shared" si="159"/>
        <v>0</v>
      </c>
      <c r="F172" s="141"/>
      <c r="G172" s="13" t="e">
        <f t="shared" si="160"/>
        <v>#DIV/0!</v>
      </c>
      <c r="H172" s="83"/>
      <c r="I172" s="125"/>
      <c r="J172" s="83">
        <f t="shared" si="161"/>
        <v>0</v>
      </c>
      <c r="K172" s="39">
        <f t="shared" si="162"/>
        <v>0</v>
      </c>
      <c r="L172" s="136" t="e">
        <f t="shared" si="163"/>
        <v>#DIV/0!</v>
      </c>
      <c r="M172" s="116"/>
      <c r="N172" s="201">
        <f t="shared" ref="N172:N174" si="164">F172*M172</f>
        <v>0</v>
      </c>
    </row>
    <row r="173" spans="1:16" ht="16">
      <c r="A173" s="138"/>
      <c r="B173" s="140" t="s">
        <v>48</v>
      </c>
      <c r="C173" s="83"/>
      <c r="D173" s="83"/>
      <c r="E173" s="11">
        <f t="shared" si="159"/>
        <v>0</v>
      </c>
      <c r="F173" s="141"/>
      <c r="G173" s="13" t="e">
        <f t="shared" si="160"/>
        <v>#DIV/0!</v>
      </c>
      <c r="H173" s="83"/>
      <c r="I173" s="125"/>
      <c r="J173" s="83">
        <f t="shared" si="161"/>
        <v>0</v>
      </c>
      <c r="K173" s="39">
        <f t="shared" si="162"/>
        <v>0</v>
      </c>
      <c r="L173" s="136" t="e">
        <f t="shared" si="163"/>
        <v>#DIV/0!</v>
      </c>
      <c r="M173" s="116"/>
      <c r="N173" s="201">
        <f t="shared" si="164"/>
        <v>0</v>
      </c>
    </row>
    <row r="174" spans="1:16" ht="16">
      <c r="A174" s="138"/>
      <c r="B174" s="140"/>
      <c r="C174" s="83"/>
      <c r="D174" s="83"/>
      <c r="E174" s="11">
        <f t="shared" si="159"/>
        <v>0</v>
      </c>
      <c r="F174" s="141"/>
      <c r="G174" s="13" t="e">
        <f t="shared" si="160"/>
        <v>#DIV/0!</v>
      </c>
      <c r="H174" s="83"/>
      <c r="I174" s="125"/>
      <c r="J174" s="83">
        <f t="shared" si="161"/>
        <v>0</v>
      </c>
      <c r="K174" s="83">
        <f t="shared" si="162"/>
        <v>0</v>
      </c>
      <c r="L174" s="136" t="e">
        <f t="shared" si="163"/>
        <v>#DIV/0!</v>
      </c>
      <c r="M174" s="116"/>
      <c r="N174" s="201">
        <f t="shared" si="164"/>
        <v>0</v>
      </c>
    </row>
    <row r="175" spans="1:16" ht="16">
      <c r="A175" s="59"/>
      <c r="B175" s="60"/>
      <c r="C175" s="59"/>
      <c r="D175" s="59" t="s">
        <v>19</v>
      </c>
      <c r="E175" s="59">
        <f t="shared" ref="E175:F175" si="165">SUM(E170:E174)</f>
        <v>0</v>
      </c>
      <c r="F175" s="59">
        <f t="shared" si="165"/>
        <v>271.74</v>
      </c>
      <c r="G175" s="61" t="e">
        <f>AVERAGE(G170:G174)</f>
        <v>#DIV/0!</v>
      </c>
      <c r="H175" s="59"/>
      <c r="I175" s="62"/>
      <c r="J175" s="59">
        <f t="shared" ref="J175:K175" si="166">SUM(J170:J174)</f>
        <v>0</v>
      </c>
      <c r="K175" s="59">
        <f t="shared" si="166"/>
        <v>271.74</v>
      </c>
      <c r="L175" s="61" t="e">
        <f>AVERAGE(L170:L174)</f>
        <v>#DIV/0!</v>
      </c>
      <c r="M175" s="64"/>
      <c r="N175" s="325">
        <f>SUM(N170:N174)</f>
        <v>10700016</v>
      </c>
    </row>
    <row r="176" spans="1:16" ht="16">
      <c r="A176" s="66">
        <v>45852</v>
      </c>
      <c r="B176" s="140" t="s">
        <v>49</v>
      </c>
      <c r="C176" s="83"/>
      <c r="D176" s="12"/>
      <c r="E176" s="36">
        <f t="shared" ref="E176:E180" si="167">D176-C176</f>
        <v>0</v>
      </c>
      <c r="F176" s="37"/>
      <c r="G176" s="13" t="e">
        <f t="shared" ref="G176:G180" si="168">(F176/E176)*100</f>
        <v>#DIV/0!</v>
      </c>
      <c r="H176" s="83"/>
      <c r="I176" s="126"/>
      <c r="J176" s="39">
        <f t="shared" ref="J176:J180" si="169">I176-H176</f>
        <v>0</v>
      </c>
      <c r="K176" s="39">
        <f t="shared" ref="K176:K180" si="170">F176</f>
        <v>0</v>
      </c>
      <c r="L176" s="136" t="e">
        <f t="shared" ref="L176:L180" si="171">(K176/J176)*100</f>
        <v>#DIV/0!</v>
      </c>
      <c r="M176" s="68"/>
      <c r="N176" s="324">
        <v>4500000</v>
      </c>
    </row>
    <row r="177" spans="1:14" ht="16">
      <c r="A177" s="138"/>
      <c r="B177" s="140" t="s">
        <v>49</v>
      </c>
      <c r="C177" s="83"/>
      <c r="D177" s="83"/>
      <c r="E177" s="11">
        <f t="shared" si="167"/>
        <v>0</v>
      </c>
      <c r="F177" s="141"/>
      <c r="G177" s="13" t="e">
        <f t="shared" si="168"/>
        <v>#DIV/0!</v>
      </c>
      <c r="H177" s="83"/>
      <c r="I177" s="125"/>
      <c r="J177" s="83">
        <f t="shared" si="169"/>
        <v>0</v>
      </c>
      <c r="K177" s="83">
        <f t="shared" si="170"/>
        <v>0</v>
      </c>
      <c r="L177" s="136" t="e">
        <f t="shared" si="171"/>
        <v>#DIV/0!</v>
      </c>
      <c r="M177" s="116"/>
      <c r="N177" s="329"/>
    </row>
    <row r="178" spans="1:14" ht="16">
      <c r="A178" s="138"/>
      <c r="B178" s="140" t="s">
        <v>49</v>
      </c>
      <c r="C178" s="83"/>
      <c r="D178" s="83"/>
      <c r="E178" s="11">
        <f t="shared" si="167"/>
        <v>0</v>
      </c>
      <c r="F178" s="141"/>
      <c r="G178" s="13" t="e">
        <f t="shared" si="168"/>
        <v>#DIV/0!</v>
      </c>
      <c r="H178" s="83"/>
      <c r="I178" s="125"/>
      <c r="J178" s="83">
        <f t="shared" si="169"/>
        <v>0</v>
      </c>
      <c r="K178" s="83">
        <f t="shared" si="170"/>
        <v>0</v>
      </c>
      <c r="L178" s="136" t="e">
        <f t="shared" si="171"/>
        <v>#DIV/0!</v>
      </c>
      <c r="M178" s="116"/>
      <c r="N178" s="201">
        <f t="shared" ref="N178:N180" si="172">F178*M178</f>
        <v>0</v>
      </c>
    </row>
    <row r="179" spans="1:14" ht="16">
      <c r="A179" s="138"/>
      <c r="B179" s="140" t="s">
        <v>49</v>
      </c>
      <c r="C179" s="83"/>
      <c r="D179" s="83"/>
      <c r="E179" s="11">
        <f t="shared" si="167"/>
        <v>0</v>
      </c>
      <c r="F179" s="141"/>
      <c r="G179" s="13" t="e">
        <f t="shared" si="168"/>
        <v>#DIV/0!</v>
      </c>
      <c r="H179" s="83"/>
      <c r="I179" s="125"/>
      <c r="J179" s="83">
        <f t="shared" si="169"/>
        <v>0</v>
      </c>
      <c r="K179" s="83">
        <f t="shared" si="170"/>
        <v>0</v>
      </c>
      <c r="L179" s="136" t="e">
        <f t="shared" si="171"/>
        <v>#DIV/0!</v>
      </c>
      <c r="M179" s="116"/>
      <c r="N179" s="201">
        <f t="shared" si="172"/>
        <v>0</v>
      </c>
    </row>
    <row r="180" spans="1:14" ht="16">
      <c r="A180" s="138"/>
      <c r="B180" s="140"/>
      <c r="C180" s="83"/>
      <c r="D180" s="83"/>
      <c r="E180" s="11">
        <f t="shared" si="167"/>
        <v>0</v>
      </c>
      <c r="F180" s="141"/>
      <c r="G180" s="13" t="e">
        <f t="shared" si="168"/>
        <v>#DIV/0!</v>
      </c>
      <c r="H180" s="83"/>
      <c r="I180" s="125"/>
      <c r="J180" s="83">
        <f t="shared" si="169"/>
        <v>0</v>
      </c>
      <c r="K180" s="83">
        <f t="shared" si="170"/>
        <v>0</v>
      </c>
      <c r="L180" s="136" t="e">
        <f t="shared" si="171"/>
        <v>#DIV/0!</v>
      </c>
      <c r="M180" s="116"/>
      <c r="N180" s="201">
        <f t="shared" si="172"/>
        <v>0</v>
      </c>
    </row>
    <row r="181" spans="1:14" ht="16">
      <c r="A181" s="59"/>
      <c r="B181" s="60"/>
      <c r="C181" s="59"/>
      <c r="D181" s="59" t="s">
        <v>19</v>
      </c>
      <c r="E181" s="59">
        <f t="shared" ref="E181:F181" si="173">SUM(E176:E180)</f>
        <v>0</v>
      </c>
      <c r="F181" s="59">
        <f t="shared" si="173"/>
        <v>0</v>
      </c>
      <c r="G181" s="61" t="e">
        <f>AVERAGE(G176:G180)</f>
        <v>#DIV/0!</v>
      </c>
      <c r="H181" s="59"/>
      <c r="I181" s="62"/>
      <c r="J181" s="59">
        <f t="shared" ref="J181:K181" si="174">SUM(J176:J180)</f>
        <v>0</v>
      </c>
      <c r="K181" s="59">
        <f t="shared" si="174"/>
        <v>0</v>
      </c>
      <c r="L181" s="61" t="e">
        <f>AVERAGE(L176:L180)</f>
        <v>#DIV/0!</v>
      </c>
      <c r="M181" s="64"/>
      <c r="N181" s="325">
        <f>SUM(N176:N180)</f>
        <v>4500000</v>
      </c>
    </row>
    <row r="182" spans="1:14" ht="16">
      <c r="A182" s="66">
        <v>45842</v>
      </c>
      <c r="B182" s="140" t="s">
        <v>50</v>
      </c>
      <c r="C182" s="83"/>
      <c r="D182" s="12"/>
      <c r="E182" s="36"/>
      <c r="F182" s="37">
        <v>195.65</v>
      </c>
      <c r="G182" s="13" t="e">
        <f t="shared" ref="G182:G186" si="175">(F182/E182)*100</f>
        <v>#DIV/0!</v>
      </c>
      <c r="H182" s="83"/>
      <c r="I182" s="126"/>
      <c r="J182" s="39">
        <f t="shared" ref="J182:J186" si="176">I182-H182</f>
        <v>0</v>
      </c>
      <c r="K182" s="39">
        <f t="shared" ref="K182:K186" si="177">F182</f>
        <v>195.65</v>
      </c>
      <c r="L182" s="136" t="e">
        <f t="shared" ref="L182:L186" si="178">(K182/J182)*100</f>
        <v>#DIV/0!</v>
      </c>
      <c r="M182" s="68">
        <v>18400</v>
      </c>
      <c r="N182" s="324">
        <f>M182*K182</f>
        <v>3599960</v>
      </c>
    </row>
    <row r="183" spans="1:14" ht="16">
      <c r="A183" s="138">
        <v>45857</v>
      </c>
      <c r="B183" s="140" t="s">
        <v>50</v>
      </c>
      <c r="C183" s="83"/>
      <c r="D183" s="83"/>
      <c r="E183" s="11">
        <f t="shared" ref="E183:E186" si="179">D183-C183</f>
        <v>0</v>
      </c>
      <c r="F183" s="141"/>
      <c r="G183" s="13" t="e">
        <f t="shared" si="175"/>
        <v>#DIV/0!</v>
      </c>
      <c r="H183" s="83"/>
      <c r="I183" s="125"/>
      <c r="J183" s="83">
        <f t="shared" si="176"/>
        <v>0</v>
      </c>
      <c r="K183" s="39">
        <f t="shared" si="177"/>
        <v>0</v>
      </c>
      <c r="L183" s="136" t="e">
        <f t="shared" si="178"/>
        <v>#DIV/0!</v>
      </c>
      <c r="M183" s="116"/>
      <c r="N183" s="324">
        <v>3800000</v>
      </c>
    </row>
    <row r="184" spans="1:14" ht="16">
      <c r="A184" s="138"/>
      <c r="B184" s="140" t="s">
        <v>50</v>
      </c>
      <c r="C184" s="83"/>
      <c r="D184" s="83"/>
      <c r="E184" s="11">
        <f t="shared" si="179"/>
        <v>0</v>
      </c>
      <c r="F184" s="141"/>
      <c r="G184" s="13" t="e">
        <f t="shared" si="175"/>
        <v>#DIV/0!</v>
      </c>
      <c r="H184" s="83"/>
      <c r="I184" s="125"/>
      <c r="J184" s="83">
        <f t="shared" si="176"/>
        <v>0</v>
      </c>
      <c r="K184" s="39">
        <f t="shared" si="177"/>
        <v>0</v>
      </c>
      <c r="L184" s="136" t="e">
        <f t="shared" si="178"/>
        <v>#DIV/0!</v>
      </c>
      <c r="M184" s="116"/>
      <c r="N184" s="201">
        <f t="shared" ref="N184:N186" si="180">F184*M184</f>
        <v>0</v>
      </c>
    </row>
    <row r="185" spans="1:14" ht="16">
      <c r="A185" s="138"/>
      <c r="B185" s="140" t="s">
        <v>50</v>
      </c>
      <c r="C185" s="83"/>
      <c r="D185" s="83"/>
      <c r="E185" s="11">
        <f t="shared" si="179"/>
        <v>0</v>
      </c>
      <c r="F185" s="141"/>
      <c r="G185" s="13" t="e">
        <f t="shared" si="175"/>
        <v>#DIV/0!</v>
      </c>
      <c r="H185" s="83"/>
      <c r="I185" s="125"/>
      <c r="J185" s="83">
        <f t="shared" si="176"/>
        <v>0</v>
      </c>
      <c r="K185" s="39">
        <f t="shared" si="177"/>
        <v>0</v>
      </c>
      <c r="L185" s="136" t="e">
        <f t="shared" si="178"/>
        <v>#DIV/0!</v>
      </c>
      <c r="M185" s="116"/>
      <c r="N185" s="201">
        <f t="shared" si="180"/>
        <v>0</v>
      </c>
    </row>
    <row r="186" spans="1:14" ht="16">
      <c r="A186" s="138"/>
      <c r="B186" s="140" t="s">
        <v>50</v>
      </c>
      <c r="C186" s="83"/>
      <c r="D186" s="83"/>
      <c r="E186" s="11">
        <f t="shared" si="179"/>
        <v>0</v>
      </c>
      <c r="F186" s="141"/>
      <c r="G186" s="13" t="e">
        <f t="shared" si="175"/>
        <v>#DIV/0!</v>
      </c>
      <c r="H186" s="83"/>
      <c r="I186" s="125"/>
      <c r="J186" s="83">
        <f t="shared" si="176"/>
        <v>0</v>
      </c>
      <c r="K186" s="83">
        <f t="shared" si="177"/>
        <v>0</v>
      </c>
      <c r="L186" s="136" t="e">
        <f t="shared" si="178"/>
        <v>#DIV/0!</v>
      </c>
      <c r="M186" s="116"/>
      <c r="N186" s="201">
        <f t="shared" si="180"/>
        <v>0</v>
      </c>
    </row>
    <row r="187" spans="1:14" ht="16">
      <c r="A187" s="59"/>
      <c r="B187" s="60"/>
      <c r="C187" s="59"/>
      <c r="D187" s="59" t="s">
        <v>19</v>
      </c>
      <c r="E187" s="59">
        <f t="shared" ref="E187:F187" si="181">SUM(E182:E186)</f>
        <v>0</v>
      </c>
      <c r="F187" s="59">
        <f t="shared" si="181"/>
        <v>195.65</v>
      </c>
      <c r="G187" s="61" t="e">
        <f>AVERAGE(G182:G186)</f>
        <v>#DIV/0!</v>
      </c>
      <c r="H187" s="59"/>
      <c r="I187" s="62"/>
      <c r="J187" s="59">
        <f t="shared" ref="J187:K187" si="182">SUM(J182:J186)</f>
        <v>0</v>
      </c>
      <c r="K187" s="59">
        <f t="shared" si="182"/>
        <v>195.65</v>
      </c>
      <c r="L187" s="61" t="e">
        <f>AVERAGE(L182:L186)</f>
        <v>#DIV/0!</v>
      </c>
      <c r="M187" s="64"/>
      <c r="N187" s="325">
        <f>SUM(N182:N186)</f>
        <v>7399960</v>
      </c>
    </row>
    <row r="188" spans="1:14" ht="16">
      <c r="A188" s="66">
        <v>45842</v>
      </c>
      <c r="B188" s="140" t="s">
        <v>51</v>
      </c>
      <c r="C188" s="83">
        <v>297955</v>
      </c>
      <c r="D188" s="12"/>
      <c r="E188" s="36"/>
      <c r="F188" s="37">
        <v>156.52000000000001</v>
      </c>
      <c r="G188" s="13" t="e">
        <f t="shared" ref="G188:G192" si="183">(F188/E188)*100</f>
        <v>#DIV/0!</v>
      </c>
      <c r="H188" s="83"/>
      <c r="I188" s="126"/>
      <c r="J188" s="39">
        <f t="shared" ref="J188:J192" si="184">I188-H188</f>
        <v>0</v>
      </c>
      <c r="K188" s="39">
        <f t="shared" ref="K188:K192" si="185">F188</f>
        <v>156.52000000000001</v>
      </c>
      <c r="L188" s="136" t="e">
        <f t="shared" ref="L188:L192" si="186">(K188/J188)*100</f>
        <v>#DIV/0!</v>
      </c>
      <c r="M188" s="68">
        <v>18400</v>
      </c>
      <c r="N188" s="324">
        <f t="shared" ref="N188:N189" si="187">M188*K188</f>
        <v>2879968</v>
      </c>
    </row>
    <row r="189" spans="1:14" ht="16">
      <c r="A189" s="138">
        <v>45853</v>
      </c>
      <c r="B189" s="140" t="s">
        <v>51</v>
      </c>
      <c r="C189" s="83">
        <v>297955</v>
      </c>
      <c r="D189" s="83"/>
      <c r="E189" s="11">
        <f t="shared" ref="E189:E192" si="188">D189-C189</f>
        <v>-297955</v>
      </c>
      <c r="F189" s="141">
        <v>159.62</v>
      </c>
      <c r="G189" s="13">
        <f t="shared" si="183"/>
        <v>-5.3571848097867129E-2</v>
      </c>
      <c r="H189" s="83"/>
      <c r="I189" s="125"/>
      <c r="J189" s="83">
        <f t="shared" si="184"/>
        <v>0</v>
      </c>
      <c r="K189" s="83">
        <f t="shared" si="185"/>
        <v>159.62</v>
      </c>
      <c r="L189" s="136" t="e">
        <f t="shared" si="186"/>
        <v>#DIV/0!</v>
      </c>
      <c r="M189" s="116">
        <v>18830</v>
      </c>
      <c r="N189" s="324">
        <f t="shared" si="187"/>
        <v>3005644.6</v>
      </c>
    </row>
    <row r="190" spans="1:14" ht="16">
      <c r="A190" s="138">
        <v>45863</v>
      </c>
      <c r="B190" s="140" t="s">
        <v>51</v>
      </c>
      <c r="C190" s="83"/>
      <c r="D190" s="83"/>
      <c r="E190" s="11">
        <f t="shared" si="188"/>
        <v>0</v>
      </c>
      <c r="F190" s="141"/>
      <c r="G190" s="13" t="e">
        <f t="shared" si="183"/>
        <v>#DIV/0!</v>
      </c>
      <c r="H190" s="83"/>
      <c r="I190" s="125"/>
      <c r="J190" s="83">
        <f t="shared" si="184"/>
        <v>0</v>
      </c>
      <c r="K190" s="83">
        <f t="shared" si="185"/>
        <v>0</v>
      </c>
      <c r="L190" s="136" t="e">
        <f t="shared" si="186"/>
        <v>#DIV/0!</v>
      </c>
      <c r="M190" s="116"/>
      <c r="N190" s="324">
        <v>2800000</v>
      </c>
    </row>
    <row r="191" spans="1:14" ht="16">
      <c r="A191" s="138"/>
      <c r="B191" s="140" t="s">
        <v>51</v>
      </c>
      <c r="C191" s="83"/>
      <c r="D191" s="83"/>
      <c r="E191" s="11">
        <f t="shared" si="188"/>
        <v>0</v>
      </c>
      <c r="F191" s="141"/>
      <c r="G191" s="13" t="e">
        <f t="shared" si="183"/>
        <v>#DIV/0!</v>
      </c>
      <c r="H191" s="83"/>
      <c r="I191" s="125"/>
      <c r="J191" s="83">
        <f t="shared" si="184"/>
        <v>0</v>
      </c>
      <c r="K191" s="83">
        <f t="shared" si="185"/>
        <v>0</v>
      </c>
      <c r="L191" s="136" t="e">
        <f t="shared" si="186"/>
        <v>#DIV/0!</v>
      </c>
      <c r="M191" s="116"/>
      <c r="N191" s="324">
        <f>M191*K191</f>
        <v>0</v>
      </c>
    </row>
    <row r="192" spans="1:14" ht="16">
      <c r="A192" s="138"/>
      <c r="B192" s="140"/>
      <c r="C192" s="83"/>
      <c r="D192" s="83"/>
      <c r="E192" s="11">
        <f t="shared" si="188"/>
        <v>0</v>
      </c>
      <c r="F192" s="141"/>
      <c r="G192" s="13" t="e">
        <f t="shared" si="183"/>
        <v>#DIV/0!</v>
      </c>
      <c r="H192" s="83"/>
      <c r="I192" s="125"/>
      <c r="J192" s="83">
        <f t="shared" si="184"/>
        <v>0</v>
      </c>
      <c r="K192" s="83">
        <f t="shared" si="185"/>
        <v>0</v>
      </c>
      <c r="L192" s="136" t="e">
        <f t="shared" si="186"/>
        <v>#DIV/0!</v>
      </c>
      <c r="M192" s="116"/>
      <c r="N192" s="201">
        <f>F192*M192</f>
        <v>0</v>
      </c>
    </row>
    <row r="193" spans="1:14" ht="16">
      <c r="A193" s="59"/>
      <c r="B193" s="60"/>
      <c r="C193" s="59"/>
      <c r="D193" s="59" t="s">
        <v>19</v>
      </c>
      <c r="E193" s="59">
        <f t="shared" ref="E193:F193" si="189">SUM(E188:E192)</f>
        <v>-297955</v>
      </c>
      <c r="F193" s="59">
        <f t="shared" si="189"/>
        <v>316.14</v>
      </c>
      <c r="G193" s="61" t="e">
        <f>AVERAGE(G188:G192)</f>
        <v>#DIV/0!</v>
      </c>
      <c r="H193" s="59"/>
      <c r="I193" s="62"/>
      <c r="J193" s="59">
        <f t="shared" ref="J193:K193" si="190">SUM(J188:J192)</f>
        <v>0</v>
      </c>
      <c r="K193" s="59">
        <f t="shared" si="190"/>
        <v>316.14</v>
      </c>
      <c r="L193" s="61" t="e">
        <f>AVERAGE(L188:L192)</f>
        <v>#DIV/0!</v>
      </c>
      <c r="M193" s="64"/>
      <c r="N193" s="325">
        <f>SUM(N188:N192)</f>
        <v>8685612.5999999996</v>
      </c>
    </row>
    <row r="194" spans="1:14" ht="16">
      <c r="A194" s="66">
        <v>45839</v>
      </c>
      <c r="B194" s="140" t="s">
        <v>90</v>
      </c>
      <c r="C194" s="83"/>
      <c r="D194" s="12"/>
      <c r="E194" s="36">
        <f t="shared" ref="E194:E198" si="191">D194-C194</f>
        <v>0</v>
      </c>
      <c r="F194" s="37"/>
      <c r="G194" s="13" t="e">
        <f t="shared" ref="G194:G198" si="192">(F194/E194)*100</f>
        <v>#DIV/0!</v>
      </c>
      <c r="H194" s="83"/>
      <c r="I194" s="126"/>
      <c r="J194" s="39">
        <f t="shared" ref="J194:J198" si="193">I194-H194</f>
        <v>0</v>
      </c>
      <c r="K194" s="39">
        <f t="shared" ref="K194:K198" si="194">F194</f>
        <v>0</v>
      </c>
      <c r="L194" s="136" t="e">
        <f t="shared" ref="L194:L198" si="195">(K194/J194)*100</f>
        <v>#DIV/0!</v>
      </c>
      <c r="M194" s="68"/>
      <c r="N194" s="324">
        <v>9900000</v>
      </c>
    </row>
    <row r="195" spans="1:14" ht="16">
      <c r="A195" s="138">
        <v>45853</v>
      </c>
      <c r="B195" s="140" t="s">
        <v>90</v>
      </c>
      <c r="C195" s="83"/>
      <c r="D195" s="83"/>
      <c r="E195" s="11">
        <f t="shared" si="191"/>
        <v>0</v>
      </c>
      <c r="F195" s="141"/>
      <c r="G195" s="13" t="e">
        <f t="shared" si="192"/>
        <v>#DIV/0!</v>
      </c>
      <c r="H195" s="83"/>
      <c r="I195" s="125"/>
      <c r="J195" s="83">
        <f t="shared" si="193"/>
        <v>0</v>
      </c>
      <c r="K195" s="83">
        <f t="shared" si="194"/>
        <v>0</v>
      </c>
      <c r="L195" s="136" t="e">
        <f t="shared" si="195"/>
        <v>#DIV/0!</v>
      </c>
      <c r="M195" s="116"/>
      <c r="N195" s="329">
        <v>8000000</v>
      </c>
    </row>
    <row r="196" spans="1:14" ht="16">
      <c r="A196" s="138">
        <v>45868</v>
      </c>
      <c r="B196" s="140" t="s">
        <v>90</v>
      </c>
      <c r="C196" s="83"/>
      <c r="D196" s="83"/>
      <c r="E196" s="11">
        <f t="shared" si="191"/>
        <v>0</v>
      </c>
      <c r="F196" s="141"/>
      <c r="G196" s="13" t="e">
        <f t="shared" si="192"/>
        <v>#DIV/0!</v>
      </c>
      <c r="H196" s="83"/>
      <c r="I196" s="125"/>
      <c r="J196" s="83">
        <f t="shared" si="193"/>
        <v>0</v>
      </c>
      <c r="K196" s="83">
        <f t="shared" si="194"/>
        <v>0</v>
      </c>
      <c r="L196" s="136" t="e">
        <f t="shared" si="195"/>
        <v>#DIV/0!</v>
      </c>
      <c r="M196" s="116"/>
      <c r="N196" s="201">
        <v>2000000</v>
      </c>
    </row>
    <row r="197" spans="1:14" ht="16">
      <c r="A197" s="138"/>
      <c r="B197" s="140" t="s">
        <v>90</v>
      </c>
      <c r="C197" s="83"/>
      <c r="D197" s="83"/>
      <c r="E197" s="11">
        <f t="shared" si="191"/>
        <v>0</v>
      </c>
      <c r="F197" s="141"/>
      <c r="G197" s="13" t="e">
        <f t="shared" si="192"/>
        <v>#DIV/0!</v>
      </c>
      <c r="H197" s="83"/>
      <c r="I197" s="125"/>
      <c r="J197" s="83">
        <f t="shared" si="193"/>
        <v>0</v>
      </c>
      <c r="K197" s="83">
        <f t="shared" si="194"/>
        <v>0</v>
      </c>
      <c r="L197" s="136" t="e">
        <f t="shared" si="195"/>
        <v>#DIV/0!</v>
      </c>
      <c r="M197" s="116"/>
      <c r="N197" s="201">
        <f t="shared" ref="N197:N198" si="196">F197*M197</f>
        <v>0</v>
      </c>
    </row>
    <row r="198" spans="1:14" ht="16">
      <c r="A198" s="138"/>
      <c r="B198" s="140"/>
      <c r="C198" s="83"/>
      <c r="D198" s="83"/>
      <c r="E198" s="11">
        <f t="shared" si="191"/>
        <v>0</v>
      </c>
      <c r="F198" s="141"/>
      <c r="G198" s="13" t="e">
        <f t="shared" si="192"/>
        <v>#DIV/0!</v>
      </c>
      <c r="H198" s="83"/>
      <c r="I198" s="125"/>
      <c r="J198" s="83">
        <f t="shared" si="193"/>
        <v>0</v>
      </c>
      <c r="K198" s="83">
        <f t="shared" si="194"/>
        <v>0</v>
      </c>
      <c r="L198" s="136" t="e">
        <f t="shared" si="195"/>
        <v>#DIV/0!</v>
      </c>
      <c r="M198" s="116"/>
      <c r="N198" s="201">
        <f t="shared" si="196"/>
        <v>0</v>
      </c>
    </row>
    <row r="199" spans="1:14" ht="16">
      <c r="A199" s="59"/>
      <c r="B199" s="60"/>
      <c r="C199" s="59"/>
      <c r="D199" s="59"/>
      <c r="E199" s="59">
        <f t="shared" ref="E199:F199" si="197">SUM(E194:E198)</f>
        <v>0</v>
      </c>
      <c r="F199" s="59">
        <f t="shared" si="197"/>
        <v>0</v>
      </c>
      <c r="G199" s="61" t="e">
        <f>AVERAGE(G194:G198)</f>
        <v>#DIV/0!</v>
      </c>
      <c r="H199" s="59"/>
      <c r="I199" s="62"/>
      <c r="J199" s="59">
        <f t="shared" ref="J199:K199" si="198">SUM(J194:J198)</f>
        <v>0</v>
      </c>
      <c r="K199" s="59">
        <f t="shared" si="198"/>
        <v>0</v>
      </c>
      <c r="L199" s="61" t="e">
        <f>AVERAGE(L194:L198)</f>
        <v>#DIV/0!</v>
      </c>
      <c r="M199" s="64"/>
      <c r="N199" s="325">
        <f>SUM(N194:N198)</f>
        <v>19900000</v>
      </c>
    </row>
    <row r="200" spans="1:14" ht="16">
      <c r="A200" s="66">
        <v>45840</v>
      </c>
      <c r="B200" s="140" t="s">
        <v>54</v>
      </c>
      <c r="C200" s="83"/>
      <c r="D200" s="12"/>
      <c r="E200" s="36">
        <f t="shared" ref="E200:E205" si="199">D200-C200</f>
        <v>0</v>
      </c>
      <c r="F200" s="37"/>
      <c r="G200" s="13" t="e">
        <f t="shared" ref="G200:G205" si="200">(F200/E200)*100</f>
        <v>#DIV/0!</v>
      </c>
      <c r="H200" s="83"/>
      <c r="I200" s="126"/>
      <c r="J200" s="39">
        <f t="shared" ref="J200:J205" si="201">I200-H200</f>
        <v>0</v>
      </c>
      <c r="K200" s="39"/>
      <c r="L200" s="136" t="e">
        <f t="shared" ref="L200:L205" si="202">(K200/J200)*100</f>
        <v>#DIV/0!</v>
      </c>
      <c r="M200" s="68"/>
      <c r="N200" s="324">
        <v>5000000</v>
      </c>
    </row>
    <row r="201" spans="1:14" ht="16">
      <c r="A201" s="66">
        <v>45845</v>
      </c>
      <c r="B201" s="140" t="s">
        <v>54</v>
      </c>
      <c r="C201" s="83"/>
      <c r="D201" s="83"/>
      <c r="E201" s="11">
        <f t="shared" si="199"/>
        <v>0</v>
      </c>
      <c r="F201" s="141"/>
      <c r="G201" s="13" t="e">
        <f t="shared" si="200"/>
        <v>#DIV/0!</v>
      </c>
      <c r="H201" s="83"/>
      <c r="I201" s="125"/>
      <c r="J201" s="83">
        <f t="shared" si="201"/>
        <v>0</v>
      </c>
      <c r="K201" s="83">
        <f t="shared" ref="K201:K205" si="203">F201</f>
        <v>0</v>
      </c>
      <c r="L201" s="136" t="e">
        <f t="shared" si="202"/>
        <v>#DIV/0!</v>
      </c>
      <c r="M201" s="116"/>
      <c r="N201" s="324">
        <v>5000000</v>
      </c>
    </row>
    <row r="202" spans="1:14" ht="16">
      <c r="A202" s="138">
        <v>45848</v>
      </c>
      <c r="B202" s="140" t="s">
        <v>54</v>
      </c>
      <c r="C202" s="83"/>
      <c r="D202" s="83"/>
      <c r="E202" s="11">
        <f t="shared" si="199"/>
        <v>0</v>
      </c>
      <c r="F202" s="141"/>
      <c r="G202" s="13" t="e">
        <f t="shared" si="200"/>
        <v>#DIV/0!</v>
      </c>
      <c r="H202" s="83"/>
      <c r="I202" s="125"/>
      <c r="J202" s="83">
        <f t="shared" si="201"/>
        <v>0</v>
      </c>
      <c r="K202" s="83">
        <f t="shared" si="203"/>
        <v>0</v>
      </c>
      <c r="L202" s="136" t="e">
        <f t="shared" si="202"/>
        <v>#DIV/0!</v>
      </c>
      <c r="M202" s="116"/>
      <c r="N202" s="201">
        <v>6000000</v>
      </c>
    </row>
    <row r="203" spans="1:14" ht="16">
      <c r="A203" s="138">
        <v>45852</v>
      </c>
      <c r="B203" s="140" t="s">
        <v>54</v>
      </c>
      <c r="C203" s="83"/>
      <c r="D203" s="83"/>
      <c r="E203" s="11">
        <f t="shared" si="199"/>
        <v>0</v>
      </c>
      <c r="F203" s="141"/>
      <c r="G203" s="13" t="e">
        <f t="shared" si="200"/>
        <v>#DIV/0!</v>
      </c>
      <c r="H203" s="83"/>
      <c r="I203" s="125"/>
      <c r="J203" s="83">
        <f t="shared" si="201"/>
        <v>0</v>
      </c>
      <c r="K203" s="83">
        <f t="shared" si="203"/>
        <v>0</v>
      </c>
      <c r="L203" s="136" t="e">
        <f t="shared" si="202"/>
        <v>#DIV/0!</v>
      </c>
      <c r="M203" s="116"/>
      <c r="N203" s="201">
        <v>5000000</v>
      </c>
    </row>
    <row r="204" spans="1:14" ht="16">
      <c r="A204" s="138">
        <v>45856</v>
      </c>
      <c r="B204" s="140" t="s">
        <v>54</v>
      </c>
      <c r="C204" s="83"/>
      <c r="D204" s="83"/>
      <c r="E204" s="11">
        <f t="shared" si="199"/>
        <v>0</v>
      </c>
      <c r="F204" s="141"/>
      <c r="G204" s="13" t="e">
        <f t="shared" si="200"/>
        <v>#DIV/0!</v>
      </c>
      <c r="H204" s="83"/>
      <c r="I204" s="125"/>
      <c r="J204" s="83">
        <f t="shared" si="201"/>
        <v>0</v>
      </c>
      <c r="K204" s="83">
        <f t="shared" si="203"/>
        <v>0</v>
      </c>
      <c r="L204" s="136" t="e">
        <f t="shared" si="202"/>
        <v>#DIV/0!</v>
      </c>
      <c r="M204" s="116"/>
      <c r="N204" s="201">
        <v>6000000</v>
      </c>
    </row>
    <row r="205" spans="1:14" ht="16">
      <c r="A205" s="138">
        <v>45859</v>
      </c>
      <c r="B205" s="140" t="s">
        <v>54</v>
      </c>
      <c r="C205" s="83"/>
      <c r="D205" s="83"/>
      <c r="E205" s="11">
        <f t="shared" si="199"/>
        <v>0</v>
      </c>
      <c r="F205" s="141"/>
      <c r="G205" s="13" t="e">
        <f t="shared" si="200"/>
        <v>#DIV/0!</v>
      </c>
      <c r="H205" s="83"/>
      <c r="I205" s="125"/>
      <c r="J205" s="83">
        <f t="shared" si="201"/>
        <v>0</v>
      </c>
      <c r="K205" s="83">
        <f t="shared" si="203"/>
        <v>0</v>
      </c>
      <c r="L205" s="136" t="e">
        <f t="shared" si="202"/>
        <v>#DIV/0!</v>
      </c>
      <c r="M205" s="116"/>
      <c r="N205" s="201">
        <v>7000000</v>
      </c>
    </row>
    <row r="206" spans="1:14" ht="16">
      <c r="A206" s="138">
        <v>45866</v>
      </c>
      <c r="B206" s="140" t="s">
        <v>54</v>
      </c>
      <c r="C206" s="83"/>
      <c r="D206" s="83"/>
      <c r="E206" s="11"/>
      <c r="F206" s="141"/>
      <c r="G206" s="13"/>
      <c r="H206" s="83"/>
      <c r="I206" s="125"/>
      <c r="J206" s="83"/>
      <c r="K206" s="83"/>
      <c r="L206" s="136"/>
      <c r="M206" s="116"/>
      <c r="N206" s="201">
        <v>2000000</v>
      </c>
    </row>
    <row r="207" spans="1:14" ht="16">
      <c r="A207" s="138">
        <v>45868</v>
      </c>
      <c r="B207" s="140" t="s">
        <v>54</v>
      </c>
      <c r="C207" s="83"/>
      <c r="D207" s="83"/>
      <c r="E207" s="11">
        <f>D207-C207</f>
        <v>0</v>
      </c>
      <c r="F207" s="141"/>
      <c r="G207" s="13" t="e">
        <f>(F207/E207)*100</f>
        <v>#DIV/0!</v>
      </c>
      <c r="H207" s="83"/>
      <c r="I207" s="125"/>
      <c r="J207" s="83">
        <f>I207-H207</f>
        <v>0</v>
      </c>
      <c r="K207" s="83">
        <f>F207</f>
        <v>0</v>
      </c>
      <c r="L207" s="136" t="e">
        <f>(K207/J207)*100</f>
        <v>#DIV/0!</v>
      </c>
      <c r="M207" s="116"/>
      <c r="N207" s="201">
        <v>5000000</v>
      </c>
    </row>
    <row r="208" spans="1:14" ht="16">
      <c r="A208" s="59"/>
      <c r="B208" s="60"/>
      <c r="C208" s="59"/>
      <c r="D208" s="59" t="s">
        <v>19</v>
      </c>
      <c r="E208" s="59">
        <f t="shared" ref="E208:F208" si="204">SUM(E200:E207)</f>
        <v>0</v>
      </c>
      <c r="F208" s="59">
        <f t="shared" si="204"/>
        <v>0</v>
      </c>
      <c r="G208" s="61" t="e">
        <f>AVERAGE(G200:G207)</f>
        <v>#DIV/0!</v>
      </c>
      <c r="H208" s="59"/>
      <c r="I208" s="62"/>
      <c r="J208" s="59">
        <f t="shared" ref="J208:K208" si="205">SUM(J200:J207)</f>
        <v>0</v>
      </c>
      <c r="K208" s="59">
        <f t="shared" si="205"/>
        <v>0</v>
      </c>
      <c r="L208" s="61" t="e">
        <f>AVERAGE(L200:L207)</f>
        <v>#DIV/0!</v>
      </c>
      <c r="M208" s="64"/>
      <c r="N208" s="325">
        <f>SUM(N200:N207)</f>
        <v>41000000</v>
      </c>
    </row>
    <row r="209" spans="1:14" ht="16">
      <c r="A209" s="66">
        <v>45840</v>
      </c>
      <c r="B209" s="140" t="s">
        <v>69</v>
      </c>
      <c r="C209" s="83"/>
      <c r="D209" s="12"/>
      <c r="E209" s="36">
        <f t="shared" ref="E209:E212" si="206">D209-C209</f>
        <v>0</v>
      </c>
      <c r="F209" s="37">
        <v>258.52999999999997</v>
      </c>
      <c r="G209" s="13" t="e">
        <f t="shared" ref="G209:G212" si="207">(F209/E209)*100</f>
        <v>#DIV/0!</v>
      </c>
      <c r="H209" s="83"/>
      <c r="I209" s="126"/>
      <c r="J209" s="39">
        <f t="shared" ref="J209:J212" si="208">I209-H209</f>
        <v>0</v>
      </c>
      <c r="K209" s="39">
        <f t="shared" ref="K209:K214" si="209">F209</f>
        <v>258.52999999999997</v>
      </c>
      <c r="L209" s="136" t="e">
        <f t="shared" ref="L209:L212" si="210">(K209/J209)*100</f>
        <v>#DIV/0!</v>
      </c>
      <c r="M209" s="68">
        <v>19340</v>
      </c>
      <c r="N209" s="324">
        <f t="shared" ref="N209:N210" si="211">M209*F209</f>
        <v>4999970.1999999993</v>
      </c>
    </row>
    <row r="210" spans="1:14" ht="16">
      <c r="A210" s="138">
        <v>45846</v>
      </c>
      <c r="B210" s="140" t="s">
        <v>69</v>
      </c>
      <c r="C210" s="83"/>
      <c r="D210" s="83"/>
      <c r="E210" s="11">
        <f t="shared" si="206"/>
        <v>0</v>
      </c>
      <c r="F210" s="141">
        <v>271.74</v>
      </c>
      <c r="G210" s="13" t="e">
        <f t="shared" si="207"/>
        <v>#DIV/0!</v>
      </c>
      <c r="H210" s="83"/>
      <c r="I210" s="125"/>
      <c r="J210" s="83">
        <f t="shared" si="208"/>
        <v>0</v>
      </c>
      <c r="K210" s="39">
        <f t="shared" si="209"/>
        <v>271.74</v>
      </c>
      <c r="L210" s="136" t="e">
        <f t="shared" si="210"/>
        <v>#DIV/0!</v>
      </c>
      <c r="M210" s="116">
        <v>18400</v>
      </c>
      <c r="N210" s="324">
        <f t="shared" si="211"/>
        <v>5000016</v>
      </c>
    </row>
    <row r="211" spans="1:14" ht="16">
      <c r="A211" s="138">
        <v>45855</v>
      </c>
      <c r="B211" s="140" t="s">
        <v>69</v>
      </c>
      <c r="C211" s="83"/>
      <c r="D211" s="83"/>
      <c r="E211" s="11">
        <f t="shared" si="206"/>
        <v>0</v>
      </c>
      <c r="F211" s="141"/>
      <c r="G211" s="13" t="e">
        <f t="shared" si="207"/>
        <v>#DIV/0!</v>
      </c>
      <c r="H211" s="83"/>
      <c r="I211" s="125"/>
      <c r="J211" s="83">
        <f t="shared" si="208"/>
        <v>0</v>
      </c>
      <c r="K211" s="39">
        <f t="shared" si="209"/>
        <v>0</v>
      </c>
      <c r="L211" s="136" t="e">
        <f t="shared" si="210"/>
        <v>#DIV/0!</v>
      </c>
      <c r="M211" s="116"/>
      <c r="N211" s="324">
        <v>5000000</v>
      </c>
    </row>
    <row r="212" spans="1:14" ht="16">
      <c r="A212" s="138">
        <v>45867</v>
      </c>
      <c r="B212" s="140" t="s">
        <v>69</v>
      </c>
      <c r="C212" s="83"/>
      <c r="D212" s="83"/>
      <c r="E212" s="11">
        <f t="shared" si="206"/>
        <v>0</v>
      </c>
      <c r="F212" s="141"/>
      <c r="G212" s="13" t="e">
        <f t="shared" si="207"/>
        <v>#DIV/0!</v>
      </c>
      <c r="H212" s="83"/>
      <c r="I212" s="125"/>
      <c r="J212" s="83">
        <f t="shared" si="208"/>
        <v>0</v>
      </c>
      <c r="K212" s="39">
        <f t="shared" si="209"/>
        <v>0</v>
      </c>
      <c r="L212" s="136" t="e">
        <f t="shared" si="210"/>
        <v>#DIV/0!</v>
      </c>
      <c r="M212" s="116"/>
      <c r="N212" s="324">
        <v>1500000</v>
      </c>
    </row>
    <row r="213" spans="1:14" ht="16">
      <c r="A213" s="138"/>
      <c r="B213" s="140" t="s">
        <v>69</v>
      </c>
      <c r="C213" s="83"/>
      <c r="D213" s="83"/>
      <c r="E213" s="11"/>
      <c r="F213" s="141"/>
      <c r="G213" s="13"/>
      <c r="H213" s="83"/>
      <c r="I213" s="125"/>
      <c r="J213" s="83"/>
      <c r="K213" s="39">
        <f t="shared" si="209"/>
        <v>0</v>
      </c>
      <c r="L213" s="136"/>
      <c r="M213" s="116"/>
      <c r="N213" s="324">
        <f t="shared" ref="N213:N214" si="212">M213*F213</f>
        <v>0</v>
      </c>
    </row>
    <row r="214" spans="1:14" ht="16">
      <c r="A214" s="138"/>
      <c r="B214" s="140" t="s">
        <v>69</v>
      </c>
      <c r="C214" s="83"/>
      <c r="D214" s="83"/>
      <c r="E214" s="11">
        <f>D214-C214</f>
        <v>0</v>
      </c>
      <c r="F214" s="141"/>
      <c r="G214" s="13" t="e">
        <f>(F214/E214)*100</f>
        <v>#DIV/0!</v>
      </c>
      <c r="H214" s="83"/>
      <c r="I214" s="125"/>
      <c r="J214" s="83">
        <f>I214-H214</f>
        <v>0</v>
      </c>
      <c r="K214" s="83">
        <f t="shared" si="209"/>
        <v>0</v>
      </c>
      <c r="L214" s="136" t="e">
        <f>(K214/J214)*100</f>
        <v>#DIV/0!</v>
      </c>
      <c r="M214" s="116"/>
      <c r="N214" s="324">
        <f t="shared" si="212"/>
        <v>0</v>
      </c>
    </row>
    <row r="215" spans="1:14" ht="16">
      <c r="A215" s="59"/>
      <c r="B215" s="60"/>
      <c r="C215" s="59"/>
      <c r="D215" s="59" t="s">
        <v>19</v>
      </c>
      <c r="E215" s="59">
        <f t="shared" ref="E215:F215" si="213">SUM(E209:E214)</f>
        <v>0</v>
      </c>
      <c r="F215" s="59">
        <f t="shared" si="213"/>
        <v>530.27</v>
      </c>
      <c r="G215" s="61" t="e">
        <f>AVERAGE(G209:G214)</f>
        <v>#DIV/0!</v>
      </c>
      <c r="H215" s="59"/>
      <c r="I215" s="62"/>
      <c r="J215" s="59">
        <f t="shared" ref="J215:K215" si="214">SUM(J209:J214)</f>
        <v>0</v>
      </c>
      <c r="K215" s="59">
        <f t="shared" si="214"/>
        <v>530.27</v>
      </c>
      <c r="L215" s="61" t="e">
        <f>AVERAGE(L209:L214)</f>
        <v>#DIV/0!</v>
      </c>
      <c r="M215" s="64"/>
      <c r="N215" s="325">
        <f>SUM(N209:N214)</f>
        <v>16499986.199999999</v>
      </c>
    </row>
    <row r="216" spans="1:14" ht="14">
      <c r="A216" s="354" t="s">
        <v>64</v>
      </c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6"/>
      <c r="M216" s="64"/>
      <c r="N216" s="325">
        <f>SUM(N158:N215)/2</f>
        <v>150455515.19999999</v>
      </c>
    </row>
    <row r="217" spans="1:14" ht="13">
      <c r="G217" s="150"/>
      <c r="L217" s="150"/>
    </row>
    <row r="218" spans="1:14" ht="13">
      <c r="G218" s="150"/>
      <c r="L218" s="150"/>
      <c r="N218" s="76">
        <v>124719013</v>
      </c>
    </row>
    <row r="219" spans="1:14" ht="13">
      <c r="G219" s="150"/>
      <c r="L219" s="150"/>
    </row>
    <row r="220" spans="1:14" ht="13">
      <c r="G220" s="150"/>
      <c r="L220" s="150"/>
    </row>
    <row r="221" spans="1:14" ht="13">
      <c r="G221" s="150"/>
      <c r="L221" s="150"/>
    </row>
    <row r="222" spans="1:14" ht="13">
      <c r="G222" s="150"/>
      <c r="L222" s="150"/>
    </row>
    <row r="223" spans="1:14" ht="13">
      <c r="G223" s="150"/>
      <c r="L223" s="150"/>
    </row>
    <row r="224" spans="1:14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  <row r="1025" spans="7:12" ht="13">
      <c r="G1025" s="150"/>
      <c r="L1025" s="150"/>
    </row>
    <row r="1026" spans="7:12" ht="13">
      <c r="G1026" s="150"/>
      <c r="L1026" s="150"/>
    </row>
    <row r="1027" spans="7:12" ht="13">
      <c r="G1027" s="150"/>
      <c r="L1027" s="150"/>
    </row>
    <row r="1028" spans="7:12" ht="13">
      <c r="G1028" s="150"/>
      <c r="L1028" s="150"/>
    </row>
    <row r="1029" spans="7:12" ht="13">
      <c r="G1029" s="150"/>
      <c r="L1029" s="150"/>
    </row>
    <row r="1030" spans="7:12" ht="13">
      <c r="G1030" s="150"/>
      <c r="L1030" s="150"/>
    </row>
    <row r="1031" spans="7:12" ht="13">
      <c r="G1031" s="150"/>
      <c r="L1031" s="150"/>
    </row>
    <row r="1032" spans="7:12" ht="13">
      <c r="G1032" s="150"/>
      <c r="L1032" s="150"/>
    </row>
    <row r="1033" spans="7:12" ht="13">
      <c r="G1033" s="150"/>
      <c r="L1033" s="150"/>
    </row>
    <row r="1034" spans="7:12" ht="13">
      <c r="G1034" s="150"/>
      <c r="L1034" s="150"/>
    </row>
    <row r="1035" spans="7:12" ht="13">
      <c r="G1035" s="150"/>
      <c r="L1035" s="150"/>
    </row>
    <row r="1036" spans="7:12" ht="13">
      <c r="G1036" s="150"/>
      <c r="L1036" s="150"/>
    </row>
    <row r="1037" spans="7:12" ht="13">
      <c r="G1037" s="150"/>
      <c r="L1037" s="150"/>
    </row>
    <row r="1038" spans="7:12" ht="13">
      <c r="G1038" s="150"/>
      <c r="L1038" s="150"/>
    </row>
    <row r="1039" spans="7:12" ht="13">
      <c r="G1039" s="150"/>
      <c r="L1039" s="150"/>
    </row>
    <row r="1040" spans="7:12" ht="13">
      <c r="G1040" s="150"/>
      <c r="L1040" s="150"/>
    </row>
    <row r="1041" spans="7:12" ht="13">
      <c r="G1041" s="150"/>
      <c r="L1041" s="150"/>
    </row>
    <row r="1042" spans="7:12" ht="13">
      <c r="G1042" s="150"/>
      <c r="L1042" s="150"/>
    </row>
    <row r="1043" spans="7:12" ht="13">
      <c r="G1043" s="150"/>
      <c r="L1043" s="150"/>
    </row>
    <row r="1044" spans="7:12" ht="13">
      <c r="G1044" s="150"/>
      <c r="L1044" s="150"/>
    </row>
    <row r="1045" spans="7:12" ht="13">
      <c r="G1045" s="150"/>
      <c r="L1045" s="150"/>
    </row>
    <row r="1046" spans="7:12" ht="13">
      <c r="G1046" s="150"/>
      <c r="L1046" s="150"/>
    </row>
    <row r="1047" spans="7:12" ht="13">
      <c r="G1047" s="150"/>
      <c r="L1047" s="150"/>
    </row>
    <row r="1048" spans="7:12" ht="13">
      <c r="G1048" s="150"/>
      <c r="L1048" s="150"/>
    </row>
    <row r="1049" spans="7:12" ht="13">
      <c r="G1049" s="150"/>
      <c r="L1049" s="150"/>
    </row>
    <row r="1050" spans="7:12" ht="13">
      <c r="G1050" s="150"/>
      <c r="L1050" s="150"/>
    </row>
    <row r="1051" spans="7:12" ht="13">
      <c r="G1051" s="150"/>
      <c r="L1051" s="150"/>
    </row>
    <row r="1052" spans="7:12" ht="13">
      <c r="G1052" s="150"/>
      <c r="L1052" s="150"/>
    </row>
    <row r="1053" spans="7:12" ht="13">
      <c r="G1053" s="150"/>
      <c r="L1053" s="150"/>
    </row>
    <row r="1054" spans="7:12" ht="13">
      <c r="G1054" s="150"/>
      <c r="L1054" s="150"/>
    </row>
    <row r="1055" spans="7:12" ht="13">
      <c r="G1055" s="150"/>
      <c r="L1055" s="150"/>
    </row>
    <row r="1056" spans="7:12" ht="13">
      <c r="G1056" s="150"/>
      <c r="L1056" s="150"/>
    </row>
    <row r="1057" spans="7:12" ht="13">
      <c r="G1057" s="150"/>
      <c r="L1057" s="150"/>
    </row>
    <row r="1058" spans="7:12" ht="13">
      <c r="G1058" s="150"/>
      <c r="L1058" s="150"/>
    </row>
    <row r="1059" spans="7:12" ht="13">
      <c r="G1059" s="150"/>
      <c r="L1059" s="150"/>
    </row>
    <row r="1060" spans="7:12" ht="13">
      <c r="G1060" s="150"/>
      <c r="L1060" s="150"/>
    </row>
    <row r="1061" spans="7:12" ht="13">
      <c r="G1061" s="150"/>
      <c r="L1061" s="150"/>
    </row>
    <row r="1062" spans="7:12" ht="13">
      <c r="G1062" s="150"/>
      <c r="L1062" s="150"/>
    </row>
    <row r="1063" spans="7:12" ht="13">
      <c r="G1063" s="150"/>
      <c r="L1063" s="150"/>
    </row>
    <row r="1064" spans="7:12" ht="13">
      <c r="G1064" s="150"/>
      <c r="L1064" s="150"/>
    </row>
    <row r="1065" spans="7:12" ht="13">
      <c r="G1065" s="150"/>
      <c r="L1065" s="150"/>
    </row>
    <row r="1066" spans="7:12" ht="13">
      <c r="G1066" s="150"/>
      <c r="L1066" s="150"/>
    </row>
    <row r="1067" spans="7:12" ht="13">
      <c r="G1067" s="150"/>
      <c r="L1067" s="150"/>
    </row>
    <row r="1068" spans="7:12" ht="13">
      <c r="G1068" s="150"/>
      <c r="L1068" s="150"/>
    </row>
    <row r="1069" spans="7:12" ht="13">
      <c r="G1069" s="150"/>
      <c r="L1069" s="150"/>
    </row>
  </sheetData>
  <mergeCells count="3">
    <mergeCell ref="A1:N1"/>
    <mergeCell ref="A154:M154"/>
    <mergeCell ref="A216:L2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66"/>
  <sheetViews>
    <sheetView workbookViewId="0">
      <pane ySplit="3" topLeftCell="A63" activePane="bottomLeft" state="frozen"/>
      <selection pane="bottomLeft" activeCell="A86" sqref="A86"/>
    </sheetView>
  </sheetViews>
  <sheetFormatPr baseColWidth="10" defaultColWidth="12.6640625" defaultRowHeight="15.75" customHeight="1"/>
  <cols>
    <col min="14" max="14" width="14.6640625" customWidth="1"/>
  </cols>
  <sheetData>
    <row r="1" spans="1:17" ht="18">
      <c r="A1" s="352" t="s">
        <v>94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7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7" ht="16">
      <c r="A3" s="66">
        <v>45812</v>
      </c>
      <c r="B3" s="269" t="s">
        <v>11</v>
      </c>
      <c r="C3" s="134">
        <v>183030</v>
      </c>
      <c r="D3" s="83">
        <v>183323</v>
      </c>
      <c r="E3" s="36">
        <f t="shared" ref="E3:E9" si="0">D3-C3</f>
        <v>293</v>
      </c>
      <c r="F3" s="37">
        <v>30</v>
      </c>
      <c r="G3" s="13">
        <f t="shared" ref="G3:G9" si="1">(F3/E3)*100</f>
        <v>10.238907849829351</v>
      </c>
      <c r="H3" s="125">
        <v>16210</v>
      </c>
      <c r="I3" s="126">
        <v>16721</v>
      </c>
      <c r="J3" s="39">
        <f t="shared" ref="J3:J9" si="2">I3-H3</f>
        <v>511</v>
      </c>
      <c r="K3" s="39">
        <f t="shared" ref="K3:K9" si="3">F3</f>
        <v>30</v>
      </c>
      <c r="L3" s="270">
        <f t="shared" ref="L3:L9" si="4">(K3/J3)*100</f>
        <v>5.8708414872798436</v>
      </c>
      <c r="M3" s="68">
        <v>17130</v>
      </c>
      <c r="N3" s="294">
        <f t="shared" ref="N3:N9" si="5">F3*M3</f>
        <v>513900</v>
      </c>
      <c r="O3" s="76">
        <v>1</v>
      </c>
      <c r="P3" s="76" t="s">
        <v>11</v>
      </c>
      <c r="Q3" s="223">
        <f>N10</f>
        <v>4855500</v>
      </c>
    </row>
    <row r="4" spans="1:17" ht="16">
      <c r="A4" s="138">
        <v>45814</v>
      </c>
      <c r="B4" s="140" t="s">
        <v>11</v>
      </c>
      <c r="C4" s="83">
        <v>183323</v>
      </c>
      <c r="D4" s="83">
        <v>183674</v>
      </c>
      <c r="E4" s="11">
        <f t="shared" si="0"/>
        <v>351</v>
      </c>
      <c r="F4" s="141">
        <v>50</v>
      </c>
      <c r="G4" s="13">
        <f t="shared" si="1"/>
        <v>14.245014245014245</v>
      </c>
      <c r="H4" s="125">
        <v>16721</v>
      </c>
      <c r="I4" s="126">
        <v>17232</v>
      </c>
      <c r="J4" s="39">
        <f t="shared" si="2"/>
        <v>511</v>
      </c>
      <c r="K4" s="83">
        <f t="shared" si="3"/>
        <v>50</v>
      </c>
      <c r="L4" s="136">
        <f t="shared" si="4"/>
        <v>9.7847358121330714</v>
      </c>
      <c r="M4" s="116">
        <v>17420</v>
      </c>
      <c r="N4" s="296">
        <f t="shared" si="5"/>
        <v>871000</v>
      </c>
      <c r="O4" s="76">
        <f t="shared" ref="O4:O26" si="6">O3+1</f>
        <v>2</v>
      </c>
      <c r="P4" s="76" t="s">
        <v>12</v>
      </c>
      <c r="Q4" s="223">
        <f>N18</f>
        <v>5949100</v>
      </c>
    </row>
    <row r="5" spans="1:17" ht="16">
      <c r="A5" s="138">
        <v>45819</v>
      </c>
      <c r="B5" s="140" t="s">
        <v>11</v>
      </c>
      <c r="C5" s="83">
        <v>183674</v>
      </c>
      <c r="D5" s="83">
        <v>184002</v>
      </c>
      <c r="E5" s="11">
        <f t="shared" si="0"/>
        <v>328</v>
      </c>
      <c r="F5" s="141">
        <v>30</v>
      </c>
      <c r="G5" s="13">
        <f t="shared" si="1"/>
        <v>9.1463414634146343</v>
      </c>
      <c r="H5" s="125"/>
      <c r="I5" s="125"/>
      <c r="J5" s="83">
        <f t="shared" si="2"/>
        <v>0</v>
      </c>
      <c r="K5" s="83">
        <f t="shared" si="3"/>
        <v>30</v>
      </c>
      <c r="L5" s="136" t="e">
        <f t="shared" si="4"/>
        <v>#DIV/0!</v>
      </c>
      <c r="M5" s="116">
        <v>17420</v>
      </c>
      <c r="N5" s="296">
        <f t="shared" si="5"/>
        <v>522600</v>
      </c>
      <c r="O5" s="76">
        <f t="shared" si="6"/>
        <v>3</v>
      </c>
      <c r="P5" s="76" t="s">
        <v>13</v>
      </c>
      <c r="Q5" s="223">
        <f>N27</f>
        <v>5228510</v>
      </c>
    </row>
    <row r="6" spans="1:17" ht="16">
      <c r="A6" s="138">
        <v>45821</v>
      </c>
      <c r="B6" s="140" t="s">
        <v>11</v>
      </c>
      <c r="C6" s="83">
        <v>184002</v>
      </c>
      <c r="D6" s="83">
        <v>184199</v>
      </c>
      <c r="E6" s="11">
        <f t="shared" si="0"/>
        <v>197</v>
      </c>
      <c r="F6" s="141">
        <v>30</v>
      </c>
      <c r="G6" s="13">
        <f t="shared" si="1"/>
        <v>15.228426395939088</v>
      </c>
      <c r="H6" s="83"/>
      <c r="I6" s="125"/>
      <c r="J6" s="83">
        <f t="shared" si="2"/>
        <v>0</v>
      </c>
      <c r="K6" s="83">
        <f t="shared" si="3"/>
        <v>30</v>
      </c>
      <c r="L6" s="136" t="e">
        <f t="shared" si="4"/>
        <v>#DIV/0!</v>
      </c>
      <c r="M6" s="116">
        <v>17700</v>
      </c>
      <c r="N6" s="296">
        <f t="shared" si="5"/>
        <v>531000</v>
      </c>
      <c r="O6" s="76">
        <f t="shared" si="6"/>
        <v>4</v>
      </c>
      <c r="P6" s="76" t="s">
        <v>14</v>
      </c>
      <c r="Q6" s="223">
        <f>N35</f>
        <v>4147000</v>
      </c>
    </row>
    <row r="7" spans="1:17" ht="16">
      <c r="A7" s="138">
        <v>45826</v>
      </c>
      <c r="B7" s="140" t="s">
        <v>11</v>
      </c>
      <c r="C7" s="83">
        <v>184199</v>
      </c>
      <c r="D7" s="83">
        <v>184560</v>
      </c>
      <c r="E7" s="11">
        <f t="shared" si="0"/>
        <v>361</v>
      </c>
      <c r="F7" s="141">
        <v>50</v>
      </c>
      <c r="G7" s="13">
        <f t="shared" si="1"/>
        <v>13.850415512465375</v>
      </c>
      <c r="H7" s="83"/>
      <c r="I7" s="125"/>
      <c r="J7" s="83">
        <f t="shared" si="2"/>
        <v>0</v>
      </c>
      <c r="K7" s="83">
        <f t="shared" si="3"/>
        <v>50</v>
      </c>
      <c r="L7" s="136" t="e">
        <f t="shared" si="4"/>
        <v>#DIV/0!</v>
      </c>
      <c r="M7" s="116">
        <v>17700</v>
      </c>
      <c r="N7" s="297">
        <f t="shared" si="5"/>
        <v>885000</v>
      </c>
      <c r="O7" s="76">
        <f t="shared" si="6"/>
        <v>5</v>
      </c>
      <c r="P7" s="76" t="s">
        <v>15</v>
      </c>
      <c r="Q7" s="223">
        <f>N43</f>
        <v>4676870</v>
      </c>
    </row>
    <row r="8" spans="1:17" ht="16">
      <c r="A8" s="138">
        <v>45831</v>
      </c>
      <c r="B8" s="90" t="s">
        <v>11</v>
      </c>
      <c r="C8" s="83">
        <v>184560</v>
      </c>
      <c r="D8" s="83">
        <v>184919</v>
      </c>
      <c r="E8" s="11">
        <f t="shared" si="0"/>
        <v>359</v>
      </c>
      <c r="F8" s="141">
        <v>40</v>
      </c>
      <c r="G8" s="13">
        <f t="shared" si="1"/>
        <v>11.142061281337048</v>
      </c>
      <c r="H8" s="83"/>
      <c r="I8" s="125"/>
      <c r="J8" s="83">
        <f t="shared" si="2"/>
        <v>0</v>
      </c>
      <c r="K8" s="83">
        <f t="shared" si="3"/>
        <v>40</v>
      </c>
      <c r="L8" s="136" t="e">
        <f t="shared" si="4"/>
        <v>#DIV/0!</v>
      </c>
      <c r="M8" s="116">
        <v>19150</v>
      </c>
      <c r="N8" s="297">
        <f t="shared" si="5"/>
        <v>766000</v>
      </c>
      <c r="O8" s="76">
        <f t="shared" si="6"/>
        <v>6</v>
      </c>
      <c r="P8" s="76" t="s">
        <v>16</v>
      </c>
      <c r="Q8" s="223">
        <f>N52</f>
        <v>5757150</v>
      </c>
    </row>
    <row r="9" spans="1:17" ht="16">
      <c r="A9" s="133">
        <v>45834</v>
      </c>
      <c r="B9" s="140" t="s">
        <v>11</v>
      </c>
      <c r="C9" s="83">
        <v>184919</v>
      </c>
      <c r="D9" s="134">
        <v>185231</v>
      </c>
      <c r="E9" s="24">
        <f t="shared" si="0"/>
        <v>312</v>
      </c>
      <c r="F9" s="143">
        <v>40</v>
      </c>
      <c r="G9" s="54">
        <f t="shared" si="1"/>
        <v>12.820512820512819</v>
      </c>
      <c r="H9" s="134"/>
      <c r="I9" s="135"/>
      <c r="J9" s="134">
        <f t="shared" si="2"/>
        <v>0</v>
      </c>
      <c r="K9" s="134">
        <f t="shared" si="3"/>
        <v>40</v>
      </c>
      <c r="L9" s="67" t="e">
        <f t="shared" si="4"/>
        <v>#DIV/0!</v>
      </c>
      <c r="M9" s="137">
        <v>19150</v>
      </c>
      <c r="N9" s="298">
        <f t="shared" si="5"/>
        <v>766000</v>
      </c>
      <c r="O9" s="76">
        <f t="shared" si="6"/>
        <v>7</v>
      </c>
      <c r="P9" s="76" t="s">
        <v>18</v>
      </c>
      <c r="Q9" s="223">
        <f>N60</f>
        <v>5611500</v>
      </c>
    </row>
    <row r="10" spans="1:17" ht="16">
      <c r="A10" s="59"/>
      <c r="B10" s="60"/>
      <c r="C10" s="59"/>
      <c r="D10" s="59" t="s">
        <v>19</v>
      </c>
      <c r="E10" s="59">
        <f t="shared" ref="E10:F10" si="7">SUM(E3:E9)</f>
        <v>2201</v>
      </c>
      <c r="F10" s="59">
        <f t="shared" si="7"/>
        <v>270</v>
      </c>
      <c r="G10" s="61">
        <f>AVERAGE(G3:G9)</f>
        <v>12.381668509787508</v>
      </c>
      <c r="H10" s="59"/>
      <c r="I10" s="62"/>
      <c r="J10" s="59">
        <f t="shared" ref="J10:K10" si="8">SUM(J3:J9)</f>
        <v>1022</v>
      </c>
      <c r="K10" s="59">
        <f t="shared" si="8"/>
        <v>270</v>
      </c>
      <c r="L10" s="61" t="e">
        <f>AVERAGE(L3:L9)</f>
        <v>#DIV/0!</v>
      </c>
      <c r="M10" s="64"/>
      <c r="N10" s="299">
        <f>SUM(N3:N9)</f>
        <v>4855500</v>
      </c>
      <c r="O10" s="76">
        <f t="shared" si="6"/>
        <v>8</v>
      </c>
      <c r="P10" s="76" t="s">
        <v>20</v>
      </c>
      <c r="Q10" s="223">
        <f>N68</f>
        <v>6335540</v>
      </c>
    </row>
    <row r="11" spans="1:17" ht="16">
      <c r="A11" s="66">
        <v>45810</v>
      </c>
      <c r="B11" s="269" t="s">
        <v>12</v>
      </c>
      <c r="C11" s="83">
        <v>144866</v>
      </c>
      <c r="D11" s="83">
        <v>145726</v>
      </c>
      <c r="E11" s="36">
        <f t="shared" ref="E11:E17" si="9">D11-C11</f>
        <v>860</v>
      </c>
      <c r="F11" s="37">
        <v>60</v>
      </c>
      <c r="G11" s="13">
        <f t="shared" ref="G11:G17" si="10">(F11/E11)*100</f>
        <v>6.9767441860465116</v>
      </c>
      <c r="H11" s="125">
        <v>14766</v>
      </c>
      <c r="I11" s="126">
        <v>15340</v>
      </c>
      <c r="J11" s="39">
        <f t="shared" ref="J11:J17" si="11">I11-H11</f>
        <v>574</v>
      </c>
      <c r="K11" s="39">
        <f t="shared" ref="K11:K17" si="12">F11</f>
        <v>60</v>
      </c>
      <c r="L11" s="270">
        <f t="shared" ref="L11:L17" si="13">(K11/J11)*100</f>
        <v>10.452961672473867</v>
      </c>
      <c r="M11" s="68">
        <v>17130</v>
      </c>
      <c r="N11" s="294">
        <f t="shared" ref="N11:N17" si="14">F11*M11</f>
        <v>1027800</v>
      </c>
      <c r="O11" s="76">
        <f t="shared" si="6"/>
        <v>9</v>
      </c>
      <c r="P11" s="76" t="s">
        <v>21</v>
      </c>
      <c r="Q11" s="223">
        <f>N76</f>
        <v>6872000</v>
      </c>
    </row>
    <row r="12" spans="1:17" ht="16">
      <c r="A12" s="138">
        <v>45817</v>
      </c>
      <c r="B12" s="140" t="s">
        <v>12</v>
      </c>
      <c r="C12" s="83">
        <v>145726</v>
      </c>
      <c r="D12" s="83">
        <v>146119</v>
      </c>
      <c r="E12" s="11">
        <f t="shared" si="9"/>
        <v>393</v>
      </c>
      <c r="F12" s="141">
        <v>55</v>
      </c>
      <c r="G12" s="13">
        <f t="shared" si="10"/>
        <v>13.994910941475828</v>
      </c>
      <c r="H12" s="83">
        <v>15340</v>
      </c>
      <c r="I12" s="125">
        <v>15909</v>
      </c>
      <c r="J12" s="83">
        <f t="shared" si="11"/>
        <v>569</v>
      </c>
      <c r="K12" s="83">
        <f t="shared" si="12"/>
        <v>55</v>
      </c>
      <c r="L12" s="136">
        <f t="shared" si="13"/>
        <v>9.6660808435852363</v>
      </c>
      <c r="M12" s="116">
        <v>17420</v>
      </c>
      <c r="N12" s="296">
        <f t="shared" si="14"/>
        <v>958100</v>
      </c>
      <c r="O12" s="76">
        <f t="shared" si="6"/>
        <v>10</v>
      </c>
      <c r="P12" s="247" t="s">
        <v>22</v>
      </c>
      <c r="Q12" s="223">
        <f>N84</f>
        <v>3974200</v>
      </c>
    </row>
    <row r="13" spans="1:17" ht="16">
      <c r="A13" s="138">
        <v>45821</v>
      </c>
      <c r="B13" s="140" t="s">
        <v>12</v>
      </c>
      <c r="C13" s="83">
        <v>146119</v>
      </c>
      <c r="D13" s="83">
        <v>146570</v>
      </c>
      <c r="E13" s="11">
        <f t="shared" si="9"/>
        <v>451</v>
      </c>
      <c r="F13" s="141">
        <v>55</v>
      </c>
      <c r="G13" s="13">
        <f t="shared" si="10"/>
        <v>12.195121951219512</v>
      </c>
      <c r="H13" s="83"/>
      <c r="I13" s="125"/>
      <c r="J13" s="83">
        <f t="shared" si="11"/>
        <v>0</v>
      </c>
      <c r="K13" s="83">
        <f t="shared" si="12"/>
        <v>55</v>
      </c>
      <c r="L13" s="136" t="e">
        <f t="shared" si="13"/>
        <v>#DIV/0!</v>
      </c>
      <c r="M13" s="116">
        <v>17700</v>
      </c>
      <c r="N13" s="296">
        <f t="shared" si="14"/>
        <v>973500</v>
      </c>
      <c r="O13" s="76">
        <f t="shared" si="6"/>
        <v>11</v>
      </c>
      <c r="P13" s="76" t="s">
        <v>23</v>
      </c>
      <c r="Q13" s="223">
        <f>N91</f>
        <v>6770770</v>
      </c>
    </row>
    <row r="14" spans="1:17" ht="16">
      <c r="A14" s="139">
        <v>45826</v>
      </c>
      <c r="B14" s="140" t="s">
        <v>12</v>
      </c>
      <c r="C14" s="83">
        <v>146570</v>
      </c>
      <c r="D14" s="83">
        <v>146969</v>
      </c>
      <c r="E14" s="11">
        <f t="shared" si="9"/>
        <v>399</v>
      </c>
      <c r="F14" s="141">
        <v>57</v>
      </c>
      <c r="G14" s="13">
        <f t="shared" si="10"/>
        <v>14.285714285714285</v>
      </c>
      <c r="H14" s="83"/>
      <c r="I14" s="125"/>
      <c r="J14" s="83">
        <f t="shared" si="11"/>
        <v>0</v>
      </c>
      <c r="K14" s="83">
        <f t="shared" si="12"/>
        <v>57</v>
      </c>
      <c r="L14" s="136" t="e">
        <f t="shared" si="13"/>
        <v>#DIV/0!</v>
      </c>
      <c r="M14" s="116">
        <v>17700</v>
      </c>
      <c r="N14" s="297">
        <f t="shared" si="14"/>
        <v>1008900</v>
      </c>
      <c r="O14" s="76">
        <f t="shared" si="6"/>
        <v>12</v>
      </c>
      <c r="P14" s="247" t="s">
        <v>24</v>
      </c>
      <c r="Q14" s="223">
        <f>N99</f>
        <v>6269650</v>
      </c>
    </row>
    <row r="15" spans="1:17" ht="16">
      <c r="A15" s="138">
        <v>45832</v>
      </c>
      <c r="B15" s="140" t="s">
        <v>12</v>
      </c>
      <c r="C15" s="83">
        <v>146969</v>
      </c>
      <c r="D15" s="83">
        <v>147375</v>
      </c>
      <c r="E15" s="11">
        <f t="shared" si="9"/>
        <v>406</v>
      </c>
      <c r="F15" s="141">
        <v>52</v>
      </c>
      <c r="G15" s="13">
        <f t="shared" si="10"/>
        <v>12.807881773399016</v>
      </c>
      <c r="H15" s="125"/>
      <c r="I15" s="125"/>
      <c r="J15" s="83">
        <f t="shared" si="11"/>
        <v>0</v>
      </c>
      <c r="K15" s="83">
        <f t="shared" si="12"/>
        <v>52</v>
      </c>
      <c r="L15" s="136" t="e">
        <f t="shared" si="13"/>
        <v>#DIV/0!</v>
      </c>
      <c r="M15" s="116">
        <v>19150</v>
      </c>
      <c r="N15" s="297">
        <f t="shared" si="14"/>
        <v>995800</v>
      </c>
      <c r="O15" s="76">
        <f t="shared" si="6"/>
        <v>13</v>
      </c>
      <c r="P15" s="76" t="s">
        <v>25</v>
      </c>
      <c r="Q15" s="223">
        <f>N99</f>
        <v>6269650</v>
      </c>
    </row>
    <row r="16" spans="1:17" ht="16">
      <c r="A16" s="139">
        <v>45835</v>
      </c>
      <c r="B16" s="140" t="s">
        <v>12</v>
      </c>
      <c r="C16" s="83">
        <v>147375</v>
      </c>
      <c r="D16" s="83">
        <v>147761</v>
      </c>
      <c r="E16" s="11">
        <f t="shared" si="9"/>
        <v>386</v>
      </c>
      <c r="F16" s="141">
        <v>50</v>
      </c>
      <c r="G16" s="13">
        <f t="shared" si="10"/>
        <v>12.953367875647666</v>
      </c>
      <c r="H16" s="83"/>
      <c r="I16" s="125"/>
      <c r="J16" s="83">
        <f t="shared" si="11"/>
        <v>0</v>
      </c>
      <c r="K16" s="83">
        <f t="shared" si="12"/>
        <v>50</v>
      </c>
      <c r="L16" s="136" t="e">
        <f t="shared" si="13"/>
        <v>#DIV/0!</v>
      </c>
      <c r="M16" s="116">
        <v>19700</v>
      </c>
      <c r="N16" s="300">
        <f t="shared" si="14"/>
        <v>985000</v>
      </c>
      <c r="O16" s="76">
        <f t="shared" si="6"/>
        <v>14</v>
      </c>
      <c r="P16" s="247" t="s">
        <v>26</v>
      </c>
      <c r="Q16" s="223">
        <f>N115</f>
        <v>2901380</v>
      </c>
    </row>
    <row r="17" spans="1:17" ht="16">
      <c r="A17" s="271"/>
      <c r="B17" s="272"/>
      <c r="C17" s="134"/>
      <c r="D17" s="134"/>
      <c r="E17" s="24">
        <f t="shared" si="9"/>
        <v>0</v>
      </c>
      <c r="F17" s="143"/>
      <c r="G17" s="54" t="e">
        <f t="shared" si="10"/>
        <v>#DIV/0!</v>
      </c>
      <c r="H17" s="134"/>
      <c r="I17" s="135"/>
      <c r="J17" s="134">
        <f t="shared" si="11"/>
        <v>0</v>
      </c>
      <c r="K17" s="134">
        <f t="shared" si="12"/>
        <v>0</v>
      </c>
      <c r="L17" s="67" t="e">
        <f t="shared" si="13"/>
        <v>#DIV/0!</v>
      </c>
      <c r="M17" s="137"/>
      <c r="N17" s="298">
        <f t="shared" si="14"/>
        <v>0</v>
      </c>
      <c r="O17" s="76">
        <f t="shared" si="6"/>
        <v>15</v>
      </c>
      <c r="P17" s="76" t="s">
        <v>27</v>
      </c>
      <c r="Q17" s="223">
        <f>N124</f>
        <v>8393360</v>
      </c>
    </row>
    <row r="18" spans="1:17" ht="16">
      <c r="A18" s="59"/>
      <c r="B18" s="60"/>
      <c r="C18" s="59"/>
      <c r="D18" s="59" t="s">
        <v>19</v>
      </c>
      <c r="E18" s="59">
        <f t="shared" ref="E18:F18" si="15">SUM(E11:E17)</f>
        <v>2895</v>
      </c>
      <c r="F18" s="59">
        <f t="shared" si="15"/>
        <v>329</v>
      </c>
      <c r="G18" s="61" t="e">
        <f>AVERAGE(G11:G17)</f>
        <v>#DIV/0!</v>
      </c>
      <c r="H18" s="59"/>
      <c r="I18" s="62"/>
      <c r="J18" s="59">
        <f t="shared" ref="J18:K18" si="16">SUM(J11:J17)</f>
        <v>1143</v>
      </c>
      <c r="K18" s="59">
        <f t="shared" si="16"/>
        <v>329</v>
      </c>
      <c r="L18" s="61" t="e">
        <f>AVERAGE(L11:L17)</f>
        <v>#DIV/0!</v>
      </c>
      <c r="M18" s="64"/>
      <c r="N18" s="299">
        <f>SUM(N11:N17)</f>
        <v>5949100</v>
      </c>
      <c r="O18" s="76">
        <f t="shared" si="6"/>
        <v>16</v>
      </c>
      <c r="P18" s="76" t="s">
        <v>80</v>
      </c>
      <c r="Q18" s="223">
        <f>N133</f>
        <v>7547700</v>
      </c>
    </row>
    <row r="19" spans="1:17" ht="16">
      <c r="A19" s="66">
        <v>45811</v>
      </c>
      <c r="B19" s="269" t="s">
        <v>13</v>
      </c>
      <c r="C19" s="83">
        <v>164302</v>
      </c>
      <c r="D19" s="39">
        <v>164623</v>
      </c>
      <c r="E19" s="36">
        <f t="shared" ref="E19:E26" si="17">D19-C19</f>
        <v>321</v>
      </c>
      <c r="F19" s="37">
        <v>47</v>
      </c>
      <c r="G19" s="13">
        <f t="shared" ref="G19:G26" si="18">(F19/E19)*100</f>
        <v>14.641744548286603</v>
      </c>
      <c r="H19" s="125">
        <v>16646</v>
      </c>
      <c r="I19" s="126">
        <v>16873</v>
      </c>
      <c r="J19" s="39">
        <f t="shared" ref="J19:J26" si="19">I19-H19</f>
        <v>227</v>
      </c>
      <c r="K19" s="39">
        <f t="shared" ref="K19:K26" si="20">F19</f>
        <v>47</v>
      </c>
      <c r="L19" s="136">
        <f t="shared" ref="L19:L26" si="21">(K19/J19)*100</f>
        <v>20.704845814977972</v>
      </c>
      <c r="M19" s="68">
        <v>17130</v>
      </c>
      <c r="N19" s="294">
        <f t="shared" ref="N19:N26" si="22">F19*M19</f>
        <v>805110</v>
      </c>
      <c r="O19" s="76">
        <f t="shared" si="6"/>
        <v>17</v>
      </c>
      <c r="P19" s="76" t="s">
        <v>29</v>
      </c>
      <c r="Q19" s="223">
        <f>N142</f>
        <v>3869150</v>
      </c>
    </row>
    <row r="20" spans="1:17" ht="16">
      <c r="A20" s="138">
        <v>45820</v>
      </c>
      <c r="B20" s="140" t="s">
        <v>13</v>
      </c>
      <c r="C20" s="39">
        <v>164623</v>
      </c>
      <c r="D20" s="83">
        <v>165010</v>
      </c>
      <c r="E20" s="11">
        <f t="shared" si="17"/>
        <v>387</v>
      </c>
      <c r="F20" s="141">
        <v>50</v>
      </c>
      <c r="G20" s="13">
        <f t="shared" si="18"/>
        <v>12.919896640826872</v>
      </c>
      <c r="H20" s="83">
        <v>16873</v>
      </c>
      <c r="I20" s="125"/>
      <c r="J20" s="83">
        <f t="shared" si="19"/>
        <v>-16873</v>
      </c>
      <c r="K20" s="83">
        <f t="shared" si="20"/>
        <v>50</v>
      </c>
      <c r="L20" s="136">
        <f t="shared" si="21"/>
        <v>-0.29633141705683635</v>
      </c>
      <c r="M20" s="116">
        <v>17420</v>
      </c>
      <c r="N20" s="296">
        <f t="shared" si="22"/>
        <v>871000</v>
      </c>
      <c r="O20" s="76">
        <f t="shared" si="6"/>
        <v>18</v>
      </c>
      <c r="P20" s="76" t="s">
        <v>30</v>
      </c>
      <c r="Q20" s="223">
        <f>N151</f>
        <v>5473240</v>
      </c>
    </row>
    <row r="21" spans="1:17" ht="16">
      <c r="A21" s="138">
        <v>45820</v>
      </c>
      <c r="B21" s="140" t="s">
        <v>13</v>
      </c>
      <c r="C21" s="83">
        <v>165010</v>
      </c>
      <c r="D21" s="83">
        <v>165384</v>
      </c>
      <c r="E21" s="11">
        <f t="shared" si="17"/>
        <v>374</v>
      </c>
      <c r="F21" s="141">
        <v>50</v>
      </c>
      <c r="G21" s="13">
        <f t="shared" si="18"/>
        <v>13.368983957219251</v>
      </c>
      <c r="H21" s="83"/>
      <c r="I21" s="125"/>
      <c r="J21" s="83">
        <f t="shared" si="19"/>
        <v>0</v>
      </c>
      <c r="K21" s="83">
        <f t="shared" si="20"/>
        <v>50</v>
      </c>
      <c r="L21" s="136" t="e">
        <f t="shared" si="21"/>
        <v>#DIV/0!</v>
      </c>
      <c r="M21" s="116">
        <v>17700</v>
      </c>
      <c r="N21" s="301">
        <f t="shared" si="22"/>
        <v>885000</v>
      </c>
      <c r="O21" s="76">
        <f t="shared" si="6"/>
        <v>19</v>
      </c>
    </row>
    <row r="22" spans="1:17" ht="16">
      <c r="A22" s="139">
        <v>45825</v>
      </c>
      <c r="B22" s="140" t="s">
        <v>13</v>
      </c>
      <c r="C22" s="83">
        <v>165384</v>
      </c>
      <c r="D22" s="83">
        <v>165762</v>
      </c>
      <c r="E22" s="11">
        <f t="shared" si="17"/>
        <v>378</v>
      </c>
      <c r="F22" s="141">
        <v>49</v>
      </c>
      <c r="G22" s="13">
        <f t="shared" si="18"/>
        <v>12.962962962962962</v>
      </c>
      <c r="H22" s="83"/>
      <c r="I22" s="125"/>
      <c r="J22" s="83">
        <f t="shared" si="19"/>
        <v>0</v>
      </c>
      <c r="K22" s="83">
        <f t="shared" si="20"/>
        <v>49</v>
      </c>
      <c r="L22" s="136" t="e">
        <f t="shared" si="21"/>
        <v>#DIV/0!</v>
      </c>
      <c r="M22" s="116">
        <v>17700</v>
      </c>
      <c r="N22" s="297">
        <f t="shared" si="22"/>
        <v>867300</v>
      </c>
      <c r="O22" s="76">
        <f t="shared" si="6"/>
        <v>20</v>
      </c>
    </row>
    <row r="23" spans="1:17" ht="16">
      <c r="A23" s="138">
        <v>45829</v>
      </c>
      <c r="B23" s="140" t="s">
        <v>13</v>
      </c>
      <c r="C23" s="83">
        <v>165762</v>
      </c>
      <c r="D23" s="83">
        <v>166100</v>
      </c>
      <c r="E23" s="11">
        <f t="shared" si="17"/>
        <v>338</v>
      </c>
      <c r="F23" s="141">
        <v>46</v>
      </c>
      <c r="G23" s="13">
        <f t="shared" si="18"/>
        <v>13.609467455621301</v>
      </c>
      <c r="H23" s="83"/>
      <c r="I23" s="125"/>
      <c r="J23" s="83">
        <f t="shared" si="19"/>
        <v>0</v>
      </c>
      <c r="K23" s="83">
        <f t="shared" si="20"/>
        <v>46</v>
      </c>
      <c r="L23" s="136" t="e">
        <f t="shared" si="21"/>
        <v>#DIV/0!</v>
      </c>
      <c r="M23" s="116">
        <v>19150</v>
      </c>
      <c r="N23" s="297">
        <f t="shared" si="22"/>
        <v>880900</v>
      </c>
      <c r="O23" s="76">
        <f t="shared" si="6"/>
        <v>21</v>
      </c>
    </row>
    <row r="24" spans="1:17" ht="16">
      <c r="A24" s="138">
        <v>45834</v>
      </c>
      <c r="B24" s="90" t="s">
        <v>13</v>
      </c>
      <c r="C24" s="83">
        <v>166100</v>
      </c>
      <c r="D24" s="83">
        <v>166484</v>
      </c>
      <c r="E24" s="11">
        <f t="shared" si="17"/>
        <v>384</v>
      </c>
      <c r="F24" s="141">
        <v>48</v>
      </c>
      <c r="G24" s="13">
        <f t="shared" si="18"/>
        <v>12.5</v>
      </c>
      <c r="H24" s="83"/>
      <c r="I24" s="125"/>
      <c r="J24" s="83">
        <f t="shared" si="19"/>
        <v>0</v>
      </c>
      <c r="K24" s="83">
        <f t="shared" si="20"/>
        <v>48</v>
      </c>
      <c r="L24" s="136" t="e">
        <f t="shared" si="21"/>
        <v>#DIV/0!</v>
      </c>
      <c r="M24" s="116">
        <v>19150</v>
      </c>
      <c r="N24" s="297">
        <f t="shared" si="22"/>
        <v>919200</v>
      </c>
      <c r="O24" s="76">
        <f t="shared" si="6"/>
        <v>22</v>
      </c>
    </row>
    <row r="25" spans="1:17" ht="16">
      <c r="A25" s="133"/>
      <c r="B25" s="34" t="s">
        <v>13</v>
      </c>
      <c r="C25" s="134"/>
      <c r="D25" s="134"/>
      <c r="E25" s="24">
        <f t="shared" si="17"/>
        <v>0</v>
      </c>
      <c r="F25" s="143"/>
      <c r="G25" s="54" t="e">
        <f t="shared" si="18"/>
        <v>#DIV/0!</v>
      </c>
      <c r="H25" s="134"/>
      <c r="I25" s="135"/>
      <c r="J25" s="134">
        <f t="shared" si="19"/>
        <v>0</v>
      </c>
      <c r="K25" s="134">
        <f t="shared" si="20"/>
        <v>0</v>
      </c>
      <c r="L25" s="136" t="e">
        <f t="shared" si="21"/>
        <v>#DIV/0!</v>
      </c>
      <c r="M25" s="137"/>
      <c r="N25" s="302">
        <f t="shared" si="22"/>
        <v>0</v>
      </c>
      <c r="O25" s="76">
        <f t="shared" si="6"/>
        <v>23</v>
      </c>
    </row>
    <row r="26" spans="1:17" ht="16">
      <c r="A26" s="303"/>
      <c r="B26" s="34" t="s">
        <v>13</v>
      </c>
      <c r="C26" s="273"/>
      <c r="D26" s="273"/>
      <c r="E26" s="24">
        <f t="shared" si="17"/>
        <v>0</v>
      </c>
      <c r="F26" s="273"/>
      <c r="G26" s="54" t="e">
        <f t="shared" si="18"/>
        <v>#DIV/0!</v>
      </c>
      <c r="H26" s="273"/>
      <c r="I26" s="304"/>
      <c r="J26" s="134">
        <f t="shared" si="19"/>
        <v>0</v>
      </c>
      <c r="K26" s="134">
        <f t="shared" si="20"/>
        <v>0</v>
      </c>
      <c r="L26" s="136" t="e">
        <f t="shared" si="21"/>
        <v>#DIV/0!</v>
      </c>
      <c r="M26" s="143"/>
      <c r="N26" s="302">
        <f t="shared" si="22"/>
        <v>0</v>
      </c>
      <c r="O26" s="76">
        <f t="shared" si="6"/>
        <v>24</v>
      </c>
    </row>
    <row r="27" spans="1:17" ht="16">
      <c r="A27" s="59"/>
      <c r="B27" s="60"/>
      <c r="C27" s="59"/>
      <c r="D27" s="59" t="s">
        <v>19</v>
      </c>
      <c r="E27" s="59">
        <f>SUM(E19:E25)</f>
        <v>2182</v>
      </c>
      <c r="F27" s="59">
        <f>SUM(F19:F26)</f>
        <v>290</v>
      </c>
      <c r="G27" s="61" t="e">
        <f>AVERAGE(G19:G25)</f>
        <v>#DIV/0!</v>
      </c>
      <c r="H27" s="59"/>
      <c r="I27" s="62"/>
      <c r="J27" s="59">
        <f t="shared" ref="J27:K27" si="23">SUM(J19:J25)</f>
        <v>-16646</v>
      </c>
      <c r="K27" s="59">
        <f t="shared" si="23"/>
        <v>290</v>
      </c>
      <c r="L27" s="61" t="e">
        <f>AVERAGE(L19:L25)</f>
        <v>#DIV/0!</v>
      </c>
      <c r="M27" s="64"/>
      <c r="N27" s="299">
        <f>SUM(N19:N26)</f>
        <v>5228510</v>
      </c>
    </row>
    <row r="28" spans="1:17" ht="16">
      <c r="A28" s="66">
        <v>45813</v>
      </c>
      <c r="B28" s="269" t="s">
        <v>14</v>
      </c>
      <c r="C28" s="83">
        <v>166303</v>
      </c>
      <c r="D28" s="39">
        <v>166714</v>
      </c>
      <c r="E28" s="36">
        <f t="shared" ref="E28:E34" si="24">D28-C28</f>
        <v>411</v>
      </c>
      <c r="F28" s="37">
        <v>40</v>
      </c>
      <c r="G28" s="13">
        <f t="shared" ref="G28:G34" si="25">(F28/E28)*100</f>
        <v>9.7323600973236015</v>
      </c>
      <c r="H28" s="125">
        <v>9206</v>
      </c>
      <c r="I28" s="126">
        <v>9848</v>
      </c>
      <c r="J28" s="39">
        <f t="shared" ref="J28:J34" si="26">I28-H28</f>
        <v>642</v>
      </c>
      <c r="K28" s="39">
        <f t="shared" ref="K28:K34" si="27">F28</f>
        <v>40</v>
      </c>
      <c r="L28" s="136">
        <f t="shared" ref="L28:L34" si="28">(K28/J28)*100</f>
        <v>6.2305295950155761</v>
      </c>
      <c r="M28" s="68">
        <v>17130</v>
      </c>
      <c r="N28" s="294">
        <f t="shared" ref="N28:N34" si="29">F28*M28</f>
        <v>685200</v>
      </c>
    </row>
    <row r="29" spans="1:17" ht="16">
      <c r="A29" s="138">
        <v>45819</v>
      </c>
      <c r="B29" s="140" t="s">
        <v>14</v>
      </c>
      <c r="C29" s="83">
        <v>166714</v>
      </c>
      <c r="D29" s="83">
        <v>167078</v>
      </c>
      <c r="E29" s="11">
        <f t="shared" si="24"/>
        <v>364</v>
      </c>
      <c r="F29" s="141">
        <v>50</v>
      </c>
      <c r="G29" s="13">
        <f t="shared" si="25"/>
        <v>13.736263736263737</v>
      </c>
      <c r="H29" s="83">
        <v>9848</v>
      </c>
      <c r="I29" s="125"/>
      <c r="J29" s="83">
        <f t="shared" si="26"/>
        <v>-9848</v>
      </c>
      <c r="K29" s="83">
        <f t="shared" si="27"/>
        <v>50</v>
      </c>
      <c r="L29" s="136">
        <f t="shared" si="28"/>
        <v>-0.5077173030056864</v>
      </c>
      <c r="M29" s="116">
        <v>17420</v>
      </c>
      <c r="N29" s="301">
        <f t="shared" si="29"/>
        <v>871000</v>
      </c>
    </row>
    <row r="30" spans="1:17" ht="16">
      <c r="A30" s="138">
        <v>45825</v>
      </c>
      <c r="B30" s="140" t="s">
        <v>14</v>
      </c>
      <c r="C30" s="83">
        <v>167078</v>
      </c>
      <c r="D30" s="83">
        <v>167508</v>
      </c>
      <c r="E30" s="11">
        <f t="shared" si="24"/>
        <v>430</v>
      </c>
      <c r="F30" s="141">
        <v>49</v>
      </c>
      <c r="G30" s="13">
        <f t="shared" si="25"/>
        <v>11.395348837209303</v>
      </c>
      <c r="H30" s="83"/>
      <c r="I30" s="125"/>
      <c r="J30" s="83">
        <f t="shared" si="26"/>
        <v>0</v>
      </c>
      <c r="K30" s="83">
        <f t="shared" si="27"/>
        <v>49</v>
      </c>
      <c r="L30" s="136" t="e">
        <f t="shared" si="28"/>
        <v>#DIV/0!</v>
      </c>
      <c r="M30" s="116">
        <v>17700</v>
      </c>
      <c r="N30" s="297">
        <f t="shared" si="29"/>
        <v>867300</v>
      </c>
    </row>
    <row r="31" spans="1:17" ht="16">
      <c r="A31" s="139">
        <v>45831</v>
      </c>
      <c r="B31" s="140" t="s">
        <v>14</v>
      </c>
      <c r="C31" s="83">
        <v>167508</v>
      </c>
      <c r="D31" s="83">
        <v>167917</v>
      </c>
      <c r="E31" s="11">
        <f t="shared" si="24"/>
        <v>409</v>
      </c>
      <c r="F31" s="141">
        <v>40</v>
      </c>
      <c r="G31" s="13">
        <f t="shared" si="25"/>
        <v>9.7799511002444994</v>
      </c>
      <c r="H31" s="83"/>
      <c r="I31" s="125"/>
      <c r="J31" s="83">
        <f t="shared" si="26"/>
        <v>0</v>
      </c>
      <c r="K31" s="83">
        <f t="shared" si="27"/>
        <v>40</v>
      </c>
      <c r="L31" s="136" t="e">
        <f t="shared" si="28"/>
        <v>#DIV/0!</v>
      </c>
      <c r="M31" s="116">
        <v>19150</v>
      </c>
      <c r="N31" s="297">
        <f t="shared" si="29"/>
        <v>766000</v>
      </c>
    </row>
    <row r="32" spans="1:17" ht="16">
      <c r="A32" s="138">
        <v>45834</v>
      </c>
      <c r="B32" s="140" t="s">
        <v>14</v>
      </c>
      <c r="C32" s="83">
        <v>167917</v>
      </c>
      <c r="D32" s="83">
        <v>168289</v>
      </c>
      <c r="E32" s="11">
        <f t="shared" si="24"/>
        <v>372</v>
      </c>
      <c r="F32" s="141">
        <v>50</v>
      </c>
      <c r="G32" s="13">
        <f t="shared" si="25"/>
        <v>13.440860215053762</v>
      </c>
      <c r="H32" s="83"/>
      <c r="I32" s="125"/>
      <c r="J32" s="83">
        <f t="shared" si="26"/>
        <v>0</v>
      </c>
      <c r="K32" s="83">
        <f t="shared" si="27"/>
        <v>50</v>
      </c>
      <c r="L32" s="136" t="e">
        <f t="shared" si="28"/>
        <v>#DIV/0!</v>
      </c>
      <c r="M32" s="116">
        <v>19150</v>
      </c>
      <c r="N32" s="297">
        <f t="shared" si="29"/>
        <v>957500</v>
      </c>
    </row>
    <row r="33" spans="1:16" ht="16">
      <c r="A33" s="138"/>
      <c r="B33" s="140" t="s">
        <v>14</v>
      </c>
      <c r="C33" s="83"/>
      <c r="D33" s="83"/>
      <c r="E33" s="11">
        <f t="shared" si="24"/>
        <v>0</v>
      </c>
      <c r="F33" s="141"/>
      <c r="G33" s="13" t="e">
        <f t="shared" si="25"/>
        <v>#DIV/0!</v>
      </c>
      <c r="H33" s="83"/>
      <c r="I33" s="125"/>
      <c r="J33" s="83">
        <f t="shared" si="26"/>
        <v>0</v>
      </c>
      <c r="K33" s="83">
        <f t="shared" si="27"/>
        <v>0</v>
      </c>
      <c r="L33" s="136" t="e">
        <f t="shared" si="28"/>
        <v>#DIV/0!</v>
      </c>
      <c r="M33" s="116"/>
      <c r="N33" s="297">
        <f t="shared" si="29"/>
        <v>0</v>
      </c>
    </row>
    <row r="34" spans="1:16" ht="16">
      <c r="A34" s="271"/>
      <c r="B34" s="272"/>
      <c r="C34" s="134"/>
      <c r="D34" s="134"/>
      <c r="E34" s="24">
        <f t="shared" si="24"/>
        <v>0</v>
      </c>
      <c r="F34" s="143"/>
      <c r="G34" s="54" t="e">
        <f t="shared" si="25"/>
        <v>#DIV/0!</v>
      </c>
      <c r="H34" s="134"/>
      <c r="I34" s="135"/>
      <c r="J34" s="134">
        <f t="shared" si="26"/>
        <v>0</v>
      </c>
      <c r="K34" s="134">
        <f t="shared" si="27"/>
        <v>0</v>
      </c>
      <c r="L34" s="136" t="e">
        <f t="shared" si="28"/>
        <v>#DIV/0!</v>
      </c>
      <c r="M34" s="137"/>
      <c r="N34" s="298">
        <f t="shared" si="29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30">SUM(E28:E34)</f>
        <v>1986</v>
      </c>
      <c r="F35" s="59">
        <f t="shared" si="30"/>
        <v>229</v>
      </c>
      <c r="G35" s="61" t="e">
        <f>AVERAGE(G28:G34)</f>
        <v>#DIV/0!</v>
      </c>
      <c r="H35" s="59"/>
      <c r="I35" s="62"/>
      <c r="J35" s="59">
        <f t="shared" ref="J35:K35" si="31">SUM(J28:J34)</f>
        <v>-9206</v>
      </c>
      <c r="K35" s="59">
        <f t="shared" si="31"/>
        <v>229</v>
      </c>
      <c r="L35" s="61" t="e">
        <f>AVERAGE(L28:L34)</f>
        <v>#DIV/0!</v>
      </c>
      <c r="M35" s="64"/>
      <c r="N35" s="299">
        <f>SUM(N28:N34)</f>
        <v>4147000</v>
      </c>
    </row>
    <row r="36" spans="1:16" ht="16">
      <c r="A36" s="66">
        <v>45811</v>
      </c>
      <c r="B36" s="269" t="s">
        <v>15</v>
      </c>
      <c r="C36" s="83">
        <v>152350</v>
      </c>
      <c r="D36" s="39">
        <v>152718</v>
      </c>
      <c r="E36" s="36">
        <f t="shared" ref="E36:E42" si="32">D36-C36</f>
        <v>368</v>
      </c>
      <c r="F36" s="37">
        <v>43</v>
      </c>
      <c r="G36" s="13">
        <f t="shared" ref="G36:G42" si="33">(F36/E36)*100</f>
        <v>11.684782608695652</v>
      </c>
      <c r="H36" s="83">
        <v>15292</v>
      </c>
      <c r="I36" s="125">
        <v>17022</v>
      </c>
      <c r="J36" s="39">
        <f t="shared" ref="J36:J42" si="34">I36-H36</f>
        <v>1730</v>
      </c>
      <c r="K36" s="39">
        <f t="shared" ref="K36:K42" si="35">F36</f>
        <v>43</v>
      </c>
      <c r="L36" s="136">
        <f t="shared" ref="L36:L42" si="36">(K36/J36)*100</f>
        <v>2.4855491329479769</v>
      </c>
      <c r="M36" s="68">
        <v>17130</v>
      </c>
      <c r="N36" s="294">
        <f t="shared" ref="N36:N42" si="37">F36*M36</f>
        <v>736590</v>
      </c>
    </row>
    <row r="37" spans="1:16" ht="16">
      <c r="A37" s="249">
        <v>45818</v>
      </c>
      <c r="B37" s="140" t="s">
        <v>15</v>
      </c>
      <c r="C37" s="83">
        <v>152718</v>
      </c>
      <c r="D37" s="83">
        <v>153092</v>
      </c>
      <c r="E37" s="11">
        <f t="shared" si="32"/>
        <v>374</v>
      </c>
      <c r="F37" s="141">
        <v>44</v>
      </c>
      <c r="G37" s="13">
        <f t="shared" si="33"/>
        <v>11.76470588235294</v>
      </c>
      <c r="H37" s="125">
        <v>17022</v>
      </c>
      <c r="I37" s="125">
        <v>17505</v>
      </c>
      <c r="J37" s="83">
        <f t="shared" si="34"/>
        <v>483</v>
      </c>
      <c r="K37" s="83">
        <f t="shared" si="35"/>
        <v>44</v>
      </c>
      <c r="L37" s="136">
        <f t="shared" si="36"/>
        <v>9.1097308488612825</v>
      </c>
      <c r="M37" s="116">
        <v>17420</v>
      </c>
      <c r="N37" s="296">
        <f t="shared" si="37"/>
        <v>766480</v>
      </c>
      <c r="P37" s="78"/>
    </row>
    <row r="38" spans="1:16" ht="16">
      <c r="A38" s="138">
        <v>45820</v>
      </c>
      <c r="B38" s="140" t="s">
        <v>15</v>
      </c>
      <c r="C38" s="83">
        <v>153092</v>
      </c>
      <c r="D38" s="83">
        <v>153441</v>
      </c>
      <c r="E38" s="11">
        <f t="shared" si="32"/>
        <v>349</v>
      </c>
      <c r="F38" s="141">
        <v>45</v>
      </c>
      <c r="G38" s="13">
        <f t="shared" si="33"/>
        <v>12.893982808022923</v>
      </c>
      <c r="H38" s="83">
        <v>17505</v>
      </c>
      <c r="I38" s="125"/>
      <c r="J38" s="83">
        <f t="shared" si="34"/>
        <v>-17505</v>
      </c>
      <c r="K38" s="83">
        <f t="shared" si="35"/>
        <v>45</v>
      </c>
      <c r="L38" s="136">
        <f t="shared" si="36"/>
        <v>-0.25706940874035988</v>
      </c>
      <c r="M38" s="275">
        <v>17420</v>
      </c>
      <c r="N38" s="296">
        <f t="shared" si="37"/>
        <v>783900</v>
      </c>
    </row>
    <row r="39" spans="1:16" ht="16">
      <c r="A39" s="138">
        <v>45826</v>
      </c>
      <c r="B39" s="140" t="s">
        <v>15</v>
      </c>
      <c r="C39" s="83">
        <v>153441</v>
      </c>
      <c r="D39" s="83">
        <v>153818</v>
      </c>
      <c r="E39" s="11">
        <f t="shared" si="32"/>
        <v>377</v>
      </c>
      <c r="F39" s="141">
        <v>45</v>
      </c>
      <c r="G39" s="13">
        <f t="shared" si="33"/>
        <v>11.936339522546419</v>
      </c>
      <c r="H39" s="83"/>
      <c r="I39" s="125"/>
      <c r="J39" s="83">
        <f t="shared" si="34"/>
        <v>0</v>
      </c>
      <c r="K39" s="83">
        <f t="shared" si="35"/>
        <v>45</v>
      </c>
      <c r="L39" s="136" t="e">
        <f t="shared" si="36"/>
        <v>#DIV/0!</v>
      </c>
      <c r="M39" s="116">
        <v>17700</v>
      </c>
      <c r="N39" s="296">
        <f t="shared" si="37"/>
        <v>796500</v>
      </c>
    </row>
    <row r="40" spans="1:16" ht="16">
      <c r="A40" s="138">
        <v>45832</v>
      </c>
      <c r="B40" s="140" t="s">
        <v>15</v>
      </c>
      <c r="C40" s="83">
        <v>153818</v>
      </c>
      <c r="D40" s="83">
        <v>154145</v>
      </c>
      <c r="E40" s="11">
        <f t="shared" si="32"/>
        <v>327</v>
      </c>
      <c r="F40" s="141">
        <v>40</v>
      </c>
      <c r="G40" s="13">
        <f t="shared" si="33"/>
        <v>12.232415902140673</v>
      </c>
      <c r="H40" s="83"/>
      <c r="I40" s="125"/>
      <c r="J40" s="83">
        <f t="shared" si="34"/>
        <v>0</v>
      </c>
      <c r="K40" s="83">
        <f t="shared" si="35"/>
        <v>40</v>
      </c>
      <c r="L40" s="136" t="e">
        <f t="shared" si="36"/>
        <v>#DIV/0!</v>
      </c>
      <c r="M40" s="116">
        <v>19150</v>
      </c>
      <c r="N40" s="297">
        <f t="shared" si="37"/>
        <v>766000</v>
      </c>
    </row>
    <row r="41" spans="1:16" ht="16">
      <c r="A41" s="276">
        <v>45836</v>
      </c>
      <c r="B41" s="140" t="s">
        <v>15</v>
      </c>
      <c r="C41" s="83">
        <v>154145</v>
      </c>
      <c r="D41" s="83">
        <v>154475</v>
      </c>
      <c r="E41" s="11">
        <f t="shared" si="32"/>
        <v>330</v>
      </c>
      <c r="F41" s="141">
        <v>42</v>
      </c>
      <c r="G41" s="13">
        <f t="shared" si="33"/>
        <v>12.727272727272727</v>
      </c>
      <c r="H41" s="83"/>
      <c r="I41" s="125"/>
      <c r="J41" s="83">
        <f t="shared" si="34"/>
        <v>0</v>
      </c>
      <c r="K41" s="83">
        <f t="shared" si="35"/>
        <v>42</v>
      </c>
      <c r="L41" s="136" t="e">
        <f t="shared" si="36"/>
        <v>#DIV/0!</v>
      </c>
      <c r="M41" s="116">
        <v>19700</v>
      </c>
      <c r="N41" s="297">
        <f t="shared" si="37"/>
        <v>827400</v>
      </c>
    </row>
    <row r="42" spans="1:16" ht="16">
      <c r="A42" s="133"/>
      <c r="B42" s="140" t="s">
        <v>15</v>
      </c>
      <c r="C42" s="134"/>
      <c r="D42" s="134"/>
      <c r="E42" s="24">
        <f t="shared" si="32"/>
        <v>0</v>
      </c>
      <c r="F42" s="143"/>
      <c r="G42" s="54" t="e">
        <f t="shared" si="33"/>
        <v>#DIV/0!</v>
      </c>
      <c r="H42" s="134"/>
      <c r="I42" s="135"/>
      <c r="J42" s="134">
        <f t="shared" si="34"/>
        <v>0</v>
      </c>
      <c r="K42" s="134">
        <f t="shared" si="35"/>
        <v>0</v>
      </c>
      <c r="L42" s="136" t="e">
        <f t="shared" si="36"/>
        <v>#DIV/0!</v>
      </c>
      <c r="M42" s="137"/>
      <c r="N42" s="302">
        <f t="shared" si="37"/>
        <v>0</v>
      </c>
    </row>
    <row r="43" spans="1:16" ht="16">
      <c r="A43" s="59"/>
      <c r="B43" s="60"/>
      <c r="C43" s="59"/>
      <c r="D43" s="59" t="s">
        <v>19</v>
      </c>
      <c r="E43" s="59">
        <f t="shared" ref="E43:F43" si="38">SUM(E36:E42)</f>
        <v>2125</v>
      </c>
      <c r="F43" s="59">
        <f t="shared" si="38"/>
        <v>259</v>
      </c>
      <c r="G43" s="61" t="e">
        <f>AVERAGE(G36:G42)</f>
        <v>#DIV/0!</v>
      </c>
      <c r="H43" s="59"/>
      <c r="I43" s="62"/>
      <c r="J43" s="59">
        <f t="shared" ref="J43:K43" si="39">SUM(J36:J42)</f>
        <v>-15292</v>
      </c>
      <c r="K43" s="59">
        <f t="shared" si="39"/>
        <v>259</v>
      </c>
      <c r="L43" s="61" t="e">
        <f>AVERAGE(L36:L42)</f>
        <v>#DIV/0!</v>
      </c>
      <c r="M43" s="64"/>
      <c r="N43" s="299">
        <f>SUM(N36:N42)</f>
        <v>4676870</v>
      </c>
    </row>
    <row r="44" spans="1:16" ht="16">
      <c r="A44" s="89">
        <v>45812</v>
      </c>
      <c r="B44" s="269" t="s">
        <v>16</v>
      </c>
      <c r="C44" s="83">
        <v>128236</v>
      </c>
      <c r="D44" s="39">
        <v>128962</v>
      </c>
      <c r="E44" s="36">
        <f t="shared" ref="E44:E51" si="40">D44-C44</f>
        <v>726</v>
      </c>
      <c r="F44" s="37">
        <v>40</v>
      </c>
      <c r="G44" s="13">
        <f t="shared" ref="G44:G49" si="41">(F44/E44)*100</f>
        <v>5.5096418732782375</v>
      </c>
      <c r="H44" s="125">
        <v>16241</v>
      </c>
      <c r="I44" s="126">
        <v>16738</v>
      </c>
      <c r="J44" s="39">
        <f t="shared" ref="J44:J49" si="42">I44-H44</f>
        <v>497</v>
      </c>
      <c r="K44" s="39">
        <f t="shared" ref="K44:K51" si="43">F44</f>
        <v>40</v>
      </c>
      <c r="L44" s="136">
        <f t="shared" ref="L44:L51" si="44">(K44/J44)*100</f>
        <v>8.0482897384305829</v>
      </c>
      <c r="M44" s="68">
        <v>17130</v>
      </c>
      <c r="N44" s="294">
        <f t="shared" ref="N44:N51" si="45">F44*M44</f>
        <v>685200</v>
      </c>
    </row>
    <row r="45" spans="1:16" ht="16">
      <c r="A45" s="138">
        <v>45817</v>
      </c>
      <c r="B45" s="140" t="s">
        <v>16</v>
      </c>
      <c r="C45" s="83">
        <v>128962</v>
      </c>
      <c r="D45" s="83">
        <v>129288</v>
      </c>
      <c r="E45" s="11">
        <f t="shared" si="40"/>
        <v>326</v>
      </c>
      <c r="F45" s="277">
        <v>40</v>
      </c>
      <c r="G45" s="13">
        <f t="shared" si="41"/>
        <v>12.269938650306749</v>
      </c>
      <c r="H45" s="83">
        <v>16738</v>
      </c>
      <c r="I45" s="126">
        <v>17236</v>
      </c>
      <c r="J45" s="83">
        <f t="shared" si="42"/>
        <v>498</v>
      </c>
      <c r="K45" s="39">
        <f t="shared" si="43"/>
        <v>40</v>
      </c>
      <c r="L45" s="136">
        <f t="shared" si="44"/>
        <v>8.0321285140562253</v>
      </c>
      <c r="M45" s="116">
        <v>17420</v>
      </c>
      <c r="N45" s="296">
        <f t="shared" si="45"/>
        <v>696800</v>
      </c>
    </row>
    <row r="46" spans="1:16" ht="16">
      <c r="A46" s="138">
        <v>45820</v>
      </c>
      <c r="B46" s="140" t="s">
        <v>16</v>
      </c>
      <c r="C46" s="83">
        <v>129288</v>
      </c>
      <c r="D46" s="83">
        <v>129544</v>
      </c>
      <c r="E46" s="11">
        <f t="shared" si="40"/>
        <v>256</v>
      </c>
      <c r="F46" s="141">
        <v>40</v>
      </c>
      <c r="G46" s="13">
        <f t="shared" si="41"/>
        <v>15.625</v>
      </c>
      <c r="H46" s="83"/>
      <c r="I46" s="125"/>
      <c r="J46" s="83">
        <f t="shared" si="42"/>
        <v>0</v>
      </c>
      <c r="K46" s="39">
        <f t="shared" si="43"/>
        <v>40</v>
      </c>
      <c r="L46" s="136" t="e">
        <f t="shared" si="44"/>
        <v>#DIV/0!</v>
      </c>
      <c r="M46" s="116">
        <v>17420</v>
      </c>
      <c r="N46" s="296">
        <f t="shared" si="45"/>
        <v>696800</v>
      </c>
    </row>
    <row r="47" spans="1:16" ht="16">
      <c r="A47" s="138">
        <v>45824</v>
      </c>
      <c r="B47" s="140" t="s">
        <v>16</v>
      </c>
      <c r="C47" s="83">
        <v>129544</v>
      </c>
      <c r="D47" s="83">
        <v>129834</v>
      </c>
      <c r="E47" s="11">
        <f t="shared" si="40"/>
        <v>290</v>
      </c>
      <c r="F47" s="141">
        <v>42</v>
      </c>
      <c r="G47" s="13">
        <f t="shared" si="41"/>
        <v>14.482758620689657</v>
      </c>
      <c r="H47" s="83"/>
      <c r="I47" s="125"/>
      <c r="J47" s="83">
        <f t="shared" si="42"/>
        <v>0</v>
      </c>
      <c r="K47" s="39">
        <f t="shared" si="43"/>
        <v>42</v>
      </c>
      <c r="L47" s="136" t="e">
        <f t="shared" si="44"/>
        <v>#DIV/0!</v>
      </c>
      <c r="M47" s="116">
        <v>17700</v>
      </c>
      <c r="N47" s="296">
        <f t="shared" si="45"/>
        <v>743400</v>
      </c>
      <c r="P47" s="78"/>
    </row>
    <row r="48" spans="1:16" ht="16">
      <c r="A48" s="138">
        <v>45827</v>
      </c>
      <c r="B48" s="140" t="s">
        <v>16</v>
      </c>
      <c r="C48" s="83">
        <v>129834</v>
      </c>
      <c r="D48" s="83">
        <v>130092</v>
      </c>
      <c r="E48" s="11">
        <f t="shared" si="40"/>
        <v>258</v>
      </c>
      <c r="F48" s="141">
        <v>37</v>
      </c>
      <c r="G48" s="13">
        <f t="shared" si="41"/>
        <v>14.34108527131783</v>
      </c>
      <c r="H48" s="83"/>
      <c r="I48" s="125"/>
      <c r="J48" s="83">
        <f t="shared" si="42"/>
        <v>0</v>
      </c>
      <c r="K48" s="39">
        <f t="shared" si="43"/>
        <v>37</v>
      </c>
      <c r="L48" s="136" t="e">
        <f t="shared" si="44"/>
        <v>#DIV/0!</v>
      </c>
      <c r="M48" s="116">
        <v>17700</v>
      </c>
      <c r="N48" s="297">
        <f t="shared" si="45"/>
        <v>654900</v>
      </c>
    </row>
    <row r="49" spans="1:14" ht="16">
      <c r="A49" s="139">
        <v>45832</v>
      </c>
      <c r="B49" s="90" t="s">
        <v>16</v>
      </c>
      <c r="C49" s="83">
        <v>130092</v>
      </c>
      <c r="D49" s="83">
        <v>130402</v>
      </c>
      <c r="E49" s="11">
        <f t="shared" si="40"/>
        <v>310</v>
      </c>
      <c r="F49" s="141">
        <v>41</v>
      </c>
      <c r="G49" s="13">
        <f t="shared" si="41"/>
        <v>13.225806451612904</v>
      </c>
      <c r="H49" s="83"/>
      <c r="I49" s="125"/>
      <c r="J49" s="83">
        <f t="shared" si="42"/>
        <v>0</v>
      </c>
      <c r="K49" s="39">
        <f t="shared" si="43"/>
        <v>41</v>
      </c>
      <c r="L49" s="136" t="e">
        <f t="shared" si="44"/>
        <v>#DIV/0!</v>
      </c>
      <c r="M49" s="116">
        <v>19150</v>
      </c>
      <c r="N49" s="297">
        <f t="shared" si="45"/>
        <v>785150</v>
      </c>
    </row>
    <row r="50" spans="1:14" ht="16">
      <c r="A50" s="133">
        <v>45834</v>
      </c>
      <c r="B50" s="140" t="s">
        <v>16</v>
      </c>
      <c r="C50" s="134">
        <v>130402</v>
      </c>
      <c r="D50" s="134">
        <v>130673</v>
      </c>
      <c r="E50" s="11">
        <f t="shared" si="40"/>
        <v>271</v>
      </c>
      <c r="F50" s="143">
        <v>40</v>
      </c>
      <c r="G50" s="54"/>
      <c r="H50" s="134"/>
      <c r="I50" s="135"/>
      <c r="J50" s="134"/>
      <c r="K50" s="39">
        <f t="shared" si="43"/>
        <v>40</v>
      </c>
      <c r="L50" s="136" t="e">
        <f t="shared" si="44"/>
        <v>#DIV/0!</v>
      </c>
      <c r="M50" s="137">
        <v>19150</v>
      </c>
      <c r="N50" s="297">
        <f t="shared" si="45"/>
        <v>766000</v>
      </c>
    </row>
    <row r="51" spans="1:14" ht="16">
      <c r="A51" s="133">
        <v>45838</v>
      </c>
      <c r="B51" s="90" t="s">
        <v>16</v>
      </c>
      <c r="C51" s="134">
        <v>130673</v>
      </c>
      <c r="D51" s="134">
        <v>130963</v>
      </c>
      <c r="E51" s="24">
        <f t="shared" si="40"/>
        <v>290</v>
      </c>
      <c r="F51" s="143">
        <v>37</v>
      </c>
      <c r="G51" s="54">
        <f>(F51/E51)*100</f>
        <v>12.758620689655173</v>
      </c>
      <c r="H51" s="134"/>
      <c r="I51" s="135"/>
      <c r="J51" s="134">
        <f>I51-H51</f>
        <v>0</v>
      </c>
      <c r="K51" s="134">
        <f t="shared" si="43"/>
        <v>37</v>
      </c>
      <c r="L51" s="136" t="e">
        <f t="shared" si="44"/>
        <v>#DIV/0!</v>
      </c>
      <c r="M51" s="137">
        <v>19700</v>
      </c>
      <c r="N51" s="298">
        <f t="shared" si="45"/>
        <v>728900</v>
      </c>
    </row>
    <row r="52" spans="1:14" ht="16">
      <c r="A52" s="59"/>
      <c r="B52" s="60"/>
      <c r="C52" s="59"/>
      <c r="D52" s="59" t="s">
        <v>19</v>
      </c>
      <c r="E52" s="59">
        <f t="shared" ref="E52:F52" si="46">SUM(E44:E51)</f>
        <v>2727</v>
      </c>
      <c r="F52" s="59">
        <f t="shared" si="46"/>
        <v>317</v>
      </c>
      <c r="G52" s="61">
        <f>AVERAGE(G44:G51)</f>
        <v>12.601835936694366</v>
      </c>
      <c r="H52" s="59"/>
      <c r="I52" s="62"/>
      <c r="J52" s="59">
        <f t="shared" ref="J52:K52" si="47">SUM(J44:J51)</f>
        <v>995</v>
      </c>
      <c r="K52" s="59">
        <f t="shared" si="47"/>
        <v>317</v>
      </c>
      <c r="L52" s="61" t="e">
        <f>AVERAGE(L44:L51)</f>
        <v>#DIV/0!</v>
      </c>
      <c r="M52" s="64"/>
      <c r="N52" s="299">
        <f>SUM(N44:N51)</f>
        <v>5757150</v>
      </c>
    </row>
    <row r="53" spans="1:14" ht="16">
      <c r="A53" s="66">
        <v>45812</v>
      </c>
      <c r="B53" s="278" t="s">
        <v>18</v>
      </c>
      <c r="C53" s="134">
        <v>133318</v>
      </c>
      <c r="D53" s="39">
        <v>133725</v>
      </c>
      <c r="E53" s="36">
        <f t="shared" ref="E53:E59" si="48">D53-C53</f>
        <v>407</v>
      </c>
      <c r="F53" s="37">
        <v>51</v>
      </c>
      <c r="G53" s="13">
        <f t="shared" ref="G53:G59" si="49">(F53/E53)*100</f>
        <v>12.530712530712531</v>
      </c>
      <c r="H53" s="135">
        <v>8851</v>
      </c>
      <c r="I53" s="126">
        <v>9269</v>
      </c>
      <c r="J53" s="39">
        <f t="shared" ref="J53:J59" si="50">I53-H53</f>
        <v>418</v>
      </c>
      <c r="K53" s="39">
        <f t="shared" ref="K53:K59" si="51">F53</f>
        <v>51</v>
      </c>
      <c r="L53" s="136">
        <f t="shared" ref="L53:L59" si="52">(K53/J53)*100</f>
        <v>12.200956937799043</v>
      </c>
      <c r="M53" s="68">
        <v>17130</v>
      </c>
      <c r="N53" s="294">
        <f t="shared" ref="N53:N59" si="53">F53*M53</f>
        <v>873630</v>
      </c>
    </row>
    <row r="54" spans="1:14" ht="16">
      <c r="A54" s="138">
        <v>45815</v>
      </c>
      <c r="B54" s="140" t="s">
        <v>18</v>
      </c>
      <c r="C54" s="83">
        <v>133725</v>
      </c>
      <c r="D54" s="83">
        <v>134025</v>
      </c>
      <c r="E54" s="11">
        <f t="shared" si="48"/>
        <v>300</v>
      </c>
      <c r="F54" s="141">
        <v>41</v>
      </c>
      <c r="G54" s="13">
        <f t="shared" si="49"/>
        <v>13.666666666666666</v>
      </c>
      <c r="H54" s="83"/>
      <c r="I54" s="125"/>
      <c r="J54" s="83">
        <f t="shared" si="50"/>
        <v>0</v>
      </c>
      <c r="K54" s="83">
        <f t="shared" si="51"/>
        <v>41</v>
      </c>
      <c r="L54" s="136" t="e">
        <f t="shared" si="52"/>
        <v>#DIV/0!</v>
      </c>
      <c r="M54" s="116">
        <v>17420</v>
      </c>
      <c r="N54" s="296">
        <f t="shared" si="53"/>
        <v>714220</v>
      </c>
    </row>
    <row r="55" spans="1:14" ht="16">
      <c r="A55" s="249">
        <v>45819</v>
      </c>
      <c r="B55" s="140" t="s">
        <v>18</v>
      </c>
      <c r="C55" s="83">
        <v>134025</v>
      </c>
      <c r="D55" s="83">
        <v>134366</v>
      </c>
      <c r="E55" s="11">
        <f t="shared" si="48"/>
        <v>341</v>
      </c>
      <c r="F55" s="141">
        <v>45</v>
      </c>
      <c r="G55" s="13">
        <f t="shared" si="49"/>
        <v>13.196480938416421</v>
      </c>
      <c r="H55" s="83"/>
      <c r="I55" s="125"/>
      <c r="J55" s="83">
        <f t="shared" si="50"/>
        <v>0</v>
      </c>
      <c r="K55" s="83">
        <f t="shared" si="51"/>
        <v>45</v>
      </c>
      <c r="L55" s="136" t="e">
        <f t="shared" si="52"/>
        <v>#DIV/0!</v>
      </c>
      <c r="M55" s="116">
        <v>17420</v>
      </c>
      <c r="N55" s="296">
        <f t="shared" si="53"/>
        <v>783900</v>
      </c>
    </row>
    <row r="56" spans="1:14" ht="16">
      <c r="A56" s="138">
        <v>45822</v>
      </c>
      <c r="B56" s="140" t="s">
        <v>18</v>
      </c>
      <c r="C56" s="83">
        <v>134366</v>
      </c>
      <c r="D56" s="83">
        <v>134652</v>
      </c>
      <c r="E56" s="11">
        <f t="shared" si="48"/>
        <v>286</v>
      </c>
      <c r="F56" s="141">
        <v>40</v>
      </c>
      <c r="G56" s="13">
        <f t="shared" si="49"/>
        <v>13.986013986013987</v>
      </c>
      <c r="H56" s="83"/>
      <c r="I56" s="125"/>
      <c r="J56" s="83">
        <f t="shared" si="50"/>
        <v>0</v>
      </c>
      <c r="K56" s="83">
        <f t="shared" si="51"/>
        <v>40</v>
      </c>
      <c r="L56" s="136" t="e">
        <f t="shared" si="52"/>
        <v>#DIV/0!</v>
      </c>
      <c r="M56" s="116">
        <v>17700</v>
      </c>
      <c r="N56" s="297">
        <f t="shared" si="53"/>
        <v>708000</v>
      </c>
    </row>
    <row r="57" spans="1:14" ht="16">
      <c r="A57" s="138">
        <v>45826</v>
      </c>
      <c r="B57" s="140" t="s">
        <v>18</v>
      </c>
      <c r="C57" s="83">
        <v>134652</v>
      </c>
      <c r="D57" s="83">
        <v>134965</v>
      </c>
      <c r="E57" s="11">
        <f t="shared" si="48"/>
        <v>313</v>
      </c>
      <c r="F57" s="141">
        <v>40</v>
      </c>
      <c r="G57" s="13">
        <f t="shared" si="49"/>
        <v>12.779552715654951</v>
      </c>
      <c r="H57" s="83"/>
      <c r="I57" s="125"/>
      <c r="J57" s="83">
        <f t="shared" si="50"/>
        <v>0</v>
      </c>
      <c r="K57" s="83">
        <f t="shared" si="51"/>
        <v>40</v>
      </c>
      <c r="L57" s="136" t="e">
        <f t="shared" si="52"/>
        <v>#DIV/0!</v>
      </c>
      <c r="M57" s="116">
        <v>17700</v>
      </c>
      <c r="N57" s="300">
        <f t="shared" si="53"/>
        <v>708000</v>
      </c>
    </row>
    <row r="58" spans="1:14" ht="16">
      <c r="A58" s="138">
        <v>45831</v>
      </c>
      <c r="B58" s="140" t="s">
        <v>18</v>
      </c>
      <c r="C58" s="83">
        <v>134965</v>
      </c>
      <c r="D58" s="83">
        <v>135334</v>
      </c>
      <c r="E58" s="51">
        <f t="shared" si="48"/>
        <v>369</v>
      </c>
      <c r="F58" s="141">
        <v>51</v>
      </c>
      <c r="G58" s="13">
        <f t="shared" si="49"/>
        <v>13.821138211382115</v>
      </c>
      <c r="H58" s="83"/>
      <c r="I58" s="125"/>
      <c r="J58" s="83">
        <f t="shared" si="50"/>
        <v>0</v>
      </c>
      <c r="K58" s="83">
        <f t="shared" si="51"/>
        <v>51</v>
      </c>
      <c r="L58" s="136" t="e">
        <f t="shared" si="52"/>
        <v>#DIV/0!</v>
      </c>
      <c r="M58" s="116">
        <v>19150</v>
      </c>
      <c r="N58" s="300">
        <f t="shared" si="53"/>
        <v>976650</v>
      </c>
    </row>
    <row r="59" spans="1:14" ht="16">
      <c r="A59" s="279">
        <v>45834</v>
      </c>
      <c r="B59" s="90" t="s">
        <v>18</v>
      </c>
      <c r="C59" s="134">
        <v>135334</v>
      </c>
      <c r="D59" s="134">
        <v>135663</v>
      </c>
      <c r="E59" s="24">
        <f t="shared" si="48"/>
        <v>329</v>
      </c>
      <c r="F59" s="143">
        <v>43</v>
      </c>
      <c r="G59" s="54">
        <f t="shared" si="49"/>
        <v>13.069908814589665</v>
      </c>
      <c r="H59" s="134"/>
      <c r="I59" s="135"/>
      <c r="J59" s="134">
        <f t="shared" si="50"/>
        <v>0</v>
      </c>
      <c r="K59" s="134">
        <f t="shared" si="51"/>
        <v>43</v>
      </c>
      <c r="L59" s="136" t="e">
        <f t="shared" si="52"/>
        <v>#DIV/0!</v>
      </c>
      <c r="M59" s="137">
        <v>19700</v>
      </c>
      <c r="N59" s="298">
        <f t="shared" si="53"/>
        <v>847100</v>
      </c>
    </row>
    <row r="60" spans="1:14" ht="16">
      <c r="A60" s="59"/>
      <c r="B60" s="60"/>
      <c r="C60" s="59"/>
      <c r="D60" s="59" t="s">
        <v>19</v>
      </c>
      <c r="E60" s="59">
        <f t="shared" ref="E60:F60" si="54">SUM(E53:E59)</f>
        <v>2345</v>
      </c>
      <c r="F60" s="59">
        <f t="shared" si="54"/>
        <v>311</v>
      </c>
      <c r="G60" s="61">
        <f>AVERAGE(G53:G59)</f>
        <v>13.292924837633764</v>
      </c>
      <c r="H60" s="59"/>
      <c r="I60" s="62"/>
      <c r="J60" s="59">
        <f t="shared" ref="J60:K60" si="55">SUM(J53:J59)</f>
        <v>418</v>
      </c>
      <c r="K60" s="59">
        <f t="shared" si="55"/>
        <v>311</v>
      </c>
      <c r="L60" s="61" t="e">
        <f>AVERAGE(L53:L59)</f>
        <v>#DIV/0!</v>
      </c>
      <c r="M60" s="64"/>
      <c r="N60" s="299">
        <f>SUM(N53:N59)</f>
        <v>5611500</v>
      </c>
    </row>
    <row r="61" spans="1:14" ht="16">
      <c r="A61" s="66">
        <v>45813</v>
      </c>
      <c r="B61" s="269" t="s">
        <v>20</v>
      </c>
      <c r="C61" s="83">
        <v>379032</v>
      </c>
      <c r="D61" s="39">
        <v>379818</v>
      </c>
      <c r="E61" s="36">
        <f t="shared" ref="E61:E67" si="56">D61-C61</f>
        <v>786</v>
      </c>
      <c r="F61" s="37">
        <v>92</v>
      </c>
      <c r="G61" s="13">
        <f t="shared" ref="G61:G67" si="57">(F61/E61)*100</f>
        <v>11.704834605597965</v>
      </c>
      <c r="H61" s="125">
        <v>17454</v>
      </c>
      <c r="I61" s="126">
        <v>18582</v>
      </c>
      <c r="J61" s="39">
        <f t="shared" ref="J61:J67" si="58">I61-H61</f>
        <v>1128</v>
      </c>
      <c r="K61" s="39">
        <f t="shared" ref="K61:K67" si="59">F61</f>
        <v>92</v>
      </c>
      <c r="L61" s="136">
        <f t="shared" ref="L61:L67" si="60">(K61/J61)*100</f>
        <v>8.1560283687943276</v>
      </c>
      <c r="M61" s="68">
        <v>17420</v>
      </c>
      <c r="N61" s="305">
        <f t="shared" ref="N61:N67" si="61">F61*M61</f>
        <v>1602640</v>
      </c>
    </row>
    <row r="62" spans="1:14" ht="16">
      <c r="A62" s="138">
        <v>45821</v>
      </c>
      <c r="B62" s="140" t="s">
        <v>20</v>
      </c>
      <c r="C62" s="83">
        <v>379818</v>
      </c>
      <c r="D62" s="83">
        <v>380526</v>
      </c>
      <c r="E62" s="11">
        <f t="shared" si="56"/>
        <v>708</v>
      </c>
      <c r="F62" s="141">
        <v>80</v>
      </c>
      <c r="G62" s="13">
        <f t="shared" si="57"/>
        <v>11.299435028248588</v>
      </c>
      <c r="H62" s="83"/>
      <c r="I62" s="125"/>
      <c r="J62" s="83">
        <f t="shared" si="58"/>
        <v>0</v>
      </c>
      <c r="K62" s="39">
        <f t="shared" si="59"/>
        <v>80</v>
      </c>
      <c r="L62" s="136" t="e">
        <f t="shared" si="60"/>
        <v>#DIV/0!</v>
      </c>
      <c r="M62" s="116">
        <v>17700</v>
      </c>
      <c r="N62" s="296">
        <f t="shared" si="61"/>
        <v>1416000</v>
      </c>
    </row>
    <row r="63" spans="1:14" ht="16">
      <c r="A63" s="138">
        <v>45827</v>
      </c>
      <c r="B63" s="140" t="s">
        <v>20</v>
      </c>
      <c r="C63" s="83">
        <v>380526</v>
      </c>
      <c r="D63" s="83">
        <v>381218</v>
      </c>
      <c r="E63" s="11">
        <f t="shared" si="56"/>
        <v>692</v>
      </c>
      <c r="F63" s="141">
        <v>85</v>
      </c>
      <c r="G63" s="13">
        <f t="shared" si="57"/>
        <v>12.283236994219653</v>
      </c>
      <c r="H63" s="83"/>
      <c r="I63" s="125"/>
      <c r="J63" s="83">
        <f t="shared" si="58"/>
        <v>0</v>
      </c>
      <c r="K63" s="240">
        <f t="shared" si="59"/>
        <v>85</v>
      </c>
      <c r="L63" s="136" t="e">
        <f t="shared" si="60"/>
        <v>#DIV/0!</v>
      </c>
      <c r="M63" s="116">
        <v>17700</v>
      </c>
      <c r="N63" s="297">
        <f t="shared" si="61"/>
        <v>1504500</v>
      </c>
    </row>
    <row r="64" spans="1:14" ht="16">
      <c r="A64" s="138">
        <v>45836</v>
      </c>
      <c r="B64" s="140" t="s">
        <v>20</v>
      </c>
      <c r="C64" s="83">
        <v>381218</v>
      </c>
      <c r="D64" s="83">
        <v>381978</v>
      </c>
      <c r="E64" s="11">
        <f t="shared" si="56"/>
        <v>760</v>
      </c>
      <c r="F64" s="141">
        <v>92</v>
      </c>
      <c r="G64" s="13">
        <f t="shared" si="57"/>
        <v>12.105263157894736</v>
      </c>
      <c r="H64" s="83"/>
      <c r="I64" s="125"/>
      <c r="J64" s="83">
        <f t="shared" si="58"/>
        <v>0</v>
      </c>
      <c r="K64" s="83">
        <f t="shared" si="59"/>
        <v>92</v>
      </c>
      <c r="L64" s="136" t="e">
        <f t="shared" si="60"/>
        <v>#DIV/0!</v>
      </c>
      <c r="M64" s="116">
        <v>19700</v>
      </c>
      <c r="N64" s="300">
        <f t="shared" si="61"/>
        <v>1812400</v>
      </c>
    </row>
    <row r="65" spans="1:14" ht="16">
      <c r="A65" s="138"/>
      <c r="B65" s="140" t="s">
        <v>20</v>
      </c>
      <c r="C65" s="83"/>
      <c r="D65" s="83"/>
      <c r="E65" s="11">
        <f t="shared" si="56"/>
        <v>0</v>
      </c>
      <c r="F65" s="141"/>
      <c r="G65" s="13" t="e">
        <f t="shared" si="57"/>
        <v>#DIV/0!</v>
      </c>
      <c r="H65" s="83"/>
      <c r="I65" s="125"/>
      <c r="J65" s="83">
        <f t="shared" si="58"/>
        <v>0</v>
      </c>
      <c r="K65" s="83">
        <f t="shared" si="59"/>
        <v>0</v>
      </c>
      <c r="L65" s="136" t="e">
        <f t="shared" si="60"/>
        <v>#DIV/0!</v>
      </c>
      <c r="M65" s="116"/>
      <c r="N65" s="300">
        <f t="shared" si="61"/>
        <v>0</v>
      </c>
    </row>
    <row r="66" spans="1:14" ht="16">
      <c r="A66" s="244"/>
      <c r="B66" s="90" t="s">
        <v>20</v>
      </c>
      <c r="C66" s="83"/>
      <c r="D66" s="83"/>
      <c r="E66" s="11">
        <f t="shared" si="56"/>
        <v>0</v>
      </c>
      <c r="F66" s="141"/>
      <c r="G66" s="13" t="e">
        <f t="shared" si="57"/>
        <v>#DIV/0!</v>
      </c>
      <c r="H66" s="83"/>
      <c r="I66" s="125"/>
      <c r="J66" s="83">
        <f t="shared" si="58"/>
        <v>0</v>
      </c>
      <c r="K66" s="83">
        <f t="shared" si="59"/>
        <v>0</v>
      </c>
      <c r="L66" s="136" t="e">
        <f t="shared" si="60"/>
        <v>#DIV/0!</v>
      </c>
      <c r="M66" s="116"/>
      <c r="N66" s="300">
        <f t="shared" si="61"/>
        <v>0</v>
      </c>
    </row>
    <row r="67" spans="1:14" ht="16">
      <c r="A67" s="271"/>
      <c r="B67" s="283"/>
      <c r="C67" s="134"/>
      <c r="D67" s="134"/>
      <c r="E67" s="24">
        <f t="shared" si="56"/>
        <v>0</v>
      </c>
      <c r="F67" s="143"/>
      <c r="G67" s="54" t="e">
        <f t="shared" si="57"/>
        <v>#DIV/0!</v>
      </c>
      <c r="H67" s="134"/>
      <c r="I67" s="135"/>
      <c r="J67" s="134">
        <f t="shared" si="58"/>
        <v>0</v>
      </c>
      <c r="K67" s="134">
        <f t="shared" si="59"/>
        <v>0</v>
      </c>
      <c r="L67" s="136" t="e">
        <f t="shared" si="60"/>
        <v>#DIV/0!</v>
      </c>
      <c r="M67" s="137"/>
      <c r="N67" s="298">
        <f t="shared" si="61"/>
        <v>0</v>
      </c>
    </row>
    <row r="68" spans="1:14" ht="16">
      <c r="A68" s="59"/>
      <c r="B68" s="60"/>
      <c r="C68" s="59"/>
      <c r="D68" s="59" t="s">
        <v>19</v>
      </c>
      <c r="E68" s="59">
        <f t="shared" ref="E68:F68" si="62">SUM(E61:E67)</f>
        <v>2946</v>
      </c>
      <c r="F68" s="59">
        <f t="shared" si="62"/>
        <v>349</v>
      </c>
      <c r="G68" s="61" t="e">
        <f>AVERAGE(G61:G67)</f>
        <v>#DIV/0!</v>
      </c>
      <c r="H68" s="59"/>
      <c r="I68" s="62"/>
      <c r="J68" s="59">
        <f t="shared" ref="J68:K68" si="63">SUM(J61:J67)</f>
        <v>1128</v>
      </c>
      <c r="K68" s="59">
        <f t="shared" si="63"/>
        <v>349</v>
      </c>
      <c r="L68" s="61" t="e">
        <f>AVERAGE(L61:L67)</f>
        <v>#DIV/0!</v>
      </c>
      <c r="M68" s="64"/>
      <c r="N68" s="299">
        <f>SUM(N61:N67)</f>
        <v>6335540</v>
      </c>
    </row>
    <row r="69" spans="1:14" ht="16">
      <c r="A69" s="85">
        <v>45810</v>
      </c>
      <c r="B69" s="269" t="s">
        <v>21</v>
      </c>
      <c r="C69" s="83">
        <v>361159</v>
      </c>
      <c r="D69" s="39">
        <v>361726</v>
      </c>
      <c r="E69" s="36">
        <f t="shared" ref="E69:E75" si="64">D69-C69</f>
        <v>567</v>
      </c>
      <c r="F69" s="37">
        <v>70</v>
      </c>
      <c r="G69" s="13">
        <f t="shared" ref="G69:G75" si="65">(F69/E69)*100</f>
        <v>12.345679012345679</v>
      </c>
      <c r="H69" s="125">
        <v>8715</v>
      </c>
      <c r="I69" s="125">
        <v>9356</v>
      </c>
      <c r="J69" s="39">
        <f t="shared" ref="J69:J75" si="66">I69-H69</f>
        <v>641</v>
      </c>
      <c r="K69" s="39">
        <f>F69</f>
        <v>70</v>
      </c>
      <c r="L69" s="136">
        <f t="shared" ref="L69:L75" si="67">(K69/J69)*100</f>
        <v>10.9204368174727</v>
      </c>
      <c r="M69" s="68">
        <v>17130</v>
      </c>
      <c r="N69" s="294">
        <f t="shared" ref="N69:N75" si="68">F69*M69</f>
        <v>1199100</v>
      </c>
    </row>
    <row r="70" spans="1:14" ht="16">
      <c r="A70" s="138">
        <v>45817</v>
      </c>
      <c r="B70" s="140" t="s">
        <v>21</v>
      </c>
      <c r="C70" s="39">
        <v>361726</v>
      </c>
      <c r="D70" s="83">
        <v>362259</v>
      </c>
      <c r="E70" s="11">
        <f t="shared" si="64"/>
        <v>533</v>
      </c>
      <c r="F70" s="141">
        <v>75</v>
      </c>
      <c r="G70" s="13">
        <f t="shared" si="65"/>
        <v>14.071294559099437</v>
      </c>
      <c r="H70" s="83">
        <v>9356</v>
      </c>
      <c r="I70" s="125">
        <v>9801</v>
      </c>
      <c r="J70" s="83">
        <f t="shared" si="66"/>
        <v>445</v>
      </c>
      <c r="K70" s="83">
        <v>75</v>
      </c>
      <c r="L70" s="136">
        <f t="shared" si="67"/>
        <v>16.853932584269664</v>
      </c>
      <c r="M70" s="116">
        <v>17420</v>
      </c>
      <c r="N70" s="296">
        <f t="shared" si="68"/>
        <v>1306500</v>
      </c>
    </row>
    <row r="71" spans="1:14" ht="16">
      <c r="A71" s="138">
        <v>45822</v>
      </c>
      <c r="B71" s="140" t="s">
        <v>21</v>
      </c>
      <c r="C71" s="83">
        <v>362259</v>
      </c>
      <c r="D71" s="83">
        <v>362877</v>
      </c>
      <c r="E71" s="11">
        <f t="shared" si="64"/>
        <v>618</v>
      </c>
      <c r="F71" s="141">
        <v>80</v>
      </c>
      <c r="G71" s="13">
        <f t="shared" si="65"/>
        <v>12.944983818770226</v>
      </c>
      <c r="H71" s="83"/>
      <c r="I71" s="125"/>
      <c r="J71" s="83">
        <f t="shared" si="66"/>
        <v>0</v>
      </c>
      <c r="K71" s="83"/>
      <c r="L71" s="136" t="e">
        <f t="shared" si="67"/>
        <v>#DIV/0!</v>
      </c>
      <c r="M71" s="116">
        <v>17700</v>
      </c>
      <c r="N71" s="296">
        <f t="shared" si="68"/>
        <v>1416000</v>
      </c>
    </row>
    <row r="72" spans="1:14" ht="16">
      <c r="A72" s="284">
        <v>45828</v>
      </c>
      <c r="B72" s="140" t="s">
        <v>21</v>
      </c>
      <c r="C72" s="83">
        <v>362877</v>
      </c>
      <c r="D72" s="83">
        <v>363532</v>
      </c>
      <c r="E72" s="11">
        <f t="shared" si="64"/>
        <v>655</v>
      </c>
      <c r="F72" s="141">
        <v>80</v>
      </c>
      <c r="G72" s="13">
        <f t="shared" si="65"/>
        <v>12.213740458015266</v>
      </c>
      <c r="H72" s="83"/>
      <c r="I72" s="125"/>
      <c r="J72" s="83">
        <f t="shared" si="66"/>
        <v>0</v>
      </c>
      <c r="K72" s="83"/>
      <c r="L72" s="136" t="e">
        <f t="shared" si="67"/>
        <v>#DIV/0!</v>
      </c>
      <c r="M72" s="116">
        <v>19150</v>
      </c>
      <c r="N72" s="306">
        <f t="shared" si="68"/>
        <v>1532000</v>
      </c>
    </row>
    <row r="73" spans="1:14" ht="16">
      <c r="A73" s="138">
        <v>45834</v>
      </c>
      <c r="B73" s="140" t="s">
        <v>21</v>
      </c>
      <c r="C73" s="83">
        <v>363532</v>
      </c>
      <c r="D73" s="83">
        <v>363984</v>
      </c>
      <c r="E73" s="11">
        <f t="shared" si="64"/>
        <v>452</v>
      </c>
      <c r="F73" s="141">
        <v>72</v>
      </c>
      <c r="G73" s="13">
        <f t="shared" si="65"/>
        <v>15.929203539823009</v>
      </c>
      <c r="H73" s="83"/>
      <c r="I73" s="125"/>
      <c r="J73" s="83">
        <f t="shared" si="66"/>
        <v>0</v>
      </c>
      <c r="K73" s="83">
        <f t="shared" ref="K73:K75" si="69">F73</f>
        <v>72</v>
      </c>
      <c r="L73" s="136" t="e">
        <f t="shared" si="67"/>
        <v>#DIV/0!</v>
      </c>
      <c r="M73" s="116">
        <v>19700</v>
      </c>
      <c r="N73" s="300">
        <f t="shared" si="68"/>
        <v>1418400</v>
      </c>
    </row>
    <row r="74" spans="1:14" ht="16">
      <c r="A74" s="139"/>
      <c r="B74" s="90" t="s">
        <v>37</v>
      </c>
      <c r="C74" s="83"/>
      <c r="D74" s="83"/>
      <c r="E74" s="11">
        <f t="shared" si="64"/>
        <v>0</v>
      </c>
      <c r="F74" s="141"/>
      <c r="G74" s="13" t="e">
        <f t="shared" si="65"/>
        <v>#DIV/0!</v>
      </c>
      <c r="H74" s="83"/>
      <c r="I74" s="125"/>
      <c r="J74" s="83">
        <f t="shared" si="66"/>
        <v>0</v>
      </c>
      <c r="K74" s="83">
        <f t="shared" si="69"/>
        <v>0</v>
      </c>
      <c r="L74" s="136" t="e">
        <f t="shared" si="67"/>
        <v>#DIV/0!</v>
      </c>
      <c r="M74" s="116"/>
      <c r="N74" s="300">
        <f t="shared" si="68"/>
        <v>0</v>
      </c>
    </row>
    <row r="75" spans="1:14" ht="16">
      <c r="A75" s="271"/>
      <c r="B75" s="283"/>
      <c r="C75" s="134"/>
      <c r="D75" s="134"/>
      <c r="E75" s="24">
        <f t="shared" si="64"/>
        <v>0</v>
      </c>
      <c r="F75" s="143"/>
      <c r="G75" s="54" t="e">
        <f t="shared" si="65"/>
        <v>#DIV/0!</v>
      </c>
      <c r="H75" s="134"/>
      <c r="I75" s="135"/>
      <c r="J75" s="134">
        <f t="shared" si="66"/>
        <v>0</v>
      </c>
      <c r="K75" s="134">
        <f t="shared" si="69"/>
        <v>0</v>
      </c>
      <c r="L75" s="136" t="e">
        <f t="shared" si="67"/>
        <v>#DIV/0!</v>
      </c>
      <c r="M75" s="137"/>
      <c r="N75" s="298">
        <f t="shared" si="68"/>
        <v>0</v>
      </c>
    </row>
    <row r="76" spans="1:14" ht="16">
      <c r="A76" s="59"/>
      <c r="B76" s="60"/>
      <c r="C76" s="59"/>
      <c r="D76" s="59" t="s">
        <v>19</v>
      </c>
      <c r="E76" s="59">
        <f t="shared" ref="E76:F76" si="70">SUM(E69:E75)</f>
        <v>2825</v>
      </c>
      <c r="F76" s="59">
        <f t="shared" si="70"/>
        <v>377</v>
      </c>
      <c r="G76" s="61" t="e">
        <f>AVERAGE(G69:G75)</f>
        <v>#DIV/0!</v>
      </c>
      <c r="H76" s="59"/>
      <c r="I76" s="62"/>
      <c r="J76" s="59">
        <f t="shared" ref="J76:K76" si="71">SUM(J69:J75)</f>
        <v>1086</v>
      </c>
      <c r="K76" s="59">
        <f t="shared" si="71"/>
        <v>217</v>
      </c>
      <c r="L76" s="61" t="e">
        <f>AVERAGE(L69:L75)</f>
        <v>#DIV/0!</v>
      </c>
      <c r="M76" s="64"/>
      <c r="N76" s="299">
        <f>SUM(N69:N75)</f>
        <v>6872000</v>
      </c>
    </row>
    <row r="77" spans="1:14" ht="16">
      <c r="A77" s="66">
        <v>45824</v>
      </c>
      <c r="B77" s="278" t="s">
        <v>22</v>
      </c>
      <c r="C77" s="83"/>
      <c r="D77" s="39">
        <v>198738</v>
      </c>
      <c r="E77" s="36">
        <f t="shared" ref="E77:E83" si="72">D77-C77</f>
        <v>198738</v>
      </c>
      <c r="F77" s="37">
        <v>72</v>
      </c>
      <c r="G77" s="13">
        <f t="shared" ref="G77:G83" si="73">(F77/E77)*100</f>
        <v>3.6228602481659274E-2</v>
      </c>
      <c r="H77" s="135"/>
      <c r="I77" s="126"/>
      <c r="J77" s="39">
        <f t="shared" ref="J77:J83" si="74">I77-H77</f>
        <v>0</v>
      </c>
      <c r="K77" s="39">
        <f t="shared" ref="K77:K83" si="75">F77</f>
        <v>72</v>
      </c>
      <c r="L77" s="136" t="e">
        <f t="shared" ref="L77:L83" si="76">(K77/J77)*100</f>
        <v>#DIV/0!</v>
      </c>
      <c r="M77" s="68">
        <v>17700</v>
      </c>
      <c r="N77" s="294">
        <f t="shared" ref="N77:N83" si="77">F77*M77</f>
        <v>1274400</v>
      </c>
    </row>
    <row r="78" spans="1:14" ht="16">
      <c r="A78" s="138">
        <v>45831</v>
      </c>
      <c r="B78" s="140" t="s">
        <v>22</v>
      </c>
      <c r="C78" s="83">
        <v>198738</v>
      </c>
      <c r="D78" s="83">
        <v>199258</v>
      </c>
      <c r="E78" s="11">
        <f t="shared" si="72"/>
        <v>520</v>
      </c>
      <c r="F78" s="141">
        <v>70</v>
      </c>
      <c r="G78" s="13">
        <f t="shared" si="73"/>
        <v>13.461538461538462</v>
      </c>
      <c r="H78" s="126"/>
      <c r="I78" s="126"/>
      <c r="J78" s="83">
        <f t="shared" si="74"/>
        <v>0</v>
      </c>
      <c r="K78" s="83">
        <f t="shared" si="75"/>
        <v>70</v>
      </c>
      <c r="L78" s="136" t="e">
        <f t="shared" si="76"/>
        <v>#DIV/0!</v>
      </c>
      <c r="M78" s="116">
        <v>19150</v>
      </c>
      <c r="N78" s="296">
        <f t="shared" si="77"/>
        <v>1340500</v>
      </c>
    </row>
    <row r="79" spans="1:14" ht="16">
      <c r="A79" s="139">
        <v>45838</v>
      </c>
      <c r="B79" s="140" t="s">
        <v>22</v>
      </c>
      <c r="C79" s="83">
        <v>199258</v>
      </c>
      <c r="D79" s="83">
        <v>199823</v>
      </c>
      <c r="E79" s="11">
        <f t="shared" si="72"/>
        <v>565</v>
      </c>
      <c r="F79" s="141">
        <v>69</v>
      </c>
      <c r="G79" s="13">
        <f t="shared" si="73"/>
        <v>12.212389380530974</v>
      </c>
      <c r="H79" s="83"/>
      <c r="I79" s="125"/>
      <c r="J79" s="83">
        <f t="shared" si="74"/>
        <v>0</v>
      </c>
      <c r="K79" s="83">
        <f t="shared" si="75"/>
        <v>69</v>
      </c>
      <c r="L79" s="136" t="e">
        <f t="shared" si="76"/>
        <v>#DIV/0!</v>
      </c>
      <c r="M79" s="116">
        <v>19700</v>
      </c>
      <c r="N79" s="297">
        <f t="shared" si="77"/>
        <v>1359300</v>
      </c>
    </row>
    <row r="80" spans="1:14" ht="16">
      <c r="A80" s="138"/>
      <c r="B80" s="140" t="s">
        <v>22</v>
      </c>
      <c r="C80" s="83"/>
      <c r="D80" s="83"/>
      <c r="E80" s="11">
        <f t="shared" si="72"/>
        <v>0</v>
      </c>
      <c r="F80" s="141"/>
      <c r="G80" s="13" t="e">
        <f t="shared" si="73"/>
        <v>#DIV/0!</v>
      </c>
      <c r="H80" s="83"/>
      <c r="I80" s="125"/>
      <c r="J80" s="83">
        <f t="shared" si="74"/>
        <v>0</v>
      </c>
      <c r="K80" s="83">
        <f t="shared" si="75"/>
        <v>0</v>
      </c>
      <c r="L80" s="136" t="e">
        <f t="shared" si="76"/>
        <v>#DIV/0!</v>
      </c>
      <c r="M80" s="116"/>
      <c r="N80" s="297">
        <f t="shared" si="77"/>
        <v>0</v>
      </c>
    </row>
    <row r="81" spans="1:26" ht="16">
      <c r="A81" s="138"/>
      <c r="B81" s="140" t="s">
        <v>22</v>
      </c>
      <c r="C81" s="83"/>
      <c r="D81" s="83"/>
      <c r="E81" s="11">
        <f t="shared" si="72"/>
        <v>0</v>
      </c>
      <c r="F81" s="141"/>
      <c r="G81" s="13" t="e">
        <f t="shared" si="73"/>
        <v>#DIV/0!</v>
      </c>
      <c r="H81" s="83"/>
      <c r="I81" s="125"/>
      <c r="J81" s="83">
        <f t="shared" si="74"/>
        <v>0</v>
      </c>
      <c r="K81" s="83">
        <f t="shared" si="75"/>
        <v>0</v>
      </c>
      <c r="L81" s="136" t="e">
        <f t="shared" si="76"/>
        <v>#DIV/0!</v>
      </c>
      <c r="M81" s="116"/>
      <c r="N81" s="297">
        <f t="shared" si="77"/>
        <v>0</v>
      </c>
    </row>
    <row r="82" spans="1:26" ht="16">
      <c r="A82" s="133"/>
      <c r="B82" s="140" t="s">
        <v>22</v>
      </c>
      <c r="C82" s="83"/>
      <c r="D82" s="83"/>
      <c r="E82" s="11">
        <f t="shared" si="72"/>
        <v>0</v>
      </c>
      <c r="F82" s="141"/>
      <c r="G82" s="13" t="e">
        <f t="shared" si="73"/>
        <v>#DIV/0!</v>
      </c>
      <c r="H82" s="83"/>
      <c r="I82" s="125"/>
      <c r="J82" s="83">
        <f t="shared" si="74"/>
        <v>0</v>
      </c>
      <c r="K82" s="83">
        <f t="shared" si="75"/>
        <v>0</v>
      </c>
      <c r="L82" s="136" t="e">
        <f t="shared" si="76"/>
        <v>#DIV/0!</v>
      </c>
      <c r="M82" s="116"/>
      <c r="N82" s="300">
        <f t="shared" si="77"/>
        <v>0</v>
      </c>
    </row>
    <row r="83" spans="1:26" ht="16">
      <c r="A83" s="133"/>
      <c r="B83" s="272"/>
      <c r="C83" s="134"/>
      <c r="D83" s="134"/>
      <c r="E83" s="24">
        <f t="shared" si="72"/>
        <v>0</v>
      </c>
      <c r="F83" s="143"/>
      <c r="G83" s="54" t="e">
        <f t="shared" si="73"/>
        <v>#DIV/0!</v>
      </c>
      <c r="H83" s="134"/>
      <c r="I83" s="135"/>
      <c r="J83" s="134">
        <f t="shared" si="74"/>
        <v>0</v>
      </c>
      <c r="K83" s="134">
        <f t="shared" si="75"/>
        <v>0</v>
      </c>
      <c r="L83" s="136" t="e">
        <f t="shared" si="76"/>
        <v>#DIV/0!</v>
      </c>
      <c r="M83" s="137"/>
      <c r="N83" s="298">
        <f t="shared" si="77"/>
        <v>0</v>
      </c>
    </row>
    <row r="84" spans="1:26" ht="16">
      <c r="A84" s="59"/>
      <c r="B84" s="60"/>
      <c r="C84" s="59"/>
      <c r="D84" s="59" t="s">
        <v>19</v>
      </c>
      <c r="E84" s="59">
        <f t="shared" ref="E84:F84" si="78">SUM(E77:E83)</f>
        <v>199823</v>
      </c>
      <c r="F84" s="59">
        <f t="shared" si="78"/>
        <v>211</v>
      </c>
      <c r="G84" s="61" t="e">
        <f>AVERAGE(G77:G83)</f>
        <v>#DIV/0!</v>
      </c>
      <c r="H84" s="59"/>
      <c r="I84" s="62"/>
      <c r="J84" s="59">
        <f t="shared" ref="J84:K84" si="79">SUM(J77:J83)</f>
        <v>0</v>
      </c>
      <c r="K84" s="59">
        <f t="shared" si="79"/>
        <v>211</v>
      </c>
      <c r="L84" s="61" t="e">
        <f>AVERAGE(L77:L83)</f>
        <v>#DIV/0!</v>
      </c>
      <c r="M84" s="64"/>
      <c r="N84" s="299">
        <f>SUM(N77:N83)</f>
        <v>3974200</v>
      </c>
    </row>
    <row r="85" spans="1:26" ht="16">
      <c r="A85" s="89">
        <v>45811</v>
      </c>
      <c r="B85" s="140" t="s">
        <v>38</v>
      </c>
      <c r="C85" s="330">
        <v>149559</v>
      </c>
      <c r="D85" s="39">
        <v>150151</v>
      </c>
      <c r="E85" s="36">
        <f t="shared" ref="E85:E90" si="80">D85-C85</f>
        <v>592</v>
      </c>
      <c r="F85" s="37">
        <v>80</v>
      </c>
      <c r="G85" s="13">
        <f t="shared" ref="G85:G90" si="81">(F85/E85)*100</f>
        <v>13.513513513513514</v>
      </c>
      <c r="H85" s="125">
        <v>9994</v>
      </c>
      <c r="I85" s="126"/>
      <c r="J85" s="39">
        <f t="shared" ref="J85:J88" si="82">I85-H85</f>
        <v>-9994</v>
      </c>
      <c r="K85" s="39">
        <f t="shared" ref="K85:K90" si="83">F85</f>
        <v>80</v>
      </c>
      <c r="L85" s="136">
        <f t="shared" ref="L85:L90" si="84">(K85/J85)*100</f>
        <v>-0.80048028817290373</v>
      </c>
      <c r="M85" s="68">
        <v>17130</v>
      </c>
      <c r="N85" s="294">
        <f t="shared" ref="N85:N90" si="85">F85*M85</f>
        <v>1370400</v>
      </c>
    </row>
    <row r="86" spans="1:26" ht="16">
      <c r="A86" s="139">
        <v>45817</v>
      </c>
      <c r="B86" s="140" t="s">
        <v>38</v>
      </c>
      <c r="C86" s="83">
        <v>150151</v>
      </c>
      <c r="D86" s="83">
        <v>150749</v>
      </c>
      <c r="E86" s="36">
        <f t="shared" si="80"/>
        <v>598</v>
      </c>
      <c r="F86" s="141">
        <v>76</v>
      </c>
      <c r="G86" s="13">
        <f t="shared" si="81"/>
        <v>12.709030100334449</v>
      </c>
      <c r="H86" s="83"/>
      <c r="I86" s="125"/>
      <c r="J86" s="83">
        <f t="shared" si="82"/>
        <v>0</v>
      </c>
      <c r="K86" s="83">
        <f t="shared" si="83"/>
        <v>76</v>
      </c>
      <c r="L86" s="136" t="e">
        <f t="shared" si="84"/>
        <v>#DIV/0!</v>
      </c>
      <c r="M86" s="116">
        <v>17420</v>
      </c>
      <c r="N86" s="294">
        <f t="shared" si="85"/>
        <v>1323920</v>
      </c>
    </row>
    <row r="87" spans="1:26" ht="16">
      <c r="A87" s="139">
        <v>45821</v>
      </c>
      <c r="B87" s="272" t="s">
        <v>38</v>
      </c>
      <c r="C87" s="83">
        <v>150749</v>
      </c>
      <c r="D87" s="83">
        <v>151395</v>
      </c>
      <c r="E87" s="36">
        <f t="shared" si="80"/>
        <v>646</v>
      </c>
      <c r="F87" s="141">
        <v>75</v>
      </c>
      <c r="G87" s="13">
        <f t="shared" si="81"/>
        <v>11.609907120743033</v>
      </c>
      <c r="H87" s="83"/>
      <c r="I87" s="125"/>
      <c r="J87" s="83">
        <f t="shared" si="82"/>
        <v>0</v>
      </c>
      <c r="K87" s="83">
        <f t="shared" si="83"/>
        <v>75</v>
      </c>
      <c r="L87" s="136" t="e">
        <f t="shared" si="84"/>
        <v>#DIV/0!</v>
      </c>
      <c r="M87" s="116">
        <v>17700</v>
      </c>
      <c r="N87" s="307">
        <f t="shared" si="85"/>
        <v>1327500</v>
      </c>
    </row>
    <row r="88" spans="1:26" ht="16">
      <c r="A88" s="7">
        <v>45826</v>
      </c>
      <c r="B88" s="140" t="s">
        <v>38</v>
      </c>
      <c r="C88" s="12">
        <v>151395</v>
      </c>
      <c r="D88" s="95">
        <v>151897</v>
      </c>
      <c r="E88" s="36">
        <f t="shared" si="80"/>
        <v>502</v>
      </c>
      <c r="F88" s="141">
        <v>72</v>
      </c>
      <c r="G88" s="13">
        <f t="shared" si="81"/>
        <v>14.342629482071715</v>
      </c>
      <c r="H88" s="83"/>
      <c r="I88" s="125"/>
      <c r="J88" s="83">
        <f t="shared" si="82"/>
        <v>0</v>
      </c>
      <c r="K88" s="83">
        <f t="shared" si="83"/>
        <v>72</v>
      </c>
      <c r="L88" s="136" t="e">
        <f t="shared" si="84"/>
        <v>#DIV/0!</v>
      </c>
      <c r="M88" s="116">
        <v>17700</v>
      </c>
      <c r="N88" s="307">
        <f t="shared" si="85"/>
        <v>1274400</v>
      </c>
    </row>
    <row r="89" spans="1:26" ht="16">
      <c r="A89" s="7">
        <v>45832</v>
      </c>
      <c r="B89" s="272" t="s">
        <v>38</v>
      </c>
      <c r="C89" s="12">
        <v>151897</v>
      </c>
      <c r="D89" s="12"/>
      <c r="E89" s="36">
        <f t="shared" si="80"/>
        <v>-151897</v>
      </c>
      <c r="F89" s="141">
        <v>77</v>
      </c>
      <c r="G89" s="13">
        <f t="shared" si="81"/>
        <v>-5.0692245403135022E-2</v>
      </c>
      <c r="H89" s="125"/>
      <c r="I89" s="125"/>
      <c r="J89" s="83"/>
      <c r="K89" s="83">
        <f t="shared" si="83"/>
        <v>77</v>
      </c>
      <c r="L89" s="136" t="e">
        <f t="shared" si="84"/>
        <v>#DIV/0!</v>
      </c>
      <c r="M89" s="116">
        <v>19150</v>
      </c>
      <c r="N89" s="308">
        <f t="shared" si="85"/>
        <v>1474550</v>
      </c>
    </row>
    <row r="90" spans="1:26" ht="16">
      <c r="A90" s="138"/>
      <c r="B90" s="272" t="s">
        <v>38</v>
      </c>
      <c r="C90" s="83"/>
      <c r="D90" s="83"/>
      <c r="E90" s="36">
        <f t="shared" si="80"/>
        <v>0</v>
      </c>
      <c r="F90" s="141"/>
      <c r="G90" s="13" t="e">
        <f t="shared" si="81"/>
        <v>#DIV/0!</v>
      </c>
      <c r="H90" s="83"/>
      <c r="I90" s="125"/>
      <c r="J90" s="83"/>
      <c r="K90" s="83">
        <f t="shared" si="83"/>
        <v>0</v>
      </c>
      <c r="L90" s="309" t="e">
        <f t="shared" si="84"/>
        <v>#DIV/0!</v>
      </c>
      <c r="M90" s="116"/>
      <c r="N90" s="308">
        <f t="shared" si="85"/>
        <v>0</v>
      </c>
    </row>
    <row r="91" spans="1:26" ht="16">
      <c r="A91" s="310"/>
      <c r="B91" s="8" t="s">
        <v>38</v>
      </c>
      <c r="C91" s="311"/>
      <c r="D91" s="312" t="s">
        <v>19</v>
      </c>
      <c r="E91" s="313">
        <f t="shared" ref="E91:F91" si="86">SUM(E85:E90)</f>
        <v>-149559</v>
      </c>
      <c r="F91" s="313">
        <f t="shared" si="86"/>
        <v>380</v>
      </c>
      <c r="G91" s="314" t="e">
        <f>AVERAGE(G85:G90)</f>
        <v>#DIV/0!</v>
      </c>
      <c r="H91" s="311"/>
      <c r="I91" s="315"/>
      <c r="J91" s="312">
        <f t="shared" ref="J91:K91" si="87">SUM(J85:J90)</f>
        <v>-9994</v>
      </c>
      <c r="K91" s="312">
        <f t="shared" si="87"/>
        <v>380</v>
      </c>
      <c r="L91" s="316" t="e">
        <f>AVERAGE(L85:L90)</f>
        <v>#DIV/0!</v>
      </c>
      <c r="M91" s="317"/>
      <c r="N91" s="318">
        <f>SUM(N85:N90)</f>
        <v>6770770</v>
      </c>
    </row>
    <row r="92" spans="1:26" ht="16">
      <c r="A92" s="112">
        <v>45813</v>
      </c>
      <c r="B92" s="283" t="s">
        <v>39</v>
      </c>
      <c r="C92" s="83">
        <v>99989</v>
      </c>
      <c r="D92" s="83">
        <v>100662</v>
      </c>
      <c r="E92" s="36">
        <f t="shared" ref="E92:E98" si="88">D92-C92</f>
        <v>673</v>
      </c>
      <c r="F92" s="141">
        <v>80</v>
      </c>
      <c r="G92" s="114">
        <f t="shared" ref="G92:G98" si="89">(F92/E92)*100</f>
        <v>11.88707280832095</v>
      </c>
      <c r="H92" s="125">
        <v>8616</v>
      </c>
      <c r="I92" s="125">
        <v>11955</v>
      </c>
      <c r="J92" s="83">
        <f t="shared" ref="J92:J98" si="90">I92-H92</f>
        <v>3339</v>
      </c>
      <c r="K92" s="83">
        <f t="shared" ref="K92:K98" si="91">F92</f>
        <v>80</v>
      </c>
      <c r="L92" s="290">
        <f t="shared" ref="L92:L98" si="92">(K92/J92)*100</f>
        <v>2.395926924228811</v>
      </c>
      <c r="M92" s="116">
        <v>17130</v>
      </c>
      <c r="N92" s="319">
        <f>M92*K92</f>
        <v>1370400</v>
      </c>
    </row>
    <row r="93" spans="1:26" ht="16">
      <c r="A93" s="7">
        <v>45820</v>
      </c>
      <c r="B93" s="283" t="s">
        <v>39</v>
      </c>
      <c r="C93" s="12">
        <v>100662</v>
      </c>
      <c r="D93" s="12">
        <v>101413</v>
      </c>
      <c r="E93" s="11">
        <f t="shared" si="88"/>
        <v>751</v>
      </c>
      <c r="F93" s="12">
        <v>88</v>
      </c>
      <c r="G93" s="13">
        <f t="shared" si="89"/>
        <v>11.717709720372836</v>
      </c>
      <c r="H93" s="12"/>
      <c r="I93" s="15"/>
      <c r="J93" s="83">
        <f t="shared" si="90"/>
        <v>0</v>
      </c>
      <c r="K93" s="83">
        <f t="shared" si="91"/>
        <v>88</v>
      </c>
      <c r="L93" s="290" t="e">
        <f t="shared" si="92"/>
        <v>#DIV/0!</v>
      </c>
      <c r="M93" s="17">
        <v>17700</v>
      </c>
      <c r="N93" s="320">
        <f t="shared" ref="N93:N98" si="93">F93*M93</f>
        <v>1557600</v>
      </c>
      <c r="S93" s="229"/>
      <c r="T93" s="229"/>
      <c r="U93" s="229"/>
      <c r="V93" s="229"/>
      <c r="W93" s="229"/>
      <c r="X93" s="229"/>
      <c r="Y93" s="229"/>
      <c r="Z93" s="229"/>
    </row>
    <row r="94" spans="1:26" ht="16">
      <c r="A94" s="138">
        <v>45828</v>
      </c>
      <c r="B94" s="283" t="s">
        <v>39</v>
      </c>
      <c r="C94" s="83">
        <v>101413</v>
      </c>
      <c r="D94" s="83">
        <v>102203</v>
      </c>
      <c r="E94" s="11">
        <f t="shared" si="88"/>
        <v>790</v>
      </c>
      <c r="F94" s="141">
        <v>85</v>
      </c>
      <c r="G94" s="13">
        <f t="shared" si="89"/>
        <v>10.759493670886076</v>
      </c>
      <c r="H94" s="83"/>
      <c r="I94" s="125"/>
      <c r="J94" s="83">
        <f t="shared" si="90"/>
        <v>0</v>
      </c>
      <c r="K94" s="83">
        <f t="shared" si="91"/>
        <v>85</v>
      </c>
      <c r="L94" s="290" t="e">
        <f t="shared" si="92"/>
        <v>#DIV/0!</v>
      </c>
      <c r="M94" s="116">
        <v>19150</v>
      </c>
      <c r="N94" s="320">
        <f t="shared" si="93"/>
        <v>1627750</v>
      </c>
      <c r="P94" s="78"/>
    </row>
    <row r="95" spans="1:26" ht="16">
      <c r="A95" s="138">
        <v>45835</v>
      </c>
      <c r="B95" s="283" t="s">
        <v>39</v>
      </c>
      <c r="C95" s="83">
        <v>102203</v>
      </c>
      <c r="D95" s="83">
        <v>102935</v>
      </c>
      <c r="E95" s="11">
        <f t="shared" si="88"/>
        <v>732</v>
      </c>
      <c r="F95" s="141">
        <v>87</v>
      </c>
      <c r="G95" s="13">
        <f t="shared" si="89"/>
        <v>11.885245901639344</v>
      </c>
      <c r="H95" s="83"/>
      <c r="I95" s="125"/>
      <c r="J95" s="83">
        <f t="shared" si="90"/>
        <v>0</v>
      </c>
      <c r="K95" s="83">
        <f t="shared" si="91"/>
        <v>87</v>
      </c>
      <c r="L95" s="136" t="e">
        <f t="shared" si="92"/>
        <v>#DIV/0!</v>
      </c>
      <c r="M95" s="116">
        <v>19700</v>
      </c>
      <c r="N95" s="297">
        <f t="shared" si="93"/>
        <v>1713900</v>
      </c>
    </row>
    <row r="96" spans="1:26" ht="16">
      <c r="A96" s="138"/>
      <c r="B96" s="140"/>
      <c r="C96" s="83"/>
      <c r="D96" s="83"/>
      <c r="E96" s="11">
        <f t="shared" si="88"/>
        <v>0</v>
      </c>
      <c r="F96" s="141"/>
      <c r="G96" s="13" t="e">
        <f t="shared" si="89"/>
        <v>#DIV/0!</v>
      </c>
      <c r="H96" s="83"/>
      <c r="I96" s="125"/>
      <c r="J96" s="83">
        <f t="shared" si="90"/>
        <v>0</v>
      </c>
      <c r="K96" s="83">
        <f t="shared" si="91"/>
        <v>0</v>
      </c>
      <c r="L96" s="136" t="e">
        <f t="shared" si="92"/>
        <v>#DIV/0!</v>
      </c>
      <c r="M96" s="116"/>
      <c r="N96" s="300">
        <f t="shared" si="93"/>
        <v>0</v>
      </c>
    </row>
    <row r="97" spans="1:14" ht="16">
      <c r="A97" s="244"/>
      <c r="B97" s="90"/>
      <c r="C97" s="83"/>
      <c r="D97" s="83"/>
      <c r="E97" s="11">
        <f t="shared" si="88"/>
        <v>0</v>
      </c>
      <c r="F97" s="141"/>
      <c r="G97" s="13" t="e">
        <f t="shared" si="89"/>
        <v>#DIV/0!</v>
      </c>
      <c r="H97" s="83"/>
      <c r="I97" s="125"/>
      <c r="J97" s="83">
        <f t="shared" si="90"/>
        <v>0</v>
      </c>
      <c r="K97" s="83">
        <f t="shared" si="91"/>
        <v>0</v>
      </c>
      <c r="L97" s="136" t="e">
        <f t="shared" si="92"/>
        <v>#DIV/0!</v>
      </c>
      <c r="M97" s="116"/>
      <c r="N97" s="300">
        <f t="shared" si="93"/>
        <v>0</v>
      </c>
    </row>
    <row r="98" spans="1:14" ht="16">
      <c r="A98" s="271"/>
      <c r="B98" s="283"/>
      <c r="C98" s="134"/>
      <c r="D98" s="134"/>
      <c r="E98" s="24">
        <f t="shared" si="88"/>
        <v>0</v>
      </c>
      <c r="F98" s="143"/>
      <c r="G98" s="54" t="e">
        <f t="shared" si="89"/>
        <v>#DIV/0!</v>
      </c>
      <c r="H98" s="134"/>
      <c r="I98" s="135"/>
      <c r="J98" s="134">
        <f t="shared" si="90"/>
        <v>0</v>
      </c>
      <c r="K98" s="134">
        <f t="shared" si="91"/>
        <v>0</v>
      </c>
      <c r="L98" s="136" t="e">
        <f t="shared" si="92"/>
        <v>#DIV/0!</v>
      </c>
      <c r="M98" s="137"/>
      <c r="N98" s="298">
        <f t="shared" si="93"/>
        <v>0</v>
      </c>
    </row>
    <row r="99" spans="1:14" ht="16">
      <c r="A99" s="59"/>
      <c r="B99" s="60"/>
      <c r="C99" s="59"/>
      <c r="D99" s="59" t="s">
        <v>19</v>
      </c>
      <c r="E99" s="59">
        <f t="shared" ref="E99:F99" si="94">SUM(E85:E98)</f>
        <v>-296172</v>
      </c>
      <c r="F99" s="59">
        <f t="shared" si="94"/>
        <v>1100</v>
      </c>
      <c r="G99" s="61" t="e">
        <f>AVERAGE(G85:G98)</f>
        <v>#DIV/0!</v>
      </c>
      <c r="H99" s="59"/>
      <c r="I99" s="62"/>
      <c r="J99" s="59">
        <f t="shared" ref="J99:K99" si="95">SUM(J85:J98)</f>
        <v>-16649</v>
      </c>
      <c r="K99" s="59">
        <f t="shared" si="95"/>
        <v>1100</v>
      </c>
      <c r="L99" s="61" t="e">
        <f>AVERAGE(L85:L98)</f>
        <v>#DIV/0!</v>
      </c>
      <c r="M99" s="64"/>
      <c r="N99" s="299">
        <f>SUM(N92:N98)</f>
        <v>6269650</v>
      </c>
    </row>
    <row r="100" spans="1:14" ht="16">
      <c r="A100" s="66">
        <v>45811</v>
      </c>
      <c r="B100" s="140" t="s">
        <v>40</v>
      </c>
      <c r="C100" s="83">
        <v>5136</v>
      </c>
      <c r="D100" s="12">
        <v>5688</v>
      </c>
      <c r="E100" s="36">
        <f t="shared" ref="E100:E106" si="96">D100-C100</f>
        <v>552</v>
      </c>
      <c r="F100" s="37">
        <v>62</v>
      </c>
      <c r="G100" s="13">
        <f t="shared" ref="G100:G106" si="97">(F100/E100)*100</f>
        <v>11.231884057971014</v>
      </c>
      <c r="H100" s="125">
        <v>94684</v>
      </c>
      <c r="I100" s="126">
        <v>95347</v>
      </c>
      <c r="J100" s="39">
        <f t="shared" ref="J100:J106" si="98">I100-H100</f>
        <v>663</v>
      </c>
      <c r="K100" s="39">
        <f t="shared" ref="K100:K106" si="99">F100</f>
        <v>62</v>
      </c>
      <c r="L100" s="136">
        <f t="shared" ref="L100:L106" si="100">(K100/J100)*100</f>
        <v>9.3514328808446461</v>
      </c>
      <c r="M100" s="68">
        <v>17130</v>
      </c>
      <c r="N100" s="294">
        <f t="shared" ref="N100:N106" si="101">F100*M100</f>
        <v>1062060</v>
      </c>
    </row>
    <row r="101" spans="1:14" ht="16">
      <c r="A101" s="138">
        <v>45819</v>
      </c>
      <c r="B101" s="140" t="s">
        <v>40</v>
      </c>
      <c r="C101" s="83">
        <v>5688</v>
      </c>
      <c r="D101" s="83">
        <v>6372</v>
      </c>
      <c r="E101" s="11">
        <f t="shared" si="96"/>
        <v>684</v>
      </c>
      <c r="F101" s="141">
        <v>80</v>
      </c>
      <c r="G101" s="13">
        <f t="shared" si="97"/>
        <v>11.695906432748536</v>
      </c>
      <c r="H101" s="83">
        <v>95347</v>
      </c>
      <c r="I101" s="125">
        <v>95972</v>
      </c>
      <c r="J101" s="83">
        <f t="shared" si="98"/>
        <v>625</v>
      </c>
      <c r="K101" s="39">
        <f t="shared" si="99"/>
        <v>80</v>
      </c>
      <c r="L101" s="136">
        <f t="shared" si="100"/>
        <v>12.8</v>
      </c>
      <c r="M101" s="116">
        <v>17420</v>
      </c>
      <c r="N101" s="296">
        <f t="shared" si="101"/>
        <v>1393600</v>
      </c>
    </row>
    <row r="102" spans="1:14" ht="16">
      <c r="A102" s="138">
        <v>45824</v>
      </c>
      <c r="B102" s="140" t="s">
        <v>40</v>
      </c>
      <c r="C102" s="83">
        <v>96372</v>
      </c>
      <c r="D102" s="83">
        <v>96992</v>
      </c>
      <c r="E102" s="11">
        <f t="shared" si="96"/>
        <v>620</v>
      </c>
      <c r="F102" s="141">
        <v>68</v>
      </c>
      <c r="G102" s="13">
        <f t="shared" si="97"/>
        <v>10.967741935483872</v>
      </c>
      <c r="H102" s="83"/>
      <c r="I102" s="125"/>
      <c r="J102" s="83">
        <f t="shared" si="98"/>
        <v>0</v>
      </c>
      <c r="K102" s="39">
        <f t="shared" si="99"/>
        <v>68</v>
      </c>
      <c r="L102" s="136" t="e">
        <f t="shared" si="100"/>
        <v>#DIV/0!</v>
      </c>
      <c r="M102" s="116">
        <v>17700</v>
      </c>
      <c r="N102" s="297">
        <f t="shared" si="101"/>
        <v>1203600</v>
      </c>
    </row>
    <row r="103" spans="1:14" ht="16">
      <c r="A103" s="138">
        <v>45829</v>
      </c>
      <c r="B103" s="140" t="s">
        <v>40</v>
      </c>
      <c r="C103" s="83">
        <v>96992</v>
      </c>
      <c r="D103" s="83">
        <v>97693</v>
      </c>
      <c r="E103" s="11">
        <f t="shared" si="96"/>
        <v>701</v>
      </c>
      <c r="F103" s="141">
        <v>80</v>
      </c>
      <c r="G103" s="13">
        <f t="shared" si="97"/>
        <v>11.412268188302425</v>
      </c>
      <c r="H103" s="83"/>
      <c r="I103" s="125"/>
      <c r="J103" s="83">
        <f t="shared" si="98"/>
        <v>0</v>
      </c>
      <c r="K103" s="39">
        <f t="shared" si="99"/>
        <v>80</v>
      </c>
      <c r="L103" s="136" t="e">
        <f t="shared" si="100"/>
        <v>#DIV/0!</v>
      </c>
      <c r="M103" s="116">
        <v>19150</v>
      </c>
      <c r="N103" s="297">
        <f t="shared" si="101"/>
        <v>1532000</v>
      </c>
    </row>
    <row r="104" spans="1:14" ht="16">
      <c r="A104" s="292">
        <v>45834</v>
      </c>
      <c r="B104" s="140" t="s">
        <v>40</v>
      </c>
      <c r="C104" s="83">
        <v>97693</v>
      </c>
      <c r="D104" s="83">
        <v>98283</v>
      </c>
      <c r="E104" s="11">
        <f t="shared" si="96"/>
        <v>590</v>
      </c>
      <c r="F104" s="141">
        <v>65</v>
      </c>
      <c r="G104" s="13">
        <f t="shared" si="97"/>
        <v>11.016949152542372</v>
      </c>
      <c r="H104" s="83"/>
      <c r="I104" s="125"/>
      <c r="J104" s="83">
        <f t="shared" si="98"/>
        <v>0</v>
      </c>
      <c r="K104" s="39">
        <f t="shared" si="99"/>
        <v>65</v>
      </c>
      <c r="L104" s="136" t="e">
        <f t="shared" si="100"/>
        <v>#DIV/0!</v>
      </c>
      <c r="M104" s="116">
        <v>19700</v>
      </c>
      <c r="N104" s="297">
        <f t="shared" si="101"/>
        <v>1280500</v>
      </c>
    </row>
    <row r="105" spans="1:14" ht="16">
      <c r="A105" s="292"/>
      <c r="B105" s="113"/>
      <c r="C105" s="83"/>
      <c r="D105" s="83"/>
      <c r="E105" s="11">
        <f t="shared" si="96"/>
        <v>0</v>
      </c>
      <c r="F105" s="141"/>
      <c r="G105" s="13" t="e">
        <f t="shared" si="97"/>
        <v>#DIV/0!</v>
      </c>
      <c r="H105" s="83"/>
      <c r="I105" s="125"/>
      <c r="J105" s="83">
        <f t="shared" si="98"/>
        <v>0</v>
      </c>
      <c r="K105" s="39">
        <f t="shared" si="99"/>
        <v>0</v>
      </c>
      <c r="L105" s="136" t="e">
        <f t="shared" si="100"/>
        <v>#DIV/0!</v>
      </c>
      <c r="M105" s="116"/>
      <c r="N105" s="300">
        <f t="shared" si="101"/>
        <v>0</v>
      </c>
    </row>
    <row r="106" spans="1:14" ht="16">
      <c r="A106" s="271"/>
      <c r="B106" s="283"/>
      <c r="C106" s="134"/>
      <c r="D106" s="134"/>
      <c r="E106" s="24">
        <f t="shared" si="96"/>
        <v>0</v>
      </c>
      <c r="F106" s="143"/>
      <c r="G106" s="54" t="e">
        <f t="shared" si="97"/>
        <v>#DIV/0!</v>
      </c>
      <c r="H106" s="134"/>
      <c r="I106" s="135"/>
      <c r="J106" s="134">
        <f t="shared" si="98"/>
        <v>0</v>
      </c>
      <c r="K106" s="134">
        <f t="shared" si="99"/>
        <v>0</v>
      </c>
      <c r="L106" s="136" t="e">
        <f t="shared" si="100"/>
        <v>#DIV/0!</v>
      </c>
      <c r="M106" s="137"/>
      <c r="N106" s="298">
        <f t="shared" si="101"/>
        <v>0</v>
      </c>
    </row>
    <row r="107" spans="1:14" ht="16">
      <c r="A107" s="59"/>
      <c r="B107" s="60"/>
      <c r="C107" s="59"/>
      <c r="D107" s="59" t="s">
        <v>19</v>
      </c>
      <c r="E107" s="59">
        <f t="shared" ref="E107:F107" si="102">SUM(E100:E106)</f>
        <v>3147</v>
      </c>
      <c r="F107" s="59">
        <f t="shared" si="102"/>
        <v>355</v>
      </c>
      <c r="G107" s="61" t="e">
        <f>AVERAGE(G100:G106)</f>
        <v>#DIV/0!</v>
      </c>
      <c r="H107" s="59"/>
      <c r="I107" s="62"/>
      <c r="J107" s="59">
        <f t="shared" ref="J107:K107" si="103">SUM(J100:J106)</f>
        <v>1288</v>
      </c>
      <c r="K107" s="59">
        <f t="shared" si="103"/>
        <v>355</v>
      </c>
      <c r="L107" s="61" t="e">
        <f>AVERAGE(L100:L106)</f>
        <v>#DIV/0!</v>
      </c>
      <c r="M107" s="64"/>
      <c r="N107" s="299">
        <f>SUM(N100:N106)</f>
        <v>6471760</v>
      </c>
    </row>
    <row r="108" spans="1:14" ht="16">
      <c r="A108" s="66">
        <v>45819</v>
      </c>
      <c r="B108" s="140" t="s">
        <v>41</v>
      </c>
      <c r="C108" s="83"/>
      <c r="D108" s="12"/>
      <c r="E108" s="36">
        <f t="shared" ref="E108:E114" si="104">D108-C108</f>
        <v>0</v>
      </c>
      <c r="F108" s="37">
        <v>84</v>
      </c>
      <c r="G108" s="13" t="e">
        <f t="shared" ref="G108:G114" si="105">(F108/E108)*100</f>
        <v>#DIV/0!</v>
      </c>
      <c r="H108" s="125"/>
      <c r="I108" s="126"/>
      <c r="J108" s="39">
        <f t="shared" ref="J108:J114" si="106">I108-H108</f>
        <v>0</v>
      </c>
      <c r="K108" s="39">
        <v>84</v>
      </c>
      <c r="L108" s="136" t="e">
        <f t="shared" ref="L108:L114" si="107">(K108/J108)*100</f>
        <v>#DIV/0!</v>
      </c>
      <c r="M108" s="68">
        <v>17420</v>
      </c>
      <c r="N108" s="294">
        <f t="shared" ref="N108:N114" si="108">F108*M108</f>
        <v>1463280</v>
      </c>
    </row>
    <row r="109" spans="1:14" ht="16">
      <c r="A109" s="138">
        <v>45838</v>
      </c>
      <c r="B109" s="140" t="s">
        <v>41</v>
      </c>
      <c r="C109" s="12"/>
      <c r="D109" s="83">
        <v>156714</v>
      </c>
      <c r="E109" s="11">
        <f t="shared" si="104"/>
        <v>156714</v>
      </c>
      <c r="F109" s="141">
        <v>73</v>
      </c>
      <c r="G109" s="13">
        <f t="shared" si="105"/>
        <v>4.658167106959174E-2</v>
      </c>
      <c r="H109" s="83"/>
      <c r="I109" s="125"/>
      <c r="J109" s="83">
        <f t="shared" si="106"/>
        <v>0</v>
      </c>
      <c r="K109" s="39"/>
      <c r="L109" s="136" t="e">
        <f t="shared" si="107"/>
        <v>#DIV/0!</v>
      </c>
      <c r="M109" s="116">
        <v>19700</v>
      </c>
      <c r="N109" s="296">
        <f t="shared" si="108"/>
        <v>1438100</v>
      </c>
    </row>
    <row r="110" spans="1:14" ht="16">
      <c r="A110" s="138"/>
      <c r="B110" s="140" t="s">
        <v>41</v>
      </c>
      <c r="C110" s="83"/>
      <c r="D110" s="83"/>
      <c r="E110" s="11">
        <f t="shared" si="104"/>
        <v>0</v>
      </c>
      <c r="F110" s="141"/>
      <c r="G110" s="13" t="e">
        <f t="shared" si="105"/>
        <v>#DIV/0!</v>
      </c>
      <c r="H110" s="83"/>
      <c r="I110" s="125"/>
      <c r="J110" s="83">
        <f t="shared" si="106"/>
        <v>0</v>
      </c>
      <c r="K110" s="39">
        <f t="shared" ref="K110:K114" si="109">F110</f>
        <v>0</v>
      </c>
      <c r="L110" s="136" t="e">
        <f t="shared" si="107"/>
        <v>#DIV/0!</v>
      </c>
      <c r="M110" s="116"/>
      <c r="N110" s="297">
        <f t="shared" si="108"/>
        <v>0</v>
      </c>
    </row>
    <row r="111" spans="1:14" ht="16">
      <c r="A111" s="138"/>
      <c r="B111" s="140" t="s">
        <v>41</v>
      </c>
      <c r="C111" s="83"/>
      <c r="D111" s="83"/>
      <c r="E111" s="11">
        <f t="shared" si="104"/>
        <v>0</v>
      </c>
      <c r="F111" s="141"/>
      <c r="G111" s="13" t="e">
        <f t="shared" si="105"/>
        <v>#DIV/0!</v>
      </c>
      <c r="H111" s="83"/>
      <c r="I111" s="125"/>
      <c r="J111" s="83">
        <f t="shared" si="106"/>
        <v>0</v>
      </c>
      <c r="K111" s="39">
        <f t="shared" si="109"/>
        <v>0</v>
      </c>
      <c r="L111" s="136" t="e">
        <f t="shared" si="107"/>
        <v>#DIV/0!</v>
      </c>
      <c r="M111" s="116"/>
      <c r="N111" s="297">
        <f t="shared" si="108"/>
        <v>0</v>
      </c>
    </row>
    <row r="112" spans="1:14" ht="16">
      <c r="A112" s="292"/>
      <c r="B112" s="140" t="s">
        <v>41</v>
      </c>
      <c r="C112" s="83"/>
      <c r="D112" s="83"/>
      <c r="E112" s="11">
        <f t="shared" si="104"/>
        <v>0</v>
      </c>
      <c r="F112" s="141"/>
      <c r="G112" s="13" t="e">
        <f t="shared" si="105"/>
        <v>#DIV/0!</v>
      </c>
      <c r="H112" s="83"/>
      <c r="I112" s="125"/>
      <c r="J112" s="83">
        <f t="shared" si="106"/>
        <v>0</v>
      </c>
      <c r="K112" s="39">
        <f t="shared" si="109"/>
        <v>0</v>
      </c>
      <c r="L112" s="136" t="e">
        <f t="shared" si="107"/>
        <v>#DIV/0!</v>
      </c>
      <c r="M112" s="116"/>
      <c r="N112" s="297">
        <f t="shared" si="108"/>
        <v>0</v>
      </c>
    </row>
    <row r="113" spans="1:15" ht="16">
      <c r="A113" s="292"/>
      <c r="B113" s="140" t="s">
        <v>41</v>
      </c>
      <c r="C113" s="83"/>
      <c r="D113" s="83"/>
      <c r="E113" s="11">
        <f t="shared" si="104"/>
        <v>0</v>
      </c>
      <c r="F113" s="141"/>
      <c r="G113" s="13" t="e">
        <f t="shared" si="105"/>
        <v>#DIV/0!</v>
      </c>
      <c r="H113" s="83"/>
      <c r="I113" s="125"/>
      <c r="J113" s="83">
        <f t="shared" si="106"/>
        <v>0</v>
      </c>
      <c r="K113" s="39">
        <f t="shared" si="109"/>
        <v>0</v>
      </c>
      <c r="L113" s="136" t="e">
        <f t="shared" si="107"/>
        <v>#DIV/0!</v>
      </c>
      <c r="M113" s="116"/>
      <c r="N113" s="300">
        <f t="shared" si="108"/>
        <v>0</v>
      </c>
    </row>
    <row r="114" spans="1:15" ht="16">
      <c r="A114" s="271"/>
      <c r="B114" s="283"/>
      <c r="C114" s="134"/>
      <c r="D114" s="134"/>
      <c r="E114" s="24">
        <f t="shared" si="104"/>
        <v>0</v>
      </c>
      <c r="F114" s="143"/>
      <c r="G114" s="54" t="e">
        <f t="shared" si="105"/>
        <v>#DIV/0!</v>
      </c>
      <c r="H114" s="134"/>
      <c r="I114" s="135"/>
      <c r="J114" s="134">
        <f t="shared" si="106"/>
        <v>0</v>
      </c>
      <c r="K114" s="134">
        <f t="shared" si="109"/>
        <v>0</v>
      </c>
      <c r="L114" s="136" t="e">
        <f t="shared" si="107"/>
        <v>#DIV/0!</v>
      </c>
      <c r="M114" s="137"/>
      <c r="N114" s="298">
        <f t="shared" si="108"/>
        <v>0</v>
      </c>
    </row>
    <row r="115" spans="1:15" ht="16">
      <c r="A115" s="59"/>
      <c r="B115" s="60"/>
      <c r="C115" s="59"/>
      <c r="D115" s="59" t="s">
        <v>19</v>
      </c>
      <c r="E115" s="59">
        <f t="shared" ref="E115:F115" si="110">SUM(E108:E114)</f>
        <v>156714</v>
      </c>
      <c r="F115" s="59">
        <f t="shared" si="110"/>
        <v>157</v>
      </c>
      <c r="G115" s="61" t="e">
        <f>AVERAGE(G108:G114)</f>
        <v>#DIV/0!</v>
      </c>
      <c r="H115" s="59"/>
      <c r="I115" s="62"/>
      <c r="J115" s="59">
        <f t="shared" ref="J115:K115" si="111">SUM(J108:J114)</f>
        <v>0</v>
      </c>
      <c r="K115" s="59">
        <f t="shared" si="111"/>
        <v>84</v>
      </c>
      <c r="L115" s="61" t="e">
        <f>AVERAGE(L108:L114)</f>
        <v>#DIV/0!</v>
      </c>
      <c r="M115" s="64"/>
      <c r="N115" s="299">
        <f>SUM(N108:N114)</f>
        <v>2901380</v>
      </c>
    </row>
    <row r="116" spans="1:15" ht="16">
      <c r="A116" s="66">
        <v>45809</v>
      </c>
      <c r="B116" s="140" t="s">
        <v>27</v>
      </c>
      <c r="C116" s="83"/>
      <c r="D116" s="12"/>
      <c r="E116" s="36">
        <f t="shared" ref="E116:E123" si="112">D116-C116</f>
        <v>0</v>
      </c>
      <c r="F116" s="37">
        <v>67</v>
      </c>
      <c r="G116" s="13" t="e">
        <f t="shared" ref="G116:G123" si="113">(F116/E116)*100</f>
        <v>#DIV/0!</v>
      </c>
      <c r="H116" s="125"/>
      <c r="I116" s="126"/>
      <c r="J116" s="39">
        <f t="shared" ref="J116:J123" si="114">I116-H116</f>
        <v>0</v>
      </c>
      <c r="K116" s="39">
        <v>67</v>
      </c>
      <c r="L116" s="136" t="e">
        <f t="shared" ref="L116:L123" si="115">(K116/J116)*100</f>
        <v>#DIV/0!</v>
      </c>
      <c r="M116" s="68">
        <v>17130</v>
      </c>
      <c r="N116" s="294">
        <f t="shared" ref="N116:N122" si="116">F116*M116</f>
        <v>1147710</v>
      </c>
    </row>
    <row r="117" spans="1:15" ht="16">
      <c r="A117" s="66">
        <v>45813</v>
      </c>
      <c r="B117" s="140" t="s">
        <v>27</v>
      </c>
      <c r="C117" s="83"/>
      <c r="D117" s="12"/>
      <c r="E117" s="36">
        <f t="shared" si="112"/>
        <v>0</v>
      </c>
      <c r="F117" s="45">
        <v>63</v>
      </c>
      <c r="G117" s="13" t="e">
        <f t="shared" si="113"/>
        <v>#DIV/0!</v>
      </c>
      <c r="H117" s="38"/>
      <c r="I117" s="38"/>
      <c r="J117" s="35">
        <f t="shared" si="114"/>
        <v>0</v>
      </c>
      <c r="K117" s="35">
        <v>63</v>
      </c>
      <c r="L117" s="136" t="e">
        <f t="shared" si="115"/>
        <v>#DIV/0!</v>
      </c>
      <c r="M117" s="116">
        <v>17420</v>
      </c>
      <c r="N117" s="321">
        <f t="shared" si="116"/>
        <v>1097460</v>
      </c>
    </row>
    <row r="118" spans="1:15" ht="16">
      <c r="A118" s="138">
        <v>45818</v>
      </c>
      <c r="B118" s="140" t="s">
        <v>27</v>
      </c>
      <c r="C118" s="83"/>
      <c r="D118" s="83"/>
      <c r="E118" s="11">
        <f t="shared" si="112"/>
        <v>0</v>
      </c>
      <c r="F118" s="45">
        <v>67</v>
      </c>
      <c r="G118" s="13" t="e">
        <f t="shared" si="113"/>
        <v>#DIV/0!</v>
      </c>
      <c r="H118" s="35"/>
      <c r="I118" s="38"/>
      <c r="J118" s="35">
        <f t="shared" si="114"/>
        <v>0</v>
      </c>
      <c r="K118" s="35">
        <v>67</v>
      </c>
      <c r="L118" s="136" t="e">
        <f t="shared" si="115"/>
        <v>#DIV/0!</v>
      </c>
      <c r="M118" s="116">
        <v>17420</v>
      </c>
      <c r="N118" s="321">
        <f t="shared" si="116"/>
        <v>1167140</v>
      </c>
    </row>
    <row r="119" spans="1:15" ht="16">
      <c r="A119" s="138">
        <v>45822</v>
      </c>
      <c r="B119" s="140" t="s">
        <v>27</v>
      </c>
      <c r="C119" s="83"/>
      <c r="D119" s="83"/>
      <c r="E119" s="11">
        <f t="shared" si="112"/>
        <v>0</v>
      </c>
      <c r="F119" s="45">
        <v>64</v>
      </c>
      <c r="G119" s="13" t="e">
        <f t="shared" si="113"/>
        <v>#DIV/0!</v>
      </c>
      <c r="H119" s="35"/>
      <c r="I119" s="38"/>
      <c r="J119" s="35">
        <f t="shared" si="114"/>
        <v>0</v>
      </c>
      <c r="K119" s="35">
        <v>64</v>
      </c>
      <c r="L119" s="136" t="e">
        <f t="shared" si="115"/>
        <v>#DIV/0!</v>
      </c>
      <c r="M119" s="116">
        <v>17700</v>
      </c>
      <c r="N119" s="321">
        <f t="shared" si="116"/>
        <v>1132800</v>
      </c>
    </row>
    <row r="120" spans="1:15" ht="16">
      <c r="A120" s="138">
        <v>45827</v>
      </c>
      <c r="B120" s="140" t="s">
        <v>27</v>
      </c>
      <c r="C120" s="83"/>
      <c r="D120" s="83"/>
      <c r="E120" s="11">
        <f t="shared" si="112"/>
        <v>0</v>
      </c>
      <c r="F120" s="45">
        <v>69</v>
      </c>
      <c r="G120" s="13" t="e">
        <f t="shared" si="113"/>
        <v>#DIV/0!</v>
      </c>
      <c r="H120" s="35"/>
      <c r="I120" s="38"/>
      <c r="J120" s="35">
        <f t="shared" si="114"/>
        <v>0</v>
      </c>
      <c r="K120" s="35">
        <v>69</v>
      </c>
      <c r="L120" s="136" t="e">
        <f t="shared" si="115"/>
        <v>#DIV/0!</v>
      </c>
      <c r="M120" s="116">
        <v>19150</v>
      </c>
      <c r="N120" s="321">
        <f t="shared" si="116"/>
        <v>1321350</v>
      </c>
      <c r="O120" s="76">
        <f>17700-19150</f>
        <v>-1450</v>
      </c>
    </row>
    <row r="121" spans="1:15" ht="16">
      <c r="A121" s="138">
        <v>45832</v>
      </c>
      <c r="B121" s="140" t="s">
        <v>27</v>
      </c>
      <c r="C121" s="83"/>
      <c r="D121" s="83"/>
      <c r="E121" s="11">
        <f t="shared" si="112"/>
        <v>0</v>
      </c>
      <c r="F121" s="45">
        <v>62</v>
      </c>
      <c r="G121" s="13" t="e">
        <f t="shared" si="113"/>
        <v>#DIV/0!</v>
      </c>
      <c r="H121" s="35"/>
      <c r="I121" s="38"/>
      <c r="J121" s="35">
        <f t="shared" si="114"/>
        <v>0</v>
      </c>
      <c r="K121" s="35">
        <v>62</v>
      </c>
      <c r="L121" s="136" t="e">
        <f t="shared" si="115"/>
        <v>#DIV/0!</v>
      </c>
      <c r="M121" s="116">
        <v>19150</v>
      </c>
      <c r="N121" s="321">
        <f t="shared" si="116"/>
        <v>1187300</v>
      </c>
    </row>
    <row r="122" spans="1:15" ht="16">
      <c r="A122" s="138">
        <v>45836</v>
      </c>
      <c r="B122" s="140" t="s">
        <v>27</v>
      </c>
      <c r="C122" s="83"/>
      <c r="D122" s="83"/>
      <c r="E122" s="11">
        <f t="shared" si="112"/>
        <v>0</v>
      </c>
      <c r="F122" s="141">
        <v>68</v>
      </c>
      <c r="G122" s="13" t="e">
        <f t="shared" si="113"/>
        <v>#DIV/0!</v>
      </c>
      <c r="H122" s="83"/>
      <c r="I122" s="125"/>
      <c r="J122" s="83">
        <f t="shared" si="114"/>
        <v>0</v>
      </c>
      <c r="K122" s="83">
        <v>68</v>
      </c>
      <c r="L122" s="136" t="e">
        <f t="shared" si="115"/>
        <v>#DIV/0!</v>
      </c>
      <c r="M122" s="116">
        <v>19700</v>
      </c>
      <c r="N122" s="321">
        <f t="shared" si="116"/>
        <v>1339600</v>
      </c>
    </row>
    <row r="123" spans="1:15" ht="16">
      <c r="A123" s="133"/>
      <c r="B123" s="140" t="s">
        <v>27</v>
      </c>
      <c r="C123" s="134"/>
      <c r="D123" s="134"/>
      <c r="E123" s="24">
        <f t="shared" si="112"/>
        <v>0</v>
      </c>
      <c r="F123" s="143"/>
      <c r="G123" s="54" t="e">
        <f t="shared" si="113"/>
        <v>#DIV/0!</v>
      </c>
      <c r="H123" s="134"/>
      <c r="I123" s="135"/>
      <c r="J123" s="134">
        <f t="shared" si="114"/>
        <v>0</v>
      </c>
      <c r="K123" s="134"/>
      <c r="L123" s="136" t="e">
        <f t="shared" si="115"/>
        <v>#DIV/0!</v>
      </c>
      <c r="M123" s="137"/>
      <c r="N123" s="321">
        <f>M123*K123</f>
        <v>0</v>
      </c>
    </row>
    <row r="124" spans="1:15" ht="16">
      <c r="A124" s="59"/>
      <c r="B124" s="60"/>
      <c r="C124" s="59"/>
      <c r="D124" s="59" t="s">
        <v>19</v>
      </c>
      <c r="E124" s="59">
        <f t="shared" ref="E124:F124" si="117">SUM(E116:E123)</f>
        <v>0</v>
      </c>
      <c r="F124" s="59">
        <f t="shared" si="117"/>
        <v>460</v>
      </c>
      <c r="G124" s="61" t="e">
        <f>AVERAGE(G116:G123)</f>
        <v>#DIV/0!</v>
      </c>
      <c r="H124" s="59"/>
      <c r="I124" s="62"/>
      <c r="J124" s="59">
        <f t="shared" ref="J124:K124" si="118">SUM(J116:J123)</f>
        <v>0</v>
      </c>
      <c r="K124" s="59">
        <f t="shared" si="118"/>
        <v>460</v>
      </c>
      <c r="L124" s="61" t="e">
        <f>AVERAGE(L116:L123)</f>
        <v>#DIV/0!</v>
      </c>
      <c r="M124" s="64"/>
      <c r="N124" s="322">
        <f>SUM(N116:N123)</f>
        <v>8393360</v>
      </c>
    </row>
    <row r="125" spans="1:15" ht="16">
      <c r="A125" s="66">
        <v>45814</v>
      </c>
      <c r="B125" s="140" t="s">
        <v>80</v>
      </c>
      <c r="C125" s="83"/>
      <c r="D125" s="12"/>
      <c r="E125" s="36">
        <f t="shared" ref="E125:E132" si="119">D125-C125</f>
        <v>0</v>
      </c>
      <c r="F125" s="37">
        <v>60</v>
      </c>
      <c r="G125" s="13" t="e">
        <f t="shared" ref="G125:G132" si="120">(F125/E125)*100</f>
        <v>#DIV/0!</v>
      </c>
      <c r="H125" s="125"/>
      <c r="I125" s="126"/>
      <c r="J125" s="39">
        <f t="shared" ref="J125:J132" si="121">I125-H125</f>
        <v>0</v>
      </c>
      <c r="K125" s="39">
        <v>60</v>
      </c>
      <c r="L125" s="136" t="e">
        <f t="shared" ref="L125:L132" si="122">(K125/J125)*100</f>
        <v>#DIV/0!</v>
      </c>
      <c r="M125" s="68">
        <v>17420</v>
      </c>
      <c r="N125" s="321">
        <f t="shared" ref="N125:N131" si="123">F125*M125</f>
        <v>1045200</v>
      </c>
    </row>
    <row r="126" spans="1:15" ht="16">
      <c r="A126" s="66">
        <v>45819</v>
      </c>
      <c r="B126" s="140" t="s">
        <v>80</v>
      </c>
      <c r="C126" s="83"/>
      <c r="D126" s="12"/>
      <c r="E126" s="36">
        <f t="shared" si="119"/>
        <v>0</v>
      </c>
      <c r="F126" s="45">
        <v>75</v>
      </c>
      <c r="G126" s="13" t="e">
        <f t="shared" si="120"/>
        <v>#DIV/0!</v>
      </c>
      <c r="H126" s="38"/>
      <c r="I126" s="38"/>
      <c r="J126" s="35">
        <f t="shared" si="121"/>
        <v>0</v>
      </c>
      <c r="K126" s="35">
        <v>75</v>
      </c>
      <c r="L126" s="136" t="e">
        <f t="shared" si="122"/>
        <v>#DIV/0!</v>
      </c>
      <c r="M126" s="116">
        <v>17420</v>
      </c>
      <c r="N126" s="321">
        <f t="shared" si="123"/>
        <v>1306500</v>
      </c>
    </row>
    <row r="127" spans="1:15" ht="16">
      <c r="A127" s="138">
        <v>45824</v>
      </c>
      <c r="B127" s="140" t="s">
        <v>80</v>
      </c>
      <c r="C127" s="83"/>
      <c r="D127" s="83"/>
      <c r="E127" s="11">
        <f t="shared" si="119"/>
        <v>0</v>
      </c>
      <c r="F127" s="141">
        <v>75</v>
      </c>
      <c r="G127" s="13" t="e">
        <f t="shared" si="120"/>
        <v>#DIV/0!</v>
      </c>
      <c r="H127" s="35"/>
      <c r="I127" s="38"/>
      <c r="J127" s="35">
        <f t="shared" si="121"/>
        <v>0</v>
      </c>
      <c r="K127" s="35">
        <v>75</v>
      </c>
      <c r="L127" s="136" t="e">
        <f t="shared" si="122"/>
        <v>#DIV/0!</v>
      </c>
      <c r="M127" s="116">
        <v>17700</v>
      </c>
      <c r="N127" s="321">
        <f t="shared" si="123"/>
        <v>1327500</v>
      </c>
    </row>
    <row r="128" spans="1:15" ht="16">
      <c r="A128" s="138">
        <v>45828</v>
      </c>
      <c r="B128" s="140" t="s">
        <v>80</v>
      </c>
      <c r="C128" s="83"/>
      <c r="D128" s="83"/>
      <c r="E128" s="11">
        <f t="shared" si="119"/>
        <v>0</v>
      </c>
      <c r="F128" s="141">
        <v>65</v>
      </c>
      <c r="G128" s="13" t="e">
        <f t="shared" si="120"/>
        <v>#DIV/0!</v>
      </c>
      <c r="H128" s="35"/>
      <c r="I128" s="38"/>
      <c r="J128" s="35">
        <f t="shared" si="121"/>
        <v>0</v>
      </c>
      <c r="K128" s="35">
        <v>65</v>
      </c>
      <c r="L128" s="136" t="e">
        <f t="shared" si="122"/>
        <v>#DIV/0!</v>
      </c>
      <c r="M128" s="116">
        <v>19150</v>
      </c>
      <c r="N128" s="321">
        <f t="shared" si="123"/>
        <v>1244750</v>
      </c>
    </row>
    <row r="129" spans="1:14" ht="16">
      <c r="A129" s="138">
        <v>45833</v>
      </c>
      <c r="B129" s="140" t="s">
        <v>80</v>
      </c>
      <c r="C129" s="83"/>
      <c r="D129" s="83"/>
      <c r="E129" s="11">
        <f t="shared" si="119"/>
        <v>0</v>
      </c>
      <c r="F129" s="141">
        <v>65</v>
      </c>
      <c r="G129" s="13" t="e">
        <f t="shared" si="120"/>
        <v>#DIV/0!</v>
      </c>
      <c r="H129" s="35"/>
      <c r="I129" s="38"/>
      <c r="J129" s="35">
        <f t="shared" si="121"/>
        <v>0</v>
      </c>
      <c r="K129" s="35">
        <v>65</v>
      </c>
      <c r="L129" s="136" t="e">
        <f t="shared" si="122"/>
        <v>#DIV/0!</v>
      </c>
      <c r="M129" s="116">
        <v>19150</v>
      </c>
      <c r="N129" s="321">
        <f t="shared" si="123"/>
        <v>1244750</v>
      </c>
    </row>
    <row r="130" spans="1:14" ht="16">
      <c r="A130" s="138">
        <v>45838</v>
      </c>
      <c r="B130" s="140" t="s">
        <v>80</v>
      </c>
      <c r="C130" s="83"/>
      <c r="D130" s="83"/>
      <c r="E130" s="11">
        <f t="shared" si="119"/>
        <v>0</v>
      </c>
      <c r="F130" s="141">
        <v>70</v>
      </c>
      <c r="G130" s="13" t="e">
        <f t="shared" si="120"/>
        <v>#DIV/0!</v>
      </c>
      <c r="H130" s="35"/>
      <c r="I130" s="38"/>
      <c r="J130" s="35">
        <f t="shared" si="121"/>
        <v>0</v>
      </c>
      <c r="K130" s="35">
        <v>70</v>
      </c>
      <c r="L130" s="136" t="e">
        <f t="shared" si="122"/>
        <v>#DIV/0!</v>
      </c>
      <c r="M130" s="116">
        <v>19700</v>
      </c>
      <c r="N130" s="321">
        <f t="shared" si="123"/>
        <v>1379000</v>
      </c>
    </row>
    <row r="131" spans="1:14" ht="16">
      <c r="A131" s="138"/>
      <c r="B131" s="140"/>
      <c r="C131" s="83"/>
      <c r="D131" s="83"/>
      <c r="E131" s="11">
        <f t="shared" si="119"/>
        <v>0</v>
      </c>
      <c r="F131" s="141"/>
      <c r="G131" s="13" t="e">
        <f t="shared" si="120"/>
        <v>#DIV/0!</v>
      </c>
      <c r="H131" s="83"/>
      <c r="I131" s="125"/>
      <c r="J131" s="83">
        <f t="shared" si="121"/>
        <v>0</v>
      </c>
      <c r="K131" s="83"/>
      <c r="L131" s="136" t="e">
        <f t="shared" si="122"/>
        <v>#DIV/0!</v>
      </c>
      <c r="M131" s="116"/>
      <c r="N131" s="321">
        <f t="shared" si="123"/>
        <v>0</v>
      </c>
    </row>
    <row r="132" spans="1:14" ht="16">
      <c r="A132" s="133"/>
      <c r="B132" s="140"/>
      <c r="C132" s="134"/>
      <c r="D132" s="134"/>
      <c r="E132" s="24">
        <f t="shared" si="119"/>
        <v>0</v>
      </c>
      <c r="F132" s="143"/>
      <c r="G132" s="54" t="e">
        <f t="shared" si="120"/>
        <v>#DIV/0!</v>
      </c>
      <c r="H132" s="134"/>
      <c r="I132" s="135"/>
      <c r="J132" s="134">
        <f t="shared" si="121"/>
        <v>0</v>
      </c>
      <c r="K132" s="134"/>
      <c r="L132" s="136" t="e">
        <f t="shared" si="122"/>
        <v>#DIV/0!</v>
      </c>
      <c r="M132" s="137"/>
      <c r="N132" s="321">
        <f>M132*K132</f>
        <v>0</v>
      </c>
    </row>
    <row r="133" spans="1:14" ht="16">
      <c r="A133" s="59"/>
      <c r="B133" s="60"/>
      <c r="C133" s="59"/>
      <c r="D133" s="59" t="s">
        <v>19</v>
      </c>
      <c r="E133" s="59">
        <f t="shared" ref="E133:F133" si="124">SUM(E125:E132)</f>
        <v>0</v>
      </c>
      <c r="F133" s="59">
        <f t="shared" si="124"/>
        <v>410</v>
      </c>
      <c r="G133" s="61" t="e">
        <f>AVERAGE(G125:G132)</f>
        <v>#DIV/0!</v>
      </c>
      <c r="H133" s="59"/>
      <c r="I133" s="62"/>
      <c r="J133" s="59">
        <f t="shared" ref="J133:K133" si="125">SUM(J125:J132)</f>
        <v>0</v>
      </c>
      <c r="K133" s="59">
        <f t="shared" si="125"/>
        <v>410</v>
      </c>
      <c r="L133" s="61" t="e">
        <f>AVERAGE(L125:L132)</f>
        <v>#DIV/0!</v>
      </c>
      <c r="M133" s="64"/>
      <c r="N133" s="322">
        <f>SUM(N125:N132)</f>
        <v>7547700</v>
      </c>
    </row>
    <row r="134" spans="1:14" ht="16">
      <c r="A134" s="66">
        <v>45827</v>
      </c>
      <c r="B134" s="140" t="s">
        <v>43</v>
      </c>
      <c r="C134" s="83"/>
      <c r="D134" s="12"/>
      <c r="E134" s="36">
        <f t="shared" ref="E134:E141" si="126">D134-C134</f>
        <v>0</v>
      </c>
      <c r="F134" s="37">
        <v>75</v>
      </c>
      <c r="G134" s="13" t="e">
        <f t="shared" ref="G134:G141" si="127">(F134/E134)*100</f>
        <v>#DIV/0!</v>
      </c>
      <c r="H134" s="125"/>
      <c r="I134" s="126"/>
      <c r="J134" s="39">
        <f t="shared" ref="J134:J141" si="128">I134-H134</f>
        <v>0</v>
      </c>
      <c r="K134" s="39">
        <v>75</v>
      </c>
      <c r="L134" s="136" t="e">
        <f t="shared" ref="L134:L141" si="129">(K134/J134)*100</f>
        <v>#DIV/0!</v>
      </c>
      <c r="M134" s="68">
        <v>17700</v>
      </c>
      <c r="N134" s="321">
        <f t="shared" ref="N134:N140" si="130">F134*M134</f>
        <v>1327500</v>
      </c>
    </row>
    <row r="135" spans="1:14" ht="16">
      <c r="A135" s="66">
        <v>45833</v>
      </c>
      <c r="B135" s="140" t="s">
        <v>43</v>
      </c>
      <c r="C135" s="83"/>
      <c r="D135" s="12"/>
      <c r="E135" s="36">
        <f t="shared" si="126"/>
        <v>0</v>
      </c>
      <c r="F135" s="45">
        <v>71</v>
      </c>
      <c r="G135" s="13" t="e">
        <f t="shared" si="127"/>
        <v>#DIV/0!</v>
      </c>
      <c r="H135" s="38"/>
      <c r="I135" s="38"/>
      <c r="J135" s="35">
        <f t="shared" si="128"/>
        <v>0</v>
      </c>
      <c r="K135" s="35">
        <v>71</v>
      </c>
      <c r="L135" s="136" t="e">
        <f t="shared" si="129"/>
        <v>#DIV/0!</v>
      </c>
      <c r="M135" s="116">
        <v>19150</v>
      </c>
      <c r="N135" s="321">
        <f t="shared" si="130"/>
        <v>1359650</v>
      </c>
    </row>
    <row r="136" spans="1:14" ht="16">
      <c r="A136" s="138">
        <v>45838</v>
      </c>
      <c r="B136" s="140" t="s">
        <v>43</v>
      </c>
      <c r="C136" s="83"/>
      <c r="D136" s="83"/>
      <c r="E136" s="11">
        <f t="shared" si="126"/>
        <v>0</v>
      </c>
      <c r="F136" s="141">
        <v>60</v>
      </c>
      <c r="G136" s="13" t="e">
        <f t="shared" si="127"/>
        <v>#DIV/0!</v>
      </c>
      <c r="H136" s="35"/>
      <c r="I136" s="38"/>
      <c r="J136" s="35">
        <f t="shared" si="128"/>
        <v>0</v>
      </c>
      <c r="K136" s="35">
        <v>60</v>
      </c>
      <c r="L136" s="136" t="e">
        <f t="shared" si="129"/>
        <v>#DIV/0!</v>
      </c>
      <c r="M136" s="116">
        <v>19700</v>
      </c>
      <c r="N136" s="321">
        <f t="shared" si="130"/>
        <v>1182000</v>
      </c>
    </row>
    <row r="137" spans="1:14" ht="16">
      <c r="A137" s="138"/>
      <c r="B137" s="140" t="s">
        <v>43</v>
      </c>
      <c r="C137" s="83"/>
      <c r="D137" s="83"/>
      <c r="E137" s="11">
        <f t="shared" si="126"/>
        <v>0</v>
      </c>
      <c r="F137" s="141"/>
      <c r="G137" s="13" t="e">
        <f t="shared" si="127"/>
        <v>#DIV/0!</v>
      </c>
      <c r="H137" s="35"/>
      <c r="I137" s="38"/>
      <c r="J137" s="35">
        <f t="shared" si="128"/>
        <v>0</v>
      </c>
      <c r="K137" s="35"/>
      <c r="L137" s="136" t="e">
        <f t="shared" si="129"/>
        <v>#DIV/0!</v>
      </c>
      <c r="M137" s="116"/>
      <c r="N137" s="321">
        <f t="shared" si="130"/>
        <v>0</v>
      </c>
    </row>
    <row r="138" spans="1:14" ht="16">
      <c r="A138" s="138"/>
      <c r="B138" s="140" t="s">
        <v>43</v>
      </c>
      <c r="C138" s="83"/>
      <c r="D138" s="83"/>
      <c r="E138" s="11">
        <f t="shared" si="126"/>
        <v>0</v>
      </c>
      <c r="F138" s="141"/>
      <c r="G138" s="13" t="e">
        <f t="shared" si="127"/>
        <v>#DIV/0!</v>
      </c>
      <c r="H138" s="35"/>
      <c r="I138" s="38"/>
      <c r="J138" s="35">
        <f t="shared" si="128"/>
        <v>0</v>
      </c>
      <c r="K138" s="35"/>
      <c r="L138" s="136" t="e">
        <f t="shared" si="129"/>
        <v>#DIV/0!</v>
      </c>
      <c r="M138" s="116"/>
      <c r="N138" s="321">
        <f t="shared" si="130"/>
        <v>0</v>
      </c>
    </row>
    <row r="139" spans="1:14" ht="16">
      <c r="A139" s="138"/>
      <c r="B139" s="140" t="s">
        <v>43</v>
      </c>
      <c r="C139" s="83"/>
      <c r="D139" s="83"/>
      <c r="E139" s="11">
        <f t="shared" si="126"/>
        <v>0</v>
      </c>
      <c r="F139" s="141"/>
      <c r="G139" s="13" t="e">
        <f t="shared" si="127"/>
        <v>#DIV/0!</v>
      </c>
      <c r="H139" s="35"/>
      <c r="I139" s="38"/>
      <c r="J139" s="35">
        <f t="shared" si="128"/>
        <v>0</v>
      </c>
      <c r="K139" s="35"/>
      <c r="L139" s="136" t="e">
        <f t="shared" si="129"/>
        <v>#DIV/0!</v>
      </c>
      <c r="M139" s="116"/>
      <c r="N139" s="321">
        <f t="shared" si="130"/>
        <v>0</v>
      </c>
    </row>
    <row r="140" spans="1:14" ht="16">
      <c r="A140" s="138"/>
      <c r="B140" s="140" t="s">
        <v>43</v>
      </c>
      <c r="C140" s="83"/>
      <c r="D140" s="83"/>
      <c r="E140" s="11">
        <f t="shared" si="126"/>
        <v>0</v>
      </c>
      <c r="F140" s="141"/>
      <c r="G140" s="13" t="e">
        <f t="shared" si="127"/>
        <v>#DIV/0!</v>
      </c>
      <c r="H140" s="83"/>
      <c r="I140" s="125"/>
      <c r="J140" s="83">
        <f t="shared" si="128"/>
        <v>0</v>
      </c>
      <c r="K140" s="83"/>
      <c r="L140" s="136" t="e">
        <f t="shared" si="129"/>
        <v>#DIV/0!</v>
      </c>
      <c r="M140" s="116"/>
      <c r="N140" s="321">
        <f t="shared" si="130"/>
        <v>0</v>
      </c>
    </row>
    <row r="141" spans="1:14" ht="16">
      <c r="A141" s="133"/>
      <c r="B141" s="140"/>
      <c r="C141" s="134"/>
      <c r="D141" s="134"/>
      <c r="E141" s="24">
        <f t="shared" si="126"/>
        <v>0</v>
      </c>
      <c r="F141" s="143"/>
      <c r="G141" s="54" t="e">
        <f t="shared" si="127"/>
        <v>#DIV/0!</v>
      </c>
      <c r="H141" s="134"/>
      <c r="I141" s="135"/>
      <c r="J141" s="134">
        <f t="shared" si="128"/>
        <v>0</v>
      </c>
      <c r="K141" s="134"/>
      <c r="L141" s="136" t="e">
        <f t="shared" si="129"/>
        <v>#DIV/0!</v>
      </c>
      <c r="M141" s="137"/>
      <c r="N141" s="321">
        <f>M141*K141</f>
        <v>0</v>
      </c>
    </row>
    <row r="142" spans="1:14" ht="16">
      <c r="A142" s="59"/>
      <c r="B142" s="60"/>
      <c r="C142" s="59"/>
      <c r="D142" s="59" t="s">
        <v>19</v>
      </c>
      <c r="E142" s="59">
        <f t="shared" ref="E142:F142" si="131">SUM(E134:E141)</f>
        <v>0</v>
      </c>
      <c r="F142" s="59">
        <f t="shared" si="131"/>
        <v>206</v>
      </c>
      <c r="G142" s="61" t="e">
        <f>AVERAGE(G134:G141)</f>
        <v>#DIV/0!</v>
      </c>
      <c r="H142" s="59"/>
      <c r="I142" s="62"/>
      <c r="J142" s="59">
        <f t="shared" ref="J142:K142" si="132">SUM(J134:J141)</f>
        <v>0</v>
      </c>
      <c r="K142" s="59">
        <f t="shared" si="132"/>
        <v>206</v>
      </c>
      <c r="L142" s="61" t="e">
        <f>AVERAGE(L134:L141)</f>
        <v>#DIV/0!</v>
      </c>
      <c r="M142" s="64"/>
      <c r="N142" s="322">
        <f>SUM(N134:N141)</f>
        <v>3869150</v>
      </c>
    </row>
    <row r="143" spans="1:14" ht="16">
      <c r="A143" s="66">
        <v>45817</v>
      </c>
      <c r="B143" s="140" t="s">
        <v>30</v>
      </c>
      <c r="C143" s="83"/>
      <c r="D143" s="12"/>
      <c r="E143" s="36">
        <f t="shared" ref="E143:E150" si="133">D143-C143</f>
        <v>0</v>
      </c>
      <c r="F143" s="37">
        <v>82</v>
      </c>
      <c r="G143" s="13" t="e">
        <f t="shared" ref="G143:G150" si="134">(F143/E143)*100</f>
        <v>#DIV/0!</v>
      </c>
      <c r="H143" s="125"/>
      <c r="I143" s="126"/>
      <c r="J143" s="39">
        <f t="shared" ref="J143:J150" si="135">I143-H143</f>
        <v>0</v>
      </c>
      <c r="K143" s="39">
        <v>82</v>
      </c>
      <c r="L143" s="136" t="e">
        <f t="shared" ref="L143:L150" si="136">(K143/J143)*100</f>
        <v>#DIV/0!</v>
      </c>
      <c r="M143" s="68">
        <v>17420</v>
      </c>
      <c r="N143" s="321">
        <f t="shared" ref="N143:N149" si="137">F143*M143</f>
        <v>1428440</v>
      </c>
    </row>
    <row r="144" spans="1:14" ht="16">
      <c r="A144" s="66">
        <v>45824</v>
      </c>
      <c r="B144" s="140" t="s">
        <v>30</v>
      </c>
      <c r="C144" s="83"/>
      <c r="D144" s="12"/>
      <c r="E144" s="36">
        <f t="shared" si="133"/>
        <v>0</v>
      </c>
      <c r="F144" s="45">
        <v>75</v>
      </c>
      <c r="G144" s="13" t="e">
        <f t="shared" si="134"/>
        <v>#DIV/0!</v>
      </c>
      <c r="H144" s="38"/>
      <c r="I144" s="38"/>
      <c r="J144" s="35">
        <f t="shared" si="135"/>
        <v>0</v>
      </c>
      <c r="K144" s="35">
        <v>75</v>
      </c>
      <c r="L144" s="136" t="e">
        <f t="shared" si="136"/>
        <v>#DIV/0!</v>
      </c>
      <c r="M144" s="116">
        <v>17700</v>
      </c>
      <c r="N144" s="321">
        <f t="shared" si="137"/>
        <v>1327500</v>
      </c>
    </row>
    <row r="145" spans="1:18" ht="16">
      <c r="A145" s="138">
        <v>45832</v>
      </c>
      <c r="B145" s="140" t="s">
        <v>30</v>
      </c>
      <c r="C145" s="83"/>
      <c r="D145" s="83"/>
      <c r="E145" s="11">
        <f t="shared" si="133"/>
        <v>0</v>
      </c>
      <c r="F145" s="141">
        <v>74</v>
      </c>
      <c r="G145" s="13" t="e">
        <f t="shared" si="134"/>
        <v>#DIV/0!</v>
      </c>
      <c r="H145" s="35"/>
      <c r="I145" s="38"/>
      <c r="J145" s="35">
        <f t="shared" si="135"/>
        <v>0</v>
      </c>
      <c r="K145" s="35">
        <v>74</v>
      </c>
      <c r="L145" s="136" t="e">
        <f t="shared" si="136"/>
        <v>#DIV/0!</v>
      </c>
      <c r="M145" s="116">
        <v>19150</v>
      </c>
      <c r="N145" s="321">
        <f t="shared" si="137"/>
        <v>1417100</v>
      </c>
    </row>
    <row r="146" spans="1:18" ht="16">
      <c r="A146" s="138">
        <v>45837</v>
      </c>
      <c r="B146" s="140" t="s">
        <v>30</v>
      </c>
      <c r="C146" s="83"/>
      <c r="D146" s="83"/>
      <c r="E146" s="11">
        <f t="shared" si="133"/>
        <v>0</v>
      </c>
      <c r="F146" s="141">
        <v>66</v>
      </c>
      <c r="G146" s="13" t="e">
        <f t="shared" si="134"/>
        <v>#DIV/0!</v>
      </c>
      <c r="H146" s="35"/>
      <c r="I146" s="38"/>
      <c r="J146" s="35">
        <f t="shared" si="135"/>
        <v>0</v>
      </c>
      <c r="K146" s="35">
        <v>66</v>
      </c>
      <c r="L146" s="136" t="e">
        <f t="shared" si="136"/>
        <v>#DIV/0!</v>
      </c>
      <c r="M146" s="116">
        <v>19700</v>
      </c>
      <c r="N146" s="321">
        <f t="shared" si="137"/>
        <v>1300200</v>
      </c>
    </row>
    <row r="147" spans="1:18" ht="16">
      <c r="A147" s="138"/>
      <c r="B147" s="140" t="s">
        <v>30</v>
      </c>
      <c r="C147" s="83"/>
      <c r="D147" s="83"/>
      <c r="E147" s="11">
        <f t="shared" si="133"/>
        <v>0</v>
      </c>
      <c r="F147" s="141"/>
      <c r="G147" s="13" t="e">
        <f t="shared" si="134"/>
        <v>#DIV/0!</v>
      </c>
      <c r="H147" s="35"/>
      <c r="I147" s="38"/>
      <c r="J147" s="35">
        <f t="shared" si="135"/>
        <v>0</v>
      </c>
      <c r="K147" s="35"/>
      <c r="L147" s="136" t="e">
        <f t="shared" si="136"/>
        <v>#DIV/0!</v>
      </c>
      <c r="M147" s="116"/>
      <c r="N147" s="321">
        <f t="shared" si="137"/>
        <v>0</v>
      </c>
    </row>
    <row r="148" spans="1:18" ht="16">
      <c r="A148" s="138"/>
      <c r="B148" s="140" t="s">
        <v>30</v>
      </c>
      <c r="C148" s="83"/>
      <c r="D148" s="83"/>
      <c r="E148" s="11">
        <f t="shared" si="133"/>
        <v>0</v>
      </c>
      <c r="F148" s="141"/>
      <c r="G148" s="13" t="e">
        <f t="shared" si="134"/>
        <v>#DIV/0!</v>
      </c>
      <c r="H148" s="35"/>
      <c r="I148" s="38"/>
      <c r="J148" s="35">
        <f t="shared" si="135"/>
        <v>0</v>
      </c>
      <c r="K148" s="35"/>
      <c r="L148" s="136" t="e">
        <f t="shared" si="136"/>
        <v>#DIV/0!</v>
      </c>
      <c r="M148" s="116"/>
      <c r="N148" s="321">
        <f t="shared" si="137"/>
        <v>0</v>
      </c>
    </row>
    <row r="149" spans="1:18" ht="16">
      <c r="A149" s="138"/>
      <c r="B149" s="140"/>
      <c r="C149" s="83"/>
      <c r="D149" s="83"/>
      <c r="E149" s="11">
        <f t="shared" si="133"/>
        <v>0</v>
      </c>
      <c r="F149" s="141"/>
      <c r="G149" s="13" t="e">
        <f t="shared" si="134"/>
        <v>#DIV/0!</v>
      </c>
      <c r="H149" s="83"/>
      <c r="I149" s="125"/>
      <c r="J149" s="83">
        <f t="shared" si="135"/>
        <v>0</v>
      </c>
      <c r="K149" s="83"/>
      <c r="L149" s="136" t="e">
        <f t="shared" si="136"/>
        <v>#DIV/0!</v>
      </c>
      <c r="M149" s="116"/>
      <c r="N149" s="321">
        <f t="shared" si="137"/>
        <v>0</v>
      </c>
    </row>
    <row r="150" spans="1:18" ht="16">
      <c r="A150" s="133"/>
      <c r="B150" s="140"/>
      <c r="C150" s="134"/>
      <c r="D150" s="134"/>
      <c r="E150" s="24">
        <f t="shared" si="133"/>
        <v>0</v>
      </c>
      <c r="F150" s="143"/>
      <c r="G150" s="54" t="e">
        <f t="shared" si="134"/>
        <v>#DIV/0!</v>
      </c>
      <c r="H150" s="134"/>
      <c r="I150" s="135"/>
      <c r="J150" s="134">
        <f t="shared" si="135"/>
        <v>0</v>
      </c>
      <c r="K150" s="134"/>
      <c r="L150" s="136" t="e">
        <f t="shared" si="136"/>
        <v>#DIV/0!</v>
      </c>
      <c r="M150" s="137"/>
      <c r="N150" s="321">
        <f>M150*K150</f>
        <v>0</v>
      </c>
      <c r="Q150" s="76">
        <f>14177285+21412980+24596850+40917350</f>
        <v>101104465</v>
      </c>
    </row>
    <row r="151" spans="1:18" ht="16">
      <c r="A151" s="59"/>
      <c r="B151" s="60"/>
      <c r="C151" s="59"/>
      <c r="D151" s="59" t="s">
        <v>19</v>
      </c>
      <c r="E151" s="59">
        <f t="shared" ref="E151:F151" si="138">SUM(E143:E150)</f>
        <v>0</v>
      </c>
      <c r="F151" s="59">
        <f t="shared" si="138"/>
        <v>297</v>
      </c>
      <c r="G151" s="61" t="e">
        <f>AVERAGE(G143:G150)</f>
        <v>#DIV/0!</v>
      </c>
      <c r="H151" s="59"/>
      <c r="I151" s="62"/>
      <c r="J151" s="59">
        <f t="shared" ref="J151:K151" si="139">SUM(J143:J150)</f>
        <v>0</v>
      </c>
      <c r="K151" s="59">
        <f t="shared" si="139"/>
        <v>297</v>
      </c>
      <c r="L151" s="61" t="e">
        <f>AVERAGE(L143:L150)</f>
        <v>#DIV/0!</v>
      </c>
      <c r="M151" s="64"/>
      <c r="N151" s="322">
        <f>SUM(N143:N150)</f>
        <v>5473240</v>
      </c>
    </row>
    <row r="152" spans="1:18" ht="18">
      <c r="A152" s="354" t="s">
        <v>64</v>
      </c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7"/>
      <c r="N152" s="323">
        <f>N10+N18+N27+N35+N43+N52+N60+N68+N76+N84+N91+N99+N107+N124+N133+N142+N151+N115</f>
        <v>101104380</v>
      </c>
      <c r="Q152" s="76">
        <v>101104465</v>
      </c>
      <c r="R152" s="76">
        <f>Q152-Q153</f>
        <v>85</v>
      </c>
    </row>
    <row r="153" spans="1:18" ht="13">
      <c r="G153" s="150"/>
      <c r="L153" s="150"/>
      <c r="Q153" s="76">
        <v>101104380</v>
      </c>
    </row>
    <row r="154" spans="1:18" ht="31.5" customHeight="1">
      <c r="D154" s="152" t="s">
        <v>45</v>
      </c>
      <c r="E154" s="153"/>
      <c r="G154" s="150"/>
      <c r="L154" s="150"/>
      <c r="Q154" s="76" t="s">
        <v>95</v>
      </c>
    </row>
    <row r="155" spans="1:18" ht="16">
      <c r="A155" s="220" t="s">
        <v>1</v>
      </c>
      <c r="B155" s="154" t="s">
        <v>2</v>
      </c>
      <c r="C155" s="148" t="s">
        <v>3</v>
      </c>
      <c r="D155" s="148" t="s">
        <v>4</v>
      </c>
      <c r="E155" s="148" t="s">
        <v>5</v>
      </c>
      <c r="F155" s="148" t="s">
        <v>6</v>
      </c>
      <c r="G155" s="155" t="s">
        <v>7</v>
      </c>
      <c r="H155" s="156" t="s">
        <v>8</v>
      </c>
      <c r="I155" s="157" t="s">
        <v>8</v>
      </c>
      <c r="J155" s="148" t="s">
        <v>5</v>
      </c>
      <c r="K155" s="148" t="s">
        <v>6</v>
      </c>
      <c r="L155" s="155" t="s">
        <v>7</v>
      </c>
      <c r="M155" s="148" t="s">
        <v>9</v>
      </c>
      <c r="N155" s="158" t="s">
        <v>10</v>
      </c>
    </row>
    <row r="156" spans="1:18" ht="16">
      <c r="A156" s="66">
        <v>45810</v>
      </c>
      <c r="B156" s="140" t="s">
        <v>46</v>
      </c>
      <c r="C156" s="12"/>
      <c r="D156" s="12"/>
      <c r="E156" s="11"/>
      <c r="F156" s="37"/>
      <c r="G156" s="13"/>
      <c r="H156" s="83"/>
      <c r="I156" s="126"/>
      <c r="J156" s="39"/>
      <c r="K156" s="39">
        <v>449.5</v>
      </c>
      <c r="L156" s="136" t="e">
        <f t="shared" ref="L156:L160" si="140">(K156/J156)*100</f>
        <v>#DIV/0!</v>
      </c>
      <c r="M156" s="68">
        <v>17130</v>
      </c>
      <c r="N156" s="324">
        <f>M156*K156</f>
        <v>7699935</v>
      </c>
    </row>
    <row r="157" spans="1:18" ht="16">
      <c r="A157" s="66">
        <v>45824</v>
      </c>
      <c r="B157" s="140" t="s">
        <v>46</v>
      </c>
      <c r="C157" s="12"/>
      <c r="D157" s="12"/>
      <c r="E157" s="11">
        <f t="shared" ref="E157:E160" si="141">D157-C157</f>
        <v>0</v>
      </c>
      <c r="F157" s="37"/>
      <c r="G157" s="13" t="e">
        <f t="shared" ref="G157:G160" si="142">(F157/E157)*100</f>
        <v>#DIV/0!</v>
      </c>
      <c r="H157" s="83">
        <v>1780</v>
      </c>
      <c r="I157" s="126">
        <v>2671</v>
      </c>
      <c r="J157" s="39">
        <f t="shared" ref="J157:J160" si="143">I157-H157</f>
        <v>891</v>
      </c>
      <c r="K157" s="39">
        <f t="shared" ref="K157:K160" si="144">F157</f>
        <v>0</v>
      </c>
      <c r="L157" s="136">
        <f t="shared" si="140"/>
        <v>0</v>
      </c>
      <c r="M157" s="68"/>
      <c r="N157" s="324">
        <v>7080000</v>
      </c>
    </row>
    <row r="158" spans="1:18" ht="16">
      <c r="A158" s="138"/>
      <c r="B158" s="140" t="s">
        <v>46</v>
      </c>
      <c r="C158" s="83"/>
      <c r="D158" s="83"/>
      <c r="E158" s="11">
        <f t="shared" si="141"/>
        <v>0</v>
      </c>
      <c r="F158" s="141"/>
      <c r="G158" s="13" t="e">
        <f t="shared" si="142"/>
        <v>#DIV/0!</v>
      </c>
      <c r="H158" s="83"/>
      <c r="I158" s="125"/>
      <c r="J158" s="83">
        <f t="shared" si="143"/>
        <v>0</v>
      </c>
      <c r="K158" s="83">
        <f t="shared" si="144"/>
        <v>0</v>
      </c>
      <c r="L158" s="136" t="e">
        <f t="shared" si="140"/>
        <v>#DIV/0!</v>
      </c>
      <c r="M158" s="116"/>
      <c r="N158" s="201"/>
    </row>
    <row r="159" spans="1:18" ht="16">
      <c r="A159" s="138"/>
      <c r="B159" s="140" t="s">
        <v>46</v>
      </c>
      <c r="C159" s="83"/>
      <c r="D159" s="83"/>
      <c r="E159" s="11">
        <f t="shared" si="141"/>
        <v>0</v>
      </c>
      <c r="F159" s="141"/>
      <c r="G159" s="13" t="e">
        <f t="shared" si="142"/>
        <v>#DIV/0!</v>
      </c>
      <c r="H159" s="83"/>
      <c r="I159" s="125"/>
      <c r="J159" s="83">
        <f t="shared" si="143"/>
        <v>0</v>
      </c>
      <c r="K159" s="83">
        <f t="shared" si="144"/>
        <v>0</v>
      </c>
      <c r="L159" s="136" t="e">
        <f t="shared" si="140"/>
        <v>#DIV/0!</v>
      </c>
      <c r="M159" s="116"/>
      <c r="N159" s="201">
        <f t="shared" ref="N159:N160" si="145">F159*M159</f>
        <v>0</v>
      </c>
    </row>
    <row r="160" spans="1:18" ht="16">
      <c r="A160" s="138"/>
      <c r="B160" s="140"/>
      <c r="C160" s="83"/>
      <c r="D160" s="83"/>
      <c r="E160" s="11">
        <f t="shared" si="141"/>
        <v>0</v>
      </c>
      <c r="F160" s="141"/>
      <c r="G160" s="13" t="e">
        <f t="shared" si="142"/>
        <v>#DIV/0!</v>
      </c>
      <c r="H160" s="83"/>
      <c r="I160" s="125"/>
      <c r="J160" s="83">
        <f t="shared" si="143"/>
        <v>0</v>
      </c>
      <c r="K160" s="83">
        <f t="shared" si="144"/>
        <v>0</v>
      </c>
      <c r="L160" s="136" t="e">
        <f t="shared" si="140"/>
        <v>#DIV/0!</v>
      </c>
      <c r="M160" s="116"/>
      <c r="N160" s="201">
        <f t="shared" si="145"/>
        <v>0</v>
      </c>
    </row>
    <row r="161" spans="1:14" ht="16">
      <c r="A161" s="59"/>
      <c r="B161" s="60"/>
      <c r="C161" s="59"/>
      <c r="D161" s="59" t="s">
        <v>19</v>
      </c>
      <c r="E161" s="59">
        <f t="shared" ref="E161:F161" si="146">SUM(E156:E160)</f>
        <v>0</v>
      </c>
      <c r="F161" s="59">
        <f t="shared" si="146"/>
        <v>0</v>
      </c>
      <c r="G161" s="61" t="e">
        <f>AVERAGE(G156:G160)</f>
        <v>#DIV/0!</v>
      </c>
      <c r="H161" s="59"/>
      <c r="I161" s="62"/>
      <c r="J161" s="59">
        <f t="shared" ref="J161:K161" si="147">SUM(J156:J160)</f>
        <v>891</v>
      </c>
      <c r="K161" s="59">
        <f t="shared" si="147"/>
        <v>449.5</v>
      </c>
      <c r="L161" s="61" t="e">
        <f>AVERAGE(L156:L160)</f>
        <v>#DIV/0!</v>
      </c>
      <c r="M161" s="64"/>
      <c r="N161" s="325">
        <f>SUM(N156:N160)</f>
        <v>14779935</v>
      </c>
    </row>
    <row r="162" spans="1:14" ht="16">
      <c r="A162" s="138">
        <v>45818</v>
      </c>
      <c r="B162" s="140" t="s">
        <v>53</v>
      </c>
      <c r="C162" s="83">
        <v>484310</v>
      </c>
      <c r="D162" s="83">
        <v>484880</v>
      </c>
      <c r="E162" s="11">
        <f t="shared" ref="E162:E165" si="148">D162-C162</f>
        <v>570</v>
      </c>
      <c r="F162" s="141">
        <v>198.62</v>
      </c>
      <c r="G162" s="13">
        <f t="shared" ref="G162:G165" si="149">(F162/E162)*100</f>
        <v>34.845614035087721</v>
      </c>
      <c r="H162" s="83"/>
      <c r="I162" s="125"/>
      <c r="J162" s="83">
        <f t="shared" ref="J162:J165" si="150">I162-H162</f>
        <v>0</v>
      </c>
      <c r="K162" s="83">
        <f t="shared" ref="K162:K165" si="151">F162</f>
        <v>198.62</v>
      </c>
      <c r="L162" s="136" t="e">
        <f t="shared" ref="L162:L165" si="152">(K162/J162)*100</f>
        <v>#DIV/0!</v>
      </c>
      <c r="M162" s="116">
        <v>17420</v>
      </c>
      <c r="N162" s="201">
        <f t="shared" ref="N162:N165" si="153">F162*M162</f>
        <v>3459960.4</v>
      </c>
    </row>
    <row r="163" spans="1:14" ht="16">
      <c r="A163" s="138">
        <v>45821</v>
      </c>
      <c r="B163" s="140" t="s">
        <v>53</v>
      </c>
      <c r="C163" s="83">
        <v>484880</v>
      </c>
      <c r="D163" s="83">
        <v>485570</v>
      </c>
      <c r="E163" s="11">
        <f t="shared" si="148"/>
        <v>690</v>
      </c>
      <c r="F163" s="141">
        <v>200</v>
      </c>
      <c r="G163" s="13">
        <f t="shared" si="149"/>
        <v>28.985507246376812</v>
      </c>
      <c r="H163" s="83"/>
      <c r="I163" s="125"/>
      <c r="J163" s="83">
        <f t="shared" si="150"/>
        <v>0</v>
      </c>
      <c r="K163" s="83">
        <f t="shared" si="151"/>
        <v>200</v>
      </c>
      <c r="L163" s="136" t="e">
        <f t="shared" si="152"/>
        <v>#DIV/0!</v>
      </c>
      <c r="M163" s="116">
        <v>17700</v>
      </c>
      <c r="N163" s="326">
        <f t="shared" si="153"/>
        <v>3540000</v>
      </c>
    </row>
    <row r="164" spans="1:14" ht="16">
      <c r="A164" s="138">
        <v>45829</v>
      </c>
      <c r="B164" s="140" t="s">
        <v>53</v>
      </c>
      <c r="C164" s="83">
        <v>485570</v>
      </c>
      <c r="D164" s="83">
        <v>486480</v>
      </c>
      <c r="E164" s="11">
        <f t="shared" si="148"/>
        <v>910</v>
      </c>
      <c r="F164" s="141">
        <v>292.44</v>
      </c>
      <c r="G164" s="13">
        <f t="shared" si="149"/>
        <v>32.136263736263736</v>
      </c>
      <c r="H164" s="83"/>
      <c r="I164" s="125"/>
      <c r="J164" s="83">
        <f t="shared" si="150"/>
        <v>0</v>
      </c>
      <c r="K164" s="83">
        <f t="shared" si="151"/>
        <v>292.44</v>
      </c>
      <c r="L164" s="136" t="e">
        <f t="shared" si="152"/>
        <v>#DIV/0!</v>
      </c>
      <c r="M164" s="116">
        <v>19150</v>
      </c>
      <c r="N164" s="201">
        <f t="shared" si="153"/>
        <v>5600226</v>
      </c>
    </row>
    <row r="165" spans="1:14" ht="16">
      <c r="A165" s="138">
        <v>45835</v>
      </c>
      <c r="B165" s="140" t="s">
        <v>53</v>
      </c>
      <c r="C165" s="83">
        <v>486480</v>
      </c>
      <c r="D165" s="83">
        <v>487450</v>
      </c>
      <c r="E165" s="11">
        <f t="shared" si="148"/>
        <v>970</v>
      </c>
      <c r="F165" s="141">
        <v>300</v>
      </c>
      <c r="G165" s="13">
        <f t="shared" si="149"/>
        <v>30.927835051546392</v>
      </c>
      <c r="H165" s="83"/>
      <c r="I165" s="125"/>
      <c r="J165" s="83">
        <f t="shared" si="150"/>
        <v>0</v>
      </c>
      <c r="K165" s="83">
        <f t="shared" si="151"/>
        <v>300</v>
      </c>
      <c r="L165" s="136" t="e">
        <f t="shared" si="152"/>
        <v>#DIV/0!</v>
      </c>
      <c r="M165" s="116">
        <v>19700</v>
      </c>
      <c r="N165" s="327">
        <f t="shared" si="153"/>
        <v>5910000</v>
      </c>
    </row>
    <row r="166" spans="1:14" ht="16">
      <c r="A166" s="59"/>
      <c r="B166" s="60"/>
      <c r="C166" s="59"/>
      <c r="D166" s="59" t="s">
        <v>19</v>
      </c>
      <c r="E166" s="59">
        <f t="shared" ref="E166:F166" si="154">SUM(E162:E165)</f>
        <v>3140</v>
      </c>
      <c r="F166" s="59">
        <f t="shared" si="154"/>
        <v>991.06</v>
      </c>
      <c r="G166" s="61">
        <f>AVERAGE(G162:G165)</f>
        <v>31.723805017318668</v>
      </c>
      <c r="H166" s="59"/>
      <c r="I166" s="62"/>
      <c r="J166" s="59">
        <f t="shared" ref="J166:K166" si="155">SUM(J162:J165)</f>
        <v>0</v>
      </c>
      <c r="K166" s="59">
        <f t="shared" si="155"/>
        <v>991.06</v>
      </c>
      <c r="L166" s="61" t="e">
        <f>AVERAGE(L162:L165)</f>
        <v>#DIV/0!</v>
      </c>
      <c r="M166" s="64"/>
      <c r="N166" s="325">
        <f>SUM(N162:N165)</f>
        <v>18510186.399999999</v>
      </c>
    </row>
    <row r="167" spans="1:14" ht="16">
      <c r="A167" s="66">
        <v>45813</v>
      </c>
      <c r="B167" s="140" t="s">
        <v>48</v>
      </c>
      <c r="C167" s="83">
        <v>451074</v>
      </c>
      <c r="D167" s="12"/>
      <c r="E167" s="36">
        <f t="shared" ref="E167:E171" si="156">D167-C167</f>
        <v>-451074</v>
      </c>
      <c r="F167" s="141"/>
      <c r="G167" s="13">
        <f t="shared" ref="G167:G171" si="157">(F167/E167)*100</f>
        <v>0</v>
      </c>
      <c r="H167" s="83"/>
      <c r="I167" s="126"/>
      <c r="J167" s="39">
        <f t="shared" ref="J167:J171" si="158">I167-H167</f>
        <v>0</v>
      </c>
      <c r="K167" s="39">
        <v>303.15600000000001</v>
      </c>
      <c r="L167" s="136" t="e">
        <f t="shared" ref="L167:L171" si="159">(K167/J167)*100</f>
        <v>#DIV/0!</v>
      </c>
      <c r="M167" s="68">
        <v>17130</v>
      </c>
      <c r="N167" s="328">
        <f>K167*M167</f>
        <v>5193062.28</v>
      </c>
    </row>
    <row r="168" spans="1:14" ht="16">
      <c r="A168" s="138">
        <v>45832</v>
      </c>
      <c r="B168" s="140" t="s">
        <v>48</v>
      </c>
      <c r="C168" s="83"/>
      <c r="D168" s="83"/>
      <c r="E168" s="11">
        <f t="shared" si="156"/>
        <v>0</v>
      </c>
      <c r="F168" s="141"/>
      <c r="G168" s="13" t="e">
        <f t="shared" si="157"/>
        <v>#DIV/0!</v>
      </c>
      <c r="H168" s="83"/>
      <c r="I168" s="125"/>
      <c r="J168" s="83">
        <f t="shared" si="158"/>
        <v>0</v>
      </c>
      <c r="K168" s="83">
        <f t="shared" ref="K168:K171" si="160">F168</f>
        <v>0</v>
      </c>
      <c r="L168" s="136" t="e">
        <f t="shared" si="159"/>
        <v>#DIV/0!</v>
      </c>
      <c r="M168" s="116"/>
      <c r="N168" s="329">
        <v>5550000</v>
      </c>
    </row>
    <row r="169" spans="1:14" ht="16">
      <c r="A169" s="138"/>
      <c r="B169" s="140" t="s">
        <v>48</v>
      </c>
      <c r="C169" s="83"/>
      <c r="D169" s="83"/>
      <c r="E169" s="11">
        <f t="shared" si="156"/>
        <v>0</v>
      </c>
      <c r="F169" s="141"/>
      <c r="G169" s="13" t="e">
        <f t="shared" si="157"/>
        <v>#DIV/0!</v>
      </c>
      <c r="H169" s="83"/>
      <c r="I169" s="125"/>
      <c r="J169" s="83">
        <f t="shared" si="158"/>
        <v>0</v>
      </c>
      <c r="K169" s="83">
        <f t="shared" si="160"/>
        <v>0</v>
      </c>
      <c r="L169" s="136" t="e">
        <f t="shared" si="159"/>
        <v>#DIV/0!</v>
      </c>
      <c r="M169" s="116"/>
      <c r="N169" s="201">
        <f t="shared" ref="N169:N171" si="161">F169*M169</f>
        <v>0</v>
      </c>
    </row>
    <row r="170" spans="1:14" ht="16">
      <c r="A170" s="138"/>
      <c r="B170" s="140" t="s">
        <v>48</v>
      </c>
      <c r="C170" s="83"/>
      <c r="D170" s="83"/>
      <c r="E170" s="11">
        <f t="shared" si="156"/>
        <v>0</v>
      </c>
      <c r="F170" s="141"/>
      <c r="G170" s="13" t="e">
        <f t="shared" si="157"/>
        <v>#DIV/0!</v>
      </c>
      <c r="H170" s="83"/>
      <c r="I170" s="125"/>
      <c r="J170" s="83">
        <f t="shared" si="158"/>
        <v>0</v>
      </c>
      <c r="K170" s="83">
        <f t="shared" si="160"/>
        <v>0</v>
      </c>
      <c r="L170" s="136" t="e">
        <f t="shared" si="159"/>
        <v>#DIV/0!</v>
      </c>
      <c r="M170" s="116"/>
      <c r="N170" s="201">
        <f t="shared" si="161"/>
        <v>0</v>
      </c>
    </row>
    <row r="171" spans="1:14" ht="16">
      <c r="A171" s="138"/>
      <c r="B171" s="140"/>
      <c r="C171" s="83"/>
      <c r="D171" s="83"/>
      <c r="E171" s="11">
        <f t="shared" si="156"/>
        <v>0</v>
      </c>
      <c r="F171" s="141"/>
      <c r="G171" s="13" t="e">
        <f t="shared" si="157"/>
        <v>#DIV/0!</v>
      </c>
      <c r="H171" s="83"/>
      <c r="I171" s="125"/>
      <c r="J171" s="83">
        <f t="shared" si="158"/>
        <v>0</v>
      </c>
      <c r="K171" s="83">
        <f t="shared" si="160"/>
        <v>0</v>
      </c>
      <c r="L171" s="136" t="e">
        <f t="shared" si="159"/>
        <v>#DIV/0!</v>
      </c>
      <c r="M171" s="116"/>
      <c r="N171" s="201">
        <f t="shared" si="161"/>
        <v>0</v>
      </c>
    </row>
    <row r="172" spans="1:14" ht="16">
      <c r="A172" s="59"/>
      <c r="B172" s="60"/>
      <c r="C172" s="59"/>
      <c r="D172" s="59" t="s">
        <v>19</v>
      </c>
      <c r="E172" s="59">
        <f t="shared" ref="E172:F172" si="162">SUM(E167:E171)</f>
        <v>-451074</v>
      </c>
      <c r="F172" s="59">
        <f t="shared" si="162"/>
        <v>0</v>
      </c>
      <c r="G172" s="61" t="e">
        <f>AVERAGE(G167:G171)</f>
        <v>#DIV/0!</v>
      </c>
      <c r="H172" s="59"/>
      <c r="I172" s="62"/>
      <c r="J172" s="59">
        <f t="shared" ref="J172:K172" si="163">SUM(J167:J171)</f>
        <v>0</v>
      </c>
      <c r="K172" s="59">
        <f t="shared" si="163"/>
        <v>303.15600000000001</v>
      </c>
      <c r="L172" s="61" t="e">
        <f>AVERAGE(L167:L171)</f>
        <v>#DIV/0!</v>
      </c>
      <c r="M172" s="64"/>
      <c r="N172" s="325">
        <f>SUM(N167:N171)</f>
        <v>10743062.280000001</v>
      </c>
    </row>
    <row r="173" spans="1:14" ht="16">
      <c r="A173" s="66">
        <v>45813</v>
      </c>
      <c r="B173" s="140" t="s">
        <v>49</v>
      </c>
      <c r="C173" s="83"/>
      <c r="D173" s="12"/>
      <c r="E173" s="36">
        <f t="shared" ref="E173:E177" si="164">D173-C173</f>
        <v>0</v>
      </c>
      <c r="F173" s="37"/>
      <c r="G173" s="13" t="e">
        <f t="shared" ref="G173:G177" si="165">(F173/E173)*100</f>
        <v>#DIV/0!</v>
      </c>
      <c r="H173" s="83"/>
      <c r="I173" s="126"/>
      <c r="J173" s="39">
        <f t="shared" ref="J173:J177" si="166">I173-H173</f>
        <v>0</v>
      </c>
      <c r="K173" s="39">
        <f t="shared" ref="K173:K177" si="167">F173</f>
        <v>0</v>
      </c>
      <c r="L173" s="136" t="e">
        <f t="shared" ref="L173:L177" si="168">(K173/J173)*100</f>
        <v>#DIV/0!</v>
      </c>
      <c r="M173" s="68"/>
      <c r="N173" s="324">
        <v>4000000</v>
      </c>
    </row>
    <row r="174" spans="1:14" ht="16">
      <c r="A174" s="138">
        <v>45833</v>
      </c>
      <c r="B174" s="140" t="s">
        <v>49</v>
      </c>
      <c r="C174" s="83"/>
      <c r="D174" s="83"/>
      <c r="E174" s="11">
        <f t="shared" si="164"/>
        <v>0</v>
      </c>
      <c r="F174" s="141"/>
      <c r="G174" s="13" t="e">
        <f t="shared" si="165"/>
        <v>#DIV/0!</v>
      </c>
      <c r="H174" s="83"/>
      <c r="I174" s="125"/>
      <c r="J174" s="83">
        <f t="shared" si="166"/>
        <v>0</v>
      </c>
      <c r="K174" s="83">
        <f t="shared" si="167"/>
        <v>0</v>
      </c>
      <c r="L174" s="136" t="e">
        <f t="shared" si="168"/>
        <v>#DIV/0!</v>
      </c>
      <c r="M174" s="116"/>
      <c r="N174" s="329">
        <v>4600000</v>
      </c>
    </row>
    <row r="175" spans="1:14" ht="16">
      <c r="A175" s="138"/>
      <c r="B175" s="140" t="s">
        <v>49</v>
      </c>
      <c r="C175" s="83"/>
      <c r="D175" s="83"/>
      <c r="E175" s="11">
        <f t="shared" si="164"/>
        <v>0</v>
      </c>
      <c r="F175" s="141"/>
      <c r="G175" s="13" t="e">
        <f t="shared" si="165"/>
        <v>#DIV/0!</v>
      </c>
      <c r="H175" s="83"/>
      <c r="I175" s="125"/>
      <c r="J175" s="83">
        <f t="shared" si="166"/>
        <v>0</v>
      </c>
      <c r="K175" s="83">
        <f t="shared" si="167"/>
        <v>0</v>
      </c>
      <c r="L175" s="136" t="e">
        <f t="shared" si="168"/>
        <v>#DIV/0!</v>
      </c>
      <c r="M175" s="116"/>
      <c r="N175" s="201">
        <f t="shared" ref="N175:N177" si="169">F175*M175</f>
        <v>0</v>
      </c>
    </row>
    <row r="176" spans="1:14" ht="16">
      <c r="A176" s="138"/>
      <c r="B176" s="140" t="s">
        <v>49</v>
      </c>
      <c r="C176" s="83"/>
      <c r="D176" s="83"/>
      <c r="E176" s="11">
        <f t="shared" si="164"/>
        <v>0</v>
      </c>
      <c r="F176" s="141"/>
      <c r="G176" s="13" t="e">
        <f t="shared" si="165"/>
        <v>#DIV/0!</v>
      </c>
      <c r="H176" s="83"/>
      <c r="I176" s="125"/>
      <c r="J176" s="83">
        <f t="shared" si="166"/>
        <v>0</v>
      </c>
      <c r="K176" s="83">
        <f t="shared" si="167"/>
        <v>0</v>
      </c>
      <c r="L176" s="136" t="e">
        <f t="shared" si="168"/>
        <v>#DIV/0!</v>
      </c>
      <c r="M176" s="116"/>
      <c r="N176" s="201">
        <f t="shared" si="169"/>
        <v>0</v>
      </c>
    </row>
    <row r="177" spans="1:14" ht="16">
      <c r="A177" s="138"/>
      <c r="B177" s="140"/>
      <c r="C177" s="83"/>
      <c r="D177" s="83"/>
      <c r="E177" s="11">
        <f t="shared" si="164"/>
        <v>0</v>
      </c>
      <c r="F177" s="141"/>
      <c r="G177" s="13" t="e">
        <f t="shared" si="165"/>
        <v>#DIV/0!</v>
      </c>
      <c r="H177" s="83"/>
      <c r="I177" s="125"/>
      <c r="J177" s="83">
        <f t="shared" si="166"/>
        <v>0</v>
      </c>
      <c r="K177" s="83">
        <f t="shared" si="167"/>
        <v>0</v>
      </c>
      <c r="L177" s="136" t="e">
        <f t="shared" si="168"/>
        <v>#DIV/0!</v>
      </c>
      <c r="M177" s="116"/>
      <c r="N177" s="201">
        <f t="shared" si="169"/>
        <v>0</v>
      </c>
    </row>
    <row r="178" spans="1:14" ht="16">
      <c r="A178" s="59"/>
      <c r="B178" s="60"/>
      <c r="C178" s="59"/>
      <c r="D178" s="59" t="s">
        <v>19</v>
      </c>
      <c r="E178" s="59">
        <f t="shared" ref="E178:F178" si="170">SUM(E173:E177)</f>
        <v>0</v>
      </c>
      <c r="F178" s="59">
        <f t="shared" si="170"/>
        <v>0</v>
      </c>
      <c r="G178" s="61" t="e">
        <f>AVERAGE(G173:G177)</f>
        <v>#DIV/0!</v>
      </c>
      <c r="H178" s="59"/>
      <c r="I178" s="62"/>
      <c r="J178" s="59">
        <f t="shared" ref="J178:K178" si="171">SUM(J173:J177)</f>
        <v>0</v>
      </c>
      <c r="K178" s="59">
        <f t="shared" si="171"/>
        <v>0</v>
      </c>
      <c r="L178" s="61" t="e">
        <f>AVERAGE(L173:L177)</f>
        <v>#DIV/0!</v>
      </c>
      <c r="M178" s="64"/>
      <c r="N178" s="325">
        <f>SUM(N173:N177)</f>
        <v>8600000</v>
      </c>
    </row>
    <row r="179" spans="1:14" ht="16">
      <c r="A179" s="66">
        <v>45812</v>
      </c>
      <c r="B179" s="140" t="s">
        <v>50</v>
      </c>
      <c r="C179" s="83"/>
      <c r="D179" s="12"/>
      <c r="E179" s="36"/>
      <c r="F179" s="37"/>
      <c r="G179" s="13" t="e">
        <f t="shared" ref="G179:G183" si="172">(F179/E179)*100</f>
        <v>#DIV/0!</v>
      </c>
      <c r="H179" s="83"/>
      <c r="I179" s="126"/>
      <c r="J179" s="39">
        <f t="shared" ref="J179:J183" si="173">I179-H179</f>
        <v>0</v>
      </c>
      <c r="K179" s="39">
        <v>204.32</v>
      </c>
      <c r="L179" s="136" t="e">
        <f t="shared" ref="L179:L183" si="174">(K179/J179)*100</f>
        <v>#DIV/0!</v>
      </c>
      <c r="M179" s="68">
        <v>17130</v>
      </c>
      <c r="N179" s="324">
        <f>M179*K179</f>
        <v>3500001.6</v>
      </c>
    </row>
    <row r="180" spans="1:14" ht="16">
      <c r="A180" s="138">
        <v>45829</v>
      </c>
      <c r="B180" s="140" t="s">
        <v>50</v>
      </c>
      <c r="C180" s="83"/>
      <c r="D180" s="83"/>
      <c r="E180" s="11">
        <f t="shared" ref="E180:E183" si="175">D180-C180</f>
        <v>0</v>
      </c>
      <c r="F180" s="141"/>
      <c r="G180" s="13" t="e">
        <f t="shared" si="172"/>
        <v>#DIV/0!</v>
      </c>
      <c r="H180" s="83"/>
      <c r="I180" s="125"/>
      <c r="J180" s="83">
        <f t="shared" si="173"/>
        <v>0</v>
      </c>
      <c r="K180" s="83"/>
      <c r="L180" s="136" t="e">
        <f t="shared" si="174"/>
        <v>#DIV/0!</v>
      </c>
      <c r="M180" s="116"/>
      <c r="N180" s="324">
        <v>4300000</v>
      </c>
    </row>
    <row r="181" spans="1:14" ht="16">
      <c r="A181" s="138"/>
      <c r="B181" s="140" t="s">
        <v>50</v>
      </c>
      <c r="C181" s="83"/>
      <c r="D181" s="83"/>
      <c r="E181" s="11">
        <f t="shared" si="175"/>
        <v>0</v>
      </c>
      <c r="F181" s="141"/>
      <c r="G181" s="13" t="e">
        <f t="shared" si="172"/>
        <v>#DIV/0!</v>
      </c>
      <c r="H181" s="83"/>
      <c r="I181" s="125"/>
      <c r="J181" s="83">
        <f t="shared" si="173"/>
        <v>0</v>
      </c>
      <c r="K181" s="83">
        <f t="shared" ref="K181:K183" si="176">F181</f>
        <v>0</v>
      </c>
      <c r="L181" s="136" t="e">
        <f t="shared" si="174"/>
        <v>#DIV/0!</v>
      </c>
      <c r="M181" s="116"/>
      <c r="N181" s="201">
        <f t="shared" ref="N181:N183" si="177">F181*M181</f>
        <v>0</v>
      </c>
    </row>
    <row r="182" spans="1:14" ht="16">
      <c r="A182" s="138"/>
      <c r="B182" s="140" t="s">
        <v>50</v>
      </c>
      <c r="C182" s="83"/>
      <c r="D182" s="83"/>
      <c r="E182" s="11">
        <f t="shared" si="175"/>
        <v>0</v>
      </c>
      <c r="F182" s="141"/>
      <c r="G182" s="13" t="e">
        <f t="shared" si="172"/>
        <v>#DIV/0!</v>
      </c>
      <c r="H182" s="83"/>
      <c r="I182" s="125"/>
      <c r="J182" s="83">
        <f t="shared" si="173"/>
        <v>0</v>
      </c>
      <c r="K182" s="83">
        <f t="shared" si="176"/>
        <v>0</v>
      </c>
      <c r="L182" s="136" t="e">
        <f t="shared" si="174"/>
        <v>#DIV/0!</v>
      </c>
      <c r="M182" s="116"/>
      <c r="N182" s="201">
        <f t="shared" si="177"/>
        <v>0</v>
      </c>
    </row>
    <row r="183" spans="1:14" ht="16">
      <c r="A183" s="138"/>
      <c r="B183" s="140" t="s">
        <v>50</v>
      </c>
      <c r="C183" s="83"/>
      <c r="D183" s="83"/>
      <c r="E183" s="11">
        <f t="shared" si="175"/>
        <v>0</v>
      </c>
      <c r="F183" s="141"/>
      <c r="G183" s="13" t="e">
        <f t="shared" si="172"/>
        <v>#DIV/0!</v>
      </c>
      <c r="H183" s="83"/>
      <c r="I183" s="125"/>
      <c r="J183" s="83">
        <f t="shared" si="173"/>
        <v>0</v>
      </c>
      <c r="K183" s="83">
        <f t="shared" si="176"/>
        <v>0</v>
      </c>
      <c r="L183" s="136" t="e">
        <f t="shared" si="174"/>
        <v>#DIV/0!</v>
      </c>
      <c r="M183" s="116"/>
      <c r="N183" s="201">
        <f t="shared" si="177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78">SUM(E179:E183)</f>
        <v>0</v>
      </c>
      <c r="F184" s="59">
        <f t="shared" si="178"/>
        <v>0</v>
      </c>
      <c r="G184" s="61" t="e">
        <f>AVERAGE(G179:G183)</f>
        <v>#DIV/0!</v>
      </c>
      <c r="H184" s="59"/>
      <c r="I184" s="62"/>
      <c r="J184" s="59">
        <f t="shared" ref="J184:K184" si="179">SUM(J179:J183)</f>
        <v>0</v>
      </c>
      <c r="K184" s="59">
        <f t="shared" si="179"/>
        <v>204.32</v>
      </c>
      <c r="L184" s="61" t="e">
        <f>AVERAGE(L179:L183)</f>
        <v>#DIV/0!</v>
      </c>
      <c r="M184" s="64"/>
      <c r="N184" s="325">
        <f>SUM(N179:N183)</f>
        <v>7800001.5999999996</v>
      </c>
    </row>
    <row r="185" spans="1:14" ht="16">
      <c r="A185" s="66">
        <v>45811</v>
      </c>
      <c r="B185" s="140" t="s">
        <v>51</v>
      </c>
      <c r="C185" s="83"/>
      <c r="D185" s="12"/>
      <c r="E185" s="36"/>
      <c r="F185" s="37"/>
      <c r="G185" s="13" t="e">
        <f t="shared" ref="G185:G189" si="180">(F185/E185)*100</f>
        <v>#DIV/0!</v>
      </c>
      <c r="H185" s="83"/>
      <c r="I185" s="126"/>
      <c r="J185" s="39">
        <f t="shared" ref="J185:J189" si="181">I185-H185</f>
        <v>0</v>
      </c>
      <c r="K185" s="39">
        <v>136.78</v>
      </c>
      <c r="L185" s="136" t="e">
        <f t="shared" ref="L185:L189" si="182">(K185/J185)*100</f>
        <v>#DIV/0!</v>
      </c>
      <c r="M185" s="68">
        <v>17130</v>
      </c>
      <c r="N185" s="324">
        <f>M185*K185</f>
        <v>2343041.4</v>
      </c>
    </row>
    <row r="186" spans="1:14" ht="16">
      <c r="A186" s="138">
        <v>45820</v>
      </c>
      <c r="B186" s="140" t="s">
        <v>51</v>
      </c>
      <c r="C186" s="83"/>
      <c r="D186" s="83"/>
      <c r="E186" s="11">
        <f t="shared" ref="E186:E189" si="183">D186-C186</f>
        <v>0</v>
      </c>
      <c r="F186" s="141"/>
      <c r="G186" s="13" t="e">
        <f t="shared" si="180"/>
        <v>#DIV/0!</v>
      </c>
      <c r="H186" s="83"/>
      <c r="I186" s="125"/>
      <c r="J186" s="83">
        <f t="shared" si="181"/>
        <v>0</v>
      </c>
      <c r="K186" s="83">
        <f t="shared" ref="K186:K189" si="184">F186</f>
        <v>0</v>
      </c>
      <c r="L186" s="136" t="e">
        <f t="shared" si="182"/>
        <v>#DIV/0!</v>
      </c>
      <c r="M186" s="116"/>
      <c r="N186" s="324">
        <v>2380000</v>
      </c>
    </row>
    <row r="187" spans="1:14" ht="16">
      <c r="A187" s="138">
        <v>45832</v>
      </c>
      <c r="B187" s="140" t="s">
        <v>51</v>
      </c>
      <c r="C187" s="83"/>
      <c r="D187" s="83"/>
      <c r="E187" s="11">
        <f t="shared" si="183"/>
        <v>0</v>
      </c>
      <c r="F187" s="141"/>
      <c r="G187" s="13" t="e">
        <f t="shared" si="180"/>
        <v>#DIV/0!</v>
      </c>
      <c r="H187" s="83"/>
      <c r="I187" s="125"/>
      <c r="J187" s="83">
        <f t="shared" si="181"/>
        <v>0</v>
      </c>
      <c r="K187" s="83">
        <f t="shared" si="184"/>
        <v>0</v>
      </c>
      <c r="L187" s="136" t="e">
        <f t="shared" si="182"/>
        <v>#DIV/0!</v>
      </c>
      <c r="M187" s="116"/>
      <c r="N187" s="324">
        <v>2935000</v>
      </c>
    </row>
    <row r="188" spans="1:14" ht="16">
      <c r="A188" s="138"/>
      <c r="B188" s="140" t="s">
        <v>51</v>
      </c>
      <c r="C188" s="83"/>
      <c r="D188" s="83"/>
      <c r="E188" s="11">
        <f t="shared" si="183"/>
        <v>0</v>
      </c>
      <c r="F188" s="141"/>
      <c r="G188" s="13" t="e">
        <f t="shared" si="180"/>
        <v>#DIV/0!</v>
      </c>
      <c r="H188" s="83"/>
      <c r="I188" s="125"/>
      <c r="J188" s="83">
        <f t="shared" si="181"/>
        <v>0</v>
      </c>
      <c r="K188" s="83">
        <f t="shared" si="184"/>
        <v>0</v>
      </c>
      <c r="L188" s="136" t="e">
        <f t="shared" si="182"/>
        <v>#DIV/0!</v>
      </c>
      <c r="M188" s="116"/>
      <c r="N188" s="324">
        <f>M188*F188</f>
        <v>0</v>
      </c>
    </row>
    <row r="189" spans="1:14" ht="16">
      <c r="A189" s="138"/>
      <c r="B189" s="140"/>
      <c r="C189" s="83"/>
      <c r="D189" s="83"/>
      <c r="E189" s="11">
        <f t="shared" si="183"/>
        <v>0</v>
      </c>
      <c r="F189" s="141"/>
      <c r="G189" s="13" t="e">
        <f t="shared" si="180"/>
        <v>#DIV/0!</v>
      </c>
      <c r="H189" s="83"/>
      <c r="I189" s="125"/>
      <c r="J189" s="83">
        <f t="shared" si="181"/>
        <v>0</v>
      </c>
      <c r="K189" s="83">
        <f t="shared" si="184"/>
        <v>0</v>
      </c>
      <c r="L189" s="136" t="e">
        <f t="shared" si="182"/>
        <v>#DIV/0!</v>
      </c>
      <c r="M189" s="116"/>
      <c r="N189" s="201">
        <f>F189*M189</f>
        <v>0</v>
      </c>
    </row>
    <row r="190" spans="1:14" ht="16">
      <c r="A190" s="59"/>
      <c r="B190" s="60"/>
      <c r="C190" s="59"/>
      <c r="D190" s="59" t="s">
        <v>19</v>
      </c>
      <c r="E190" s="59">
        <f t="shared" ref="E190:F190" si="185">SUM(E185:E189)</f>
        <v>0</v>
      </c>
      <c r="F190" s="59">
        <f t="shared" si="185"/>
        <v>0</v>
      </c>
      <c r="G190" s="61" t="e">
        <f>AVERAGE(G185:G189)</f>
        <v>#DIV/0!</v>
      </c>
      <c r="H190" s="59"/>
      <c r="I190" s="62"/>
      <c r="J190" s="59">
        <f t="shared" ref="J190:K190" si="186">SUM(J185:J189)</f>
        <v>0</v>
      </c>
      <c r="K190" s="59">
        <f t="shared" si="186"/>
        <v>136.78</v>
      </c>
      <c r="L190" s="61" t="e">
        <f>AVERAGE(L185:L189)</f>
        <v>#DIV/0!</v>
      </c>
      <c r="M190" s="64"/>
      <c r="N190" s="325">
        <f>SUM(N185:N189)</f>
        <v>7658041.4000000004</v>
      </c>
    </row>
    <row r="191" spans="1:14" ht="16">
      <c r="A191" s="66">
        <v>45811</v>
      </c>
      <c r="B191" s="140" t="s">
        <v>90</v>
      </c>
      <c r="C191" s="83"/>
      <c r="D191" s="12"/>
      <c r="E191" s="36">
        <f t="shared" ref="E191:E195" si="187">D191-C191</f>
        <v>0</v>
      </c>
      <c r="F191" s="37"/>
      <c r="G191" s="13" t="e">
        <f t="shared" ref="G191:G195" si="188">(F191/E191)*100</f>
        <v>#DIV/0!</v>
      </c>
      <c r="H191" s="83"/>
      <c r="I191" s="126"/>
      <c r="J191" s="39">
        <f t="shared" ref="J191:J195" si="189">I191-H191</f>
        <v>0</v>
      </c>
      <c r="K191" s="39">
        <f t="shared" ref="K191:K195" si="190">F191</f>
        <v>0</v>
      </c>
      <c r="L191" s="136" t="e">
        <f t="shared" ref="L191:L195" si="191">(K191/J191)*100</f>
        <v>#DIV/0!</v>
      </c>
      <c r="M191" s="68"/>
      <c r="N191" s="324">
        <v>8500000</v>
      </c>
    </row>
    <row r="192" spans="1:14" ht="16">
      <c r="A192" s="138">
        <v>45825</v>
      </c>
      <c r="B192" s="140" t="s">
        <v>90</v>
      </c>
      <c r="C192" s="83"/>
      <c r="D192" s="83"/>
      <c r="E192" s="11">
        <f t="shared" si="187"/>
        <v>0</v>
      </c>
      <c r="F192" s="141"/>
      <c r="G192" s="13" t="e">
        <f t="shared" si="188"/>
        <v>#DIV/0!</v>
      </c>
      <c r="H192" s="83"/>
      <c r="I192" s="125"/>
      <c r="J192" s="83">
        <f t="shared" si="189"/>
        <v>0</v>
      </c>
      <c r="K192" s="83">
        <f t="shared" si="190"/>
        <v>0</v>
      </c>
      <c r="L192" s="136" t="e">
        <f t="shared" si="191"/>
        <v>#DIV/0!</v>
      </c>
      <c r="M192" s="116"/>
      <c r="N192" s="329">
        <v>7000000</v>
      </c>
    </row>
    <row r="193" spans="1:14" ht="16">
      <c r="A193" s="138">
        <v>45835</v>
      </c>
      <c r="B193" s="140" t="s">
        <v>90</v>
      </c>
      <c r="C193" s="83"/>
      <c r="D193" s="83"/>
      <c r="E193" s="11">
        <f t="shared" si="187"/>
        <v>0</v>
      </c>
      <c r="F193" s="141"/>
      <c r="G193" s="13" t="e">
        <f t="shared" si="188"/>
        <v>#DIV/0!</v>
      </c>
      <c r="H193" s="83"/>
      <c r="I193" s="125"/>
      <c r="J193" s="83">
        <f t="shared" si="189"/>
        <v>0</v>
      </c>
      <c r="K193" s="83">
        <f t="shared" si="190"/>
        <v>0</v>
      </c>
      <c r="L193" s="136" t="e">
        <f t="shared" si="191"/>
        <v>#DIV/0!</v>
      </c>
      <c r="M193" s="116"/>
      <c r="N193" s="201">
        <v>2000000</v>
      </c>
    </row>
    <row r="194" spans="1:14" ht="16">
      <c r="A194" s="138"/>
      <c r="B194" s="140" t="s">
        <v>90</v>
      </c>
      <c r="C194" s="83"/>
      <c r="D194" s="83"/>
      <c r="E194" s="11">
        <f t="shared" si="187"/>
        <v>0</v>
      </c>
      <c r="F194" s="141"/>
      <c r="G194" s="13" t="e">
        <f t="shared" si="188"/>
        <v>#DIV/0!</v>
      </c>
      <c r="H194" s="83"/>
      <c r="I194" s="125"/>
      <c r="J194" s="83">
        <f t="shared" si="189"/>
        <v>0</v>
      </c>
      <c r="K194" s="83">
        <f t="shared" si="190"/>
        <v>0</v>
      </c>
      <c r="L194" s="136" t="e">
        <f t="shared" si="191"/>
        <v>#DIV/0!</v>
      </c>
      <c r="M194" s="116"/>
      <c r="N194" s="201">
        <f t="shared" ref="N194:N195" si="192">F194*M194</f>
        <v>0</v>
      </c>
    </row>
    <row r="195" spans="1:14" ht="16">
      <c r="A195" s="138"/>
      <c r="B195" s="140"/>
      <c r="C195" s="83"/>
      <c r="D195" s="83"/>
      <c r="E195" s="11">
        <f t="shared" si="187"/>
        <v>0</v>
      </c>
      <c r="F195" s="141"/>
      <c r="G195" s="13" t="e">
        <f t="shared" si="188"/>
        <v>#DIV/0!</v>
      </c>
      <c r="H195" s="83"/>
      <c r="I195" s="125"/>
      <c r="J195" s="83">
        <f t="shared" si="189"/>
        <v>0</v>
      </c>
      <c r="K195" s="83">
        <f t="shared" si="190"/>
        <v>0</v>
      </c>
      <c r="L195" s="136" t="e">
        <f t="shared" si="191"/>
        <v>#DIV/0!</v>
      </c>
      <c r="M195" s="116"/>
      <c r="N195" s="201">
        <f t="shared" si="192"/>
        <v>0</v>
      </c>
    </row>
    <row r="196" spans="1:14" ht="16">
      <c r="A196" s="59"/>
      <c r="B196" s="60"/>
      <c r="C196" s="59"/>
      <c r="D196" s="59"/>
      <c r="E196" s="59">
        <f t="shared" ref="E196:F196" si="193">SUM(E191:E195)</f>
        <v>0</v>
      </c>
      <c r="F196" s="59">
        <f t="shared" si="193"/>
        <v>0</v>
      </c>
      <c r="G196" s="61" t="e">
        <f>AVERAGE(G191:G195)</f>
        <v>#DIV/0!</v>
      </c>
      <c r="H196" s="59"/>
      <c r="I196" s="62"/>
      <c r="J196" s="59">
        <f t="shared" ref="J196:K196" si="194">SUM(J191:J195)</f>
        <v>0</v>
      </c>
      <c r="K196" s="59">
        <f t="shared" si="194"/>
        <v>0</v>
      </c>
      <c r="L196" s="61" t="e">
        <f>AVERAGE(L191:L195)</f>
        <v>#DIV/0!</v>
      </c>
      <c r="M196" s="64"/>
      <c r="N196" s="325">
        <f>SUM(N191:N195)</f>
        <v>17500000</v>
      </c>
    </row>
    <row r="197" spans="1:14" ht="16">
      <c r="A197" s="66">
        <v>45818</v>
      </c>
      <c r="B197" s="140" t="s">
        <v>54</v>
      </c>
      <c r="C197" s="83"/>
      <c r="D197" s="12"/>
      <c r="E197" s="36">
        <f t="shared" ref="E197:E202" si="195">D197-C197</f>
        <v>0</v>
      </c>
      <c r="F197" s="37"/>
      <c r="G197" s="13" t="e">
        <f t="shared" ref="G197:G202" si="196">(F197/E197)*100</f>
        <v>#DIV/0!</v>
      </c>
      <c r="H197" s="83"/>
      <c r="I197" s="126"/>
      <c r="J197" s="39">
        <f t="shared" ref="J197:J202" si="197">I197-H197</f>
        <v>0</v>
      </c>
      <c r="K197" s="39">
        <v>287.02999999999997</v>
      </c>
      <c r="L197" s="136" t="e">
        <f t="shared" ref="L197:L202" si="198">(K197/J197)*100</f>
        <v>#DIV/0!</v>
      </c>
      <c r="M197" s="68">
        <v>17420</v>
      </c>
      <c r="N197" s="324">
        <f>M197*K197</f>
        <v>5000062.5999999996</v>
      </c>
    </row>
    <row r="198" spans="1:14" ht="16">
      <c r="A198" s="66">
        <v>45824</v>
      </c>
      <c r="B198" s="140" t="s">
        <v>54</v>
      </c>
      <c r="C198" s="83"/>
      <c r="D198" s="83"/>
      <c r="E198" s="11">
        <f t="shared" si="195"/>
        <v>0</v>
      </c>
      <c r="F198" s="141"/>
      <c r="G198" s="13" t="e">
        <f t="shared" si="196"/>
        <v>#DIV/0!</v>
      </c>
      <c r="H198" s="83"/>
      <c r="I198" s="125"/>
      <c r="J198" s="83">
        <f t="shared" si="197"/>
        <v>0</v>
      </c>
      <c r="K198" s="83">
        <f t="shared" ref="K198:K202" si="199">F198</f>
        <v>0</v>
      </c>
      <c r="L198" s="136" t="e">
        <f t="shared" si="198"/>
        <v>#DIV/0!</v>
      </c>
      <c r="M198" s="116"/>
      <c r="N198" s="324">
        <v>5000000</v>
      </c>
    </row>
    <row r="199" spans="1:14" ht="16">
      <c r="A199" s="138">
        <v>45826</v>
      </c>
      <c r="B199" s="140" t="s">
        <v>54</v>
      </c>
      <c r="C199" s="83"/>
      <c r="D199" s="83"/>
      <c r="E199" s="11">
        <f t="shared" si="195"/>
        <v>0</v>
      </c>
      <c r="F199" s="141"/>
      <c r="G199" s="13" t="e">
        <f t="shared" si="196"/>
        <v>#DIV/0!</v>
      </c>
      <c r="H199" s="83"/>
      <c r="I199" s="125"/>
      <c r="J199" s="83">
        <f t="shared" si="197"/>
        <v>0</v>
      </c>
      <c r="K199" s="83">
        <f t="shared" si="199"/>
        <v>0</v>
      </c>
      <c r="L199" s="136" t="e">
        <f t="shared" si="198"/>
        <v>#DIV/0!</v>
      </c>
      <c r="M199" s="116"/>
      <c r="N199" s="201">
        <v>5000000</v>
      </c>
    </row>
    <row r="200" spans="1:14" ht="16">
      <c r="A200" s="138">
        <v>45829</v>
      </c>
      <c r="B200" s="140" t="s">
        <v>54</v>
      </c>
      <c r="C200" s="83"/>
      <c r="D200" s="83"/>
      <c r="E200" s="11">
        <f t="shared" si="195"/>
        <v>0</v>
      </c>
      <c r="F200" s="141"/>
      <c r="G200" s="13" t="e">
        <f t="shared" si="196"/>
        <v>#DIV/0!</v>
      </c>
      <c r="H200" s="83"/>
      <c r="I200" s="125"/>
      <c r="J200" s="83">
        <f t="shared" si="197"/>
        <v>0</v>
      </c>
      <c r="K200" s="83">
        <f t="shared" si="199"/>
        <v>0</v>
      </c>
      <c r="L200" s="136" t="e">
        <f t="shared" si="198"/>
        <v>#DIV/0!</v>
      </c>
      <c r="M200" s="116"/>
      <c r="N200" s="201">
        <v>5000000</v>
      </c>
    </row>
    <row r="201" spans="1:14" ht="16">
      <c r="A201" s="138">
        <v>45834</v>
      </c>
      <c r="B201" s="140" t="s">
        <v>54</v>
      </c>
      <c r="C201" s="83"/>
      <c r="D201" s="83"/>
      <c r="E201" s="11">
        <f t="shared" si="195"/>
        <v>0</v>
      </c>
      <c r="F201" s="141"/>
      <c r="G201" s="13" t="e">
        <f t="shared" si="196"/>
        <v>#DIV/0!</v>
      </c>
      <c r="H201" s="83"/>
      <c r="I201" s="125"/>
      <c r="J201" s="83">
        <f t="shared" si="197"/>
        <v>0</v>
      </c>
      <c r="K201" s="83">
        <f t="shared" si="199"/>
        <v>0</v>
      </c>
      <c r="L201" s="136" t="e">
        <f t="shared" si="198"/>
        <v>#DIV/0!</v>
      </c>
      <c r="M201" s="116"/>
      <c r="N201" s="201">
        <v>7000000</v>
      </c>
    </row>
    <row r="202" spans="1:14" ht="16">
      <c r="A202" s="138"/>
      <c r="B202" s="140" t="s">
        <v>54</v>
      </c>
      <c r="C202" s="83"/>
      <c r="D202" s="83"/>
      <c r="E202" s="11">
        <f t="shared" si="195"/>
        <v>0</v>
      </c>
      <c r="F202" s="141"/>
      <c r="G202" s="13" t="e">
        <f t="shared" si="196"/>
        <v>#DIV/0!</v>
      </c>
      <c r="H202" s="83"/>
      <c r="I202" s="125"/>
      <c r="J202" s="83">
        <f t="shared" si="197"/>
        <v>0</v>
      </c>
      <c r="K202" s="83">
        <f t="shared" si="199"/>
        <v>0</v>
      </c>
      <c r="L202" s="136" t="e">
        <f t="shared" si="198"/>
        <v>#DIV/0!</v>
      </c>
      <c r="M202" s="116"/>
      <c r="N202" s="201"/>
    </row>
    <row r="203" spans="1:14" ht="16">
      <c r="A203" s="138"/>
      <c r="B203" s="140" t="s">
        <v>54</v>
      </c>
      <c r="C203" s="83"/>
      <c r="D203" s="83"/>
      <c r="E203" s="11"/>
      <c r="F203" s="141"/>
      <c r="G203" s="13"/>
      <c r="H203" s="83"/>
      <c r="I203" s="125"/>
      <c r="J203" s="83"/>
      <c r="K203" s="83"/>
      <c r="L203" s="136"/>
      <c r="M203" s="116"/>
      <c r="N203" s="201"/>
    </row>
    <row r="204" spans="1:14" ht="16">
      <c r="A204" s="138"/>
      <c r="B204" s="140" t="s">
        <v>54</v>
      </c>
      <c r="C204" s="83"/>
      <c r="D204" s="83"/>
      <c r="E204" s="11">
        <f>D204-C204</f>
        <v>0</v>
      </c>
      <c r="F204" s="141"/>
      <c r="G204" s="13" t="e">
        <f>(F204/E204)*100</f>
        <v>#DIV/0!</v>
      </c>
      <c r="H204" s="83"/>
      <c r="I204" s="125"/>
      <c r="J204" s="83">
        <f>I204-H204</f>
        <v>0</v>
      </c>
      <c r="K204" s="83">
        <f>F204</f>
        <v>0</v>
      </c>
      <c r="L204" s="136" t="e">
        <f>(K204/J204)*100</f>
        <v>#DIV/0!</v>
      </c>
      <c r="M204" s="116"/>
      <c r="N204" s="201"/>
    </row>
    <row r="205" spans="1:14" ht="16">
      <c r="A205" s="59"/>
      <c r="B205" s="60"/>
      <c r="C205" s="59"/>
      <c r="D205" s="59" t="s">
        <v>19</v>
      </c>
      <c r="E205" s="59">
        <f t="shared" ref="E205:F205" si="200">SUM(E197:E204)</f>
        <v>0</v>
      </c>
      <c r="F205" s="59">
        <f t="shared" si="200"/>
        <v>0</v>
      </c>
      <c r="G205" s="61" t="e">
        <f>AVERAGE(G197:G204)</f>
        <v>#DIV/0!</v>
      </c>
      <c r="H205" s="59"/>
      <c r="I205" s="62"/>
      <c r="J205" s="59">
        <f t="shared" ref="J205:K205" si="201">SUM(J197:J204)</f>
        <v>0</v>
      </c>
      <c r="K205" s="59">
        <f t="shared" si="201"/>
        <v>287.02999999999997</v>
      </c>
      <c r="L205" s="61" t="e">
        <f>AVERAGE(L197:L204)</f>
        <v>#DIV/0!</v>
      </c>
      <c r="M205" s="64"/>
      <c r="N205" s="325">
        <f>SUM(N197:N204)</f>
        <v>27000062.600000001</v>
      </c>
    </row>
    <row r="206" spans="1:14" ht="16">
      <c r="A206" s="66">
        <v>45812</v>
      </c>
      <c r="B206" s="140" t="s">
        <v>69</v>
      </c>
      <c r="C206" s="83"/>
      <c r="D206" s="12"/>
      <c r="E206" s="36">
        <f t="shared" ref="E206:E209" si="202">D206-C206</f>
        <v>0</v>
      </c>
      <c r="F206" s="37"/>
      <c r="G206" s="13" t="e">
        <f t="shared" ref="G206:G209" si="203">(F206/E206)*100</f>
        <v>#DIV/0!</v>
      </c>
      <c r="H206" s="83"/>
      <c r="I206" s="126"/>
      <c r="J206" s="39">
        <f t="shared" ref="J206:J209" si="204">I206-H206</f>
        <v>0</v>
      </c>
      <c r="K206" s="39">
        <v>326.91000000000003</v>
      </c>
      <c r="L206" s="136" t="e">
        <f t="shared" ref="L206:L209" si="205">(K206/J206)*100</f>
        <v>#DIV/0!</v>
      </c>
      <c r="M206" s="68">
        <v>17130</v>
      </c>
      <c r="N206" s="324">
        <f>M206*K206</f>
        <v>5599968.3000000007</v>
      </c>
    </row>
    <row r="207" spans="1:14" ht="16">
      <c r="A207" s="138">
        <v>45828</v>
      </c>
      <c r="B207" s="140" t="s">
        <v>69</v>
      </c>
      <c r="C207" s="83"/>
      <c r="D207" s="83"/>
      <c r="E207" s="11">
        <f t="shared" si="202"/>
        <v>0</v>
      </c>
      <c r="F207" s="141"/>
      <c r="G207" s="13" t="e">
        <f t="shared" si="203"/>
        <v>#DIV/0!</v>
      </c>
      <c r="H207" s="83"/>
      <c r="I207" s="125"/>
      <c r="J207" s="83">
        <f t="shared" si="204"/>
        <v>0</v>
      </c>
      <c r="K207" s="83">
        <f t="shared" ref="K207:K209" si="206">F207</f>
        <v>0</v>
      </c>
      <c r="L207" s="136" t="e">
        <f t="shared" si="205"/>
        <v>#DIV/0!</v>
      </c>
      <c r="M207" s="116"/>
      <c r="N207" s="329">
        <v>6500000</v>
      </c>
    </row>
    <row r="208" spans="1:14" ht="16">
      <c r="A208" s="138"/>
      <c r="B208" s="140" t="s">
        <v>69</v>
      </c>
      <c r="C208" s="83"/>
      <c r="D208" s="83"/>
      <c r="E208" s="11">
        <f t="shared" si="202"/>
        <v>0</v>
      </c>
      <c r="F208" s="141"/>
      <c r="G208" s="13" t="e">
        <f t="shared" si="203"/>
        <v>#DIV/0!</v>
      </c>
      <c r="H208" s="83"/>
      <c r="I208" s="125"/>
      <c r="J208" s="83">
        <f t="shared" si="204"/>
        <v>0</v>
      </c>
      <c r="K208" s="83">
        <f t="shared" si="206"/>
        <v>0</v>
      </c>
      <c r="L208" s="136" t="e">
        <f t="shared" si="205"/>
        <v>#DIV/0!</v>
      </c>
      <c r="M208" s="116"/>
      <c r="N208" s="201"/>
    </row>
    <row r="209" spans="1:14" ht="16">
      <c r="A209" s="138"/>
      <c r="B209" s="140" t="s">
        <v>69</v>
      </c>
      <c r="C209" s="83"/>
      <c r="D209" s="83"/>
      <c r="E209" s="11">
        <f t="shared" si="202"/>
        <v>0</v>
      </c>
      <c r="F209" s="141"/>
      <c r="G209" s="13" t="e">
        <f t="shared" si="203"/>
        <v>#DIV/0!</v>
      </c>
      <c r="H209" s="83"/>
      <c r="I209" s="125"/>
      <c r="J209" s="83">
        <f t="shared" si="204"/>
        <v>0</v>
      </c>
      <c r="K209" s="83">
        <f t="shared" si="206"/>
        <v>0</v>
      </c>
      <c r="L209" s="136" t="e">
        <f t="shared" si="205"/>
        <v>#DIV/0!</v>
      </c>
      <c r="M209" s="116"/>
      <c r="N209" s="201"/>
    </row>
    <row r="210" spans="1:14" ht="16">
      <c r="A210" s="138"/>
      <c r="B210" s="140" t="s">
        <v>69</v>
      </c>
      <c r="C210" s="83"/>
      <c r="D210" s="83"/>
      <c r="E210" s="11"/>
      <c r="F210" s="141"/>
      <c r="G210" s="13"/>
      <c r="H210" s="83"/>
      <c r="I210" s="125"/>
      <c r="J210" s="83"/>
      <c r="K210" s="83"/>
      <c r="L210" s="136"/>
      <c r="M210" s="116"/>
      <c r="N210" s="201"/>
    </row>
    <row r="211" spans="1:14" ht="16">
      <c r="A211" s="138"/>
      <c r="B211" s="140" t="s">
        <v>69</v>
      </c>
      <c r="C211" s="83"/>
      <c r="D211" s="83"/>
      <c r="E211" s="11">
        <f>D211-C211</f>
        <v>0</v>
      </c>
      <c r="F211" s="141"/>
      <c r="G211" s="13" t="e">
        <f>(F211/E211)*100</f>
        <v>#DIV/0!</v>
      </c>
      <c r="H211" s="83"/>
      <c r="I211" s="125"/>
      <c r="J211" s="83">
        <f>I211-H211</f>
        <v>0</v>
      </c>
      <c r="K211" s="83">
        <f>F211</f>
        <v>0</v>
      </c>
      <c r="L211" s="136" t="e">
        <f>(K211/J211)*100</f>
        <v>#DIV/0!</v>
      </c>
      <c r="M211" s="116"/>
      <c r="N211" s="201"/>
    </row>
    <row r="212" spans="1:14" ht="16">
      <c r="A212" s="59"/>
      <c r="B212" s="60"/>
      <c r="C212" s="59"/>
      <c r="D212" s="59" t="s">
        <v>19</v>
      </c>
      <c r="E212" s="59">
        <f t="shared" ref="E212:F212" si="207">SUM(E206:E211)</f>
        <v>0</v>
      </c>
      <c r="F212" s="59">
        <f t="shared" si="207"/>
        <v>0</v>
      </c>
      <c r="G212" s="61" t="e">
        <f>AVERAGE(G206:G211)</f>
        <v>#DIV/0!</v>
      </c>
      <c r="H212" s="59"/>
      <c r="I212" s="62"/>
      <c r="J212" s="59">
        <f t="shared" ref="J212:K212" si="208">SUM(J206:J211)</f>
        <v>0</v>
      </c>
      <c r="K212" s="59">
        <f t="shared" si="208"/>
        <v>326.91000000000003</v>
      </c>
      <c r="L212" s="61" t="e">
        <f>AVERAGE(L206:L211)</f>
        <v>#DIV/0!</v>
      </c>
      <c r="M212" s="64"/>
      <c r="N212" s="325">
        <f>SUM(N206:N211)</f>
        <v>12099968.300000001</v>
      </c>
    </row>
    <row r="213" spans="1:14" ht="14">
      <c r="A213" s="354" t="s">
        <v>64</v>
      </c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6"/>
      <c r="M213" s="64"/>
      <c r="N213" s="325">
        <f>SUM(N156:N212)/2</f>
        <v>124691257.58</v>
      </c>
    </row>
    <row r="214" spans="1:14" ht="13">
      <c r="G214" s="150"/>
      <c r="L214" s="150"/>
    </row>
    <row r="215" spans="1:14" ht="13">
      <c r="G215" s="150"/>
      <c r="L215" s="150"/>
      <c r="N215" s="76">
        <v>124719013</v>
      </c>
    </row>
    <row r="216" spans="1:14" ht="13">
      <c r="G216" s="150"/>
      <c r="L216" s="150"/>
    </row>
    <row r="217" spans="1:14" ht="13">
      <c r="G217" s="150"/>
      <c r="L217" s="150"/>
    </row>
    <row r="218" spans="1:14" ht="13">
      <c r="G218" s="150"/>
      <c r="L218" s="150"/>
    </row>
    <row r="219" spans="1:14" ht="13">
      <c r="G219" s="150"/>
      <c r="L219" s="150"/>
    </row>
    <row r="220" spans="1:14" ht="13">
      <c r="G220" s="150"/>
      <c r="L220" s="150"/>
    </row>
    <row r="221" spans="1:14" ht="13">
      <c r="G221" s="150"/>
      <c r="L221" s="150"/>
    </row>
    <row r="222" spans="1:14" ht="13">
      <c r="G222" s="150"/>
      <c r="L222" s="150"/>
    </row>
    <row r="223" spans="1:14" ht="13">
      <c r="G223" s="150"/>
      <c r="L223" s="150"/>
    </row>
    <row r="224" spans="1:14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  <row r="1025" spans="7:12" ht="13">
      <c r="G1025" s="150"/>
      <c r="L1025" s="150"/>
    </row>
    <row r="1026" spans="7:12" ht="13">
      <c r="G1026" s="150"/>
      <c r="L1026" s="150"/>
    </row>
    <row r="1027" spans="7:12" ht="13">
      <c r="G1027" s="150"/>
      <c r="L1027" s="150"/>
    </row>
    <row r="1028" spans="7:12" ht="13">
      <c r="G1028" s="150"/>
      <c r="L1028" s="150"/>
    </row>
    <row r="1029" spans="7:12" ht="13">
      <c r="G1029" s="150"/>
      <c r="L1029" s="150"/>
    </row>
    <row r="1030" spans="7:12" ht="13">
      <c r="G1030" s="150"/>
      <c r="L1030" s="150"/>
    </row>
    <row r="1031" spans="7:12" ht="13">
      <c r="G1031" s="150"/>
      <c r="L1031" s="150"/>
    </row>
    <row r="1032" spans="7:12" ht="13">
      <c r="G1032" s="150"/>
      <c r="L1032" s="150"/>
    </row>
    <row r="1033" spans="7:12" ht="13">
      <c r="G1033" s="150"/>
      <c r="L1033" s="150"/>
    </row>
    <row r="1034" spans="7:12" ht="13">
      <c r="G1034" s="150"/>
      <c r="L1034" s="150"/>
    </row>
    <row r="1035" spans="7:12" ht="13">
      <c r="G1035" s="150"/>
      <c r="L1035" s="150"/>
    </row>
    <row r="1036" spans="7:12" ht="13">
      <c r="G1036" s="150"/>
      <c r="L1036" s="150"/>
    </row>
    <row r="1037" spans="7:12" ht="13">
      <c r="G1037" s="150"/>
      <c r="L1037" s="150"/>
    </row>
    <row r="1038" spans="7:12" ht="13">
      <c r="G1038" s="150"/>
      <c r="L1038" s="150"/>
    </row>
    <row r="1039" spans="7:12" ht="13">
      <c r="G1039" s="150"/>
      <c r="L1039" s="150"/>
    </row>
    <row r="1040" spans="7:12" ht="13">
      <c r="G1040" s="150"/>
      <c r="L1040" s="150"/>
    </row>
    <row r="1041" spans="7:12" ht="13">
      <c r="G1041" s="150"/>
      <c r="L1041" s="150"/>
    </row>
    <row r="1042" spans="7:12" ht="13">
      <c r="G1042" s="150"/>
      <c r="L1042" s="150"/>
    </row>
    <row r="1043" spans="7:12" ht="13">
      <c r="G1043" s="150"/>
      <c r="L1043" s="150"/>
    </row>
    <row r="1044" spans="7:12" ht="13">
      <c r="G1044" s="150"/>
      <c r="L1044" s="150"/>
    </row>
    <row r="1045" spans="7:12" ht="13">
      <c r="G1045" s="150"/>
      <c r="L1045" s="150"/>
    </row>
    <row r="1046" spans="7:12" ht="13">
      <c r="G1046" s="150"/>
      <c r="L1046" s="150"/>
    </row>
    <row r="1047" spans="7:12" ht="13">
      <c r="G1047" s="150"/>
      <c r="L1047" s="150"/>
    </row>
    <row r="1048" spans="7:12" ht="13">
      <c r="G1048" s="150"/>
      <c r="L1048" s="150"/>
    </row>
    <row r="1049" spans="7:12" ht="13">
      <c r="G1049" s="150"/>
      <c r="L1049" s="150"/>
    </row>
    <row r="1050" spans="7:12" ht="13">
      <c r="G1050" s="150"/>
      <c r="L1050" s="150"/>
    </row>
    <row r="1051" spans="7:12" ht="13">
      <c r="G1051" s="150"/>
      <c r="L1051" s="150"/>
    </row>
    <row r="1052" spans="7:12" ht="13">
      <c r="G1052" s="150"/>
      <c r="L1052" s="150"/>
    </row>
    <row r="1053" spans="7:12" ht="13">
      <c r="G1053" s="150"/>
      <c r="L1053" s="150"/>
    </row>
    <row r="1054" spans="7:12" ht="13">
      <c r="G1054" s="150"/>
      <c r="L1054" s="150"/>
    </row>
    <row r="1055" spans="7:12" ht="13">
      <c r="G1055" s="150"/>
      <c r="L1055" s="150"/>
    </row>
    <row r="1056" spans="7:12" ht="13">
      <c r="G1056" s="150"/>
      <c r="L1056" s="150"/>
    </row>
    <row r="1057" spans="7:12" ht="13">
      <c r="G1057" s="150"/>
      <c r="L1057" s="150"/>
    </row>
    <row r="1058" spans="7:12" ht="13">
      <c r="G1058" s="150"/>
      <c r="L1058" s="150"/>
    </row>
    <row r="1059" spans="7:12" ht="13">
      <c r="G1059" s="150"/>
      <c r="L1059" s="150"/>
    </row>
    <row r="1060" spans="7:12" ht="13">
      <c r="G1060" s="150"/>
      <c r="L1060" s="150"/>
    </row>
    <row r="1061" spans="7:12" ht="13">
      <c r="G1061" s="150"/>
      <c r="L1061" s="150"/>
    </row>
    <row r="1062" spans="7:12" ht="13">
      <c r="G1062" s="150"/>
      <c r="L1062" s="150"/>
    </row>
    <row r="1063" spans="7:12" ht="13">
      <c r="G1063" s="150"/>
      <c r="L1063" s="150"/>
    </row>
    <row r="1064" spans="7:12" ht="13">
      <c r="G1064" s="150"/>
      <c r="L1064" s="150"/>
    </row>
    <row r="1065" spans="7:12" ht="13">
      <c r="G1065" s="150"/>
      <c r="L1065" s="150"/>
    </row>
    <row r="1066" spans="7:12" ht="13">
      <c r="G1066" s="150"/>
      <c r="L1066" s="150"/>
    </row>
  </sheetData>
  <mergeCells count="3">
    <mergeCell ref="A1:N1"/>
    <mergeCell ref="A152:M152"/>
    <mergeCell ref="A213:L2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31"/>
  <sheetViews>
    <sheetView topLeftCell="A90" workbookViewId="0">
      <selection activeCell="A104" sqref="A104"/>
    </sheetView>
  </sheetViews>
  <sheetFormatPr baseColWidth="10" defaultColWidth="12.6640625" defaultRowHeight="15.75" customHeight="1"/>
  <sheetData>
    <row r="1" spans="1:14" ht="18">
      <c r="A1" s="352" t="s">
        <v>96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45782</v>
      </c>
      <c r="B3" s="269" t="s">
        <v>11</v>
      </c>
      <c r="C3" s="83">
        <v>180489</v>
      </c>
      <c r="D3" s="83">
        <v>180776</v>
      </c>
      <c r="E3" s="36">
        <f t="shared" ref="E3:E9" si="0">D3-C3</f>
        <v>287</v>
      </c>
      <c r="F3" s="37">
        <v>50</v>
      </c>
      <c r="G3" s="13">
        <f t="shared" ref="G3:G9" si="1">(F3/E3)*100</f>
        <v>17.421602787456447</v>
      </c>
      <c r="H3" s="83">
        <v>14081</v>
      </c>
      <c r="I3" s="126">
        <v>14464</v>
      </c>
      <c r="J3" s="39">
        <f t="shared" ref="J3:J9" si="2">I3-H3</f>
        <v>383</v>
      </c>
      <c r="K3" s="39">
        <f t="shared" ref="K3:K9" si="3">F3</f>
        <v>50</v>
      </c>
      <c r="L3" s="270">
        <f t="shared" ref="L3:L9" si="4">(K3/J3)*100</f>
        <v>13.054830287206268</v>
      </c>
      <c r="M3" s="68">
        <v>17520</v>
      </c>
      <c r="N3" s="294">
        <f t="shared" ref="N3:N9" si="5">F3*M3</f>
        <v>876000</v>
      </c>
    </row>
    <row r="4" spans="1:14" ht="16">
      <c r="A4" s="138">
        <v>45784</v>
      </c>
      <c r="B4" s="140" t="s">
        <v>11</v>
      </c>
      <c r="C4" s="83">
        <v>180776</v>
      </c>
      <c r="D4" s="83">
        <v>181189</v>
      </c>
      <c r="E4" s="11">
        <f t="shared" si="0"/>
        <v>413</v>
      </c>
      <c r="F4" s="141">
        <v>50</v>
      </c>
      <c r="G4" s="13">
        <f t="shared" si="1"/>
        <v>12.106537530266344</v>
      </c>
      <c r="H4" s="126">
        <v>14464</v>
      </c>
      <c r="I4" s="126">
        <v>14848</v>
      </c>
      <c r="J4" s="39">
        <f t="shared" si="2"/>
        <v>384</v>
      </c>
      <c r="K4" s="83">
        <f t="shared" si="3"/>
        <v>50</v>
      </c>
      <c r="L4" s="136">
        <f t="shared" si="4"/>
        <v>13.020833333333334</v>
      </c>
      <c r="M4" s="116">
        <v>17350</v>
      </c>
      <c r="N4" s="296">
        <f t="shared" si="5"/>
        <v>867500</v>
      </c>
    </row>
    <row r="5" spans="1:14" ht="16">
      <c r="A5" s="138">
        <v>45790</v>
      </c>
      <c r="B5" s="140" t="s">
        <v>11</v>
      </c>
      <c r="C5" s="83">
        <v>181189</v>
      </c>
      <c r="D5" s="83">
        <v>181588</v>
      </c>
      <c r="E5" s="11">
        <f t="shared" si="0"/>
        <v>399</v>
      </c>
      <c r="F5" s="141">
        <v>50</v>
      </c>
      <c r="G5" s="13">
        <f t="shared" si="1"/>
        <v>12.531328320802004</v>
      </c>
      <c r="H5" s="125">
        <v>14464</v>
      </c>
      <c r="I5" s="125"/>
      <c r="J5" s="83">
        <f t="shared" si="2"/>
        <v>-14464</v>
      </c>
      <c r="K5" s="83">
        <f t="shared" si="3"/>
        <v>50</v>
      </c>
      <c r="L5" s="136">
        <f t="shared" si="4"/>
        <v>-0.3456858407079646</v>
      </c>
      <c r="M5" s="116">
        <v>16800</v>
      </c>
      <c r="N5" s="296">
        <f t="shared" si="5"/>
        <v>840000</v>
      </c>
    </row>
    <row r="6" spans="1:14" ht="16">
      <c r="A6" s="249">
        <v>45793</v>
      </c>
      <c r="B6" s="140" t="s">
        <v>11</v>
      </c>
      <c r="C6" s="83">
        <v>181588</v>
      </c>
      <c r="D6" s="83">
        <v>181941</v>
      </c>
      <c r="E6" s="11">
        <f t="shared" si="0"/>
        <v>353</v>
      </c>
      <c r="F6" s="141">
        <v>44</v>
      </c>
      <c r="G6" s="13">
        <f t="shared" si="1"/>
        <v>12.464589235127479</v>
      </c>
      <c r="H6" s="83"/>
      <c r="I6" s="125"/>
      <c r="J6" s="83">
        <f t="shared" si="2"/>
        <v>0</v>
      </c>
      <c r="K6" s="83">
        <f t="shared" si="3"/>
        <v>44</v>
      </c>
      <c r="L6" s="136" t="e">
        <f t="shared" si="4"/>
        <v>#DIV/0!</v>
      </c>
      <c r="M6" s="116">
        <v>17220</v>
      </c>
      <c r="N6" s="296">
        <f t="shared" si="5"/>
        <v>757680</v>
      </c>
    </row>
    <row r="7" spans="1:14" ht="16">
      <c r="A7" s="138">
        <v>45798</v>
      </c>
      <c r="B7" s="140" t="s">
        <v>11</v>
      </c>
      <c r="C7" s="83">
        <v>181941</v>
      </c>
      <c r="D7" s="83">
        <v>182302</v>
      </c>
      <c r="E7" s="11">
        <f t="shared" si="0"/>
        <v>361</v>
      </c>
      <c r="F7" s="141">
        <v>50</v>
      </c>
      <c r="G7" s="13">
        <f t="shared" si="1"/>
        <v>13.850415512465375</v>
      </c>
      <c r="H7" s="83"/>
      <c r="I7" s="125"/>
      <c r="J7" s="83">
        <f t="shared" si="2"/>
        <v>0</v>
      </c>
      <c r="K7" s="83">
        <f t="shared" si="3"/>
        <v>50</v>
      </c>
      <c r="L7" s="136" t="e">
        <f t="shared" si="4"/>
        <v>#DIV/0!</v>
      </c>
      <c r="M7" s="116">
        <v>17220</v>
      </c>
      <c r="N7" s="297">
        <f t="shared" si="5"/>
        <v>861000</v>
      </c>
    </row>
    <row r="8" spans="1:14" ht="16">
      <c r="A8" s="138">
        <v>45804</v>
      </c>
      <c r="B8" s="90" t="s">
        <v>11</v>
      </c>
      <c r="C8" s="83">
        <v>182302</v>
      </c>
      <c r="D8" s="83">
        <v>182735</v>
      </c>
      <c r="E8" s="11">
        <f t="shared" si="0"/>
        <v>433</v>
      </c>
      <c r="F8" s="141">
        <v>40</v>
      </c>
      <c r="G8" s="13">
        <f t="shared" si="1"/>
        <v>9.2378752886836022</v>
      </c>
      <c r="H8" s="83"/>
      <c r="I8" s="125">
        <v>16210</v>
      </c>
      <c r="J8" s="83">
        <f t="shared" si="2"/>
        <v>16210</v>
      </c>
      <c r="K8" s="83">
        <f t="shared" si="3"/>
        <v>40</v>
      </c>
      <c r="L8" s="136">
        <f t="shared" si="4"/>
        <v>0.24676125848241826</v>
      </c>
      <c r="M8" s="116">
        <v>17400</v>
      </c>
      <c r="N8" s="297">
        <f t="shared" si="5"/>
        <v>696000</v>
      </c>
    </row>
    <row r="9" spans="1:14" ht="16">
      <c r="A9" s="133">
        <v>45807</v>
      </c>
      <c r="B9" s="140" t="s">
        <v>11</v>
      </c>
      <c r="C9" s="134">
        <v>182735</v>
      </c>
      <c r="D9" s="134">
        <v>183030</v>
      </c>
      <c r="E9" s="24">
        <f t="shared" si="0"/>
        <v>295</v>
      </c>
      <c r="F9" s="143">
        <v>40</v>
      </c>
      <c r="G9" s="54">
        <f t="shared" si="1"/>
        <v>13.559322033898304</v>
      </c>
      <c r="H9" s="134"/>
      <c r="I9" s="135"/>
      <c r="J9" s="134">
        <f t="shared" si="2"/>
        <v>0</v>
      </c>
      <c r="K9" s="134">
        <f t="shared" si="3"/>
        <v>40</v>
      </c>
      <c r="L9" s="67" t="e">
        <f t="shared" si="4"/>
        <v>#DIV/0!</v>
      </c>
      <c r="M9" s="137">
        <v>17130</v>
      </c>
      <c r="N9" s="298">
        <f t="shared" si="5"/>
        <v>685200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2541</v>
      </c>
      <c r="F10" s="59">
        <f t="shared" si="6"/>
        <v>324</v>
      </c>
      <c r="G10" s="61">
        <f>AVERAGE(G3:G9)</f>
        <v>13.024524386957077</v>
      </c>
      <c r="H10" s="59"/>
      <c r="I10" s="62"/>
      <c r="J10" s="59">
        <f t="shared" ref="J10:K10" si="7">SUM(J3:J9)</f>
        <v>2513</v>
      </c>
      <c r="K10" s="59">
        <f t="shared" si="7"/>
        <v>324</v>
      </c>
      <c r="L10" s="61" t="e">
        <f>AVERAGE(L3:L9)</f>
        <v>#DIV/0!</v>
      </c>
      <c r="M10" s="64"/>
      <c r="N10" s="299">
        <f>SUM(N3:N9)</f>
        <v>5583380</v>
      </c>
    </row>
    <row r="11" spans="1:14" ht="16">
      <c r="A11" s="66">
        <v>45785</v>
      </c>
      <c r="B11" s="269" t="s">
        <v>12</v>
      </c>
      <c r="C11" s="83">
        <v>143523</v>
      </c>
      <c r="D11" s="83">
        <v>143989</v>
      </c>
      <c r="E11" s="36">
        <f t="shared" ref="E11:E17" si="8">D11-C11</f>
        <v>466</v>
      </c>
      <c r="F11" s="37">
        <v>60</v>
      </c>
      <c r="G11" s="13">
        <f t="shared" ref="G11:G17" si="9">(F11/E11)*100</f>
        <v>12.875536480686694</v>
      </c>
      <c r="H11" s="125"/>
      <c r="I11" s="126"/>
      <c r="J11" s="39">
        <f t="shared" ref="J11:J17" si="10">I11-H11</f>
        <v>0</v>
      </c>
      <c r="K11" s="39">
        <f t="shared" ref="K11:K17" si="11">F11</f>
        <v>60</v>
      </c>
      <c r="L11" s="270" t="e">
        <f t="shared" ref="L11:L17" si="12">(K11/J11)*100</f>
        <v>#DIV/0!</v>
      </c>
      <c r="M11" s="68">
        <v>16800</v>
      </c>
      <c r="N11" s="294">
        <f t="shared" ref="N11:N17" si="13">F11*M11</f>
        <v>1008000</v>
      </c>
    </row>
    <row r="12" spans="1:14" ht="16">
      <c r="A12" s="138">
        <v>45791</v>
      </c>
      <c r="B12" s="140" t="s">
        <v>12</v>
      </c>
      <c r="C12" s="83">
        <v>143989</v>
      </c>
      <c r="D12" s="83">
        <v>144418</v>
      </c>
      <c r="E12" s="11">
        <f t="shared" si="8"/>
        <v>429</v>
      </c>
      <c r="F12" s="141">
        <v>53</v>
      </c>
      <c r="G12" s="13">
        <f t="shared" si="9"/>
        <v>12.354312354312354</v>
      </c>
      <c r="H12" s="83"/>
      <c r="I12" s="125">
        <v>11949</v>
      </c>
      <c r="J12" s="83">
        <f t="shared" si="10"/>
        <v>11949</v>
      </c>
      <c r="K12" s="83">
        <f t="shared" si="11"/>
        <v>53</v>
      </c>
      <c r="L12" s="136">
        <f t="shared" si="12"/>
        <v>0.44355176165369492</v>
      </c>
      <c r="M12" s="116">
        <v>16800</v>
      </c>
      <c r="N12" s="296">
        <f t="shared" si="13"/>
        <v>890400</v>
      </c>
    </row>
    <row r="13" spans="1:14" ht="16">
      <c r="A13" s="138">
        <v>45798</v>
      </c>
      <c r="B13" s="140" t="s">
        <v>12</v>
      </c>
      <c r="C13" s="83">
        <v>144418</v>
      </c>
      <c r="D13" s="83">
        <v>144866</v>
      </c>
      <c r="E13" s="11">
        <f t="shared" si="8"/>
        <v>448</v>
      </c>
      <c r="F13" s="141">
        <v>58</v>
      </c>
      <c r="G13" s="13">
        <f t="shared" si="9"/>
        <v>12.946428571428573</v>
      </c>
      <c r="H13" s="83"/>
      <c r="I13" s="125"/>
      <c r="J13" s="83">
        <f t="shared" si="10"/>
        <v>0</v>
      </c>
      <c r="K13" s="83">
        <f t="shared" si="11"/>
        <v>58</v>
      </c>
      <c r="L13" s="136" t="e">
        <f t="shared" si="12"/>
        <v>#DIV/0!</v>
      </c>
      <c r="M13" s="116">
        <v>17220</v>
      </c>
      <c r="N13" s="296">
        <f t="shared" si="13"/>
        <v>998760</v>
      </c>
    </row>
    <row r="14" spans="1:14" ht="16">
      <c r="A14" s="139">
        <v>45805</v>
      </c>
      <c r="B14" s="140" t="s">
        <v>12</v>
      </c>
      <c r="C14" s="83">
        <v>144866</v>
      </c>
      <c r="D14" s="83"/>
      <c r="E14" s="11">
        <f t="shared" si="8"/>
        <v>-144866</v>
      </c>
      <c r="F14" s="141">
        <v>50</v>
      </c>
      <c r="G14" s="13">
        <f t="shared" si="9"/>
        <v>-3.4514654922480084E-2</v>
      </c>
      <c r="H14" s="83"/>
      <c r="I14" s="125">
        <v>14766</v>
      </c>
      <c r="J14" s="83">
        <f t="shared" si="10"/>
        <v>14766</v>
      </c>
      <c r="K14" s="83">
        <f t="shared" si="11"/>
        <v>50</v>
      </c>
      <c r="L14" s="136">
        <f t="shared" si="12"/>
        <v>0.33861573885954216</v>
      </c>
      <c r="M14" s="116">
        <v>17400</v>
      </c>
      <c r="N14" s="297">
        <f t="shared" si="13"/>
        <v>870000</v>
      </c>
    </row>
    <row r="15" spans="1:14" ht="16">
      <c r="A15" s="138"/>
      <c r="B15" s="140" t="s">
        <v>12</v>
      </c>
      <c r="C15" s="83"/>
      <c r="D15" s="83"/>
      <c r="E15" s="11">
        <f t="shared" si="8"/>
        <v>0</v>
      </c>
      <c r="F15" s="141"/>
      <c r="G15" s="13" t="e">
        <f t="shared" si="9"/>
        <v>#DIV/0!</v>
      </c>
      <c r="H15" s="125"/>
      <c r="I15" s="125"/>
      <c r="J15" s="83">
        <f t="shared" si="10"/>
        <v>0</v>
      </c>
      <c r="K15" s="83">
        <f t="shared" si="11"/>
        <v>0</v>
      </c>
      <c r="L15" s="136" t="e">
        <f t="shared" si="12"/>
        <v>#DIV/0!</v>
      </c>
      <c r="M15" s="116"/>
      <c r="N15" s="297">
        <f t="shared" si="13"/>
        <v>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300">
        <f t="shared" si="13"/>
        <v>0</v>
      </c>
    </row>
    <row r="17" spans="1:14" ht="16">
      <c r="A17" s="271"/>
      <c r="B17" s="272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298">
        <f t="shared" si="13"/>
        <v>0</v>
      </c>
    </row>
    <row r="18" spans="1:14" ht="16">
      <c r="A18" s="59"/>
      <c r="B18" s="60"/>
      <c r="C18" s="59"/>
      <c r="D18" s="59" t="s">
        <v>19</v>
      </c>
      <c r="E18" s="59">
        <f t="shared" ref="E18:F18" si="14">SUM(E11:E17)</f>
        <v>-143523</v>
      </c>
      <c r="F18" s="59">
        <f t="shared" si="14"/>
        <v>221</v>
      </c>
      <c r="G18" s="61" t="e">
        <f>AVERAGE(G11:G17)</f>
        <v>#DIV/0!</v>
      </c>
      <c r="H18" s="59"/>
      <c r="I18" s="62"/>
      <c r="J18" s="59">
        <f t="shared" ref="J18:K18" si="15">SUM(J11:J17)</f>
        <v>26715</v>
      </c>
      <c r="K18" s="59">
        <f t="shared" si="15"/>
        <v>221</v>
      </c>
      <c r="L18" s="61" t="e">
        <f>AVERAGE(L11:L17)</f>
        <v>#DIV/0!</v>
      </c>
      <c r="M18" s="64"/>
      <c r="N18" s="299">
        <f>SUM(N11:N17)</f>
        <v>3767160</v>
      </c>
    </row>
    <row r="19" spans="1:14" ht="16">
      <c r="A19" s="66">
        <v>45779</v>
      </c>
      <c r="B19" s="269" t="s">
        <v>13</v>
      </c>
      <c r="C19" s="83">
        <v>162006</v>
      </c>
      <c r="D19" s="39">
        <v>162399</v>
      </c>
      <c r="E19" s="36">
        <f t="shared" ref="E19:E26" si="16">D19-C19</f>
        <v>393</v>
      </c>
      <c r="F19" s="37">
        <v>55</v>
      </c>
      <c r="G19" s="13">
        <f t="shared" ref="G19:G26" si="17">(F19/E19)*100</f>
        <v>13.994910941475828</v>
      </c>
      <c r="H19" s="83">
        <v>13793</v>
      </c>
      <c r="I19" s="126"/>
      <c r="J19" s="39">
        <f t="shared" ref="J19:J26" si="18">I19-H19</f>
        <v>-13793</v>
      </c>
      <c r="K19" s="39">
        <f t="shared" ref="K19:K26" si="19">F19</f>
        <v>55</v>
      </c>
      <c r="L19" s="136">
        <f t="shared" ref="L19:L26" si="20">(K19/J19)*100</f>
        <v>-0.39875299064742986</v>
      </c>
      <c r="M19" s="68">
        <v>17520</v>
      </c>
      <c r="N19" s="294">
        <f t="shared" ref="N19:N26" si="21">F19*M19</f>
        <v>963600</v>
      </c>
    </row>
    <row r="20" spans="1:14" ht="16">
      <c r="A20" s="138">
        <v>45785</v>
      </c>
      <c r="B20" s="140" t="s">
        <v>13</v>
      </c>
      <c r="C20" s="39">
        <v>162399</v>
      </c>
      <c r="D20" s="83">
        <v>162777</v>
      </c>
      <c r="E20" s="11">
        <f t="shared" si="16"/>
        <v>378</v>
      </c>
      <c r="F20" s="141">
        <v>53</v>
      </c>
      <c r="G20" s="13">
        <f t="shared" si="17"/>
        <v>14.02116402116402</v>
      </c>
      <c r="H20" s="83"/>
      <c r="I20" s="125"/>
      <c r="J20" s="83">
        <f t="shared" si="18"/>
        <v>0</v>
      </c>
      <c r="K20" s="83">
        <f t="shared" si="19"/>
        <v>53</v>
      </c>
      <c r="L20" s="136" t="e">
        <f t="shared" si="20"/>
        <v>#DIV/0!</v>
      </c>
      <c r="M20" s="116">
        <v>17350</v>
      </c>
      <c r="N20" s="296">
        <f t="shared" si="21"/>
        <v>919550</v>
      </c>
    </row>
    <row r="21" spans="1:14" ht="16">
      <c r="A21" s="138">
        <v>45789</v>
      </c>
      <c r="B21" s="140" t="s">
        <v>13</v>
      </c>
      <c r="C21" s="83">
        <v>162777</v>
      </c>
      <c r="D21" s="83">
        <v>163146</v>
      </c>
      <c r="E21" s="11">
        <f t="shared" si="16"/>
        <v>369</v>
      </c>
      <c r="F21" s="141">
        <v>46</v>
      </c>
      <c r="G21" s="13">
        <f t="shared" si="17"/>
        <v>12.466124661246612</v>
      </c>
      <c r="H21" s="83"/>
      <c r="I21" s="125"/>
      <c r="J21" s="83">
        <f t="shared" si="18"/>
        <v>0</v>
      </c>
      <c r="K21" s="83">
        <f t="shared" si="19"/>
        <v>46</v>
      </c>
      <c r="L21" s="136" t="e">
        <f t="shared" si="20"/>
        <v>#DIV/0!</v>
      </c>
      <c r="M21" s="116">
        <v>16800</v>
      </c>
      <c r="N21" s="301">
        <f t="shared" si="21"/>
        <v>772800</v>
      </c>
    </row>
    <row r="22" spans="1:14" ht="16">
      <c r="A22" s="139">
        <v>45793</v>
      </c>
      <c r="B22" s="140" t="s">
        <v>13</v>
      </c>
      <c r="C22" s="83">
        <v>163146</v>
      </c>
      <c r="D22" s="83">
        <v>163546</v>
      </c>
      <c r="E22" s="11">
        <f t="shared" si="16"/>
        <v>400</v>
      </c>
      <c r="F22" s="141">
        <v>51</v>
      </c>
      <c r="G22" s="13">
        <f t="shared" si="17"/>
        <v>12.75</v>
      </c>
      <c r="H22" s="83"/>
      <c r="I22" s="125"/>
      <c r="J22" s="83">
        <f t="shared" si="18"/>
        <v>0</v>
      </c>
      <c r="K22" s="83">
        <f t="shared" si="19"/>
        <v>51</v>
      </c>
      <c r="L22" s="136" t="e">
        <f t="shared" si="20"/>
        <v>#DIV/0!</v>
      </c>
      <c r="M22" s="116">
        <v>17220</v>
      </c>
      <c r="N22" s="297">
        <f t="shared" si="21"/>
        <v>878220</v>
      </c>
    </row>
    <row r="23" spans="1:14" ht="16">
      <c r="A23" s="138">
        <v>45798</v>
      </c>
      <c r="B23" s="140" t="s">
        <v>13</v>
      </c>
      <c r="C23" s="83">
        <v>163546</v>
      </c>
      <c r="D23" s="83">
        <v>163929</v>
      </c>
      <c r="E23" s="11">
        <f t="shared" si="16"/>
        <v>383</v>
      </c>
      <c r="F23" s="141">
        <v>49</v>
      </c>
      <c r="G23" s="13">
        <f t="shared" si="17"/>
        <v>12.793733681462141</v>
      </c>
      <c r="H23" s="83"/>
      <c r="I23" s="125"/>
      <c r="J23" s="83">
        <f t="shared" si="18"/>
        <v>0</v>
      </c>
      <c r="K23" s="83">
        <f t="shared" si="19"/>
        <v>49</v>
      </c>
      <c r="L23" s="136" t="e">
        <f t="shared" si="20"/>
        <v>#DIV/0!</v>
      </c>
      <c r="M23" s="116">
        <v>17220</v>
      </c>
      <c r="N23" s="297">
        <f t="shared" si="21"/>
        <v>843780</v>
      </c>
    </row>
    <row r="24" spans="1:14" ht="16">
      <c r="A24" s="138">
        <v>45804</v>
      </c>
      <c r="B24" s="90" t="s">
        <v>13</v>
      </c>
      <c r="C24" s="83">
        <v>163929</v>
      </c>
      <c r="D24" s="83">
        <v>164302</v>
      </c>
      <c r="E24" s="11">
        <f t="shared" si="16"/>
        <v>373</v>
      </c>
      <c r="F24" s="141">
        <v>50</v>
      </c>
      <c r="G24" s="13">
        <f t="shared" si="17"/>
        <v>13.404825737265416</v>
      </c>
      <c r="H24" s="83"/>
      <c r="I24" s="125">
        <v>16646</v>
      </c>
      <c r="J24" s="83">
        <f t="shared" si="18"/>
        <v>16646</v>
      </c>
      <c r="K24" s="83">
        <f t="shared" si="19"/>
        <v>50</v>
      </c>
      <c r="L24" s="136">
        <f t="shared" si="20"/>
        <v>0.30037246185269734</v>
      </c>
      <c r="M24" s="116">
        <v>17400</v>
      </c>
      <c r="N24" s="297">
        <f t="shared" si="21"/>
        <v>870000</v>
      </c>
    </row>
    <row r="25" spans="1:14" ht="16">
      <c r="A25" s="133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02">
        <f t="shared" si="21"/>
        <v>0</v>
      </c>
    </row>
    <row r="26" spans="1:14" ht="16">
      <c r="A26" s="303"/>
      <c r="B26" s="34" t="s">
        <v>13</v>
      </c>
      <c r="C26" s="273"/>
      <c r="D26" s="273"/>
      <c r="E26" s="24">
        <f t="shared" si="16"/>
        <v>0</v>
      </c>
      <c r="F26" s="273"/>
      <c r="G26" s="54" t="e">
        <f t="shared" si="17"/>
        <v>#DIV/0!</v>
      </c>
      <c r="H26" s="273"/>
      <c r="I26" s="304"/>
      <c r="J26" s="134">
        <f t="shared" si="18"/>
        <v>0</v>
      </c>
      <c r="K26" s="134">
        <f t="shared" si="19"/>
        <v>0</v>
      </c>
      <c r="L26" s="136" t="e">
        <f t="shared" si="20"/>
        <v>#DIV/0!</v>
      </c>
      <c r="M26" s="143"/>
      <c r="N26" s="302">
        <f t="shared" si="21"/>
        <v>0</v>
      </c>
    </row>
    <row r="27" spans="1:14" ht="16">
      <c r="A27" s="59"/>
      <c r="B27" s="60"/>
      <c r="C27" s="59"/>
      <c r="D27" s="59" t="s">
        <v>19</v>
      </c>
      <c r="E27" s="59">
        <f>SUM(E19:E25)</f>
        <v>2296</v>
      </c>
      <c r="F27" s="59">
        <f>SUM(F19:F26)</f>
        <v>304</v>
      </c>
      <c r="G27" s="61" t="e">
        <f>AVERAGE(G19:G25)</f>
        <v>#DIV/0!</v>
      </c>
      <c r="H27" s="59"/>
      <c r="I27" s="62"/>
      <c r="J27" s="59">
        <f t="shared" ref="J27:K27" si="22">SUM(J19:J25)</f>
        <v>2853</v>
      </c>
      <c r="K27" s="59">
        <f t="shared" si="22"/>
        <v>304</v>
      </c>
      <c r="L27" s="61" t="e">
        <f>AVERAGE(L19:L25)</f>
        <v>#DIV/0!</v>
      </c>
      <c r="M27" s="64"/>
      <c r="N27" s="299">
        <f>SUM(N19:N26)</f>
        <v>5247950</v>
      </c>
    </row>
    <row r="28" spans="1:14" ht="16">
      <c r="A28" s="66">
        <v>45784</v>
      </c>
      <c r="B28" s="269" t="s">
        <v>14</v>
      </c>
      <c r="C28" s="83">
        <v>164195</v>
      </c>
      <c r="D28" s="39">
        <v>164989</v>
      </c>
      <c r="E28" s="36">
        <f t="shared" ref="E28:E34" si="23">D28-C28</f>
        <v>794</v>
      </c>
      <c r="F28" s="37">
        <v>50</v>
      </c>
      <c r="G28" s="13">
        <f t="shared" ref="G28:G34" si="24">(F28/E28)*100</f>
        <v>6.2972292191435768</v>
      </c>
      <c r="H28" s="125">
        <v>7197</v>
      </c>
      <c r="I28" s="126">
        <v>7627</v>
      </c>
      <c r="J28" s="39">
        <f t="shared" ref="J28:J34" si="25">I28-H28</f>
        <v>430</v>
      </c>
      <c r="K28" s="39">
        <f t="shared" ref="K28:K34" si="26">F28</f>
        <v>50</v>
      </c>
      <c r="L28" s="136">
        <f t="shared" ref="L28:L34" si="27">(K28/J28)*100</f>
        <v>11.627906976744185</v>
      </c>
      <c r="M28" s="68">
        <v>17350</v>
      </c>
      <c r="N28" s="294">
        <f t="shared" ref="N28:N34" si="28">F28*M28</f>
        <v>867500</v>
      </c>
    </row>
    <row r="29" spans="1:14" ht="16">
      <c r="A29" s="138">
        <v>45791</v>
      </c>
      <c r="B29" s="140" t="s">
        <v>14</v>
      </c>
      <c r="C29" s="83">
        <v>164989</v>
      </c>
      <c r="D29" s="83">
        <v>164979</v>
      </c>
      <c r="E29" s="11">
        <f t="shared" si="23"/>
        <v>-10</v>
      </c>
      <c r="F29" s="141">
        <v>50</v>
      </c>
      <c r="G29" s="13">
        <f t="shared" si="24"/>
        <v>-500</v>
      </c>
      <c r="H29" s="83">
        <v>7627</v>
      </c>
      <c r="I29" s="125"/>
      <c r="J29" s="83">
        <f t="shared" si="25"/>
        <v>-7627</v>
      </c>
      <c r="K29" s="83">
        <f t="shared" si="26"/>
        <v>50</v>
      </c>
      <c r="L29" s="136">
        <f t="shared" si="27"/>
        <v>-0.65556575324505051</v>
      </c>
      <c r="M29" s="116">
        <v>16800</v>
      </c>
      <c r="N29" s="301">
        <f t="shared" si="28"/>
        <v>840000</v>
      </c>
    </row>
    <row r="30" spans="1:14" ht="16">
      <c r="A30" s="138">
        <v>45798</v>
      </c>
      <c r="B30" s="140" t="s">
        <v>14</v>
      </c>
      <c r="C30" s="83">
        <v>164979</v>
      </c>
      <c r="D30" s="83">
        <v>165456</v>
      </c>
      <c r="E30" s="11">
        <f t="shared" si="23"/>
        <v>477</v>
      </c>
      <c r="F30" s="141">
        <v>50</v>
      </c>
      <c r="G30" s="13">
        <f t="shared" si="24"/>
        <v>10.482180293501047</v>
      </c>
      <c r="H30" s="83"/>
      <c r="I30" s="125"/>
      <c r="J30" s="83">
        <f t="shared" si="25"/>
        <v>0</v>
      </c>
      <c r="K30" s="83">
        <f t="shared" si="26"/>
        <v>50</v>
      </c>
      <c r="L30" s="136" t="e">
        <f t="shared" si="27"/>
        <v>#DIV/0!</v>
      </c>
      <c r="M30" s="116">
        <v>17220</v>
      </c>
      <c r="N30" s="297">
        <f t="shared" si="28"/>
        <v>861000</v>
      </c>
    </row>
    <row r="31" spans="1:14" ht="16">
      <c r="A31" s="139">
        <v>45803</v>
      </c>
      <c r="B31" s="140" t="s">
        <v>14</v>
      </c>
      <c r="C31" s="83">
        <v>165456</v>
      </c>
      <c r="D31" s="83">
        <v>165868</v>
      </c>
      <c r="E31" s="11">
        <f t="shared" si="23"/>
        <v>412</v>
      </c>
      <c r="F31" s="141">
        <v>49</v>
      </c>
      <c r="G31" s="13">
        <f t="shared" si="24"/>
        <v>11.893203883495145</v>
      </c>
      <c r="H31" s="83"/>
      <c r="I31" s="125">
        <v>9206</v>
      </c>
      <c r="J31" s="83">
        <f t="shared" si="25"/>
        <v>9206</v>
      </c>
      <c r="K31" s="83">
        <f t="shared" si="26"/>
        <v>49</v>
      </c>
      <c r="L31" s="136">
        <f t="shared" si="27"/>
        <v>0.53226156854225504</v>
      </c>
      <c r="M31" s="116">
        <v>17400</v>
      </c>
      <c r="N31" s="297">
        <f t="shared" si="28"/>
        <v>852600</v>
      </c>
    </row>
    <row r="32" spans="1:14" ht="16">
      <c r="A32" s="138">
        <v>45807</v>
      </c>
      <c r="B32" s="140" t="s">
        <v>14</v>
      </c>
      <c r="C32" s="83">
        <v>165868</v>
      </c>
      <c r="D32" s="83">
        <v>166303</v>
      </c>
      <c r="E32" s="11">
        <f t="shared" si="23"/>
        <v>435</v>
      </c>
      <c r="F32" s="141">
        <v>50</v>
      </c>
      <c r="G32" s="13">
        <f t="shared" si="24"/>
        <v>11.494252873563218</v>
      </c>
      <c r="H32" s="83"/>
      <c r="I32" s="125"/>
      <c r="J32" s="83">
        <f t="shared" si="25"/>
        <v>0</v>
      </c>
      <c r="K32" s="83">
        <f t="shared" si="26"/>
        <v>50</v>
      </c>
      <c r="L32" s="136" t="e">
        <f t="shared" si="27"/>
        <v>#DIV/0!</v>
      </c>
      <c r="M32" s="116">
        <v>17130</v>
      </c>
      <c r="N32" s="297">
        <f t="shared" si="28"/>
        <v>856500</v>
      </c>
    </row>
    <row r="33" spans="1:16" ht="16">
      <c r="A33" s="138"/>
      <c r="B33" s="140" t="s">
        <v>14</v>
      </c>
      <c r="C33" s="83"/>
      <c r="D33" s="83"/>
      <c r="E33" s="11">
        <f t="shared" si="23"/>
        <v>0</v>
      </c>
      <c r="F33" s="141"/>
      <c r="G33" s="13" t="e">
        <f t="shared" si="24"/>
        <v>#DIV/0!</v>
      </c>
      <c r="H33" s="83"/>
      <c r="I33" s="125"/>
      <c r="J33" s="83">
        <f t="shared" si="25"/>
        <v>0</v>
      </c>
      <c r="K33" s="83">
        <f t="shared" si="26"/>
        <v>0</v>
      </c>
      <c r="L33" s="136" t="e">
        <f t="shared" si="27"/>
        <v>#DIV/0!</v>
      </c>
      <c r="M33" s="116"/>
      <c r="N33" s="297">
        <f t="shared" si="28"/>
        <v>0</v>
      </c>
    </row>
    <row r="34" spans="1:16" ht="16">
      <c r="A34" s="271"/>
      <c r="B34" s="272"/>
      <c r="C34" s="134"/>
      <c r="D34" s="134"/>
      <c r="E34" s="24">
        <f t="shared" si="23"/>
        <v>0</v>
      </c>
      <c r="F34" s="143"/>
      <c r="G34" s="54" t="e">
        <f t="shared" si="24"/>
        <v>#DIV/0!</v>
      </c>
      <c r="H34" s="134"/>
      <c r="I34" s="135"/>
      <c r="J34" s="134">
        <f t="shared" si="25"/>
        <v>0</v>
      </c>
      <c r="K34" s="134">
        <f t="shared" si="26"/>
        <v>0</v>
      </c>
      <c r="L34" s="136" t="e">
        <f t="shared" si="27"/>
        <v>#DIV/0!</v>
      </c>
      <c r="M34" s="137"/>
      <c r="N34" s="298">
        <f t="shared" si="28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29">SUM(E28:E34)</f>
        <v>2108</v>
      </c>
      <c r="F35" s="59">
        <f t="shared" si="29"/>
        <v>249</v>
      </c>
      <c r="G35" s="61" t="e">
        <f>AVERAGE(G28:G34)</f>
        <v>#DIV/0!</v>
      </c>
      <c r="H35" s="59"/>
      <c r="I35" s="62"/>
      <c r="J35" s="59">
        <f t="shared" ref="J35:K35" si="30">SUM(J28:J34)</f>
        <v>2009</v>
      </c>
      <c r="K35" s="59">
        <f t="shared" si="30"/>
        <v>249</v>
      </c>
      <c r="L35" s="61" t="e">
        <f>AVERAGE(L28:L34)</f>
        <v>#DIV/0!</v>
      </c>
      <c r="M35" s="64"/>
      <c r="N35" s="299">
        <f>SUM(N28:N34)</f>
        <v>4277600</v>
      </c>
    </row>
    <row r="36" spans="1:16" ht="16">
      <c r="A36" s="66">
        <v>45783</v>
      </c>
      <c r="B36" s="269" t="s">
        <v>15</v>
      </c>
      <c r="C36" s="83">
        <v>150264</v>
      </c>
      <c r="D36" s="39">
        <v>150609</v>
      </c>
      <c r="E36" s="36">
        <f t="shared" ref="E36:E42" si="31">D36-C36</f>
        <v>345</v>
      </c>
      <c r="F36" s="37">
        <v>46</v>
      </c>
      <c r="G36" s="13">
        <f t="shared" ref="G36:G42" si="32">(F36/E36)*100</f>
        <v>13.333333333333334</v>
      </c>
      <c r="H36" s="83">
        <v>13855</v>
      </c>
      <c r="I36" s="125">
        <v>14573</v>
      </c>
      <c r="J36" s="39">
        <f t="shared" ref="J36:J42" si="33">I36-H36</f>
        <v>718</v>
      </c>
      <c r="K36" s="39">
        <f t="shared" ref="K36:K42" si="34">F36</f>
        <v>46</v>
      </c>
      <c r="L36" s="136">
        <f t="shared" ref="L36:L42" si="35">(K36/J36)*100</f>
        <v>6.4066852367688023</v>
      </c>
      <c r="M36" s="68">
        <v>17350</v>
      </c>
      <c r="N36" s="294">
        <f t="shared" ref="N36:N42" si="36">F36*M36</f>
        <v>798100</v>
      </c>
    </row>
    <row r="37" spans="1:16" ht="16">
      <c r="A37" s="249">
        <v>45786</v>
      </c>
      <c r="B37" s="140" t="s">
        <v>15</v>
      </c>
      <c r="C37" s="83">
        <v>150609</v>
      </c>
      <c r="D37" s="83">
        <v>150938</v>
      </c>
      <c r="E37" s="11">
        <f t="shared" si="31"/>
        <v>329</v>
      </c>
      <c r="F37" s="141">
        <v>40</v>
      </c>
      <c r="G37" s="13">
        <f t="shared" si="32"/>
        <v>12.158054711246201</v>
      </c>
      <c r="H37" s="125">
        <v>14573</v>
      </c>
      <c r="I37" s="125">
        <v>15292</v>
      </c>
      <c r="J37" s="83">
        <f t="shared" si="33"/>
        <v>719</v>
      </c>
      <c r="K37" s="83">
        <f t="shared" si="34"/>
        <v>40</v>
      </c>
      <c r="L37" s="136">
        <f t="shared" si="35"/>
        <v>5.563282336578582</v>
      </c>
      <c r="M37" s="116">
        <v>16800</v>
      </c>
      <c r="N37" s="296">
        <f t="shared" si="36"/>
        <v>672000</v>
      </c>
      <c r="P37" s="78"/>
    </row>
    <row r="38" spans="1:16" ht="16">
      <c r="A38" s="138">
        <v>45792</v>
      </c>
      <c r="B38" s="140" t="s">
        <v>15</v>
      </c>
      <c r="C38" s="83">
        <v>150938</v>
      </c>
      <c r="D38" s="83">
        <v>151314</v>
      </c>
      <c r="E38" s="11">
        <f t="shared" si="31"/>
        <v>376</v>
      </c>
      <c r="F38" s="141">
        <v>40</v>
      </c>
      <c r="G38" s="13">
        <f t="shared" si="32"/>
        <v>10.638297872340425</v>
      </c>
      <c r="H38" s="83">
        <v>15292</v>
      </c>
      <c r="I38" s="125"/>
      <c r="J38" s="83">
        <f t="shared" si="33"/>
        <v>-15292</v>
      </c>
      <c r="K38" s="83">
        <f t="shared" si="34"/>
        <v>40</v>
      </c>
      <c r="L38" s="136">
        <f t="shared" si="35"/>
        <v>-0.26157467957101754</v>
      </c>
      <c r="M38" s="331">
        <v>17220</v>
      </c>
      <c r="N38" s="296">
        <f t="shared" si="36"/>
        <v>688800</v>
      </c>
      <c r="O38" s="76" t="s">
        <v>97</v>
      </c>
    </row>
    <row r="39" spans="1:16" ht="16">
      <c r="A39" s="138">
        <v>45796</v>
      </c>
      <c r="B39" s="140" t="s">
        <v>15</v>
      </c>
      <c r="C39" s="83">
        <v>151314</v>
      </c>
      <c r="D39" s="83">
        <v>151685</v>
      </c>
      <c r="E39" s="11">
        <f t="shared" si="31"/>
        <v>371</v>
      </c>
      <c r="F39" s="141">
        <v>47</v>
      </c>
      <c r="G39" s="13">
        <f t="shared" si="32"/>
        <v>12.668463611859837</v>
      </c>
      <c r="H39" s="83"/>
      <c r="I39" s="125"/>
      <c r="J39" s="83">
        <f t="shared" si="33"/>
        <v>0</v>
      </c>
      <c r="K39" s="83">
        <f t="shared" si="34"/>
        <v>47</v>
      </c>
      <c r="L39" s="136" t="e">
        <f t="shared" si="35"/>
        <v>#DIV/0!</v>
      </c>
      <c r="M39" s="116">
        <v>17220</v>
      </c>
      <c r="N39" s="296">
        <f t="shared" si="36"/>
        <v>809340</v>
      </c>
    </row>
    <row r="40" spans="1:16" ht="16">
      <c r="A40" s="138">
        <v>45801</v>
      </c>
      <c r="B40" s="140" t="s">
        <v>15</v>
      </c>
      <c r="C40" s="83">
        <v>151685</v>
      </c>
      <c r="D40" s="83">
        <v>152008</v>
      </c>
      <c r="E40" s="11">
        <f t="shared" si="31"/>
        <v>323</v>
      </c>
      <c r="F40" s="141">
        <v>35</v>
      </c>
      <c r="G40" s="13">
        <f t="shared" si="32"/>
        <v>10.835913312693499</v>
      </c>
      <c r="H40" s="83"/>
      <c r="I40" s="125"/>
      <c r="J40" s="83">
        <f t="shared" si="33"/>
        <v>0</v>
      </c>
      <c r="K40" s="83">
        <f t="shared" si="34"/>
        <v>35</v>
      </c>
      <c r="L40" s="136" t="e">
        <f t="shared" si="35"/>
        <v>#DIV/0!</v>
      </c>
      <c r="M40" s="116">
        <v>17400</v>
      </c>
      <c r="N40" s="297">
        <f t="shared" si="36"/>
        <v>609000</v>
      </c>
    </row>
    <row r="41" spans="1:16" ht="16">
      <c r="A41" s="276">
        <v>45805</v>
      </c>
      <c r="B41" s="140" t="s">
        <v>15</v>
      </c>
      <c r="C41" s="83">
        <v>152008</v>
      </c>
      <c r="D41" s="83">
        <v>152350</v>
      </c>
      <c r="E41" s="11">
        <f t="shared" si="31"/>
        <v>342</v>
      </c>
      <c r="F41" s="141">
        <v>46</v>
      </c>
      <c r="G41" s="13">
        <f t="shared" si="32"/>
        <v>13.450292397660817</v>
      </c>
      <c r="H41" s="83"/>
      <c r="I41" s="125"/>
      <c r="J41" s="83">
        <f t="shared" si="33"/>
        <v>0</v>
      </c>
      <c r="K41" s="83">
        <f t="shared" si="34"/>
        <v>46</v>
      </c>
      <c r="L41" s="136" t="e">
        <f t="shared" si="35"/>
        <v>#DIV/0!</v>
      </c>
      <c r="M41" s="116">
        <v>17400</v>
      </c>
      <c r="N41" s="297">
        <f t="shared" si="36"/>
        <v>800400</v>
      </c>
    </row>
    <row r="42" spans="1:16" ht="16">
      <c r="A42" s="133"/>
      <c r="B42" s="140" t="s">
        <v>15</v>
      </c>
      <c r="C42" s="134"/>
      <c r="D42" s="134"/>
      <c r="E42" s="24">
        <f t="shared" si="31"/>
        <v>0</v>
      </c>
      <c r="F42" s="143"/>
      <c r="G42" s="54" t="e">
        <f t="shared" si="32"/>
        <v>#DIV/0!</v>
      </c>
      <c r="H42" s="134"/>
      <c r="I42" s="135"/>
      <c r="J42" s="134">
        <f t="shared" si="33"/>
        <v>0</v>
      </c>
      <c r="K42" s="134">
        <f t="shared" si="34"/>
        <v>0</v>
      </c>
      <c r="L42" s="136" t="e">
        <f t="shared" si="35"/>
        <v>#DIV/0!</v>
      </c>
      <c r="M42" s="137"/>
      <c r="N42" s="302">
        <f t="shared" si="36"/>
        <v>0</v>
      </c>
    </row>
    <row r="43" spans="1:16" ht="16">
      <c r="A43" s="59"/>
      <c r="B43" s="60"/>
      <c r="C43" s="59"/>
      <c r="D43" s="59" t="s">
        <v>19</v>
      </c>
      <c r="E43" s="59">
        <f t="shared" ref="E43:F43" si="37">SUM(E36:E42)</f>
        <v>2086</v>
      </c>
      <c r="F43" s="59">
        <f t="shared" si="37"/>
        <v>254</v>
      </c>
      <c r="G43" s="61" t="e">
        <f>AVERAGE(G36:G42)</f>
        <v>#DIV/0!</v>
      </c>
      <c r="H43" s="59"/>
      <c r="I43" s="62"/>
      <c r="J43" s="59">
        <f t="shared" ref="J43:K43" si="38">SUM(J36:J42)</f>
        <v>-13855</v>
      </c>
      <c r="K43" s="59">
        <f t="shared" si="38"/>
        <v>254</v>
      </c>
      <c r="L43" s="61" t="e">
        <f>AVERAGE(L36:L42)</f>
        <v>#DIV/0!</v>
      </c>
      <c r="M43" s="64"/>
      <c r="N43" s="299">
        <f>SUM(N36:N42)</f>
        <v>4377640</v>
      </c>
    </row>
    <row r="44" spans="1:16" ht="16">
      <c r="A44" s="89">
        <v>45779</v>
      </c>
      <c r="B44" s="269" t="s">
        <v>16</v>
      </c>
      <c r="C44" s="83">
        <v>126324</v>
      </c>
      <c r="D44" s="39">
        <v>126714</v>
      </c>
      <c r="E44" s="36">
        <f t="shared" ref="E44:E50" si="39">D44-C44</f>
        <v>390</v>
      </c>
      <c r="F44" s="37">
        <v>55</v>
      </c>
      <c r="G44" s="13">
        <f t="shared" ref="G44:G50" si="40">(F44/E44)*100</f>
        <v>14.102564102564102</v>
      </c>
      <c r="H44" s="126">
        <v>13980</v>
      </c>
      <c r="I44" s="126">
        <v>14357</v>
      </c>
      <c r="J44" s="39">
        <f t="shared" ref="J44:J50" si="41">I44-H44</f>
        <v>377</v>
      </c>
      <c r="K44" s="39">
        <f t="shared" ref="K44:K50" si="42">F44</f>
        <v>55</v>
      </c>
      <c r="L44" s="136">
        <f t="shared" ref="L44:L50" si="43">(K44/J44)*100</f>
        <v>14.588859416445624</v>
      </c>
      <c r="M44" s="68">
        <v>17520</v>
      </c>
      <c r="N44" s="294">
        <f t="shared" ref="N44:N50" si="44">F44*M44</f>
        <v>963600</v>
      </c>
    </row>
    <row r="45" spans="1:16" ht="16">
      <c r="A45" s="138">
        <v>45784</v>
      </c>
      <c r="B45" s="140" t="s">
        <v>16</v>
      </c>
      <c r="C45" s="83">
        <v>126714</v>
      </c>
      <c r="D45" s="83">
        <v>127079</v>
      </c>
      <c r="E45" s="11">
        <f t="shared" si="39"/>
        <v>365</v>
      </c>
      <c r="F45" s="277">
        <v>50</v>
      </c>
      <c r="G45" s="13">
        <f t="shared" si="40"/>
        <v>13.698630136986301</v>
      </c>
      <c r="H45" s="83">
        <v>14357</v>
      </c>
      <c r="I45" s="126">
        <v>14737</v>
      </c>
      <c r="J45" s="83">
        <f t="shared" si="41"/>
        <v>380</v>
      </c>
      <c r="K45" s="39">
        <f t="shared" si="42"/>
        <v>50</v>
      </c>
      <c r="L45" s="136">
        <f t="shared" si="43"/>
        <v>13.157894736842104</v>
      </c>
      <c r="M45" s="116">
        <v>17350</v>
      </c>
      <c r="N45" s="296">
        <f t="shared" si="44"/>
        <v>867500</v>
      </c>
    </row>
    <row r="46" spans="1:16" ht="16">
      <c r="A46" s="138">
        <v>45790</v>
      </c>
      <c r="B46" s="140" t="s">
        <v>16</v>
      </c>
      <c r="C46" s="83">
        <v>127079</v>
      </c>
      <c r="D46" s="83">
        <v>127438</v>
      </c>
      <c r="E46" s="11">
        <f t="shared" si="39"/>
        <v>359</v>
      </c>
      <c r="F46" s="141">
        <v>50</v>
      </c>
      <c r="G46" s="13">
        <f t="shared" si="40"/>
        <v>13.92757660167131</v>
      </c>
      <c r="H46" s="83">
        <v>14737</v>
      </c>
      <c r="I46" s="125">
        <v>15111</v>
      </c>
      <c r="J46" s="83">
        <f t="shared" si="41"/>
        <v>374</v>
      </c>
      <c r="K46" s="39">
        <f t="shared" si="42"/>
        <v>50</v>
      </c>
      <c r="L46" s="136">
        <f t="shared" si="43"/>
        <v>13.368983957219251</v>
      </c>
      <c r="M46" s="116">
        <v>16800</v>
      </c>
      <c r="N46" s="296">
        <f t="shared" si="44"/>
        <v>840000</v>
      </c>
    </row>
    <row r="47" spans="1:16" ht="16">
      <c r="A47" s="138">
        <v>45796</v>
      </c>
      <c r="B47" s="140" t="s">
        <v>16</v>
      </c>
      <c r="C47" s="83">
        <v>127438</v>
      </c>
      <c r="D47" s="83">
        <v>127895</v>
      </c>
      <c r="E47" s="11">
        <f t="shared" si="39"/>
        <v>457</v>
      </c>
      <c r="F47" s="141">
        <v>55</v>
      </c>
      <c r="G47" s="13">
        <f t="shared" si="40"/>
        <v>12.035010940919037</v>
      </c>
      <c r="H47" s="83">
        <v>15111</v>
      </c>
      <c r="I47" s="125">
        <v>15676</v>
      </c>
      <c r="J47" s="83">
        <f t="shared" si="41"/>
        <v>565</v>
      </c>
      <c r="K47" s="39">
        <f t="shared" si="42"/>
        <v>55</v>
      </c>
      <c r="L47" s="136">
        <f t="shared" si="43"/>
        <v>9.7345132743362832</v>
      </c>
      <c r="M47" s="116">
        <v>17220</v>
      </c>
      <c r="N47" s="296">
        <f t="shared" si="44"/>
        <v>947100</v>
      </c>
      <c r="P47" s="78"/>
    </row>
    <row r="48" spans="1:16" ht="16">
      <c r="A48" s="138">
        <v>45803</v>
      </c>
      <c r="B48" s="140" t="s">
        <v>16</v>
      </c>
      <c r="C48" s="83">
        <v>127895</v>
      </c>
      <c r="D48" s="83">
        <v>128276</v>
      </c>
      <c r="E48" s="11">
        <f t="shared" si="39"/>
        <v>381</v>
      </c>
      <c r="F48" s="141">
        <v>48</v>
      </c>
      <c r="G48" s="13">
        <f t="shared" si="40"/>
        <v>12.598425196850393</v>
      </c>
      <c r="H48" s="83">
        <v>15676</v>
      </c>
      <c r="I48" s="125">
        <v>16241</v>
      </c>
      <c r="J48" s="83">
        <f t="shared" si="41"/>
        <v>565</v>
      </c>
      <c r="K48" s="39">
        <f t="shared" si="42"/>
        <v>48</v>
      </c>
      <c r="L48" s="136">
        <f t="shared" si="43"/>
        <v>8.495575221238937</v>
      </c>
      <c r="M48" s="116">
        <v>17400</v>
      </c>
      <c r="N48" s="297">
        <f t="shared" si="44"/>
        <v>835200</v>
      </c>
    </row>
    <row r="49" spans="1:14" ht="16">
      <c r="A49" s="139">
        <v>45807</v>
      </c>
      <c r="B49" s="90" t="s">
        <v>16</v>
      </c>
      <c r="C49" s="83">
        <v>128276</v>
      </c>
      <c r="D49" s="83">
        <v>128236</v>
      </c>
      <c r="E49" s="11">
        <f t="shared" si="39"/>
        <v>-40</v>
      </c>
      <c r="F49" s="141">
        <v>45</v>
      </c>
      <c r="G49" s="13">
        <f t="shared" si="40"/>
        <v>-112.5</v>
      </c>
      <c r="H49" s="83"/>
      <c r="I49" s="125"/>
      <c r="J49" s="83">
        <f t="shared" si="41"/>
        <v>0</v>
      </c>
      <c r="K49" s="39">
        <f t="shared" si="42"/>
        <v>45</v>
      </c>
      <c r="L49" s="136" t="e">
        <f t="shared" si="43"/>
        <v>#DIV/0!</v>
      </c>
      <c r="M49" s="116">
        <v>17130</v>
      </c>
      <c r="N49" s="297">
        <f t="shared" si="44"/>
        <v>770850</v>
      </c>
    </row>
    <row r="50" spans="1:14" ht="16">
      <c r="A50" s="271"/>
      <c r="B50" s="283"/>
      <c r="C50" s="134"/>
      <c r="D50" s="134"/>
      <c r="E50" s="24">
        <f t="shared" si="39"/>
        <v>0</v>
      </c>
      <c r="F50" s="143"/>
      <c r="G50" s="54" t="e">
        <f t="shared" si="40"/>
        <v>#DIV/0!</v>
      </c>
      <c r="H50" s="134"/>
      <c r="I50" s="135"/>
      <c r="J50" s="134">
        <f t="shared" si="41"/>
        <v>0</v>
      </c>
      <c r="K50" s="134">
        <f t="shared" si="42"/>
        <v>0</v>
      </c>
      <c r="L50" s="136" t="e">
        <f t="shared" si="43"/>
        <v>#DIV/0!</v>
      </c>
      <c r="M50" s="137"/>
      <c r="N50" s="298">
        <f t="shared" si="44"/>
        <v>0</v>
      </c>
    </row>
    <row r="51" spans="1:14" ht="16">
      <c r="A51" s="59"/>
      <c r="B51" s="60"/>
      <c r="C51" s="59"/>
      <c r="D51" s="59" t="s">
        <v>19</v>
      </c>
      <c r="E51" s="59">
        <f t="shared" ref="E51:F51" si="45">SUM(E44:E50)</f>
        <v>1912</v>
      </c>
      <c r="F51" s="59">
        <f t="shared" si="45"/>
        <v>303</v>
      </c>
      <c r="G51" s="61" t="e">
        <f>AVERAGE(G44:G50)</f>
        <v>#DIV/0!</v>
      </c>
      <c r="H51" s="59"/>
      <c r="I51" s="62"/>
      <c r="J51" s="59">
        <f t="shared" ref="J51:K51" si="46">SUM(J44:J50)</f>
        <v>2261</v>
      </c>
      <c r="K51" s="59">
        <f t="shared" si="46"/>
        <v>303</v>
      </c>
      <c r="L51" s="61" t="e">
        <f>AVERAGE(L44:L50)</f>
        <v>#DIV/0!</v>
      </c>
      <c r="M51" s="64"/>
      <c r="N51" s="299">
        <f>SUM(N44:N50)</f>
        <v>5224250</v>
      </c>
    </row>
    <row r="52" spans="1:14" ht="16">
      <c r="A52" s="66">
        <v>45779</v>
      </c>
      <c r="B52" s="278" t="s">
        <v>18</v>
      </c>
      <c r="C52" s="83">
        <v>130986</v>
      </c>
      <c r="D52" s="39">
        <v>131344</v>
      </c>
      <c r="E52" s="36">
        <f t="shared" ref="E52:E58" si="47">D52-C52</f>
        <v>358</v>
      </c>
      <c r="F52" s="37">
        <v>45</v>
      </c>
      <c r="G52" s="13">
        <f t="shared" ref="G52:G58" si="48">(F52/E52)*100</f>
        <v>12.569832402234638</v>
      </c>
      <c r="H52" s="83">
        <v>6625</v>
      </c>
      <c r="I52" s="126">
        <v>6647</v>
      </c>
      <c r="J52" s="39">
        <f t="shared" ref="J52:J58" si="49">I52-H52</f>
        <v>22</v>
      </c>
      <c r="K52" s="39">
        <f t="shared" ref="K52:K58" si="50">F52</f>
        <v>45</v>
      </c>
      <c r="L52" s="136">
        <f t="shared" ref="L52:L58" si="51">(K52/J52)*100</f>
        <v>204.54545454545453</v>
      </c>
      <c r="M52" s="68">
        <v>17520</v>
      </c>
      <c r="N52" s="294">
        <f t="shared" ref="N52:N58" si="52">F52*M52</f>
        <v>788400</v>
      </c>
    </row>
    <row r="53" spans="1:14" ht="16">
      <c r="A53" s="138">
        <v>45783</v>
      </c>
      <c r="B53" s="140" t="s">
        <v>18</v>
      </c>
      <c r="C53" s="83">
        <v>131344</v>
      </c>
      <c r="D53" s="83">
        <v>131683</v>
      </c>
      <c r="E53" s="11">
        <f t="shared" si="47"/>
        <v>339</v>
      </c>
      <c r="F53" s="141">
        <v>43</v>
      </c>
      <c r="G53" s="13">
        <f t="shared" si="48"/>
        <v>12.684365781710916</v>
      </c>
      <c r="H53" s="83">
        <v>6647</v>
      </c>
      <c r="I53" s="125">
        <v>7069</v>
      </c>
      <c r="J53" s="83">
        <f t="shared" si="49"/>
        <v>422</v>
      </c>
      <c r="K53" s="83">
        <f t="shared" si="50"/>
        <v>43</v>
      </c>
      <c r="L53" s="136">
        <f t="shared" si="51"/>
        <v>10.189573459715639</v>
      </c>
      <c r="M53" s="116">
        <v>17350</v>
      </c>
      <c r="N53" s="296">
        <f t="shared" si="52"/>
        <v>746050</v>
      </c>
    </row>
    <row r="54" spans="1:14" ht="16">
      <c r="A54" s="249">
        <v>45786</v>
      </c>
      <c r="B54" s="140" t="s">
        <v>18</v>
      </c>
      <c r="C54" s="83">
        <v>131683</v>
      </c>
      <c r="D54" s="83">
        <v>132010</v>
      </c>
      <c r="E54" s="11">
        <f t="shared" si="47"/>
        <v>327</v>
      </c>
      <c r="F54" s="141">
        <v>45</v>
      </c>
      <c r="G54" s="13">
        <f t="shared" si="48"/>
        <v>13.761467889908257</v>
      </c>
      <c r="H54" s="83">
        <v>7069</v>
      </c>
      <c r="I54" s="125">
        <v>7492</v>
      </c>
      <c r="J54" s="83">
        <f t="shared" si="49"/>
        <v>423</v>
      </c>
      <c r="K54" s="83">
        <f t="shared" si="50"/>
        <v>45</v>
      </c>
      <c r="L54" s="136">
        <f t="shared" si="51"/>
        <v>10.638297872340425</v>
      </c>
      <c r="M54" s="116">
        <v>16800</v>
      </c>
      <c r="N54" s="296">
        <f t="shared" si="52"/>
        <v>756000</v>
      </c>
    </row>
    <row r="55" spans="1:14" ht="16">
      <c r="A55" s="138">
        <v>45790</v>
      </c>
      <c r="B55" s="140" t="s">
        <v>18</v>
      </c>
      <c r="C55" s="83">
        <v>132010</v>
      </c>
      <c r="D55" s="83">
        <v>132297</v>
      </c>
      <c r="E55" s="11">
        <f t="shared" si="47"/>
        <v>287</v>
      </c>
      <c r="F55" s="141">
        <v>35</v>
      </c>
      <c r="G55" s="13">
        <f t="shared" si="48"/>
        <v>12.195121951219512</v>
      </c>
      <c r="H55" s="83">
        <v>7492</v>
      </c>
      <c r="I55" s="125"/>
      <c r="J55" s="83">
        <f t="shared" si="49"/>
        <v>-7492</v>
      </c>
      <c r="K55" s="83">
        <f t="shared" si="50"/>
        <v>35</v>
      </c>
      <c r="L55" s="136">
        <f t="shared" si="51"/>
        <v>-0.46716497597437273</v>
      </c>
      <c r="M55" s="116">
        <v>16800</v>
      </c>
      <c r="N55" s="297">
        <f t="shared" si="52"/>
        <v>588000</v>
      </c>
    </row>
    <row r="56" spans="1:14" ht="16">
      <c r="A56" s="138">
        <v>45794</v>
      </c>
      <c r="B56" s="140" t="s">
        <v>18</v>
      </c>
      <c r="C56" s="83">
        <v>132297</v>
      </c>
      <c r="D56" s="83">
        <v>132653</v>
      </c>
      <c r="E56" s="11">
        <f t="shared" si="47"/>
        <v>356</v>
      </c>
      <c r="F56" s="141">
        <v>42</v>
      </c>
      <c r="G56" s="13">
        <f t="shared" si="48"/>
        <v>11.797752808988763</v>
      </c>
      <c r="H56" s="83"/>
      <c r="I56" s="125"/>
      <c r="J56" s="83">
        <f t="shared" si="49"/>
        <v>0</v>
      </c>
      <c r="K56" s="83">
        <f t="shared" si="50"/>
        <v>42</v>
      </c>
      <c r="L56" s="136" t="e">
        <f t="shared" si="51"/>
        <v>#DIV/0!</v>
      </c>
      <c r="M56" s="116">
        <v>17220</v>
      </c>
      <c r="N56" s="300">
        <f t="shared" si="52"/>
        <v>723240</v>
      </c>
    </row>
    <row r="57" spans="1:14" ht="16">
      <c r="A57" s="138">
        <v>45799</v>
      </c>
      <c r="B57" s="140" t="s">
        <v>18</v>
      </c>
      <c r="C57" s="83">
        <v>132653</v>
      </c>
      <c r="D57" s="83">
        <v>132938</v>
      </c>
      <c r="E57" s="51">
        <f t="shared" si="47"/>
        <v>285</v>
      </c>
      <c r="F57" s="141">
        <v>44</v>
      </c>
      <c r="G57" s="13">
        <f t="shared" si="48"/>
        <v>15.43859649122807</v>
      </c>
      <c r="H57" s="83"/>
      <c r="I57" s="125"/>
      <c r="J57" s="83">
        <f t="shared" si="49"/>
        <v>0</v>
      </c>
      <c r="K57" s="83">
        <f t="shared" si="50"/>
        <v>44</v>
      </c>
      <c r="L57" s="136" t="e">
        <f t="shared" si="51"/>
        <v>#DIV/0!</v>
      </c>
      <c r="M57" s="116">
        <v>17220</v>
      </c>
      <c r="N57" s="300">
        <f t="shared" si="52"/>
        <v>757680</v>
      </c>
    </row>
    <row r="58" spans="1:14" ht="16">
      <c r="A58" s="279">
        <v>45807</v>
      </c>
      <c r="B58" s="90" t="s">
        <v>18</v>
      </c>
      <c r="C58" s="134">
        <v>132938</v>
      </c>
      <c r="D58" s="134">
        <v>133318</v>
      </c>
      <c r="E58" s="24">
        <f t="shared" si="47"/>
        <v>380</v>
      </c>
      <c r="F58" s="143">
        <v>50</v>
      </c>
      <c r="G58" s="54">
        <f t="shared" si="48"/>
        <v>13.157894736842104</v>
      </c>
      <c r="H58" s="134"/>
      <c r="I58" s="135">
        <v>8851</v>
      </c>
      <c r="J58" s="134">
        <f t="shared" si="49"/>
        <v>8851</v>
      </c>
      <c r="K58" s="134">
        <f t="shared" si="50"/>
        <v>50</v>
      </c>
      <c r="L58" s="136">
        <f t="shared" si="51"/>
        <v>0.56490792000903856</v>
      </c>
      <c r="M58" s="137">
        <v>17130</v>
      </c>
      <c r="N58" s="298">
        <f t="shared" si="52"/>
        <v>856500</v>
      </c>
    </row>
    <row r="59" spans="1:14" ht="16">
      <c r="A59" s="59"/>
      <c r="B59" s="60"/>
      <c r="C59" s="59"/>
      <c r="D59" s="59" t="s">
        <v>19</v>
      </c>
      <c r="E59" s="59">
        <f t="shared" ref="E59:F59" si="53">SUM(E52:E58)</f>
        <v>2332</v>
      </c>
      <c r="F59" s="59">
        <f t="shared" si="53"/>
        <v>304</v>
      </c>
      <c r="G59" s="61">
        <f>AVERAGE(G52:G58)</f>
        <v>13.08643315173318</v>
      </c>
      <c r="H59" s="59"/>
      <c r="I59" s="62"/>
      <c r="J59" s="59">
        <f t="shared" ref="J59:K59" si="54">SUM(J52:J58)</f>
        <v>2226</v>
      </c>
      <c r="K59" s="59">
        <f t="shared" si="54"/>
        <v>304</v>
      </c>
      <c r="L59" s="61" t="e">
        <f>AVERAGE(L52:L58)</f>
        <v>#DIV/0!</v>
      </c>
      <c r="M59" s="64"/>
      <c r="N59" s="299">
        <f>SUM(N52:N58)</f>
        <v>5215870</v>
      </c>
    </row>
    <row r="60" spans="1:14" ht="16">
      <c r="A60" s="66">
        <v>45780</v>
      </c>
      <c r="B60" s="269" t="s">
        <v>20</v>
      </c>
      <c r="C60" s="83">
        <v>376063</v>
      </c>
      <c r="D60" s="39">
        <v>376744</v>
      </c>
      <c r="E60" s="36">
        <f t="shared" ref="E60:E66" si="55">D60-C60</f>
        <v>681</v>
      </c>
      <c r="F60" s="37">
        <v>85</v>
      </c>
      <c r="G60" s="13">
        <f t="shared" ref="G60:G66" si="56">(F60/E60)*100</f>
        <v>12.481644640234949</v>
      </c>
      <c r="H60" s="83">
        <v>14557</v>
      </c>
      <c r="I60" s="126">
        <v>15289</v>
      </c>
      <c r="J60" s="39">
        <f t="shared" ref="J60:J66" si="57">I60-H60</f>
        <v>732</v>
      </c>
      <c r="K60" s="39">
        <f t="shared" ref="K60:K66" si="58">F60</f>
        <v>85</v>
      </c>
      <c r="L60" s="136">
        <f t="shared" ref="L60:L66" si="59">(K60/J60)*100</f>
        <v>11.612021857923498</v>
      </c>
      <c r="M60" s="68">
        <v>17520</v>
      </c>
      <c r="N60" s="305">
        <f t="shared" ref="N60:N66" si="60">F60*M60</f>
        <v>1489200</v>
      </c>
    </row>
    <row r="61" spans="1:14" ht="16">
      <c r="A61" s="138">
        <v>45789</v>
      </c>
      <c r="B61" s="140" t="s">
        <v>20</v>
      </c>
      <c r="C61" s="83">
        <v>376744</v>
      </c>
      <c r="D61" s="83">
        <v>377445</v>
      </c>
      <c r="E61" s="11">
        <f t="shared" si="55"/>
        <v>701</v>
      </c>
      <c r="F61" s="141">
        <v>85</v>
      </c>
      <c r="G61" s="13">
        <f t="shared" si="56"/>
        <v>12.125534950071327</v>
      </c>
      <c r="H61" s="83">
        <v>15289</v>
      </c>
      <c r="I61" s="125"/>
      <c r="J61" s="83">
        <f t="shared" si="57"/>
        <v>-15289</v>
      </c>
      <c r="K61" s="39">
        <f t="shared" si="58"/>
        <v>85</v>
      </c>
      <c r="L61" s="136">
        <f t="shared" si="59"/>
        <v>-0.55595526195303813</v>
      </c>
      <c r="M61" s="116">
        <v>16800</v>
      </c>
      <c r="N61" s="296">
        <f t="shared" si="60"/>
        <v>1428000</v>
      </c>
    </row>
    <row r="62" spans="1:14" ht="16">
      <c r="A62" s="138">
        <v>45796</v>
      </c>
      <c r="B62" s="140" t="s">
        <v>20</v>
      </c>
      <c r="C62" s="83">
        <v>377445</v>
      </c>
      <c r="D62" s="83">
        <v>378234</v>
      </c>
      <c r="E62" s="11">
        <f t="shared" si="55"/>
        <v>789</v>
      </c>
      <c r="F62" s="141">
        <v>90</v>
      </c>
      <c r="G62" s="13">
        <f t="shared" si="56"/>
        <v>11.406844106463879</v>
      </c>
      <c r="H62" s="83"/>
      <c r="I62" s="125"/>
      <c r="J62" s="83">
        <f t="shared" si="57"/>
        <v>0</v>
      </c>
      <c r="K62" s="240">
        <f t="shared" si="58"/>
        <v>90</v>
      </c>
      <c r="L62" s="136" t="e">
        <f t="shared" si="59"/>
        <v>#DIV/0!</v>
      </c>
      <c r="M62" s="116">
        <v>17220</v>
      </c>
      <c r="N62" s="297">
        <f t="shared" si="60"/>
        <v>1549800</v>
      </c>
    </row>
    <row r="63" spans="1:14" ht="16">
      <c r="A63" s="138">
        <v>45804</v>
      </c>
      <c r="B63" s="140" t="s">
        <v>20</v>
      </c>
      <c r="C63" s="83">
        <v>378234</v>
      </c>
      <c r="D63" s="83">
        <v>379032</v>
      </c>
      <c r="E63" s="11">
        <f t="shared" si="55"/>
        <v>798</v>
      </c>
      <c r="F63" s="141">
        <v>95</v>
      </c>
      <c r="G63" s="13">
        <f t="shared" si="56"/>
        <v>11.904761904761903</v>
      </c>
      <c r="H63" s="83"/>
      <c r="I63" s="125"/>
      <c r="J63" s="83">
        <f t="shared" si="57"/>
        <v>0</v>
      </c>
      <c r="K63" s="83">
        <f t="shared" si="58"/>
        <v>95</v>
      </c>
      <c r="L63" s="136" t="e">
        <f t="shared" si="59"/>
        <v>#DIV/0!</v>
      </c>
      <c r="M63" s="116">
        <v>17400</v>
      </c>
      <c r="N63" s="300">
        <f t="shared" si="60"/>
        <v>1653000</v>
      </c>
    </row>
    <row r="64" spans="1:14" ht="16">
      <c r="A64" s="138">
        <v>45805</v>
      </c>
      <c r="B64" s="140" t="s">
        <v>20</v>
      </c>
      <c r="C64" s="83"/>
      <c r="D64" s="83"/>
      <c r="E64" s="11">
        <f t="shared" si="55"/>
        <v>0</v>
      </c>
      <c r="F64" s="141"/>
      <c r="G64" s="13" t="e">
        <f t="shared" si="56"/>
        <v>#DIV/0!</v>
      </c>
      <c r="H64" s="83"/>
      <c r="I64" s="125">
        <v>17454</v>
      </c>
      <c r="J64" s="83">
        <f t="shared" si="57"/>
        <v>17454</v>
      </c>
      <c r="K64" s="83">
        <f t="shared" si="58"/>
        <v>0</v>
      </c>
      <c r="L64" s="136">
        <f t="shared" si="59"/>
        <v>0</v>
      </c>
      <c r="M64" s="116"/>
      <c r="N64" s="300">
        <f t="shared" si="60"/>
        <v>0</v>
      </c>
    </row>
    <row r="65" spans="1:15" ht="16">
      <c r="A65" s="244"/>
      <c r="B65" s="90" t="s">
        <v>20</v>
      </c>
      <c r="C65" s="83"/>
      <c r="D65" s="83"/>
      <c r="E65" s="11">
        <f t="shared" si="55"/>
        <v>0</v>
      </c>
      <c r="F65" s="141"/>
      <c r="G65" s="13" t="e">
        <f t="shared" si="56"/>
        <v>#DIV/0!</v>
      </c>
      <c r="H65" s="83"/>
      <c r="I65" s="125"/>
      <c r="J65" s="83">
        <f t="shared" si="57"/>
        <v>0</v>
      </c>
      <c r="K65" s="83">
        <f t="shared" si="58"/>
        <v>0</v>
      </c>
      <c r="L65" s="136" t="e">
        <f t="shared" si="59"/>
        <v>#DIV/0!</v>
      </c>
      <c r="M65" s="116"/>
      <c r="N65" s="300">
        <f t="shared" si="60"/>
        <v>0</v>
      </c>
    </row>
    <row r="66" spans="1:15" ht="16">
      <c r="A66" s="271"/>
      <c r="B66" s="283"/>
      <c r="C66" s="134"/>
      <c r="D66" s="134"/>
      <c r="E66" s="24">
        <f t="shared" si="55"/>
        <v>0</v>
      </c>
      <c r="F66" s="143"/>
      <c r="G66" s="54" t="e">
        <f t="shared" si="56"/>
        <v>#DIV/0!</v>
      </c>
      <c r="H66" s="134"/>
      <c r="I66" s="135"/>
      <c r="J66" s="134">
        <f t="shared" si="57"/>
        <v>0</v>
      </c>
      <c r="K66" s="134">
        <f t="shared" si="58"/>
        <v>0</v>
      </c>
      <c r="L66" s="136" t="e">
        <f t="shared" si="59"/>
        <v>#DIV/0!</v>
      </c>
      <c r="M66" s="137"/>
      <c r="N66" s="298">
        <f t="shared" si="60"/>
        <v>0</v>
      </c>
    </row>
    <row r="67" spans="1:15" ht="16">
      <c r="A67" s="59"/>
      <c r="B67" s="60"/>
      <c r="C67" s="59"/>
      <c r="D67" s="59" t="s">
        <v>19</v>
      </c>
      <c r="E67" s="59">
        <f t="shared" ref="E67:F67" si="61">SUM(E60:E66)</f>
        <v>2969</v>
      </c>
      <c r="F67" s="59">
        <f t="shared" si="61"/>
        <v>355</v>
      </c>
      <c r="G67" s="61" t="e">
        <f>AVERAGE(G60:G66)</f>
        <v>#DIV/0!</v>
      </c>
      <c r="H67" s="59"/>
      <c r="I67" s="62"/>
      <c r="J67" s="59">
        <f t="shared" ref="J67:K67" si="62">SUM(J60:J66)</f>
        <v>2897</v>
      </c>
      <c r="K67" s="59">
        <f t="shared" si="62"/>
        <v>355</v>
      </c>
      <c r="L67" s="61" t="e">
        <f>AVERAGE(L60:L66)</f>
        <v>#DIV/0!</v>
      </c>
      <c r="M67" s="64"/>
      <c r="N67" s="299">
        <f>SUM(N60:N66)</f>
        <v>6120000</v>
      </c>
    </row>
    <row r="68" spans="1:15" ht="16">
      <c r="A68" s="85">
        <v>45784</v>
      </c>
      <c r="B68" s="269" t="s">
        <v>21</v>
      </c>
      <c r="C68" s="83">
        <v>358982</v>
      </c>
      <c r="D68" s="39">
        <v>359598</v>
      </c>
      <c r="E68" s="36">
        <f t="shared" ref="E68:E74" si="63">D68-C68</f>
        <v>616</v>
      </c>
      <c r="F68" s="37">
        <v>80</v>
      </c>
      <c r="G68" s="13">
        <f t="shared" ref="G68:G74" si="64">(F68/E68)*100</f>
        <v>12.987012987012985</v>
      </c>
      <c r="H68" s="125">
        <v>6638</v>
      </c>
      <c r="I68" s="125">
        <v>7385</v>
      </c>
      <c r="J68" s="39">
        <f t="shared" ref="J68:J74" si="65">I68-H68</f>
        <v>747</v>
      </c>
      <c r="K68" s="39">
        <f t="shared" ref="K68:K74" si="66">F68</f>
        <v>80</v>
      </c>
      <c r="L68" s="136">
        <f t="shared" ref="L68:L74" si="67">(K68/J68)*100</f>
        <v>10.7095046854083</v>
      </c>
      <c r="M68" s="68">
        <v>17350</v>
      </c>
      <c r="N68" s="294">
        <f t="shared" ref="N68:N74" si="68">F68*M68</f>
        <v>1388000</v>
      </c>
    </row>
    <row r="69" spans="1:15" ht="16">
      <c r="A69" s="138">
        <v>45791</v>
      </c>
      <c r="B69" s="140" t="s">
        <v>21</v>
      </c>
      <c r="C69" s="39">
        <v>359598</v>
      </c>
      <c r="D69" s="83">
        <v>360075</v>
      </c>
      <c r="E69" s="11">
        <f t="shared" si="63"/>
        <v>477</v>
      </c>
      <c r="F69" s="141">
        <v>75</v>
      </c>
      <c r="G69" s="13">
        <f t="shared" si="64"/>
        <v>15.723270440251572</v>
      </c>
      <c r="H69" s="83">
        <v>7385</v>
      </c>
      <c r="I69" s="125"/>
      <c r="J69" s="83">
        <f t="shared" si="65"/>
        <v>-7385</v>
      </c>
      <c r="K69" s="83">
        <f t="shared" si="66"/>
        <v>75</v>
      </c>
      <c r="L69" s="136">
        <f t="shared" si="67"/>
        <v>-1.0155721056194988</v>
      </c>
      <c r="M69" s="116">
        <v>16800</v>
      </c>
      <c r="N69" s="296">
        <f t="shared" si="68"/>
        <v>1260000</v>
      </c>
    </row>
    <row r="70" spans="1:15" ht="16">
      <c r="A70" s="138">
        <v>45798</v>
      </c>
      <c r="B70" s="140" t="s">
        <v>21</v>
      </c>
      <c r="C70" s="83">
        <v>360075</v>
      </c>
      <c r="D70" s="83">
        <v>360694</v>
      </c>
      <c r="E70" s="11">
        <f t="shared" si="63"/>
        <v>619</v>
      </c>
      <c r="F70" s="141">
        <v>75</v>
      </c>
      <c r="G70" s="13">
        <f t="shared" si="64"/>
        <v>12.116316639741518</v>
      </c>
      <c r="H70" s="83"/>
      <c r="I70" s="125"/>
      <c r="J70" s="83">
        <f t="shared" si="65"/>
        <v>0</v>
      </c>
      <c r="K70" s="83">
        <f t="shared" si="66"/>
        <v>75</v>
      </c>
      <c r="L70" s="136" t="e">
        <f t="shared" si="67"/>
        <v>#DIV/0!</v>
      </c>
      <c r="M70" s="116">
        <v>17220</v>
      </c>
      <c r="N70" s="296">
        <f t="shared" si="68"/>
        <v>1291500</v>
      </c>
    </row>
    <row r="71" spans="1:15" ht="16">
      <c r="A71" s="284">
        <v>45804</v>
      </c>
      <c r="B71" s="140" t="s">
        <v>21</v>
      </c>
      <c r="C71" s="83">
        <v>360694</v>
      </c>
      <c r="D71" s="83">
        <v>361159</v>
      </c>
      <c r="E71" s="11">
        <f t="shared" si="63"/>
        <v>465</v>
      </c>
      <c r="F71" s="141">
        <v>69</v>
      </c>
      <c r="G71" s="13">
        <f t="shared" si="64"/>
        <v>14.838709677419354</v>
      </c>
      <c r="H71" s="83"/>
      <c r="I71" s="125">
        <v>8715</v>
      </c>
      <c r="J71" s="83">
        <f t="shared" si="65"/>
        <v>8715</v>
      </c>
      <c r="K71" s="83">
        <f t="shared" si="66"/>
        <v>69</v>
      </c>
      <c r="L71" s="136">
        <f t="shared" si="67"/>
        <v>0.79173838209982783</v>
      </c>
      <c r="M71" s="116">
        <v>17400</v>
      </c>
      <c r="N71" s="306">
        <f t="shared" si="68"/>
        <v>1200600</v>
      </c>
    </row>
    <row r="72" spans="1:15" ht="16">
      <c r="A72" s="138"/>
      <c r="B72" s="140" t="s">
        <v>21</v>
      </c>
      <c r="C72" s="83"/>
      <c r="D72" s="83"/>
      <c r="E72" s="11">
        <f t="shared" si="63"/>
        <v>0</v>
      </c>
      <c r="F72" s="141"/>
      <c r="G72" s="13" t="e">
        <f t="shared" si="64"/>
        <v>#DIV/0!</v>
      </c>
      <c r="H72" s="83"/>
      <c r="I72" s="125"/>
      <c r="J72" s="83">
        <f t="shared" si="65"/>
        <v>0</v>
      </c>
      <c r="K72" s="83">
        <f t="shared" si="66"/>
        <v>0</v>
      </c>
      <c r="L72" s="136" t="e">
        <f t="shared" si="67"/>
        <v>#DIV/0!</v>
      </c>
      <c r="M72" s="116"/>
      <c r="N72" s="300">
        <f t="shared" si="68"/>
        <v>0</v>
      </c>
    </row>
    <row r="73" spans="1:15" ht="16">
      <c r="A73" s="139"/>
      <c r="B73" s="90" t="s">
        <v>37</v>
      </c>
      <c r="C73" s="83"/>
      <c r="D73" s="83"/>
      <c r="E73" s="11">
        <f t="shared" si="63"/>
        <v>0</v>
      </c>
      <c r="F73" s="141"/>
      <c r="G73" s="13" t="e">
        <f t="shared" si="64"/>
        <v>#DIV/0!</v>
      </c>
      <c r="H73" s="83"/>
      <c r="I73" s="125"/>
      <c r="J73" s="83">
        <f t="shared" si="65"/>
        <v>0</v>
      </c>
      <c r="K73" s="83">
        <f t="shared" si="66"/>
        <v>0</v>
      </c>
      <c r="L73" s="136" t="e">
        <f t="shared" si="67"/>
        <v>#DIV/0!</v>
      </c>
      <c r="M73" s="116"/>
      <c r="N73" s="300">
        <f t="shared" si="68"/>
        <v>0</v>
      </c>
    </row>
    <row r="74" spans="1:15" ht="16">
      <c r="A74" s="271"/>
      <c r="B74" s="283"/>
      <c r="C74" s="134"/>
      <c r="D74" s="134"/>
      <c r="E74" s="24">
        <f t="shared" si="63"/>
        <v>0</v>
      </c>
      <c r="F74" s="143"/>
      <c r="G74" s="54" t="e">
        <f t="shared" si="64"/>
        <v>#DIV/0!</v>
      </c>
      <c r="H74" s="134"/>
      <c r="I74" s="135"/>
      <c r="J74" s="134">
        <f t="shared" si="65"/>
        <v>0</v>
      </c>
      <c r="K74" s="134">
        <f t="shared" si="66"/>
        <v>0</v>
      </c>
      <c r="L74" s="136" t="e">
        <f t="shared" si="67"/>
        <v>#DIV/0!</v>
      </c>
      <c r="M74" s="137"/>
      <c r="N74" s="298">
        <f t="shared" si="68"/>
        <v>0</v>
      </c>
    </row>
    <row r="75" spans="1:15" ht="16">
      <c r="A75" s="59"/>
      <c r="B75" s="60"/>
      <c r="C75" s="59"/>
      <c r="D75" s="59" t="s">
        <v>19</v>
      </c>
      <c r="E75" s="59">
        <f t="shared" ref="E75:F75" si="69">SUM(E68:E74)</f>
        <v>2177</v>
      </c>
      <c r="F75" s="59">
        <f t="shared" si="69"/>
        <v>299</v>
      </c>
      <c r="G75" s="61" t="e">
        <f>AVERAGE(G68:G74)</f>
        <v>#DIV/0!</v>
      </c>
      <c r="H75" s="59"/>
      <c r="I75" s="62"/>
      <c r="J75" s="59">
        <f t="shared" ref="J75:K75" si="70">SUM(J68:J74)</f>
        <v>2077</v>
      </c>
      <c r="K75" s="59">
        <f t="shared" si="70"/>
        <v>299</v>
      </c>
      <c r="L75" s="61" t="e">
        <f>AVERAGE(L68:L74)</f>
        <v>#DIV/0!</v>
      </c>
      <c r="M75" s="64"/>
      <c r="N75" s="299">
        <f>SUM(N68:N74)</f>
        <v>5140100</v>
      </c>
    </row>
    <row r="76" spans="1:15" ht="16">
      <c r="A76" s="66">
        <v>45779</v>
      </c>
      <c r="B76" s="278" t="s">
        <v>98</v>
      </c>
      <c r="C76" s="83">
        <v>70032</v>
      </c>
      <c r="D76" s="39">
        <v>75187</v>
      </c>
      <c r="E76" s="36">
        <f t="shared" ref="E76:E82" si="71">D76-C76</f>
        <v>5155</v>
      </c>
      <c r="F76" s="37">
        <v>68</v>
      </c>
      <c r="G76" s="13">
        <f t="shared" ref="G76:G82" si="72">(F76/E76)*100</f>
        <v>1.3191076624636275</v>
      </c>
      <c r="H76" s="83">
        <v>7694</v>
      </c>
      <c r="I76" s="126">
        <v>8281</v>
      </c>
      <c r="J76" s="39">
        <f t="shared" ref="J76:J82" si="73">I76-H76</f>
        <v>587</v>
      </c>
      <c r="K76" s="39">
        <f t="shared" ref="K76:K82" si="74">F76</f>
        <v>68</v>
      </c>
      <c r="L76" s="136">
        <f t="shared" ref="L76:L82" si="75">(K76/J76)*100</f>
        <v>11.584327086882453</v>
      </c>
      <c r="M76" s="68">
        <v>17520</v>
      </c>
      <c r="N76" s="294">
        <f t="shared" ref="N76:N82" si="76">F76*M76</f>
        <v>1191360</v>
      </c>
      <c r="O76" s="76">
        <v>11941000</v>
      </c>
    </row>
    <row r="77" spans="1:15" ht="16">
      <c r="A77" s="138">
        <v>45785</v>
      </c>
      <c r="B77" s="140" t="s">
        <v>98</v>
      </c>
      <c r="C77" s="83">
        <v>75187</v>
      </c>
      <c r="D77" s="83">
        <v>81024</v>
      </c>
      <c r="E77" s="11">
        <f t="shared" si="71"/>
        <v>5837</v>
      </c>
      <c r="F77" s="141">
        <v>77</v>
      </c>
      <c r="G77" s="13">
        <f t="shared" si="72"/>
        <v>1.3191708069213637</v>
      </c>
      <c r="H77" s="126">
        <v>8281</v>
      </c>
      <c r="I77" s="126">
        <v>8870</v>
      </c>
      <c r="J77" s="83">
        <f t="shared" si="73"/>
        <v>589</v>
      </c>
      <c r="K77" s="83">
        <f t="shared" si="74"/>
        <v>77</v>
      </c>
      <c r="L77" s="136">
        <f t="shared" si="75"/>
        <v>13.073005093378608</v>
      </c>
      <c r="M77" s="116">
        <v>16800</v>
      </c>
      <c r="N77" s="296">
        <f t="shared" si="76"/>
        <v>1293600</v>
      </c>
      <c r="O77" s="76">
        <v>1293000</v>
      </c>
    </row>
    <row r="78" spans="1:15" ht="16">
      <c r="A78" s="139">
        <v>45791</v>
      </c>
      <c r="B78" s="140" t="s">
        <v>98</v>
      </c>
      <c r="C78" s="83">
        <v>8102</v>
      </c>
      <c r="D78" s="83">
        <v>8666</v>
      </c>
      <c r="E78" s="11">
        <f t="shared" si="71"/>
        <v>564</v>
      </c>
      <c r="F78" s="141">
        <v>71</v>
      </c>
      <c r="G78" s="13">
        <f t="shared" si="72"/>
        <v>12.588652482269502</v>
      </c>
      <c r="H78" s="83">
        <v>8870</v>
      </c>
      <c r="I78" s="125"/>
      <c r="J78" s="83">
        <f t="shared" si="73"/>
        <v>-8870</v>
      </c>
      <c r="K78" s="83">
        <f t="shared" si="74"/>
        <v>71</v>
      </c>
      <c r="L78" s="136">
        <f t="shared" si="75"/>
        <v>-0.80045095828635859</v>
      </c>
      <c r="M78" s="116">
        <v>16800</v>
      </c>
      <c r="N78" s="297">
        <f t="shared" si="76"/>
        <v>1192800</v>
      </c>
      <c r="O78" s="76">
        <v>1192000</v>
      </c>
    </row>
    <row r="79" spans="1:15" ht="16">
      <c r="A79" s="138">
        <v>45796</v>
      </c>
      <c r="B79" s="140" t="s">
        <v>98</v>
      </c>
      <c r="C79" s="83">
        <v>8666</v>
      </c>
      <c r="D79" s="83">
        <v>9230</v>
      </c>
      <c r="E79" s="11">
        <f t="shared" si="71"/>
        <v>564</v>
      </c>
      <c r="F79" s="141">
        <v>66</v>
      </c>
      <c r="G79" s="13">
        <f t="shared" si="72"/>
        <v>11.702127659574469</v>
      </c>
      <c r="H79" s="83"/>
      <c r="I79" s="125"/>
      <c r="J79" s="83">
        <f t="shared" si="73"/>
        <v>0</v>
      </c>
      <c r="K79" s="83">
        <f t="shared" si="74"/>
        <v>66</v>
      </c>
      <c r="L79" s="136" t="e">
        <f t="shared" si="75"/>
        <v>#DIV/0!</v>
      </c>
      <c r="M79" s="116">
        <v>17220</v>
      </c>
      <c r="N79" s="297">
        <f t="shared" si="76"/>
        <v>1136520</v>
      </c>
      <c r="O79" s="76">
        <v>1136000</v>
      </c>
    </row>
    <row r="80" spans="1:15" ht="16">
      <c r="A80" s="138">
        <v>45800</v>
      </c>
      <c r="B80" s="140" t="s">
        <v>98</v>
      </c>
      <c r="C80" s="83">
        <v>9230</v>
      </c>
      <c r="D80" s="83">
        <v>9793</v>
      </c>
      <c r="E80" s="11">
        <f t="shared" si="71"/>
        <v>563</v>
      </c>
      <c r="F80" s="141">
        <v>69</v>
      </c>
      <c r="G80" s="13">
        <f t="shared" si="72"/>
        <v>12.255772646536411</v>
      </c>
      <c r="H80" s="83"/>
      <c r="I80" s="125"/>
      <c r="J80" s="83">
        <f t="shared" si="73"/>
        <v>0</v>
      </c>
      <c r="K80" s="83">
        <f t="shared" si="74"/>
        <v>69</v>
      </c>
      <c r="L80" s="136" t="e">
        <f t="shared" si="75"/>
        <v>#DIV/0!</v>
      </c>
      <c r="M80" s="116">
        <v>17400</v>
      </c>
      <c r="N80" s="297">
        <f t="shared" si="76"/>
        <v>1200600</v>
      </c>
      <c r="O80" s="76">
        <v>1200000</v>
      </c>
    </row>
    <row r="81" spans="1:26" ht="16">
      <c r="A81" s="133">
        <v>45805</v>
      </c>
      <c r="B81" s="140" t="s">
        <v>98</v>
      </c>
      <c r="C81" s="83">
        <v>9793</v>
      </c>
      <c r="D81" s="83">
        <v>9820</v>
      </c>
      <c r="E81" s="11">
        <f t="shared" si="71"/>
        <v>27</v>
      </c>
      <c r="F81" s="141">
        <v>79</v>
      </c>
      <c r="G81" s="13">
        <f t="shared" si="72"/>
        <v>292.59259259259261</v>
      </c>
      <c r="H81" s="83"/>
      <c r="I81" s="125"/>
      <c r="J81" s="83">
        <f t="shared" si="73"/>
        <v>0</v>
      </c>
      <c r="K81" s="83">
        <f t="shared" si="74"/>
        <v>79</v>
      </c>
      <c r="L81" s="136" t="e">
        <f t="shared" si="75"/>
        <v>#DIV/0!</v>
      </c>
      <c r="M81" s="116">
        <v>17400</v>
      </c>
      <c r="N81" s="300">
        <f t="shared" si="76"/>
        <v>1374600</v>
      </c>
      <c r="O81" s="76">
        <v>1374000</v>
      </c>
    </row>
    <row r="82" spans="1:26" ht="16">
      <c r="A82" s="133"/>
      <c r="B82" s="272"/>
      <c r="C82" s="134"/>
      <c r="D82" s="134"/>
      <c r="E82" s="24">
        <f t="shared" si="71"/>
        <v>0</v>
      </c>
      <c r="F82" s="143"/>
      <c r="G82" s="54" t="e">
        <f t="shared" si="72"/>
        <v>#DIV/0!</v>
      </c>
      <c r="H82" s="134"/>
      <c r="I82" s="135">
        <v>10712</v>
      </c>
      <c r="J82" s="134">
        <f t="shared" si="73"/>
        <v>10712</v>
      </c>
      <c r="K82" s="134">
        <f t="shared" si="74"/>
        <v>0</v>
      </c>
      <c r="L82" s="136">
        <f t="shared" si="75"/>
        <v>0</v>
      </c>
      <c r="M82" s="137"/>
      <c r="N82" s="298">
        <f t="shared" si="76"/>
        <v>0</v>
      </c>
    </row>
    <row r="83" spans="1:26" ht="16">
      <c r="A83" s="59"/>
      <c r="B83" s="60"/>
      <c r="C83" s="59"/>
      <c r="D83" s="59" t="s">
        <v>19</v>
      </c>
      <c r="E83" s="59">
        <f t="shared" ref="E83:F83" si="77">SUM(E76:E82)</f>
        <v>12710</v>
      </c>
      <c r="F83" s="59">
        <f t="shared" si="77"/>
        <v>430</v>
      </c>
      <c r="G83" s="61" t="e">
        <f>AVERAGE(G76:G82)</f>
        <v>#DIV/0!</v>
      </c>
      <c r="H83" s="59"/>
      <c r="I83" s="62"/>
      <c r="J83" s="59">
        <f t="shared" ref="J83:K83" si="78">SUM(J76:J82)</f>
        <v>3018</v>
      </c>
      <c r="K83" s="59">
        <f t="shared" si="78"/>
        <v>430</v>
      </c>
      <c r="L83" s="61" t="e">
        <f>AVERAGE(L76:L82)</f>
        <v>#DIV/0!</v>
      </c>
      <c r="M83" s="64"/>
      <c r="N83" s="299">
        <f>SUM(N76:N82)</f>
        <v>7389480</v>
      </c>
    </row>
    <row r="84" spans="1:26" ht="16">
      <c r="A84" s="89">
        <v>45783</v>
      </c>
      <c r="B84" s="140" t="s">
        <v>38</v>
      </c>
      <c r="C84" s="39">
        <v>146969</v>
      </c>
      <c r="D84" s="39">
        <v>147611</v>
      </c>
      <c r="E84" s="36">
        <f t="shared" ref="E84:E89" si="79">D84-C84</f>
        <v>642</v>
      </c>
      <c r="F84" s="37">
        <v>81</v>
      </c>
      <c r="G84" s="13">
        <f t="shared" ref="G84:G89" si="80">(F84/E84)*100</f>
        <v>12.616822429906541</v>
      </c>
      <c r="H84" s="125">
        <v>6680</v>
      </c>
      <c r="I84" s="126"/>
      <c r="J84" s="39">
        <f t="shared" ref="J84:J87" si="81">I84-H84</f>
        <v>-6680</v>
      </c>
      <c r="K84" s="39">
        <f t="shared" ref="K84:K89" si="82">F84</f>
        <v>81</v>
      </c>
      <c r="L84" s="136">
        <f t="shared" ref="L84:L89" si="83">(K84/J84)*100</f>
        <v>-1.2125748502994012</v>
      </c>
      <c r="M84" s="68">
        <v>17350</v>
      </c>
      <c r="N84" s="294">
        <f t="shared" ref="N84:N89" si="84">F84*M84</f>
        <v>1405350</v>
      </c>
    </row>
    <row r="85" spans="1:26" ht="16">
      <c r="A85" s="139">
        <v>45790</v>
      </c>
      <c r="B85" s="140" t="s">
        <v>38</v>
      </c>
      <c r="C85" s="83">
        <v>147611</v>
      </c>
      <c r="D85" s="83">
        <v>148256</v>
      </c>
      <c r="E85" s="36">
        <f t="shared" si="79"/>
        <v>645</v>
      </c>
      <c r="F85" s="141">
        <v>80</v>
      </c>
      <c r="G85" s="13">
        <f t="shared" si="80"/>
        <v>12.403100775193799</v>
      </c>
      <c r="H85" s="83"/>
      <c r="I85" s="125"/>
      <c r="J85" s="83">
        <f t="shared" si="81"/>
        <v>0</v>
      </c>
      <c r="K85" s="83">
        <f t="shared" si="82"/>
        <v>80</v>
      </c>
      <c r="L85" s="136" t="e">
        <f t="shared" si="83"/>
        <v>#DIV/0!</v>
      </c>
      <c r="M85" s="116">
        <v>16800</v>
      </c>
      <c r="N85" s="294">
        <f t="shared" si="84"/>
        <v>1344000</v>
      </c>
    </row>
    <row r="86" spans="1:26" ht="16">
      <c r="A86" s="139">
        <v>45796</v>
      </c>
      <c r="B86" s="272" t="s">
        <v>38</v>
      </c>
      <c r="C86" s="83">
        <v>148256</v>
      </c>
      <c r="D86" s="83">
        <v>148903</v>
      </c>
      <c r="E86" s="36">
        <f t="shared" si="79"/>
        <v>647</v>
      </c>
      <c r="F86" s="141">
        <v>78</v>
      </c>
      <c r="G86" s="13">
        <f t="shared" si="80"/>
        <v>12.055641421947449</v>
      </c>
      <c r="H86" s="83"/>
      <c r="I86" s="125"/>
      <c r="J86" s="83">
        <f t="shared" si="81"/>
        <v>0</v>
      </c>
      <c r="K86" s="83">
        <f t="shared" si="82"/>
        <v>78</v>
      </c>
      <c r="L86" s="136" t="e">
        <f t="shared" si="83"/>
        <v>#DIV/0!</v>
      </c>
      <c r="M86" s="116">
        <v>17220</v>
      </c>
      <c r="N86" s="307">
        <f t="shared" si="84"/>
        <v>1343160</v>
      </c>
    </row>
    <row r="87" spans="1:26" ht="16">
      <c r="A87" s="7">
        <v>45801</v>
      </c>
      <c r="B87" s="140" t="s">
        <v>38</v>
      </c>
      <c r="C87" s="12">
        <v>148903</v>
      </c>
      <c r="D87" s="95">
        <v>149559</v>
      </c>
      <c r="E87" s="36">
        <f t="shared" si="79"/>
        <v>656</v>
      </c>
      <c r="F87" s="141">
        <v>80</v>
      </c>
      <c r="G87" s="13">
        <f t="shared" si="80"/>
        <v>12.195121951219512</v>
      </c>
      <c r="H87" s="83"/>
      <c r="I87" s="125"/>
      <c r="J87" s="83">
        <f t="shared" si="81"/>
        <v>0</v>
      </c>
      <c r="K87" s="83">
        <f t="shared" si="82"/>
        <v>80</v>
      </c>
      <c r="L87" s="136" t="e">
        <f t="shared" si="83"/>
        <v>#DIV/0!</v>
      </c>
      <c r="M87" s="116">
        <v>17400</v>
      </c>
      <c r="N87" s="307">
        <f t="shared" si="84"/>
        <v>1392000</v>
      </c>
    </row>
    <row r="88" spans="1:26" ht="16">
      <c r="A88" s="7"/>
      <c r="B88" s="8"/>
      <c r="C88" s="12"/>
      <c r="D88" s="12"/>
      <c r="E88" s="36">
        <f t="shared" si="79"/>
        <v>0</v>
      </c>
      <c r="F88" s="141"/>
      <c r="G88" s="13" t="e">
        <f t="shared" si="80"/>
        <v>#DIV/0!</v>
      </c>
      <c r="H88" s="125"/>
      <c r="I88" s="125">
        <v>9994</v>
      </c>
      <c r="J88" s="83"/>
      <c r="K88" s="83">
        <f t="shared" si="82"/>
        <v>0</v>
      </c>
      <c r="L88" s="136" t="e">
        <f t="shared" si="83"/>
        <v>#DIV/0!</v>
      </c>
      <c r="M88" s="116"/>
      <c r="N88" s="308">
        <f t="shared" si="84"/>
        <v>0</v>
      </c>
    </row>
    <row r="89" spans="1:26" ht="16">
      <c r="A89" s="138"/>
      <c r="B89" s="283"/>
      <c r="C89" s="83"/>
      <c r="D89" s="83"/>
      <c r="E89" s="36">
        <f t="shared" si="79"/>
        <v>0</v>
      </c>
      <c r="F89" s="141"/>
      <c r="G89" s="13" t="e">
        <f t="shared" si="80"/>
        <v>#DIV/0!</v>
      </c>
      <c r="H89" s="83"/>
      <c r="I89" s="125"/>
      <c r="J89" s="83"/>
      <c r="K89" s="83">
        <f t="shared" si="82"/>
        <v>0</v>
      </c>
      <c r="L89" s="309" t="e">
        <f t="shared" si="83"/>
        <v>#DIV/0!</v>
      </c>
      <c r="M89" s="116"/>
      <c r="N89" s="308">
        <f t="shared" si="84"/>
        <v>0</v>
      </c>
    </row>
    <row r="90" spans="1:26" ht="16">
      <c r="A90" s="310"/>
      <c r="B90" s="332"/>
      <c r="C90" s="311"/>
      <c r="D90" s="312" t="s">
        <v>19</v>
      </c>
      <c r="E90" s="313">
        <f t="shared" ref="E90:F90" si="85">SUM(E84:E89)</f>
        <v>2590</v>
      </c>
      <c r="F90" s="313">
        <f t="shared" si="85"/>
        <v>319</v>
      </c>
      <c r="G90" s="314" t="e">
        <f>AVERAGE(G84:G89)</f>
        <v>#DIV/0!</v>
      </c>
      <c r="H90" s="311"/>
      <c r="I90" s="315"/>
      <c r="J90" s="312">
        <f t="shared" ref="J90:K90" si="86">SUM(J84:J89)</f>
        <v>-6680</v>
      </c>
      <c r="K90" s="312">
        <f t="shared" si="86"/>
        <v>319</v>
      </c>
      <c r="L90" s="316" t="e">
        <f>AVERAGE(L84:L89)</f>
        <v>#DIV/0!</v>
      </c>
      <c r="M90" s="317"/>
      <c r="N90" s="318">
        <f>SUM(N84:N89)</f>
        <v>5484510</v>
      </c>
    </row>
    <row r="91" spans="1:26" ht="16">
      <c r="A91" s="112">
        <v>45779</v>
      </c>
      <c r="B91" s="283" t="s">
        <v>39</v>
      </c>
      <c r="C91" s="83">
        <v>97177</v>
      </c>
      <c r="D91" s="83">
        <v>97840</v>
      </c>
      <c r="E91" s="36">
        <f t="shared" ref="E91:E97" si="87">D91-C91</f>
        <v>663</v>
      </c>
      <c r="F91" s="141">
        <v>80</v>
      </c>
      <c r="G91" s="114">
        <f t="shared" ref="G91:G97" si="88">(F91/E91)*100</f>
        <v>12.066365007541478</v>
      </c>
      <c r="H91" s="125">
        <v>8616</v>
      </c>
      <c r="I91" s="125"/>
      <c r="J91" s="83">
        <f t="shared" ref="J91:J97" si="89">I91-H91</f>
        <v>-8616</v>
      </c>
      <c r="K91" s="83">
        <f t="shared" ref="K91:K97" si="90">F91</f>
        <v>80</v>
      </c>
      <c r="L91" s="290">
        <f t="shared" ref="L91:L97" si="91">(K91/J91)*100</f>
        <v>-0.92850510677808717</v>
      </c>
      <c r="M91" s="116">
        <v>17520</v>
      </c>
      <c r="N91" s="319">
        <f>M91*K91</f>
        <v>1401600</v>
      </c>
      <c r="O91" s="76">
        <v>1401600</v>
      </c>
    </row>
    <row r="92" spans="1:26" ht="16">
      <c r="A92" s="7">
        <v>45789</v>
      </c>
      <c r="B92" s="283" t="s">
        <v>39</v>
      </c>
      <c r="C92" s="12">
        <v>97840</v>
      </c>
      <c r="D92" s="12">
        <v>98472</v>
      </c>
      <c r="E92" s="11">
        <f t="shared" si="87"/>
        <v>632</v>
      </c>
      <c r="F92" s="12">
        <v>77</v>
      </c>
      <c r="G92" s="13">
        <f t="shared" si="88"/>
        <v>12.183544303797468</v>
      </c>
      <c r="H92" s="12"/>
      <c r="I92" s="15"/>
      <c r="J92" s="83">
        <f t="shared" si="89"/>
        <v>0</v>
      </c>
      <c r="K92" s="83">
        <f t="shared" si="90"/>
        <v>77</v>
      </c>
      <c r="L92" s="290" t="e">
        <f t="shared" si="91"/>
        <v>#DIV/0!</v>
      </c>
      <c r="M92" s="17">
        <v>16800</v>
      </c>
      <c r="N92" s="320">
        <f t="shared" ref="N92:N97" si="92">F92*M92</f>
        <v>1293600</v>
      </c>
      <c r="O92" s="76">
        <v>1293600</v>
      </c>
      <c r="S92" s="229"/>
      <c r="T92" s="229"/>
      <c r="U92" s="229"/>
      <c r="V92" s="229"/>
      <c r="W92" s="229"/>
      <c r="X92" s="229"/>
      <c r="Y92" s="229"/>
      <c r="Z92" s="229"/>
    </row>
    <row r="93" spans="1:26" ht="16">
      <c r="A93" s="138">
        <v>45797</v>
      </c>
      <c r="B93" s="283" t="s">
        <v>39</v>
      </c>
      <c r="C93" s="83">
        <v>98472</v>
      </c>
      <c r="D93" s="83">
        <v>99219</v>
      </c>
      <c r="E93" s="11">
        <f t="shared" si="87"/>
        <v>747</v>
      </c>
      <c r="F93" s="141">
        <v>86</v>
      </c>
      <c r="G93" s="13">
        <f t="shared" si="88"/>
        <v>11.512717536813923</v>
      </c>
      <c r="H93" s="83"/>
      <c r="I93" s="125"/>
      <c r="J93" s="83">
        <f t="shared" si="89"/>
        <v>0</v>
      </c>
      <c r="K93" s="83">
        <f t="shared" si="90"/>
        <v>86</v>
      </c>
      <c r="L93" s="290" t="e">
        <f t="shared" si="91"/>
        <v>#DIV/0!</v>
      </c>
      <c r="M93" s="116">
        <v>17220</v>
      </c>
      <c r="N93" s="320">
        <f t="shared" si="92"/>
        <v>1480920</v>
      </c>
      <c r="O93" s="76">
        <v>1480920</v>
      </c>
      <c r="P93" s="78"/>
    </row>
    <row r="94" spans="1:26" ht="16">
      <c r="A94" s="138">
        <v>45805</v>
      </c>
      <c r="B94" s="283" t="s">
        <v>39</v>
      </c>
      <c r="C94" s="83">
        <v>99219</v>
      </c>
      <c r="D94" s="83">
        <v>99989</v>
      </c>
      <c r="E94" s="11">
        <f t="shared" si="87"/>
        <v>770</v>
      </c>
      <c r="F94" s="141">
        <v>85</v>
      </c>
      <c r="G94" s="13">
        <f t="shared" si="88"/>
        <v>11.038961038961039</v>
      </c>
      <c r="H94" s="83"/>
      <c r="I94" s="125"/>
      <c r="J94" s="83">
        <f t="shared" si="89"/>
        <v>0</v>
      </c>
      <c r="K94" s="83">
        <f t="shared" si="90"/>
        <v>85</v>
      </c>
      <c r="L94" s="136" t="e">
        <f t="shared" si="91"/>
        <v>#DIV/0!</v>
      </c>
      <c r="M94" s="116">
        <v>17400</v>
      </c>
      <c r="N94" s="297">
        <f t="shared" si="92"/>
        <v>1479000</v>
      </c>
      <c r="O94" s="76">
        <v>1479000</v>
      </c>
    </row>
    <row r="95" spans="1:26" ht="16">
      <c r="A95" s="138"/>
      <c r="B95" s="140"/>
      <c r="C95" s="83"/>
      <c r="D95" s="83"/>
      <c r="E95" s="11">
        <f t="shared" si="87"/>
        <v>0</v>
      </c>
      <c r="F95" s="141"/>
      <c r="G95" s="13" t="e">
        <f t="shared" si="88"/>
        <v>#DIV/0!</v>
      </c>
      <c r="H95" s="83"/>
      <c r="I95" s="125"/>
      <c r="J95" s="83">
        <f t="shared" si="89"/>
        <v>0</v>
      </c>
      <c r="K95" s="83">
        <f t="shared" si="90"/>
        <v>0</v>
      </c>
      <c r="L95" s="136" t="e">
        <f t="shared" si="91"/>
        <v>#DIV/0!</v>
      </c>
      <c r="M95" s="116"/>
      <c r="N95" s="300">
        <f t="shared" si="92"/>
        <v>0</v>
      </c>
    </row>
    <row r="96" spans="1:26" ht="16">
      <c r="A96" s="244"/>
      <c r="B96" s="90"/>
      <c r="C96" s="83"/>
      <c r="D96" s="83"/>
      <c r="E96" s="11">
        <f t="shared" si="87"/>
        <v>0</v>
      </c>
      <c r="F96" s="141"/>
      <c r="G96" s="13" t="e">
        <f t="shared" si="88"/>
        <v>#DIV/0!</v>
      </c>
      <c r="H96" s="83"/>
      <c r="I96" s="125"/>
      <c r="J96" s="83">
        <f t="shared" si="89"/>
        <v>0</v>
      </c>
      <c r="K96" s="83">
        <f t="shared" si="90"/>
        <v>0</v>
      </c>
      <c r="L96" s="136" t="e">
        <f t="shared" si="91"/>
        <v>#DIV/0!</v>
      </c>
      <c r="M96" s="116"/>
      <c r="N96" s="300">
        <f t="shared" si="92"/>
        <v>0</v>
      </c>
    </row>
    <row r="97" spans="1:14" ht="16">
      <c r="A97" s="271"/>
      <c r="B97" s="283"/>
      <c r="C97" s="134"/>
      <c r="D97" s="134"/>
      <c r="E97" s="24">
        <f t="shared" si="87"/>
        <v>0</v>
      </c>
      <c r="F97" s="143"/>
      <c r="G97" s="54" t="e">
        <f t="shared" si="88"/>
        <v>#DIV/0!</v>
      </c>
      <c r="H97" s="134"/>
      <c r="I97" s="135"/>
      <c r="J97" s="134">
        <f t="shared" si="89"/>
        <v>0</v>
      </c>
      <c r="K97" s="134">
        <f t="shared" si="90"/>
        <v>0</v>
      </c>
      <c r="L97" s="136" t="e">
        <f t="shared" si="91"/>
        <v>#DIV/0!</v>
      </c>
      <c r="M97" s="137"/>
      <c r="N97" s="298">
        <f t="shared" si="92"/>
        <v>0</v>
      </c>
    </row>
    <row r="98" spans="1:14" ht="16">
      <c r="A98" s="59"/>
      <c r="B98" s="60"/>
      <c r="C98" s="59"/>
      <c r="D98" s="59" t="s">
        <v>19</v>
      </c>
      <c r="E98" s="59">
        <f t="shared" ref="E98:F98" si="93">SUM(E84:E97)</f>
        <v>7992</v>
      </c>
      <c r="F98" s="59">
        <f t="shared" si="93"/>
        <v>966</v>
      </c>
      <c r="G98" s="61" t="e">
        <f>AVERAGE(G84:G97)</f>
        <v>#DIV/0!</v>
      </c>
      <c r="H98" s="59"/>
      <c r="I98" s="62"/>
      <c r="J98" s="59">
        <f t="shared" ref="J98:K98" si="94">SUM(J84:J97)</f>
        <v>-21976</v>
      </c>
      <c r="K98" s="59">
        <f t="shared" si="94"/>
        <v>966</v>
      </c>
      <c r="L98" s="61" t="e">
        <f>AVERAGE(L84:L97)</f>
        <v>#DIV/0!</v>
      </c>
      <c r="M98" s="64"/>
      <c r="N98" s="299">
        <f>SUM(N91:N97)</f>
        <v>5655120</v>
      </c>
    </row>
    <row r="99" spans="1:14" ht="16">
      <c r="A99" s="66">
        <v>45782</v>
      </c>
      <c r="B99" s="140" t="s">
        <v>40</v>
      </c>
      <c r="C99" s="83">
        <v>92115</v>
      </c>
      <c r="D99" s="12">
        <v>92689</v>
      </c>
      <c r="E99" s="36">
        <f t="shared" ref="E99:E105" si="95">D99-C99</f>
        <v>574</v>
      </c>
      <c r="F99" s="37">
        <v>65</v>
      </c>
      <c r="G99" s="13">
        <f t="shared" ref="G99:G105" si="96">(F99/E99)*100</f>
        <v>11.324041811846691</v>
      </c>
      <c r="H99" s="83">
        <v>91295</v>
      </c>
      <c r="I99" s="126"/>
      <c r="J99" s="39">
        <f t="shared" ref="J99:J105" si="97">I99-H99</f>
        <v>-91295</v>
      </c>
      <c r="K99" s="39">
        <v>65</v>
      </c>
      <c r="L99" s="136">
        <f t="shared" ref="L99:L105" si="98">(K99/J99)*100</f>
        <v>-7.1197765485514E-2</v>
      </c>
      <c r="M99" s="68">
        <v>17350</v>
      </c>
      <c r="N99" s="294">
        <f t="shared" ref="N99:N105" si="99">F99*M99</f>
        <v>1127750</v>
      </c>
    </row>
    <row r="100" spans="1:14" ht="16">
      <c r="A100" s="138">
        <v>45789</v>
      </c>
      <c r="B100" s="140" t="s">
        <v>40</v>
      </c>
      <c r="C100" s="83">
        <v>92689</v>
      </c>
      <c r="D100" s="83">
        <v>93295</v>
      </c>
      <c r="E100" s="11">
        <f t="shared" si="95"/>
        <v>606</v>
      </c>
      <c r="F100" s="141">
        <v>69</v>
      </c>
      <c r="G100" s="13">
        <f t="shared" si="96"/>
        <v>11.386138613861387</v>
      </c>
      <c r="H100" s="83"/>
      <c r="I100" s="125"/>
      <c r="J100" s="83">
        <f t="shared" si="97"/>
        <v>0</v>
      </c>
      <c r="K100" s="83"/>
      <c r="L100" s="136" t="e">
        <f t="shared" si="98"/>
        <v>#DIV/0!</v>
      </c>
      <c r="M100" s="116">
        <v>16800</v>
      </c>
      <c r="N100" s="296">
        <f t="shared" si="99"/>
        <v>1159200</v>
      </c>
    </row>
    <row r="101" spans="1:14" ht="16">
      <c r="A101" s="138">
        <v>45793</v>
      </c>
      <c r="B101" s="140" t="s">
        <v>40</v>
      </c>
      <c r="C101" s="83">
        <v>93295</v>
      </c>
      <c r="D101" s="83">
        <v>93899</v>
      </c>
      <c r="E101" s="11">
        <f t="shared" si="95"/>
        <v>604</v>
      </c>
      <c r="F101" s="141">
        <v>67</v>
      </c>
      <c r="G101" s="13">
        <f t="shared" si="96"/>
        <v>11.092715231788079</v>
      </c>
      <c r="H101" s="83"/>
      <c r="I101" s="125"/>
      <c r="J101" s="83">
        <f t="shared" si="97"/>
        <v>0</v>
      </c>
      <c r="K101" s="83"/>
      <c r="L101" s="136" t="e">
        <f t="shared" si="98"/>
        <v>#DIV/0!</v>
      </c>
      <c r="M101" s="116">
        <v>17220</v>
      </c>
      <c r="N101" s="297">
        <f t="shared" si="99"/>
        <v>1153740</v>
      </c>
    </row>
    <row r="102" spans="1:14" ht="16">
      <c r="A102" s="138">
        <v>45799</v>
      </c>
      <c r="B102" s="140" t="s">
        <v>40</v>
      </c>
      <c r="C102" s="83">
        <v>93899</v>
      </c>
      <c r="D102" s="83">
        <v>94557</v>
      </c>
      <c r="E102" s="11">
        <f t="shared" si="95"/>
        <v>658</v>
      </c>
      <c r="F102" s="141">
        <v>76</v>
      </c>
      <c r="G102" s="13">
        <f t="shared" si="96"/>
        <v>11.550151975683891</v>
      </c>
      <c r="H102" s="83"/>
      <c r="I102" s="125"/>
      <c r="J102" s="83">
        <f t="shared" si="97"/>
        <v>0</v>
      </c>
      <c r="K102" s="83"/>
      <c r="L102" s="136" t="e">
        <f t="shared" si="98"/>
        <v>#DIV/0!</v>
      </c>
      <c r="M102" s="116">
        <v>17400</v>
      </c>
      <c r="N102" s="297">
        <f t="shared" si="99"/>
        <v>1322400</v>
      </c>
    </row>
    <row r="103" spans="1:14" ht="16">
      <c r="A103" s="138">
        <v>45805</v>
      </c>
      <c r="B103" s="140" t="s">
        <v>40</v>
      </c>
      <c r="C103" s="83">
        <v>94557</v>
      </c>
      <c r="D103" s="83">
        <v>95136</v>
      </c>
      <c r="E103" s="11">
        <f t="shared" si="95"/>
        <v>579</v>
      </c>
      <c r="F103" s="141">
        <v>67</v>
      </c>
      <c r="G103" s="13">
        <f t="shared" si="96"/>
        <v>11.57167530224525</v>
      </c>
      <c r="H103" s="83"/>
      <c r="I103" s="125">
        <v>94684</v>
      </c>
      <c r="J103" s="83">
        <f t="shared" si="97"/>
        <v>94684</v>
      </c>
      <c r="K103" s="83"/>
      <c r="L103" s="136">
        <f t="shared" si="98"/>
        <v>0</v>
      </c>
      <c r="M103" s="116">
        <v>17400</v>
      </c>
      <c r="N103" s="297">
        <f t="shared" si="99"/>
        <v>1165800</v>
      </c>
    </row>
    <row r="104" spans="1:14" ht="16">
      <c r="A104" s="292"/>
      <c r="B104" s="113"/>
      <c r="C104" s="83"/>
      <c r="D104" s="83"/>
      <c r="E104" s="11">
        <f t="shared" si="95"/>
        <v>0</v>
      </c>
      <c r="F104" s="141"/>
      <c r="G104" s="13" t="e">
        <f t="shared" si="96"/>
        <v>#DIV/0!</v>
      </c>
      <c r="H104" s="83"/>
      <c r="I104" s="125"/>
      <c r="J104" s="83">
        <f t="shared" si="97"/>
        <v>0</v>
      </c>
      <c r="K104" s="83">
        <f t="shared" ref="K104:K105" si="100">F104</f>
        <v>0</v>
      </c>
      <c r="L104" s="136" t="e">
        <f t="shared" si="98"/>
        <v>#DIV/0!</v>
      </c>
      <c r="M104" s="116"/>
      <c r="N104" s="300">
        <f t="shared" si="99"/>
        <v>0</v>
      </c>
    </row>
    <row r="105" spans="1:14" ht="16">
      <c r="A105" s="271"/>
      <c r="B105" s="283"/>
      <c r="C105" s="134"/>
      <c r="D105" s="134"/>
      <c r="E105" s="24">
        <f t="shared" si="95"/>
        <v>0</v>
      </c>
      <c r="F105" s="143"/>
      <c r="G105" s="54" t="e">
        <f t="shared" si="96"/>
        <v>#DIV/0!</v>
      </c>
      <c r="H105" s="134"/>
      <c r="I105" s="135"/>
      <c r="J105" s="134">
        <f t="shared" si="97"/>
        <v>0</v>
      </c>
      <c r="K105" s="134">
        <f t="shared" si="100"/>
        <v>0</v>
      </c>
      <c r="L105" s="136" t="e">
        <f t="shared" si="98"/>
        <v>#DIV/0!</v>
      </c>
      <c r="M105" s="137"/>
      <c r="N105" s="298">
        <f t="shared" si="99"/>
        <v>0</v>
      </c>
    </row>
    <row r="106" spans="1:14" ht="16">
      <c r="A106" s="59"/>
      <c r="B106" s="60"/>
      <c r="C106" s="59"/>
      <c r="D106" s="59" t="s">
        <v>19</v>
      </c>
      <c r="E106" s="59">
        <f t="shared" ref="E106:F106" si="101">SUM(E99:E105)</f>
        <v>3021</v>
      </c>
      <c r="F106" s="59">
        <f t="shared" si="101"/>
        <v>344</v>
      </c>
      <c r="G106" s="61" t="e">
        <f>AVERAGE(G99:G105)</f>
        <v>#DIV/0!</v>
      </c>
      <c r="H106" s="59"/>
      <c r="I106" s="62"/>
      <c r="J106" s="59">
        <f t="shared" ref="J106:K106" si="102">SUM(J99:J105)</f>
        <v>3389</v>
      </c>
      <c r="K106" s="59">
        <f t="shared" si="102"/>
        <v>65</v>
      </c>
      <c r="L106" s="61" t="e">
        <f>AVERAGE(L99:L105)</f>
        <v>#DIV/0!</v>
      </c>
      <c r="M106" s="64"/>
      <c r="N106" s="299">
        <f>SUM(N99:N105)</f>
        <v>5928890</v>
      </c>
    </row>
    <row r="107" spans="1:14" ht="16">
      <c r="A107" s="66">
        <v>45783</v>
      </c>
      <c r="B107" s="140" t="s">
        <v>27</v>
      </c>
      <c r="C107" s="83"/>
      <c r="D107" s="12">
        <v>65</v>
      </c>
      <c r="E107" s="36">
        <f t="shared" ref="E107:E114" si="103">D107-C107</f>
        <v>65</v>
      </c>
      <c r="F107" s="37">
        <v>65</v>
      </c>
      <c r="G107" s="13">
        <f t="shared" ref="G107:G114" si="104">(F107/E107)*100</f>
        <v>100</v>
      </c>
      <c r="H107" s="125"/>
      <c r="I107" s="126"/>
      <c r="J107" s="39">
        <f t="shared" ref="J107:J114" si="105">I107-H107</f>
        <v>0</v>
      </c>
      <c r="K107" s="39">
        <v>65</v>
      </c>
      <c r="L107" s="136" t="e">
        <f t="shared" ref="L107:L114" si="106">(K107/J107)*100</f>
        <v>#DIV/0!</v>
      </c>
      <c r="M107" s="68">
        <v>17350</v>
      </c>
      <c r="N107" s="294">
        <f t="shared" ref="N107:N113" si="107">F107*M107</f>
        <v>1127750</v>
      </c>
    </row>
    <row r="108" spans="1:14" ht="16">
      <c r="A108" s="66">
        <v>45787</v>
      </c>
      <c r="B108" s="140" t="s">
        <v>27</v>
      </c>
      <c r="C108" s="83"/>
      <c r="D108" s="12">
        <v>60</v>
      </c>
      <c r="E108" s="36">
        <f t="shared" si="103"/>
        <v>60</v>
      </c>
      <c r="F108" s="37">
        <v>60</v>
      </c>
      <c r="G108" s="13">
        <f t="shared" si="104"/>
        <v>100</v>
      </c>
      <c r="H108" s="125"/>
      <c r="I108" s="126"/>
      <c r="J108" s="39">
        <f t="shared" si="105"/>
        <v>0</v>
      </c>
      <c r="K108" s="39">
        <v>60</v>
      </c>
      <c r="L108" s="136" t="e">
        <f t="shared" si="106"/>
        <v>#DIV/0!</v>
      </c>
      <c r="M108" s="116">
        <v>16800</v>
      </c>
      <c r="N108" s="321">
        <f t="shared" si="107"/>
        <v>1008000</v>
      </c>
    </row>
    <row r="109" spans="1:14" ht="16">
      <c r="A109" s="138">
        <v>45791</v>
      </c>
      <c r="B109" s="140" t="s">
        <v>27</v>
      </c>
      <c r="C109" s="83"/>
      <c r="D109" s="83"/>
      <c r="E109" s="11">
        <f t="shared" si="103"/>
        <v>0</v>
      </c>
      <c r="F109" s="141">
        <v>70</v>
      </c>
      <c r="G109" s="13" t="e">
        <f t="shared" si="104"/>
        <v>#DIV/0!</v>
      </c>
      <c r="H109" s="83"/>
      <c r="I109" s="125"/>
      <c r="J109" s="83">
        <f t="shared" si="105"/>
        <v>0</v>
      </c>
      <c r="K109" s="39">
        <v>70</v>
      </c>
      <c r="L109" s="136" t="e">
        <f t="shared" si="106"/>
        <v>#DIV/0!</v>
      </c>
      <c r="M109" s="116">
        <v>16800</v>
      </c>
      <c r="N109" s="321">
        <f t="shared" si="107"/>
        <v>1176000</v>
      </c>
    </row>
    <row r="110" spans="1:14" ht="16">
      <c r="A110" s="138">
        <v>45796</v>
      </c>
      <c r="B110" s="140" t="s">
        <v>27</v>
      </c>
      <c r="C110" s="83"/>
      <c r="D110" s="83"/>
      <c r="E110" s="11">
        <f t="shared" si="103"/>
        <v>0</v>
      </c>
      <c r="F110" s="141">
        <v>65</v>
      </c>
      <c r="G110" s="13" t="e">
        <f t="shared" si="104"/>
        <v>#DIV/0!</v>
      </c>
      <c r="H110" s="83"/>
      <c r="I110" s="125"/>
      <c r="J110" s="83">
        <f t="shared" si="105"/>
        <v>0</v>
      </c>
      <c r="K110" s="39">
        <v>65</v>
      </c>
      <c r="L110" s="136" t="e">
        <f t="shared" si="106"/>
        <v>#DIV/0!</v>
      </c>
      <c r="M110" s="116">
        <v>17220</v>
      </c>
      <c r="N110" s="321">
        <f t="shared" si="107"/>
        <v>1119300</v>
      </c>
    </row>
    <row r="111" spans="1:14" ht="16">
      <c r="A111" s="138">
        <v>45800</v>
      </c>
      <c r="B111" s="140" t="s">
        <v>27</v>
      </c>
      <c r="C111" s="83"/>
      <c r="D111" s="83"/>
      <c r="E111" s="11">
        <f t="shared" si="103"/>
        <v>0</v>
      </c>
      <c r="F111" s="141">
        <v>65</v>
      </c>
      <c r="G111" s="13" t="e">
        <f t="shared" si="104"/>
        <v>#DIV/0!</v>
      </c>
      <c r="H111" s="83"/>
      <c r="I111" s="125"/>
      <c r="J111" s="83">
        <f t="shared" si="105"/>
        <v>0</v>
      </c>
      <c r="K111" s="39">
        <v>65</v>
      </c>
      <c r="L111" s="136" t="e">
        <f t="shared" si="106"/>
        <v>#DIV/0!</v>
      </c>
      <c r="M111" s="116">
        <v>17400</v>
      </c>
      <c r="N111" s="321">
        <f t="shared" si="107"/>
        <v>1131000</v>
      </c>
    </row>
    <row r="112" spans="1:14" ht="16">
      <c r="A112" s="138">
        <v>45805</v>
      </c>
      <c r="B112" s="140" t="s">
        <v>27</v>
      </c>
      <c r="C112" s="83"/>
      <c r="D112" s="83"/>
      <c r="E112" s="11">
        <f t="shared" si="103"/>
        <v>0</v>
      </c>
      <c r="F112" s="141">
        <v>65</v>
      </c>
      <c r="G112" s="13" t="e">
        <f t="shared" si="104"/>
        <v>#DIV/0!</v>
      </c>
      <c r="H112" s="83"/>
      <c r="I112" s="125"/>
      <c r="J112" s="83">
        <f t="shared" si="105"/>
        <v>0</v>
      </c>
      <c r="K112" s="39">
        <v>65</v>
      </c>
      <c r="L112" s="136" t="e">
        <f t="shared" si="106"/>
        <v>#DIV/0!</v>
      </c>
      <c r="M112" s="116">
        <v>17400</v>
      </c>
      <c r="N112" s="321">
        <f t="shared" si="107"/>
        <v>1131000</v>
      </c>
    </row>
    <row r="113" spans="1:17" ht="16">
      <c r="A113" s="138"/>
      <c r="B113" s="140" t="s">
        <v>27</v>
      </c>
      <c r="C113" s="83"/>
      <c r="D113" s="83"/>
      <c r="E113" s="11">
        <f t="shared" si="103"/>
        <v>0</v>
      </c>
      <c r="F113" s="141"/>
      <c r="G113" s="13" t="e">
        <f t="shared" si="104"/>
        <v>#DIV/0!</v>
      </c>
      <c r="H113" s="83"/>
      <c r="I113" s="125"/>
      <c r="J113" s="83">
        <f t="shared" si="105"/>
        <v>0</v>
      </c>
      <c r="K113" s="83"/>
      <c r="L113" s="136" t="e">
        <f t="shared" si="106"/>
        <v>#DIV/0!</v>
      </c>
      <c r="M113" s="116"/>
      <c r="N113" s="321">
        <f t="shared" si="107"/>
        <v>0</v>
      </c>
    </row>
    <row r="114" spans="1:17" ht="16">
      <c r="A114" s="133"/>
      <c r="B114" s="140" t="s">
        <v>27</v>
      </c>
      <c r="C114" s="134"/>
      <c r="D114" s="134"/>
      <c r="E114" s="24">
        <f t="shared" si="103"/>
        <v>0</v>
      </c>
      <c r="F114" s="143"/>
      <c r="G114" s="54" t="e">
        <f t="shared" si="104"/>
        <v>#DIV/0!</v>
      </c>
      <c r="H114" s="134"/>
      <c r="I114" s="135"/>
      <c r="J114" s="134">
        <f t="shared" si="105"/>
        <v>0</v>
      </c>
      <c r="K114" s="134"/>
      <c r="L114" s="136" t="e">
        <f t="shared" si="106"/>
        <v>#DIV/0!</v>
      </c>
      <c r="M114" s="137"/>
      <c r="N114" s="321">
        <f>M114*K114</f>
        <v>0</v>
      </c>
    </row>
    <row r="115" spans="1:17" ht="16">
      <c r="A115" s="59"/>
      <c r="B115" s="60"/>
      <c r="C115" s="59"/>
      <c r="D115" s="59" t="s">
        <v>19</v>
      </c>
      <c r="E115" s="59">
        <f t="shared" ref="E115:F115" si="108">SUM(E107:E114)</f>
        <v>125</v>
      </c>
      <c r="F115" s="59">
        <f t="shared" si="108"/>
        <v>390</v>
      </c>
      <c r="G115" s="61" t="e">
        <f>AVERAGE(G107:G114)</f>
        <v>#DIV/0!</v>
      </c>
      <c r="H115" s="59"/>
      <c r="I115" s="62"/>
      <c r="J115" s="59">
        <f t="shared" ref="J115:K115" si="109">SUM(J107:J114)</f>
        <v>0</v>
      </c>
      <c r="K115" s="59">
        <f t="shared" si="109"/>
        <v>390</v>
      </c>
      <c r="L115" s="61" t="e">
        <f>AVERAGE(L107:L114)</f>
        <v>#DIV/0!</v>
      </c>
      <c r="M115" s="64"/>
      <c r="N115" s="322">
        <f>SUM(N107:N114)</f>
        <v>6693050</v>
      </c>
    </row>
    <row r="116" spans="1:17" ht="18">
      <c r="A116" s="354" t="s">
        <v>64</v>
      </c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7"/>
      <c r="N116" s="323">
        <f>SUM(N10+N18+N27+N35+N43+N51+N59+N67+N75+N83+N90+N98+N106+N115)</f>
        <v>76105000</v>
      </c>
    </row>
    <row r="117" spans="1:17" ht="13">
      <c r="G117" s="150"/>
      <c r="L117" s="150"/>
    </row>
    <row r="118" spans="1:17" ht="31.5" customHeight="1">
      <c r="D118" s="152" t="s">
        <v>45</v>
      </c>
      <c r="E118" s="153"/>
      <c r="G118" s="150"/>
      <c r="L118" s="150"/>
      <c r="Q118" s="76" t="s">
        <v>95</v>
      </c>
    </row>
    <row r="119" spans="1:17" ht="16">
      <c r="A119" s="220" t="s">
        <v>1</v>
      </c>
      <c r="B119" s="154" t="s">
        <v>2</v>
      </c>
      <c r="C119" s="148" t="s">
        <v>3</v>
      </c>
      <c r="D119" s="148" t="s">
        <v>4</v>
      </c>
      <c r="E119" s="148" t="s">
        <v>5</v>
      </c>
      <c r="F119" s="148" t="s">
        <v>6</v>
      </c>
      <c r="G119" s="155" t="s">
        <v>7</v>
      </c>
      <c r="H119" s="156" t="s">
        <v>8</v>
      </c>
      <c r="I119" s="157" t="s">
        <v>8</v>
      </c>
      <c r="J119" s="148" t="s">
        <v>5</v>
      </c>
      <c r="K119" s="148" t="s">
        <v>6</v>
      </c>
      <c r="L119" s="155" t="s">
        <v>7</v>
      </c>
      <c r="M119" s="148" t="s">
        <v>9</v>
      </c>
      <c r="N119" s="158" t="s">
        <v>10</v>
      </c>
    </row>
    <row r="120" spans="1:17" ht="16">
      <c r="A120" s="66">
        <v>45783</v>
      </c>
      <c r="B120" s="140" t="s">
        <v>46</v>
      </c>
      <c r="C120" s="12"/>
      <c r="D120" s="12"/>
      <c r="E120" s="11"/>
      <c r="F120" s="37"/>
      <c r="G120" s="13"/>
      <c r="H120" s="83"/>
      <c r="I120" s="126"/>
      <c r="J120" s="39"/>
      <c r="K120" s="39"/>
      <c r="L120" s="136" t="e">
        <f t="shared" ref="L120:L124" si="110">(K120/J120)*100</f>
        <v>#DIV/0!</v>
      </c>
      <c r="M120" s="68"/>
      <c r="N120" s="324">
        <v>6000000</v>
      </c>
    </row>
    <row r="121" spans="1:17" ht="16">
      <c r="A121" s="66">
        <v>45797</v>
      </c>
      <c r="B121" s="140" t="s">
        <v>46</v>
      </c>
      <c r="C121" s="12"/>
      <c r="D121" s="12"/>
      <c r="E121" s="11">
        <f t="shared" ref="E121:E124" si="111">D121-C121</f>
        <v>0</v>
      </c>
      <c r="F121" s="37"/>
      <c r="G121" s="13" t="e">
        <f t="shared" ref="G121:G124" si="112">(F121/E121)*100</f>
        <v>#DIV/0!</v>
      </c>
      <c r="H121" s="83">
        <v>1780</v>
      </c>
      <c r="I121" s="126">
        <v>2671</v>
      </c>
      <c r="J121" s="39">
        <f t="shared" ref="J121:J124" si="113">I121-H121</f>
        <v>891</v>
      </c>
      <c r="K121" s="39">
        <f t="shared" ref="K121:K124" si="114">F121</f>
        <v>0</v>
      </c>
      <c r="L121" s="136">
        <f t="shared" si="110"/>
        <v>0</v>
      </c>
      <c r="M121" s="68"/>
      <c r="N121" s="324">
        <v>6173000</v>
      </c>
    </row>
    <row r="122" spans="1:17" ht="16">
      <c r="A122" s="138"/>
      <c r="B122" s="140" t="s">
        <v>46</v>
      </c>
      <c r="C122" s="83"/>
      <c r="D122" s="83"/>
      <c r="E122" s="11">
        <f t="shared" si="111"/>
        <v>0</v>
      </c>
      <c r="F122" s="141"/>
      <c r="G122" s="13" t="e">
        <f t="shared" si="112"/>
        <v>#DIV/0!</v>
      </c>
      <c r="H122" s="83"/>
      <c r="I122" s="125"/>
      <c r="J122" s="83">
        <f t="shared" si="113"/>
        <v>0</v>
      </c>
      <c r="K122" s="83">
        <f t="shared" si="114"/>
        <v>0</v>
      </c>
      <c r="L122" s="136" t="e">
        <f t="shared" si="110"/>
        <v>#DIV/0!</v>
      </c>
      <c r="M122" s="116"/>
      <c r="N122" s="201"/>
    </row>
    <row r="123" spans="1:17" ht="16">
      <c r="A123" s="138"/>
      <c r="B123" s="140" t="s">
        <v>46</v>
      </c>
      <c r="C123" s="83"/>
      <c r="D123" s="83"/>
      <c r="E123" s="11">
        <f t="shared" si="111"/>
        <v>0</v>
      </c>
      <c r="F123" s="141"/>
      <c r="G123" s="13" t="e">
        <f t="shared" si="112"/>
        <v>#DIV/0!</v>
      </c>
      <c r="H123" s="83"/>
      <c r="I123" s="125"/>
      <c r="J123" s="83">
        <f t="shared" si="113"/>
        <v>0</v>
      </c>
      <c r="K123" s="83">
        <f t="shared" si="114"/>
        <v>0</v>
      </c>
      <c r="L123" s="136" t="e">
        <f t="shared" si="110"/>
        <v>#DIV/0!</v>
      </c>
      <c r="M123" s="116"/>
      <c r="N123" s="201">
        <f t="shared" ref="N123:N124" si="115">F123*M123</f>
        <v>0</v>
      </c>
    </row>
    <row r="124" spans="1:17" ht="16">
      <c r="A124" s="138"/>
      <c r="B124" s="140"/>
      <c r="C124" s="83"/>
      <c r="D124" s="83"/>
      <c r="E124" s="11">
        <f t="shared" si="111"/>
        <v>0</v>
      </c>
      <c r="F124" s="141"/>
      <c r="G124" s="13" t="e">
        <f t="shared" si="112"/>
        <v>#DIV/0!</v>
      </c>
      <c r="H124" s="83"/>
      <c r="I124" s="125"/>
      <c r="J124" s="83">
        <f t="shared" si="113"/>
        <v>0</v>
      </c>
      <c r="K124" s="83">
        <f t="shared" si="114"/>
        <v>0</v>
      </c>
      <c r="L124" s="136" t="e">
        <f t="shared" si="110"/>
        <v>#DIV/0!</v>
      </c>
      <c r="M124" s="116"/>
      <c r="N124" s="201">
        <f t="shared" si="115"/>
        <v>0</v>
      </c>
    </row>
    <row r="125" spans="1:17" ht="16">
      <c r="A125" s="59"/>
      <c r="B125" s="60"/>
      <c r="C125" s="59"/>
      <c r="D125" s="59" t="s">
        <v>19</v>
      </c>
      <c r="E125" s="59">
        <f t="shared" ref="E125:F125" si="116">SUM(E120:E124)</f>
        <v>0</v>
      </c>
      <c r="F125" s="59">
        <f t="shared" si="116"/>
        <v>0</v>
      </c>
      <c r="G125" s="61" t="e">
        <f>AVERAGE(G120:G124)</f>
        <v>#DIV/0!</v>
      </c>
      <c r="H125" s="59"/>
      <c r="I125" s="62"/>
      <c r="J125" s="59">
        <f t="shared" ref="J125:K125" si="117">SUM(J120:J124)</f>
        <v>891</v>
      </c>
      <c r="K125" s="59">
        <f t="shared" si="117"/>
        <v>0</v>
      </c>
      <c r="L125" s="61" t="e">
        <f>AVERAGE(L120:L124)</f>
        <v>#DIV/0!</v>
      </c>
      <c r="M125" s="64"/>
      <c r="N125" s="325">
        <f>SUM(N120:N124)</f>
        <v>12173000</v>
      </c>
    </row>
    <row r="126" spans="1:17" ht="16">
      <c r="A126" s="66">
        <v>45793</v>
      </c>
      <c r="B126" s="140" t="s">
        <v>53</v>
      </c>
      <c r="C126" s="83"/>
      <c r="D126" s="12"/>
      <c r="E126" s="36">
        <f t="shared" ref="E126:E130" si="118">D126-C126</f>
        <v>0</v>
      </c>
      <c r="F126" s="141"/>
      <c r="G126" s="13" t="e">
        <f t="shared" ref="G126:G130" si="119">(F126/E126)*100</f>
        <v>#DIV/0!</v>
      </c>
      <c r="H126" s="83"/>
      <c r="I126" s="126"/>
      <c r="J126" s="39">
        <f t="shared" ref="J126:J130" si="120">I126-H126</f>
        <v>0</v>
      </c>
      <c r="K126" s="39"/>
      <c r="L126" s="136" t="e">
        <f t="shared" ref="L126:L130" si="121">(K126/J126)*100</f>
        <v>#DIV/0!</v>
      </c>
      <c r="M126" s="68"/>
      <c r="N126" s="68">
        <v>5030000</v>
      </c>
    </row>
    <row r="127" spans="1:17" ht="16">
      <c r="A127" s="138">
        <v>45806</v>
      </c>
      <c r="B127" s="140" t="s">
        <v>53</v>
      </c>
      <c r="C127" s="83"/>
      <c r="D127" s="83"/>
      <c r="E127" s="11">
        <f t="shared" si="118"/>
        <v>0</v>
      </c>
      <c r="F127" s="141"/>
      <c r="G127" s="13" t="e">
        <f t="shared" si="119"/>
        <v>#DIV/0!</v>
      </c>
      <c r="H127" s="83"/>
      <c r="I127" s="125"/>
      <c r="J127" s="83">
        <f t="shared" si="120"/>
        <v>0</v>
      </c>
      <c r="K127" s="83">
        <f t="shared" ref="K127:K130" si="122">F127</f>
        <v>0</v>
      </c>
      <c r="L127" s="136" t="e">
        <f t="shared" si="121"/>
        <v>#DIV/0!</v>
      </c>
      <c r="M127" s="116"/>
      <c r="N127" s="329">
        <v>1000000</v>
      </c>
    </row>
    <row r="128" spans="1:17" ht="16">
      <c r="A128" s="138">
        <v>45807</v>
      </c>
      <c r="B128" s="140" t="s">
        <v>53</v>
      </c>
      <c r="C128" s="83"/>
      <c r="D128" s="83"/>
      <c r="E128" s="11">
        <f t="shared" si="118"/>
        <v>0</v>
      </c>
      <c r="F128" s="141"/>
      <c r="G128" s="13" t="e">
        <f t="shared" si="119"/>
        <v>#DIV/0!</v>
      </c>
      <c r="H128" s="83"/>
      <c r="I128" s="125"/>
      <c r="J128" s="83">
        <f t="shared" si="120"/>
        <v>0</v>
      </c>
      <c r="K128" s="83">
        <f t="shared" si="122"/>
        <v>0</v>
      </c>
      <c r="L128" s="136" t="e">
        <f t="shared" si="121"/>
        <v>#DIV/0!</v>
      </c>
      <c r="M128" s="116"/>
      <c r="N128" s="201">
        <v>2000000</v>
      </c>
    </row>
    <row r="129" spans="1:14" ht="16">
      <c r="A129" s="138">
        <v>45808</v>
      </c>
      <c r="B129" s="140" t="s">
        <v>53</v>
      </c>
      <c r="C129" s="83"/>
      <c r="D129" s="83"/>
      <c r="E129" s="11">
        <f t="shared" si="118"/>
        <v>0</v>
      </c>
      <c r="F129" s="141"/>
      <c r="G129" s="13" t="e">
        <f t="shared" si="119"/>
        <v>#DIV/0!</v>
      </c>
      <c r="H129" s="83"/>
      <c r="I129" s="125"/>
      <c r="J129" s="83">
        <f t="shared" si="120"/>
        <v>0</v>
      </c>
      <c r="K129" s="83">
        <f t="shared" si="122"/>
        <v>0</v>
      </c>
      <c r="L129" s="136" t="e">
        <f t="shared" si="121"/>
        <v>#DIV/0!</v>
      </c>
      <c r="M129" s="116"/>
      <c r="N129" s="201">
        <v>5795000</v>
      </c>
    </row>
    <row r="130" spans="1:14" ht="16">
      <c r="A130" s="138"/>
      <c r="B130" s="140"/>
      <c r="C130" s="83"/>
      <c r="D130" s="83"/>
      <c r="E130" s="11">
        <f t="shared" si="118"/>
        <v>0</v>
      </c>
      <c r="F130" s="141"/>
      <c r="G130" s="13" t="e">
        <f t="shared" si="119"/>
        <v>#DIV/0!</v>
      </c>
      <c r="H130" s="83"/>
      <c r="I130" s="125"/>
      <c r="J130" s="83">
        <f t="shared" si="120"/>
        <v>0</v>
      </c>
      <c r="K130" s="83">
        <f t="shared" si="122"/>
        <v>0</v>
      </c>
      <c r="L130" s="136" t="e">
        <f t="shared" si="121"/>
        <v>#DIV/0!</v>
      </c>
      <c r="M130" s="116"/>
      <c r="N130" s="201">
        <f>F130*M130</f>
        <v>0</v>
      </c>
    </row>
    <row r="131" spans="1:14" ht="16">
      <c r="A131" s="59"/>
      <c r="B131" s="60"/>
      <c r="C131" s="59"/>
      <c r="D131" s="59" t="s">
        <v>19</v>
      </c>
      <c r="E131" s="59">
        <f t="shared" ref="E131:F131" si="123">SUM(E126:E130)</f>
        <v>0</v>
      </c>
      <c r="F131" s="59">
        <f t="shared" si="123"/>
        <v>0</v>
      </c>
      <c r="G131" s="61" t="e">
        <f>AVERAGE(G126:G130)</f>
        <v>#DIV/0!</v>
      </c>
      <c r="H131" s="59"/>
      <c r="I131" s="62"/>
      <c r="J131" s="59">
        <f t="shared" ref="J131:K131" si="124">SUM(J126:J130)</f>
        <v>0</v>
      </c>
      <c r="K131" s="59">
        <f t="shared" si="124"/>
        <v>0</v>
      </c>
      <c r="L131" s="61" t="e">
        <f>AVERAGE(L126:L130)</f>
        <v>#DIV/0!</v>
      </c>
      <c r="M131" s="64"/>
      <c r="N131" s="325">
        <f>SUM(N126:N130)</f>
        <v>13825000</v>
      </c>
    </row>
    <row r="132" spans="1:14" ht="16">
      <c r="A132" s="66">
        <v>45792</v>
      </c>
      <c r="B132" s="140" t="s">
        <v>48</v>
      </c>
      <c r="C132" s="83">
        <v>448780</v>
      </c>
      <c r="D132" s="12"/>
      <c r="E132" s="36">
        <f t="shared" ref="E132:E136" si="125">D132-C132</f>
        <v>-448780</v>
      </c>
      <c r="F132" s="141"/>
      <c r="G132" s="13">
        <f t="shared" ref="G132:G136" si="126">(F132/E132)*100</f>
        <v>0</v>
      </c>
      <c r="H132" s="83"/>
      <c r="I132" s="126"/>
      <c r="J132" s="39">
        <f t="shared" ref="J132:J136" si="127">I132-H132</f>
        <v>0</v>
      </c>
      <c r="K132" s="39">
        <v>297.77999999999997</v>
      </c>
      <c r="L132" s="136" t="e">
        <f t="shared" ref="L132:L136" si="128">(K132/J132)*100</f>
        <v>#DIV/0!</v>
      </c>
      <c r="M132" s="68"/>
      <c r="N132" s="328">
        <v>4900000</v>
      </c>
    </row>
    <row r="133" spans="1:14" ht="16">
      <c r="A133" s="138"/>
      <c r="B133" s="140" t="s">
        <v>48</v>
      </c>
      <c r="C133" s="83"/>
      <c r="D133" s="83"/>
      <c r="E133" s="11">
        <f t="shared" si="125"/>
        <v>0</v>
      </c>
      <c r="F133" s="141"/>
      <c r="G133" s="13" t="e">
        <f t="shared" si="126"/>
        <v>#DIV/0!</v>
      </c>
      <c r="H133" s="83"/>
      <c r="I133" s="125"/>
      <c r="J133" s="83">
        <f t="shared" si="127"/>
        <v>0</v>
      </c>
      <c r="K133" s="83">
        <f t="shared" ref="K133:K136" si="129">F133</f>
        <v>0</v>
      </c>
      <c r="L133" s="136" t="e">
        <f t="shared" si="128"/>
        <v>#DIV/0!</v>
      </c>
      <c r="M133" s="116"/>
      <c r="N133" s="329"/>
    </row>
    <row r="134" spans="1:14" ht="16">
      <c r="A134" s="138"/>
      <c r="B134" s="140" t="s">
        <v>48</v>
      </c>
      <c r="C134" s="83"/>
      <c r="D134" s="83"/>
      <c r="E134" s="11">
        <f t="shared" si="125"/>
        <v>0</v>
      </c>
      <c r="F134" s="141"/>
      <c r="G134" s="13" t="e">
        <f t="shared" si="126"/>
        <v>#DIV/0!</v>
      </c>
      <c r="H134" s="83"/>
      <c r="I134" s="125"/>
      <c r="J134" s="83">
        <f t="shared" si="127"/>
        <v>0</v>
      </c>
      <c r="K134" s="83">
        <f t="shared" si="129"/>
        <v>0</v>
      </c>
      <c r="L134" s="136" t="e">
        <f t="shared" si="128"/>
        <v>#DIV/0!</v>
      </c>
      <c r="M134" s="116"/>
      <c r="N134" s="201">
        <f t="shared" ref="N134:N136" si="130">F134*M134</f>
        <v>0</v>
      </c>
    </row>
    <row r="135" spans="1:14" ht="16">
      <c r="A135" s="138"/>
      <c r="B135" s="140" t="s">
        <v>48</v>
      </c>
      <c r="C135" s="83"/>
      <c r="D135" s="83"/>
      <c r="E135" s="11">
        <f t="shared" si="125"/>
        <v>0</v>
      </c>
      <c r="F135" s="141"/>
      <c r="G135" s="13" t="e">
        <f t="shared" si="126"/>
        <v>#DIV/0!</v>
      </c>
      <c r="H135" s="83"/>
      <c r="I135" s="125"/>
      <c r="J135" s="83">
        <f t="shared" si="127"/>
        <v>0</v>
      </c>
      <c r="K135" s="83">
        <f t="shared" si="129"/>
        <v>0</v>
      </c>
      <c r="L135" s="136" t="e">
        <f t="shared" si="128"/>
        <v>#DIV/0!</v>
      </c>
      <c r="M135" s="116"/>
      <c r="N135" s="201">
        <f t="shared" si="130"/>
        <v>0</v>
      </c>
    </row>
    <row r="136" spans="1:14" ht="16">
      <c r="A136" s="138"/>
      <c r="B136" s="140"/>
      <c r="C136" s="83"/>
      <c r="D136" s="83"/>
      <c r="E136" s="11">
        <f t="shared" si="125"/>
        <v>0</v>
      </c>
      <c r="F136" s="141"/>
      <c r="G136" s="13" t="e">
        <f t="shared" si="126"/>
        <v>#DIV/0!</v>
      </c>
      <c r="H136" s="83"/>
      <c r="I136" s="125"/>
      <c r="J136" s="83">
        <f t="shared" si="127"/>
        <v>0</v>
      </c>
      <c r="K136" s="83">
        <f t="shared" si="129"/>
        <v>0</v>
      </c>
      <c r="L136" s="136" t="e">
        <f t="shared" si="128"/>
        <v>#DIV/0!</v>
      </c>
      <c r="M136" s="116"/>
      <c r="N136" s="201">
        <f t="shared" si="130"/>
        <v>0</v>
      </c>
    </row>
    <row r="137" spans="1:14" ht="16">
      <c r="A137" s="59"/>
      <c r="B137" s="60"/>
      <c r="C137" s="59"/>
      <c r="D137" s="59" t="s">
        <v>19</v>
      </c>
      <c r="E137" s="59">
        <f t="shared" ref="E137:F137" si="131">SUM(E132:E136)</f>
        <v>-448780</v>
      </c>
      <c r="F137" s="59">
        <f t="shared" si="131"/>
        <v>0</v>
      </c>
      <c r="G137" s="61" t="e">
        <f>AVERAGE(G132:G136)</f>
        <v>#DIV/0!</v>
      </c>
      <c r="H137" s="59"/>
      <c r="I137" s="62"/>
      <c r="J137" s="59">
        <f t="shared" ref="J137:K137" si="132">SUM(J132:J136)</f>
        <v>0</v>
      </c>
      <c r="K137" s="59">
        <f t="shared" si="132"/>
        <v>297.77999999999997</v>
      </c>
      <c r="L137" s="61" t="e">
        <f>AVERAGE(L132:L136)</f>
        <v>#DIV/0!</v>
      </c>
      <c r="M137" s="64"/>
      <c r="N137" s="325">
        <f>SUM(N132:N136)</f>
        <v>4900000</v>
      </c>
    </row>
    <row r="138" spans="1:14" ht="16">
      <c r="A138" s="66">
        <v>45779</v>
      </c>
      <c r="B138" s="140" t="s">
        <v>49</v>
      </c>
      <c r="C138" s="83"/>
      <c r="D138" s="12"/>
      <c r="E138" s="36">
        <f t="shared" ref="E138:E142" si="133">D138-C138</f>
        <v>0</v>
      </c>
      <c r="F138" s="37"/>
      <c r="G138" s="13" t="e">
        <f t="shared" ref="G138:G142" si="134">(F138/E138)*100</f>
        <v>#DIV/0!</v>
      </c>
      <c r="H138" s="83"/>
      <c r="I138" s="126"/>
      <c r="J138" s="39">
        <f t="shared" ref="J138:J142" si="135">I138-H138</f>
        <v>0</v>
      </c>
      <c r="K138" s="39">
        <f t="shared" ref="K138:K142" si="136">F138</f>
        <v>0</v>
      </c>
      <c r="L138" s="136" t="e">
        <f t="shared" ref="L138:L142" si="137">(K138/J138)*100</f>
        <v>#DIV/0!</v>
      </c>
      <c r="M138" s="68"/>
      <c r="N138" s="324">
        <v>4000000</v>
      </c>
    </row>
    <row r="139" spans="1:14" ht="16">
      <c r="A139" s="138">
        <v>45796</v>
      </c>
      <c r="B139" s="140" t="s">
        <v>49</v>
      </c>
      <c r="C139" s="83"/>
      <c r="D139" s="83"/>
      <c r="E139" s="11">
        <f t="shared" si="133"/>
        <v>0</v>
      </c>
      <c r="F139" s="141"/>
      <c r="G139" s="13" t="e">
        <f t="shared" si="134"/>
        <v>#DIV/0!</v>
      </c>
      <c r="H139" s="83"/>
      <c r="I139" s="125"/>
      <c r="J139" s="83">
        <f t="shared" si="135"/>
        <v>0</v>
      </c>
      <c r="K139" s="83">
        <f t="shared" si="136"/>
        <v>0</v>
      </c>
      <c r="L139" s="136" t="e">
        <f t="shared" si="137"/>
        <v>#DIV/0!</v>
      </c>
      <c r="M139" s="116"/>
      <c r="N139" s="329">
        <v>4000000</v>
      </c>
    </row>
    <row r="140" spans="1:14" ht="16">
      <c r="A140" s="138"/>
      <c r="B140" s="140" t="s">
        <v>49</v>
      </c>
      <c r="C140" s="83"/>
      <c r="D140" s="83"/>
      <c r="E140" s="11">
        <f t="shared" si="133"/>
        <v>0</v>
      </c>
      <c r="F140" s="141"/>
      <c r="G140" s="13" t="e">
        <f t="shared" si="134"/>
        <v>#DIV/0!</v>
      </c>
      <c r="H140" s="83"/>
      <c r="I140" s="125"/>
      <c r="J140" s="83">
        <f t="shared" si="135"/>
        <v>0</v>
      </c>
      <c r="K140" s="83">
        <f t="shared" si="136"/>
        <v>0</v>
      </c>
      <c r="L140" s="136" t="e">
        <f t="shared" si="137"/>
        <v>#DIV/0!</v>
      </c>
      <c r="M140" s="116"/>
      <c r="N140" s="201">
        <f t="shared" ref="N140:N142" si="138">F140*M140</f>
        <v>0</v>
      </c>
    </row>
    <row r="141" spans="1:14" ht="16">
      <c r="A141" s="138"/>
      <c r="B141" s="140" t="s">
        <v>49</v>
      </c>
      <c r="C141" s="83"/>
      <c r="D141" s="83"/>
      <c r="E141" s="11">
        <f t="shared" si="133"/>
        <v>0</v>
      </c>
      <c r="F141" s="141"/>
      <c r="G141" s="13" t="e">
        <f t="shared" si="134"/>
        <v>#DIV/0!</v>
      </c>
      <c r="H141" s="83"/>
      <c r="I141" s="125"/>
      <c r="J141" s="83">
        <f t="shared" si="135"/>
        <v>0</v>
      </c>
      <c r="K141" s="83">
        <f t="shared" si="136"/>
        <v>0</v>
      </c>
      <c r="L141" s="136" t="e">
        <f t="shared" si="137"/>
        <v>#DIV/0!</v>
      </c>
      <c r="M141" s="116"/>
      <c r="N141" s="201">
        <f t="shared" si="138"/>
        <v>0</v>
      </c>
    </row>
    <row r="142" spans="1:14" ht="16">
      <c r="A142" s="138"/>
      <c r="B142" s="140"/>
      <c r="C142" s="83"/>
      <c r="D142" s="83"/>
      <c r="E142" s="11">
        <f t="shared" si="133"/>
        <v>0</v>
      </c>
      <c r="F142" s="141"/>
      <c r="G142" s="13" t="e">
        <f t="shared" si="134"/>
        <v>#DIV/0!</v>
      </c>
      <c r="H142" s="83"/>
      <c r="I142" s="125"/>
      <c r="J142" s="83">
        <f t="shared" si="135"/>
        <v>0</v>
      </c>
      <c r="K142" s="83">
        <f t="shared" si="136"/>
        <v>0</v>
      </c>
      <c r="L142" s="136" t="e">
        <f t="shared" si="137"/>
        <v>#DIV/0!</v>
      </c>
      <c r="M142" s="116"/>
      <c r="N142" s="201">
        <f t="shared" si="138"/>
        <v>0</v>
      </c>
    </row>
    <row r="143" spans="1:14" ht="16">
      <c r="A143" s="59"/>
      <c r="B143" s="60"/>
      <c r="C143" s="59"/>
      <c r="D143" s="59" t="s">
        <v>19</v>
      </c>
      <c r="E143" s="59">
        <f t="shared" ref="E143:F143" si="139">SUM(E138:E142)</f>
        <v>0</v>
      </c>
      <c r="F143" s="59">
        <f t="shared" si="139"/>
        <v>0</v>
      </c>
      <c r="G143" s="61" t="e">
        <f>AVERAGE(G138:G142)</f>
        <v>#DIV/0!</v>
      </c>
      <c r="H143" s="59"/>
      <c r="I143" s="62"/>
      <c r="J143" s="59">
        <f t="shared" ref="J143:K143" si="140">SUM(J138:J142)</f>
        <v>0</v>
      </c>
      <c r="K143" s="59">
        <f t="shared" si="140"/>
        <v>0</v>
      </c>
      <c r="L143" s="61" t="e">
        <f>AVERAGE(L138:L142)</f>
        <v>#DIV/0!</v>
      </c>
      <c r="M143" s="64"/>
      <c r="N143" s="325">
        <f>SUM(N138:N142)</f>
        <v>8000000</v>
      </c>
    </row>
    <row r="144" spans="1:14" ht="16">
      <c r="A144" s="66">
        <v>45785</v>
      </c>
      <c r="B144" s="140" t="s">
        <v>50</v>
      </c>
      <c r="C144" s="83"/>
      <c r="D144" s="12">
        <v>345060</v>
      </c>
      <c r="E144" s="36">
        <f t="shared" ref="E144:E148" si="141">D144-C144</f>
        <v>345060</v>
      </c>
      <c r="F144" s="37"/>
      <c r="G144" s="13">
        <f t="shared" ref="G144:G148" si="142">(F144/E144)*100</f>
        <v>0</v>
      </c>
      <c r="H144" s="83"/>
      <c r="I144" s="126"/>
      <c r="J144" s="39">
        <f t="shared" ref="J144:J148" si="143">I144-H144</f>
        <v>0</v>
      </c>
      <c r="K144" s="39">
        <v>216.59</v>
      </c>
      <c r="L144" s="136" t="e">
        <f t="shared" ref="L144:L148" si="144">(K144/J144)*100</f>
        <v>#DIV/0!</v>
      </c>
      <c r="M144" s="68"/>
      <c r="N144" s="324">
        <v>3600000</v>
      </c>
    </row>
    <row r="145" spans="1:14" ht="16">
      <c r="A145" s="138">
        <v>45798</v>
      </c>
      <c r="B145" s="140" t="s">
        <v>50</v>
      </c>
      <c r="C145" s="83"/>
      <c r="D145" s="83"/>
      <c r="E145" s="11">
        <f t="shared" si="141"/>
        <v>0</v>
      </c>
      <c r="F145" s="141"/>
      <c r="G145" s="13" t="e">
        <f t="shared" si="142"/>
        <v>#DIV/0!</v>
      </c>
      <c r="H145" s="83"/>
      <c r="I145" s="125"/>
      <c r="J145" s="83">
        <f t="shared" si="143"/>
        <v>0</v>
      </c>
      <c r="K145" s="83">
        <v>217.28</v>
      </c>
      <c r="L145" s="136" t="e">
        <f t="shared" si="144"/>
        <v>#DIV/0!</v>
      </c>
      <c r="M145" s="116"/>
      <c r="N145" s="324">
        <v>3700000</v>
      </c>
    </row>
    <row r="146" spans="1:14" ht="16">
      <c r="A146" s="138"/>
      <c r="B146" s="140" t="s">
        <v>50</v>
      </c>
      <c r="C146" s="83"/>
      <c r="D146" s="83"/>
      <c r="E146" s="11">
        <f t="shared" si="141"/>
        <v>0</v>
      </c>
      <c r="F146" s="141"/>
      <c r="G146" s="13" t="e">
        <f t="shared" si="142"/>
        <v>#DIV/0!</v>
      </c>
      <c r="H146" s="83"/>
      <c r="I146" s="125"/>
      <c r="J146" s="83">
        <f t="shared" si="143"/>
        <v>0</v>
      </c>
      <c r="K146" s="83">
        <f t="shared" ref="K146:K148" si="145">F146</f>
        <v>0</v>
      </c>
      <c r="L146" s="136" t="e">
        <f t="shared" si="144"/>
        <v>#DIV/0!</v>
      </c>
      <c r="M146" s="116"/>
      <c r="N146" s="201">
        <f t="shared" ref="N146:N148" si="146">F146*M146</f>
        <v>0</v>
      </c>
    </row>
    <row r="147" spans="1:14" ht="16">
      <c r="A147" s="138"/>
      <c r="B147" s="140" t="s">
        <v>50</v>
      </c>
      <c r="C147" s="83"/>
      <c r="D147" s="83"/>
      <c r="E147" s="11">
        <f t="shared" si="141"/>
        <v>0</v>
      </c>
      <c r="F147" s="141"/>
      <c r="G147" s="13" t="e">
        <f t="shared" si="142"/>
        <v>#DIV/0!</v>
      </c>
      <c r="H147" s="83"/>
      <c r="I147" s="125"/>
      <c r="J147" s="83">
        <f t="shared" si="143"/>
        <v>0</v>
      </c>
      <c r="K147" s="83">
        <f t="shared" si="145"/>
        <v>0</v>
      </c>
      <c r="L147" s="136" t="e">
        <f t="shared" si="144"/>
        <v>#DIV/0!</v>
      </c>
      <c r="M147" s="116"/>
      <c r="N147" s="201">
        <f t="shared" si="146"/>
        <v>0</v>
      </c>
    </row>
    <row r="148" spans="1:14" ht="16">
      <c r="A148" s="138"/>
      <c r="B148" s="140" t="s">
        <v>50</v>
      </c>
      <c r="C148" s="83"/>
      <c r="D148" s="83"/>
      <c r="E148" s="11">
        <f t="shared" si="141"/>
        <v>0</v>
      </c>
      <c r="F148" s="141"/>
      <c r="G148" s="13" t="e">
        <f t="shared" si="142"/>
        <v>#DIV/0!</v>
      </c>
      <c r="H148" s="83"/>
      <c r="I148" s="125"/>
      <c r="J148" s="83">
        <f t="shared" si="143"/>
        <v>0</v>
      </c>
      <c r="K148" s="83">
        <f t="shared" si="145"/>
        <v>0</v>
      </c>
      <c r="L148" s="136" t="e">
        <f t="shared" si="144"/>
        <v>#DIV/0!</v>
      </c>
      <c r="M148" s="116"/>
      <c r="N148" s="201">
        <f t="shared" si="146"/>
        <v>0</v>
      </c>
    </row>
    <row r="149" spans="1:14" ht="16">
      <c r="A149" s="59"/>
      <c r="B149" s="60"/>
      <c r="C149" s="59"/>
      <c r="D149" s="59" t="s">
        <v>19</v>
      </c>
      <c r="E149" s="59">
        <f t="shared" ref="E149:F149" si="147">SUM(E144:E148)</f>
        <v>345060</v>
      </c>
      <c r="F149" s="59">
        <f t="shared" si="147"/>
        <v>0</v>
      </c>
      <c r="G149" s="61" t="e">
        <f>AVERAGE(G144:G148)</f>
        <v>#DIV/0!</v>
      </c>
      <c r="H149" s="59"/>
      <c r="I149" s="62"/>
      <c r="J149" s="59">
        <f t="shared" ref="J149:K149" si="148">SUM(J144:J148)</f>
        <v>0</v>
      </c>
      <c r="K149" s="59">
        <f t="shared" si="148"/>
        <v>433.87</v>
      </c>
      <c r="L149" s="61" t="e">
        <f>AVERAGE(L144:L148)</f>
        <v>#DIV/0!</v>
      </c>
      <c r="M149" s="64"/>
      <c r="N149" s="325">
        <f>SUM(N144:N148)</f>
        <v>7300000</v>
      </c>
    </row>
    <row r="150" spans="1:14" ht="16">
      <c r="A150" s="66">
        <v>45784</v>
      </c>
      <c r="B150" s="140" t="s">
        <v>51</v>
      </c>
      <c r="C150" s="83">
        <v>295530</v>
      </c>
      <c r="D150" s="12"/>
      <c r="E150" s="36">
        <f t="shared" ref="E150:E154" si="149">D150-C150</f>
        <v>-295530</v>
      </c>
      <c r="F150" s="37"/>
      <c r="G150" s="13">
        <f t="shared" ref="G150:G154" si="150">(F150/E150)*100</f>
        <v>0</v>
      </c>
      <c r="H150" s="83"/>
      <c r="I150" s="126"/>
      <c r="J150" s="39">
        <f t="shared" ref="J150:J154" si="151">I150-H150</f>
        <v>0</v>
      </c>
      <c r="K150" s="39">
        <f t="shared" ref="K150:K154" si="152">F150</f>
        <v>0</v>
      </c>
      <c r="L150" s="136" t="e">
        <f t="shared" ref="L150:L154" si="153">(K150/J150)*100</f>
        <v>#DIV/0!</v>
      </c>
      <c r="M150" s="68"/>
      <c r="N150" s="324">
        <v>1950000</v>
      </c>
    </row>
    <row r="151" spans="1:14" ht="16">
      <c r="A151" s="138">
        <v>45796</v>
      </c>
      <c r="B151" s="140" t="s">
        <v>51</v>
      </c>
      <c r="C151" s="83"/>
      <c r="D151" s="83"/>
      <c r="E151" s="11">
        <f t="shared" si="149"/>
        <v>0</v>
      </c>
      <c r="F151" s="141"/>
      <c r="G151" s="13" t="e">
        <f t="shared" si="150"/>
        <v>#DIV/0!</v>
      </c>
      <c r="H151" s="83"/>
      <c r="I151" s="125"/>
      <c r="J151" s="83">
        <f t="shared" si="151"/>
        <v>0</v>
      </c>
      <c r="K151" s="83">
        <f t="shared" si="152"/>
        <v>0</v>
      </c>
      <c r="L151" s="136" t="e">
        <f t="shared" si="153"/>
        <v>#DIV/0!</v>
      </c>
      <c r="M151" s="116"/>
      <c r="N151" s="324">
        <v>2720000</v>
      </c>
    </row>
    <row r="152" spans="1:14" ht="16">
      <c r="A152" s="138">
        <v>45800</v>
      </c>
      <c r="B152" s="140" t="s">
        <v>51</v>
      </c>
      <c r="C152" s="83"/>
      <c r="D152" s="83"/>
      <c r="E152" s="11">
        <f t="shared" si="149"/>
        <v>0</v>
      </c>
      <c r="F152" s="141"/>
      <c r="G152" s="13" t="e">
        <f t="shared" si="150"/>
        <v>#DIV/0!</v>
      </c>
      <c r="H152" s="83"/>
      <c r="I152" s="125"/>
      <c r="J152" s="83">
        <f t="shared" si="151"/>
        <v>0</v>
      </c>
      <c r="K152" s="83">
        <f t="shared" si="152"/>
        <v>0</v>
      </c>
      <c r="L152" s="136" t="e">
        <f t="shared" si="153"/>
        <v>#DIV/0!</v>
      </c>
      <c r="M152" s="116"/>
      <c r="N152" s="324">
        <v>2420000</v>
      </c>
    </row>
    <row r="153" spans="1:14" ht="16">
      <c r="A153" s="138"/>
      <c r="B153" s="140" t="s">
        <v>51</v>
      </c>
      <c r="C153" s="83"/>
      <c r="D153" s="83"/>
      <c r="E153" s="11">
        <f t="shared" si="149"/>
        <v>0</v>
      </c>
      <c r="F153" s="141"/>
      <c r="G153" s="13" t="e">
        <f t="shared" si="150"/>
        <v>#DIV/0!</v>
      </c>
      <c r="H153" s="83"/>
      <c r="I153" s="125"/>
      <c r="J153" s="83">
        <f t="shared" si="151"/>
        <v>0</v>
      </c>
      <c r="K153" s="83">
        <f t="shared" si="152"/>
        <v>0</v>
      </c>
      <c r="L153" s="136" t="e">
        <f t="shared" si="153"/>
        <v>#DIV/0!</v>
      </c>
      <c r="M153" s="116"/>
      <c r="N153" s="324">
        <f>M153*F153</f>
        <v>0</v>
      </c>
    </row>
    <row r="154" spans="1:14" ht="16">
      <c r="A154" s="138"/>
      <c r="B154" s="140"/>
      <c r="C154" s="83"/>
      <c r="D154" s="83"/>
      <c r="E154" s="11">
        <f t="shared" si="149"/>
        <v>0</v>
      </c>
      <c r="F154" s="141"/>
      <c r="G154" s="13" t="e">
        <f t="shared" si="150"/>
        <v>#DIV/0!</v>
      </c>
      <c r="H154" s="83"/>
      <c r="I154" s="125"/>
      <c r="J154" s="83">
        <f t="shared" si="151"/>
        <v>0</v>
      </c>
      <c r="K154" s="83">
        <f t="shared" si="152"/>
        <v>0</v>
      </c>
      <c r="L154" s="136" t="e">
        <f t="shared" si="153"/>
        <v>#DIV/0!</v>
      </c>
      <c r="M154" s="116"/>
      <c r="N154" s="201">
        <f>F154*M154</f>
        <v>0</v>
      </c>
    </row>
    <row r="155" spans="1:14" ht="16">
      <c r="A155" s="59"/>
      <c r="B155" s="60"/>
      <c r="C155" s="59"/>
      <c r="D155" s="59" t="s">
        <v>19</v>
      </c>
      <c r="E155" s="59">
        <f t="shared" ref="E155:F155" si="154">SUM(E150:E154)</f>
        <v>-295530</v>
      </c>
      <c r="F155" s="59">
        <f t="shared" si="154"/>
        <v>0</v>
      </c>
      <c r="G155" s="61" t="e">
        <f>AVERAGE(G150:G154)</f>
        <v>#DIV/0!</v>
      </c>
      <c r="H155" s="59"/>
      <c r="I155" s="62"/>
      <c r="J155" s="59">
        <f t="shared" ref="J155:K155" si="155">SUM(J150:J154)</f>
        <v>0</v>
      </c>
      <c r="K155" s="59">
        <f t="shared" si="155"/>
        <v>0</v>
      </c>
      <c r="L155" s="61" t="e">
        <f>AVERAGE(L150:L154)</f>
        <v>#DIV/0!</v>
      </c>
      <c r="M155" s="64"/>
      <c r="N155" s="325">
        <f>SUM(N150:N154)</f>
        <v>7090000</v>
      </c>
    </row>
    <row r="156" spans="1:14" ht="16">
      <c r="A156" s="66">
        <v>45779</v>
      </c>
      <c r="B156" s="140" t="s">
        <v>90</v>
      </c>
      <c r="C156" s="83"/>
      <c r="D156" s="12"/>
      <c r="E156" s="36">
        <f t="shared" ref="E156:E160" si="156">D156-C156</f>
        <v>0</v>
      </c>
      <c r="F156" s="37"/>
      <c r="G156" s="13" t="e">
        <f t="shared" ref="G156:G160" si="157">(F156/E156)*100</f>
        <v>#DIV/0!</v>
      </c>
      <c r="H156" s="83"/>
      <c r="I156" s="126"/>
      <c r="J156" s="39">
        <f t="shared" ref="J156:J160" si="158">I156-H156</f>
        <v>0</v>
      </c>
      <c r="K156" s="39">
        <f t="shared" ref="K156:K160" si="159">F156</f>
        <v>0</v>
      </c>
      <c r="L156" s="136" t="e">
        <f t="shared" ref="L156:L160" si="160">(K156/J156)*100</f>
        <v>#DIV/0!</v>
      </c>
      <c r="M156" s="68"/>
      <c r="N156" s="324">
        <v>8500000</v>
      </c>
    </row>
    <row r="157" spans="1:14" ht="16">
      <c r="A157" s="138">
        <v>45793</v>
      </c>
      <c r="B157" s="140" t="s">
        <v>90</v>
      </c>
      <c r="C157" s="83"/>
      <c r="D157" s="83"/>
      <c r="E157" s="11">
        <f t="shared" si="156"/>
        <v>0</v>
      </c>
      <c r="F157" s="141"/>
      <c r="G157" s="13" t="e">
        <f t="shared" si="157"/>
        <v>#DIV/0!</v>
      </c>
      <c r="H157" s="83"/>
      <c r="I157" s="125"/>
      <c r="J157" s="83">
        <f t="shared" si="158"/>
        <v>0</v>
      </c>
      <c r="K157" s="83">
        <f t="shared" si="159"/>
        <v>0</v>
      </c>
      <c r="L157" s="136" t="e">
        <f t="shared" si="160"/>
        <v>#DIV/0!</v>
      </c>
      <c r="M157" s="116"/>
      <c r="N157" s="329">
        <v>7000000</v>
      </c>
    </row>
    <row r="158" spans="1:14" ht="16">
      <c r="A158" s="138">
        <v>45807</v>
      </c>
      <c r="B158" s="140" t="s">
        <v>90</v>
      </c>
      <c r="C158" s="83"/>
      <c r="D158" s="83"/>
      <c r="E158" s="11">
        <f t="shared" si="156"/>
        <v>0</v>
      </c>
      <c r="F158" s="141"/>
      <c r="G158" s="13" t="e">
        <f t="shared" si="157"/>
        <v>#DIV/0!</v>
      </c>
      <c r="H158" s="83"/>
      <c r="I158" s="125"/>
      <c r="J158" s="83">
        <f t="shared" si="158"/>
        <v>0</v>
      </c>
      <c r="K158" s="83">
        <f t="shared" si="159"/>
        <v>0</v>
      </c>
      <c r="L158" s="136" t="e">
        <f t="shared" si="160"/>
        <v>#DIV/0!</v>
      </c>
      <c r="M158" s="116"/>
      <c r="N158" s="201">
        <v>2000000</v>
      </c>
    </row>
    <row r="159" spans="1:14" ht="16">
      <c r="A159" s="138"/>
      <c r="B159" s="140" t="s">
        <v>90</v>
      </c>
      <c r="C159" s="83"/>
      <c r="D159" s="83"/>
      <c r="E159" s="11">
        <f t="shared" si="156"/>
        <v>0</v>
      </c>
      <c r="F159" s="141"/>
      <c r="G159" s="13" t="e">
        <f t="shared" si="157"/>
        <v>#DIV/0!</v>
      </c>
      <c r="H159" s="83"/>
      <c r="I159" s="125"/>
      <c r="J159" s="83">
        <f t="shared" si="158"/>
        <v>0</v>
      </c>
      <c r="K159" s="83">
        <f t="shared" si="159"/>
        <v>0</v>
      </c>
      <c r="L159" s="136" t="e">
        <f t="shared" si="160"/>
        <v>#DIV/0!</v>
      </c>
      <c r="M159" s="116"/>
      <c r="N159" s="201">
        <f t="shared" ref="N159:N160" si="161">F159*M159</f>
        <v>0</v>
      </c>
    </row>
    <row r="160" spans="1:14" ht="16">
      <c r="A160" s="138"/>
      <c r="B160" s="140"/>
      <c r="C160" s="83"/>
      <c r="D160" s="83"/>
      <c r="E160" s="11">
        <f t="shared" si="156"/>
        <v>0</v>
      </c>
      <c r="F160" s="141"/>
      <c r="G160" s="13" t="e">
        <f t="shared" si="157"/>
        <v>#DIV/0!</v>
      </c>
      <c r="H160" s="83"/>
      <c r="I160" s="125"/>
      <c r="J160" s="83">
        <f t="shared" si="158"/>
        <v>0</v>
      </c>
      <c r="K160" s="83">
        <f t="shared" si="159"/>
        <v>0</v>
      </c>
      <c r="L160" s="136" t="e">
        <f t="shared" si="160"/>
        <v>#DIV/0!</v>
      </c>
      <c r="M160" s="116"/>
      <c r="N160" s="201">
        <f t="shared" si="161"/>
        <v>0</v>
      </c>
    </row>
    <row r="161" spans="1:14" ht="16">
      <c r="A161" s="59"/>
      <c r="B161" s="60"/>
      <c r="C161" s="59"/>
      <c r="D161" s="59"/>
      <c r="E161" s="59">
        <f t="shared" ref="E161:F161" si="162">SUM(E156:E160)</f>
        <v>0</v>
      </c>
      <c r="F161" s="59">
        <f t="shared" si="162"/>
        <v>0</v>
      </c>
      <c r="G161" s="61" t="e">
        <f>AVERAGE(G156:G160)</f>
        <v>#DIV/0!</v>
      </c>
      <c r="H161" s="59"/>
      <c r="I161" s="62"/>
      <c r="J161" s="59">
        <f t="shared" ref="J161:K161" si="163">SUM(J156:J160)</f>
        <v>0</v>
      </c>
      <c r="K161" s="59">
        <f t="shared" si="163"/>
        <v>0</v>
      </c>
      <c r="L161" s="61" t="e">
        <f>AVERAGE(L156:L160)</f>
        <v>#DIV/0!</v>
      </c>
      <c r="M161" s="64"/>
      <c r="N161" s="325">
        <f>SUM(N156:N160)</f>
        <v>17500000</v>
      </c>
    </row>
    <row r="162" spans="1:14" ht="16">
      <c r="A162" s="66">
        <v>45779</v>
      </c>
      <c r="B162" s="140" t="s">
        <v>54</v>
      </c>
      <c r="C162" s="83"/>
      <c r="D162" s="12"/>
      <c r="E162" s="36">
        <f t="shared" ref="E162:E167" si="164">D162-C162</f>
        <v>0</v>
      </c>
      <c r="F162" s="37"/>
      <c r="G162" s="13" t="e">
        <f t="shared" ref="G162:G167" si="165">(F162/E162)*100</f>
        <v>#DIV/0!</v>
      </c>
      <c r="H162" s="83"/>
      <c r="I162" s="126"/>
      <c r="J162" s="39">
        <f t="shared" ref="J162:J167" si="166">I162-H162</f>
        <v>0</v>
      </c>
      <c r="K162" s="39">
        <f t="shared" ref="K162:K167" si="167">F162</f>
        <v>0</v>
      </c>
      <c r="L162" s="136" t="e">
        <f t="shared" ref="L162:L167" si="168">(K162/J162)*100</f>
        <v>#DIV/0!</v>
      </c>
      <c r="M162" s="68"/>
      <c r="N162" s="324">
        <v>5000000</v>
      </c>
    </row>
    <row r="163" spans="1:14" ht="16">
      <c r="A163" s="66">
        <v>45782</v>
      </c>
      <c r="B163" s="140" t="s">
        <v>54</v>
      </c>
      <c r="C163" s="83"/>
      <c r="D163" s="83"/>
      <c r="E163" s="11">
        <f t="shared" si="164"/>
        <v>0</v>
      </c>
      <c r="F163" s="141"/>
      <c r="G163" s="13" t="e">
        <f t="shared" si="165"/>
        <v>#DIV/0!</v>
      </c>
      <c r="H163" s="83"/>
      <c r="I163" s="125"/>
      <c r="J163" s="83">
        <f t="shared" si="166"/>
        <v>0</v>
      </c>
      <c r="K163" s="83">
        <f t="shared" si="167"/>
        <v>0</v>
      </c>
      <c r="L163" s="136" t="e">
        <f t="shared" si="168"/>
        <v>#DIV/0!</v>
      </c>
      <c r="M163" s="116"/>
      <c r="N163" s="324">
        <v>3000000</v>
      </c>
    </row>
    <row r="164" spans="1:14" ht="16">
      <c r="A164" s="138">
        <v>45785</v>
      </c>
      <c r="B164" s="140" t="s">
        <v>54</v>
      </c>
      <c r="C164" s="83"/>
      <c r="D164" s="83"/>
      <c r="E164" s="11">
        <f t="shared" si="164"/>
        <v>0</v>
      </c>
      <c r="F164" s="141"/>
      <c r="G164" s="13" t="e">
        <f t="shared" si="165"/>
        <v>#DIV/0!</v>
      </c>
      <c r="H164" s="83"/>
      <c r="I164" s="125"/>
      <c r="J164" s="83">
        <f t="shared" si="166"/>
        <v>0</v>
      </c>
      <c r="K164" s="83">
        <f t="shared" si="167"/>
        <v>0</v>
      </c>
      <c r="L164" s="136" t="e">
        <f t="shared" si="168"/>
        <v>#DIV/0!</v>
      </c>
      <c r="M164" s="116"/>
      <c r="N164" s="201">
        <v>3000000</v>
      </c>
    </row>
    <row r="165" spans="1:14" ht="16">
      <c r="A165" s="138">
        <v>45790</v>
      </c>
      <c r="B165" s="140" t="s">
        <v>54</v>
      </c>
      <c r="C165" s="83"/>
      <c r="D165" s="83"/>
      <c r="E165" s="11">
        <f t="shared" si="164"/>
        <v>0</v>
      </c>
      <c r="F165" s="141"/>
      <c r="G165" s="13" t="e">
        <f t="shared" si="165"/>
        <v>#DIV/0!</v>
      </c>
      <c r="H165" s="83"/>
      <c r="I165" s="125"/>
      <c r="J165" s="83">
        <f t="shared" si="166"/>
        <v>0</v>
      </c>
      <c r="K165" s="83">
        <f t="shared" si="167"/>
        <v>0</v>
      </c>
      <c r="L165" s="136" t="e">
        <f t="shared" si="168"/>
        <v>#DIV/0!</v>
      </c>
      <c r="M165" s="116"/>
      <c r="N165" s="201">
        <v>5000000</v>
      </c>
    </row>
    <row r="166" spans="1:14" ht="16">
      <c r="A166" s="138">
        <v>45790</v>
      </c>
      <c r="B166" s="140" t="s">
        <v>54</v>
      </c>
      <c r="C166" s="83"/>
      <c r="D166" s="83"/>
      <c r="E166" s="11">
        <f t="shared" si="164"/>
        <v>0</v>
      </c>
      <c r="F166" s="141"/>
      <c r="G166" s="13" t="e">
        <f t="shared" si="165"/>
        <v>#DIV/0!</v>
      </c>
      <c r="H166" s="83"/>
      <c r="I166" s="125"/>
      <c r="J166" s="83">
        <f t="shared" si="166"/>
        <v>0</v>
      </c>
      <c r="K166" s="83">
        <f t="shared" si="167"/>
        <v>0</v>
      </c>
      <c r="L166" s="136" t="e">
        <f t="shared" si="168"/>
        <v>#DIV/0!</v>
      </c>
      <c r="M166" s="116"/>
      <c r="N166" s="201">
        <v>2000000</v>
      </c>
    </row>
    <row r="167" spans="1:14" ht="16">
      <c r="A167" s="138">
        <v>45793</v>
      </c>
      <c r="B167" s="140" t="s">
        <v>54</v>
      </c>
      <c r="C167" s="83"/>
      <c r="D167" s="83"/>
      <c r="E167" s="11">
        <f t="shared" si="164"/>
        <v>0</v>
      </c>
      <c r="F167" s="141"/>
      <c r="G167" s="13" t="e">
        <f t="shared" si="165"/>
        <v>#DIV/0!</v>
      </c>
      <c r="H167" s="83"/>
      <c r="I167" s="125"/>
      <c r="J167" s="83">
        <f t="shared" si="166"/>
        <v>0</v>
      </c>
      <c r="K167" s="83">
        <f t="shared" si="167"/>
        <v>0</v>
      </c>
      <c r="L167" s="136" t="e">
        <f t="shared" si="168"/>
        <v>#DIV/0!</v>
      </c>
      <c r="M167" s="116"/>
      <c r="N167" s="201">
        <v>5000000</v>
      </c>
    </row>
    <row r="168" spans="1:14" ht="16">
      <c r="A168" s="138">
        <v>45798</v>
      </c>
      <c r="B168" s="140" t="s">
        <v>54</v>
      </c>
      <c r="C168" s="83"/>
      <c r="D168" s="83"/>
      <c r="E168" s="11"/>
      <c r="F168" s="141"/>
      <c r="G168" s="13"/>
      <c r="H168" s="83"/>
      <c r="I168" s="125"/>
      <c r="J168" s="83"/>
      <c r="K168" s="83"/>
      <c r="L168" s="136"/>
      <c r="M168" s="116"/>
      <c r="N168" s="201">
        <v>7000000</v>
      </c>
    </row>
    <row r="169" spans="1:14" ht="16">
      <c r="A169" s="138"/>
      <c r="B169" s="140" t="s">
        <v>54</v>
      </c>
      <c r="C169" s="83"/>
      <c r="D169" s="83"/>
      <c r="E169" s="11">
        <f>D169-C169</f>
        <v>0</v>
      </c>
      <c r="F169" s="141"/>
      <c r="G169" s="13" t="e">
        <f>(F169/E169)*100</f>
        <v>#DIV/0!</v>
      </c>
      <c r="H169" s="83"/>
      <c r="I169" s="125"/>
      <c r="J169" s="83">
        <f>I169-H169</f>
        <v>0</v>
      </c>
      <c r="K169" s="83">
        <f>F169</f>
        <v>0</v>
      </c>
      <c r="L169" s="136" t="e">
        <f>(K169/J169)*100</f>
        <v>#DIV/0!</v>
      </c>
      <c r="M169" s="116"/>
      <c r="N169" s="201"/>
    </row>
    <row r="170" spans="1:14" ht="16">
      <c r="A170" s="59"/>
      <c r="B170" s="60"/>
      <c r="C170" s="59"/>
      <c r="D170" s="59" t="s">
        <v>19</v>
      </c>
      <c r="E170" s="59">
        <f t="shared" ref="E170:F170" si="169">SUM(E162:E169)</f>
        <v>0</v>
      </c>
      <c r="F170" s="59">
        <f t="shared" si="169"/>
        <v>0</v>
      </c>
      <c r="G170" s="61" t="e">
        <f>AVERAGE(G162:G169)</f>
        <v>#DIV/0!</v>
      </c>
      <c r="H170" s="59"/>
      <c r="I170" s="62"/>
      <c r="J170" s="59">
        <f t="shared" ref="J170:K170" si="170">SUM(J162:J169)</f>
        <v>0</v>
      </c>
      <c r="K170" s="59">
        <f t="shared" si="170"/>
        <v>0</v>
      </c>
      <c r="L170" s="61" t="e">
        <f>AVERAGE(L162:L169)</f>
        <v>#DIV/0!</v>
      </c>
      <c r="M170" s="64"/>
      <c r="N170" s="325">
        <f>SUM(N162:N169)</f>
        <v>30000000</v>
      </c>
    </row>
    <row r="171" spans="1:14" ht="16">
      <c r="A171" s="66">
        <v>45779</v>
      </c>
      <c r="B171" s="140" t="s">
        <v>69</v>
      </c>
      <c r="C171" s="83"/>
      <c r="D171" s="12"/>
      <c r="E171" s="36">
        <f t="shared" ref="E171:E174" si="171">D171-C171</f>
        <v>0</v>
      </c>
      <c r="F171" s="37"/>
      <c r="G171" s="13" t="e">
        <f t="shared" ref="G171:G174" si="172">(F171/E171)*100</f>
        <v>#DIV/0!</v>
      </c>
      <c r="H171" s="83"/>
      <c r="I171" s="126"/>
      <c r="J171" s="39">
        <f t="shared" ref="J171:J174" si="173">I171-H171</f>
        <v>0</v>
      </c>
      <c r="K171" s="39">
        <f t="shared" ref="K171:K174" si="174">F171</f>
        <v>0</v>
      </c>
      <c r="L171" s="136" t="e">
        <f t="shared" ref="L171:L174" si="175">(K171/J171)*100</f>
        <v>#DIV/0!</v>
      </c>
      <c r="M171" s="68"/>
      <c r="N171" s="324">
        <v>5725000</v>
      </c>
    </row>
    <row r="172" spans="1:14" ht="16">
      <c r="A172" s="138">
        <v>45784</v>
      </c>
      <c r="B172" s="140" t="s">
        <v>69</v>
      </c>
      <c r="C172" s="83"/>
      <c r="D172" s="83"/>
      <c r="E172" s="11">
        <f t="shared" si="171"/>
        <v>0</v>
      </c>
      <c r="F172" s="141"/>
      <c r="G172" s="13" t="e">
        <f t="shared" si="172"/>
        <v>#DIV/0!</v>
      </c>
      <c r="H172" s="83"/>
      <c r="I172" s="125"/>
      <c r="J172" s="83">
        <f t="shared" si="173"/>
        <v>0</v>
      </c>
      <c r="K172" s="83">
        <f t="shared" si="174"/>
        <v>0</v>
      </c>
      <c r="L172" s="136" t="e">
        <f t="shared" si="175"/>
        <v>#DIV/0!</v>
      </c>
      <c r="M172" s="116"/>
      <c r="N172" s="329">
        <v>4230000</v>
      </c>
    </row>
    <row r="173" spans="1:14" ht="16">
      <c r="A173" s="138">
        <v>45791</v>
      </c>
      <c r="B173" s="140" t="s">
        <v>69</v>
      </c>
      <c r="C173" s="83"/>
      <c r="D173" s="83"/>
      <c r="E173" s="11">
        <f t="shared" si="171"/>
        <v>0</v>
      </c>
      <c r="F173" s="141"/>
      <c r="G173" s="13" t="e">
        <f t="shared" si="172"/>
        <v>#DIV/0!</v>
      </c>
      <c r="H173" s="83"/>
      <c r="I173" s="125"/>
      <c r="J173" s="83">
        <f t="shared" si="173"/>
        <v>0</v>
      </c>
      <c r="K173" s="83">
        <f t="shared" si="174"/>
        <v>0</v>
      </c>
      <c r="L173" s="136" t="e">
        <f t="shared" si="175"/>
        <v>#DIV/0!</v>
      </c>
      <c r="M173" s="116"/>
      <c r="N173" s="201">
        <v>4637000</v>
      </c>
    </row>
    <row r="174" spans="1:14" ht="16">
      <c r="A174" s="138">
        <v>45798</v>
      </c>
      <c r="B174" s="140" t="s">
        <v>69</v>
      </c>
      <c r="C174" s="83"/>
      <c r="D174" s="83"/>
      <c r="E174" s="11">
        <f t="shared" si="171"/>
        <v>0</v>
      </c>
      <c r="F174" s="141"/>
      <c r="G174" s="13" t="e">
        <f t="shared" si="172"/>
        <v>#DIV/0!</v>
      </c>
      <c r="H174" s="83"/>
      <c r="I174" s="125"/>
      <c r="J174" s="83">
        <f t="shared" si="173"/>
        <v>0</v>
      </c>
      <c r="K174" s="83">
        <f t="shared" si="174"/>
        <v>0</v>
      </c>
      <c r="L174" s="136" t="e">
        <f t="shared" si="175"/>
        <v>#DIV/0!</v>
      </c>
      <c r="M174" s="116"/>
      <c r="N174" s="201">
        <v>4746000</v>
      </c>
    </row>
    <row r="175" spans="1:14" ht="16">
      <c r="A175" s="138">
        <v>45807</v>
      </c>
      <c r="B175" s="140" t="s">
        <v>69</v>
      </c>
      <c r="C175" s="83"/>
      <c r="D175" s="83"/>
      <c r="E175" s="11"/>
      <c r="F175" s="141"/>
      <c r="G175" s="13"/>
      <c r="H175" s="83"/>
      <c r="I175" s="125"/>
      <c r="J175" s="83"/>
      <c r="K175" s="83"/>
      <c r="L175" s="136"/>
      <c r="M175" s="116"/>
      <c r="N175" s="201">
        <v>1000000</v>
      </c>
    </row>
    <row r="176" spans="1:14" ht="16">
      <c r="A176" s="138">
        <v>45800</v>
      </c>
      <c r="B176" s="140" t="s">
        <v>69</v>
      </c>
      <c r="C176" s="83"/>
      <c r="D176" s="83"/>
      <c r="E176" s="11">
        <f>D176-C176</f>
        <v>0</v>
      </c>
      <c r="F176" s="141"/>
      <c r="G176" s="13" t="e">
        <f>(F176/E176)*100</f>
        <v>#DIV/0!</v>
      </c>
      <c r="H176" s="83"/>
      <c r="I176" s="125"/>
      <c r="J176" s="83">
        <f>I176-H176</f>
        <v>0</v>
      </c>
      <c r="K176" s="83">
        <f>F176</f>
        <v>0</v>
      </c>
      <c r="L176" s="136" t="e">
        <f>(K176/J176)*100</f>
        <v>#DIV/0!</v>
      </c>
      <c r="M176" s="116"/>
      <c r="N176" s="201">
        <v>1000000</v>
      </c>
    </row>
    <row r="177" spans="1:14" ht="16">
      <c r="A177" s="59"/>
      <c r="B177" s="60"/>
      <c r="C177" s="59"/>
      <c r="D177" s="59" t="s">
        <v>19</v>
      </c>
      <c r="E177" s="59">
        <f t="shared" ref="E177:F177" si="176">SUM(E171:E176)</f>
        <v>0</v>
      </c>
      <c r="F177" s="59">
        <f t="shared" si="176"/>
        <v>0</v>
      </c>
      <c r="G177" s="61" t="e">
        <f>AVERAGE(G171:G176)</f>
        <v>#DIV/0!</v>
      </c>
      <c r="H177" s="59"/>
      <c r="I177" s="62"/>
      <c r="J177" s="59">
        <f t="shared" ref="J177:K177" si="177">SUM(J171:J176)</f>
        <v>0</v>
      </c>
      <c r="K177" s="59">
        <f t="shared" si="177"/>
        <v>0</v>
      </c>
      <c r="L177" s="61" t="e">
        <f>AVERAGE(L171:L176)</f>
        <v>#DIV/0!</v>
      </c>
      <c r="M177" s="64"/>
      <c r="N177" s="325">
        <f>SUM(N171:N176)</f>
        <v>21338000</v>
      </c>
    </row>
    <row r="178" spans="1:14" ht="14">
      <c r="A178" s="354" t="s">
        <v>64</v>
      </c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6"/>
      <c r="M178" s="64"/>
      <c r="N178" s="325">
        <f>SUM(N120:N177)/2</f>
        <v>122126000</v>
      </c>
    </row>
    <row r="179" spans="1:14" ht="13">
      <c r="G179" s="150"/>
      <c r="L179" s="150"/>
    </row>
    <row r="180" spans="1:14" ht="13">
      <c r="G180" s="150"/>
      <c r="L180" s="150"/>
    </row>
    <row r="181" spans="1:14" ht="13">
      <c r="G181" s="150"/>
      <c r="L181" s="150"/>
    </row>
    <row r="182" spans="1:14" ht="13">
      <c r="G182" s="150"/>
      <c r="L182" s="150"/>
    </row>
    <row r="183" spans="1:14" ht="13">
      <c r="G183" s="150"/>
      <c r="L183" s="150"/>
    </row>
    <row r="184" spans="1:14" ht="13">
      <c r="G184" s="150"/>
      <c r="L184" s="150"/>
    </row>
    <row r="185" spans="1:14" ht="13">
      <c r="G185" s="150"/>
      <c r="L185" s="150"/>
    </row>
    <row r="186" spans="1:14" ht="13">
      <c r="G186" s="150"/>
      <c r="L186" s="150"/>
    </row>
    <row r="187" spans="1:14" ht="13">
      <c r="G187" s="150"/>
      <c r="L187" s="150"/>
    </row>
    <row r="188" spans="1:14" ht="13">
      <c r="G188" s="150"/>
      <c r="L188" s="150"/>
    </row>
    <row r="189" spans="1:14" ht="13">
      <c r="G189" s="150"/>
      <c r="L189" s="150"/>
    </row>
    <row r="190" spans="1:14" ht="13">
      <c r="G190" s="150"/>
      <c r="L190" s="150"/>
    </row>
    <row r="191" spans="1:14" ht="13">
      <c r="G191" s="150"/>
      <c r="L191" s="150"/>
    </row>
    <row r="192" spans="1:14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  <row r="1025" spans="7:12" ht="13">
      <c r="G1025" s="150"/>
      <c r="L1025" s="150"/>
    </row>
    <row r="1026" spans="7:12" ht="13">
      <c r="G1026" s="150"/>
      <c r="L1026" s="150"/>
    </row>
    <row r="1027" spans="7:12" ht="13">
      <c r="G1027" s="150"/>
      <c r="L1027" s="150"/>
    </row>
    <row r="1028" spans="7:12" ht="13">
      <c r="G1028" s="150"/>
      <c r="L1028" s="150"/>
    </row>
    <row r="1029" spans="7:12" ht="13">
      <c r="G1029" s="150"/>
      <c r="L1029" s="150"/>
    </row>
    <row r="1030" spans="7:12" ht="13">
      <c r="G1030" s="150"/>
      <c r="L1030" s="150"/>
    </row>
    <row r="1031" spans="7:12" ht="13">
      <c r="G1031" s="150"/>
      <c r="L1031" s="150"/>
    </row>
  </sheetData>
  <mergeCells count="3">
    <mergeCell ref="A1:N1"/>
    <mergeCell ref="A116:M116"/>
    <mergeCell ref="A178:L17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24"/>
  <sheetViews>
    <sheetView topLeftCell="A72" workbookViewId="0">
      <selection activeCell="A85" sqref="A85"/>
    </sheetView>
  </sheetViews>
  <sheetFormatPr baseColWidth="10" defaultColWidth="12.6640625" defaultRowHeight="15.75" customHeight="1"/>
  <sheetData>
    <row r="1" spans="1:14" ht="18">
      <c r="A1" s="352" t="s">
        <v>99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45749</v>
      </c>
      <c r="B3" s="269" t="s">
        <v>11</v>
      </c>
      <c r="C3" s="83">
        <v>178415</v>
      </c>
      <c r="D3" s="83">
        <v>178837</v>
      </c>
      <c r="E3" s="36">
        <f t="shared" ref="E3:E9" si="0">D3-C3</f>
        <v>422</v>
      </c>
      <c r="F3" s="37">
        <v>50</v>
      </c>
      <c r="G3" s="13">
        <f t="shared" ref="G3:G9" si="1">(F3/E3)*100</f>
        <v>11.848341232227488</v>
      </c>
      <c r="H3" s="125">
        <v>11702</v>
      </c>
      <c r="I3" s="126">
        <v>11947</v>
      </c>
      <c r="J3" s="39">
        <f t="shared" ref="J3:J9" si="2">I3-H3</f>
        <v>245</v>
      </c>
      <c r="K3" s="39">
        <f t="shared" ref="K3:K9" si="3">F3</f>
        <v>50</v>
      </c>
      <c r="L3" s="270">
        <f t="shared" ref="L3:L9" si="4">(K3/J3)*100</f>
        <v>20.408163265306122</v>
      </c>
      <c r="M3" s="68">
        <v>18210</v>
      </c>
      <c r="N3" s="294">
        <f t="shared" ref="N3:N9" si="5">F3*M3</f>
        <v>910500</v>
      </c>
    </row>
    <row r="4" spans="1:14" ht="16">
      <c r="A4" s="138">
        <v>45757</v>
      </c>
      <c r="B4" s="140" t="s">
        <v>11</v>
      </c>
      <c r="C4" s="83">
        <v>178837</v>
      </c>
      <c r="D4" s="83">
        <v>179142</v>
      </c>
      <c r="E4" s="11">
        <f t="shared" si="0"/>
        <v>305</v>
      </c>
      <c r="F4" s="141">
        <v>50</v>
      </c>
      <c r="G4" s="13">
        <f t="shared" si="1"/>
        <v>16.393442622950818</v>
      </c>
      <c r="H4" s="83">
        <v>11947</v>
      </c>
      <c r="I4" s="125">
        <v>12382</v>
      </c>
      <c r="J4" s="83">
        <f t="shared" si="2"/>
        <v>435</v>
      </c>
      <c r="K4" s="83">
        <f t="shared" si="3"/>
        <v>50</v>
      </c>
      <c r="L4" s="136">
        <f t="shared" si="4"/>
        <v>11.494252873563218</v>
      </c>
      <c r="M4" s="116">
        <v>18470</v>
      </c>
      <c r="N4" s="296">
        <f t="shared" si="5"/>
        <v>923500</v>
      </c>
    </row>
    <row r="5" spans="1:14" ht="16">
      <c r="A5" s="138">
        <v>45762</v>
      </c>
      <c r="B5" s="140" t="s">
        <v>11</v>
      </c>
      <c r="C5" s="83">
        <v>179142</v>
      </c>
      <c r="D5" s="83">
        <v>179519</v>
      </c>
      <c r="E5" s="11">
        <f t="shared" si="0"/>
        <v>377</v>
      </c>
      <c r="F5" s="141">
        <v>50</v>
      </c>
      <c r="G5" s="13">
        <f t="shared" si="1"/>
        <v>13.262599469496022</v>
      </c>
      <c r="H5" s="125">
        <v>12382</v>
      </c>
      <c r="I5" s="125">
        <v>12848</v>
      </c>
      <c r="J5" s="83">
        <f t="shared" si="2"/>
        <v>466</v>
      </c>
      <c r="K5" s="83">
        <f t="shared" si="3"/>
        <v>50</v>
      </c>
      <c r="L5" s="136">
        <f t="shared" si="4"/>
        <v>10.72961373390558</v>
      </c>
      <c r="M5" s="116">
        <v>17240</v>
      </c>
      <c r="N5" s="296">
        <f t="shared" si="5"/>
        <v>862000</v>
      </c>
    </row>
    <row r="6" spans="1:14" ht="16">
      <c r="A6" s="249">
        <v>45765</v>
      </c>
      <c r="B6" s="140" t="s">
        <v>11</v>
      </c>
      <c r="C6" s="83">
        <v>179519</v>
      </c>
      <c r="D6" s="83">
        <v>179840</v>
      </c>
      <c r="E6" s="11">
        <f t="shared" si="0"/>
        <v>321</v>
      </c>
      <c r="F6" s="141">
        <v>40</v>
      </c>
      <c r="G6" s="13">
        <f t="shared" si="1"/>
        <v>12.461059190031152</v>
      </c>
      <c r="H6" s="83">
        <v>12848</v>
      </c>
      <c r="I6" s="125">
        <v>13315</v>
      </c>
      <c r="J6" s="83">
        <f t="shared" si="2"/>
        <v>467</v>
      </c>
      <c r="K6" s="83">
        <f t="shared" si="3"/>
        <v>40</v>
      </c>
      <c r="L6" s="136">
        <f t="shared" si="4"/>
        <v>8.5653104925053523</v>
      </c>
      <c r="M6" s="116">
        <v>17030</v>
      </c>
      <c r="N6" s="296">
        <f t="shared" si="5"/>
        <v>681200</v>
      </c>
    </row>
    <row r="7" spans="1:14" ht="16">
      <c r="A7" s="138">
        <v>45769</v>
      </c>
      <c r="B7" s="140" t="s">
        <v>11</v>
      </c>
      <c r="C7" s="83">
        <v>179840</v>
      </c>
      <c r="D7" s="83">
        <v>180139</v>
      </c>
      <c r="E7" s="11">
        <f t="shared" si="0"/>
        <v>299</v>
      </c>
      <c r="F7" s="141">
        <v>40</v>
      </c>
      <c r="G7" s="13">
        <f t="shared" si="1"/>
        <v>13.377926421404682</v>
      </c>
      <c r="H7" s="83">
        <v>13315</v>
      </c>
      <c r="I7" s="125"/>
      <c r="J7" s="83">
        <f t="shared" si="2"/>
        <v>-13315</v>
      </c>
      <c r="K7" s="83">
        <f t="shared" si="3"/>
        <v>40</v>
      </c>
      <c r="L7" s="136">
        <f t="shared" si="4"/>
        <v>-0.30041306796845663</v>
      </c>
      <c r="M7" s="116">
        <v>17030</v>
      </c>
      <c r="N7" s="297">
        <f t="shared" si="5"/>
        <v>681200</v>
      </c>
    </row>
    <row r="8" spans="1:14" ht="16">
      <c r="A8" s="138">
        <v>45775</v>
      </c>
      <c r="B8" s="90" t="s">
        <v>11</v>
      </c>
      <c r="C8" s="83">
        <v>180139</v>
      </c>
      <c r="D8" s="83">
        <v>180489</v>
      </c>
      <c r="E8" s="11">
        <f t="shared" si="0"/>
        <v>350</v>
      </c>
      <c r="F8" s="141">
        <v>40</v>
      </c>
      <c r="G8" s="13">
        <f t="shared" si="1"/>
        <v>11.428571428571429</v>
      </c>
      <c r="H8" s="83"/>
      <c r="I8" s="125"/>
      <c r="J8" s="83">
        <f t="shared" si="2"/>
        <v>0</v>
      </c>
      <c r="K8" s="83">
        <f t="shared" si="3"/>
        <v>40</v>
      </c>
      <c r="L8" s="136" t="e">
        <f t="shared" si="4"/>
        <v>#DIV/0!</v>
      </c>
      <c r="M8" s="116">
        <v>17520</v>
      </c>
      <c r="N8" s="297">
        <f t="shared" si="5"/>
        <v>700800</v>
      </c>
    </row>
    <row r="9" spans="1:14" ht="16">
      <c r="A9" s="271"/>
      <c r="B9" s="283"/>
      <c r="C9" s="134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298">
        <f t="shared" si="5"/>
        <v>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2074</v>
      </c>
      <c r="F10" s="59">
        <f t="shared" si="6"/>
        <v>270</v>
      </c>
      <c r="G10" s="61" t="e">
        <f>AVERAGE(G3:G9)</f>
        <v>#DIV/0!</v>
      </c>
      <c r="H10" s="59"/>
      <c r="I10" s="62"/>
      <c r="J10" s="59">
        <f t="shared" ref="J10:K10" si="7">SUM(J3:J9)</f>
        <v>-11702</v>
      </c>
      <c r="K10" s="59">
        <f t="shared" si="7"/>
        <v>270</v>
      </c>
      <c r="L10" s="61" t="e">
        <f>AVERAGE(L3:L9)</f>
        <v>#DIV/0!</v>
      </c>
      <c r="M10" s="64"/>
      <c r="N10" s="299">
        <f>SUM(N3:N9)</f>
        <v>4759200</v>
      </c>
    </row>
    <row r="11" spans="1:14" ht="16">
      <c r="A11" s="66">
        <v>45749</v>
      </c>
      <c r="B11" s="269" t="s">
        <v>12</v>
      </c>
      <c r="C11" s="83">
        <v>141825</v>
      </c>
      <c r="D11" s="83">
        <v>142211</v>
      </c>
      <c r="E11" s="36">
        <f t="shared" ref="E11:E17" si="8">D11-C11</f>
        <v>386</v>
      </c>
      <c r="F11" s="37">
        <v>50</v>
      </c>
      <c r="G11" s="13">
        <f t="shared" ref="G11:G17" si="9">(F11/E11)*100</f>
        <v>12.953367875647666</v>
      </c>
      <c r="H11" s="125">
        <v>11288</v>
      </c>
      <c r="I11" s="126">
        <v>11618</v>
      </c>
      <c r="J11" s="39">
        <f t="shared" ref="J11:J17" si="10">I11-H11</f>
        <v>330</v>
      </c>
      <c r="K11" s="39">
        <f t="shared" ref="K11:K17" si="11">F11</f>
        <v>50</v>
      </c>
      <c r="L11" s="270">
        <f t="shared" ref="L11:L17" si="12">(K11/J11)*100</f>
        <v>15.151515151515152</v>
      </c>
      <c r="M11" s="68">
        <v>18210</v>
      </c>
      <c r="N11" s="294">
        <f t="shared" ref="N11:N17" si="13">F11*M11</f>
        <v>910500</v>
      </c>
    </row>
    <row r="12" spans="1:14" ht="16">
      <c r="A12" s="138">
        <v>45757</v>
      </c>
      <c r="B12" s="140" t="s">
        <v>12</v>
      </c>
      <c r="C12" s="83">
        <v>142211</v>
      </c>
      <c r="D12" s="83">
        <v>142655</v>
      </c>
      <c r="E12" s="11">
        <f t="shared" si="8"/>
        <v>444</v>
      </c>
      <c r="F12" s="141">
        <v>58</v>
      </c>
      <c r="G12" s="13">
        <f t="shared" si="9"/>
        <v>13.063063063063062</v>
      </c>
      <c r="H12" s="83">
        <v>11618</v>
      </c>
      <c r="I12" s="125">
        <v>11949</v>
      </c>
      <c r="J12" s="83">
        <f t="shared" si="10"/>
        <v>331</v>
      </c>
      <c r="K12" s="83">
        <f t="shared" si="11"/>
        <v>58</v>
      </c>
      <c r="L12" s="136">
        <f t="shared" si="12"/>
        <v>17.522658610271904</v>
      </c>
      <c r="M12" s="116">
        <v>17240</v>
      </c>
      <c r="N12" s="296">
        <f t="shared" si="13"/>
        <v>999920</v>
      </c>
    </row>
    <row r="13" spans="1:14" ht="16">
      <c r="A13" s="138">
        <v>45764</v>
      </c>
      <c r="B13" s="140" t="s">
        <v>12</v>
      </c>
      <c r="C13" s="83">
        <v>142655</v>
      </c>
      <c r="D13" s="83">
        <v>143106</v>
      </c>
      <c r="E13" s="11">
        <f t="shared" si="8"/>
        <v>451</v>
      </c>
      <c r="F13" s="141">
        <v>54</v>
      </c>
      <c r="G13" s="13">
        <f t="shared" si="9"/>
        <v>11.973392461197339</v>
      </c>
      <c r="H13" s="83"/>
      <c r="I13" s="125"/>
      <c r="J13" s="83">
        <f t="shared" si="10"/>
        <v>0</v>
      </c>
      <c r="K13" s="83">
        <f t="shared" si="11"/>
        <v>54</v>
      </c>
      <c r="L13" s="136" t="e">
        <f t="shared" si="12"/>
        <v>#DIV/0!</v>
      </c>
      <c r="M13" s="116">
        <v>17240</v>
      </c>
      <c r="N13" s="296">
        <f t="shared" si="13"/>
        <v>930960</v>
      </c>
    </row>
    <row r="14" spans="1:14" ht="16">
      <c r="A14" s="139">
        <v>45770</v>
      </c>
      <c r="B14" s="140" t="s">
        <v>12</v>
      </c>
      <c r="C14" s="83">
        <v>143106</v>
      </c>
      <c r="D14" s="83">
        <v>143523</v>
      </c>
      <c r="E14" s="11">
        <f t="shared" si="8"/>
        <v>417</v>
      </c>
      <c r="F14" s="141">
        <v>57</v>
      </c>
      <c r="G14" s="13">
        <f t="shared" si="9"/>
        <v>13.669064748201439</v>
      </c>
      <c r="H14" s="83"/>
      <c r="I14" s="125"/>
      <c r="J14" s="83">
        <f t="shared" si="10"/>
        <v>0</v>
      </c>
      <c r="K14" s="83">
        <f t="shared" si="11"/>
        <v>57</v>
      </c>
      <c r="L14" s="136" t="e">
        <f t="shared" si="12"/>
        <v>#DIV/0!</v>
      </c>
      <c r="M14" s="116">
        <v>17030</v>
      </c>
      <c r="N14" s="297">
        <f t="shared" si="13"/>
        <v>970710</v>
      </c>
    </row>
    <row r="15" spans="1:14" ht="16">
      <c r="A15" s="138"/>
      <c r="B15" s="140" t="s">
        <v>12</v>
      </c>
      <c r="C15" s="83"/>
      <c r="D15" s="83"/>
      <c r="E15" s="11">
        <f t="shared" si="8"/>
        <v>0</v>
      </c>
      <c r="F15" s="141"/>
      <c r="G15" s="13" t="e">
        <f t="shared" si="9"/>
        <v>#DIV/0!</v>
      </c>
      <c r="H15" s="125"/>
      <c r="I15" s="125"/>
      <c r="J15" s="83">
        <f t="shared" si="10"/>
        <v>0</v>
      </c>
      <c r="K15" s="83">
        <f t="shared" si="11"/>
        <v>0</v>
      </c>
      <c r="L15" s="136" t="e">
        <f t="shared" si="12"/>
        <v>#DIV/0!</v>
      </c>
      <c r="M15" s="116"/>
      <c r="N15" s="297">
        <f t="shared" si="13"/>
        <v>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300">
        <f t="shared" si="13"/>
        <v>0</v>
      </c>
    </row>
    <row r="17" spans="1:14" ht="16">
      <c r="A17" s="271"/>
      <c r="B17" s="272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298">
        <f t="shared" si="13"/>
        <v>0</v>
      </c>
    </row>
    <row r="18" spans="1:14" ht="16">
      <c r="A18" s="59"/>
      <c r="B18" s="60"/>
      <c r="C18" s="59"/>
      <c r="D18" s="59" t="s">
        <v>19</v>
      </c>
      <c r="E18" s="59">
        <f t="shared" ref="E18:F18" si="14">SUM(E11:E17)</f>
        <v>1698</v>
      </c>
      <c r="F18" s="59">
        <f t="shared" si="14"/>
        <v>219</v>
      </c>
      <c r="G18" s="61" t="e">
        <f>AVERAGE(G11:G17)</f>
        <v>#DIV/0!</v>
      </c>
      <c r="H18" s="59"/>
      <c r="I18" s="62"/>
      <c r="J18" s="59">
        <f t="shared" ref="J18:K18" si="15">SUM(J11:J17)</f>
        <v>661</v>
      </c>
      <c r="K18" s="59">
        <f t="shared" si="15"/>
        <v>219</v>
      </c>
      <c r="L18" s="61" t="e">
        <f>AVERAGE(L11:L17)</f>
        <v>#DIV/0!</v>
      </c>
      <c r="M18" s="64"/>
      <c r="N18" s="299">
        <f>SUM(N11:N17)</f>
        <v>3812090</v>
      </c>
    </row>
    <row r="19" spans="1:14" ht="16">
      <c r="A19" s="66">
        <v>45752</v>
      </c>
      <c r="B19" s="269" t="s">
        <v>13</v>
      </c>
      <c r="C19" s="273">
        <v>160539</v>
      </c>
      <c r="D19" s="39">
        <v>160902</v>
      </c>
      <c r="E19" s="36">
        <f t="shared" ref="E19:E26" si="16">D19-C19</f>
        <v>363</v>
      </c>
      <c r="F19" s="37">
        <v>48</v>
      </c>
      <c r="G19" s="13">
        <f t="shared" ref="G19:G26" si="17">(F19/E19)*100</f>
        <v>13.223140495867769</v>
      </c>
      <c r="H19" s="135">
        <v>11931</v>
      </c>
      <c r="I19" s="126">
        <v>12792</v>
      </c>
      <c r="J19" s="39">
        <f t="shared" ref="J19:J26" si="18">I19-H19</f>
        <v>861</v>
      </c>
      <c r="K19" s="39">
        <f t="shared" ref="K19:K26" si="19">F19</f>
        <v>48</v>
      </c>
      <c r="L19" s="136">
        <f t="shared" ref="L19:L26" si="20">(K19/J19)*100</f>
        <v>5.5749128919860631</v>
      </c>
      <c r="M19" s="68">
        <v>18470</v>
      </c>
      <c r="N19" s="294">
        <f t="shared" ref="N19:N26" si="21">F19*M19</f>
        <v>886560</v>
      </c>
    </row>
    <row r="20" spans="1:14" ht="16">
      <c r="A20" s="138">
        <v>45758</v>
      </c>
      <c r="B20" s="140" t="s">
        <v>13</v>
      </c>
      <c r="C20" s="39">
        <v>160902</v>
      </c>
      <c r="D20" s="83">
        <v>161284</v>
      </c>
      <c r="E20" s="11">
        <f t="shared" si="16"/>
        <v>382</v>
      </c>
      <c r="F20" s="141">
        <v>45</v>
      </c>
      <c r="G20" s="13">
        <f t="shared" si="17"/>
        <v>11.780104712041885</v>
      </c>
      <c r="H20" s="83">
        <v>12792</v>
      </c>
      <c r="I20" s="125">
        <v>13292</v>
      </c>
      <c r="J20" s="83">
        <f t="shared" si="18"/>
        <v>500</v>
      </c>
      <c r="K20" s="83">
        <f t="shared" si="19"/>
        <v>45</v>
      </c>
      <c r="L20" s="136">
        <f t="shared" si="20"/>
        <v>9</v>
      </c>
      <c r="M20" s="116">
        <v>17240</v>
      </c>
      <c r="N20" s="296">
        <f t="shared" si="21"/>
        <v>775800</v>
      </c>
    </row>
    <row r="21" spans="1:14" ht="16">
      <c r="A21" s="138">
        <v>45764</v>
      </c>
      <c r="B21" s="140" t="s">
        <v>13</v>
      </c>
      <c r="C21" s="83">
        <v>161284</v>
      </c>
      <c r="D21" s="83">
        <v>161632</v>
      </c>
      <c r="E21" s="11">
        <f t="shared" si="16"/>
        <v>348</v>
      </c>
      <c r="F21" s="141">
        <v>50</v>
      </c>
      <c r="G21" s="13">
        <f t="shared" si="17"/>
        <v>14.367816091954023</v>
      </c>
      <c r="H21" s="83">
        <v>13292</v>
      </c>
      <c r="I21" s="125">
        <v>13793</v>
      </c>
      <c r="J21" s="83">
        <f t="shared" si="18"/>
        <v>501</v>
      </c>
      <c r="K21" s="83">
        <f t="shared" si="19"/>
        <v>50</v>
      </c>
      <c r="L21" s="136">
        <f t="shared" si="20"/>
        <v>9.9800399201596814</v>
      </c>
      <c r="M21" s="116">
        <v>17240</v>
      </c>
      <c r="N21" s="301">
        <f t="shared" si="21"/>
        <v>862000</v>
      </c>
    </row>
    <row r="22" spans="1:14" ht="16">
      <c r="A22" s="139">
        <v>45772</v>
      </c>
      <c r="B22" s="140" t="s">
        <v>13</v>
      </c>
      <c r="C22" s="83">
        <v>161632</v>
      </c>
      <c r="D22" s="83">
        <v>162006</v>
      </c>
      <c r="E22" s="11">
        <f t="shared" si="16"/>
        <v>374</v>
      </c>
      <c r="F22" s="141">
        <v>53</v>
      </c>
      <c r="G22" s="13">
        <f t="shared" si="17"/>
        <v>14.171122994652407</v>
      </c>
      <c r="H22" s="83">
        <v>13793</v>
      </c>
      <c r="I22" s="125"/>
      <c r="J22" s="83">
        <f t="shared" si="18"/>
        <v>-13793</v>
      </c>
      <c r="K22" s="83">
        <f t="shared" si="19"/>
        <v>53</v>
      </c>
      <c r="L22" s="136">
        <f t="shared" si="20"/>
        <v>-0.38425288189661422</v>
      </c>
      <c r="M22" s="116">
        <v>17520</v>
      </c>
      <c r="N22" s="297">
        <f t="shared" si="21"/>
        <v>928560</v>
      </c>
    </row>
    <row r="23" spans="1:14" ht="16">
      <c r="A23" s="138"/>
      <c r="B23" s="140" t="s">
        <v>13</v>
      </c>
      <c r="C23" s="83"/>
      <c r="D23" s="83"/>
      <c r="E23" s="11">
        <f t="shared" si="16"/>
        <v>0</v>
      </c>
      <c r="F23" s="141"/>
      <c r="G23" s="13" t="e">
        <f t="shared" si="17"/>
        <v>#DIV/0!</v>
      </c>
      <c r="H23" s="83"/>
      <c r="I23" s="125"/>
      <c r="J23" s="83">
        <f t="shared" si="18"/>
        <v>0</v>
      </c>
      <c r="K23" s="83">
        <f t="shared" si="19"/>
        <v>0</v>
      </c>
      <c r="L23" s="136" t="e">
        <f t="shared" si="20"/>
        <v>#DIV/0!</v>
      </c>
      <c r="M23" s="116"/>
      <c r="N23" s="297">
        <f t="shared" si="21"/>
        <v>0</v>
      </c>
    </row>
    <row r="24" spans="1:14" ht="16">
      <c r="A24" s="138"/>
      <c r="B24" s="90" t="s">
        <v>13</v>
      </c>
      <c r="C24" s="83"/>
      <c r="D24" s="83"/>
      <c r="E24" s="11">
        <f t="shared" si="16"/>
        <v>0</v>
      </c>
      <c r="F24" s="141"/>
      <c r="G24" s="13" t="e">
        <f t="shared" si="17"/>
        <v>#DIV/0!</v>
      </c>
      <c r="H24" s="83"/>
      <c r="I24" s="125"/>
      <c r="J24" s="83">
        <f t="shared" si="18"/>
        <v>0</v>
      </c>
      <c r="K24" s="83">
        <f t="shared" si="19"/>
        <v>0</v>
      </c>
      <c r="L24" s="136" t="e">
        <f t="shared" si="20"/>
        <v>#DIV/0!</v>
      </c>
      <c r="M24" s="116"/>
      <c r="N24" s="297">
        <f t="shared" si="21"/>
        <v>0</v>
      </c>
    </row>
    <row r="25" spans="1:14" ht="16">
      <c r="A25" s="133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02">
        <f t="shared" si="21"/>
        <v>0</v>
      </c>
    </row>
    <row r="26" spans="1:14" ht="16">
      <c r="A26" s="303"/>
      <c r="B26" s="34" t="s">
        <v>13</v>
      </c>
      <c r="C26" s="273"/>
      <c r="D26" s="273"/>
      <c r="E26" s="24">
        <f t="shared" si="16"/>
        <v>0</v>
      </c>
      <c r="F26" s="273"/>
      <c r="G26" s="54" t="e">
        <f t="shared" si="17"/>
        <v>#DIV/0!</v>
      </c>
      <c r="H26" s="273"/>
      <c r="I26" s="304"/>
      <c r="J26" s="134">
        <f t="shared" si="18"/>
        <v>0</v>
      </c>
      <c r="K26" s="134">
        <f t="shared" si="19"/>
        <v>0</v>
      </c>
      <c r="L26" s="136" t="e">
        <f t="shared" si="20"/>
        <v>#DIV/0!</v>
      </c>
      <c r="M26" s="143"/>
      <c r="N26" s="302">
        <f t="shared" si="21"/>
        <v>0</v>
      </c>
    </row>
    <row r="27" spans="1:14" ht="16">
      <c r="A27" s="59"/>
      <c r="B27" s="60"/>
      <c r="C27" s="59"/>
      <c r="D27" s="59" t="s">
        <v>19</v>
      </c>
      <c r="E27" s="59">
        <f>SUM(E19:E25)</f>
        <v>1467</v>
      </c>
      <c r="F27" s="59">
        <f>SUM(F19:F26)</f>
        <v>196</v>
      </c>
      <c r="G27" s="61" t="e">
        <f>AVERAGE(G19:G25)</f>
        <v>#DIV/0!</v>
      </c>
      <c r="H27" s="59"/>
      <c r="I27" s="62"/>
      <c r="J27" s="59">
        <f t="shared" ref="J27:K27" si="22">SUM(J19:J25)</f>
        <v>-11931</v>
      </c>
      <c r="K27" s="59">
        <f t="shared" si="22"/>
        <v>196</v>
      </c>
      <c r="L27" s="61" t="e">
        <f>AVERAGE(L19:L25)</f>
        <v>#DIV/0!</v>
      </c>
      <c r="M27" s="64"/>
      <c r="N27" s="299">
        <f>SUM(N19:N26)</f>
        <v>3452920</v>
      </c>
    </row>
    <row r="28" spans="1:14" ht="16">
      <c r="A28" s="66">
        <v>45751</v>
      </c>
      <c r="B28" s="269" t="s">
        <v>14</v>
      </c>
      <c r="C28" s="83">
        <v>161687</v>
      </c>
      <c r="D28" s="39">
        <v>162108</v>
      </c>
      <c r="E28" s="36">
        <f t="shared" ref="E28:E34" si="23">D28-C28</f>
        <v>421</v>
      </c>
      <c r="F28" s="37">
        <v>50</v>
      </c>
      <c r="G28" s="13">
        <f t="shared" ref="G28:G34" si="24">(F28/E28)*100</f>
        <v>11.87648456057007</v>
      </c>
      <c r="H28" s="125">
        <v>4484</v>
      </c>
      <c r="I28" s="126">
        <v>4918</v>
      </c>
      <c r="J28" s="39">
        <f t="shared" ref="J28:J34" si="25">I28-H28</f>
        <v>434</v>
      </c>
      <c r="K28" s="39">
        <f t="shared" ref="K28:K34" si="26">F28</f>
        <v>50</v>
      </c>
      <c r="L28" s="136">
        <f t="shared" ref="L28:L34" si="27">(K28/J28)*100</f>
        <v>11.52073732718894</v>
      </c>
      <c r="M28" s="68">
        <v>18470</v>
      </c>
      <c r="N28" s="294">
        <f t="shared" ref="N28:N34" si="28">F28*M28</f>
        <v>923500</v>
      </c>
    </row>
    <row r="29" spans="1:14" ht="16">
      <c r="A29" s="138">
        <v>45757</v>
      </c>
      <c r="B29" s="140" t="s">
        <v>14</v>
      </c>
      <c r="C29" s="83">
        <v>162108</v>
      </c>
      <c r="D29" s="83">
        <v>162521</v>
      </c>
      <c r="E29" s="11">
        <f t="shared" si="23"/>
        <v>413</v>
      </c>
      <c r="F29" s="141">
        <v>50</v>
      </c>
      <c r="G29" s="13">
        <f t="shared" si="24"/>
        <v>12.106537530266344</v>
      </c>
      <c r="H29" s="83">
        <v>4918</v>
      </c>
      <c r="I29" s="125">
        <v>5443</v>
      </c>
      <c r="J29" s="83">
        <f t="shared" si="25"/>
        <v>525</v>
      </c>
      <c r="K29" s="83">
        <f t="shared" si="26"/>
        <v>50</v>
      </c>
      <c r="L29" s="136">
        <f t="shared" si="27"/>
        <v>9.5238095238095237</v>
      </c>
      <c r="M29" s="116">
        <v>18470</v>
      </c>
      <c r="N29" s="301">
        <f t="shared" si="28"/>
        <v>923500</v>
      </c>
    </row>
    <row r="30" spans="1:14" ht="16">
      <c r="A30" s="138">
        <v>45762</v>
      </c>
      <c r="B30" s="140" t="s">
        <v>14</v>
      </c>
      <c r="C30" s="83">
        <v>162521</v>
      </c>
      <c r="D30" s="83">
        <v>162961</v>
      </c>
      <c r="E30" s="11">
        <f t="shared" si="23"/>
        <v>440</v>
      </c>
      <c r="F30" s="141">
        <v>50</v>
      </c>
      <c r="G30" s="13">
        <f t="shared" si="24"/>
        <v>11.363636363636363</v>
      </c>
      <c r="H30" s="83">
        <v>5443</v>
      </c>
      <c r="I30" s="125">
        <v>5889</v>
      </c>
      <c r="J30" s="83">
        <f t="shared" si="25"/>
        <v>446</v>
      </c>
      <c r="K30" s="83">
        <f t="shared" si="26"/>
        <v>50</v>
      </c>
      <c r="L30" s="136">
        <f t="shared" si="27"/>
        <v>11.210762331838566</v>
      </c>
      <c r="M30" s="116">
        <v>17240</v>
      </c>
      <c r="N30" s="297">
        <f t="shared" si="28"/>
        <v>862000</v>
      </c>
    </row>
    <row r="31" spans="1:14" ht="16">
      <c r="A31" s="139">
        <v>45768</v>
      </c>
      <c r="B31" s="140" t="s">
        <v>14</v>
      </c>
      <c r="C31" s="83">
        <v>162961</v>
      </c>
      <c r="D31" s="83">
        <v>163332</v>
      </c>
      <c r="E31" s="11">
        <f t="shared" si="23"/>
        <v>371</v>
      </c>
      <c r="F31" s="141">
        <v>50</v>
      </c>
      <c r="G31" s="13">
        <f t="shared" si="24"/>
        <v>13.477088948787062</v>
      </c>
      <c r="H31" s="83">
        <v>5889</v>
      </c>
      <c r="I31" s="125">
        <v>6336</v>
      </c>
      <c r="J31" s="83">
        <f t="shared" si="25"/>
        <v>447</v>
      </c>
      <c r="K31" s="83">
        <f t="shared" si="26"/>
        <v>50</v>
      </c>
      <c r="L31" s="136">
        <f t="shared" si="27"/>
        <v>11.185682326621924</v>
      </c>
      <c r="M31" s="116">
        <v>17030</v>
      </c>
      <c r="N31" s="297">
        <f t="shared" si="28"/>
        <v>851500</v>
      </c>
    </row>
    <row r="32" spans="1:14" ht="16">
      <c r="A32" s="138">
        <v>45772</v>
      </c>
      <c r="B32" s="140" t="s">
        <v>14</v>
      </c>
      <c r="C32" s="83">
        <v>163332</v>
      </c>
      <c r="D32" s="83">
        <v>163780</v>
      </c>
      <c r="E32" s="11">
        <f t="shared" si="23"/>
        <v>448</v>
      </c>
      <c r="F32" s="141">
        <v>50</v>
      </c>
      <c r="G32" s="13">
        <f t="shared" si="24"/>
        <v>11.160714285714286</v>
      </c>
      <c r="H32" s="83">
        <v>6336</v>
      </c>
      <c r="I32" s="125"/>
      <c r="J32" s="83">
        <f t="shared" si="25"/>
        <v>-6336</v>
      </c>
      <c r="K32" s="83">
        <f t="shared" si="26"/>
        <v>50</v>
      </c>
      <c r="L32" s="136">
        <f t="shared" si="27"/>
        <v>-0.78914141414141414</v>
      </c>
      <c r="M32" s="116">
        <v>17520</v>
      </c>
      <c r="N32" s="297">
        <f t="shared" si="28"/>
        <v>876000</v>
      </c>
    </row>
    <row r="33" spans="1:16" ht="16">
      <c r="A33" s="138">
        <v>45776</v>
      </c>
      <c r="B33" s="140" t="s">
        <v>14</v>
      </c>
      <c r="C33" s="83">
        <v>163780</v>
      </c>
      <c r="D33" s="83">
        <v>164195</v>
      </c>
      <c r="E33" s="11">
        <f t="shared" si="23"/>
        <v>415</v>
      </c>
      <c r="F33" s="141">
        <v>50</v>
      </c>
      <c r="G33" s="13">
        <f t="shared" si="24"/>
        <v>12.048192771084338</v>
      </c>
      <c r="H33" s="83"/>
      <c r="I33" s="125"/>
      <c r="J33" s="83">
        <f t="shared" si="25"/>
        <v>0</v>
      </c>
      <c r="K33" s="83">
        <f t="shared" si="26"/>
        <v>50</v>
      </c>
      <c r="L33" s="136" t="e">
        <f t="shared" si="27"/>
        <v>#DIV/0!</v>
      </c>
      <c r="M33" s="116">
        <v>17520</v>
      </c>
      <c r="N33" s="297">
        <f t="shared" si="28"/>
        <v>876000</v>
      </c>
    </row>
    <row r="34" spans="1:16" ht="16">
      <c r="A34" s="271"/>
      <c r="B34" s="272"/>
      <c r="C34" s="134"/>
      <c r="D34" s="134"/>
      <c r="E34" s="24">
        <f t="shared" si="23"/>
        <v>0</v>
      </c>
      <c r="F34" s="143"/>
      <c r="G34" s="54" t="e">
        <f t="shared" si="24"/>
        <v>#DIV/0!</v>
      </c>
      <c r="H34" s="134"/>
      <c r="I34" s="135"/>
      <c r="J34" s="134">
        <f t="shared" si="25"/>
        <v>0</v>
      </c>
      <c r="K34" s="134">
        <f t="shared" si="26"/>
        <v>0</v>
      </c>
      <c r="L34" s="136" t="e">
        <f t="shared" si="27"/>
        <v>#DIV/0!</v>
      </c>
      <c r="M34" s="137"/>
      <c r="N34" s="298">
        <f t="shared" si="28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29">SUM(E28:E34)</f>
        <v>2508</v>
      </c>
      <c r="F35" s="59">
        <f t="shared" si="29"/>
        <v>300</v>
      </c>
      <c r="G35" s="61" t="e">
        <f>AVERAGE(G28:G34)</f>
        <v>#DIV/0!</v>
      </c>
      <c r="H35" s="59"/>
      <c r="I35" s="62"/>
      <c r="J35" s="59">
        <f t="shared" ref="J35:K35" si="30">SUM(J28:J34)</f>
        <v>-4484</v>
      </c>
      <c r="K35" s="59">
        <f t="shared" si="30"/>
        <v>300</v>
      </c>
      <c r="L35" s="61" t="e">
        <f>AVERAGE(L28:L34)</f>
        <v>#DIV/0!</v>
      </c>
      <c r="M35" s="64"/>
      <c r="N35" s="299">
        <f>SUM(N28:N34)</f>
        <v>5312500</v>
      </c>
    </row>
    <row r="36" spans="1:16" ht="16">
      <c r="A36" s="66">
        <v>45751</v>
      </c>
      <c r="B36" s="269" t="s">
        <v>15</v>
      </c>
      <c r="C36" s="134">
        <v>148171</v>
      </c>
      <c r="D36" s="39">
        <v>148527</v>
      </c>
      <c r="E36" s="36">
        <f t="shared" ref="E36:E42" si="31">D36-C36</f>
        <v>356</v>
      </c>
      <c r="F36" s="37">
        <v>43</v>
      </c>
      <c r="G36" s="13">
        <f t="shared" ref="G36:G42" si="32">(F36/E36)*100</f>
        <v>12.078651685393259</v>
      </c>
      <c r="H36" s="134">
        <v>11863</v>
      </c>
      <c r="I36" s="125">
        <v>12366</v>
      </c>
      <c r="J36" s="39">
        <f t="shared" ref="J36:J42" si="33">I36-H36</f>
        <v>503</v>
      </c>
      <c r="K36" s="39">
        <f t="shared" ref="K36:K42" si="34">F36</f>
        <v>43</v>
      </c>
      <c r="L36" s="136">
        <f t="shared" ref="L36:L42" si="35">(K36/J36)*100</f>
        <v>8.5487077534791247</v>
      </c>
      <c r="M36" s="68">
        <v>18470</v>
      </c>
      <c r="N36" s="294">
        <f t="shared" ref="N36:N42" si="36">F36*M36</f>
        <v>794210</v>
      </c>
    </row>
    <row r="37" spans="1:16" ht="16">
      <c r="A37" s="138">
        <v>45757</v>
      </c>
      <c r="B37" s="140" t="s">
        <v>15</v>
      </c>
      <c r="C37" s="83">
        <v>148527</v>
      </c>
      <c r="D37" s="83">
        <v>148844</v>
      </c>
      <c r="E37" s="11">
        <f t="shared" si="31"/>
        <v>317</v>
      </c>
      <c r="F37" s="141">
        <v>40</v>
      </c>
      <c r="G37" s="13">
        <f t="shared" si="32"/>
        <v>12.618296529968454</v>
      </c>
      <c r="H37" s="125">
        <v>12366</v>
      </c>
      <c r="I37" s="125">
        <v>12870</v>
      </c>
      <c r="J37" s="83">
        <f t="shared" si="33"/>
        <v>504</v>
      </c>
      <c r="K37" s="83">
        <f t="shared" si="34"/>
        <v>40</v>
      </c>
      <c r="L37" s="136">
        <f t="shared" si="35"/>
        <v>7.9365079365079358</v>
      </c>
      <c r="M37" s="116">
        <v>18470</v>
      </c>
      <c r="N37" s="296">
        <f t="shared" si="36"/>
        <v>738800</v>
      </c>
    </row>
    <row r="38" spans="1:16" ht="16">
      <c r="A38" s="138">
        <v>45763</v>
      </c>
      <c r="B38" s="140" t="s">
        <v>15</v>
      </c>
      <c r="C38" s="83">
        <v>148844</v>
      </c>
      <c r="D38" s="83">
        <v>149208</v>
      </c>
      <c r="E38" s="11">
        <f t="shared" si="31"/>
        <v>364</v>
      </c>
      <c r="F38" s="141">
        <v>50</v>
      </c>
      <c r="G38" s="13">
        <f t="shared" si="32"/>
        <v>13.736263736263737</v>
      </c>
      <c r="H38" s="83">
        <v>12870</v>
      </c>
      <c r="I38" s="125">
        <v>13362</v>
      </c>
      <c r="J38" s="83">
        <f t="shared" si="33"/>
        <v>492</v>
      </c>
      <c r="K38" s="83">
        <f t="shared" si="34"/>
        <v>50</v>
      </c>
      <c r="L38" s="136">
        <f t="shared" si="35"/>
        <v>10.16260162601626</v>
      </c>
      <c r="M38" s="116">
        <v>17240</v>
      </c>
      <c r="N38" s="296">
        <f t="shared" si="36"/>
        <v>862000</v>
      </c>
    </row>
    <row r="39" spans="1:16" ht="16">
      <c r="A39" s="138">
        <v>45765</v>
      </c>
      <c r="B39" s="140" t="s">
        <v>15</v>
      </c>
      <c r="C39" s="83">
        <v>149208</v>
      </c>
      <c r="D39" s="83">
        <v>149567</v>
      </c>
      <c r="E39" s="11">
        <f t="shared" si="31"/>
        <v>359</v>
      </c>
      <c r="F39" s="141">
        <v>40</v>
      </c>
      <c r="G39" s="13">
        <f t="shared" si="32"/>
        <v>11.142061281337048</v>
      </c>
      <c r="H39" s="83">
        <v>13362</v>
      </c>
      <c r="I39" s="125">
        <v>13855</v>
      </c>
      <c r="J39" s="83">
        <f t="shared" si="33"/>
        <v>493</v>
      </c>
      <c r="K39" s="83">
        <f t="shared" si="34"/>
        <v>40</v>
      </c>
      <c r="L39" s="136">
        <f t="shared" si="35"/>
        <v>8.1135902636916839</v>
      </c>
      <c r="M39" s="116">
        <v>17030</v>
      </c>
      <c r="N39" s="296">
        <f t="shared" si="36"/>
        <v>681200</v>
      </c>
    </row>
    <row r="40" spans="1:16" ht="16">
      <c r="A40" s="138">
        <v>45770</v>
      </c>
      <c r="B40" s="140" t="s">
        <v>15</v>
      </c>
      <c r="C40" s="83">
        <v>149567</v>
      </c>
      <c r="D40" s="83">
        <v>149889</v>
      </c>
      <c r="E40" s="11">
        <f t="shared" si="31"/>
        <v>322</v>
      </c>
      <c r="F40" s="141">
        <v>40</v>
      </c>
      <c r="G40" s="13">
        <f t="shared" si="32"/>
        <v>12.422360248447205</v>
      </c>
      <c r="H40" s="83">
        <v>13855</v>
      </c>
      <c r="I40" s="125"/>
      <c r="J40" s="83">
        <f t="shared" si="33"/>
        <v>-13855</v>
      </c>
      <c r="K40" s="83">
        <f t="shared" si="34"/>
        <v>40</v>
      </c>
      <c r="L40" s="136">
        <f t="shared" si="35"/>
        <v>-0.28870443883074698</v>
      </c>
      <c r="M40" s="116">
        <v>17030</v>
      </c>
      <c r="N40" s="297">
        <f t="shared" si="36"/>
        <v>681200</v>
      </c>
    </row>
    <row r="41" spans="1:16" ht="16">
      <c r="A41" s="276">
        <v>45775</v>
      </c>
      <c r="B41" s="140" t="s">
        <v>15</v>
      </c>
      <c r="C41" s="83">
        <v>149889</v>
      </c>
      <c r="D41" s="83">
        <v>150264</v>
      </c>
      <c r="E41" s="11">
        <f t="shared" si="31"/>
        <v>375</v>
      </c>
      <c r="F41" s="141">
        <v>45</v>
      </c>
      <c r="G41" s="13">
        <f t="shared" si="32"/>
        <v>12</v>
      </c>
      <c r="H41" s="83"/>
      <c r="I41" s="125"/>
      <c r="J41" s="83">
        <f t="shared" si="33"/>
        <v>0</v>
      </c>
      <c r="K41" s="83">
        <f t="shared" si="34"/>
        <v>45</v>
      </c>
      <c r="L41" s="136" t="e">
        <f t="shared" si="35"/>
        <v>#DIV/0!</v>
      </c>
      <c r="M41" s="116">
        <v>17520</v>
      </c>
      <c r="N41" s="297">
        <f t="shared" si="36"/>
        <v>788400</v>
      </c>
    </row>
    <row r="42" spans="1:16" ht="16">
      <c r="A42" s="133"/>
      <c r="B42" s="140" t="s">
        <v>15</v>
      </c>
      <c r="C42" s="134"/>
      <c r="D42" s="134"/>
      <c r="E42" s="24">
        <f t="shared" si="31"/>
        <v>0</v>
      </c>
      <c r="F42" s="143"/>
      <c r="G42" s="54" t="e">
        <f t="shared" si="32"/>
        <v>#DIV/0!</v>
      </c>
      <c r="H42" s="134"/>
      <c r="I42" s="135"/>
      <c r="J42" s="134">
        <f t="shared" si="33"/>
        <v>0</v>
      </c>
      <c r="K42" s="134">
        <f t="shared" si="34"/>
        <v>0</v>
      </c>
      <c r="L42" s="136" t="e">
        <f t="shared" si="35"/>
        <v>#DIV/0!</v>
      </c>
      <c r="M42" s="137"/>
      <c r="N42" s="302">
        <f t="shared" si="36"/>
        <v>0</v>
      </c>
    </row>
    <row r="43" spans="1:16" ht="16">
      <c r="A43" s="59"/>
      <c r="B43" s="60"/>
      <c r="C43" s="59"/>
      <c r="D43" s="59" t="s">
        <v>19</v>
      </c>
      <c r="E43" s="59">
        <f t="shared" ref="E43:F43" si="37">SUM(E36:E42)</f>
        <v>2093</v>
      </c>
      <c r="F43" s="59">
        <f t="shared" si="37"/>
        <v>258</v>
      </c>
      <c r="G43" s="61" t="e">
        <f>AVERAGE(G36:G42)</f>
        <v>#DIV/0!</v>
      </c>
      <c r="H43" s="59"/>
      <c r="I43" s="62"/>
      <c r="J43" s="59">
        <f t="shared" ref="J43:K43" si="38">SUM(J36:J42)</f>
        <v>-11863</v>
      </c>
      <c r="K43" s="59">
        <f t="shared" si="38"/>
        <v>258</v>
      </c>
      <c r="L43" s="61" t="e">
        <f>AVERAGE(L36:L42)</f>
        <v>#DIV/0!</v>
      </c>
      <c r="M43" s="64"/>
      <c r="N43" s="299">
        <f>SUM(N36:N42)</f>
        <v>4545810</v>
      </c>
    </row>
    <row r="44" spans="1:16" ht="16">
      <c r="A44" s="89">
        <v>45751</v>
      </c>
      <c r="B44" s="269" t="s">
        <v>16</v>
      </c>
      <c r="C44" s="83">
        <v>124416</v>
      </c>
      <c r="D44" s="39">
        <v>124833</v>
      </c>
      <c r="E44" s="36">
        <f t="shared" ref="E44:E50" si="39">D44-C44</f>
        <v>417</v>
      </c>
      <c r="F44" s="37">
        <v>55</v>
      </c>
      <c r="G44" s="13">
        <f t="shared" ref="G44:G50" si="40">(F44/E44)*100</f>
        <v>13.189448441247004</v>
      </c>
      <c r="H44" s="125">
        <v>11777</v>
      </c>
      <c r="I44" s="126">
        <v>12289</v>
      </c>
      <c r="J44" s="39">
        <f t="shared" ref="J44:J50" si="41">I44-H44</f>
        <v>512</v>
      </c>
      <c r="K44" s="39">
        <f t="shared" ref="K44:K50" si="42">F44</f>
        <v>55</v>
      </c>
      <c r="L44" s="136">
        <f t="shared" ref="L44:L50" si="43">(K44/J44)*100</f>
        <v>10.7421875</v>
      </c>
      <c r="M44" s="68">
        <v>18470</v>
      </c>
      <c r="N44" s="294">
        <f t="shared" ref="N44:N50" si="44">F44*M44</f>
        <v>1015850</v>
      </c>
    </row>
    <row r="45" spans="1:16" ht="16">
      <c r="A45" s="138">
        <v>45758</v>
      </c>
      <c r="B45" s="140" t="s">
        <v>16</v>
      </c>
      <c r="C45" s="83">
        <v>124833</v>
      </c>
      <c r="D45" s="83">
        <v>125227</v>
      </c>
      <c r="E45" s="11">
        <f t="shared" si="39"/>
        <v>394</v>
      </c>
      <c r="F45" s="277">
        <v>50</v>
      </c>
      <c r="G45" s="13">
        <f t="shared" si="40"/>
        <v>12.690355329949238</v>
      </c>
      <c r="H45" s="83">
        <v>12289</v>
      </c>
      <c r="I45" s="125">
        <v>12727</v>
      </c>
      <c r="J45" s="83">
        <f t="shared" si="41"/>
        <v>438</v>
      </c>
      <c r="K45" s="83">
        <f t="shared" si="42"/>
        <v>50</v>
      </c>
      <c r="L45" s="136">
        <f t="shared" si="43"/>
        <v>11.415525114155251</v>
      </c>
      <c r="M45" s="116">
        <v>17240</v>
      </c>
      <c r="N45" s="296">
        <f t="shared" si="44"/>
        <v>862000</v>
      </c>
    </row>
    <row r="46" spans="1:16" ht="16">
      <c r="A46" s="138">
        <v>45764</v>
      </c>
      <c r="B46" s="140" t="s">
        <v>16</v>
      </c>
      <c r="C46" s="83">
        <v>125227</v>
      </c>
      <c r="D46" s="83">
        <v>125545</v>
      </c>
      <c r="E46" s="11">
        <f t="shared" si="39"/>
        <v>318</v>
      </c>
      <c r="F46" s="141">
        <v>45</v>
      </c>
      <c r="G46" s="13">
        <f t="shared" si="40"/>
        <v>14.150943396226415</v>
      </c>
      <c r="H46" s="83">
        <v>12727</v>
      </c>
      <c r="I46" s="125">
        <v>13165</v>
      </c>
      <c r="J46" s="83">
        <f t="shared" si="41"/>
        <v>438</v>
      </c>
      <c r="K46" s="83">
        <f t="shared" si="42"/>
        <v>45</v>
      </c>
      <c r="L46" s="136">
        <f t="shared" si="43"/>
        <v>10.273972602739725</v>
      </c>
      <c r="M46" s="116">
        <v>17240</v>
      </c>
      <c r="N46" s="296">
        <f t="shared" si="44"/>
        <v>775800</v>
      </c>
    </row>
    <row r="47" spans="1:16" ht="16">
      <c r="A47" s="138">
        <v>45768</v>
      </c>
      <c r="B47" s="140" t="s">
        <v>16</v>
      </c>
      <c r="C47" s="83">
        <v>125545</v>
      </c>
      <c r="D47" s="83">
        <v>125939</v>
      </c>
      <c r="E47" s="11">
        <f t="shared" si="39"/>
        <v>394</v>
      </c>
      <c r="F47" s="141">
        <v>50</v>
      </c>
      <c r="G47" s="13">
        <f t="shared" si="40"/>
        <v>12.690355329949238</v>
      </c>
      <c r="H47" s="83">
        <v>13165</v>
      </c>
      <c r="I47" s="125">
        <v>13603</v>
      </c>
      <c r="J47" s="83">
        <f t="shared" si="41"/>
        <v>438</v>
      </c>
      <c r="K47" s="83">
        <f t="shared" si="42"/>
        <v>50</v>
      </c>
      <c r="L47" s="136">
        <f t="shared" si="43"/>
        <v>11.415525114155251</v>
      </c>
      <c r="M47" s="116">
        <v>17030</v>
      </c>
      <c r="N47" s="296">
        <f t="shared" si="44"/>
        <v>851500</v>
      </c>
      <c r="P47" s="78"/>
    </row>
    <row r="48" spans="1:16" ht="16">
      <c r="A48" s="138">
        <v>45771</v>
      </c>
      <c r="B48" s="140" t="s">
        <v>16</v>
      </c>
      <c r="C48" s="83">
        <v>125939</v>
      </c>
      <c r="D48" s="83">
        <v>126324</v>
      </c>
      <c r="E48" s="11">
        <f t="shared" si="39"/>
        <v>385</v>
      </c>
      <c r="F48" s="141">
        <v>50</v>
      </c>
      <c r="G48" s="13">
        <f t="shared" si="40"/>
        <v>12.987012987012985</v>
      </c>
      <c r="H48" s="83">
        <v>13603</v>
      </c>
      <c r="I48" s="125"/>
      <c r="J48" s="83">
        <f t="shared" si="41"/>
        <v>-13603</v>
      </c>
      <c r="K48" s="83">
        <f t="shared" si="42"/>
        <v>50</v>
      </c>
      <c r="L48" s="136">
        <f t="shared" si="43"/>
        <v>-0.36756597809306768</v>
      </c>
      <c r="M48" s="116">
        <v>17520</v>
      </c>
      <c r="N48" s="297">
        <f t="shared" si="44"/>
        <v>876000</v>
      </c>
      <c r="P48" s="76">
        <f>13603+501</f>
        <v>14104</v>
      </c>
    </row>
    <row r="49" spans="1:14" ht="16">
      <c r="A49" s="139"/>
      <c r="B49" s="90" t="s">
        <v>16</v>
      </c>
      <c r="C49" s="83"/>
      <c r="D49" s="83"/>
      <c r="E49" s="11">
        <f t="shared" si="39"/>
        <v>0</v>
      </c>
      <c r="F49" s="141"/>
      <c r="G49" s="13" t="e">
        <f t="shared" si="40"/>
        <v>#DIV/0!</v>
      </c>
      <c r="H49" s="83"/>
      <c r="I49" s="125"/>
      <c r="J49" s="83">
        <f t="shared" si="41"/>
        <v>0</v>
      </c>
      <c r="K49" s="83">
        <f t="shared" si="42"/>
        <v>0</v>
      </c>
      <c r="L49" s="136" t="e">
        <f t="shared" si="43"/>
        <v>#DIV/0!</v>
      </c>
      <c r="M49" s="116"/>
      <c r="N49" s="297">
        <f t="shared" si="44"/>
        <v>0</v>
      </c>
    </row>
    <row r="50" spans="1:14" ht="16">
      <c r="A50" s="271"/>
      <c r="B50" s="283"/>
      <c r="C50" s="134"/>
      <c r="D50" s="134"/>
      <c r="E50" s="24">
        <f t="shared" si="39"/>
        <v>0</v>
      </c>
      <c r="F50" s="143"/>
      <c r="G50" s="54" t="e">
        <f t="shared" si="40"/>
        <v>#DIV/0!</v>
      </c>
      <c r="H50" s="134"/>
      <c r="I50" s="135"/>
      <c r="J50" s="134">
        <f t="shared" si="41"/>
        <v>0</v>
      </c>
      <c r="K50" s="134">
        <f t="shared" si="42"/>
        <v>0</v>
      </c>
      <c r="L50" s="136" t="e">
        <f t="shared" si="43"/>
        <v>#DIV/0!</v>
      </c>
      <c r="M50" s="137"/>
      <c r="N50" s="298">
        <f t="shared" si="44"/>
        <v>0</v>
      </c>
    </row>
    <row r="51" spans="1:14" ht="16">
      <c r="A51" s="59"/>
      <c r="B51" s="60"/>
      <c r="C51" s="59"/>
      <c r="D51" s="59" t="s">
        <v>19</v>
      </c>
      <c r="E51" s="59">
        <f t="shared" ref="E51:F51" si="45">SUM(E44:E50)</f>
        <v>1908</v>
      </c>
      <c r="F51" s="59">
        <f t="shared" si="45"/>
        <v>250</v>
      </c>
      <c r="G51" s="61" t="e">
        <f>AVERAGE(G44:G50)</f>
        <v>#DIV/0!</v>
      </c>
      <c r="H51" s="59"/>
      <c r="I51" s="62"/>
      <c r="J51" s="59">
        <f t="shared" ref="J51:K51" si="46">SUM(J44:J50)</f>
        <v>-11777</v>
      </c>
      <c r="K51" s="59">
        <f t="shared" si="46"/>
        <v>250</v>
      </c>
      <c r="L51" s="61" t="e">
        <f>AVERAGE(L44:L50)</f>
        <v>#DIV/0!</v>
      </c>
      <c r="M51" s="64"/>
      <c r="N51" s="299">
        <f>SUM(N44:N50)</f>
        <v>4381150</v>
      </c>
    </row>
    <row r="52" spans="1:14" ht="16">
      <c r="A52" s="66">
        <v>45749</v>
      </c>
      <c r="B52" s="278" t="s">
        <v>18</v>
      </c>
      <c r="C52" s="83">
        <v>129061</v>
      </c>
      <c r="D52" s="39">
        <v>129428</v>
      </c>
      <c r="E52" s="36">
        <f t="shared" ref="E52:E58" si="47">D52-C52</f>
        <v>367</v>
      </c>
      <c r="F52" s="37">
        <v>44</v>
      </c>
      <c r="G52" s="13">
        <f t="shared" ref="G52:G58" si="48">(F52/E52)*100</f>
        <v>11.989100817438691</v>
      </c>
      <c r="H52" s="125">
        <v>3873</v>
      </c>
      <c r="I52" s="126">
        <v>4417</v>
      </c>
      <c r="J52" s="39">
        <f t="shared" ref="J52:J58" si="49">I52-H52</f>
        <v>544</v>
      </c>
      <c r="K52" s="39">
        <f t="shared" ref="K52:K58" si="50">F52</f>
        <v>44</v>
      </c>
      <c r="L52" s="136">
        <f t="shared" ref="L52:L58" si="51">(K52/J52)*100</f>
        <v>8.0882352941176467</v>
      </c>
      <c r="M52" s="68">
        <v>18210</v>
      </c>
      <c r="N52" s="294">
        <f t="shared" ref="N52:N58" si="52">F52*M52</f>
        <v>801240</v>
      </c>
    </row>
    <row r="53" spans="1:14" ht="16">
      <c r="A53" s="138">
        <v>45755</v>
      </c>
      <c r="B53" s="140" t="s">
        <v>18</v>
      </c>
      <c r="C53" s="83">
        <v>129428</v>
      </c>
      <c r="D53" s="83">
        <v>129632</v>
      </c>
      <c r="E53" s="11">
        <f t="shared" si="47"/>
        <v>204</v>
      </c>
      <c r="F53" s="141">
        <v>33</v>
      </c>
      <c r="G53" s="13">
        <f t="shared" si="48"/>
        <v>16.176470588235293</v>
      </c>
      <c r="H53" s="83">
        <v>4417</v>
      </c>
      <c r="I53" s="125">
        <v>4783</v>
      </c>
      <c r="J53" s="83">
        <f t="shared" si="49"/>
        <v>366</v>
      </c>
      <c r="K53" s="83">
        <f t="shared" si="50"/>
        <v>33</v>
      </c>
      <c r="L53" s="136">
        <f t="shared" si="51"/>
        <v>9.0163934426229506</v>
      </c>
      <c r="M53" s="116">
        <v>18470</v>
      </c>
      <c r="N53" s="296">
        <f t="shared" si="52"/>
        <v>609510</v>
      </c>
    </row>
    <row r="54" spans="1:14" ht="16">
      <c r="A54" s="249">
        <v>45758</v>
      </c>
      <c r="B54" s="140" t="s">
        <v>18</v>
      </c>
      <c r="C54" s="83">
        <v>129632</v>
      </c>
      <c r="D54" s="83">
        <v>129950</v>
      </c>
      <c r="E54" s="11">
        <f t="shared" si="47"/>
        <v>318</v>
      </c>
      <c r="F54" s="141">
        <v>40</v>
      </c>
      <c r="G54" s="13">
        <f t="shared" si="48"/>
        <v>12.578616352201259</v>
      </c>
      <c r="H54" s="83">
        <v>4783</v>
      </c>
      <c r="I54" s="125">
        <v>5123</v>
      </c>
      <c r="J54" s="83">
        <f t="shared" si="49"/>
        <v>340</v>
      </c>
      <c r="K54" s="83">
        <f t="shared" si="50"/>
        <v>40</v>
      </c>
      <c r="L54" s="136">
        <f t="shared" si="51"/>
        <v>11.76470588235294</v>
      </c>
      <c r="M54" s="116">
        <v>17240</v>
      </c>
      <c r="N54" s="296">
        <f t="shared" si="52"/>
        <v>689600</v>
      </c>
    </row>
    <row r="55" spans="1:14" ht="16">
      <c r="A55" s="138">
        <v>45763</v>
      </c>
      <c r="B55" s="140" t="s">
        <v>18</v>
      </c>
      <c r="C55" s="83">
        <v>129950</v>
      </c>
      <c r="D55" s="83">
        <v>130274</v>
      </c>
      <c r="E55" s="11">
        <f t="shared" si="47"/>
        <v>324</v>
      </c>
      <c r="F55" s="141">
        <v>43</v>
      </c>
      <c r="G55" s="13">
        <f t="shared" si="48"/>
        <v>13.271604938271606</v>
      </c>
      <c r="H55" s="83">
        <v>5123</v>
      </c>
      <c r="I55" s="125">
        <v>5463</v>
      </c>
      <c r="J55" s="83">
        <f t="shared" si="49"/>
        <v>340</v>
      </c>
      <c r="K55" s="83">
        <f t="shared" si="50"/>
        <v>43</v>
      </c>
      <c r="L55" s="136">
        <f t="shared" si="51"/>
        <v>12.647058823529411</v>
      </c>
      <c r="M55" s="116">
        <v>17240</v>
      </c>
      <c r="N55" s="297">
        <f t="shared" si="52"/>
        <v>741320</v>
      </c>
    </row>
    <row r="56" spans="1:14" ht="16">
      <c r="A56" s="138">
        <v>45768</v>
      </c>
      <c r="B56" s="140" t="s">
        <v>18</v>
      </c>
      <c r="C56" s="83">
        <v>130274</v>
      </c>
      <c r="D56" s="83">
        <v>130649</v>
      </c>
      <c r="E56" s="11">
        <f t="shared" si="47"/>
        <v>375</v>
      </c>
      <c r="F56" s="141">
        <v>48</v>
      </c>
      <c r="G56" s="13">
        <f t="shared" si="48"/>
        <v>12.8</v>
      </c>
      <c r="H56" s="83">
        <v>5463</v>
      </c>
      <c r="I56" s="125">
        <v>5803</v>
      </c>
      <c r="J56" s="83">
        <f t="shared" si="49"/>
        <v>340</v>
      </c>
      <c r="K56" s="83">
        <f t="shared" si="50"/>
        <v>48</v>
      </c>
      <c r="L56" s="136">
        <f t="shared" si="51"/>
        <v>14.117647058823529</v>
      </c>
      <c r="M56" s="116">
        <v>17030</v>
      </c>
      <c r="N56" s="300">
        <f t="shared" si="52"/>
        <v>817440</v>
      </c>
    </row>
    <row r="57" spans="1:14" ht="16">
      <c r="A57" s="138">
        <v>45771</v>
      </c>
      <c r="B57" s="140" t="s">
        <v>18</v>
      </c>
      <c r="C57" s="83">
        <v>130649</v>
      </c>
      <c r="D57" s="83">
        <v>130986</v>
      </c>
      <c r="E57" s="51">
        <f t="shared" si="47"/>
        <v>337</v>
      </c>
      <c r="F57" s="141">
        <v>45</v>
      </c>
      <c r="G57" s="13">
        <f t="shared" si="48"/>
        <v>13.353115727002967</v>
      </c>
      <c r="H57" s="83">
        <v>5803</v>
      </c>
      <c r="I57" s="125"/>
      <c r="J57" s="83">
        <f t="shared" si="49"/>
        <v>-5803</v>
      </c>
      <c r="K57" s="83">
        <f t="shared" si="50"/>
        <v>45</v>
      </c>
      <c r="L57" s="136">
        <f t="shared" si="51"/>
        <v>-0.77546096846458734</v>
      </c>
      <c r="M57" s="116">
        <v>17520</v>
      </c>
      <c r="N57" s="300">
        <f t="shared" si="52"/>
        <v>788400</v>
      </c>
    </row>
    <row r="58" spans="1:14" ht="16">
      <c r="A58" s="279"/>
      <c r="B58" s="90" t="s">
        <v>18</v>
      </c>
      <c r="C58" s="134"/>
      <c r="D58" s="134"/>
      <c r="E58" s="24">
        <f t="shared" si="47"/>
        <v>0</v>
      </c>
      <c r="F58" s="143"/>
      <c r="G58" s="54" t="e">
        <f t="shared" si="48"/>
        <v>#DIV/0!</v>
      </c>
      <c r="H58" s="134"/>
      <c r="I58" s="135"/>
      <c r="J58" s="134">
        <f t="shared" si="49"/>
        <v>0</v>
      </c>
      <c r="K58" s="134">
        <f t="shared" si="50"/>
        <v>0</v>
      </c>
      <c r="L58" s="136" t="e">
        <f t="shared" si="51"/>
        <v>#DIV/0!</v>
      </c>
      <c r="M58" s="137"/>
      <c r="N58" s="298">
        <f t="shared" si="52"/>
        <v>0</v>
      </c>
    </row>
    <row r="59" spans="1:14" ht="16">
      <c r="A59" s="59"/>
      <c r="B59" s="60"/>
      <c r="C59" s="59"/>
      <c r="D59" s="59" t="s">
        <v>19</v>
      </c>
      <c r="E59" s="59">
        <f t="shared" ref="E59:F59" si="53">SUM(E52:E58)</f>
        <v>1925</v>
      </c>
      <c r="F59" s="59">
        <f t="shared" si="53"/>
        <v>253</v>
      </c>
      <c r="G59" s="61" t="e">
        <f>AVERAGE(G52:G58)</f>
        <v>#DIV/0!</v>
      </c>
      <c r="H59" s="59"/>
      <c r="I59" s="62"/>
      <c r="J59" s="59">
        <f t="shared" ref="J59:K59" si="54">SUM(J52:J58)</f>
        <v>-3873</v>
      </c>
      <c r="K59" s="59">
        <f t="shared" si="54"/>
        <v>253</v>
      </c>
      <c r="L59" s="61" t="e">
        <f>AVERAGE(L52:L58)</f>
        <v>#DIV/0!</v>
      </c>
      <c r="M59" s="64"/>
      <c r="N59" s="299">
        <f>SUM(N52:N58)</f>
        <v>4447510</v>
      </c>
    </row>
    <row r="60" spans="1:14" ht="16">
      <c r="A60" s="66">
        <v>45750</v>
      </c>
      <c r="B60" s="269" t="s">
        <v>20</v>
      </c>
      <c r="C60" s="83">
        <v>373815</v>
      </c>
      <c r="D60" s="39">
        <v>374611</v>
      </c>
      <c r="E60" s="36">
        <f t="shared" ref="E60:E66" si="55">D60-C60</f>
        <v>796</v>
      </c>
      <c r="F60" s="37">
        <v>90</v>
      </c>
      <c r="G60" s="13">
        <f t="shared" ref="G60:G66" si="56">(F60/E60)*100</f>
        <v>11.306532663316583</v>
      </c>
      <c r="H60" s="125">
        <v>12238</v>
      </c>
      <c r="I60" s="126">
        <v>13103</v>
      </c>
      <c r="J60" s="39">
        <f t="shared" ref="J60:J66" si="57">I60-H60</f>
        <v>865</v>
      </c>
      <c r="K60" s="39">
        <f t="shared" ref="K60:K66" si="58">F60</f>
        <v>90</v>
      </c>
      <c r="L60" s="136">
        <f t="shared" ref="L60:L66" si="59">(K60/J60)*100</f>
        <v>10.404624277456648</v>
      </c>
      <c r="M60" s="68">
        <v>18210</v>
      </c>
      <c r="N60" s="305">
        <f t="shared" ref="N60:N66" si="60">F60*M60</f>
        <v>1638900</v>
      </c>
    </row>
    <row r="61" spans="1:14" ht="16">
      <c r="A61" s="138">
        <v>45763</v>
      </c>
      <c r="B61" s="140" t="s">
        <v>20</v>
      </c>
      <c r="C61" s="83">
        <v>374611</v>
      </c>
      <c r="D61" s="83">
        <v>375370</v>
      </c>
      <c r="E61" s="11">
        <f t="shared" si="55"/>
        <v>759</v>
      </c>
      <c r="F61" s="141">
        <v>97</v>
      </c>
      <c r="G61" s="13">
        <f t="shared" si="56"/>
        <v>12.779973649538867</v>
      </c>
      <c r="H61" s="83">
        <v>13103</v>
      </c>
      <c r="I61" s="125">
        <v>13825</v>
      </c>
      <c r="J61" s="83">
        <f t="shared" si="57"/>
        <v>722</v>
      </c>
      <c r="K61" s="39">
        <f t="shared" si="58"/>
        <v>97</v>
      </c>
      <c r="L61" s="136">
        <f t="shared" si="59"/>
        <v>13.434903047091412</v>
      </c>
      <c r="M61" s="116">
        <v>17240</v>
      </c>
      <c r="N61" s="296">
        <f t="shared" si="60"/>
        <v>1672280</v>
      </c>
    </row>
    <row r="62" spans="1:14" ht="16">
      <c r="A62" s="138">
        <v>45770</v>
      </c>
      <c r="B62" s="140" t="s">
        <v>20</v>
      </c>
      <c r="C62" s="83">
        <v>375370</v>
      </c>
      <c r="D62" s="83">
        <v>376063</v>
      </c>
      <c r="E62" s="11">
        <f t="shared" si="55"/>
        <v>693</v>
      </c>
      <c r="F62" s="141">
        <v>85</v>
      </c>
      <c r="G62" s="13">
        <f t="shared" si="56"/>
        <v>12.265512265512266</v>
      </c>
      <c r="H62" s="83">
        <v>13825</v>
      </c>
      <c r="I62" s="125"/>
      <c r="J62" s="83">
        <f t="shared" si="57"/>
        <v>-13825</v>
      </c>
      <c r="K62" s="240">
        <f t="shared" si="58"/>
        <v>85</v>
      </c>
      <c r="L62" s="136">
        <f t="shared" si="59"/>
        <v>-0.61482820976491859</v>
      </c>
      <c r="M62" s="116">
        <v>17030</v>
      </c>
      <c r="N62" s="297">
        <f t="shared" si="60"/>
        <v>1447550</v>
      </c>
    </row>
    <row r="63" spans="1:14" ht="16">
      <c r="A63" s="138"/>
      <c r="B63" s="140" t="s">
        <v>20</v>
      </c>
      <c r="C63" s="83"/>
      <c r="D63" s="83"/>
      <c r="E63" s="11">
        <f t="shared" si="55"/>
        <v>0</v>
      </c>
      <c r="F63" s="141"/>
      <c r="G63" s="13" t="e">
        <f t="shared" si="56"/>
        <v>#DIV/0!</v>
      </c>
      <c r="H63" s="83"/>
      <c r="I63" s="125"/>
      <c r="J63" s="83">
        <f t="shared" si="57"/>
        <v>0</v>
      </c>
      <c r="K63" s="83">
        <f t="shared" si="58"/>
        <v>0</v>
      </c>
      <c r="L63" s="136" t="e">
        <f t="shared" si="59"/>
        <v>#DIV/0!</v>
      </c>
      <c r="M63" s="116"/>
      <c r="N63" s="300">
        <f t="shared" si="60"/>
        <v>0</v>
      </c>
    </row>
    <row r="64" spans="1:14" ht="16">
      <c r="A64" s="138"/>
      <c r="B64" s="140" t="s">
        <v>20</v>
      </c>
      <c r="C64" s="83"/>
      <c r="D64" s="83"/>
      <c r="E64" s="11">
        <f t="shared" si="55"/>
        <v>0</v>
      </c>
      <c r="F64" s="141"/>
      <c r="G64" s="13" t="e">
        <f t="shared" si="56"/>
        <v>#DIV/0!</v>
      </c>
      <c r="H64" s="83"/>
      <c r="I64" s="125"/>
      <c r="J64" s="83">
        <f t="shared" si="57"/>
        <v>0</v>
      </c>
      <c r="K64" s="83">
        <f t="shared" si="58"/>
        <v>0</v>
      </c>
      <c r="L64" s="136" t="e">
        <f t="shared" si="59"/>
        <v>#DIV/0!</v>
      </c>
      <c r="M64" s="116"/>
      <c r="N64" s="300">
        <f t="shared" si="60"/>
        <v>0</v>
      </c>
    </row>
    <row r="65" spans="1:14" ht="16">
      <c r="A65" s="244"/>
      <c r="B65" s="90" t="s">
        <v>20</v>
      </c>
      <c r="C65" s="83"/>
      <c r="D65" s="83"/>
      <c r="E65" s="11">
        <f t="shared" si="55"/>
        <v>0</v>
      </c>
      <c r="F65" s="141"/>
      <c r="G65" s="13" t="e">
        <f t="shared" si="56"/>
        <v>#DIV/0!</v>
      </c>
      <c r="H65" s="83"/>
      <c r="I65" s="125"/>
      <c r="J65" s="83">
        <f t="shared" si="57"/>
        <v>0</v>
      </c>
      <c r="K65" s="83">
        <f t="shared" si="58"/>
        <v>0</v>
      </c>
      <c r="L65" s="136" t="e">
        <f t="shared" si="59"/>
        <v>#DIV/0!</v>
      </c>
      <c r="M65" s="116"/>
      <c r="N65" s="300">
        <f t="shared" si="60"/>
        <v>0</v>
      </c>
    </row>
    <row r="66" spans="1:14" ht="16">
      <c r="A66" s="271"/>
      <c r="B66" s="283"/>
      <c r="C66" s="134"/>
      <c r="D66" s="134"/>
      <c r="E66" s="24">
        <f t="shared" si="55"/>
        <v>0</v>
      </c>
      <c r="F66" s="143"/>
      <c r="G66" s="54" t="e">
        <f t="shared" si="56"/>
        <v>#DIV/0!</v>
      </c>
      <c r="H66" s="134"/>
      <c r="I66" s="135"/>
      <c r="J66" s="134">
        <f t="shared" si="57"/>
        <v>0</v>
      </c>
      <c r="K66" s="134">
        <f t="shared" si="58"/>
        <v>0</v>
      </c>
      <c r="L66" s="136" t="e">
        <f t="shared" si="59"/>
        <v>#DIV/0!</v>
      </c>
      <c r="M66" s="137"/>
      <c r="N66" s="298">
        <f t="shared" si="60"/>
        <v>0</v>
      </c>
    </row>
    <row r="67" spans="1:14" ht="16">
      <c r="A67" s="59"/>
      <c r="B67" s="60"/>
      <c r="C67" s="59"/>
      <c r="D67" s="59" t="s">
        <v>19</v>
      </c>
      <c r="E67" s="59">
        <f t="shared" ref="E67:F67" si="61">SUM(E60:E66)</f>
        <v>2248</v>
      </c>
      <c r="F67" s="59">
        <f t="shared" si="61"/>
        <v>272</v>
      </c>
      <c r="G67" s="61" t="e">
        <f>AVERAGE(G60:G66)</f>
        <v>#DIV/0!</v>
      </c>
      <c r="H67" s="59"/>
      <c r="I67" s="62"/>
      <c r="J67" s="59">
        <f t="shared" ref="J67:K67" si="62">SUM(J60:J66)</f>
        <v>-12238</v>
      </c>
      <c r="K67" s="59">
        <f t="shared" si="62"/>
        <v>272</v>
      </c>
      <c r="L67" s="61" t="e">
        <f>AVERAGE(L60:L66)</f>
        <v>#DIV/0!</v>
      </c>
      <c r="M67" s="64"/>
      <c r="N67" s="299">
        <f>SUM(N60:N66)</f>
        <v>4758730</v>
      </c>
    </row>
    <row r="68" spans="1:14" ht="16">
      <c r="A68" s="85">
        <v>45748</v>
      </c>
      <c r="B68" s="269" t="s">
        <v>21</v>
      </c>
      <c r="C68" s="83">
        <v>356265</v>
      </c>
      <c r="D68" s="39">
        <v>356924</v>
      </c>
      <c r="E68" s="36">
        <f t="shared" ref="E68:E74" si="63">D68-C68</f>
        <v>659</v>
      </c>
      <c r="F68" s="37">
        <v>75</v>
      </c>
      <c r="G68" s="13">
        <f t="shared" ref="G68:G74" si="64">(F68/E68)*100</f>
        <v>11.380880121396055</v>
      </c>
      <c r="H68" s="125">
        <v>3701</v>
      </c>
      <c r="I68" s="125">
        <v>4346</v>
      </c>
      <c r="J68" s="39">
        <f t="shared" ref="J68:J74" si="65">I68-H68</f>
        <v>645</v>
      </c>
      <c r="K68" s="39">
        <f t="shared" ref="K68:K74" si="66">F68</f>
        <v>75</v>
      </c>
      <c r="L68" s="136">
        <f t="shared" ref="L68:L74" si="67">(K68/J68)*100</f>
        <v>11.627906976744185</v>
      </c>
      <c r="M68" s="68">
        <v>18210</v>
      </c>
      <c r="N68" s="294">
        <f t="shared" ref="N68:N74" si="68">F68*M68</f>
        <v>1365750</v>
      </c>
    </row>
    <row r="69" spans="1:14" ht="16">
      <c r="A69" s="138">
        <v>45756</v>
      </c>
      <c r="B69" s="140" t="s">
        <v>21</v>
      </c>
      <c r="C69" s="39">
        <v>356924</v>
      </c>
      <c r="D69" s="83">
        <v>357368</v>
      </c>
      <c r="E69" s="11">
        <f t="shared" si="63"/>
        <v>444</v>
      </c>
      <c r="F69" s="141">
        <v>80</v>
      </c>
      <c r="G69" s="13">
        <f t="shared" si="64"/>
        <v>18.018018018018019</v>
      </c>
      <c r="H69" s="83">
        <v>4346</v>
      </c>
      <c r="I69" s="125">
        <v>4800</v>
      </c>
      <c r="J69" s="83">
        <f t="shared" si="65"/>
        <v>454</v>
      </c>
      <c r="K69" s="83">
        <f t="shared" si="66"/>
        <v>80</v>
      </c>
      <c r="L69" s="136">
        <f t="shared" si="67"/>
        <v>17.621145374449341</v>
      </c>
      <c r="M69" s="116">
        <v>18470</v>
      </c>
      <c r="N69" s="296">
        <f t="shared" si="68"/>
        <v>1477600</v>
      </c>
    </row>
    <row r="70" spans="1:14" ht="16">
      <c r="A70" s="138">
        <v>45762</v>
      </c>
      <c r="B70" s="140" t="s">
        <v>21</v>
      </c>
      <c r="C70" s="83">
        <v>357368</v>
      </c>
      <c r="D70" s="83">
        <v>357864</v>
      </c>
      <c r="E70" s="11">
        <f t="shared" si="63"/>
        <v>496</v>
      </c>
      <c r="F70" s="141">
        <v>77</v>
      </c>
      <c r="G70" s="13">
        <f t="shared" si="64"/>
        <v>15.524193548387096</v>
      </c>
      <c r="H70" s="83">
        <v>4800</v>
      </c>
      <c r="I70" s="125">
        <v>5345</v>
      </c>
      <c r="J70" s="83">
        <f t="shared" si="65"/>
        <v>545</v>
      </c>
      <c r="K70" s="83">
        <f t="shared" si="66"/>
        <v>77</v>
      </c>
      <c r="L70" s="136">
        <f t="shared" si="67"/>
        <v>14.128440366972479</v>
      </c>
      <c r="M70" s="116">
        <v>17240</v>
      </c>
      <c r="N70" s="296">
        <f t="shared" si="68"/>
        <v>1327480</v>
      </c>
    </row>
    <row r="71" spans="1:14" ht="16">
      <c r="A71" s="284">
        <v>45769</v>
      </c>
      <c r="B71" s="140" t="s">
        <v>21</v>
      </c>
      <c r="C71" s="83">
        <v>357864</v>
      </c>
      <c r="D71" s="83">
        <v>358424</v>
      </c>
      <c r="E71" s="11">
        <f t="shared" si="63"/>
        <v>560</v>
      </c>
      <c r="F71" s="141">
        <v>83</v>
      </c>
      <c r="G71" s="13">
        <f t="shared" si="64"/>
        <v>14.821428571428571</v>
      </c>
      <c r="H71" s="83">
        <v>5345</v>
      </c>
      <c r="I71" s="125">
        <v>5891</v>
      </c>
      <c r="J71" s="83">
        <f t="shared" si="65"/>
        <v>546</v>
      </c>
      <c r="K71" s="83">
        <f t="shared" si="66"/>
        <v>83</v>
      </c>
      <c r="L71" s="136">
        <f t="shared" si="67"/>
        <v>15.201465201465201</v>
      </c>
      <c r="M71" s="116">
        <v>17030</v>
      </c>
      <c r="N71" s="306">
        <f t="shared" si="68"/>
        <v>1413490</v>
      </c>
    </row>
    <row r="72" spans="1:14" ht="16">
      <c r="A72" s="138">
        <v>45775</v>
      </c>
      <c r="B72" s="140" t="s">
        <v>21</v>
      </c>
      <c r="C72" s="83">
        <v>358424</v>
      </c>
      <c r="D72" s="83">
        <v>358982</v>
      </c>
      <c r="E72" s="11">
        <f t="shared" si="63"/>
        <v>558</v>
      </c>
      <c r="F72" s="141">
        <v>80</v>
      </c>
      <c r="G72" s="13">
        <f t="shared" si="64"/>
        <v>14.336917562724013</v>
      </c>
      <c r="H72" s="83">
        <v>5891</v>
      </c>
      <c r="I72" s="125"/>
      <c r="J72" s="83">
        <f t="shared" si="65"/>
        <v>-5891</v>
      </c>
      <c r="K72" s="83">
        <f t="shared" si="66"/>
        <v>80</v>
      </c>
      <c r="L72" s="136">
        <f t="shared" si="67"/>
        <v>-1.35800373451027</v>
      </c>
      <c r="M72" s="116">
        <v>17520</v>
      </c>
      <c r="N72" s="300">
        <f t="shared" si="68"/>
        <v>1401600</v>
      </c>
    </row>
    <row r="73" spans="1:14" ht="16">
      <c r="A73" s="139"/>
      <c r="B73" s="90" t="s">
        <v>37</v>
      </c>
      <c r="C73" s="83"/>
      <c r="D73" s="83"/>
      <c r="E73" s="11">
        <f t="shared" si="63"/>
        <v>0</v>
      </c>
      <c r="F73" s="141"/>
      <c r="G73" s="13" t="e">
        <f t="shared" si="64"/>
        <v>#DIV/0!</v>
      </c>
      <c r="H73" s="83"/>
      <c r="I73" s="125"/>
      <c r="J73" s="83">
        <f t="shared" si="65"/>
        <v>0</v>
      </c>
      <c r="K73" s="83">
        <f t="shared" si="66"/>
        <v>0</v>
      </c>
      <c r="L73" s="136" t="e">
        <f t="shared" si="67"/>
        <v>#DIV/0!</v>
      </c>
      <c r="M73" s="116"/>
      <c r="N73" s="300">
        <f t="shared" si="68"/>
        <v>0</v>
      </c>
    </row>
    <row r="74" spans="1:14" ht="16">
      <c r="A74" s="271"/>
      <c r="B74" s="283"/>
      <c r="C74" s="134"/>
      <c r="D74" s="134"/>
      <c r="E74" s="24">
        <f t="shared" si="63"/>
        <v>0</v>
      </c>
      <c r="F74" s="143"/>
      <c r="G74" s="54" t="e">
        <f t="shared" si="64"/>
        <v>#DIV/0!</v>
      </c>
      <c r="H74" s="134"/>
      <c r="I74" s="135"/>
      <c r="J74" s="134">
        <f t="shared" si="65"/>
        <v>0</v>
      </c>
      <c r="K74" s="134">
        <f t="shared" si="66"/>
        <v>0</v>
      </c>
      <c r="L74" s="136" t="e">
        <f t="shared" si="67"/>
        <v>#DIV/0!</v>
      </c>
      <c r="M74" s="137"/>
      <c r="N74" s="298">
        <f t="shared" si="68"/>
        <v>0</v>
      </c>
    </row>
    <row r="75" spans="1:14" ht="16">
      <c r="A75" s="59"/>
      <c r="B75" s="60"/>
      <c r="C75" s="59"/>
      <c r="D75" s="59" t="s">
        <v>19</v>
      </c>
      <c r="E75" s="59">
        <f t="shared" ref="E75:F75" si="69">SUM(E68:E74)</f>
        <v>2717</v>
      </c>
      <c r="F75" s="59">
        <f t="shared" si="69"/>
        <v>395</v>
      </c>
      <c r="G75" s="61" t="e">
        <f>AVERAGE(G68:G74)</f>
        <v>#DIV/0!</v>
      </c>
      <c r="H75" s="59"/>
      <c r="I75" s="62"/>
      <c r="J75" s="59">
        <f t="shared" ref="J75:K75" si="70">SUM(J68:J74)</f>
        <v>-3701</v>
      </c>
      <c r="K75" s="59">
        <f t="shared" si="70"/>
        <v>395</v>
      </c>
      <c r="L75" s="61" t="e">
        <f>AVERAGE(L68:L74)</f>
        <v>#DIV/0!</v>
      </c>
      <c r="M75" s="64"/>
      <c r="N75" s="299">
        <f>SUM(N68:N74)</f>
        <v>6985920</v>
      </c>
    </row>
    <row r="76" spans="1:14" ht="16">
      <c r="A76" s="66">
        <v>45751</v>
      </c>
      <c r="B76" s="278" t="s">
        <v>98</v>
      </c>
      <c r="C76" s="83">
        <v>192586</v>
      </c>
      <c r="D76" s="39">
        <v>193128</v>
      </c>
      <c r="E76" s="36">
        <f t="shared" ref="E76:E82" si="71">D76-C76</f>
        <v>542</v>
      </c>
      <c r="F76" s="37">
        <v>70</v>
      </c>
      <c r="G76" s="13">
        <f t="shared" ref="G76:G82" si="72">(F76/E76)*100</f>
        <v>12.915129151291513</v>
      </c>
      <c r="H76" s="83">
        <v>4701</v>
      </c>
      <c r="I76" s="126">
        <v>5820</v>
      </c>
      <c r="J76" s="39">
        <f t="shared" ref="J76:J82" si="73">I76-H76</f>
        <v>1119</v>
      </c>
      <c r="K76" s="39">
        <f t="shared" ref="K76:K82" si="74">F76</f>
        <v>70</v>
      </c>
      <c r="L76" s="136">
        <f t="shared" ref="L76:L82" si="75">(K76/J76)*100</f>
        <v>6.2555853440571934</v>
      </c>
      <c r="M76" s="68">
        <v>18470</v>
      </c>
      <c r="N76" s="294">
        <f t="shared" ref="N76:N82" si="76">F76*M76</f>
        <v>1292900</v>
      </c>
    </row>
    <row r="77" spans="1:14" ht="16">
      <c r="A77" s="138">
        <v>45758</v>
      </c>
      <c r="B77" s="140" t="s">
        <v>98</v>
      </c>
      <c r="C77" s="83">
        <v>193128</v>
      </c>
      <c r="D77" s="83">
        <v>58794</v>
      </c>
      <c r="E77" s="11">
        <f t="shared" si="71"/>
        <v>-134334</v>
      </c>
      <c r="F77" s="141">
        <v>65</v>
      </c>
      <c r="G77" s="13">
        <f t="shared" si="72"/>
        <v>-4.838685664090997E-2</v>
      </c>
      <c r="H77" s="83">
        <v>5820</v>
      </c>
      <c r="I77" s="125">
        <v>6463</v>
      </c>
      <c r="J77" s="83">
        <f t="shared" si="73"/>
        <v>643</v>
      </c>
      <c r="K77" s="83">
        <f t="shared" si="74"/>
        <v>65</v>
      </c>
      <c r="L77" s="136">
        <f t="shared" si="75"/>
        <v>10.108864696734059</v>
      </c>
      <c r="M77" s="116">
        <v>17240</v>
      </c>
      <c r="N77" s="296">
        <f t="shared" si="76"/>
        <v>1120600</v>
      </c>
    </row>
    <row r="78" spans="1:14" ht="16">
      <c r="A78" s="138">
        <v>45764</v>
      </c>
      <c r="B78" s="140" t="s">
        <v>98</v>
      </c>
      <c r="C78" s="83">
        <v>58794</v>
      </c>
      <c r="D78" s="83">
        <v>64296</v>
      </c>
      <c r="E78" s="11">
        <f t="shared" si="71"/>
        <v>5502</v>
      </c>
      <c r="F78" s="141">
        <v>71</v>
      </c>
      <c r="G78" s="13">
        <f t="shared" si="72"/>
        <v>1.2904398400581607</v>
      </c>
      <c r="H78" s="83">
        <v>6463</v>
      </c>
      <c r="I78" s="125">
        <v>7107</v>
      </c>
      <c r="J78" s="83">
        <f t="shared" si="73"/>
        <v>644</v>
      </c>
      <c r="K78" s="83">
        <f t="shared" si="74"/>
        <v>71</v>
      </c>
      <c r="L78" s="136">
        <f t="shared" si="75"/>
        <v>11.024844720496894</v>
      </c>
      <c r="M78" s="116">
        <v>17030</v>
      </c>
      <c r="N78" s="297">
        <f t="shared" si="76"/>
        <v>1209130</v>
      </c>
    </row>
    <row r="79" spans="1:14" ht="16">
      <c r="A79" s="138">
        <v>45772</v>
      </c>
      <c r="B79" s="140" t="s">
        <v>98</v>
      </c>
      <c r="C79" s="83">
        <v>64296</v>
      </c>
      <c r="D79" s="83">
        <v>70032</v>
      </c>
      <c r="E79" s="11">
        <f t="shared" si="71"/>
        <v>5736</v>
      </c>
      <c r="F79" s="141">
        <v>77</v>
      </c>
      <c r="G79" s="13">
        <f t="shared" si="72"/>
        <v>1.3423988842398884</v>
      </c>
      <c r="H79" s="83">
        <v>7107</v>
      </c>
      <c r="I79" s="125"/>
      <c r="J79" s="83">
        <f t="shared" si="73"/>
        <v>-7107</v>
      </c>
      <c r="K79" s="83">
        <f t="shared" si="74"/>
        <v>77</v>
      </c>
      <c r="L79" s="136">
        <f t="shared" si="75"/>
        <v>-1.0834388630927254</v>
      </c>
      <c r="M79" s="116">
        <v>17520</v>
      </c>
      <c r="N79" s="297">
        <f t="shared" si="76"/>
        <v>1349040</v>
      </c>
    </row>
    <row r="80" spans="1:14" ht="16">
      <c r="A80" s="138"/>
      <c r="B80" s="140" t="s">
        <v>98</v>
      </c>
      <c r="C80" s="83"/>
      <c r="D80" s="83"/>
      <c r="E80" s="11">
        <f t="shared" si="71"/>
        <v>0</v>
      </c>
      <c r="F80" s="141"/>
      <c r="G80" s="13" t="e">
        <f t="shared" si="72"/>
        <v>#DIV/0!</v>
      </c>
      <c r="H80" s="83"/>
      <c r="I80" s="125"/>
      <c r="J80" s="83">
        <f t="shared" si="73"/>
        <v>0</v>
      </c>
      <c r="K80" s="83">
        <f t="shared" si="74"/>
        <v>0</v>
      </c>
      <c r="L80" s="136" t="e">
        <f t="shared" si="75"/>
        <v>#DIV/0!</v>
      </c>
      <c r="M80" s="116"/>
      <c r="N80" s="297">
        <f t="shared" si="76"/>
        <v>0</v>
      </c>
    </row>
    <row r="81" spans="1:26" ht="16">
      <c r="A81" s="244"/>
      <c r="B81" s="140" t="s">
        <v>98</v>
      </c>
      <c r="C81" s="83"/>
      <c r="D81" s="83"/>
      <c r="E81" s="11">
        <f t="shared" si="71"/>
        <v>0</v>
      </c>
      <c r="F81" s="141"/>
      <c r="G81" s="13" t="e">
        <f t="shared" si="72"/>
        <v>#DIV/0!</v>
      </c>
      <c r="H81" s="83"/>
      <c r="I81" s="125"/>
      <c r="J81" s="83">
        <f t="shared" si="73"/>
        <v>0</v>
      </c>
      <c r="K81" s="83">
        <f t="shared" si="74"/>
        <v>0</v>
      </c>
      <c r="L81" s="136" t="e">
        <f t="shared" si="75"/>
        <v>#DIV/0!</v>
      </c>
      <c r="M81" s="116"/>
      <c r="N81" s="300">
        <f t="shared" si="76"/>
        <v>0</v>
      </c>
    </row>
    <row r="82" spans="1:26" ht="16">
      <c r="A82" s="271"/>
      <c r="B82" s="272"/>
      <c r="C82" s="134"/>
      <c r="D82" s="134"/>
      <c r="E82" s="24">
        <f t="shared" si="71"/>
        <v>0</v>
      </c>
      <c r="F82" s="143"/>
      <c r="G82" s="54" t="e">
        <f t="shared" si="72"/>
        <v>#DIV/0!</v>
      </c>
      <c r="H82" s="134"/>
      <c r="I82" s="135"/>
      <c r="J82" s="134">
        <f t="shared" si="73"/>
        <v>0</v>
      </c>
      <c r="K82" s="134">
        <f t="shared" si="74"/>
        <v>0</v>
      </c>
      <c r="L82" s="136" t="e">
        <f t="shared" si="75"/>
        <v>#DIV/0!</v>
      </c>
      <c r="M82" s="137"/>
      <c r="N82" s="298">
        <f t="shared" si="76"/>
        <v>0</v>
      </c>
    </row>
    <row r="83" spans="1:26" ht="16">
      <c r="A83" s="59"/>
      <c r="B83" s="60"/>
      <c r="C83" s="59"/>
      <c r="D83" s="59" t="s">
        <v>19</v>
      </c>
      <c r="E83" s="59">
        <f t="shared" ref="E83:F83" si="77">SUM(E76:E82)</f>
        <v>-122554</v>
      </c>
      <c r="F83" s="59">
        <f t="shared" si="77"/>
        <v>283</v>
      </c>
      <c r="G83" s="61" t="e">
        <f>AVERAGE(G76:G82)</f>
        <v>#DIV/0!</v>
      </c>
      <c r="H83" s="59"/>
      <c r="I83" s="62"/>
      <c r="J83" s="59">
        <f t="shared" ref="J83:K83" si="78">SUM(J76:J82)</f>
        <v>-4701</v>
      </c>
      <c r="K83" s="59">
        <f t="shared" si="78"/>
        <v>283</v>
      </c>
      <c r="L83" s="61" t="e">
        <f>AVERAGE(L76:L82)</f>
        <v>#DIV/0!</v>
      </c>
      <c r="M83" s="64"/>
      <c r="N83" s="299">
        <f>SUM(N76:N82)</f>
        <v>4971670</v>
      </c>
    </row>
    <row r="84" spans="1:26" ht="16">
      <c r="A84" s="139">
        <v>45749</v>
      </c>
      <c r="B84" s="140" t="s">
        <v>38</v>
      </c>
      <c r="C84" s="268">
        <v>143918</v>
      </c>
      <c r="D84" s="39">
        <v>144630</v>
      </c>
      <c r="E84" s="36">
        <f t="shared" ref="E84:E89" si="79">D84-C84</f>
        <v>712</v>
      </c>
      <c r="F84" s="37">
        <v>84</v>
      </c>
      <c r="G84" s="13">
        <f t="shared" ref="G84:G89" si="80">(F84/E84)*100</f>
        <v>11.797752808988763</v>
      </c>
      <c r="H84" s="125">
        <v>4307</v>
      </c>
      <c r="I84" s="126">
        <v>4955</v>
      </c>
      <c r="J84" s="39">
        <f t="shared" ref="J84:J87" si="81">I84-H84</f>
        <v>648</v>
      </c>
      <c r="K84" s="39">
        <f t="shared" ref="K84:K89" si="82">F84</f>
        <v>84</v>
      </c>
      <c r="L84" s="136">
        <f t="shared" ref="L84:L89" si="83">(K84/J84)*100</f>
        <v>12.962962962962962</v>
      </c>
      <c r="M84" s="68">
        <v>18210</v>
      </c>
      <c r="N84" s="294">
        <f t="shared" ref="N84:N89" si="84">F84*M84</f>
        <v>1529640</v>
      </c>
    </row>
    <row r="85" spans="1:26" ht="16">
      <c r="A85" s="139">
        <v>45756</v>
      </c>
      <c r="B85" s="140" t="s">
        <v>38</v>
      </c>
      <c r="C85" s="83">
        <v>144630</v>
      </c>
      <c r="D85" s="83">
        <v>145230</v>
      </c>
      <c r="E85" s="36">
        <f t="shared" si="79"/>
        <v>600</v>
      </c>
      <c r="F85" s="141">
        <v>79</v>
      </c>
      <c r="G85" s="13">
        <f t="shared" si="80"/>
        <v>13.166666666666666</v>
      </c>
      <c r="H85" s="83">
        <v>4955</v>
      </c>
      <c r="I85" s="125">
        <v>5603</v>
      </c>
      <c r="J85" s="83">
        <f t="shared" si="81"/>
        <v>648</v>
      </c>
      <c r="K85" s="83">
        <f t="shared" si="82"/>
        <v>79</v>
      </c>
      <c r="L85" s="136">
        <f t="shared" si="83"/>
        <v>12.191358024691358</v>
      </c>
      <c r="M85" s="116">
        <v>18470</v>
      </c>
      <c r="N85" s="294">
        <f t="shared" si="84"/>
        <v>1459130</v>
      </c>
    </row>
    <row r="86" spans="1:26" ht="16">
      <c r="A86" s="139">
        <v>45762</v>
      </c>
      <c r="B86" s="140" t="s">
        <v>38</v>
      </c>
      <c r="C86" s="83">
        <v>145230</v>
      </c>
      <c r="D86" s="39">
        <v>145824</v>
      </c>
      <c r="E86" s="36">
        <f t="shared" si="79"/>
        <v>594</v>
      </c>
      <c r="F86" s="141">
        <v>75</v>
      </c>
      <c r="G86" s="13">
        <f t="shared" si="80"/>
        <v>12.626262626262626</v>
      </c>
      <c r="H86" s="83">
        <v>5603</v>
      </c>
      <c r="I86" s="125">
        <v>6141</v>
      </c>
      <c r="J86" s="83">
        <f t="shared" si="81"/>
        <v>538</v>
      </c>
      <c r="K86" s="83">
        <f t="shared" si="82"/>
        <v>75</v>
      </c>
      <c r="L86" s="136">
        <f t="shared" si="83"/>
        <v>13.940520446096654</v>
      </c>
      <c r="M86" s="116">
        <v>17240</v>
      </c>
      <c r="N86" s="307">
        <f t="shared" si="84"/>
        <v>1293000</v>
      </c>
    </row>
    <row r="87" spans="1:26" ht="16">
      <c r="A87" s="138">
        <v>45769</v>
      </c>
      <c r="B87" s="269" t="s">
        <v>38</v>
      </c>
      <c r="C87" s="39">
        <v>145824</v>
      </c>
      <c r="D87" s="333">
        <v>146342</v>
      </c>
      <c r="E87" s="36">
        <f t="shared" si="79"/>
        <v>518</v>
      </c>
      <c r="F87" s="141">
        <v>66</v>
      </c>
      <c r="G87" s="13">
        <f t="shared" si="80"/>
        <v>12.741312741312742</v>
      </c>
      <c r="H87" s="83">
        <v>6141</v>
      </c>
      <c r="I87" s="125">
        <v>6680</v>
      </c>
      <c r="J87" s="83">
        <f t="shared" si="81"/>
        <v>539</v>
      </c>
      <c r="K87" s="83">
        <f t="shared" si="82"/>
        <v>66</v>
      </c>
      <c r="L87" s="136">
        <f t="shared" si="83"/>
        <v>12.244897959183673</v>
      </c>
      <c r="M87" s="116">
        <v>17030</v>
      </c>
      <c r="N87" s="307">
        <f t="shared" si="84"/>
        <v>1123980</v>
      </c>
    </row>
    <row r="88" spans="1:26" ht="16">
      <c r="A88" s="66">
        <v>45775</v>
      </c>
      <c r="B88" s="269" t="s">
        <v>38</v>
      </c>
      <c r="C88" s="83">
        <v>146342</v>
      </c>
      <c r="D88" s="39">
        <v>146969</v>
      </c>
      <c r="E88" s="36">
        <f t="shared" si="79"/>
        <v>627</v>
      </c>
      <c r="F88" s="141">
        <v>78</v>
      </c>
      <c r="G88" s="13">
        <f t="shared" si="80"/>
        <v>12.440191387559809</v>
      </c>
      <c r="H88" s="125">
        <v>6680</v>
      </c>
      <c r="I88" s="125"/>
      <c r="J88" s="83"/>
      <c r="K88" s="83">
        <f t="shared" si="82"/>
        <v>78</v>
      </c>
      <c r="L88" s="136" t="e">
        <f t="shared" si="83"/>
        <v>#DIV/0!</v>
      </c>
      <c r="M88" s="116">
        <v>17520</v>
      </c>
      <c r="N88" s="308">
        <f t="shared" si="84"/>
        <v>1366560</v>
      </c>
    </row>
    <row r="89" spans="1:26" ht="16">
      <c r="A89" s="138"/>
      <c r="B89" s="272"/>
      <c r="C89" s="83"/>
      <c r="D89" s="83"/>
      <c r="E89" s="36">
        <f t="shared" si="79"/>
        <v>0</v>
      </c>
      <c r="F89" s="141"/>
      <c r="G89" s="13" t="e">
        <f t="shared" si="80"/>
        <v>#DIV/0!</v>
      </c>
      <c r="H89" s="83"/>
      <c r="I89" s="125"/>
      <c r="J89" s="83"/>
      <c r="K89" s="83">
        <f t="shared" si="82"/>
        <v>0</v>
      </c>
      <c r="L89" s="309" t="e">
        <f t="shared" si="83"/>
        <v>#DIV/0!</v>
      </c>
      <c r="M89" s="116"/>
      <c r="N89" s="308">
        <f t="shared" si="84"/>
        <v>0</v>
      </c>
    </row>
    <row r="90" spans="1:26" ht="16">
      <c r="A90" s="310"/>
      <c r="B90" s="332"/>
      <c r="C90" s="311"/>
      <c r="D90" s="312" t="s">
        <v>19</v>
      </c>
      <c r="E90" s="313">
        <f t="shared" ref="E90:F90" si="85">SUM(E84:E89)</f>
        <v>3051</v>
      </c>
      <c r="F90" s="313">
        <f t="shared" si="85"/>
        <v>382</v>
      </c>
      <c r="G90" s="314" t="e">
        <f>AVERAGE(G84:G89)</f>
        <v>#DIV/0!</v>
      </c>
      <c r="H90" s="311"/>
      <c r="I90" s="315"/>
      <c r="J90" s="312">
        <f t="shared" ref="J90:K90" si="86">SUM(J84:J89)</f>
        <v>2373</v>
      </c>
      <c r="K90" s="312">
        <f t="shared" si="86"/>
        <v>382</v>
      </c>
      <c r="L90" s="316" t="e">
        <f>AVERAGE(L84:L89)</f>
        <v>#DIV/0!</v>
      </c>
      <c r="M90" s="317"/>
      <c r="N90" s="318">
        <f>SUM(N84:N89)</f>
        <v>6772310</v>
      </c>
    </row>
    <row r="91" spans="1:26" ht="16">
      <c r="A91" s="112">
        <v>45750</v>
      </c>
      <c r="B91" s="283" t="s">
        <v>39</v>
      </c>
      <c r="C91" s="83">
        <v>94993</v>
      </c>
      <c r="D91" s="83">
        <v>95763</v>
      </c>
      <c r="E91" s="36">
        <f t="shared" ref="E91:E97" si="87">D91-C91</f>
        <v>770</v>
      </c>
      <c r="F91" s="141">
        <v>87</v>
      </c>
      <c r="G91" s="114">
        <f t="shared" ref="G91:G97" si="88">(F91/E91)*100</f>
        <v>11.298701298701298</v>
      </c>
      <c r="H91" s="125">
        <v>6556</v>
      </c>
      <c r="I91" s="125">
        <v>7165</v>
      </c>
      <c r="J91" s="83">
        <f t="shared" ref="J91:J97" si="89">I91-H91</f>
        <v>609</v>
      </c>
      <c r="K91" s="83">
        <f t="shared" ref="K91:K97" si="90">F91</f>
        <v>87</v>
      </c>
      <c r="L91" s="290">
        <f t="shared" ref="L91:L97" si="91">(K91/J91)*100</f>
        <v>14.285714285714285</v>
      </c>
      <c r="M91" s="116">
        <v>18470</v>
      </c>
      <c r="N91" s="319">
        <f>M91*K91</f>
        <v>1606890</v>
      </c>
    </row>
    <row r="92" spans="1:26" ht="16">
      <c r="A92" s="7">
        <v>45762</v>
      </c>
      <c r="B92" s="283" t="s">
        <v>39</v>
      </c>
      <c r="C92" s="12">
        <v>95763</v>
      </c>
      <c r="D92" s="12">
        <v>96470</v>
      </c>
      <c r="E92" s="11">
        <f t="shared" si="87"/>
        <v>707</v>
      </c>
      <c r="F92" s="12">
        <v>75</v>
      </c>
      <c r="G92" s="13">
        <f t="shared" si="88"/>
        <v>10.608203677510609</v>
      </c>
      <c r="H92" s="12">
        <v>7165</v>
      </c>
      <c r="I92" s="15">
        <v>7890</v>
      </c>
      <c r="J92" s="83">
        <f t="shared" si="89"/>
        <v>725</v>
      </c>
      <c r="K92" s="83">
        <f t="shared" si="90"/>
        <v>75</v>
      </c>
      <c r="L92" s="290">
        <f t="shared" si="91"/>
        <v>10.344827586206897</v>
      </c>
      <c r="M92" s="17">
        <v>17240</v>
      </c>
      <c r="N92" s="320">
        <f t="shared" ref="N92:N97" si="92">F92*M92</f>
        <v>1293000</v>
      </c>
      <c r="S92" s="229"/>
      <c r="T92" s="229"/>
      <c r="U92" s="229"/>
      <c r="V92" s="229"/>
      <c r="W92" s="229"/>
      <c r="X92" s="229"/>
      <c r="Y92" s="229"/>
      <c r="Z92" s="229"/>
    </row>
    <row r="93" spans="1:26" ht="16">
      <c r="A93" s="138">
        <v>45769</v>
      </c>
      <c r="B93" s="283" t="s">
        <v>39</v>
      </c>
      <c r="C93" s="83">
        <v>96470</v>
      </c>
      <c r="D93" s="83">
        <v>97177</v>
      </c>
      <c r="E93" s="11">
        <f t="shared" si="87"/>
        <v>707</v>
      </c>
      <c r="F93" s="141">
        <v>82</v>
      </c>
      <c r="G93" s="13">
        <f t="shared" si="88"/>
        <v>11.598302687411598</v>
      </c>
      <c r="H93" s="83">
        <v>7890</v>
      </c>
      <c r="I93" s="125">
        <v>8616</v>
      </c>
      <c r="J93" s="83">
        <f t="shared" si="89"/>
        <v>726</v>
      </c>
      <c r="K93" s="83">
        <f t="shared" si="90"/>
        <v>82</v>
      </c>
      <c r="L93" s="290">
        <f t="shared" si="91"/>
        <v>11.294765840220386</v>
      </c>
      <c r="M93" s="116">
        <v>17030</v>
      </c>
      <c r="N93" s="320">
        <f t="shared" si="92"/>
        <v>1396460</v>
      </c>
      <c r="P93" s="78"/>
    </row>
    <row r="94" spans="1:26" ht="16">
      <c r="A94" s="138"/>
      <c r="B94" s="283" t="s">
        <v>39</v>
      </c>
      <c r="C94" s="83"/>
      <c r="D94" s="83"/>
      <c r="E94" s="11">
        <f t="shared" si="87"/>
        <v>0</v>
      </c>
      <c r="F94" s="141"/>
      <c r="G94" s="13" t="e">
        <f t="shared" si="88"/>
        <v>#DIV/0!</v>
      </c>
      <c r="H94" s="83"/>
      <c r="I94" s="125"/>
      <c r="J94" s="83">
        <f t="shared" si="89"/>
        <v>0</v>
      </c>
      <c r="K94" s="83">
        <f t="shared" si="90"/>
        <v>0</v>
      </c>
      <c r="L94" s="136" t="e">
        <f t="shared" si="91"/>
        <v>#DIV/0!</v>
      </c>
      <c r="M94" s="116"/>
      <c r="N94" s="297">
        <f t="shared" si="92"/>
        <v>0</v>
      </c>
    </row>
    <row r="95" spans="1:26" ht="16">
      <c r="A95" s="138"/>
      <c r="B95" s="140"/>
      <c r="C95" s="83"/>
      <c r="D95" s="83"/>
      <c r="E95" s="11">
        <f t="shared" si="87"/>
        <v>0</v>
      </c>
      <c r="F95" s="141"/>
      <c r="G95" s="13" t="e">
        <f t="shared" si="88"/>
        <v>#DIV/0!</v>
      </c>
      <c r="H95" s="83"/>
      <c r="I95" s="125"/>
      <c r="J95" s="83">
        <f t="shared" si="89"/>
        <v>0</v>
      </c>
      <c r="K95" s="83">
        <f t="shared" si="90"/>
        <v>0</v>
      </c>
      <c r="L95" s="136" t="e">
        <f t="shared" si="91"/>
        <v>#DIV/0!</v>
      </c>
      <c r="M95" s="116"/>
      <c r="N95" s="300">
        <f t="shared" si="92"/>
        <v>0</v>
      </c>
    </row>
    <row r="96" spans="1:26" ht="16">
      <c r="A96" s="244"/>
      <c r="B96" s="90"/>
      <c r="C96" s="83"/>
      <c r="D96" s="83"/>
      <c r="E96" s="11">
        <f t="shared" si="87"/>
        <v>0</v>
      </c>
      <c r="F96" s="141"/>
      <c r="G96" s="13" t="e">
        <f t="shared" si="88"/>
        <v>#DIV/0!</v>
      </c>
      <c r="H96" s="83"/>
      <c r="I96" s="125"/>
      <c r="J96" s="83">
        <f t="shared" si="89"/>
        <v>0</v>
      </c>
      <c r="K96" s="83">
        <f t="shared" si="90"/>
        <v>0</v>
      </c>
      <c r="L96" s="136" t="e">
        <f t="shared" si="91"/>
        <v>#DIV/0!</v>
      </c>
      <c r="M96" s="116"/>
      <c r="N96" s="300">
        <f t="shared" si="92"/>
        <v>0</v>
      </c>
    </row>
    <row r="97" spans="1:14" ht="16">
      <c r="A97" s="271"/>
      <c r="B97" s="283"/>
      <c r="C97" s="134"/>
      <c r="D97" s="134"/>
      <c r="E97" s="24">
        <f t="shared" si="87"/>
        <v>0</v>
      </c>
      <c r="F97" s="143"/>
      <c r="G97" s="54" t="e">
        <f t="shared" si="88"/>
        <v>#DIV/0!</v>
      </c>
      <c r="H97" s="134"/>
      <c r="I97" s="135"/>
      <c r="J97" s="134">
        <f t="shared" si="89"/>
        <v>0</v>
      </c>
      <c r="K97" s="134">
        <f t="shared" si="90"/>
        <v>0</v>
      </c>
      <c r="L97" s="136" t="e">
        <f t="shared" si="91"/>
        <v>#DIV/0!</v>
      </c>
      <c r="M97" s="137"/>
      <c r="N97" s="298">
        <f t="shared" si="92"/>
        <v>0</v>
      </c>
    </row>
    <row r="98" spans="1:14" ht="16">
      <c r="A98" s="59"/>
      <c r="B98" s="60"/>
      <c r="C98" s="59"/>
      <c r="D98" s="59" t="s">
        <v>19</v>
      </c>
      <c r="E98" s="59">
        <f t="shared" ref="E98:F98" si="93">SUM(E84:E97)</f>
        <v>8286</v>
      </c>
      <c r="F98" s="59">
        <f t="shared" si="93"/>
        <v>1008</v>
      </c>
      <c r="G98" s="61" t="e">
        <f>AVERAGE(G84:G97)</f>
        <v>#DIV/0!</v>
      </c>
      <c r="H98" s="59"/>
      <c r="I98" s="62"/>
      <c r="J98" s="59">
        <f t="shared" ref="J98:K98" si="94">SUM(J84:J97)</f>
        <v>6806</v>
      </c>
      <c r="K98" s="59">
        <f t="shared" si="94"/>
        <v>1008</v>
      </c>
      <c r="L98" s="61" t="e">
        <f>AVERAGE(L84:L97)</f>
        <v>#DIV/0!</v>
      </c>
      <c r="M98" s="64"/>
      <c r="N98" s="299">
        <f>SUM(N91:N97)</f>
        <v>4296350</v>
      </c>
    </row>
    <row r="99" spans="1:14" ht="16">
      <c r="A99" s="66">
        <v>45752</v>
      </c>
      <c r="B99" s="140" t="s">
        <v>40</v>
      </c>
      <c r="C99" s="83">
        <v>89178</v>
      </c>
      <c r="D99" s="12">
        <v>89828</v>
      </c>
      <c r="E99" s="36">
        <f t="shared" ref="E99:E105" si="95">D99-C99</f>
        <v>650</v>
      </c>
      <c r="F99" s="37">
        <v>76</v>
      </c>
      <c r="G99" s="13">
        <f t="shared" ref="G99:G105" si="96">(F99/E99)*100</f>
        <v>11.692307692307692</v>
      </c>
      <c r="H99" s="83">
        <v>87982</v>
      </c>
      <c r="I99" s="126">
        <v>88603</v>
      </c>
      <c r="J99" s="39">
        <f t="shared" ref="J99:J105" si="97">I99-H99</f>
        <v>621</v>
      </c>
      <c r="K99" s="39">
        <f t="shared" ref="K99:K105" si="98">F99</f>
        <v>76</v>
      </c>
      <c r="L99" s="136">
        <f t="shared" ref="L99:L105" si="99">(K99/J99)*100</f>
        <v>12.238325281803544</v>
      </c>
      <c r="M99" s="68">
        <v>18470</v>
      </c>
      <c r="N99" s="294">
        <f t="shared" ref="N99:N105" si="100">F99*M99</f>
        <v>1403720</v>
      </c>
    </row>
    <row r="100" spans="1:14" ht="16">
      <c r="A100" s="138">
        <v>45759</v>
      </c>
      <c r="B100" s="140" t="s">
        <v>40</v>
      </c>
      <c r="C100" s="83">
        <v>89828</v>
      </c>
      <c r="D100" s="83">
        <v>90317</v>
      </c>
      <c r="E100" s="11">
        <f t="shared" si="95"/>
        <v>489</v>
      </c>
      <c r="F100" s="141">
        <v>60</v>
      </c>
      <c r="G100" s="13">
        <f t="shared" si="96"/>
        <v>12.269938650306749</v>
      </c>
      <c r="H100" s="83">
        <v>88603</v>
      </c>
      <c r="I100" s="125">
        <v>89500</v>
      </c>
      <c r="J100" s="83">
        <f t="shared" si="97"/>
        <v>897</v>
      </c>
      <c r="K100" s="83">
        <f t="shared" si="98"/>
        <v>60</v>
      </c>
      <c r="L100" s="136">
        <f t="shared" si="99"/>
        <v>6.6889632107023411</v>
      </c>
      <c r="M100" s="116">
        <v>17240</v>
      </c>
      <c r="N100" s="296">
        <f t="shared" si="100"/>
        <v>1034400</v>
      </c>
    </row>
    <row r="101" spans="1:14" ht="16">
      <c r="A101" s="138">
        <v>45763</v>
      </c>
      <c r="B101" s="140" t="s">
        <v>40</v>
      </c>
      <c r="C101" s="83">
        <v>90317</v>
      </c>
      <c r="D101" s="83">
        <v>90916</v>
      </c>
      <c r="E101" s="11">
        <f t="shared" si="95"/>
        <v>599</v>
      </c>
      <c r="F101" s="141">
        <v>68</v>
      </c>
      <c r="G101" s="13">
        <f t="shared" si="96"/>
        <v>11.352253756260435</v>
      </c>
      <c r="H101" s="83">
        <v>89500</v>
      </c>
      <c r="I101" s="125">
        <v>90397</v>
      </c>
      <c r="J101" s="83">
        <f t="shared" si="97"/>
        <v>897</v>
      </c>
      <c r="K101" s="83">
        <f t="shared" si="98"/>
        <v>68</v>
      </c>
      <c r="L101" s="136">
        <f t="shared" si="99"/>
        <v>7.5808249721293199</v>
      </c>
      <c r="M101" s="116">
        <v>17240</v>
      </c>
      <c r="N101" s="297">
        <f t="shared" si="100"/>
        <v>1172320</v>
      </c>
    </row>
    <row r="102" spans="1:14" ht="16">
      <c r="A102" s="138">
        <v>45768</v>
      </c>
      <c r="B102" s="140" t="s">
        <v>40</v>
      </c>
      <c r="C102" s="83">
        <v>90916</v>
      </c>
      <c r="D102" s="83">
        <v>91501</v>
      </c>
      <c r="E102" s="11">
        <f t="shared" si="95"/>
        <v>585</v>
      </c>
      <c r="F102" s="141">
        <v>70</v>
      </c>
      <c r="G102" s="13">
        <f t="shared" si="96"/>
        <v>11.965811965811966</v>
      </c>
      <c r="H102" s="83">
        <v>90397</v>
      </c>
      <c r="I102" s="125">
        <v>91295</v>
      </c>
      <c r="J102" s="83">
        <f t="shared" si="97"/>
        <v>898</v>
      </c>
      <c r="K102" s="83">
        <f t="shared" si="98"/>
        <v>70</v>
      </c>
      <c r="L102" s="136">
        <f t="shared" si="99"/>
        <v>7.7951002227171493</v>
      </c>
      <c r="M102" s="116">
        <v>17030</v>
      </c>
      <c r="N102" s="297">
        <f t="shared" si="100"/>
        <v>1192100</v>
      </c>
    </row>
    <row r="103" spans="1:14" ht="16">
      <c r="A103" s="138">
        <v>45775</v>
      </c>
      <c r="B103" s="140" t="s">
        <v>40</v>
      </c>
      <c r="C103" s="83">
        <v>91501</v>
      </c>
      <c r="D103" s="83">
        <v>92115</v>
      </c>
      <c r="E103" s="11">
        <f t="shared" si="95"/>
        <v>614</v>
      </c>
      <c r="F103" s="141">
        <v>73</v>
      </c>
      <c r="G103" s="13">
        <f t="shared" si="96"/>
        <v>11.889250814332247</v>
      </c>
      <c r="H103" s="83">
        <v>91295</v>
      </c>
      <c r="I103" s="125"/>
      <c r="J103" s="83">
        <f t="shared" si="97"/>
        <v>-91295</v>
      </c>
      <c r="K103" s="83">
        <f t="shared" si="98"/>
        <v>73</v>
      </c>
      <c r="L103" s="136">
        <f t="shared" si="99"/>
        <v>-7.9960567391423404E-2</v>
      </c>
      <c r="M103" s="116">
        <v>17520</v>
      </c>
      <c r="N103" s="297">
        <f t="shared" si="100"/>
        <v>1278960</v>
      </c>
    </row>
    <row r="104" spans="1:14" ht="16">
      <c r="A104" s="244"/>
      <c r="B104" s="113"/>
      <c r="C104" s="83"/>
      <c r="D104" s="83"/>
      <c r="E104" s="11">
        <f t="shared" si="95"/>
        <v>0</v>
      </c>
      <c r="F104" s="141"/>
      <c r="G104" s="13" t="e">
        <f t="shared" si="96"/>
        <v>#DIV/0!</v>
      </c>
      <c r="H104" s="83"/>
      <c r="I104" s="125"/>
      <c r="J104" s="83">
        <f t="shared" si="97"/>
        <v>0</v>
      </c>
      <c r="K104" s="83">
        <f t="shared" si="98"/>
        <v>0</v>
      </c>
      <c r="L104" s="136" t="e">
        <f t="shared" si="99"/>
        <v>#DIV/0!</v>
      </c>
      <c r="M104" s="116"/>
      <c r="N104" s="300">
        <f t="shared" si="100"/>
        <v>0</v>
      </c>
    </row>
    <row r="105" spans="1:14" ht="16">
      <c r="A105" s="271"/>
      <c r="B105" s="283"/>
      <c r="C105" s="134"/>
      <c r="D105" s="134"/>
      <c r="E105" s="24">
        <f t="shared" si="95"/>
        <v>0</v>
      </c>
      <c r="F105" s="143"/>
      <c r="G105" s="54" t="e">
        <f t="shared" si="96"/>
        <v>#DIV/0!</v>
      </c>
      <c r="H105" s="134"/>
      <c r="I105" s="135"/>
      <c r="J105" s="134">
        <f t="shared" si="97"/>
        <v>0</v>
      </c>
      <c r="K105" s="134">
        <f t="shared" si="98"/>
        <v>0</v>
      </c>
      <c r="L105" s="136" t="e">
        <f t="shared" si="99"/>
        <v>#DIV/0!</v>
      </c>
      <c r="M105" s="137"/>
      <c r="N105" s="298">
        <f t="shared" si="100"/>
        <v>0</v>
      </c>
    </row>
    <row r="106" spans="1:14" ht="16">
      <c r="A106" s="59"/>
      <c r="B106" s="60"/>
      <c r="C106" s="59"/>
      <c r="D106" s="59" t="s">
        <v>19</v>
      </c>
      <c r="E106" s="59">
        <f t="shared" ref="E106:F106" si="101">SUM(E99:E105)</f>
        <v>2937</v>
      </c>
      <c r="F106" s="59">
        <f t="shared" si="101"/>
        <v>347</v>
      </c>
      <c r="G106" s="61" t="e">
        <f>AVERAGE(G99:G105)</f>
        <v>#DIV/0!</v>
      </c>
      <c r="H106" s="59"/>
      <c r="I106" s="62"/>
      <c r="J106" s="59">
        <f t="shared" ref="J106:K106" si="102">SUM(J99:J105)</f>
        <v>-87982</v>
      </c>
      <c r="K106" s="59">
        <f t="shared" si="102"/>
        <v>347</v>
      </c>
      <c r="L106" s="61" t="e">
        <f>AVERAGE(L99:L105)</f>
        <v>#DIV/0!</v>
      </c>
      <c r="M106" s="64"/>
      <c r="N106" s="299">
        <f>SUM(N99:N105)</f>
        <v>6081500</v>
      </c>
    </row>
    <row r="107" spans="1:14" ht="16">
      <c r="A107" s="66">
        <v>45751</v>
      </c>
      <c r="B107" s="140" t="s">
        <v>27</v>
      </c>
      <c r="C107" s="83"/>
      <c r="D107" s="12"/>
      <c r="E107" s="36">
        <f t="shared" ref="E107:E114" si="103">D107-C107</f>
        <v>0</v>
      </c>
      <c r="F107" s="37">
        <v>70</v>
      </c>
      <c r="G107" s="13" t="e">
        <f t="shared" ref="G107:G114" si="104">(F107/E107)*100</f>
        <v>#DIV/0!</v>
      </c>
      <c r="H107" s="125">
        <v>86102</v>
      </c>
      <c r="I107" s="126"/>
      <c r="J107" s="39">
        <f t="shared" ref="J107:J114" si="105">I107-H107</f>
        <v>-86102</v>
      </c>
      <c r="K107" s="39">
        <v>65</v>
      </c>
      <c r="L107" s="136">
        <f t="shared" ref="L107:L114" si="106">(K107/J107)*100</f>
        <v>-7.549185849341479E-2</v>
      </c>
      <c r="M107" s="68">
        <v>18470</v>
      </c>
      <c r="N107" s="294">
        <f t="shared" ref="N107:N113" si="107">F107*M107</f>
        <v>1292900</v>
      </c>
    </row>
    <row r="108" spans="1:14" ht="16">
      <c r="A108" s="66">
        <v>45756</v>
      </c>
      <c r="B108" s="140" t="s">
        <v>27</v>
      </c>
      <c r="C108" s="83"/>
      <c r="D108" s="12"/>
      <c r="E108" s="36">
        <f t="shared" si="103"/>
        <v>0</v>
      </c>
      <c r="F108" s="37">
        <v>65</v>
      </c>
      <c r="G108" s="13" t="e">
        <f t="shared" si="104"/>
        <v>#DIV/0!</v>
      </c>
      <c r="H108" s="125">
        <v>86102</v>
      </c>
      <c r="I108" s="126"/>
      <c r="J108" s="39">
        <f t="shared" si="105"/>
        <v>-86102</v>
      </c>
      <c r="K108" s="39">
        <v>65</v>
      </c>
      <c r="L108" s="136">
        <f t="shared" si="106"/>
        <v>-7.549185849341479E-2</v>
      </c>
      <c r="M108" s="116">
        <v>18470</v>
      </c>
      <c r="N108" s="321">
        <f t="shared" si="107"/>
        <v>1200550</v>
      </c>
    </row>
    <row r="109" spans="1:14" ht="16">
      <c r="A109" s="138">
        <v>45760</v>
      </c>
      <c r="B109" s="140" t="s">
        <v>27</v>
      </c>
      <c r="C109" s="83"/>
      <c r="D109" s="83"/>
      <c r="E109" s="11">
        <f t="shared" si="103"/>
        <v>0</v>
      </c>
      <c r="F109" s="141">
        <v>70</v>
      </c>
      <c r="G109" s="13" t="e">
        <f t="shared" si="104"/>
        <v>#DIV/0!</v>
      </c>
      <c r="H109" s="83"/>
      <c r="I109" s="125"/>
      <c r="J109" s="83">
        <f t="shared" si="105"/>
        <v>0</v>
      </c>
      <c r="K109" s="83">
        <f t="shared" ref="K109:K110" si="108">F109</f>
        <v>70</v>
      </c>
      <c r="L109" s="136" t="e">
        <f t="shared" si="106"/>
        <v>#DIV/0!</v>
      </c>
      <c r="M109" s="116">
        <v>17240</v>
      </c>
      <c r="N109" s="321">
        <f t="shared" si="107"/>
        <v>1206800</v>
      </c>
    </row>
    <row r="110" spans="1:14" ht="16">
      <c r="A110" s="138">
        <v>45763</v>
      </c>
      <c r="B110" s="140" t="s">
        <v>27</v>
      </c>
      <c r="C110" s="83"/>
      <c r="D110" s="83"/>
      <c r="E110" s="11">
        <f t="shared" si="103"/>
        <v>0</v>
      </c>
      <c r="F110" s="141">
        <v>58</v>
      </c>
      <c r="G110" s="13" t="e">
        <f t="shared" si="104"/>
        <v>#DIV/0!</v>
      </c>
      <c r="H110" s="83"/>
      <c r="I110" s="125"/>
      <c r="J110" s="83">
        <f t="shared" si="105"/>
        <v>0</v>
      </c>
      <c r="K110" s="83">
        <f t="shared" si="108"/>
        <v>58</v>
      </c>
      <c r="L110" s="136" t="e">
        <f t="shared" si="106"/>
        <v>#DIV/0!</v>
      </c>
      <c r="M110" s="116">
        <v>17240</v>
      </c>
      <c r="N110" s="321">
        <f t="shared" si="107"/>
        <v>999920</v>
      </c>
    </row>
    <row r="111" spans="1:14" ht="16">
      <c r="A111" s="138">
        <v>45764</v>
      </c>
      <c r="B111" s="140" t="s">
        <v>27</v>
      </c>
      <c r="C111" s="83"/>
      <c r="D111" s="83"/>
      <c r="E111" s="11">
        <f t="shared" si="103"/>
        <v>0</v>
      </c>
      <c r="F111" s="141">
        <v>65</v>
      </c>
      <c r="G111" s="13" t="e">
        <f t="shared" si="104"/>
        <v>#DIV/0!</v>
      </c>
      <c r="H111" s="83"/>
      <c r="I111" s="125"/>
      <c r="J111" s="83">
        <f t="shared" si="105"/>
        <v>0</v>
      </c>
      <c r="K111" s="83">
        <v>65</v>
      </c>
      <c r="L111" s="136" t="e">
        <f t="shared" si="106"/>
        <v>#DIV/0!</v>
      </c>
      <c r="M111" s="116">
        <v>17030</v>
      </c>
      <c r="N111" s="321">
        <f t="shared" si="107"/>
        <v>1106950</v>
      </c>
    </row>
    <row r="112" spans="1:14" ht="16">
      <c r="A112" s="138">
        <v>45768</v>
      </c>
      <c r="B112" s="140" t="s">
        <v>27</v>
      </c>
      <c r="C112" s="83"/>
      <c r="D112" s="83"/>
      <c r="E112" s="11">
        <f t="shared" si="103"/>
        <v>0</v>
      </c>
      <c r="F112" s="141">
        <v>68</v>
      </c>
      <c r="G112" s="13" t="e">
        <f t="shared" si="104"/>
        <v>#DIV/0!</v>
      </c>
      <c r="H112" s="83"/>
      <c r="I112" s="125"/>
      <c r="J112" s="83">
        <f t="shared" si="105"/>
        <v>0</v>
      </c>
      <c r="K112" s="83">
        <f t="shared" ref="K112:K113" si="109">F112</f>
        <v>68</v>
      </c>
      <c r="L112" s="136" t="e">
        <f t="shared" si="106"/>
        <v>#DIV/0!</v>
      </c>
      <c r="M112" s="116">
        <v>17030</v>
      </c>
      <c r="N112" s="321">
        <f t="shared" si="107"/>
        <v>1158040</v>
      </c>
    </row>
    <row r="113" spans="1:17" ht="16">
      <c r="A113" s="138">
        <v>45773</v>
      </c>
      <c r="B113" s="140" t="s">
        <v>27</v>
      </c>
      <c r="C113" s="83"/>
      <c r="D113" s="83"/>
      <c r="E113" s="11">
        <f t="shared" si="103"/>
        <v>0</v>
      </c>
      <c r="F113" s="141">
        <v>67</v>
      </c>
      <c r="G113" s="13" t="e">
        <f t="shared" si="104"/>
        <v>#DIV/0!</v>
      </c>
      <c r="H113" s="83"/>
      <c r="I113" s="125"/>
      <c r="J113" s="83">
        <f t="shared" si="105"/>
        <v>0</v>
      </c>
      <c r="K113" s="83">
        <f t="shared" si="109"/>
        <v>67</v>
      </c>
      <c r="L113" s="136" t="e">
        <f t="shared" si="106"/>
        <v>#DIV/0!</v>
      </c>
      <c r="M113" s="116">
        <v>17520</v>
      </c>
      <c r="N113" s="321">
        <f t="shared" si="107"/>
        <v>1173840</v>
      </c>
    </row>
    <row r="114" spans="1:17" ht="16">
      <c r="A114" s="133">
        <v>45777</v>
      </c>
      <c r="B114" s="140" t="s">
        <v>27</v>
      </c>
      <c r="C114" s="134"/>
      <c r="D114" s="134"/>
      <c r="E114" s="24">
        <f t="shared" si="103"/>
        <v>0</v>
      </c>
      <c r="F114" s="143">
        <v>65</v>
      </c>
      <c r="G114" s="54" t="e">
        <f t="shared" si="104"/>
        <v>#DIV/0!</v>
      </c>
      <c r="H114" s="134"/>
      <c r="I114" s="135"/>
      <c r="J114" s="134">
        <f t="shared" si="105"/>
        <v>0</v>
      </c>
      <c r="K114" s="134">
        <v>65</v>
      </c>
      <c r="L114" s="136" t="e">
        <f t="shared" si="106"/>
        <v>#DIV/0!</v>
      </c>
      <c r="M114" s="137">
        <v>17520</v>
      </c>
      <c r="N114" s="321">
        <f>M114*K114</f>
        <v>1138800</v>
      </c>
    </row>
    <row r="115" spans="1:17" ht="16">
      <c r="A115" s="59"/>
      <c r="B115" s="60"/>
      <c r="C115" s="59"/>
      <c r="D115" s="59" t="s">
        <v>19</v>
      </c>
      <c r="E115" s="59">
        <f t="shared" ref="E115:F115" si="110">SUM(E107:E114)</f>
        <v>0</v>
      </c>
      <c r="F115" s="59">
        <f t="shared" si="110"/>
        <v>528</v>
      </c>
      <c r="G115" s="61" t="e">
        <f>AVERAGE(G107:G114)</f>
        <v>#DIV/0!</v>
      </c>
      <c r="H115" s="59"/>
      <c r="I115" s="62"/>
      <c r="J115" s="59">
        <f t="shared" ref="J115:K115" si="111">SUM(J107:J114)</f>
        <v>-172204</v>
      </c>
      <c r="K115" s="59">
        <f t="shared" si="111"/>
        <v>523</v>
      </c>
      <c r="L115" s="61" t="e">
        <f>AVERAGE(L107:L114)</f>
        <v>#DIV/0!</v>
      </c>
      <c r="M115" s="64"/>
      <c r="N115" s="322">
        <f>SUM(N107:N114)</f>
        <v>9277800</v>
      </c>
    </row>
    <row r="116" spans="1:17" ht="18">
      <c r="A116" s="179" t="s">
        <v>64</v>
      </c>
      <c r="B116" s="147"/>
      <c r="C116" s="147"/>
      <c r="D116" s="147"/>
      <c r="E116" s="147"/>
      <c r="F116" s="334">
        <f>SUM(F10+F18+F27+F35+F43+F51+F59+F67+F75+F83+F90+F98+F106+F115)</f>
        <v>4961</v>
      </c>
      <c r="G116" s="147"/>
      <c r="H116" s="147"/>
      <c r="I116" s="147"/>
      <c r="J116" s="147"/>
      <c r="K116" s="147"/>
      <c r="L116" s="147"/>
      <c r="M116" s="148"/>
      <c r="N116" s="323">
        <f>SUM(N10+N18+N27+N35+N43+N51+N59+N67+N75+N83+N90+N98+N106+N115)</f>
        <v>73855460</v>
      </c>
    </row>
    <row r="117" spans="1:17" ht="13">
      <c r="G117" s="150"/>
      <c r="L117" s="150"/>
    </row>
    <row r="118" spans="1:17" ht="31.5" customHeight="1">
      <c r="D118" s="152" t="s">
        <v>45</v>
      </c>
      <c r="E118" s="153"/>
      <c r="G118" s="150"/>
      <c r="L118" s="150"/>
      <c r="Q118" s="76" t="s">
        <v>95</v>
      </c>
    </row>
    <row r="119" spans="1:17" ht="16">
      <c r="A119" s="220" t="s">
        <v>1</v>
      </c>
      <c r="B119" s="154" t="s">
        <v>2</v>
      </c>
      <c r="C119" s="148" t="s">
        <v>3</v>
      </c>
      <c r="D119" s="148" t="s">
        <v>4</v>
      </c>
      <c r="E119" s="148" t="s">
        <v>5</v>
      </c>
      <c r="F119" s="148" t="s">
        <v>6</v>
      </c>
      <c r="G119" s="155" t="s">
        <v>7</v>
      </c>
      <c r="H119" s="156" t="s">
        <v>8</v>
      </c>
      <c r="I119" s="157" t="s">
        <v>8</v>
      </c>
      <c r="J119" s="148" t="s">
        <v>5</v>
      </c>
      <c r="K119" s="148" t="s">
        <v>6</v>
      </c>
      <c r="L119" s="155" t="s">
        <v>7</v>
      </c>
      <c r="M119" s="148" t="s">
        <v>9</v>
      </c>
      <c r="N119" s="158" t="s">
        <v>10</v>
      </c>
    </row>
    <row r="120" spans="1:17" ht="16">
      <c r="A120" s="66">
        <v>45755</v>
      </c>
      <c r="B120" s="140" t="s">
        <v>46</v>
      </c>
      <c r="C120" s="12"/>
      <c r="D120" s="12"/>
      <c r="E120" s="11"/>
      <c r="F120" s="37"/>
      <c r="G120" s="13"/>
      <c r="H120" s="83"/>
      <c r="I120" s="126"/>
      <c r="J120" s="39"/>
      <c r="K120" s="39"/>
      <c r="L120" s="136" t="e">
        <f t="shared" ref="L120:L124" si="112">(K120/J120)*100</f>
        <v>#DIV/0!</v>
      </c>
      <c r="M120" s="68"/>
      <c r="N120" s="324">
        <v>6600000</v>
      </c>
    </row>
    <row r="121" spans="1:17" ht="16">
      <c r="A121" s="66">
        <v>45769</v>
      </c>
      <c r="B121" s="140" t="s">
        <v>46</v>
      </c>
      <c r="C121" s="12"/>
      <c r="D121" s="12"/>
      <c r="E121" s="11">
        <f t="shared" ref="E121:E124" si="113">D121-C121</f>
        <v>0</v>
      </c>
      <c r="F121" s="37">
        <v>352.32</v>
      </c>
      <c r="G121" s="13" t="e">
        <f t="shared" ref="G121:G124" si="114">(F121/E121)*100</f>
        <v>#DIV/0!</v>
      </c>
      <c r="H121" s="83">
        <v>1780</v>
      </c>
      <c r="I121" s="126">
        <v>2671</v>
      </c>
      <c r="J121" s="39">
        <f t="shared" ref="J121:J124" si="115">I121-H121</f>
        <v>891</v>
      </c>
      <c r="K121" s="39">
        <f t="shared" ref="K121:K124" si="116">F121</f>
        <v>352.32</v>
      </c>
      <c r="L121" s="136">
        <f t="shared" si="112"/>
        <v>39.542087542087536</v>
      </c>
      <c r="M121" s="68">
        <v>17030</v>
      </c>
      <c r="N121" s="324">
        <f>M121*K121</f>
        <v>6000009.5999999996</v>
      </c>
    </row>
    <row r="122" spans="1:17" ht="16">
      <c r="A122" s="138"/>
      <c r="B122" s="140" t="s">
        <v>46</v>
      </c>
      <c r="C122" s="83"/>
      <c r="D122" s="83"/>
      <c r="E122" s="11">
        <f t="shared" si="113"/>
        <v>0</v>
      </c>
      <c r="F122" s="141"/>
      <c r="G122" s="13" t="e">
        <f t="shared" si="114"/>
        <v>#DIV/0!</v>
      </c>
      <c r="H122" s="83"/>
      <c r="I122" s="125"/>
      <c r="J122" s="83">
        <f t="shared" si="115"/>
        <v>0</v>
      </c>
      <c r="K122" s="83">
        <f t="shared" si="116"/>
        <v>0</v>
      </c>
      <c r="L122" s="136" t="e">
        <f t="shared" si="112"/>
        <v>#DIV/0!</v>
      </c>
      <c r="M122" s="116"/>
      <c r="N122" s="201">
        <f t="shared" ref="N122:N124" si="117">F122*M122</f>
        <v>0</v>
      </c>
    </row>
    <row r="123" spans="1:17" ht="16">
      <c r="A123" s="138"/>
      <c r="B123" s="140" t="s">
        <v>46</v>
      </c>
      <c r="C123" s="83"/>
      <c r="D123" s="83"/>
      <c r="E123" s="11">
        <f t="shared" si="113"/>
        <v>0</v>
      </c>
      <c r="F123" s="141"/>
      <c r="G123" s="13" t="e">
        <f t="shared" si="114"/>
        <v>#DIV/0!</v>
      </c>
      <c r="H123" s="83"/>
      <c r="I123" s="125"/>
      <c r="J123" s="83">
        <f t="shared" si="115"/>
        <v>0</v>
      </c>
      <c r="K123" s="83">
        <f t="shared" si="116"/>
        <v>0</v>
      </c>
      <c r="L123" s="136" t="e">
        <f t="shared" si="112"/>
        <v>#DIV/0!</v>
      </c>
      <c r="M123" s="116"/>
      <c r="N123" s="201">
        <f t="shared" si="117"/>
        <v>0</v>
      </c>
    </row>
    <row r="124" spans="1:17" ht="16">
      <c r="A124" s="138"/>
      <c r="B124" s="140"/>
      <c r="C124" s="83"/>
      <c r="D124" s="83"/>
      <c r="E124" s="11">
        <f t="shared" si="113"/>
        <v>0</v>
      </c>
      <c r="F124" s="141"/>
      <c r="G124" s="13" t="e">
        <f t="shared" si="114"/>
        <v>#DIV/0!</v>
      </c>
      <c r="H124" s="83"/>
      <c r="I124" s="125"/>
      <c r="J124" s="83">
        <f t="shared" si="115"/>
        <v>0</v>
      </c>
      <c r="K124" s="83">
        <f t="shared" si="116"/>
        <v>0</v>
      </c>
      <c r="L124" s="136" t="e">
        <f t="shared" si="112"/>
        <v>#DIV/0!</v>
      </c>
      <c r="M124" s="116"/>
      <c r="N124" s="201">
        <f t="shared" si="117"/>
        <v>0</v>
      </c>
    </row>
    <row r="125" spans="1:17" ht="16">
      <c r="A125" s="59"/>
      <c r="B125" s="60"/>
      <c r="C125" s="59"/>
      <c r="D125" s="59" t="s">
        <v>19</v>
      </c>
      <c r="E125" s="59">
        <f t="shared" ref="E125:F125" si="118">SUM(E120:E124)</f>
        <v>0</v>
      </c>
      <c r="F125" s="59">
        <f t="shared" si="118"/>
        <v>352.32</v>
      </c>
      <c r="G125" s="61" t="e">
        <f>AVERAGE(G120:G124)</f>
        <v>#DIV/0!</v>
      </c>
      <c r="H125" s="59"/>
      <c r="I125" s="62"/>
      <c r="J125" s="59">
        <f t="shared" ref="J125:K125" si="119">SUM(J120:J124)</f>
        <v>891</v>
      </c>
      <c r="K125" s="59">
        <f t="shared" si="119"/>
        <v>352.32</v>
      </c>
      <c r="L125" s="61" t="e">
        <f>AVERAGE(L120:L124)</f>
        <v>#DIV/0!</v>
      </c>
      <c r="M125" s="64"/>
      <c r="N125" s="325">
        <f>SUM(N120:N124)</f>
        <v>12600009.6</v>
      </c>
    </row>
    <row r="126" spans="1:17" ht="16">
      <c r="A126" s="66">
        <v>45751</v>
      </c>
      <c r="B126" s="140" t="s">
        <v>48</v>
      </c>
      <c r="C126" s="83">
        <v>448780</v>
      </c>
      <c r="D126" s="12"/>
      <c r="E126" s="36">
        <f t="shared" ref="E126:E130" si="120">D126-C126</f>
        <v>-448780</v>
      </c>
      <c r="F126" s="141">
        <v>297.77999999999997</v>
      </c>
      <c r="G126" s="13">
        <f t="shared" ref="G126:G130" si="121">(F126/E126)*100</f>
        <v>-6.6353224296982927E-2</v>
      </c>
      <c r="H126" s="83"/>
      <c r="I126" s="126"/>
      <c r="J126" s="39">
        <f t="shared" ref="J126:J130" si="122">I126-H126</f>
        <v>0</v>
      </c>
      <c r="K126" s="39">
        <v>297.77999999999997</v>
      </c>
      <c r="L126" s="136" t="e">
        <f t="shared" ref="L126:L130" si="123">(K126/J126)*100</f>
        <v>#DIV/0!</v>
      </c>
      <c r="M126" s="68">
        <v>18470</v>
      </c>
      <c r="N126" s="328">
        <f>M126*K126</f>
        <v>5499996.5999999996</v>
      </c>
    </row>
    <row r="127" spans="1:17" ht="16">
      <c r="A127" s="138">
        <v>45773</v>
      </c>
      <c r="B127" s="140"/>
      <c r="C127" s="83"/>
      <c r="D127" s="83"/>
      <c r="E127" s="11">
        <f t="shared" si="120"/>
        <v>0</v>
      </c>
      <c r="F127" s="141"/>
      <c r="G127" s="13" t="e">
        <f t="shared" si="121"/>
        <v>#DIV/0!</v>
      </c>
      <c r="H127" s="83"/>
      <c r="I127" s="125"/>
      <c r="J127" s="83">
        <f t="shared" si="122"/>
        <v>0</v>
      </c>
      <c r="K127" s="83">
        <f t="shared" ref="K127:K130" si="124">F127</f>
        <v>0</v>
      </c>
      <c r="L127" s="136" t="e">
        <f t="shared" si="123"/>
        <v>#DIV/0!</v>
      </c>
      <c r="M127" s="116"/>
      <c r="N127" s="329">
        <v>5200000</v>
      </c>
    </row>
    <row r="128" spans="1:17" ht="16">
      <c r="A128" s="138"/>
      <c r="B128" s="140"/>
      <c r="C128" s="83"/>
      <c r="D128" s="83"/>
      <c r="E128" s="11">
        <f t="shared" si="120"/>
        <v>0</v>
      </c>
      <c r="F128" s="141"/>
      <c r="G128" s="13" t="e">
        <f t="shared" si="121"/>
        <v>#DIV/0!</v>
      </c>
      <c r="H128" s="83"/>
      <c r="I128" s="125"/>
      <c r="J128" s="83">
        <f t="shared" si="122"/>
        <v>0</v>
      </c>
      <c r="K128" s="83">
        <f t="shared" si="124"/>
        <v>0</v>
      </c>
      <c r="L128" s="136" t="e">
        <f t="shared" si="123"/>
        <v>#DIV/0!</v>
      </c>
      <c r="M128" s="116"/>
      <c r="N128" s="201">
        <f t="shared" ref="N128:N130" si="125">F128*M128</f>
        <v>0</v>
      </c>
    </row>
    <row r="129" spans="1:16" ht="16">
      <c r="A129" s="138"/>
      <c r="B129" s="140"/>
      <c r="C129" s="83"/>
      <c r="D129" s="83"/>
      <c r="E129" s="11">
        <f t="shared" si="120"/>
        <v>0</v>
      </c>
      <c r="F129" s="141"/>
      <c r="G129" s="13" t="e">
        <f t="shared" si="121"/>
        <v>#DIV/0!</v>
      </c>
      <c r="H129" s="83"/>
      <c r="I129" s="125"/>
      <c r="J129" s="83">
        <f t="shared" si="122"/>
        <v>0</v>
      </c>
      <c r="K129" s="83">
        <f t="shared" si="124"/>
        <v>0</v>
      </c>
      <c r="L129" s="136" t="e">
        <f t="shared" si="123"/>
        <v>#DIV/0!</v>
      </c>
      <c r="M129" s="116"/>
      <c r="N129" s="201">
        <f t="shared" si="125"/>
        <v>0</v>
      </c>
    </row>
    <row r="130" spans="1:16" ht="16">
      <c r="A130" s="138"/>
      <c r="B130" s="140"/>
      <c r="C130" s="83"/>
      <c r="D130" s="83"/>
      <c r="E130" s="11">
        <f t="shared" si="120"/>
        <v>0</v>
      </c>
      <c r="F130" s="141"/>
      <c r="G130" s="13" t="e">
        <f t="shared" si="121"/>
        <v>#DIV/0!</v>
      </c>
      <c r="H130" s="83"/>
      <c r="I130" s="125"/>
      <c r="J130" s="83">
        <f t="shared" si="122"/>
        <v>0</v>
      </c>
      <c r="K130" s="83">
        <f t="shared" si="124"/>
        <v>0</v>
      </c>
      <c r="L130" s="136" t="e">
        <f t="shared" si="123"/>
        <v>#DIV/0!</v>
      </c>
      <c r="M130" s="116"/>
      <c r="N130" s="201">
        <f t="shared" si="125"/>
        <v>0</v>
      </c>
    </row>
    <row r="131" spans="1:16" ht="16">
      <c r="A131" s="59"/>
      <c r="B131" s="60"/>
      <c r="C131" s="59"/>
      <c r="D131" s="59" t="s">
        <v>19</v>
      </c>
      <c r="E131" s="59">
        <f t="shared" ref="E131:F131" si="126">SUM(E126:E130)</f>
        <v>-448780</v>
      </c>
      <c r="F131" s="59">
        <f t="shared" si="126"/>
        <v>297.77999999999997</v>
      </c>
      <c r="G131" s="61" t="e">
        <f>AVERAGE(G126:G130)</f>
        <v>#DIV/0!</v>
      </c>
      <c r="H131" s="59"/>
      <c r="I131" s="62"/>
      <c r="J131" s="59">
        <f t="shared" ref="J131:K131" si="127">SUM(J126:J130)</f>
        <v>0</v>
      </c>
      <c r="K131" s="59">
        <f t="shared" si="127"/>
        <v>297.77999999999997</v>
      </c>
      <c r="L131" s="61" t="e">
        <f>AVERAGE(L126:L130)</f>
        <v>#DIV/0!</v>
      </c>
      <c r="M131" s="64"/>
      <c r="N131" s="325">
        <f>SUM(N126:N130)</f>
        <v>10699996.6</v>
      </c>
    </row>
    <row r="132" spans="1:16" ht="16">
      <c r="A132" s="66">
        <v>45761</v>
      </c>
      <c r="B132" s="140" t="s">
        <v>49</v>
      </c>
      <c r="C132" s="83"/>
      <c r="D132" s="12"/>
      <c r="E132" s="36">
        <f t="shared" ref="E132:E136" si="128">D132-C132</f>
        <v>0</v>
      </c>
      <c r="F132" s="37">
        <v>232</v>
      </c>
      <c r="G132" s="13" t="e">
        <f t="shared" ref="G132:G136" si="129">(F132/E132)*100</f>
        <v>#DIV/0!</v>
      </c>
      <c r="H132" s="83"/>
      <c r="I132" s="126"/>
      <c r="J132" s="39">
        <f t="shared" ref="J132:J136" si="130">I132-H132</f>
        <v>0</v>
      </c>
      <c r="K132" s="39">
        <f t="shared" ref="K132:K136" si="131">F132</f>
        <v>232</v>
      </c>
      <c r="L132" s="136" t="e">
        <f t="shared" ref="L132:L136" si="132">(K132/J132)*100</f>
        <v>#DIV/0!</v>
      </c>
      <c r="M132" s="68">
        <v>17240</v>
      </c>
      <c r="N132" s="324">
        <f>M132*F132</f>
        <v>3999680</v>
      </c>
    </row>
    <row r="133" spans="1:16" ht="16">
      <c r="A133" s="138">
        <v>45773</v>
      </c>
      <c r="B133" s="140"/>
      <c r="C133" s="83"/>
      <c r="D133" s="83"/>
      <c r="E133" s="11">
        <f t="shared" si="128"/>
        <v>0</v>
      </c>
      <c r="F133" s="141"/>
      <c r="G133" s="13" t="e">
        <f t="shared" si="129"/>
        <v>#DIV/0!</v>
      </c>
      <c r="H133" s="83"/>
      <c r="I133" s="125"/>
      <c r="J133" s="83">
        <f t="shared" si="130"/>
        <v>0</v>
      </c>
      <c r="K133" s="83">
        <f t="shared" si="131"/>
        <v>0</v>
      </c>
      <c r="L133" s="136" t="e">
        <f t="shared" si="132"/>
        <v>#DIV/0!</v>
      </c>
      <c r="M133" s="116"/>
      <c r="N133" s="329">
        <f t="shared" ref="N133:N136" si="133">F133*M133</f>
        <v>0</v>
      </c>
    </row>
    <row r="134" spans="1:16" ht="16">
      <c r="A134" s="138"/>
      <c r="B134" s="140"/>
      <c r="C134" s="83"/>
      <c r="D134" s="83"/>
      <c r="E134" s="11">
        <f t="shared" si="128"/>
        <v>0</v>
      </c>
      <c r="F134" s="141"/>
      <c r="G134" s="13" t="e">
        <f t="shared" si="129"/>
        <v>#DIV/0!</v>
      </c>
      <c r="H134" s="83"/>
      <c r="I134" s="125"/>
      <c r="J134" s="83">
        <f t="shared" si="130"/>
        <v>0</v>
      </c>
      <c r="K134" s="83">
        <f t="shared" si="131"/>
        <v>0</v>
      </c>
      <c r="L134" s="136" t="e">
        <f t="shared" si="132"/>
        <v>#DIV/0!</v>
      </c>
      <c r="M134" s="116"/>
      <c r="N134" s="201">
        <f t="shared" si="133"/>
        <v>0</v>
      </c>
    </row>
    <row r="135" spans="1:16" ht="16">
      <c r="A135" s="138"/>
      <c r="B135" s="140"/>
      <c r="C135" s="83"/>
      <c r="D135" s="83"/>
      <c r="E135" s="11">
        <f t="shared" si="128"/>
        <v>0</v>
      </c>
      <c r="F135" s="141"/>
      <c r="G135" s="13" t="e">
        <f t="shared" si="129"/>
        <v>#DIV/0!</v>
      </c>
      <c r="H135" s="83"/>
      <c r="I135" s="125"/>
      <c r="J135" s="83">
        <f t="shared" si="130"/>
        <v>0</v>
      </c>
      <c r="K135" s="83">
        <f t="shared" si="131"/>
        <v>0</v>
      </c>
      <c r="L135" s="136" t="e">
        <f t="shared" si="132"/>
        <v>#DIV/0!</v>
      </c>
      <c r="M135" s="116"/>
      <c r="N135" s="201">
        <f t="shared" si="133"/>
        <v>0</v>
      </c>
    </row>
    <row r="136" spans="1:16" ht="16">
      <c r="A136" s="138"/>
      <c r="B136" s="140"/>
      <c r="C136" s="83"/>
      <c r="D136" s="83"/>
      <c r="E136" s="11">
        <f t="shared" si="128"/>
        <v>0</v>
      </c>
      <c r="F136" s="141"/>
      <c r="G136" s="13" t="e">
        <f t="shared" si="129"/>
        <v>#DIV/0!</v>
      </c>
      <c r="H136" s="83"/>
      <c r="I136" s="125"/>
      <c r="J136" s="83">
        <f t="shared" si="130"/>
        <v>0</v>
      </c>
      <c r="K136" s="83">
        <f t="shared" si="131"/>
        <v>0</v>
      </c>
      <c r="L136" s="136" t="e">
        <f t="shared" si="132"/>
        <v>#DIV/0!</v>
      </c>
      <c r="M136" s="116"/>
      <c r="N136" s="201">
        <f t="shared" si="133"/>
        <v>0</v>
      </c>
    </row>
    <row r="137" spans="1:16" ht="16">
      <c r="A137" s="59"/>
      <c r="B137" s="60"/>
      <c r="C137" s="59"/>
      <c r="D137" s="59" t="s">
        <v>19</v>
      </c>
      <c r="E137" s="59">
        <f t="shared" ref="E137:F137" si="134">SUM(E132:E136)</f>
        <v>0</v>
      </c>
      <c r="F137" s="59">
        <f t="shared" si="134"/>
        <v>232</v>
      </c>
      <c r="G137" s="61" t="e">
        <f>AVERAGE(G132:G136)</f>
        <v>#DIV/0!</v>
      </c>
      <c r="H137" s="59"/>
      <c r="I137" s="62"/>
      <c r="J137" s="59">
        <f t="shared" ref="J137:K137" si="135">SUM(J132:J136)</f>
        <v>0</v>
      </c>
      <c r="K137" s="59">
        <f t="shared" si="135"/>
        <v>232</v>
      </c>
      <c r="L137" s="61" t="e">
        <f>AVERAGE(L132:L136)</f>
        <v>#DIV/0!</v>
      </c>
      <c r="M137" s="64"/>
      <c r="N137" s="325">
        <f>SUM(N132:N136)</f>
        <v>3999680</v>
      </c>
    </row>
    <row r="138" spans="1:16" ht="16">
      <c r="A138" s="66">
        <v>45751</v>
      </c>
      <c r="B138" s="140" t="s">
        <v>50</v>
      </c>
      <c r="C138" s="83"/>
      <c r="D138" s="12">
        <v>345060</v>
      </c>
      <c r="E138" s="36">
        <f t="shared" ref="E138:E142" si="136">D138-C138</f>
        <v>345060</v>
      </c>
      <c r="F138" s="37"/>
      <c r="G138" s="13">
        <f t="shared" ref="G138:G142" si="137">(F138/E138)*100</f>
        <v>0</v>
      </c>
      <c r="H138" s="83"/>
      <c r="I138" s="126"/>
      <c r="J138" s="39">
        <f t="shared" ref="J138:J142" si="138">I138-H138</f>
        <v>0</v>
      </c>
      <c r="K138" s="39">
        <v>216.59</v>
      </c>
      <c r="L138" s="136" t="e">
        <f t="shared" ref="L138:L142" si="139">(K138/J138)*100</f>
        <v>#DIV/0!</v>
      </c>
      <c r="M138" s="68">
        <v>18470</v>
      </c>
      <c r="N138" s="324">
        <f t="shared" ref="N138:N139" si="140">M138*K138</f>
        <v>4000417.3000000003</v>
      </c>
      <c r="P138" s="76">
        <v>36838000</v>
      </c>
    </row>
    <row r="139" spans="1:16" ht="16">
      <c r="A139" s="138">
        <v>45769</v>
      </c>
      <c r="B139" s="140" t="s">
        <v>50</v>
      </c>
      <c r="C139" s="83"/>
      <c r="D139" s="83"/>
      <c r="E139" s="11">
        <f t="shared" si="136"/>
        <v>0</v>
      </c>
      <c r="F139" s="141"/>
      <c r="G139" s="13" t="e">
        <f t="shared" si="137"/>
        <v>#DIV/0!</v>
      </c>
      <c r="H139" s="83"/>
      <c r="I139" s="125"/>
      <c r="J139" s="83">
        <f t="shared" si="138"/>
        <v>0</v>
      </c>
      <c r="K139" s="83">
        <v>217.28</v>
      </c>
      <c r="L139" s="136" t="e">
        <f t="shared" si="139"/>
        <v>#DIV/0!</v>
      </c>
      <c r="M139" s="116">
        <v>17030</v>
      </c>
      <c r="N139" s="324">
        <f t="shared" si="140"/>
        <v>3700278.4</v>
      </c>
      <c r="P139" s="76">
        <f>P138/500000</f>
        <v>73.676000000000002</v>
      </c>
    </row>
    <row r="140" spans="1:16" ht="16">
      <c r="A140" s="138"/>
      <c r="B140" s="140" t="s">
        <v>50</v>
      </c>
      <c r="C140" s="83"/>
      <c r="D140" s="83"/>
      <c r="E140" s="11">
        <f t="shared" si="136"/>
        <v>0</v>
      </c>
      <c r="F140" s="141"/>
      <c r="G140" s="13" t="e">
        <f t="shared" si="137"/>
        <v>#DIV/0!</v>
      </c>
      <c r="H140" s="83"/>
      <c r="I140" s="125"/>
      <c r="J140" s="83">
        <f t="shared" si="138"/>
        <v>0</v>
      </c>
      <c r="K140" s="83">
        <f t="shared" ref="K140:K142" si="141">F140</f>
        <v>0</v>
      </c>
      <c r="L140" s="136" t="e">
        <f t="shared" si="139"/>
        <v>#DIV/0!</v>
      </c>
      <c r="M140" s="116"/>
      <c r="N140" s="201">
        <f t="shared" ref="N140:N142" si="142">F140*M140</f>
        <v>0</v>
      </c>
    </row>
    <row r="141" spans="1:16" ht="16">
      <c r="A141" s="138"/>
      <c r="B141" s="140" t="s">
        <v>50</v>
      </c>
      <c r="C141" s="83"/>
      <c r="D141" s="83"/>
      <c r="E141" s="11">
        <f t="shared" si="136"/>
        <v>0</v>
      </c>
      <c r="F141" s="141"/>
      <c r="G141" s="13" t="e">
        <f t="shared" si="137"/>
        <v>#DIV/0!</v>
      </c>
      <c r="H141" s="83"/>
      <c r="I141" s="125"/>
      <c r="J141" s="83">
        <f t="shared" si="138"/>
        <v>0</v>
      </c>
      <c r="K141" s="83">
        <f t="shared" si="141"/>
        <v>0</v>
      </c>
      <c r="L141" s="136" t="e">
        <f t="shared" si="139"/>
        <v>#DIV/0!</v>
      </c>
      <c r="M141" s="116"/>
      <c r="N141" s="201">
        <f t="shared" si="142"/>
        <v>0</v>
      </c>
    </row>
    <row r="142" spans="1:16" ht="16">
      <c r="A142" s="138"/>
      <c r="B142" s="140" t="s">
        <v>50</v>
      </c>
      <c r="C142" s="83"/>
      <c r="D142" s="83"/>
      <c r="E142" s="11">
        <f t="shared" si="136"/>
        <v>0</v>
      </c>
      <c r="F142" s="141"/>
      <c r="G142" s="13" t="e">
        <f t="shared" si="137"/>
        <v>#DIV/0!</v>
      </c>
      <c r="H142" s="83"/>
      <c r="I142" s="125"/>
      <c r="J142" s="83">
        <f t="shared" si="138"/>
        <v>0</v>
      </c>
      <c r="K142" s="83">
        <f t="shared" si="141"/>
        <v>0</v>
      </c>
      <c r="L142" s="136" t="e">
        <f t="shared" si="139"/>
        <v>#DIV/0!</v>
      </c>
      <c r="M142" s="116"/>
      <c r="N142" s="201">
        <f t="shared" si="142"/>
        <v>0</v>
      </c>
    </row>
    <row r="143" spans="1:16" ht="16">
      <c r="A143" s="59"/>
      <c r="B143" s="60"/>
      <c r="C143" s="59"/>
      <c r="D143" s="59" t="s">
        <v>19</v>
      </c>
      <c r="E143" s="59">
        <f t="shared" ref="E143:F143" si="143">SUM(E138:E142)</f>
        <v>345060</v>
      </c>
      <c r="F143" s="59">
        <f t="shared" si="143"/>
        <v>0</v>
      </c>
      <c r="G143" s="61" t="e">
        <f>AVERAGE(G138:G142)</f>
        <v>#DIV/0!</v>
      </c>
      <c r="H143" s="59"/>
      <c r="I143" s="62"/>
      <c r="J143" s="59">
        <f t="shared" ref="J143:K143" si="144">SUM(J138:J142)</f>
        <v>0</v>
      </c>
      <c r="K143" s="59">
        <f t="shared" si="144"/>
        <v>433.87</v>
      </c>
      <c r="L143" s="61" t="e">
        <f>AVERAGE(L138:L142)</f>
        <v>#DIV/0!</v>
      </c>
      <c r="M143" s="64"/>
      <c r="N143" s="325">
        <f>SUM(N138:N142)</f>
        <v>7700695.7000000002</v>
      </c>
    </row>
    <row r="144" spans="1:16" ht="16">
      <c r="A144" s="66">
        <v>45758</v>
      </c>
      <c r="B144" s="140" t="s">
        <v>51</v>
      </c>
      <c r="C144" s="83">
        <v>295530</v>
      </c>
      <c r="D144" s="12"/>
      <c r="E144" s="36">
        <f t="shared" ref="E144:E148" si="145">D144-C144</f>
        <v>-295530</v>
      </c>
      <c r="F144" s="37">
        <v>168.22</v>
      </c>
      <c r="G144" s="13">
        <f t="shared" ref="G144:G148" si="146">(F144/E144)*100</f>
        <v>-5.6921463134030389E-2</v>
      </c>
      <c r="H144" s="83"/>
      <c r="I144" s="126"/>
      <c r="J144" s="39">
        <f t="shared" ref="J144:J148" si="147">I144-H144</f>
        <v>0</v>
      </c>
      <c r="K144" s="39">
        <f t="shared" ref="K144:K148" si="148">F144</f>
        <v>168.22</v>
      </c>
      <c r="L144" s="136" t="e">
        <f t="shared" ref="L144:L148" si="149">(K144/J144)*100</f>
        <v>#DIV/0!</v>
      </c>
      <c r="M144" s="68">
        <v>17240</v>
      </c>
      <c r="N144" s="324">
        <f t="shared" ref="N144:N147" si="150">M144*F144</f>
        <v>2900112.8</v>
      </c>
    </row>
    <row r="145" spans="1:14" ht="16">
      <c r="A145" s="138">
        <v>45771</v>
      </c>
      <c r="B145" s="140" t="s">
        <v>51</v>
      </c>
      <c r="C145" s="83"/>
      <c r="D145" s="83"/>
      <c r="E145" s="11">
        <f t="shared" si="145"/>
        <v>0</v>
      </c>
      <c r="F145" s="141">
        <v>146.80000000000001</v>
      </c>
      <c r="G145" s="13" t="e">
        <f t="shared" si="146"/>
        <v>#DIV/0!</v>
      </c>
      <c r="H145" s="83"/>
      <c r="I145" s="125"/>
      <c r="J145" s="83">
        <f t="shared" si="147"/>
        <v>0</v>
      </c>
      <c r="K145" s="83">
        <f t="shared" si="148"/>
        <v>146.80000000000001</v>
      </c>
      <c r="L145" s="136" t="e">
        <f t="shared" si="149"/>
        <v>#DIV/0!</v>
      </c>
      <c r="M145" s="116">
        <v>17030</v>
      </c>
      <c r="N145" s="324">
        <f t="shared" si="150"/>
        <v>2500004</v>
      </c>
    </row>
    <row r="146" spans="1:14" ht="16">
      <c r="A146" s="138"/>
      <c r="B146" s="140" t="s">
        <v>51</v>
      </c>
      <c r="C146" s="83"/>
      <c r="D146" s="83"/>
      <c r="E146" s="11">
        <f t="shared" si="145"/>
        <v>0</v>
      </c>
      <c r="F146" s="141"/>
      <c r="G146" s="13" t="e">
        <f t="shared" si="146"/>
        <v>#DIV/0!</v>
      </c>
      <c r="H146" s="83"/>
      <c r="I146" s="125"/>
      <c r="J146" s="83">
        <f t="shared" si="147"/>
        <v>0</v>
      </c>
      <c r="K146" s="83">
        <f t="shared" si="148"/>
        <v>0</v>
      </c>
      <c r="L146" s="136" t="e">
        <f t="shared" si="149"/>
        <v>#DIV/0!</v>
      </c>
      <c r="M146" s="116"/>
      <c r="N146" s="324">
        <f t="shared" si="150"/>
        <v>0</v>
      </c>
    </row>
    <row r="147" spans="1:14" ht="16">
      <c r="A147" s="138"/>
      <c r="B147" s="140" t="s">
        <v>51</v>
      </c>
      <c r="C147" s="83"/>
      <c r="D147" s="83"/>
      <c r="E147" s="11">
        <f t="shared" si="145"/>
        <v>0</v>
      </c>
      <c r="F147" s="141"/>
      <c r="G147" s="13" t="e">
        <f t="shared" si="146"/>
        <v>#DIV/0!</v>
      </c>
      <c r="H147" s="83"/>
      <c r="I147" s="125"/>
      <c r="J147" s="83">
        <f t="shared" si="147"/>
        <v>0</v>
      </c>
      <c r="K147" s="83">
        <f t="shared" si="148"/>
        <v>0</v>
      </c>
      <c r="L147" s="136" t="e">
        <f t="shared" si="149"/>
        <v>#DIV/0!</v>
      </c>
      <c r="M147" s="116"/>
      <c r="N147" s="324">
        <f t="shared" si="150"/>
        <v>0</v>
      </c>
    </row>
    <row r="148" spans="1:14" ht="16">
      <c r="A148" s="138"/>
      <c r="B148" s="140"/>
      <c r="C148" s="83"/>
      <c r="D148" s="83"/>
      <c r="E148" s="11">
        <f t="shared" si="145"/>
        <v>0</v>
      </c>
      <c r="F148" s="141"/>
      <c r="G148" s="13" t="e">
        <f t="shared" si="146"/>
        <v>#DIV/0!</v>
      </c>
      <c r="H148" s="83"/>
      <c r="I148" s="125"/>
      <c r="J148" s="83">
        <f t="shared" si="147"/>
        <v>0</v>
      </c>
      <c r="K148" s="83">
        <f t="shared" si="148"/>
        <v>0</v>
      </c>
      <c r="L148" s="136" t="e">
        <f t="shared" si="149"/>
        <v>#DIV/0!</v>
      </c>
      <c r="M148" s="116"/>
      <c r="N148" s="201">
        <f>F148*M148</f>
        <v>0</v>
      </c>
    </row>
    <row r="149" spans="1:14" ht="16">
      <c r="A149" s="59"/>
      <c r="B149" s="60"/>
      <c r="C149" s="59"/>
      <c r="D149" s="59" t="s">
        <v>19</v>
      </c>
      <c r="E149" s="59">
        <f t="shared" ref="E149:F149" si="151">SUM(E144:E148)</f>
        <v>-295530</v>
      </c>
      <c r="F149" s="59">
        <f t="shared" si="151"/>
        <v>315.02</v>
      </c>
      <c r="G149" s="61" t="e">
        <f>AVERAGE(G144:G148)</f>
        <v>#DIV/0!</v>
      </c>
      <c r="H149" s="59"/>
      <c r="I149" s="62"/>
      <c r="J149" s="59">
        <f t="shared" ref="J149:K149" si="152">SUM(J144:J148)</f>
        <v>0</v>
      </c>
      <c r="K149" s="59">
        <f t="shared" si="152"/>
        <v>315.02</v>
      </c>
      <c r="L149" s="61" t="e">
        <f>AVERAGE(L144:L148)</f>
        <v>#DIV/0!</v>
      </c>
      <c r="M149" s="64"/>
      <c r="N149" s="325">
        <f>SUM(N144:N148)</f>
        <v>5400116.7999999998</v>
      </c>
    </row>
    <row r="150" spans="1:14" ht="16">
      <c r="A150" s="66">
        <v>45748</v>
      </c>
      <c r="B150" s="140" t="s">
        <v>90</v>
      </c>
      <c r="C150" s="83"/>
      <c r="D150" s="12"/>
      <c r="E150" s="36">
        <f t="shared" ref="E150:E154" si="153">D150-C150</f>
        <v>0</v>
      </c>
      <c r="F150" s="37"/>
      <c r="G150" s="13" t="e">
        <f t="shared" ref="G150:G154" si="154">(F150/E150)*100</f>
        <v>#DIV/0!</v>
      </c>
      <c r="H150" s="83"/>
      <c r="I150" s="126"/>
      <c r="J150" s="39">
        <f t="shared" ref="J150:J154" si="155">I150-H150</f>
        <v>0</v>
      </c>
      <c r="K150" s="39">
        <f t="shared" ref="K150:K154" si="156">F150</f>
        <v>0</v>
      </c>
      <c r="L150" s="136" t="e">
        <f t="shared" ref="L150:L154" si="157">(K150/J150)*100</f>
        <v>#DIV/0!</v>
      </c>
      <c r="M150" s="68"/>
      <c r="N150" s="324">
        <v>9400000</v>
      </c>
    </row>
    <row r="151" spans="1:14" ht="16">
      <c r="A151" s="138">
        <v>45768</v>
      </c>
      <c r="B151" s="140" t="s">
        <v>90</v>
      </c>
      <c r="C151" s="83"/>
      <c r="D151" s="83"/>
      <c r="E151" s="11">
        <f t="shared" si="153"/>
        <v>0</v>
      </c>
      <c r="F151" s="141"/>
      <c r="G151" s="13" t="e">
        <f t="shared" si="154"/>
        <v>#DIV/0!</v>
      </c>
      <c r="H151" s="83"/>
      <c r="I151" s="125"/>
      <c r="J151" s="83">
        <f t="shared" si="155"/>
        <v>0</v>
      </c>
      <c r="K151" s="83">
        <f t="shared" si="156"/>
        <v>0</v>
      </c>
      <c r="L151" s="136" t="e">
        <f t="shared" si="157"/>
        <v>#DIV/0!</v>
      </c>
      <c r="M151" s="116"/>
      <c r="N151" s="329">
        <v>6000000</v>
      </c>
    </row>
    <row r="152" spans="1:14" ht="16">
      <c r="A152" s="138">
        <v>45775</v>
      </c>
      <c r="B152" s="140" t="s">
        <v>90</v>
      </c>
      <c r="C152" s="83"/>
      <c r="D152" s="83"/>
      <c r="E152" s="11">
        <f t="shared" si="153"/>
        <v>0</v>
      </c>
      <c r="F152" s="141"/>
      <c r="G152" s="13" t="e">
        <f t="shared" si="154"/>
        <v>#DIV/0!</v>
      </c>
      <c r="H152" s="83"/>
      <c r="I152" s="125"/>
      <c r="J152" s="83">
        <f t="shared" si="155"/>
        <v>0</v>
      </c>
      <c r="K152" s="83">
        <f t="shared" si="156"/>
        <v>0</v>
      </c>
      <c r="L152" s="136" t="e">
        <f t="shared" si="157"/>
        <v>#DIV/0!</v>
      </c>
      <c r="M152" s="116"/>
      <c r="N152" s="201">
        <v>2000000</v>
      </c>
    </row>
    <row r="153" spans="1:14" ht="16">
      <c r="A153" s="138"/>
      <c r="B153" s="140" t="s">
        <v>90</v>
      </c>
      <c r="C153" s="83"/>
      <c r="D153" s="83"/>
      <c r="E153" s="11">
        <f t="shared" si="153"/>
        <v>0</v>
      </c>
      <c r="F153" s="141"/>
      <c r="G153" s="13" t="e">
        <f t="shared" si="154"/>
        <v>#DIV/0!</v>
      </c>
      <c r="H153" s="83"/>
      <c r="I153" s="125"/>
      <c r="J153" s="83">
        <f t="shared" si="155"/>
        <v>0</v>
      </c>
      <c r="K153" s="83">
        <f t="shared" si="156"/>
        <v>0</v>
      </c>
      <c r="L153" s="136" t="e">
        <f t="shared" si="157"/>
        <v>#DIV/0!</v>
      </c>
      <c r="M153" s="116"/>
      <c r="N153" s="201">
        <f t="shared" ref="N153:N154" si="158">F153*M153</f>
        <v>0</v>
      </c>
    </row>
    <row r="154" spans="1:14" ht="16">
      <c r="A154" s="138"/>
      <c r="B154" s="140"/>
      <c r="C154" s="83"/>
      <c r="D154" s="83"/>
      <c r="E154" s="11">
        <f t="shared" si="153"/>
        <v>0</v>
      </c>
      <c r="F154" s="141"/>
      <c r="G154" s="13" t="e">
        <f t="shared" si="154"/>
        <v>#DIV/0!</v>
      </c>
      <c r="H154" s="83"/>
      <c r="I154" s="125"/>
      <c r="J154" s="83">
        <f t="shared" si="155"/>
        <v>0</v>
      </c>
      <c r="K154" s="83">
        <f t="shared" si="156"/>
        <v>0</v>
      </c>
      <c r="L154" s="136" t="e">
        <f t="shared" si="157"/>
        <v>#DIV/0!</v>
      </c>
      <c r="M154" s="116"/>
      <c r="N154" s="201">
        <f t="shared" si="158"/>
        <v>0</v>
      </c>
    </row>
    <row r="155" spans="1:14" ht="16">
      <c r="A155" s="59"/>
      <c r="B155" s="60"/>
      <c r="C155" s="59"/>
      <c r="D155" s="59"/>
      <c r="E155" s="59">
        <f t="shared" ref="E155:F155" si="159">SUM(E150:E154)</f>
        <v>0</v>
      </c>
      <c r="F155" s="59">
        <f t="shared" si="159"/>
        <v>0</v>
      </c>
      <c r="G155" s="61" t="e">
        <f>AVERAGE(G150:G154)</f>
        <v>#DIV/0!</v>
      </c>
      <c r="H155" s="59"/>
      <c r="I155" s="62"/>
      <c r="J155" s="59">
        <f t="shared" ref="J155:K155" si="160">SUM(J150:J154)</f>
        <v>0</v>
      </c>
      <c r="K155" s="59">
        <f t="shared" si="160"/>
        <v>0</v>
      </c>
      <c r="L155" s="61" t="e">
        <f>AVERAGE(L150:L154)</f>
        <v>#DIV/0!</v>
      </c>
      <c r="M155" s="64"/>
      <c r="N155" s="325">
        <f>SUM(N150:N154)</f>
        <v>17400000</v>
      </c>
    </row>
    <row r="156" spans="1:14" ht="16">
      <c r="A156" s="66">
        <v>45749</v>
      </c>
      <c r="B156" s="140" t="s">
        <v>54</v>
      </c>
      <c r="C156" s="83"/>
      <c r="D156" s="12"/>
      <c r="E156" s="36">
        <f t="shared" ref="E156:E161" si="161">D156-C156</f>
        <v>0</v>
      </c>
      <c r="F156" s="37"/>
      <c r="G156" s="13" t="e">
        <f t="shared" ref="G156:G161" si="162">(F156/E156)*100</f>
        <v>#DIV/0!</v>
      </c>
      <c r="H156" s="83"/>
      <c r="I156" s="126"/>
      <c r="J156" s="39">
        <f t="shared" ref="J156:J161" si="163">I156-H156</f>
        <v>0</v>
      </c>
      <c r="K156" s="39">
        <f t="shared" ref="K156:K161" si="164">F156</f>
        <v>0</v>
      </c>
      <c r="L156" s="136" t="e">
        <f t="shared" ref="L156:L161" si="165">(K156/J156)*100</f>
        <v>#DIV/0!</v>
      </c>
      <c r="M156" s="68"/>
      <c r="N156" s="324">
        <v>3000000</v>
      </c>
    </row>
    <row r="157" spans="1:14" ht="16">
      <c r="A157" s="66">
        <v>45755</v>
      </c>
      <c r="B157" s="140" t="s">
        <v>54</v>
      </c>
      <c r="C157" s="83"/>
      <c r="D157" s="83"/>
      <c r="E157" s="11">
        <f t="shared" si="161"/>
        <v>0</v>
      </c>
      <c r="F157" s="141"/>
      <c r="G157" s="13" t="e">
        <f t="shared" si="162"/>
        <v>#DIV/0!</v>
      </c>
      <c r="H157" s="83"/>
      <c r="I157" s="125"/>
      <c r="J157" s="83">
        <f t="shared" si="163"/>
        <v>0</v>
      </c>
      <c r="K157" s="83">
        <f t="shared" si="164"/>
        <v>0</v>
      </c>
      <c r="L157" s="136" t="e">
        <f t="shared" si="165"/>
        <v>#DIV/0!</v>
      </c>
      <c r="M157" s="116"/>
      <c r="N157" s="324">
        <v>4000000</v>
      </c>
    </row>
    <row r="158" spans="1:14" ht="16">
      <c r="A158" s="138">
        <v>45761</v>
      </c>
      <c r="B158" s="140" t="s">
        <v>54</v>
      </c>
      <c r="C158" s="83"/>
      <c r="D158" s="83"/>
      <c r="E158" s="11">
        <f t="shared" si="161"/>
        <v>0</v>
      </c>
      <c r="F158" s="141"/>
      <c r="G158" s="13" t="e">
        <f t="shared" si="162"/>
        <v>#DIV/0!</v>
      </c>
      <c r="H158" s="83"/>
      <c r="I158" s="125"/>
      <c r="J158" s="83">
        <f t="shared" si="163"/>
        <v>0</v>
      </c>
      <c r="K158" s="83">
        <f t="shared" si="164"/>
        <v>0</v>
      </c>
      <c r="L158" s="136" t="e">
        <f t="shared" si="165"/>
        <v>#DIV/0!</v>
      </c>
      <c r="M158" s="116"/>
      <c r="N158" s="201">
        <v>5000000</v>
      </c>
    </row>
    <row r="159" spans="1:14" ht="16">
      <c r="A159" s="138">
        <v>45764</v>
      </c>
      <c r="B159" s="140" t="s">
        <v>54</v>
      </c>
      <c r="C159" s="83"/>
      <c r="D159" s="83"/>
      <c r="E159" s="11">
        <f t="shared" si="161"/>
        <v>0</v>
      </c>
      <c r="F159" s="141"/>
      <c r="G159" s="13" t="e">
        <f t="shared" si="162"/>
        <v>#DIV/0!</v>
      </c>
      <c r="H159" s="83"/>
      <c r="I159" s="125"/>
      <c r="J159" s="83">
        <f t="shared" si="163"/>
        <v>0</v>
      </c>
      <c r="K159" s="83">
        <f t="shared" si="164"/>
        <v>0</v>
      </c>
      <c r="L159" s="136" t="e">
        <f t="shared" si="165"/>
        <v>#DIV/0!</v>
      </c>
      <c r="M159" s="116"/>
      <c r="N159" s="201">
        <v>3000000</v>
      </c>
    </row>
    <row r="160" spans="1:14" ht="16">
      <c r="A160" s="138">
        <v>45768</v>
      </c>
      <c r="B160" s="140" t="s">
        <v>54</v>
      </c>
      <c r="C160" s="83"/>
      <c r="D160" s="83"/>
      <c r="E160" s="11">
        <f t="shared" si="161"/>
        <v>0</v>
      </c>
      <c r="F160" s="141"/>
      <c r="G160" s="13" t="e">
        <f t="shared" si="162"/>
        <v>#DIV/0!</v>
      </c>
      <c r="H160" s="83"/>
      <c r="I160" s="125"/>
      <c r="J160" s="83">
        <f t="shared" si="163"/>
        <v>0</v>
      </c>
      <c r="K160" s="83">
        <f t="shared" si="164"/>
        <v>0</v>
      </c>
      <c r="L160" s="136" t="e">
        <f t="shared" si="165"/>
        <v>#DIV/0!</v>
      </c>
      <c r="M160" s="116"/>
      <c r="N160" s="201">
        <v>4000000</v>
      </c>
    </row>
    <row r="161" spans="1:14" ht="16">
      <c r="A161" s="138">
        <v>45770</v>
      </c>
      <c r="B161" s="140" t="s">
        <v>54</v>
      </c>
      <c r="C161" s="83"/>
      <c r="D161" s="83"/>
      <c r="E161" s="11">
        <f t="shared" si="161"/>
        <v>0</v>
      </c>
      <c r="F161" s="141"/>
      <c r="G161" s="13" t="e">
        <f t="shared" si="162"/>
        <v>#DIV/0!</v>
      </c>
      <c r="H161" s="83"/>
      <c r="I161" s="125"/>
      <c r="J161" s="83">
        <f t="shared" si="163"/>
        <v>0</v>
      </c>
      <c r="K161" s="83">
        <f t="shared" si="164"/>
        <v>0</v>
      </c>
      <c r="L161" s="136" t="e">
        <f t="shared" si="165"/>
        <v>#DIV/0!</v>
      </c>
      <c r="M161" s="116"/>
      <c r="N161" s="201">
        <v>4000000</v>
      </c>
    </row>
    <row r="162" spans="1:14" ht="16">
      <c r="A162" s="138">
        <v>45773</v>
      </c>
      <c r="B162" s="140" t="s">
        <v>54</v>
      </c>
      <c r="C162" s="83"/>
      <c r="D162" s="83"/>
      <c r="E162" s="11"/>
      <c r="F162" s="141"/>
      <c r="G162" s="13"/>
      <c r="H162" s="83"/>
      <c r="I162" s="125"/>
      <c r="J162" s="83"/>
      <c r="K162" s="83"/>
      <c r="L162" s="136"/>
      <c r="M162" s="116"/>
      <c r="N162" s="201">
        <v>5000000</v>
      </c>
    </row>
    <row r="163" spans="1:14" ht="16">
      <c r="A163" s="138">
        <v>45775</v>
      </c>
      <c r="B163" s="140" t="s">
        <v>54</v>
      </c>
      <c r="C163" s="83"/>
      <c r="D163" s="83"/>
      <c r="E163" s="11">
        <f>D163-C163</f>
        <v>0</v>
      </c>
      <c r="F163" s="141"/>
      <c r="G163" s="13" t="e">
        <f>(F163/E163)*100</f>
        <v>#DIV/0!</v>
      </c>
      <c r="H163" s="83"/>
      <c r="I163" s="125"/>
      <c r="J163" s="83">
        <f>I163-H163</f>
        <v>0</v>
      </c>
      <c r="K163" s="83">
        <f>F163</f>
        <v>0</v>
      </c>
      <c r="L163" s="136" t="e">
        <f>(K163/J163)*100</f>
        <v>#DIV/0!</v>
      </c>
      <c r="M163" s="116"/>
      <c r="N163" s="201">
        <v>4000000</v>
      </c>
    </row>
    <row r="164" spans="1:14" ht="16">
      <c r="A164" s="59"/>
      <c r="B164" s="60"/>
      <c r="C164" s="59"/>
      <c r="D164" s="59" t="s">
        <v>19</v>
      </c>
      <c r="E164" s="59">
        <f t="shared" ref="E164:F164" si="166">SUM(E156:E163)</f>
        <v>0</v>
      </c>
      <c r="F164" s="59">
        <f t="shared" si="166"/>
        <v>0</v>
      </c>
      <c r="G164" s="61" t="e">
        <f>AVERAGE(G156:G163)</f>
        <v>#DIV/0!</v>
      </c>
      <c r="H164" s="59"/>
      <c r="I164" s="62"/>
      <c r="J164" s="59">
        <f t="shared" ref="J164:K164" si="167">SUM(J156:J163)</f>
        <v>0</v>
      </c>
      <c r="K164" s="59">
        <f t="shared" si="167"/>
        <v>0</v>
      </c>
      <c r="L164" s="61" t="e">
        <f>AVERAGE(L156:L163)</f>
        <v>#DIV/0!</v>
      </c>
      <c r="M164" s="64"/>
      <c r="N164" s="325">
        <f>SUM(N156:N163)</f>
        <v>32000000</v>
      </c>
    </row>
    <row r="165" spans="1:14" ht="16">
      <c r="A165" s="66">
        <v>45748</v>
      </c>
      <c r="B165" s="140" t="s">
        <v>69</v>
      </c>
      <c r="C165" s="83"/>
      <c r="D165" s="12"/>
      <c r="E165" s="36">
        <f t="shared" ref="E165:E169" si="168">D165-C165</f>
        <v>0</v>
      </c>
      <c r="F165" s="37"/>
      <c r="G165" s="13" t="e">
        <f t="shared" ref="G165:G169" si="169">(F165/E165)*100</f>
        <v>#DIV/0!</v>
      </c>
      <c r="H165" s="83"/>
      <c r="I165" s="126"/>
      <c r="J165" s="39">
        <f t="shared" ref="J165:J169" si="170">I165-H165</f>
        <v>0</v>
      </c>
      <c r="K165" s="39">
        <f t="shared" ref="K165:K169" si="171">F165</f>
        <v>0</v>
      </c>
      <c r="L165" s="136" t="e">
        <f t="shared" ref="L165:L169" si="172">(K165/J165)*100</f>
        <v>#DIV/0!</v>
      </c>
      <c r="M165" s="68"/>
      <c r="N165" s="324">
        <v>5000000</v>
      </c>
    </row>
    <row r="166" spans="1:14" ht="16">
      <c r="A166" s="138">
        <v>45757</v>
      </c>
      <c r="B166" s="140" t="s">
        <v>69</v>
      </c>
      <c r="C166" s="83"/>
      <c r="D166" s="83"/>
      <c r="E166" s="11">
        <f t="shared" si="168"/>
        <v>0</v>
      </c>
      <c r="F166" s="141"/>
      <c r="G166" s="13" t="e">
        <f t="shared" si="169"/>
        <v>#DIV/0!</v>
      </c>
      <c r="H166" s="83"/>
      <c r="I166" s="125"/>
      <c r="J166" s="83">
        <f t="shared" si="170"/>
        <v>0</v>
      </c>
      <c r="K166" s="83">
        <f t="shared" si="171"/>
        <v>0</v>
      </c>
      <c r="L166" s="136" t="e">
        <f t="shared" si="172"/>
        <v>#DIV/0!</v>
      </c>
      <c r="M166" s="116"/>
      <c r="N166" s="329">
        <v>6000000</v>
      </c>
    </row>
    <row r="167" spans="1:14" ht="16">
      <c r="A167" s="138">
        <v>45768</v>
      </c>
      <c r="B167" s="140" t="s">
        <v>69</v>
      </c>
      <c r="C167" s="83"/>
      <c r="D167" s="83"/>
      <c r="E167" s="11">
        <f t="shared" si="168"/>
        <v>0</v>
      </c>
      <c r="F167" s="141"/>
      <c r="G167" s="13" t="e">
        <f t="shared" si="169"/>
        <v>#DIV/0!</v>
      </c>
      <c r="H167" s="83"/>
      <c r="I167" s="125"/>
      <c r="J167" s="83">
        <f t="shared" si="170"/>
        <v>0</v>
      </c>
      <c r="K167" s="83">
        <f t="shared" si="171"/>
        <v>0</v>
      </c>
      <c r="L167" s="136" t="e">
        <f t="shared" si="172"/>
        <v>#DIV/0!</v>
      </c>
      <c r="M167" s="116"/>
      <c r="N167" s="201">
        <v>3800000</v>
      </c>
    </row>
    <row r="168" spans="1:14" ht="16">
      <c r="A168" s="138"/>
      <c r="B168" s="140" t="s">
        <v>69</v>
      </c>
      <c r="C168" s="83"/>
      <c r="D168" s="83"/>
      <c r="E168" s="11">
        <f t="shared" si="168"/>
        <v>0</v>
      </c>
      <c r="F168" s="141"/>
      <c r="G168" s="13" t="e">
        <f t="shared" si="169"/>
        <v>#DIV/0!</v>
      </c>
      <c r="H168" s="83"/>
      <c r="I168" s="125"/>
      <c r="J168" s="83">
        <f t="shared" si="170"/>
        <v>0</v>
      </c>
      <c r="K168" s="83">
        <f t="shared" si="171"/>
        <v>0</v>
      </c>
      <c r="L168" s="136" t="e">
        <f t="shared" si="172"/>
        <v>#DIV/0!</v>
      </c>
      <c r="M168" s="116"/>
      <c r="N168" s="201">
        <f t="shared" ref="N168:N169" si="173">F168*M168</f>
        <v>0</v>
      </c>
    </row>
    <row r="169" spans="1:14" ht="16">
      <c r="A169" s="138"/>
      <c r="B169" s="140"/>
      <c r="C169" s="83"/>
      <c r="D169" s="83"/>
      <c r="E169" s="11">
        <f t="shared" si="168"/>
        <v>0</v>
      </c>
      <c r="F169" s="141"/>
      <c r="G169" s="13" t="e">
        <f t="shared" si="169"/>
        <v>#DIV/0!</v>
      </c>
      <c r="H169" s="83"/>
      <c r="I169" s="125"/>
      <c r="J169" s="83">
        <f t="shared" si="170"/>
        <v>0</v>
      </c>
      <c r="K169" s="83">
        <f t="shared" si="171"/>
        <v>0</v>
      </c>
      <c r="L169" s="136" t="e">
        <f t="shared" si="172"/>
        <v>#DIV/0!</v>
      </c>
      <c r="M169" s="116"/>
      <c r="N169" s="201">
        <f t="shared" si="173"/>
        <v>0</v>
      </c>
    </row>
    <row r="170" spans="1:14" ht="16">
      <c r="A170" s="59"/>
      <c r="B170" s="60"/>
      <c r="C170" s="59"/>
      <c r="D170" s="59" t="s">
        <v>19</v>
      </c>
      <c r="E170" s="59">
        <f t="shared" ref="E170:F170" si="174">SUM(E165:E169)</f>
        <v>0</v>
      </c>
      <c r="F170" s="59">
        <f t="shared" si="174"/>
        <v>0</v>
      </c>
      <c r="G170" s="61" t="e">
        <f>AVERAGE(G165:G169)</f>
        <v>#DIV/0!</v>
      </c>
      <c r="H170" s="59"/>
      <c r="I170" s="62"/>
      <c r="J170" s="59">
        <f t="shared" ref="J170:K170" si="175">SUM(J165:J169)</f>
        <v>0</v>
      </c>
      <c r="K170" s="59">
        <f t="shared" si="175"/>
        <v>0</v>
      </c>
      <c r="L170" s="61" t="e">
        <f>AVERAGE(L165:L169)</f>
        <v>#DIV/0!</v>
      </c>
      <c r="M170" s="64"/>
      <c r="N170" s="325">
        <f>SUM(N165:N169)</f>
        <v>14800000</v>
      </c>
    </row>
    <row r="171" spans="1:14" ht="14">
      <c r="A171" s="179" t="s">
        <v>64</v>
      </c>
      <c r="B171" s="147"/>
      <c r="C171" s="147"/>
      <c r="D171" s="147"/>
      <c r="E171" s="147"/>
      <c r="F171" s="325">
        <f>SUM(F120:F170)/2</f>
        <v>1197.1199999999999</v>
      </c>
      <c r="G171" s="147"/>
      <c r="H171" s="147"/>
      <c r="I171" s="147"/>
      <c r="J171" s="147"/>
      <c r="K171" s="147"/>
      <c r="L171" s="158"/>
      <c r="M171" s="64"/>
      <c r="N171" s="325">
        <f>SUM(N120:N170)/2</f>
        <v>104600498.69999999</v>
      </c>
    </row>
    <row r="172" spans="1:14" ht="13">
      <c r="G172" s="150"/>
      <c r="L172" s="150"/>
    </row>
    <row r="173" spans="1:14" ht="13">
      <c r="G173" s="150"/>
      <c r="L173" s="150"/>
    </row>
    <row r="174" spans="1:14" ht="13">
      <c r="G174" s="150"/>
      <c r="L174" s="150"/>
    </row>
    <row r="175" spans="1:14" ht="13">
      <c r="G175" s="150"/>
      <c r="L175" s="150"/>
    </row>
    <row r="176" spans="1:14" ht="13">
      <c r="G176" s="150"/>
      <c r="L176" s="150"/>
    </row>
    <row r="177" spans="7:12" ht="13">
      <c r="G177" s="150"/>
      <c r="L177" s="150"/>
    </row>
    <row r="178" spans="7:12" ht="13">
      <c r="G178" s="150"/>
      <c r="L178" s="150"/>
    </row>
    <row r="179" spans="7:12" ht="13">
      <c r="G179" s="150"/>
      <c r="L179" s="150"/>
    </row>
    <row r="180" spans="7:12" ht="13">
      <c r="G180" s="150"/>
      <c r="L180" s="150"/>
    </row>
    <row r="181" spans="7:12" ht="13">
      <c r="G181" s="150"/>
      <c r="L181" s="150"/>
    </row>
    <row r="182" spans="7:12" ht="13">
      <c r="G182" s="150"/>
      <c r="L182" s="150"/>
    </row>
    <row r="183" spans="7:12" ht="13">
      <c r="G183" s="150"/>
      <c r="L183" s="150"/>
    </row>
    <row r="184" spans="7:12" ht="13">
      <c r="G184" s="150"/>
      <c r="L184" s="150"/>
    </row>
    <row r="185" spans="7:12" ht="13">
      <c r="G185" s="150"/>
      <c r="L185" s="150"/>
    </row>
    <row r="186" spans="7:12" ht="13">
      <c r="G186" s="150"/>
      <c r="L186" s="150"/>
    </row>
    <row r="187" spans="7:12" ht="13">
      <c r="G187" s="150"/>
      <c r="L187" s="150"/>
    </row>
    <row r="188" spans="7:12" ht="13">
      <c r="G188" s="150"/>
      <c r="L188" s="150"/>
    </row>
    <row r="189" spans="7:12" ht="13">
      <c r="G189" s="150"/>
      <c r="L189" s="150"/>
    </row>
    <row r="190" spans="7:12" ht="13">
      <c r="G190" s="150"/>
      <c r="L190" s="150"/>
    </row>
    <row r="191" spans="7:12" ht="13">
      <c r="G191" s="150"/>
      <c r="L191" s="150"/>
    </row>
    <row r="192" spans="7:12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2"/>
  <sheetViews>
    <sheetView topLeftCell="A30" workbookViewId="0">
      <selection activeCell="A59" sqref="A59"/>
    </sheetView>
  </sheetViews>
  <sheetFormatPr baseColWidth="10" defaultColWidth="12.6640625" defaultRowHeight="15.75" customHeight="1"/>
  <sheetData>
    <row r="1" spans="1:14" ht="18">
      <c r="A1" s="352" t="s">
        <v>100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45720</v>
      </c>
      <c r="B3" s="269" t="s">
        <v>11</v>
      </c>
      <c r="C3" s="83">
        <v>176227</v>
      </c>
      <c r="D3" s="83">
        <v>176581</v>
      </c>
      <c r="E3" s="36">
        <f t="shared" ref="E3:E8" si="0">D3-C3</f>
        <v>354</v>
      </c>
      <c r="F3" s="37">
        <v>50</v>
      </c>
      <c r="G3" s="13">
        <f t="shared" ref="G3:G8" si="1">(F3/E3)*100</f>
        <v>14.124293785310735</v>
      </c>
      <c r="H3" s="125">
        <v>9164</v>
      </c>
      <c r="I3" s="126">
        <v>9584</v>
      </c>
      <c r="J3" s="39">
        <f t="shared" ref="J3:J8" si="2">I3-H3</f>
        <v>420</v>
      </c>
      <c r="K3" s="39">
        <f t="shared" ref="K3:K8" si="3">F3</f>
        <v>50</v>
      </c>
      <c r="L3" s="270">
        <f t="shared" ref="L3:L8" si="4">(K3/J3)*100</f>
        <v>11.904761904761903</v>
      </c>
      <c r="M3" s="68">
        <v>18950</v>
      </c>
      <c r="N3" s="294">
        <f t="shared" ref="N3:N8" si="5">F3*M3</f>
        <v>947500</v>
      </c>
    </row>
    <row r="4" spans="1:14" ht="16">
      <c r="A4" s="138">
        <v>45724</v>
      </c>
      <c r="B4" s="140" t="s">
        <v>11</v>
      </c>
      <c r="C4" s="83">
        <v>176581</v>
      </c>
      <c r="D4" s="83">
        <v>176985</v>
      </c>
      <c r="E4" s="11">
        <f t="shared" si="0"/>
        <v>404</v>
      </c>
      <c r="F4" s="141">
        <v>50</v>
      </c>
      <c r="G4" s="13">
        <f t="shared" si="1"/>
        <v>12.376237623762377</v>
      </c>
      <c r="H4" s="83">
        <v>9584</v>
      </c>
      <c r="I4" s="125">
        <v>9940</v>
      </c>
      <c r="J4" s="83">
        <f t="shared" si="2"/>
        <v>356</v>
      </c>
      <c r="K4" s="83">
        <f t="shared" si="3"/>
        <v>50</v>
      </c>
      <c r="L4" s="136">
        <f t="shared" si="4"/>
        <v>14.04494382022472</v>
      </c>
      <c r="M4" s="116">
        <v>18330</v>
      </c>
      <c r="N4" s="296">
        <f t="shared" si="5"/>
        <v>916500</v>
      </c>
    </row>
    <row r="5" spans="1:14" ht="16">
      <c r="A5" s="138">
        <v>45729</v>
      </c>
      <c r="B5" s="140" t="s">
        <v>11</v>
      </c>
      <c r="C5" s="83">
        <v>176985</v>
      </c>
      <c r="D5" s="83">
        <v>177297</v>
      </c>
      <c r="E5" s="11">
        <f t="shared" si="0"/>
        <v>312</v>
      </c>
      <c r="F5" s="141">
        <v>50</v>
      </c>
      <c r="G5" s="13">
        <f t="shared" si="1"/>
        <v>16.025641025641026</v>
      </c>
      <c r="H5" s="125">
        <v>9940</v>
      </c>
      <c r="I5" s="125">
        <v>10296</v>
      </c>
      <c r="J5" s="83">
        <f t="shared" si="2"/>
        <v>356</v>
      </c>
      <c r="K5" s="83">
        <f t="shared" si="3"/>
        <v>50</v>
      </c>
      <c r="L5" s="136">
        <f t="shared" si="4"/>
        <v>14.04494382022472</v>
      </c>
      <c r="M5" s="116">
        <v>18330</v>
      </c>
      <c r="N5" s="296">
        <f t="shared" si="5"/>
        <v>916500</v>
      </c>
    </row>
    <row r="6" spans="1:14" ht="16">
      <c r="A6" s="249">
        <v>45734</v>
      </c>
      <c r="B6" s="140" t="s">
        <v>11</v>
      </c>
      <c r="C6" s="83">
        <v>177297</v>
      </c>
      <c r="D6" s="83">
        <v>177693</v>
      </c>
      <c r="E6" s="11">
        <f t="shared" si="0"/>
        <v>396</v>
      </c>
      <c r="F6" s="141">
        <v>50</v>
      </c>
      <c r="G6" s="13">
        <f t="shared" si="1"/>
        <v>12.626262626262626</v>
      </c>
      <c r="H6" s="83">
        <v>10296</v>
      </c>
      <c r="I6" s="125">
        <v>10745</v>
      </c>
      <c r="J6" s="83">
        <f t="shared" si="2"/>
        <v>449</v>
      </c>
      <c r="K6" s="83">
        <f t="shared" si="3"/>
        <v>50</v>
      </c>
      <c r="L6" s="136">
        <f t="shared" si="4"/>
        <v>11.1358574610245</v>
      </c>
      <c r="M6" s="116">
        <v>17890</v>
      </c>
      <c r="N6" s="296">
        <f t="shared" si="5"/>
        <v>894500</v>
      </c>
    </row>
    <row r="7" spans="1:14" ht="16">
      <c r="A7" s="138">
        <v>45737</v>
      </c>
      <c r="B7" s="140" t="s">
        <v>11</v>
      </c>
      <c r="C7" s="83">
        <v>177693</v>
      </c>
      <c r="D7" s="83">
        <v>178046</v>
      </c>
      <c r="E7" s="11">
        <f t="shared" si="0"/>
        <v>353</v>
      </c>
      <c r="F7" s="141">
        <v>50</v>
      </c>
      <c r="G7" s="13">
        <f t="shared" si="1"/>
        <v>14.164305949008499</v>
      </c>
      <c r="H7" s="83">
        <v>10745</v>
      </c>
      <c r="I7" s="125">
        <v>11223</v>
      </c>
      <c r="J7" s="83">
        <f t="shared" si="2"/>
        <v>478</v>
      </c>
      <c r="K7" s="83">
        <f t="shared" si="3"/>
        <v>50</v>
      </c>
      <c r="L7" s="136">
        <f t="shared" si="4"/>
        <v>10.460251046025103</v>
      </c>
      <c r="M7" s="116">
        <v>17890</v>
      </c>
      <c r="N7" s="297">
        <f t="shared" si="5"/>
        <v>894500</v>
      </c>
    </row>
    <row r="8" spans="1:14" ht="16">
      <c r="A8" s="138">
        <v>45743</v>
      </c>
      <c r="B8" s="90" t="s">
        <v>11</v>
      </c>
      <c r="C8" s="83">
        <v>178046</v>
      </c>
      <c r="D8" s="83">
        <v>178415</v>
      </c>
      <c r="E8" s="11">
        <f t="shared" si="0"/>
        <v>369</v>
      </c>
      <c r="F8" s="141">
        <v>50</v>
      </c>
      <c r="G8" s="13">
        <f t="shared" si="1"/>
        <v>13.550135501355012</v>
      </c>
      <c r="H8" s="83">
        <v>11223</v>
      </c>
      <c r="I8" s="125">
        <v>11702</v>
      </c>
      <c r="J8" s="83">
        <f t="shared" si="2"/>
        <v>479</v>
      </c>
      <c r="K8" s="83">
        <f t="shared" si="3"/>
        <v>50</v>
      </c>
      <c r="L8" s="136">
        <f t="shared" si="4"/>
        <v>10.438413361169102</v>
      </c>
      <c r="M8" s="116">
        <v>18210</v>
      </c>
      <c r="N8" s="297">
        <f t="shared" si="5"/>
        <v>910500</v>
      </c>
    </row>
    <row r="9" spans="1:14" ht="16">
      <c r="A9" s="59"/>
      <c r="B9" s="60"/>
      <c r="C9" s="59"/>
      <c r="D9" s="59" t="s">
        <v>19</v>
      </c>
      <c r="E9" s="59">
        <f t="shared" ref="E9:F9" si="6">SUM(E3:E8)</f>
        <v>2188</v>
      </c>
      <c r="F9" s="59">
        <f t="shared" si="6"/>
        <v>300</v>
      </c>
      <c r="G9" s="61">
        <f>AVERAGE(G3:G8)</f>
        <v>13.811146085223379</v>
      </c>
      <c r="H9" s="59"/>
      <c r="I9" s="62"/>
      <c r="J9" s="59">
        <f t="shared" ref="J9:K9" si="7">SUM(J3:J8)</f>
        <v>2538</v>
      </c>
      <c r="K9" s="59">
        <f t="shared" si="7"/>
        <v>300</v>
      </c>
      <c r="L9" s="61">
        <f>AVERAGE(L3:L8)</f>
        <v>12.004861902238341</v>
      </c>
      <c r="M9" s="64"/>
      <c r="N9" s="299">
        <f>SUM(N3:N8)</f>
        <v>5480000</v>
      </c>
    </row>
    <row r="10" spans="1:14" ht="16">
      <c r="A10" s="66">
        <v>45721</v>
      </c>
      <c r="B10" s="269" t="s">
        <v>12</v>
      </c>
      <c r="C10" s="83">
        <v>139751</v>
      </c>
      <c r="D10" s="83">
        <v>140188</v>
      </c>
      <c r="E10" s="36">
        <f t="shared" ref="E10:E14" si="8">D10-C10</f>
        <v>437</v>
      </c>
      <c r="F10" s="37">
        <v>55</v>
      </c>
      <c r="G10" s="13">
        <f t="shared" ref="G10:G14" si="9">(F10/E10)*100</f>
        <v>12.585812356979407</v>
      </c>
      <c r="H10" s="125">
        <v>8773</v>
      </c>
      <c r="I10" s="126">
        <v>9281</v>
      </c>
      <c r="J10" s="39">
        <f t="shared" ref="J10:J14" si="10">I10-H10</f>
        <v>508</v>
      </c>
      <c r="K10" s="39">
        <f t="shared" ref="K10:K14" si="11">F10</f>
        <v>55</v>
      </c>
      <c r="L10" s="270">
        <f t="shared" ref="L10:L14" si="12">(K10/J10)*100</f>
        <v>10.826771653543307</v>
      </c>
      <c r="M10" s="68">
        <v>18950</v>
      </c>
      <c r="N10" s="294">
        <f t="shared" ref="N10:N14" si="13">F10*M10</f>
        <v>1042250</v>
      </c>
    </row>
    <row r="11" spans="1:14" ht="16">
      <c r="A11" s="138">
        <v>45727</v>
      </c>
      <c r="B11" s="140" t="s">
        <v>12</v>
      </c>
      <c r="C11" s="83">
        <v>140188</v>
      </c>
      <c r="D11" s="83">
        <v>140573</v>
      </c>
      <c r="E11" s="11">
        <f t="shared" si="8"/>
        <v>385</v>
      </c>
      <c r="F11" s="141">
        <v>51</v>
      </c>
      <c r="G11" s="13">
        <f t="shared" si="9"/>
        <v>13.246753246753245</v>
      </c>
      <c r="H11" s="83">
        <v>9281</v>
      </c>
      <c r="I11" s="125">
        <v>9779</v>
      </c>
      <c r="J11" s="83">
        <f t="shared" si="10"/>
        <v>498</v>
      </c>
      <c r="K11" s="83">
        <f t="shared" si="11"/>
        <v>51</v>
      </c>
      <c r="L11" s="136">
        <f t="shared" si="12"/>
        <v>10.240963855421686</v>
      </c>
      <c r="M11" s="116">
        <v>18330</v>
      </c>
      <c r="N11" s="296">
        <f t="shared" si="13"/>
        <v>934830</v>
      </c>
    </row>
    <row r="12" spans="1:14" ht="16">
      <c r="A12" s="138">
        <v>45731</v>
      </c>
      <c r="B12" s="140" t="s">
        <v>12</v>
      </c>
      <c r="C12" s="83">
        <v>140573</v>
      </c>
      <c r="D12" s="83">
        <v>141014</v>
      </c>
      <c r="E12" s="11">
        <f t="shared" si="8"/>
        <v>441</v>
      </c>
      <c r="F12" s="141">
        <v>57</v>
      </c>
      <c r="G12" s="13">
        <f t="shared" si="9"/>
        <v>12.925170068027212</v>
      </c>
      <c r="H12" s="83">
        <v>9779</v>
      </c>
      <c r="I12" s="125">
        <v>10145</v>
      </c>
      <c r="J12" s="83">
        <f t="shared" si="10"/>
        <v>366</v>
      </c>
      <c r="K12" s="83">
        <f t="shared" si="11"/>
        <v>57</v>
      </c>
      <c r="L12" s="136">
        <f t="shared" si="12"/>
        <v>15.573770491803279</v>
      </c>
      <c r="M12" s="116">
        <v>17890</v>
      </c>
      <c r="N12" s="296">
        <f t="shared" si="13"/>
        <v>1019730</v>
      </c>
    </row>
    <row r="13" spans="1:14" ht="16">
      <c r="A13" s="138">
        <v>45737</v>
      </c>
      <c r="B13" s="140" t="s">
        <v>12</v>
      </c>
      <c r="C13" s="83">
        <v>141014</v>
      </c>
      <c r="D13" s="83">
        <v>141440</v>
      </c>
      <c r="E13" s="11">
        <f t="shared" si="8"/>
        <v>426</v>
      </c>
      <c r="F13" s="141">
        <v>57</v>
      </c>
      <c r="G13" s="13">
        <f t="shared" si="9"/>
        <v>13.380281690140844</v>
      </c>
      <c r="H13" s="83">
        <v>10145</v>
      </c>
      <c r="I13" s="125">
        <v>10716</v>
      </c>
      <c r="J13" s="83">
        <f t="shared" si="10"/>
        <v>571</v>
      </c>
      <c r="K13" s="83">
        <f t="shared" si="11"/>
        <v>57</v>
      </c>
      <c r="L13" s="136">
        <f t="shared" si="12"/>
        <v>9.9824868651488607</v>
      </c>
      <c r="M13" s="116">
        <v>17890</v>
      </c>
      <c r="N13" s="297">
        <f t="shared" si="13"/>
        <v>1019730</v>
      </c>
    </row>
    <row r="14" spans="1:14" ht="16">
      <c r="A14" s="138">
        <v>45743</v>
      </c>
      <c r="B14" s="140" t="s">
        <v>12</v>
      </c>
      <c r="C14" s="83">
        <v>141440</v>
      </c>
      <c r="D14" s="83">
        <v>141825</v>
      </c>
      <c r="E14" s="11">
        <f t="shared" si="8"/>
        <v>385</v>
      </c>
      <c r="F14" s="141">
        <v>49</v>
      </c>
      <c r="G14" s="13">
        <f t="shared" si="9"/>
        <v>12.727272727272727</v>
      </c>
      <c r="H14" s="125">
        <v>10716</v>
      </c>
      <c r="I14" s="125">
        <v>11288</v>
      </c>
      <c r="J14" s="83">
        <f t="shared" si="10"/>
        <v>572</v>
      </c>
      <c r="K14" s="83">
        <f t="shared" si="11"/>
        <v>49</v>
      </c>
      <c r="L14" s="136">
        <f t="shared" si="12"/>
        <v>8.5664335664335667</v>
      </c>
      <c r="M14" s="116">
        <v>17890</v>
      </c>
      <c r="N14" s="297">
        <f t="shared" si="13"/>
        <v>876610</v>
      </c>
    </row>
    <row r="15" spans="1:14" ht="16">
      <c r="A15" s="59"/>
      <c r="B15" s="60"/>
      <c r="C15" s="59"/>
      <c r="D15" s="59" t="s">
        <v>19</v>
      </c>
      <c r="E15" s="59">
        <f t="shared" ref="E15:F15" si="14">SUM(E10:E14)</f>
        <v>2074</v>
      </c>
      <c r="F15" s="59">
        <f t="shared" si="14"/>
        <v>269</v>
      </c>
      <c r="G15" s="61">
        <f>AVERAGE(G10:G14)</f>
        <v>12.973058017834688</v>
      </c>
      <c r="H15" s="59"/>
      <c r="I15" s="62"/>
      <c r="J15" s="59">
        <f t="shared" ref="J15:K15" si="15">SUM(J10:J14)</f>
        <v>2515</v>
      </c>
      <c r="K15" s="59">
        <f t="shared" si="15"/>
        <v>269</v>
      </c>
      <c r="L15" s="61">
        <f>AVERAGE(L10:L14)</f>
        <v>11.038085286470139</v>
      </c>
      <c r="M15" s="64"/>
      <c r="N15" s="299">
        <f>SUM(N10:N14)</f>
        <v>4893150</v>
      </c>
    </row>
    <row r="16" spans="1:14" ht="16">
      <c r="A16" s="66">
        <v>45719</v>
      </c>
      <c r="B16" s="269" t="s">
        <v>13</v>
      </c>
      <c r="C16" s="83">
        <v>157805</v>
      </c>
      <c r="D16" s="39">
        <v>158139</v>
      </c>
      <c r="E16" s="36">
        <f t="shared" ref="E16:E23" si="16">D16-C16</f>
        <v>334</v>
      </c>
      <c r="F16" s="37">
        <v>45</v>
      </c>
      <c r="G16" s="13">
        <f t="shared" ref="G16:G23" si="17">(F16/E16)*100</f>
        <v>13.473053892215569</v>
      </c>
      <c r="H16" s="125">
        <v>9387</v>
      </c>
      <c r="I16" s="126">
        <v>9983</v>
      </c>
      <c r="J16" s="39">
        <f t="shared" ref="J16:J23" si="18">I16-H16</f>
        <v>596</v>
      </c>
      <c r="K16" s="39">
        <f t="shared" ref="K16:K23" si="19">F16</f>
        <v>45</v>
      </c>
      <c r="L16" s="136">
        <f t="shared" ref="L16:L23" si="20">(K16/J16)*100</f>
        <v>7.550335570469799</v>
      </c>
      <c r="M16" s="68">
        <v>18950</v>
      </c>
      <c r="N16" s="294">
        <f t="shared" ref="N16:N23" si="21">F16*M16</f>
        <v>852750</v>
      </c>
    </row>
    <row r="17" spans="1:14" ht="16">
      <c r="A17" s="138">
        <v>45723</v>
      </c>
      <c r="B17" s="140" t="s">
        <v>13</v>
      </c>
      <c r="C17" s="39">
        <v>158139</v>
      </c>
      <c r="D17" s="83">
        <v>158471</v>
      </c>
      <c r="E17" s="11">
        <f t="shared" si="16"/>
        <v>332</v>
      </c>
      <c r="F17" s="141">
        <v>44</v>
      </c>
      <c r="G17" s="13">
        <f t="shared" si="17"/>
        <v>13.253012048192772</v>
      </c>
      <c r="H17" s="83">
        <v>9983</v>
      </c>
      <c r="I17" s="125">
        <v>10090</v>
      </c>
      <c r="J17" s="83">
        <f t="shared" si="18"/>
        <v>107</v>
      </c>
      <c r="K17" s="83">
        <f t="shared" si="19"/>
        <v>44</v>
      </c>
      <c r="L17" s="136">
        <f t="shared" si="20"/>
        <v>41.121495327102799</v>
      </c>
      <c r="M17" s="116">
        <v>18330</v>
      </c>
      <c r="N17" s="296">
        <f t="shared" si="21"/>
        <v>806520</v>
      </c>
    </row>
    <row r="18" spans="1:14" ht="16">
      <c r="A18" s="138">
        <v>45728</v>
      </c>
      <c r="B18" s="140" t="s">
        <v>13</v>
      </c>
      <c r="C18" s="83">
        <v>158471</v>
      </c>
      <c r="D18" s="83">
        <v>158793</v>
      </c>
      <c r="E18" s="11">
        <f t="shared" si="16"/>
        <v>322</v>
      </c>
      <c r="F18" s="141">
        <v>49</v>
      </c>
      <c r="G18" s="13">
        <f t="shared" si="17"/>
        <v>15.217391304347828</v>
      </c>
      <c r="H18" s="83">
        <v>10090</v>
      </c>
      <c r="I18" s="125">
        <v>10551</v>
      </c>
      <c r="J18" s="83">
        <f t="shared" si="18"/>
        <v>461</v>
      </c>
      <c r="K18" s="83">
        <f t="shared" si="19"/>
        <v>49</v>
      </c>
      <c r="L18" s="136">
        <f t="shared" si="20"/>
        <v>10.629067245119305</v>
      </c>
      <c r="M18" s="116">
        <v>18330</v>
      </c>
      <c r="N18" s="301">
        <f t="shared" si="21"/>
        <v>898170</v>
      </c>
    </row>
    <row r="19" spans="1:14" ht="16">
      <c r="A19" s="138">
        <v>45731</v>
      </c>
      <c r="B19" s="140" t="s">
        <v>13</v>
      </c>
      <c r="C19" s="83">
        <v>158793</v>
      </c>
      <c r="D19" s="83">
        <v>159119</v>
      </c>
      <c r="E19" s="11">
        <f t="shared" si="16"/>
        <v>326</v>
      </c>
      <c r="F19" s="141">
        <v>45</v>
      </c>
      <c r="G19" s="13">
        <f t="shared" si="17"/>
        <v>13.803680981595093</v>
      </c>
      <c r="H19" s="83">
        <v>10551</v>
      </c>
      <c r="I19" s="125">
        <v>10799</v>
      </c>
      <c r="J19" s="83">
        <f t="shared" si="18"/>
        <v>248</v>
      </c>
      <c r="K19" s="83">
        <f t="shared" si="19"/>
        <v>45</v>
      </c>
      <c r="L19" s="136">
        <f t="shared" si="20"/>
        <v>18.14516129032258</v>
      </c>
      <c r="M19" s="116">
        <v>17890</v>
      </c>
      <c r="N19" s="297">
        <f t="shared" si="21"/>
        <v>805050</v>
      </c>
    </row>
    <row r="20" spans="1:14" ht="16">
      <c r="A20" s="138">
        <v>45736</v>
      </c>
      <c r="B20" s="140" t="s">
        <v>13</v>
      </c>
      <c r="C20" s="83">
        <v>159119</v>
      </c>
      <c r="D20" s="83">
        <v>159501</v>
      </c>
      <c r="E20" s="11">
        <f t="shared" si="16"/>
        <v>382</v>
      </c>
      <c r="F20" s="141">
        <v>45</v>
      </c>
      <c r="G20" s="13">
        <f t="shared" si="17"/>
        <v>11.780104712041885</v>
      </c>
      <c r="H20" s="83">
        <v>10799</v>
      </c>
      <c r="I20" s="125">
        <v>11271</v>
      </c>
      <c r="J20" s="83">
        <f t="shared" si="18"/>
        <v>472</v>
      </c>
      <c r="K20" s="83">
        <f t="shared" si="19"/>
        <v>45</v>
      </c>
      <c r="L20" s="136">
        <f t="shared" si="20"/>
        <v>9.5338983050847457</v>
      </c>
      <c r="M20" s="116">
        <v>17890</v>
      </c>
      <c r="N20" s="297">
        <f t="shared" si="21"/>
        <v>805050</v>
      </c>
    </row>
    <row r="21" spans="1:14" ht="16">
      <c r="A21" s="138">
        <v>45738</v>
      </c>
      <c r="B21" s="90" t="s">
        <v>13</v>
      </c>
      <c r="C21" s="83">
        <v>159501</v>
      </c>
      <c r="D21" s="83">
        <v>159813</v>
      </c>
      <c r="E21" s="11">
        <f t="shared" si="16"/>
        <v>312</v>
      </c>
      <c r="F21" s="141">
        <v>43</v>
      </c>
      <c r="G21" s="13">
        <f t="shared" si="17"/>
        <v>13.782051282051283</v>
      </c>
      <c r="H21" s="83">
        <v>11271</v>
      </c>
      <c r="I21" s="125">
        <v>11601</v>
      </c>
      <c r="J21" s="83">
        <f t="shared" si="18"/>
        <v>330</v>
      </c>
      <c r="K21" s="83">
        <f t="shared" si="19"/>
        <v>43</v>
      </c>
      <c r="L21" s="136">
        <f t="shared" si="20"/>
        <v>13.030303030303031</v>
      </c>
      <c r="M21" s="116">
        <v>17890</v>
      </c>
      <c r="N21" s="297">
        <f t="shared" si="21"/>
        <v>769270</v>
      </c>
    </row>
    <row r="22" spans="1:14" ht="16">
      <c r="A22" s="133">
        <v>45741</v>
      </c>
      <c r="B22" s="34" t="s">
        <v>13</v>
      </c>
      <c r="C22" s="134">
        <v>159813</v>
      </c>
      <c r="D22" s="134">
        <v>160156</v>
      </c>
      <c r="E22" s="24">
        <f t="shared" si="16"/>
        <v>343</v>
      </c>
      <c r="F22" s="143">
        <v>44</v>
      </c>
      <c r="G22" s="54">
        <f t="shared" si="17"/>
        <v>12.827988338192419</v>
      </c>
      <c r="H22" s="134">
        <v>11601</v>
      </c>
      <c r="I22" s="135">
        <v>11931</v>
      </c>
      <c r="J22" s="134">
        <f t="shared" si="18"/>
        <v>330</v>
      </c>
      <c r="K22" s="134">
        <f t="shared" si="19"/>
        <v>44</v>
      </c>
      <c r="L22" s="136">
        <f t="shared" si="20"/>
        <v>13.333333333333334</v>
      </c>
      <c r="M22" s="137">
        <v>17890</v>
      </c>
      <c r="N22" s="302">
        <f t="shared" si="21"/>
        <v>787160</v>
      </c>
    </row>
    <row r="23" spans="1:14" ht="16">
      <c r="A23" s="303">
        <v>45747</v>
      </c>
      <c r="B23" s="34" t="s">
        <v>13</v>
      </c>
      <c r="C23" s="273">
        <v>160156</v>
      </c>
      <c r="D23" s="273">
        <v>160539</v>
      </c>
      <c r="E23" s="24">
        <f t="shared" si="16"/>
        <v>383</v>
      </c>
      <c r="F23" s="273">
        <v>50</v>
      </c>
      <c r="G23" s="54">
        <f t="shared" si="17"/>
        <v>13.054830287206268</v>
      </c>
      <c r="H23" s="273">
        <v>11931</v>
      </c>
      <c r="I23" s="304"/>
      <c r="J23" s="134">
        <f t="shared" si="18"/>
        <v>-11931</v>
      </c>
      <c r="K23" s="134">
        <f t="shared" si="19"/>
        <v>50</v>
      </c>
      <c r="L23" s="136">
        <f t="shared" si="20"/>
        <v>-0.41907635571201074</v>
      </c>
      <c r="M23" s="143">
        <v>18210</v>
      </c>
      <c r="N23" s="302">
        <f t="shared" si="21"/>
        <v>910500</v>
      </c>
    </row>
    <row r="24" spans="1:14" ht="16">
      <c r="A24" s="59"/>
      <c r="B24" s="60"/>
      <c r="C24" s="59"/>
      <c r="D24" s="59" t="s">
        <v>19</v>
      </c>
      <c r="E24" s="59">
        <f>SUM(E16:E22)</f>
        <v>2351</v>
      </c>
      <c r="F24" s="59">
        <f>SUM(F16:F23)</f>
        <v>365</v>
      </c>
      <c r="G24" s="61">
        <f>AVERAGE(G16:G22)</f>
        <v>13.448183222662408</v>
      </c>
      <c r="H24" s="59"/>
      <c r="I24" s="62"/>
      <c r="J24" s="59">
        <f t="shared" ref="J24:K24" si="22">SUM(J16:J22)</f>
        <v>2544</v>
      </c>
      <c r="K24" s="59">
        <f t="shared" si="22"/>
        <v>315</v>
      </c>
      <c r="L24" s="61">
        <f>AVERAGE(L16:L22)</f>
        <v>16.191942014533655</v>
      </c>
      <c r="M24" s="64"/>
      <c r="N24" s="299">
        <f>SUM(N16:N23)</f>
        <v>6634470</v>
      </c>
    </row>
    <row r="25" spans="1:14" ht="16">
      <c r="A25" s="66">
        <v>45720</v>
      </c>
      <c r="B25" s="269" t="s">
        <v>14</v>
      </c>
      <c r="C25" s="83">
        <v>159159</v>
      </c>
      <c r="D25" s="39">
        <v>159590</v>
      </c>
      <c r="E25" s="36">
        <f t="shared" ref="E25:E30" si="23">D25-C25</f>
        <v>431</v>
      </c>
      <c r="F25" s="37">
        <v>50</v>
      </c>
      <c r="G25" s="13">
        <f t="shared" ref="G25:G30" si="24">(F25/E25)*100</f>
        <v>11.600928074245939</v>
      </c>
      <c r="H25" s="83">
        <v>1565</v>
      </c>
      <c r="I25" s="126">
        <v>2186</v>
      </c>
      <c r="J25" s="39">
        <f t="shared" ref="J25:J30" si="25">I25-H25</f>
        <v>621</v>
      </c>
      <c r="K25" s="39">
        <f t="shared" ref="K25:K30" si="26">F25</f>
        <v>50</v>
      </c>
      <c r="L25" s="136">
        <f t="shared" ref="L25:L30" si="27">(K25/J25)*100</f>
        <v>8.0515297906602257</v>
      </c>
      <c r="M25" s="68">
        <v>18950</v>
      </c>
      <c r="N25" s="294">
        <f t="shared" ref="N25:N30" si="28">F25*M25</f>
        <v>947500</v>
      </c>
    </row>
    <row r="26" spans="1:14" ht="16">
      <c r="A26" s="138">
        <v>45727</v>
      </c>
      <c r="B26" s="140" t="s">
        <v>14</v>
      </c>
      <c r="C26" s="83">
        <v>159590</v>
      </c>
      <c r="D26" s="83">
        <v>159988</v>
      </c>
      <c r="E26" s="11">
        <f t="shared" si="23"/>
        <v>398</v>
      </c>
      <c r="F26" s="141">
        <v>50</v>
      </c>
      <c r="G26" s="13">
        <f t="shared" si="24"/>
        <v>12.562814070351758</v>
      </c>
      <c r="H26" s="83">
        <v>2186</v>
      </c>
      <c r="I26" s="125">
        <v>2661</v>
      </c>
      <c r="J26" s="83">
        <f t="shared" si="25"/>
        <v>475</v>
      </c>
      <c r="K26" s="83">
        <f t="shared" si="26"/>
        <v>50</v>
      </c>
      <c r="L26" s="136">
        <f t="shared" si="27"/>
        <v>10.526315789473683</v>
      </c>
      <c r="M26" s="116">
        <v>18330</v>
      </c>
      <c r="N26" s="301">
        <f t="shared" si="28"/>
        <v>916500</v>
      </c>
    </row>
    <row r="27" spans="1:14" ht="16">
      <c r="A27" s="138">
        <v>45731</v>
      </c>
      <c r="B27" s="140" t="s">
        <v>14</v>
      </c>
      <c r="C27" s="83">
        <v>159988</v>
      </c>
      <c r="D27" s="83">
        <v>160403</v>
      </c>
      <c r="E27" s="11">
        <f t="shared" si="23"/>
        <v>415</v>
      </c>
      <c r="F27" s="141">
        <v>40</v>
      </c>
      <c r="G27" s="13">
        <f t="shared" si="24"/>
        <v>9.6385542168674707</v>
      </c>
      <c r="H27" s="83">
        <v>2661</v>
      </c>
      <c r="I27" s="125">
        <v>3203</v>
      </c>
      <c r="J27" s="83">
        <f t="shared" si="25"/>
        <v>542</v>
      </c>
      <c r="K27" s="83">
        <f t="shared" si="26"/>
        <v>40</v>
      </c>
      <c r="L27" s="136">
        <f t="shared" si="27"/>
        <v>7.3800738007380069</v>
      </c>
      <c r="M27" s="116">
        <v>17890</v>
      </c>
      <c r="N27" s="297">
        <f t="shared" si="28"/>
        <v>715600</v>
      </c>
    </row>
    <row r="28" spans="1:14" ht="16">
      <c r="A28" s="139">
        <v>45736</v>
      </c>
      <c r="B28" s="140" t="s">
        <v>14</v>
      </c>
      <c r="C28" s="83">
        <v>160403</v>
      </c>
      <c r="D28" s="83">
        <v>160796</v>
      </c>
      <c r="E28" s="11">
        <f t="shared" si="23"/>
        <v>393</v>
      </c>
      <c r="F28" s="141">
        <v>50</v>
      </c>
      <c r="G28" s="13">
        <f t="shared" si="24"/>
        <v>12.72264631043257</v>
      </c>
      <c r="H28" s="83">
        <v>3203</v>
      </c>
      <c r="I28" s="125">
        <v>3738</v>
      </c>
      <c r="J28" s="83">
        <f t="shared" si="25"/>
        <v>535</v>
      </c>
      <c r="K28" s="83">
        <f t="shared" si="26"/>
        <v>50</v>
      </c>
      <c r="L28" s="136">
        <f t="shared" si="27"/>
        <v>9.3457943925233646</v>
      </c>
      <c r="M28" s="116">
        <v>17890</v>
      </c>
      <c r="N28" s="297">
        <f t="shared" si="28"/>
        <v>894500</v>
      </c>
    </row>
    <row r="29" spans="1:14" ht="16">
      <c r="A29" s="138">
        <v>45740</v>
      </c>
      <c r="B29" s="140" t="s">
        <v>14</v>
      </c>
      <c r="C29" s="83">
        <v>160796</v>
      </c>
      <c r="D29" s="83">
        <v>161235</v>
      </c>
      <c r="E29" s="11">
        <f t="shared" si="23"/>
        <v>439</v>
      </c>
      <c r="F29" s="141">
        <v>50</v>
      </c>
      <c r="G29" s="13">
        <f t="shared" si="24"/>
        <v>11.389521640091116</v>
      </c>
      <c r="H29" s="83">
        <v>3738</v>
      </c>
      <c r="I29" s="125">
        <v>4067</v>
      </c>
      <c r="J29" s="83">
        <f t="shared" si="25"/>
        <v>329</v>
      </c>
      <c r="K29" s="83">
        <f t="shared" si="26"/>
        <v>50</v>
      </c>
      <c r="L29" s="136">
        <f t="shared" si="27"/>
        <v>15.19756838905775</v>
      </c>
      <c r="M29" s="116">
        <v>17890</v>
      </c>
      <c r="N29" s="297">
        <f t="shared" si="28"/>
        <v>894500</v>
      </c>
    </row>
    <row r="30" spans="1:14" ht="16">
      <c r="A30" s="138">
        <v>45744</v>
      </c>
      <c r="B30" s="140" t="s">
        <v>14</v>
      </c>
      <c r="C30" s="83">
        <v>161235</v>
      </c>
      <c r="D30" s="83">
        <v>161687</v>
      </c>
      <c r="E30" s="11">
        <f t="shared" si="23"/>
        <v>452</v>
      </c>
      <c r="F30" s="141">
        <v>50</v>
      </c>
      <c r="G30" s="13">
        <f t="shared" si="24"/>
        <v>11.061946902654867</v>
      </c>
      <c r="H30" s="83">
        <v>4067</v>
      </c>
      <c r="I30" s="125">
        <v>4484</v>
      </c>
      <c r="J30" s="83">
        <f t="shared" si="25"/>
        <v>417</v>
      </c>
      <c r="K30" s="83">
        <f t="shared" si="26"/>
        <v>50</v>
      </c>
      <c r="L30" s="136">
        <f t="shared" si="27"/>
        <v>11.990407673860911</v>
      </c>
      <c r="M30" s="116">
        <v>18210</v>
      </c>
      <c r="N30" s="297">
        <f t="shared" si="28"/>
        <v>910500</v>
      </c>
    </row>
    <row r="31" spans="1:14" ht="16">
      <c r="A31" s="59"/>
      <c r="B31" s="60"/>
      <c r="C31" s="59"/>
      <c r="D31" s="59" t="s">
        <v>19</v>
      </c>
      <c r="E31" s="59">
        <f t="shared" ref="E31:F31" si="29">SUM(E25:E30)</f>
        <v>2528</v>
      </c>
      <c r="F31" s="59">
        <f t="shared" si="29"/>
        <v>290</v>
      </c>
      <c r="G31" s="61">
        <f>AVERAGE(G25:G30)</f>
        <v>11.496068535773952</v>
      </c>
      <c r="H31" s="59"/>
      <c r="I31" s="62"/>
      <c r="J31" s="59">
        <f t="shared" ref="J31:K31" si="30">SUM(J25:J30)</f>
        <v>2919</v>
      </c>
      <c r="K31" s="59">
        <f t="shared" si="30"/>
        <v>290</v>
      </c>
      <c r="L31" s="61">
        <f>AVERAGE(L25:L30)</f>
        <v>10.415281639385656</v>
      </c>
      <c r="M31" s="64"/>
      <c r="N31" s="299">
        <f>SUM(N25:N30)</f>
        <v>5279100</v>
      </c>
    </row>
    <row r="32" spans="1:14" ht="16">
      <c r="A32" s="66">
        <v>45719</v>
      </c>
      <c r="B32" s="269" t="s">
        <v>15</v>
      </c>
      <c r="C32" s="83">
        <v>145748</v>
      </c>
      <c r="D32" s="39">
        <v>146147</v>
      </c>
      <c r="E32" s="36">
        <f t="shared" ref="E32:E38" si="31">D32-C32</f>
        <v>399</v>
      </c>
      <c r="F32" s="37">
        <v>46</v>
      </c>
      <c r="G32" s="13">
        <f t="shared" ref="G32:G38" si="32">(F32/E32)*100</f>
        <v>11.528822055137844</v>
      </c>
      <c r="H32" s="83">
        <v>9513</v>
      </c>
      <c r="I32" s="126">
        <v>10003</v>
      </c>
      <c r="J32" s="39">
        <f t="shared" ref="J32:J38" si="33">I32-H32</f>
        <v>490</v>
      </c>
      <c r="K32" s="39">
        <f t="shared" ref="K32:K38" si="34">F32</f>
        <v>46</v>
      </c>
      <c r="L32" s="136">
        <f t="shared" ref="L32:L38" si="35">(K32/J32)*100</f>
        <v>9.387755102040817</v>
      </c>
      <c r="M32" s="68">
        <v>18950</v>
      </c>
      <c r="N32" s="294">
        <f t="shared" ref="N32:N38" si="36">F32*M32</f>
        <v>871700</v>
      </c>
    </row>
    <row r="33" spans="1:16" ht="16">
      <c r="A33" s="138">
        <v>45722</v>
      </c>
      <c r="B33" s="140" t="s">
        <v>15</v>
      </c>
      <c r="C33" s="83">
        <v>146147</v>
      </c>
      <c r="D33" s="83">
        <v>146508</v>
      </c>
      <c r="E33" s="11">
        <f t="shared" si="31"/>
        <v>361</v>
      </c>
      <c r="F33" s="141">
        <v>40</v>
      </c>
      <c r="G33" s="13">
        <f t="shared" si="32"/>
        <v>11.080332409972298</v>
      </c>
      <c r="H33" s="126">
        <v>10003</v>
      </c>
      <c r="I33" s="125">
        <v>10188</v>
      </c>
      <c r="J33" s="83">
        <f t="shared" si="33"/>
        <v>185</v>
      </c>
      <c r="K33" s="83">
        <f t="shared" si="34"/>
        <v>40</v>
      </c>
      <c r="L33" s="136">
        <f t="shared" si="35"/>
        <v>21.621621621621621</v>
      </c>
      <c r="M33" s="116">
        <v>18950</v>
      </c>
      <c r="N33" s="296">
        <f t="shared" si="36"/>
        <v>758000</v>
      </c>
    </row>
    <row r="34" spans="1:16" ht="16">
      <c r="A34" s="138">
        <v>45727</v>
      </c>
      <c r="B34" s="140" t="s">
        <v>15</v>
      </c>
      <c r="C34" s="83">
        <v>146147</v>
      </c>
      <c r="D34" s="83">
        <v>146799</v>
      </c>
      <c r="E34" s="11">
        <f t="shared" si="31"/>
        <v>652</v>
      </c>
      <c r="F34" s="141">
        <v>43</v>
      </c>
      <c r="G34" s="13">
        <f t="shared" si="32"/>
        <v>6.595092024539877</v>
      </c>
      <c r="H34" s="83">
        <v>10188</v>
      </c>
      <c r="I34" s="125">
        <v>10558</v>
      </c>
      <c r="J34" s="83">
        <f t="shared" si="33"/>
        <v>370</v>
      </c>
      <c r="K34" s="83">
        <f t="shared" si="34"/>
        <v>43</v>
      </c>
      <c r="L34" s="136">
        <f t="shared" si="35"/>
        <v>11.621621621621623</v>
      </c>
      <c r="M34" s="116">
        <v>18330</v>
      </c>
      <c r="N34" s="296">
        <f t="shared" si="36"/>
        <v>788190</v>
      </c>
    </row>
    <row r="35" spans="1:16" ht="16">
      <c r="A35" s="138">
        <v>45732</v>
      </c>
      <c r="B35" s="140" t="s">
        <v>15</v>
      </c>
      <c r="C35" s="83">
        <v>146799</v>
      </c>
      <c r="D35" s="83">
        <v>147171</v>
      </c>
      <c r="E35" s="11">
        <f t="shared" si="31"/>
        <v>372</v>
      </c>
      <c r="F35" s="141">
        <v>40</v>
      </c>
      <c r="G35" s="13">
        <f t="shared" si="32"/>
        <v>10.75268817204301</v>
      </c>
      <c r="H35" s="83">
        <v>10558</v>
      </c>
      <c r="I35" s="125">
        <v>11044</v>
      </c>
      <c r="J35" s="83">
        <f t="shared" si="33"/>
        <v>486</v>
      </c>
      <c r="K35" s="83">
        <f t="shared" si="34"/>
        <v>40</v>
      </c>
      <c r="L35" s="136">
        <f t="shared" si="35"/>
        <v>8.2304526748971192</v>
      </c>
      <c r="M35" s="116">
        <v>17890</v>
      </c>
      <c r="N35" s="296">
        <f t="shared" si="36"/>
        <v>715600</v>
      </c>
    </row>
    <row r="36" spans="1:16" ht="16">
      <c r="A36" s="138">
        <v>45737</v>
      </c>
      <c r="B36" s="140" t="s">
        <v>15</v>
      </c>
      <c r="C36" s="83">
        <v>147171</v>
      </c>
      <c r="D36" s="83">
        <v>147483</v>
      </c>
      <c r="E36" s="11">
        <f t="shared" si="31"/>
        <v>312</v>
      </c>
      <c r="F36" s="141">
        <v>40</v>
      </c>
      <c r="G36" s="13">
        <f t="shared" si="32"/>
        <v>12.820512820512819</v>
      </c>
      <c r="H36" s="83">
        <v>11044</v>
      </c>
      <c r="I36" s="125">
        <v>11415</v>
      </c>
      <c r="J36" s="83">
        <f t="shared" si="33"/>
        <v>371</v>
      </c>
      <c r="K36" s="83">
        <f t="shared" si="34"/>
        <v>40</v>
      </c>
      <c r="L36" s="136">
        <f t="shared" si="35"/>
        <v>10.781671159029651</v>
      </c>
      <c r="M36" s="116">
        <v>17890</v>
      </c>
      <c r="N36" s="297">
        <f t="shared" si="36"/>
        <v>715600</v>
      </c>
    </row>
    <row r="37" spans="1:16" ht="16">
      <c r="A37" s="139">
        <v>45742</v>
      </c>
      <c r="B37" s="140" t="s">
        <v>15</v>
      </c>
      <c r="C37" s="83">
        <v>147483</v>
      </c>
      <c r="D37" s="83">
        <v>147827</v>
      </c>
      <c r="E37" s="11">
        <f t="shared" si="31"/>
        <v>344</v>
      </c>
      <c r="F37" s="141">
        <v>45</v>
      </c>
      <c r="G37" s="13">
        <f t="shared" si="32"/>
        <v>13.08139534883721</v>
      </c>
      <c r="H37" s="83">
        <v>11415</v>
      </c>
      <c r="I37" s="125">
        <v>11863</v>
      </c>
      <c r="J37" s="83">
        <f t="shared" si="33"/>
        <v>448</v>
      </c>
      <c r="K37" s="83">
        <f t="shared" si="34"/>
        <v>45</v>
      </c>
      <c r="L37" s="136">
        <f t="shared" si="35"/>
        <v>10.044642857142858</v>
      </c>
      <c r="M37" s="116">
        <v>17890</v>
      </c>
      <c r="N37" s="297">
        <f t="shared" si="36"/>
        <v>805050</v>
      </c>
    </row>
    <row r="38" spans="1:16" ht="16">
      <c r="A38" s="133">
        <v>45747</v>
      </c>
      <c r="B38" s="140" t="s">
        <v>15</v>
      </c>
      <c r="C38" s="134">
        <v>147827</v>
      </c>
      <c r="D38" s="134">
        <v>148171</v>
      </c>
      <c r="E38" s="24">
        <f t="shared" si="31"/>
        <v>344</v>
      </c>
      <c r="F38" s="143">
        <v>41</v>
      </c>
      <c r="G38" s="54">
        <f t="shared" si="32"/>
        <v>11.918604651162791</v>
      </c>
      <c r="H38" s="134">
        <v>11863</v>
      </c>
      <c r="I38" s="135"/>
      <c r="J38" s="134">
        <f t="shared" si="33"/>
        <v>-11863</v>
      </c>
      <c r="K38" s="134">
        <f t="shared" si="34"/>
        <v>41</v>
      </c>
      <c r="L38" s="136">
        <f t="shared" si="35"/>
        <v>-0.34561240832841611</v>
      </c>
      <c r="M38" s="137">
        <v>18210</v>
      </c>
      <c r="N38" s="302">
        <f t="shared" si="36"/>
        <v>746610</v>
      </c>
    </row>
    <row r="39" spans="1:16" ht="16">
      <c r="A39" s="59"/>
      <c r="B39" s="60"/>
      <c r="C39" s="59"/>
      <c r="D39" s="59" t="s">
        <v>19</v>
      </c>
      <c r="E39" s="59">
        <f t="shared" ref="E39:F39" si="37">SUM(E32:E38)</f>
        <v>2784</v>
      </c>
      <c r="F39" s="59">
        <f t="shared" si="37"/>
        <v>295</v>
      </c>
      <c r="G39" s="61">
        <f>AVERAGE(G32:G38)</f>
        <v>11.111063926029408</v>
      </c>
      <c r="H39" s="59"/>
      <c r="I39" s="62"/>
      <c r="J39" s="59">
        <f t="shared" ref="J39:K39" si="38">SUM(J32:J38)</f>
        <v>-9513</v>
      </c>
      <c r="K39" s="59">
        <f t="shared" si="38"/>
        <v>295</v>
      </c>
      <c r="L39" s="61">
        <f>AVERAGE(L32:L38)</f>
        <v>10.191736089717894</v>
      </c>
      <c r="M39" s="64"/>
      <c r="N39" s="299">
        <f>SUM(N32:N38)</f>
        <v>5400750</v>
      </c>
    </row>
    <row r="40" spans="1:16" ht="16">
      <c r="A40" s="89">
        <v>45720</v>
      </c>
      <c r="B40" s="269" t="s">
        <v>16</v>
      </c>
      <c r="C40" s="83">
        <v>122185</v>
      </c>
      <c r="D40" s="39">
        <v>122568</v>
      </c>
      <c r="E40" s="36">
        <f t="shared" ref="E40:E45" si="39">D40-C40</f>
        <v>383</v>
      </c>
      <c r="F40" s="37">
        <v>53</v>
      </c>
      <c r="G40" s="13">
        <f t="shared" ref="G40:G45" si="40">(F40/E40)*100</f>
        <v>13.838120104438643</v>
      </c>
      <c r="H40" s="125">
        <v>9318</v>
      </c>
      <c r="I40" s="126">
        <v>9736</v>
      </c>
      <c r="J40" s="39">
        <f t="shared" ref="J40:J45" si="41">I40-H40</f>
        <v>418</v>
      </c>
      <c r="K40" s="39">
        <f t="shared" ref="K40:K45" si="42">F40</f>
        <v>53</v>
      </c>
      <c r="L40" s="136">
        <f t="shared" ref="L40:L45" si="43">(K40/J40)*100</f>
        <v>12.679425837320574</v>
      </c>
      <c r="M40" s="68">
        <v>18950</v>
      </c>
      <c r="N40" s="294">
        <f t="shared" ref="N40:N45" si="44">F40*M40</f>
        <v>1004350</v>
      </c>
    </row>
    <row r="41" spans="1:16" ht="16">
      <c r="A41" s="138">
        <v>45727</v>
      </c>
      <c r="B41" s="140" t="s">
        <v>16</v>
      </c>
      <c r="C41" s="83">
        <v>122568</v>
      </c>
      <c r="D41" s="83">
        <v>122950</v>
      </c>
      <c r="E41" s="11">
        <f t="shared" si="39"/>
        <v>382</v>
      </c>
      <c r="F41" s="277">
        <v>50</v>
      </c>
      <c r="G41" s="13">
        <f t="shared" si="40"/>
        <v>13.089005235602095</v>
      </c>
      <c r="H41" s="83">
        <v>9736</v>
      </c>
      <c r="I41" s="125">
        <v>10209</v>
      </c>
      <c r="J41" s="83">
        <f t="shared" si="41"/>
        <v>473</v>
      </c>
      <c r="K41" s="83">
        <f t="shared" si="42"/>
        <v>50</v>
      </c>
      <c r="L41" s="136">
        <f t="shared" si="43"/>
        <v>10.570824524312897</v>
      </c>
      <c r="M41" s="116">
        <v>18330</v>
      </c>
      <c r="N41" s="296">
        <f t="shared" si="44"/>
        <v>916500</v>
      </c>
    </row>
    <row r="42" spans="1:16" ht="16">
      <c r="A42" s="138">
        <v>45730</v>
      </c>
      <c r="B42" s="140" t="s">
        <v>16</v>
      </c>
      <c r="C42" s="83">
        <v>122950</v>
      </c>
      <c r="D42" s="83">
        <v>123296</v>
      </c>
      <c r="E42" s="11">
        <f t="shared" si="39"/>
        <v>346</v>
      </c>
      <c r="F42" s="141">
        <v>48</v>
      </c>
      <c r="G42" s="13">
        <f t="shared" si="40"/>
        <v>13.872832369942195</v>
      </c>
      <c r="H42" s="83">
        <v>10209</v>
      </c>
      <c r="I42" s="125">
        <v>10588</v>
      </c>
      <c r="J42" s="83">
        <f t="shared" si="41"/>
        <v>379</v>
      </c>
      <c r="K42" s="83">
        <f t="shared" si="42"/>
        <v>48</v>
      </c>
      <c r="L42" s="136">
        <f t="shared" si="43"/>
        <v>12.664907651715041</v>
      </c>
      <c r="M42" s="116">
        <v>17890</v>
      </c>
      <c r="N42" s="296">
        <f t="shared" si="44"/>
        <v>858720</v>
      </c>
    </row>
    <row r="43" spans="1:16" ht="16">
      <c r="A43" s="138">
        <v>45736</v>
      </c>
      <c r="B43" s="140" t="s">
        <v>16</v>
      </c>
      <c r="C43" s="83">
        <v>123296</v>
      </c>
      <c r="D43" s="83">
        <v>123663</v>
      </c>
      <c r="E43" s="11">
        <f t="shared" si="39"/>
        <v>367</v>
      </c>
      <c r="F43" s="141">
        <v>49</v>
      </c>
      <c r="G43" s="13">
        <f t="shared" si="40"/>
        <v>13.35149863760218</v>
      </c>
      <c r="H43" s="83">
        <v>10588</v>
      </c>
      <c r="I43" s="125">
        <v>10966</v>
      </c>
      <c r="J43" s="83">
        <f t="shared" si="41"/>
        <v>378</v>
      </c>
      <c r="K43" s="83">
        <f t="shared" si="42"/>
        <v>49</v>
      </c>
      <c r="L43" s="136">
        <f t="shared" si="43"/>
        <v>12.962962962962962</v>
      </c>
      <c r="M43" s="116">
        <v>17890</v>
      </c>
      <c r="N43" s="296">
        <f t="shared" si="44"/>
        <v>876610</v>
      </c>
      <c r="P43" s="78"/>
    </row>
    <row r="44" spans="1:16" ht="16">
      <c r="A44" s="138">
        <v>45741</v>
      </c>
      <c r="B44" s="140" t="s">
        <v>16</v>
      </c>
      <c r="C44" s="83">
        <v>123663</v>
      </c>
      <c r="D44" s="83">
        <v>124019</v>
      </c>
      <c r="E44" s="11">
        <f t="shared" si="39"/>
        <v>356</v>
      </c>
      <c r="F44" s="141">
        <v>51</v>
      </c>
      <c r="G44" s="13">
        <f t="shared" si="40"/>
        <v>14.325842696629213</v>
      </c>
      <c r="H44" s="83">
        <v>10966</v>
      </c>
      <c r="I44" s="125">
        <v>11451</v>
      </c>
      <c r="J44" s="83">
        <f t="shared" si="41"/>
        <v>485</v>
      </c>
      <c r="K44" s="83">
        <f t="shared" si="42"/>
        <v>51</v>
      </c>
      <c r="L44" s="136">
        <f t="shared" si="43"/>
        <v>10.515463917525773</v>
      </c>
      <c r="M44" s="116">
        <v>17890</v>
      </c>
      <c r="N44" s="297">
        <f t="shared" si="44"/>
        <v>912390</v>
      </c>
    </row>
    <row r="45" spans="1:16" ht="16">
      <c r="A45" s="139">
        <v>45745</v>
      </c>
      <c r="B45" s="90" t="s">
        <v>16</v>
      </c>
      <c r="C45" s="83">
        <v>124019</v>
      </c>
      <c r="D45" s="83">
        <v>124416</v>
      </c>
      <c r="E45" s="11">
        <f t="shared" si="39"/>
        <v>397</v>
      </c>
      <c r="F45" s="141">
        <v>55</v>
      </c>
      <c r="G45" s="13">
        <f t="shared" si="40"/>
        <v>13.85390428211587</v>
      </c>
      <c r="H45" s="83">
        <v>11451</v>
      </c>
      <c r="I45" s="125">
        <v>11777</v>
      </c>
      <c r="J45" s="83">
        <f t="shared" si="41"/>
        <v>326</v>
      </c>
      <c r="K45" s="83">
        <f t="shared" si="42"/>
        <v>55</v>
      </c>
      <c r="L45" s="136">
        <f t="shared" si="43"/>
        <v>16.871165644171779</v>
      </c>
      <c r="M45" s="116">
        <v>18210</v>
      </c>
      <c r="N45" s="297">
        <f t="shared" si="44"/>
        <v>1001550</v>
      </c>
    </row>
    <row r="46" spans="1:16" ht="16">
      <c r="A46" s="59"/>
      <c r="B46" s="60"/>
      <c r="C46" s="59"/>
      <c r="D46" s="59" t="s">
        <v>19</v>
      </c>
      <c r="E46" s="59">
        <f t="shared" ref="E46:F46" si="45">SUM(E40:E45)</f>
        <v>2231</v>
      </c>
      <c r="F46" s="59">
        <f t="shared" si="45"/>
        <v>306</v>
      </c>
      <c r="G46" s="61">
        <f>AVERAGE(G40:G45)</f>
        <v>13.72186722105503</v>
      </c>
      <c r="H46" s="59"/>
      <c r="I46" s="62"/>
      <c r="J46" s="59">
        <f t="shared" ref="J46:K46" si="46">SUM(J40:J45)</f>
        <v>2459</v>
      </c>
      <c r="K46" s="59">
        <f t="shared" si="46"/>
        <v>306</v>
      </c>
      <c r="L46" s="61">
        <f>AVERAGE(L40:L45)</f>
        <v>12.710791756334837</v>
      </c>
      <c r="M46" s="64"/>
      <c r="N46" s="299">
        <f>SUM(N40:N45)</f>
        <v>5570120</v>
      </c>
    </row>
    <row r="47" spans="1:16" ht="16">
      <c r="A47" s="66">
        <v>45720</v>
      </c>
      <c r="B47" s="278" t="s">
        <v>18</v>
      </c>
      <c r="C47" s="83">
        <v>127172</v>
      </c>
      <c r="D47" s="39">
        <v>127457</v>
      </c>
      <c r="E47" s="36">
        <f t="shared" ref="E47:E52" si="47">D47-C47</f>
        <v>285</v>
      </c>
      <c r="F47" s="37">
        <v>40</v>
      </c>
      <c r="G47" s="13">
        <f t="shared" ref="G47:G52" si="48">(F47/E47)*100</f>
        <v>14.035087719298245</v>
      </c>
      <c r="H47" s="125">
        <v>1905</v>
      </c>
      <c r="I47" s="126">
        <v>2205</v>
      </c>
      <c r="J47" s="39">
        <f t="shared" ref="J47:J52" si="49">I47-H47</f>
        <v>300</v>
      </c>
      <c r="K47" s="39">
        <f t="shared" ref="K47:K52" si="50">F47</f>
        <v>40</v>
      </c>
      <c r="L47" s="136">
        <f t="shared" ref="L47:L52" si="51">(K47/J47)*100</f>
        <v>13.333333333333334</v>
      </c>
      <c r="M47" s="68">
        <v>18950</v>
      </c>
      <c r="N47" s="294">
        <f t="shared" ref="N47:N52" si="52">F47*M47</f>
        <v>758000</v>
      </c>
    </row>
    <row r="48" spans="1:16" ht="16">
      <c r="A48" s="138">
        <v>45726</v>
      </c>
      <c r="B48" s="140" t="s">
        <v>18</v>
      </c>
      <c r="C48" s="83">
        <v>127457</v>
      </c>
      <c r="D48" s="83">
        <v>127784</v>
      </c>
      <c r="E48" s="11">
        <f t="shared" si="47"/>
        <v>327</v>
      </c>
      <c r="F48" s="141">
        <v>40</v>
      </c>
      <c r="G48" s="13">
        <f t="shared" si="48"/>
        <v>12.232415902140673</v>
      </c>
      <c r="H48" s="83">
        <v>2205</v>
      </c>
      <c r="I48" s="125">
        <v>2551</v>
      </c>
      <c r="J48" s="83">
        <f t="shared" si="49"/>
        <v>346</v>
      </c>
      <c r="K48" s="83">
        <f t="shared" si="50"/>
        <v>40</v>
      </c>
      <c r="L48" s="136">
        <f t="shared" si="51"/>
        <v>11.560693641618498</v>
      </c>
      <c r="M48" s="116">
        <v>18330</v>
      </c>
      <c r="N48" s="296">
        <f t="shared" si="52"/>
        <v>733200</v>
      </c>
    </row>
    <row r="49" spans="1:14" ht="16">
      <c r="A49" s="249">
        <v>45730</v>
      </c>
      <c r="B49" s="140" t="s">
        <v>18</v>
      </c>
      <c r="C49" s="83">
        <v>127784</v>
      </c>
      <c r="D49" s="83">
        <v>128082</v>
      </c>
      <c r="E49" s="11">
        <f t="shared" si="47"/>
        <v>298</v>
      </c>
      <c r="F49" s="141">
        <v>35</v>
      </c>
      <c r="G49" s="13">
        <f t="shared" si="48"/>
        <v>11.74496644295302</v>
      </c>
      <c r="H49" s="83">
        <v>2551</v>
      </c>
      <c r="I49" s="125">
        <v>2940</v>
      </c>
      <c r="J49" s="83">
        <f t="shared" si="49"/>
        <v>389</v>
      </c>
      <c r="K49" s="83">
        <f t="shared" si="50"/>
        <v>35</v>
      </c>
      <c r="L49" s="136">
        <f t="shared" si="51"/>
        <v>8.9974293059125969</v>
      </c>
      <c r="M49" s="116">
        <v>17890</v>
      </c>
      <c r="N49" s="296">
        <f t="shared" si="52"/>
        <v>626150</v>
      </c>
    </row>
    <row r="50" spans="1:14" ht="16">
      <c r="A50" s="138">
        <v>45733</v>
      </c>
      <c r="B50" s="140" t="s">
        <v>18</v>
      </c>
      <c r="C50" s="83">
        <v>128082</v>
      </c>
      <c r="D50" s="83">
        <v>128424</v>
      </c>
      <c r="E50" s="11">
        <f t="shared" si="47"/>
        <v>342</v>
      </c>
      <c r="F50" s="141">
        <v>46</v>
      </c>
      <c r="G50" s="13">
        <f t="shared" si="48"/>
        <v>13.450292397660817</v>
      </c>
      <c r="H50" s="83">
        <v>2940</v>
      </c>
      <c r="I50" s="125">
        <v>3302</v>
      </c>
      <c r="J50" s="83">
        <f t="shared" si="49"/>
        <v>362</v>
      </c>
      <c r="K50" s="83">
        <f t="shared" si="50"/>
        <v>46</v>
      </c>
      <c r="L50" s="136">
        <f t="shared" si="51"/>
        <v>12.707182320441991</v>
      </c>
      <c r="M50" s="116">
        <v>17890</v>
      </c>
      <c r="N50" s="297">
        <f t="shared" si="52"/>
        <v>822940</v>
      </c>
    </row>
    <row r="51" spans="1:14" ht="16">
      <c r="A51" s="138">
        <v>45742</v>
      </c>
      <c r="B51" s="140" t="s">
        <v>18</v>
      </c>
      <c r="C51" s="83">
        <v>128424</v>
      </c>
      <c r="D51" s="83">
        <v>128759</v>
      </c>
      <c r="E51" s="11">
        <f t="shared" si="47"/>
        <v>335</v>
      </c>
      <c r="F51" s="141">
        <v>45</v>
      </c>
      <c r="G51" s="13">
        <f t="shared" si="48"/>
        <v>13.432835820895523</v>
      </c>
      <c r="H51" s="83">
        <v>3302</v>
      </c>
      <c r="I51" s="125"/>
      <c r="J51" s="83">
        <f t="shared" si="49"/>
        <v>-3302</v>
      </c>
      <c r="K51" s="83">
        <f t="shared" si="50"/>
        <v>45</v>
      </c>
      <c r="L51" s="136">
        <f t="shared" si="51"/>
        <v>-1.3628104179285281</v>
      </c>
      <c r="M51" s="116">
        <v>17890</v>
      </c>
      <c r="N51" s="300">
        <f t="shared" si="52"/>
        <v>805050</v>
      </c>
    </row>
    <row r="52" spans="1:14" ht="16">
      <c r="A52" s="138">
        <v>45742</v>
      </c>
      <c r="B52" s="140" t="s">
        <v>18</v>
      </c>
      <c r="C52" s="83">
        <v>128759</v>
      </c>
      <c r="D52" s="83">
        <v>129061</v>
      </c>
      <c r="E52" s="51">
        <f t="shared" si="47"/>
        <v>302</v>
      </c>
      <c r="F52" s="141">
        <v>40</v>
      </c>
      <c r="G52" s="13">
        <f t="shared" si="48"/>
        <v>13.245033112582782</v>
      </c>
      <c r="H52" s="83"/>
      <c r="I52" s="125">
        <v>3873</v>
      </c>
      <c r="J52" s="83">
        <f t="shared" si="49"/>
        <v>3873</v>
      </c>
      <c r="K52" s="83">
        <f t="shared" si="50"/>
        <v>40</v>
      </c>
      <c r="L52" s="136">
        <f t="shared" si="51"/>
        <v>1.0327911179963851</v>
      </c>
      <c r="M52" s="116">
        <v>17890</v>
      </c>
      <c r="N52" s="300">
        <f t="shared" si="52"/>
        <v>715600</v>
      </c>
    </row>
    <row r="53" spans="1:14" ht="16">
      <c r="A53" s="59"/>
      <c r="B53" s="60"/>
      <c r="C53" s="59"/>
      <c r="D53" s="59" t="s">
        <v>19</v>
      </c>
      <c r="E53" s="59">
        <f t="shared" ref="E53:F53" si="53">SUM(E47:E52)</f>
        <v>1889</v>
      </c>
      <c r="F53" s="59">
        <f t="shared" si="53"/>
        <v>246</v>
      </c>
      <c r="G53" s="61">
        <f>AVERAGE(G47:G52)</f>
        <v>13.023438565921845</v>
      </c>
      <c r="H53" s="59"/>
      <c r="I53" s="62"/>
      <c r="J53" s="59">
        <f t="shared" ref="J53:K53" si="54">SUM(J47:J52)</f>
        <v>1968</v>
      </c>
      <c r="K53" s="59">
        <f t="shared" si="54"/>
        <v>246</v>
      </c>
      <c r="L53" s="61">
        <f>AVERAGE(L47:L52)</f>
        <v>7.7114365502290454</v>
      </c>
      <c r="M53" s="64"/>
      <c r="N53" s="299">
        <f>SUM(N47:N52)</f>
        <v>4460940</v>
      </c>
    </row>
    <row r="54" spans="1:14" ht="16">
      <c r="A54" s="66">
        <v>45720</v>
      </c>
      <c r="B54" s="269" t="s">
        <v>20</v>
      </c>
      <c r="C54" s="83">
        <v>371545</v>
      </c>
      <c r="D54" s="39">
        <v>372360</v>
      </c>
      <c r="E54" s="36">
        <f t="shared" ref="E54:E56" si="55">D54-C54</f>
        <v>815</v>
      </c>
      <c r="F54" s="37">
        <v>95</v>
      </c>
      <c r="G54" s="13">
        <f t="shared" ref="G54:G56" si="56">(F54/E54)*100</f>
        <v>11.656441717791409</v>
      </c>
      <c r="H54" s="125">
        <v>10008</v>
      </c>
      <c r="I54" s="126">
        <v>11002</v>
      </c>
      <c r="J54" s="39">
        <f t="shared" ref="J54:J56" si="57">I54-H54</f>
        <v>994</v>
      </c>
      <c r="K54" s="39">
        <f>F54</f>
        <v>95</v>
      </c>
      <c r="L54" s="136">
        <f t="shared" ref="L54:L56" si="58">(K54/J54)*100</f>
        <v>9.5573440643863172</v>
      </c>
      <c r="M54" s="68">
        <v>18950</v>
      </c>
      <c r="N54" s="305">
        <f t="shared" ref="N54:N56" si="59">F54*M54</f>
        <v>1800250</v>
      </c>
    </row>
    <row r="55" spans="1:14" ht="16">
      <c r="A55" s="138">
        <v>45729</v>
      </c>
      <c r="B55" s="140" t="s">
        <v>20</v>
      </c>
      <c r="C55" s="83">
        <v>372360</v>
      </c>
      <c r="D55" s="83">
        <v>373149</v>
      </c>
      <c r="E55" s="11">
        <f t="shared" si="55"/>
        <v>789</v>
      </c>
      <c r="F55" s="141">
        <v>90</v>
      </c>
      <c r="G55" s="13">
        <f t="shared" si="56"/>
        <v>11.406844106463879</v>
      </c>
      <c r="H55" s="83">
        <v>11002</v>
      </c>
      <c r="I55" s="125">
        <v>11581</v>
      </c>
      <c r="J55" s="83">
        <f t="shared" si="57"/>
        <v>579</v>
      </c>
      <c r="K55" s="240">
        <v>90</v>
      </c>
      <c r="L55" s="136">
        <f t="shared" si="58"/>
        <v>15.544041450777202</v>
      </c>
      <c r="M55" s="116">
        <v>18330</v>
      </c>
      <c r="N55" s="296">
        <f t="shared" si="59"/>
        <v>1649700</v>
      </c>
    </row>
    <row r="56" spans="1:14" ht="16">
      <c r="A56" s="138">
        <v>45742</v>
      </c>
      <c r="B56" s="140" t="s">
        <v>20</v>
      </c>
      <c r="C56" s="83">
        <v>373149</v>
      </c>
      <c r="D56" s="83">
        <v>373815</v>
      </c>
      <c r="E56" s="11">
        <f t="shared" si="55"/>
        <v>666</v>
      </c>
      <c r="F56" s="141">
        <v>89</v>
      </c>
      <c r="G56" s="13">
        <f t="shared" si="56"/>
        <v>13.363363363363364</v>
      </c>
      <c r="H56" s="83">
        <v>11581</v>
      </c>
      <c r="I56" s="125">
        <v>12238</v>
      </c>
      <c r="J56" s="83">
        <f t="shared" si="57"/>
        <v>657</v>
      </c>
      <c r="K56" s="240">
        <f>F56</f>
        <v>89</v>
      </c>
      <c r="L56" s="136">
        <f t="shared" si="58"/>
        <v>13.546423135464231</v>
      </c>
      <c r="M56" s="116">
        <v>17890</v>
      </c>
      <c r="N56" s="297">
        <f t="shared" si="59"/>
        <v>1592210</v>
      </c>
    </row>
    <row r="57" spans="1:14" ht="16">
      <c r="A57" s="59"/>
      <c r="B57" s="60"/>
      <c r="C57" s="59"/>
      <c r="D57" s="59" t="s">
        <v>19</v>
      </c>
      <c r="E57" s="59">
        <f t="shared" ref="E57:F57" si="60">SUM(E54:E56)</f>
        <v>2270</v>
      </c>
      <c r="F57" s="59">
        <f t="shared" si="60"/>
        <v>274</v>
      </c>
      <c r="G57" s="61">
        <f>AVERAGE(G54:G56)</f>
        <v>12.142216395872884</v>
      </c>
      <c r="H57" s="59"/>
      <c r="I57" s="62"/>
      <c r="J57" s="59">
        <f t="shared" ref="J57:K57" si="61">SUM(J54:J56)</f>
        <v>2230</v>
      </c>
      <c r="K57" s="59">
        <f t="shared" si="61"/>
        <v>274</v>
      </c>
      <c r="L57" s="61">
        <f>AVERAGE(L54:L56)</f>
        <v>12.882602883542583</v>
      </c>
      <c r="M57" s="64"/>
      <c r="N57" s="299">
        <f>SUM(N54:N56)</f>
        <v>5042160</v>
      </c>
    </row>
    <row r="58" spans="1:14" ht="16">
      <c r="A58" s="138">
        <v>45720</v>
      </c>
      <c r="B58" s="269" t="s">
        <v>21</v>
      </c>
      <c r="C58" s="83">
        <v>354000</v>
      </c>
      <c r="D58" s="39">
        <v>354564</v>
      </c>
      <c r="E58" s="36">
        <f t="shared" ref="E58:E61" si="62">D58-C58</f>
        <v>564</v>
      </c>
      <c r="F58" s="37">
        <v>70</v>
      </c>
      <c r="G58" s="13">
        <f t="shared" ref="G58:G61" si="63">(F58/E58)*100</f>
        <v>12.411347517730496</v>
      </c>
      <c r="H58" s="83">
        <v>1629</v>
      </c>
      <c r="I58" s="125">
        <v>2064</v>
      </c>
      <c r="J58" s="39">
        <f t="shared" ref="J58:J61" si="64">I58-H58</f>
        <v>435</v>
      </c>
      <c r="K58" s="39">
        <f t="shared" ref="K58:K61" si="65">F58</f>
        <v>70</v>
      </c>
      <c r="L58" s="136">
        <f t="shared" ref="L58:L61" si="66">(K58/J58)*100</f>
        <v>16.091954022988507</v>
      </c>
      <c r="M58" s="68">
        <v>18950</v>
      </c>
      <c r="N58" s="294">
        <f t="shared" ref="N58:N61" si="67">F58*M58</f>
        <v>1326500</v>
      </c>
    </row>
    <row r="59" spans="1:14" ht="16">
      <c r="A59" s="138">
        <v>45726</v>
      </c>
      <c r="B59" s="140" t="s">
        <v>21</v>
      </c>
      <c r="C59" s="83">
        <v>354564</v>
      </c>
      <c r="D59" s="83">
        <v>355146</v>
      </c>
      <c r="E59" s="11">
        <f t="shared" si="62"/>
        <v>582</v>
      </c>
      <c r="F59" s="141">
        <v>70</v>
      </c>
      <c r="G59" s="13">
        <f t="shared" si="63"/>
        <v>12.027491408934708</v>
      </c>
      <c r="H59" s="83">
        <v>2064</v>
      </c>
      <c r="I59" s="125">
        <v>2596</v>
      </c>
      <c r="J59" s="83">
        <f t="shared" si="64"/>
        <v>532</v>
      </c>
      <c r="K59" s="83">
        <f t="shared" si="65"/>
        <v>70</v>
      </c>
      <c r="L59" s="136">
        <f t="shared" si="66"/>
        <v>13.157894736842104</v>
      </c>
      <c r="M59" s="116">
        <v>18330</v>
      </c>
      <c r="N59" s="296">
        <f t="shared" si="67"/>
        <v>1283100</v>
      </c>
    </row>
    <row r="60" spans="1:14" ht="16">
      <c r="A60" s="138">
        <v>45733</v>
      </c>
      <c r="B60" s="140" t="s">
        <v>21</v>
      </c>
      <c r="C60" s="83">
        <v>355146</v>
      </c>
      <c r="D60" s="83">
        <v>355680</v>
      </c>
      <c r="E60" s="11">
        <f t="shared" si="62"/>
        <v>534</v>
      </c>
      <c r="F60" s="141">
        <v>77</v>
      </c>
      <c r="G60" s="13">
        <f t="shared" si="63"/>
        <v>14.419475655430711</v>
      </c>
      <c r="H60" s="83">
        <v>2596</v>
      </c>
      <c r="I60" s="125">
        <v>3123</v>
      </c>
      <c r="J60" s="83">
        <f t="shared" si="64"/>
        <v>527</v>
      </c>
      <c r="K60" s="83">
        <f t="shared" si="65"/>
        <v>77</v>
      </c>
      <c r="L60" s="136">
        <f t="shared" si="66"/>
        <v>14.611005692599621</v>
      </c>
      <c r="M60" s="116">
        <v>17890</v>
      </c>
      <c r="N60" s="296">
        <f t="shared" si="67"/>
        <v>1377530</v>
      </c>
    </row>
    <row r="61" spans="1:14" ht="16">
      <c r="A61" s="284">
        <v>45741</v>
      </c>
      <c r="B61" s="140" t="s">
        <v>21</v>
      </c>
      <c r="C61" s="83">
        <v>355680</v>
      </c>
      <c r="D61" s="83">
        <v>356265</v>
      </c>
      <c r="E61" s="11">
        <f t="shared" si="62"/>
        <v>585</v>
      </c>
      <c r="F61" s="141">
        <v>75</v>
      </c>
      <c r="G61" s="13">
        <f t="shared" si="63"/>
        <v>12.820512820512819</v>
      </c>
      <c r="H61" s="83">
        <v>3123</v>
      </c>
      <c r="I61" s="125">
        <v>3701</v>
      </c>
      <c r="J61" s="83">
        <f t="shared" si="64"/>
        <v>578</v>
      </c>
      <c r="K61" s="83">
        <f t="shared" si="65"/>
        <v>75</v>
      </c>
      <c r="L61" s="136">
        <f t="shared" si="66"/>
        <v>12.975778546712801</v>
      </c>
      <c r="M61" s="116">
        <v>17890</v>
      </c>
      <c r="N61" s="306">
        <f t="shared" si="67"/>
        <v>1341750</v>
      </c>
    </row>
    <row r="62" spans="1:14" ht="16">
      <c r="A62" s="59"/>
      <c r="B62" s="60"/>
      <c r="C62" s="59"/>
      <c r="D62" s="59" t="s">
        <v>19</v>
      </c>
      <c r="E62" s="59">
        <f t="shared" ref="E62:F62" si="68">SUM(E58:E61)</f>
        <v>2265</v>
      </c>
      <c r="F62" s="59">
        <f t="shared" si="68"/>
        <v>292</v>
      </c>
      <c r="G62" s="61">
        <f>AVERAGE(G58:G61)</f>
        <v>12.919706850652183</v>
      </c>
      <c r="H62" s="59"/>
      <c r="I62" s="62"/>
      <c r="J62" s="59">
        <f t="shared" ref="J62:K62" si="69">SUM(J58:J61)</f>
        <v>2072</v>
      </c>
      <c r="K62" s="59">
        <f t="shared" si="69"/>
        <v>292</v>
      </c>
      <c r="L62" s="61">
        <f>AVERAGE(L58:L61)</f>
        <v>14.209158249785759</v>
      </c>
      <c r="M62" s="64"/>
      <c r="N62" s="299">
        <f>SUM(N58:N61)</f>
        <v>5328880</v>
      </c>
    </row>
    <row r="63" spans="1:14" ht="16">
      <c r="A63" s="66">
        <v>45723</v>
      </c>
      <c r="B63" s="278" t="s">
        <v>98</v>
      </c>
      <c r="C63" s="83">
        <v>189768</v>
      </c>
      <c r="D63" s="39">
        <v>190303</v>
      </c>
      <c r="E63" s="36">
        <f t="shared" ref="E63:E67" si="70">D63-C63</f>
        <v>535</v>
      </c>
      <c r="F63" s="37">
        <v>68</v>
      </c>
      <c r="G63" s="13">
        <f t="shared" ref="G63:G67" si="71">(F63/E63)*100</f>
        <v>12.710280373831775</v>
      </c>
      <c r="H63" s="125">
        <v>2423</v>
      </c>
      <c r="I63" s="126">
        <v>3069</v>
      </c>
      <c r="J63" s="39">
        <f t="shared" ref="J63:J67" si="72">I63-H63</f>
        <v>646</v>
      </c>
      <c r="K63" s="39">
        <f t="shared" ref="K63:K67" si="73">F63</f>
        <v>68</v>
      </c>
      <c r="L63" s="136">
        <f t="shared" ref="L63:L67" si="74">(K63/J63)*100</f>
        <v>10.526315789473683</v>
      </c>
      <c r="M63" s="68">
        <v>18330</v>
      </c>
      <c r="N63" s="294">
        <f t="shared" ref="N63:N67" si="75">F63*M63</f>
        <v>1246440</v>
      </c>
    </row>
    <row r="64" spans="1:14" ht="16">
      <c r="A64" s="138">
        <v>45729</v>
      </c>
      <c r="B64" s="140" t="s">
        <v>98</v>
      </c>
      <c r="C64" s="83">
        <v>190303</v>
      </c>
      <c r="D64" s="83">
        <v>190932</v>
      </c>
      <c r="E64" s="11">
        <f t="shared" si="70"/>
        <v>629</v>
      </c>
      <c r="F64" s="141">
        <v>78</v>
      </c>
      <c r="G64" s="13">
        <f t="shared" si="71"/>
        <v>12.400635930047695</v>
      </c>
      <c r="H64" s="83">
        <v>3069</v>
      </c>
      <c r="I64" s="125">
        <v>3654</v>
      </c>
      <c r="J64" s="83">
        <f t="shared" si="72"/>
        <v>585</v>
      </c>
      <c r="K64" s="83">
        <f t="shared" si="73"/>
        <v>78</v>
      </c>
      <c r="L64" s="136">
        <f t="shared" si="74"/>
        <v>13.333333333333334</v>
      </c>
      <c r="M64" s="116">
        <v>17890</v>
      </c>
      <c r="N64" s="296">
        <f t="shared" si="75"/>
        <v>1395420</v>
      </c>
    </row>
    <row r="65" spans="1:26" ht="16">
      <c r="A65" s="138">
        <v>45736</v>
      </c>
      <c r="B65" s="140" t="s">
        <v>98</v>
      </c>
      <c r="C65" s="83">
        <v>190932</v>
      </c>
      <c r="D65" s="83">
        <v>191520</v>
      </c>
      <c r="E65" s="11">
        <f t="shared" si="70"/>
        <v>588</v>
      </c>
      <c r="F65" s="141">
        <v>76</v>
      </c>
      <c r="G65" s="13">
        <f t="shared" si="71"/>
        <v>12.925170068027212</v>
      </c>
      <c r="H65" s="83">
        <v>3654</v>
      </c>
      <c r="I65" s="125">
        <v>4165</v>
      </c>
      <c r="J65" s="83">
        <f t="shared" si="72"/>
        <v>511</v>
      </c>
      <c r="K65" s="83">
        <f t="shared" si="73"/>
        <v>76</v>
      </c>
      <c r="L65" s="136">
        <f t="shared" si="74"/>
        <v>14.87279843444227</v>
      </c>
      <c r="M65" s="116">
        <v>17890</v>
      </c>
      <c r="N65" s="297">
        <f t="shared" si="75"/>
        <v>1359640</v>
      </c>
    </row>
    <row r="66" spans="1:26" ht="16">
      <c r="A66" s="138">
        <v>45741</v>
      </c>
      <c r="B66" s="140" t="s">
        <v>98</v>
      </c>
      <c r="C66" s="83">
        <v>191520</v>
      </c>
      <c r="D66" s="83">
        <v>192076</v>
      </c>
      <c r="E66" s="11">
        <f t="shared" si="70"/>
        <v>556</v>
      </c>
      <c r="F66" s="141">
        <v>70</v>
      </c>
      <c r="G66" s="13">
        <f t="shared" si="71"/>
        <v>12.589928057553957</v>
      </c>
      <c r="H66" s="83">
        <v>4165</v>
      </c>
      <c r="I66" s="125">
        <v>4701</v>
      </c>
      <c r="J66" s="83">
        <f t="shared" si="72"/>
        <v>536</v>
      </c>
      <c r="K66" s="83">
        <f t="shared" si="73"/>
        <v>70</v>
      </c>
      <c r="L66" s="136">
        <f t="shared" si="74"/>
        <v>13.059701492537313</v>
      </c>
      <c r="M66" s="116">
        <v>17890</v>
      </c>
      <c r="N66" s="297">
        <f t="shared" si="75"/>
        <v>1252300</v>
      </c>
    </row>
    <row r="67" spans="1:26" ht="16">
      <c r="A67" s="138">
        <v>45747</v>
      </c>
      <c r="B67" s="140" t="s">
        <v>98</v>
      </c>
      <c r="C67" s="83">
        <v>192076</v>
      </c>
      <c r="D67" s="83">
        <v>192586</v>
      </c>
      <c r="E67" s="11">
        <f t="shared" si="70"/>
        <v>510</v>
      </c>
      <c r="F67" s="141">
        <v>60</v>
      </c>
      <c r="G67" s="13">
        <f t="shared" si="71"/>
        <v>11.76470588235294</v>
      </c>
      <c r="H67" s="83">
        <v>4701</v>
      </c>
      <c r="I67" s="125"/>
      <c r="J67" s="83">
        <f t="shared" si="72"/>
        <v>-4701</v>
      </c>
      <c r="K67" s="83">
        <f t="shared" si="73"/>
        <v>60</v>
      </c>
      <c r="L67" s="136">
        <f t="shared" si="74"/>
        <v>-1.2763241863433312</v>
      </c>
      <c r="M67" s="116">
        <v>18210</v>
      </c>
      <c r="N67" s="297">
        <f t="shared" si="75"/>
        <v>1092600</v>
      </c>
    </row>
    <row r="68" spans="1:26" ht="16">
      <c r="A68" s="59"/>
      <c r="B68" s="60"/>
      <c r="C68" s="59"/>
      <c r="D68" s="59" t="s">
        <v>19</v>
      </c>
      <c r="E68" s="59">
        <f t="shared" ref="E68:F68" si="76">SUM(E63:E67)</f>
        <v>2818</v>
      </c>
      <c r="F68" s="59">
        <f t="shared" si="76"/>
        <v>352</v>
      </c>
      <c r="G68" s="61">
        <f>AVERAGE(G63:G67)</f>
        <v>12.478144062362716</v>
      </c>
      <c r="H68" s="59"/>
      <c r="I68" s="62"/>
      <c r="J68" s="59">
        <f t="shared" ref="J68:K68" si="77">SUM(J63:J67)</f>
        <v>-2423</v>
      </c>
      <c r="K68" s="59">
        <f t="shared" si="77"/>
        <v>352</v>
      </c>
      <c r="L68" s="61">
        <f>AVERAGE(L63:L67)</f>
        <v>10.103164972688655</v>
      </c>
      <c r="M68" s="64"/>
      <c r="N68" s="299">
        <f>SUM(N63:N67)</f>
        <v>6346400</v>
      </c>
    </row>
    <row r="69" spans="1:26" ht="16">
      <c r="A69" s="236">
        <v>45722</v>
      </c>
      <c r="B69" s="140" t="s">
        <v>38</v>
      </c>
      <c r="C69" s="83">
        <v>141687</v>
      </c>
      <c r="D69" s="39">
        <v>142022</v>
      </c>
      <c r="E69" s="36">
        <f t="shared" ref="E69:E72" si="78">D69-C69</f>
        <v>335</v>
      </c>
      <c r="F69" s="37">
        <v>67</v>
      </c>
      <c r="G69" s="13">
        <f t="shared" ref="G69:G72" si="79">(F69/E69)*100</f>
        <v>20</v>
      </c>
      <c r="H69" s="125">
        <v>2094</v>
      </c>
      <c r="I69" s="126">
        <v>2597</v>
      </c>
      <c r="J69" s="39">
        <f t="shared" ref="J69:J72" si="80">I69-H69</f>
        <v>503</v>
      </c>
      <c r="K69" s="39">
        <f t="shared" ref="K69:K72" si="81">F69</f>
        <v>67</v>
      </c>
      <c r="L69" s="136">
        <f t="shared" ref="L69:L72" si="82">(K69/J69)*100</f>
        <v>13.320079522862823</v>
      </c>
      <c r="M69" s="68">
        <v>18950</v>
      </c>
      <c r="N69" s="294">
        <f t="shared" ref="N69:N72" si="83">F69*M69</f>
        <v>1269650</v>
      </c>
    </row>
    <row r="70" spans="1:26" ht="16">
      <c r="A70" s="139">
        <v>45728</v>
      </c>
      <c r="B70" s="140" t="s">
        <v>38</v>
      </c>
      <c r="C70" s="83">
        <v>142022</v>
      </c>
      <c r="D70" s="83">
        <v>142773</v>
      </c>
      <c r="E70" s="36">
        <f t="shared" si="78"/>
        <v>751</v>
      </c>
      <c r="F70" s="141">
        <v>66</v>
      </c>
      <c r="G70" s="13">
        <f t="shared" si="79"/>
        <v>8.7882822902796267</v>
      </c>
      <c r="H70" s="83">
        <v>2597</v>
      </c>
      <c r="I70" s="125">
        <v>3236</v>
      </c>
      <c r="J70" s="83">
        <f t="shared" si="80"/>
        <v>639</v>
      </c>
      <c r="K70" s="83">
        <f t="shared" si="81"/>
        <v>66</v>
      </c>
      <c r="L70" s="136">
        <f t="shared" si="82"/>
        <v>10.328638497652582</v>
      </c>
      <c r="M70" s="116">
        <v>18330</v>
      </c>
      <c r="N70" s="294">
        <f t="shared" si="83"/>
        <v>1209780</v>
      </c>
    </row>
    <row r="71" spans="1:26" ht="16">
      <c r="A71" s="139">
        <v>45734</v>
      </c>
      <c r="B71" s="140" t="s">
        <v>38</v>
      </c>
      <c r="C71" s="83">
        <v>142773</v>
      </c>
      <c r="D71" s="39">
        <v>143362</v>
      </c>
      <c r="E71" s="36">
        <f t="shared" si="78"/>
        <v>589</v>
      </c>
      <c r="F71" s="141">
        <v>80</v>
      </c>
      <c r="G71" s="13">
        <f t="shared" si="79"/>
        <v>13.582342954159593</v>
      </c>
      <c r="H71" s="83">
        <v>3263</v>
      </c>
      <c r="I71" s="125">
        <v>3820</v>
      </c>
      <c r="J71" s="83">
        <f t="shared" si="80"/>
        <v>557</v>
      </c>
      <c r="K71" s="83">
        <f t="shared" si="81"/>
        <v>80</v>
      </c>
      <c r="L71" s="136">
        <f t="shared" si="82"/>
        <v>14.362657091561939</v>
      </c>
      <c r="M71" s="116">
        <v>17890</v>
      </c>
      <c r="N71" s="307">
        <f t="shared" si="83"/>
        <v>1431200</v>
      </c>
    </row>
    <row r="72" spans="1:26" ht="16">
      <c r="A72" s="138">
        <v>45741</v>
      </c>
      <c r="B72" s="269" t="s">
        <v>38</v>
      </c>
      <c r="C72" s="39">
        <v>143362</v>
      </c>
      <c r="D72" s="268">
        <v>143918</v>
      </c>
      <c r="E72" s="36">
        <f t="shared" si="78"/>
        <v>556</v>
      </c>
      <c r="F72" s="141">
        <v>70</v>
      </c>
      <c r="G72" s="13">
        <f t="shared" si="79"/>
        <v>12.589928057553957</v>
      </c>
      <c r="H72" s="83">
        <v>3820</v>
      </c>
      <c r="I72" s="125">
        <v>4307</v>
      </c>
      <c r="J72" s="83">
        <f t="shared" si="80"/>
        <v>487</v>
      </c>
      <c r="K72" s="83">
        <f t="shared" si="81"/>
        <v>70</v>
      </c>
      <c r="L72" s="136">
        <f t="shared" si="82"/>
        <v>14.37371663244353</v>
      </c>
      <c r="M72" s="116">
        <v>17890</v>
      </c>
      <c r="N72" s="307">
        <f t="shared" si="83"/>
        <v>1252300</v>
      </c>
    </row>
    <row r="73" spans="1:26" ht="16">
      <c r="A73" s="310"/>
      <c r="B73" s="332"/>
      <c r="C73" s="311"/>
      <c r="D73" s="312" t="s">
        <v>19</v>
      </c>
      <c r="E73" s="313">
        <f t="shared" ref="E73:F73" si="84">SUM(E69:E72)</f>
        <v>2231</v>
      </c>
      <c r="F73" s="313">
        <f t="shared" si="84"/>
        <v>283</v>
      </c>
      <c r="G73" s="314">
        <f>AVERAGE(G69:G72)</f>
        <v>13.740138325498293</v>
      </c>
      <c r="H73" s="311"/>
      <c r="I73" s="315"/>
      <c r="J73" s="312">
        <f t="shared" ref="J73:K73" si="85">SUM(J69:J72)</f>
        <v>2186</v>
      </c>
      <c r="K73" s="312">
        <f t="shared" si="85"/>
        <v>283</v>
      </c>
      <c r="L73" s="316">
        <f>AVERAGE(L69:L72)</f>
        <v>13.096272936130219</v>
      </c>
      <c r="M73" s="317"/>
      <c r="N73" s="318">
        <f>SUM(N69:N72)</f>
        <v>5162930</v>
      </c>
    </row>
    <row r="74" spans="1:26" ht="16">
      <c r="A74" s="112">
        <v>45721</v>
      </c>
      <c r="B74" s="283" t="s">
        <v>39</v>
      </c>
      <c r="C74" s="83">
        <v>91880</v>
      </c>
      <c r="D74" s="83">
        <v>92722</v>
      </c>
      <c r="E74" s="36">
        <f t="shared" ref="E74:E77" si="86">D74-C74</f>
        <v>842</v>
      </c>
      <c r="F74" s="141">
        <v>90</v>
      </c>
      <c r="G74" s="114">
        <f t="shared" ref="G74:G77" si="87">(F74/E74)*100</f>
        <v>10.688836104513063</v>
      </c>
      <c r="H74" s="15">
        <v>3604</v>
      </c>
      <c r="I74" s="125">
        <v>4240</v>
      </c>
      <c r="J74" s="83">
        <f t="shared" ref="J74:J77" si="88">I74-H74</f>
        <v>636</v>
      </c>
      <c r="K74" s="83">
        <f t="shared" ref="K74:K77" si="89">F74</f>
        <v>90</v>
      </c>
      <c r="L74" s="290">
        <f t="shared" ref="L74:L77" si="90">(K74/J74)*100</f>
        <v>14.150943396226415</v>
      </c>
      <c r="M74" s="116">
        <v>18950</v>
      </c>
      <c r="N74" s="319">
        <f t="shared" ref="N74:N77" si="91">F74*M74</f>
        <v>1705500</v>
      </c>
    </row>
    <row r="75" spans="1:26" ht="16">
      <c r="A75" s="7">
        <v>45728</v>
      </c>
      <c r="B75" s="283" t="s">
        <v>39</v>
      </c>
      <c r="C75" s="12">
        <v>92722</v>
      </c>
      <c r="D75" s="12">
        <v>93506</v>
      </c>
      <c r="E75" s="11">
        <f t="shared" si="86"/>
        <v>784</v>
      </c>
      <c r="F75" s="12">
        <v>82</v>
      </c>
      <c r="G75" s="13">
        <f t="shared" si="87"/>
        <v>10.459183673469388</v>
      </c>
      <c r="H75" s="12">
        <v>4240</v>
      </c>
      <c r="I75" s="15">
        <v>5020</v>
      </c>
      <c r="J75" s="83">
        <f t="shared" si="88"/>
        <v>780</v>
      </c>
      <c r="K75" s="83">
        <f t="shared" si="89"/>
        <v>82</v>
      </c>
      <c r="L75" s="290">
        <f t="shared" si="90"/>
        <v>10.512820512820513</v>
      </c>
      <c r="M75" s="17">
        <v>18330</v>
      </c>
      <c r="N75" s="320">
        <f t="shared" si="91"/>
        <v>1503060</v>
      </c>
      <c r="S75" s="229"/>
      <c r="T75" s="229"/>
      <c r="U75" s="229"/>
      <c r="V75" s="229"/>
      <c r="W75" s="229"/>
      <c r="X75" s="229"/>
      <c r="Y75" s="229"/>
      <c r="Z75" s="229"/>
    </row>
    <row r="76" spans="1:26" ht="16">
      <c r="A76" s="138">
        <v>45735</v>
      </c>
      <c r="B76" s="283" t="s">
        <v>39</v>
      </c>
      <c r="C76" s="83">
        <v>93506</v>
      </c>
      <c r="D76" s="83">
        <v>94223</v>
      </c>
      <c r="E76" s="11">
        <f t="shared" si="86"/>
        <v>717</v>
      </c>
      <c r="F76" s="141">
        <v>84</v>
      </c>
      <c r="G76" s="13">
        <f t="shared" si="87"/>
        <v>11.715481171548117</v>
      </c>
      <c r="H76" s="83">
        <v>5020</v>
      </c>
      <c r="I76" s="125">
        <v>5686</v>
      </c>
      <c r="J76" s="83">
        <f t="shared" si="88"/>
        <v>666</v>
      </c>
      <c r="K76" s="83">
        <f t="shared" si="89"/>
        <v>84</v>
      </c>
      <c r="L76" s="290">
        <f t="shared" si="90"/>
        <v>12.612612612612612</v>
      </c>
      <c r="M76" s="116">
        <v>17890</v>
      </c>
      <c r="N76" s="320">
        <f t="shared" si="91"/>
        <v>1502760</v>
      </c>
      <c r="P76" s="78"/>
    </row>
    <row r="77" spans="1:26" ht="16">
      <c r="A77" s="138">
        <v>45742</v>
      </c>
      <c r="B77" s="283" t="s">
        <v>39</v>
      </c>
      <c r="C77" s="83">
        <v>94223</v>
      </c>
      <c r="D77" s="83">
        <v>94993</v>
      </c>
      <c r="E77" s="11">
        <f t="shared" si="86"/>
        <v>770</v>
      </c>
      <c r="F77" s="141">
        <v>84</v>
      </c>
      <c r="G77" s="13">
        <f t="shared" si="87"/>
        <v>10.909090909090908</v>
      </c>
      <c r="H77" s="83">
        <v>5686</v>
      </c>
      <c r="I77" s="125">
        <v>6556</v>
      </c>
      <c r="J77" s="83">
        <f t="shared" si="88"/>
        <v>870</v>
      </c>
      <c r="K77" s="83">
        <f t="shared" si="89"/>
        <v>84</v>
      </c>
      <c r="L77" s="136">
        <f t="shared" si="90"/>
        <v>9.6551724137931032</v>
      </c>
      <c r="M77" s="116">
        <v>17890</v>
      </c>
      <c r="N77" s="297">
        <f t="shared" si="91"/>
        <v>1502760</v>
      </c>
    </row>
    <row r="78" spans="1:26" ht="16">
      <c r="A78" s="59"/>
      <c r="B78" s="60"/>
      <c r="C78" s="59"/>
      <c r="D78" s="59" t="s">
        <v>19</v>
      </c>
      <c r="E78" s="59">
        <f t="shared" ref="E78:F78" si="92">SUM(E69:E77)</f>
        <v>7575</v>
      </c>
      <c r="F78" s="59">
        <f t="shared" si="92"/>
        <v>906</v>
      </c>
      <c r="G78" s="61">
        <f>AVERAGE(G69:G77)</f>
        <v>12.497031498456993</v>
      </c>
      <c r="H78" s="59"/>
      <c r="I78" s="62"/>
      <c r="J78" s="59">
        <f t="shared" ref="J78:K78" si="93">SUM(J69:J77)</f>
        <v>7324</v>
      </c>
      <c r="K78" s="59">
        <f t="shared" si="93"/>
        <v>906</v>
      </c>
      <c r="L78" s="61">
        <f>AVERAGE(L69:L77)</f>
        <v>12.490323735122637</v>
      </c>
      <c r="M78" s="64"/>
      <c r="N78" s="299">
        <f>SUM(N74:N77)</f>
        <v>6214080</v>
      </c>
    </row>
    <row r="79" spans="1:26" ht="16">
      <c r="A79" s="66">
        <v>45721</v>
      </c>
      <c r="B79" s="140" t="s">
        <v>40</v>
      </c>
      <c r="C79" s="83">
        <v>86237</v>
      </c>
      <c r="D79" s="12">
        <v>86823</v>
      </c>
      <c r="E79" s="36">
        <f t="shared" ref="E79:E83" si="94">D79-C79</f>
        <v>586</v>
      </c>
      <c r="F79" s="37">
        <v>70</v>
      </c>
      <c r="G79" s="13">
        <f t="shared" ref="G79:G83" si="95">(F79/E79)*100</f>
        <v>11.945392491467576</v>
      </c>
      <c r="H79" s="125">
        <v>86102</v>
      </c>
      <c r="I79" s="126">
        <v>86655</v>
      </c>
      <c r="J79" s="39">
        <f t="shared" ref="J79:J83" si="96">I79-H79</f>
        <v>553</v>
      </c>
      <c r="K79" s="39">
        <f t="shared" ref="K79:K83" si="97">F79</f>
        <v>70</v>
      </c>
      <c r="L79" s="136">
        <f t="shared" ref="L79:L83" si="98">(K79/J79)*100</f>
        <v>12.658227848101266</v>
      </c>
      <c r="M79" s="68">
        <v>18950</v>
      </c>
      <c r="N79" s="294">
        <f t="shared" ref="N79:N83" si="99">F79*M79</f>
        <v>1326500</v>
      </c>
      <c r="R79" s="76">
        <f>39*3</f>
        <v>117</v>
      </c>
    </row>
    <row r="80" spans="1:26" ht="16">
      <c r="A80" s="138">
        <v>45728</v>
      </c>
      <c r="B80" s="140" t="s">
        <v>40</v>
      </c>
      <c r="C80" s="83">
        <v>86823</v>
      </c>
      <c r="D80" s="83">
        <v>87422</v>
      </c>
      <c r="E80" s="11">
        <f t="shared" si="94"/>
        <v>599</v>
      </c>
      <c r="F80" s="141">
        <v>72</v>
      </c>
      <c r="G80" s="13">
        <f t="shared" si="95"/>
        <v>12.020033388981636</v>
      </c>
      <c r="H80" s="83">
        <v>86655</v>
      </c>
      <c r="I80" s="125">
        <v>87247</v>
      </c>
      <c r="J80" s="83">
        <f t="shared" si="96"/>
        <v>592</v>
      </c>
      <c r="K80" s="83">
        <f t="shared" si="97"/>
        <v>72</v>
      </c>
      <c r="L80" s="136">
        <f t="shared" si="98"/>
        <v>12.162162162162163</v>
      </c>
      <c r="M80" s="116">
        <v>18330</v>
      </c>
      <c r="N80" s="296">
        <f t="shared" si="99"/>
        <v>1319760</v>
      </c>
    </row>
    <row r="81" spans="1:17" ht="16">
      <c r="A81" s="138">
        <v>45735</v>
      </c>
      <c r="B81" s="140" t="s">
        <v>40</v>
      </c>
      <c r="C81" s="83">
        <v>87422</v>
      </c>
      <c r="D81" s="83">
        <v>88014</v>
      </c>
      <c r="E81" s="11">
        <f t="shared" si="94"/>
        <v>592</v>
      </c>
      <c r="F81" s="141">
        <v>73</v>
      </c>
      <c r="G81" s="13">
        <f t="shared" si="95"/>
        <v>12.331081081081081</v>
      </c>
      <c r="H81" s="83">
        <v>87247</v>
      </c>
      <c r="I81" s="125">
        <v>87982</v>
      </c>
      <c r="J81" s="83">
        <f t="shared" si="96"/>
        <v>735</v>
      </c>
      <c r="K81" s="83">
        <f t="shared" si="97"/>
        <v>73</v>
      </c>
      <c r="L81" s="136">
        <f t="shared" si="98"/>
        <v>9.9319727891156457</v>
      </c>
      <c r="M81" s="116">
        <v>17890</v>
      </c>
      <c r="N81" s="297">
        <f t="shared" si="99"/>
        <v>1305970</v>
      </c>
    </row>
    <row r="82" spans="1:17" ht="16">
      <c r="A82" s="138">
        <v>45738</v>
      </c>
      <c r="B82" s="140" t="s">
        <v>40</v>
      </c>
      <c r="C82" s="83">
        <v>88014</v>
      </c>
      <c r="D82" s="83">
        <v>88566</v>
      </c>
      <c r="E82" s="11">
        <f t="shared" si="94"/>
        <v>552</v>
      </c>
      <c r="F82" s="141">
        <v>64</v>
      </c>
      <c r="G82" s="13">
        <f t="shared" si="95"/>
        <v>11.594202898550725</v>
      </c>
      <c r="H82" s="83">
        <v>87982</v>
      </c>
      <c r="I82" s="125"/>
      <c r="J82" s="83">
        <f t="shared" si="96"/>
        <v>-87982</v>
      </c>
      <c r="K82" s="83">
        <f t="shared" si="97"/>
        <v>64</v>
      </c>
      <c r="L82" s="136">
        <f t="shared" si="98"/>
        <v>-7.2742151803778049E-2</v>
      </c>
      <c r="M82" s="116">
        <v>17890</v>
      </c>
      <c r="N82" s="297">
        <f t="shared" si="99"/>
        <v>1144960</v>
      </c>
    </row>
    <row r="83" spans="1:17" ht="16">
      <c r="A83" s="138">
        <v>45745</v>
      </c>
      <c r="B83" s="140" t="s">
        <v>40</v>
      </c>
      <c r="C83" s="83">
        <v>88566</v>
      </c>
      <c r="D83" s="83">
        <v>89178</v>
      </c>
      <c r="E83" s="11">
        <f t="shared" si="94"/>
        <v>612</v>
      </c>
      <c r="F83" s="141">
        <v>69</v>
      </c>
      <c r="G83" s="13">
        <f t="shared" si="95"/>
        <v>11.274509803921569</v>
      </c>
      <c r="H83" s="83"/>
      <c r="I83" s="125"/>
      <c r="J83" s="83">
        <f t="shared" si="96"/>
        <v>0</v>
      </c>
      <c r="K83" s="83">
        <f t="shared" si="97"/>
        <v>69</v>
      </c>
      <c r="L83" s="136" t="e">
        <f t="shared" si="98"/>
        <v>#DIV/0!</v>
      </c>
      <c r="M83" s="116">
        <v>18210</v>
      </c>
      <c r="N83" s="297">
        <f t="shared" si="99"/>
        <v>1256490</v>
      </c>
    </row>
    <row r="84" spans="1:17" ht="16">
      <c r="A84" s="59"/>
      <c r="B84" s="60"/>
      <c r="C84" s="59"/>
      <c r="D84" s="59" t="s">
        <v>19</v>
      </c>
      <c r="E84" s="59">
        <f t="shared" ref="E84:F84" si="100">SUM(E79:E83)</f>
        <v>2941</v>
      </c>
      <c r="F84" s="59">
        <f t="shared" si="100"/>
        <v>348</v>
      </c>
      <c r="G84" s="61">
        <f>AVERAGE(G79:G83)</f>
        <v>11.833043932800518</v>
      </c>
      <c r="H84" s="59"/>
      <c r="I84" s="62"/>
      <c r="J84" s="59">
        <f t="shared" ref="J84:K84" si="101">SUM(J79:J83)</f>
        <v>-86102</v>
      </c>
      <c r="K84" s="59">
        <f t="shared" si="101"/>
        <v>348</v>
      </c>
      <c r="L84" s="61" t="e">
        <f>AVERAGE(L79:L83)</f>
        <v>#DIV/0!</v>
      </c>
      <c r="M84" s="64"/>
      <c r="N84" s="299">
        <f>SUM(N79:N83)</f>
        <v>6353680</v>
      </c>
    </row>
    <row r="85" spans="1:17" ht="16">
      <c r="A85" s="66">
        <v>45720</v>
      </c>
      <c r="B85" s="140" t="s">
        <v>27</v>
      </c>
      <c r="C85" s="83"/>
      <c r="D85" s="12"/>
      <c r="E85" s="36">
        <f t="shared" ref="E85:E92" si="102">D85-C85</f>
        <v>0</v>
      </c>
      <c r="F85" s="37">
        <v>65</v>
      </c>
      <c r="G85" s="13" t="e">
        <f t="shared" ref="G85:G92" si="103">(F85/E85)*100</f>
        <v>#DIV/0!</v>
      </c>
      <c r="H85" s="125">
        <v>86102</v>
      </c>
      <c r="I85" s="126"/>
      <c r="J85" s="39">
        <f t="shared" ref="J85:J92" si="104">I85-H85</f>
        <v>-86102</v>
      </c>
      <c r="K85" s="39">
        <f t="shared" ref="K85:K92" si="105">F85</f>
        <v>65</v>
      </c>
      <c r="L85" s="136">
        <f t="shared" ref="L85:L92" si="106">(K85/J85)*100</f>
        <v>-7.549185849341479E-2</v>
      </c>
      <c r="M85" s="68">
        <v>18950</v>
      </c>
      <c r="N85" s="294">
        <f t="shared" ref="N85:N92" si="107">F85*M85</f>
        <v>1231750</v>
      </c>
    </row>
    <row r="86" spans="1:17" ht="16">
      <c r="A86" s="138">
        <v>45726</v>
      </c>
      <c r="B86" s="140" t="s">
        <v>27</v>
      </c>
      <c r="C86" s="83"/>
      <c r="D86" s="83"/>
      <c r="E86" s="11">
        <f t="shared" si="102"/>
        <v>0</v>
      </c>
      <c r="F86" s="141">
        <v>65</v>
      </c>
      <c r="G86" s="13" t="e">
        <f t="shared" si="103"/>
        <v>#DIV/0!</v>
      </c>
      <c r="H86" s="83"/>
      <c r="I86" s="125"/>
      <c r="J86" s="83">
        <f t="shared" si="104"/>
        <v>0</v>
      </c>
      <c r="K86" s="83">
        <f t="shared" si="105"/>
        <v>65</v>
      </c>
      <c r="L86" s="136" t="e">
        <f t="shared" si="106"/>
        <v>#DIV/0!</v>
      </c>
      <c r="M86" s="116">
        <v>18330</v>
      </c>
      <c r="N86" s="321">
        <f t="shared" si="107"/>
        <v>1191450</v>
      </c>
    </row>
    <row r="87" spans="1:17" ht="16">
      <c r="A87" s="138">
        <v>45729</v>
      </c>
      <c r="B87" s="140" t="s">
        <v>27</v>
      </c>
      <c r="C87" s="83"/>
      <c r="D87" s="83"/>
      <c r="E87" s="11">
        <f t="shared" si="102"/>
        <v>0</v>
      </c>
      <c r="F87" s="141">
        <v>65</v>
      </c>
      <c r="G87" s="13" t="e">
        <f t="shared" si="103"/>
        <v>#DIV/0!</v>
      </c>
      <c r="H87" s="83"/>
      <c r="I87" s="125"/>
      <c r="J87" s="83">
        <f t="shared" si="104"/>
        <v>0</v>
      </c>
      <c r="K87" s="83">
        <f t="shared" si="105"/>
        <v>65</v>
      </c>
      <c r="L87" s="136" t="e">
        <f t="shared" si="106"/>
        <v>#DIV/0!</v>
      </c>
      <c r="M87" s="116">
        <v>17890</v>
      </c>
      <c r="N87" s="321">
        <f t="shared" si="107"/>
        <v>1162850</v>
      </c>
    </row>
    <row r="88" spans="1:17" ht="16">
      <c r="A88" s="138">
        <v>45733</v>
      </c>
      <c r="B88" s="140" t="s">
        <v>27</v>
      </c>
      <c r="C88" s="83"/>
      <c r="D88" s="83"/>
      <c r="E88" s="11">
        <f t="shared" si="102"/>
        <v>0</v>
      </c>
      <c r="F88" s="141">
        <v>65</v>
      </c>
      <c r="G88" s="13" t="e">
        <f t="shared" si="103"/>
        <v>#DIV/0!</v>
      </c>
      <c r="H88" s="83"/>
      <c r="I88" s="125"/>
      <c r="J88" s="83">
        <f t="shared" si="104"/>
        <v>0</v>
      </c>
      <c r="K88" s="83">
        <f t="shared" si="105"/>
        <v>65</v>
      </c>
      <c r="L88" s="136" t="e">
        <f t="shared" si="106"/>
        <v>#DIV/0!</v>
      </c>
      <c r="M88" s="116">
        <v>17890</v>
      </c>
      <c r="N88" s="321">
        <f t="shared" si="107"/>
        <v>1162850</v>
      </c>
    </row>
    <row r="89" spans="1:17" ht="16">
      <c r="A89" s="138">
        <v>45737</v>
      </c>
      <c r="B89" s="140" t="s">
        <v>27</v>
      </c>
      <c r="C89" s="83"/>
      <c r="D89" s="83"/>
      <c r="E89" s="11">
        <f t="shared" si="102"/>
        <v>0</v>
      </c>
      <c r="F89" s="141">
        <v>65</v>
      </c>
      <c r="G89" s="13" t="e">
        <f t="shared" si="103"/>
        <v>#DIV/0!</v>
      </c>
      <c r="H89" s="83"/>
      <c r="I89" s="125"/>
      <c r="J89" s="83">
        <f t="shared" si="104"/>
        <v>0</v>
      </c>
      <c r="K89" s="83">
        <f t="shared" si="105"/>
        <v>65</v>
      </c>
      <c r="L89" s="136" t="e">
        <f t="shared" si="106"/>
        <v>#DIV/0!</v>
      </c>
      <c r="M89" s="116">
        <v>17890</v>
      </c>
      <c r="N89" s="321">
        <f t="shared" si="107"/>
        <v>1162850</v>
      </c>
    </row>
    <row r="90" spans="1:17" ht="16">
      <c r="A90" s="138">
        <v>45741</v>
      </c>
      <c r="B90" s="140" t="s">
        <v>27</v>
      </c>
      <c r="C90" s="83"/>
      <c r="D90" s="83"/>
      <c r="E90" s="11">
        <f t="shared" si="102"/>
        <v>0</v>
      </c>
      <c r="F90" s="141">
        <v>65</v>
      </c>
      <c r="G90" s="13" t="e">
        <f t="shared" si="103"/>
        <v>#DIV/0!</v>
      </c>
      <c r="H90" s="83"/>
      <c r="I90" s="125"/>
      <c r="J90" s="83">
        <f t="shared" si="104"/>
        <v>0</v>
      </c>
      <c r="K90" s="83">
        <f t="shared" si="105"/>
        <v>65</v>
      </c>
      <c r="L90" s="136" t="e">
        <f t="shared" si="106"/>
        <v>#DIV/0!</v>
      </c>
      <c r="M90" s="116">
        <v>17890</v>
      </c>
      <c r="N90" s="321">
        <f t="shared" si="107"/>
        <v>1162850</v>
      </c>
    </row>
    <row r="91" spans="1:17" ht="16">
      <c r="A91" s="138">
        <v>45744</v>
      </c>
      <c r="B91" s="140" t="s">
        <v>27</v>
      </c>
      <c r="C91" s="83"/>
      <c r="D91" s="83"/>
      <c r="E91" s="11">
        <f t="shared" si="102"/>
        <v>0</v>
      </c>
      <c r="F91" s="141">
        <v>65</v>
      </c>
      <c r="G91" s="13" t="e">
        <f t="shared" si="103"/>
        <v>#DIV/0!</v>
      </c>
      <c r="H91" s="83"/>
      <c r="I91" s="125"/>
      <c r="J91" s="83">
        <f t="shared" si="104"/>
        <v>0</v>
      </c>
      <c r="K91" s="83">
        <f t="shared" si="105"/>
        <v>65</v>
      </c>
      <c r="L91" s="136" t="e">
        <f t="shared" si="106"/>
        <v>#DIV/0!</v>
      </c>
      <c r="M91" s="116">
        <v>18210</v>
      </c>
      <c r="N91" s="321">
        <f t="shared" si="107"/>
        <v>1183650</v>
      </c>
    </row>
    <row r="92" spans="1:17" ht="16">
      <c r="A92" s="133">
        <v>45747</v>
      </c>
      <c r="B92" s="140" t="s">
        <v>27</v>
      </c>
      <c r="C92" s="134"/>
      <c r="D92" s="134"/>
      <c r="E92" s="24">
        <f t="shared" si="102"/>
        <v>0</v>
      </c>
      <c r="F92" s="143">
        <v>65</v>
      </c>
      <c r="G92" s="54" t="e">
        <f t="shared" si="103"/>
        <v>#DIV/0!</v>
      </c>
      <c r="H92" s="134"/>
      <c r="I92" s="135"/>
      <c r="J92" s="134">
        <f t="shared" si="104"/>
        <v>0</v>
      </c>
      <c r="K92" s="134">
        <f t="shared" si="105"/>
        <v>65</v>
      </c>
      <c r="L92" s="136" t="e">
        <f t="shared" si="106"/>
        <v>#DIV/0!</v>
      </c>
      <c r="M92" s="137">
        <v>18210</v>
      </c>
      <c r="N92" s="335">
        <f t="shared" si="107"/>
        <v>1183650</v>
      </c>
    </row>
    <row r="93" spans="1:17" ht="16">
      <c r="A93" s="59"/>
      <c r="B93" s="60"/>
      <c r="C93" s="59"/>
      <c r="D93" s="59" t="s">
        <v>19</v>
      </c>
      <c r="E93" s="59">
        <f t="shared" ref="E93:F93" si="108">SUM(E85:E92)</f>
        <v>0</v>
      </c>
      <c r="F93" s="59">
        <f t="shared" si="108"/>
        <v>520</v>
      </c>
      <c r="G93" s="61" t="e">
        <f>AVERAGE(G85:G92)</f>
        <v>#DIV/0!</v>
      </c>
      <c r="H93" s="59"/>
      <c r="I93" s="62"/>
      <c r="J93" s="59">
        <f t="shared" ref="J93:K93" si="109">SUM(J85:J92)</f>
        <v>-86102</v>
      </c>
      <c r="K93" s="59">
        <f t="shared" si="109"/>
        <v>520</v>
      </c>
      <c r="L93" s="61" t="e">
        <f>AVERAGE(L85:L92)</f>
        <v>#DIV/0!</v>
      </c>
      <c r="M93" s="64"/>
      <c r="N93" s="322">
        <f>SUM(N85:N92)</f>
        <v>9441900</v>
      </c>
    </row>
    <row r="94" spans="1:17" ht="18">
      <c r="A94" s="354" t="s">
        <v>64</v>
      </c>
      <c r="B94" s="355"/>
      <c r="C94" s="355"/>
      <c r="D94" s="355"/>
      <c r="E94" s="355"/>
      <c r="F94" s="355"/>
      <c r="G94" s="355"/>
      <c r="H94" s="355"/>
      <c r="I94" s="355"/>
      <c r="J94" s="355"/>
      <c r="K94" s="355"/>
      <c r="L94" s="355"/>
      <c r="M94" s="357"/>
      <c r="N94" s="323">
        <f>SUM(N9+N15+N24+N31+N39+N46+N53+N57+N62+N68+N73+N78+N84+N93)</f>
        <v>81608560</v>
      </c>
    </row>
    <row r="95" spans="1:17" ht="13">
      <c r="G95" s="150"/>
      <c r="L95" s="150"/>
    </row>
    <row r="96" spans="1:17" ht="31.5" customHeight="1">
      <c r="D96" s="152" t="s">
        <v>45</v>
      </c>
      <c r="E96" s="153"/>
      <c r="G96" s="150"/>
      <c r="L96" s="150"/>
      <c r="Q96" s="76" t="s">
        <v>95</v>
      </c>
    </row>
    <row r="97" spans="1:14" ht="16">
      <c r="A97" s="220" t="s">
        <v>1</v>
      </c>
      <c r="B97" s="154" t="s">
        <v>2</v>
      </c>
      <c r="C97" s="148" t="s">
        <v>3</v>
      </c>
      <c r="D97" s="148" t="s">
        <v>4</v>
      </c>
      <c r="E97" s="148" t="s">
        <v>5</v>
      </c>
      <c r="F97" s="148" t="s">
        <v>6</v>
      </c>
      <c r="G97" s="155" t="s">
        <v>7</v>
      </c>
      <c r="H97" s="156" t="s">
        <v>8</v>
      </c>
      <c r="I97" s="157" t="s">
        <v>8</v>
      </c>
      <c r="J97" s="148" t="s">
        <v>5</v>
      </c>
      <c r="K97" s="148" t="s">
        <v>6</v>
      </c>
      <c r="L97" s="155" t="s">
        <v>7</v>
      </c>
      <c r="M97" s="148" t="s">
        <v>9</v>
      </c>
      <c r="N97" s="158" t="s">
        <v>10</v>
      </c>
    </row>
    <row r="98" spans="1:14" ht="16">
      <c r="A98" s="66">
        <v>45740</v>
      </c>
      <c r="B98" s="140" t="s">
        <v>46</v>
      </c>
      <c r="C98" s="12">
        <v>384387</v>
      </c>
      <c r="D98" s="12">
        <v>385427</v>
      </c>
      <c r="E98" s="11">
        <f t="shared" ref="E98:E102" si="110">D98-C98</f>
        <v>1040</v>
      </c>
      <c r="F98" s="37">
        <v>335</v>
      </c>
      <c r="G98" s="13">
        <f t="shared" ref="G98:G102" si="111">(F98/E98)*100</f>
        <v>32.211538461538467</v>
      </c>
      <c r="H98" s="83">
        <v>1780</v>
      </c>
      <c r="I98" s="126">
        <v>2671</v>
      </c>
      <c r="J98" s="39">
        <f t="shared" ref="J98:J102" si="112">I98-H98</f>
        <v>891</v>
      </c>
      <c r="K98" s="39">
        <f t="shared" ref="K98:K102" si="113">F98</f>
        <v>335</v>
      </c>
      <c r="L98" s="136">
        <f t="shared" ref="L98:L102" si="114">(K98/J98)*100</f>
        <v>37.59820426487093</v>
      </c>
      <c r="M98" s="68">
        <v>18390</v>
      </c>
      <c r="N98" s="324">
        <v>6000000</v>
      </c>
    </row>
    <row r="99" spans="1:14" ht="16">
      <c r="A99" s="138"/>
      <c r="B99" s="140"/>
      <c r="C99" s="83"/>
      <c r="D99" s="11"/>
      <c r="E99" s="11">
        <f t="shared" si="110"/>
        <v>0</v>
      </c>
      <c r="F99" s="141"/>
      <c r="G99" s="13" t="e">
        <f t="shared" si="111"/>
        <v>#DIV/0!</v>
      </c>
      <c r="H99" s="83"/>
      <c r="I99" s="125"/>
      <c r="J99" s="83">
        <f t="shared" si="112"/>
        <v>0</v>
      </c>
      <c r="K99" s="83">
        <f t="shared" si="113"/>
        <v>0</v>
      </c>
      <c r="L99" s="136" t="e">
        <f t="shared" si="114"/>
        <v>#DIV/0!</v>
      </c>
      <c r="M99" s="116"/>
      <c r="N99" s="329">
        <f t="shared" ref="N99:N102" si="115">F99*M99</f>
        <v>0</v>
      </c>
    </row>
    <row r="100" spans="1:14" ht="16">
      <c r="A100" s="138"/>
      <c r="B100" s="140"/>
      <c r="C100" s="83"/>
      <c r="D100" s="83"/>
      <c r="E100" s="11">
        <f t="shared" si="110"/>
        <v>0</v>
      </c>
      <c r="F100" s="141"/>
      <c r="G100" s="13" t="e">
        <f t="shared" si="111"/>
        <v>#DIV/0!</v>
      </c>
      <c r="H100" s="83"/>
      <c r="I100" s="125"/>
      <c r="J100" s="83">
        <f t="shared" si="112"/>
        <v>0</v>
      </c>
      <c r="K100" s="83">
        <f t="shared" si="113"/>
        <v>0</v>
      </c>
      <c r="L100" s="136" t="e">
        <f t="shared" si="114"/>
        <v>#DIV/0!</v>
      </c>
      <c r="M100" s="116"/>
      <c r="N100" s="201">
        <f t="shared" si="115"/>
        <v>0</v>
      </c>
    </row>
    <row r="101" spans="1:14" ht="16">
      <c r="A101" s="138"/>
      <c r="B101" s="140"/>
      <c r="C101" s="83"/>
      <c r="D101" s="83"/>
      <c r="E101" s="11">
        <f t="shared" si="110"/>
        <v>0</v>
      </c>
      <c r="F101" s="141"/>
      <c r="G101" s="13" t="e">
        <f t="shared" si="111"/>
        <v>#DIV/0!</v>
      </c>
      <c r="H101" s="83"/>
      <c r="I101" s="125"/>
      <c r="J101" s="83">
        <f t="shared" si="112"/>
        <v>0</v>
      </c>
      <c r="K101" s="83">
        <f t="shared" si="113"/>
        <v>0</v>
      </c>
      <c r="L101" s="136" t="e">
        <f t="shared" si="114"/>
        <v>#DIV/0!</v>
      </c>
      <c r="M101" s="116"/>
      <c r="N101" s="201">
        <f t="shared" si="115"/>
        <v>0</v>
      </c>
    </row>
    <row r="102" spans="1:14" ht="16">
      <c r="A102" s="138"/>
      <c r="B102" s="140"/>
      <c r="C102" s="83"/>
      <c r="D102" s="83"/>
      <c r="E102" s="11">
        <f t="shared" si="110"/>
        <v>0</v>
      </c>
      <c r="F102" s="141"/>
      <c r="G102" s="13" t="e">
        <f t="shared" si="111"/>
        <v>#DIV/0!</v>
      </c>
      <c r="H102" s="83"/>
      <c r="I102" s="125"/>
      <c r="J102" s="83">
        <f t="shared" si="112"/>
        <v>0</v>
      </c>
      <c r="K102" s="83">
        <f t="shared" si="113"/>
        <v>0</v>
      </c>
      <c r="L102" s="136" t="e">
        <f t="shared" si="114"/>
        <v>#DIV/0!</v>
      </c>
      <c r="M102" s="116"/>
      <c r="N102" s="201">
        <f t="shared" si="115"/>
        <v>0</v>
      </c>
    </row>
    <row r="103" spans="1:14" ht="16">
      <c r="A103" s="59"/>
      <c r="B103" s="60"/>
      <c r="C103" s="59"/>
      <c r="D103" s="59" t="s">
        <v>19</v>
      </c>
      <c r="E103" s="59">
        <f t="shared" ref="E103:F103" si="116">SUM(E98:E102)</f>
        <v>1040</v>
      </c>
      <c r="F103" s="59">
        <f t="shared" si="116"/>
        <v>335</v>
      </c>
      <c r="G103" s="61" t="e">
        <f>AVERAGE(G98:G102)</f>
        <v>#DIV/0!</v>
      </c>
      <c r="H103" s="59"/>
      <c r="I103" s="62"/>
      <c r="J103" s="59">
        <f t="shared" ref="J103:K103" si="117">SUM(J98:J102)</f>
        <v>891</v>
      </c>
      <c r="K103" s="59">
        <f t="shared" si="117"/>
        <v>335</v>
      </c>
      <c r="L103" s="61" t="e">
        <f>AVERAGE(L98:L102)</f>
        <v>#DIV/0!</v>
      </c>
      <c r="M103" s="64"/>
      <c r="N103" s="325">
        <f>SUM(N98:N102)</f>
        <v>6000000</v>
      </c>
    </row>
    <row r="104" spans="1:14" ht="16">
      <c r="A104" s="66">
        <v>45733</v>
      </c>
      <c r="B104" s="140" t="s">
        <v>48</v>
      </c>
      <c r="C104" s="83">
        <v>448780</v>
      </c>
      <c r="D104" s="12"/>
      <c r="E104" s="36">
        <f t="shared" ref="E104:E108" si="118">D104-C104</f>
        <v>-448780</v>
      </c>
      <c r="F104" s="37"/>
      <c r="G104" s="13">
        <f t="shared" ref="G104:G108" si="119">(F104/E104)*100</f>
        <v>0</v>
      </c>
      <c r="H104" s="83"/>
      <c r="I104" s="126"/>
      <c r="J104" s="39">
        <f t="shared" ref="J104:J108" si="120">I104-H104</f>
        <v>0</v>
      </c>
      <c r="K104" s="39">
        <f t="shared" ref="K104:K108" si="121">F104</f>
        <v>0</v>
      </c>
      <c r="L104" s="136" t="e">
        <f t="shared" ref="L104:L108" si="122">(K104/J104)*100</f>
        <v>#DIV/0!</v>
      </c>
      <c r="M104" s="68"/>
      <c r="N104" s="324">
        <v>5350000</v>
      </c>
    </row>
    <row r="105" spans="1:14" ht="16">
      <c r="A105" s="138"/>
      <c r="B105" s="140"/>
      <c r="C105" s="83"/>
      <c r="D105" s="83"/>
      <c r="E105" s="11">
        <f t="shared" si="118"/>
        <v>0</v>
      </c>
      <c r="F105" s="141"/>
      <c r="G105" s="13" t="e">
        <f t="shared" si="119"/>
        <v>#DIV/0!</v>
      </c>
      <c r="H105" s="83"/>
      <c r="I105" s="125"/>
      <c r="J105" s="83">
        <f t="shared" si="120"/>
        <v>0</v>
      </c>
      <c r="K105" s="83">
        <f t="shared" si="121"/>
        <v>0</v>
      </c>
      <c r="L105" s="136" t="e">
        <f t="shared" si="122"/>
        <v>#DIV/0!</v>
      </c>
      <c r="M105" s="116"/>
      <c r="N105" s="329">
        <f t="shared" ref="N105:N108" si="123">F105*M105</f>
        <v>0</v>
      </c>
    </row>
    <row r="106" spans="1:14" ht="16">
      <c r="A106" s="138"/>
      <c r="B106" s="140"/>
      <c r="C106" s="83"/>
      <c r="D106" s="83"/>
      <c r="E106" s="11">
        <f t="shared" si="118"/>
        <v>0</v>
      </c>
      <c r="F106" s="141"/>
      <c r="G106" s="13" t="e">
        <f t="shared" si="119"/>
        <v>#DIV/0!</v>
      </c>
      <c r="H106" s="83"/>
      <c r="I106" s="125"/>
      <c r="J106" s="83">
        <f t="shared" si="120"/>
        <v>0</v>
      </c>
      <c r="K106" s="83">
        <f t="shared" si="121"/>
        <v>0</v>
      </c>
      <c r="L106" s="136" t="e">
        <f t="shared" si="122"/>
        <v>#DIV/0!</v>
      </c>
      <c r="M106" s="116"/>
      <c r="N106" s="201">
        <f t="shared" si="123"/>
        <v>0</v>
      </c>
    </row>
    <row r="107" spans="1:14" ht="16">
      <c r="A107" s="138"/>
      <c r="B107" s="140"/>
      <c r="C107" s="83"/>
      <c r="D107" s="83"/>
      <c r="E107" s="11">
        <f t="shared" si="118"/>
        <v>0</v>
      </c>
      <c r="F107" s="141"/>
      <c r="G107" s="13" t="e">
        <f t="shared" si="119"/>
        <v>#DIV/0!</v>
      </c>
      <c r="H107" s="83"/>
      <c r="I107" s="125"/>
      <c r="J107" s="83">
        <f t="shared" si="120"/>
        <v>0</v>
      </c>
      <c r="K107" s="83">
        <f t="shared" si="121"/>
        <v>0</v>
      </c>
      <c r="L107" s="136" t="e">
        <f t="shared" si="122"/>
        <v>#DIV/0!</v>
      </c>
      <c r="M107" s="116"/>
      <c r="N107" s="201">
        <f t="shared" si="123"/>
        <v>0</v>
      </c>
    </row>
    <row r="108" spans="1:14" ht="16">
      <c r="A108" s="138"/>
      <c r="B108" s="140"/>
      <c r="C108" s="83"/>
      <c r="D108" s="83"/>
      <c r="E108" s="11">
        <f t="shared" si="118"/>
        <v>0</v>
      </c>
      <c r="F108" s="141"/>
      <c r="G108" s="13" t="e">
        <f t="shared" si="119"/>
        <v>#DIV/0!</v>
      </c>
      <c r="H108" s="83"/>
      <c r="I108" s="125"/>
      <c r="J108" s="83">
        <f t="shared" si="120"/>
        <v>0</v>
      </c>
      <c r="K108" s="83">
        <f t="shared" si="121"/>
        <v>0</v>
      </c>
      <c r="L108" s="136" t="e">
        <f t="shared" si="122"/>
        <v>#DIV/0!</v>
      </c>
      <c r="M108" s="116"/>
      <c r="N108" s="201">
        <f t="shared" si="123"/>
        <v>0</v>
      </c>
    </row>
    <row r="109" spans="1:14" ht="16">
      <c r="A109" s="59"/>
      <c r="B109" s="60"/>
      <c r="C109" s="59"/>
      <c r="D109" s="59" t="s">
        <v>19</v>
      </c>
      <c r="E109" s="59">
        <f t="shared" ref="E109:F109" si="124">SUM(E104:E108)</f>
        <v>-448780</v>
      </c>
      <c r="F109" s="59">
        <f t="shared" si="124"/>
        <v>0</v>
      </c>
      <c r="G109" s="61" t="e">
        <f>AVERAGE(G104:G108)</f>
        <v>#DIV/0!</v>
      </c>
      <c r="H109" s="59"/>
      <c r="I109" s="62"/>
      <c r="J109" s="59">
        <f t="shared" ref="J109:K109" si="125">SUM(J104:J108)</f>
        <v>0</v>
      </c>
      <c r="K109" s="59">
        <f t="shared" si="125"/>
        <v>0</v>
      </c>
      <c r="L109" s="61" t="e">
        <f>AVERAGE(L104:L108)</f>
        <v>#DIV/0!</v>
      </c>
      <c r="M109" s="64"/>
      <c r="N109" s="325">
        <f>SUM(N104:N108)</f>
        <v>5350000</v>
      </c>
    </row>
    <row r="110" spans="1:14" ht="16">
      <c r="A110" s="66">
        <v>45734</v>
      </c>
      <c r="B110" s="140" t="s">
        <v>49</v>
      </c>
      <c r="C110" s="83"/>
      <c r="D110" s="12"/>
      <c r="E110" s="36">
        <f t="shared" ref="E110:E114" si="126">D110-C110</f>
        <v>0</v>
      </c>
      <c r="F110" s="37"/>
      <c r="G110" s="13" t="e">
        <f t="shared" ref="G110:G114" si="127">(F110/E110)*100</f>
        <v>#DIV/0!</v>
      </c>
      <c r="H110" s="83"/>
      <c r="I110" s="126"/>
      <c r="J110" s="39">
        <f t="shared" ref="J110:J114" si="128">I110-H110</f>
        <v>0</v>
      </c>
      <c r="K110" s="39">
        <f t="shared" ref="K110:K114" si="129">F110</f>
        <v>0</v>
      </c>
      <c r="L110" s="136" t="e">
        <f t="shared" ref="L110:L114" si="130">(K110/J110)*100</f>
        <v>#DIV/0!</v>
      </c>
      <c r="M110" s="68"/>
      <c r="N110" s="324">
        <v>4400000</v>
      </c>
    </row>
    <row r="111" spans="1:14" ht="16">
      <c r="A111" s="138"/>
      <c r="B111" s="140"/>
      <c r="C111" s="83"/>
      <c r="D111" s="83"/>
      <c r="E111" s="11">
        <f t="shared" si="126"/>
        <v>0</v>
      </c>
      <c r="F111" s="141"/>
      <c r="G111" s="13" t="e">
        <f t="shared" si="127"/>
        <v>#DIV/0!</v>
      </c>
      <c r="H111" s="83"/>
      <c r="I111" s="125"/>
      <c r="J111" s="83">
        <f t="shared" si="128"/>
        <v>0</v>
      </c>
      <c r="K111" s="83">
        <f t="shared" si="129"/>
        <v>0</v>
      </c>
      <c r="L111" s="136" t="e">
        <f t="shared" si="130"/>
        <v>#DIV/0!</v>
      </c>
      <c r="M111" s="116"/>
      <c r="N111" s="329">
        <f t="shared" ref="N111:N114" si="131">F111*M111</f>
        <v>0</v>
      </c>
    </row>
    <row r="112" spans="1:14" ht="16">
      <c r="A112" s="138"/>
      <c r="B112" s="140"/>
      <c r="C112" s="83"/>
      <c r="D112" s="83"/>
      <c r="E112" s="11">
        <f t="shared" si="126"/>
        <v>0</v>
      </c>
      <c r="F112" s="141"/>
      <c r="G112" s="13" t="e">
        <f t="shared" si="127"/>
        <v>#DIV/0!</v>
      </c>
      <c r="H112" s="83"/>
      <c r="I112" s="125"/>
      <c r="J112" s="83">
        <f t="shared" si="128"/>
        <v>0</v>
      </c>
      <c r="K112" s="83">
        <f t="shared" si="129"/>
        <v>0</v>
      </c>
      <c r="L112" s="136" t="e">
        <f t="shared" si="130"/>
        <v>#DIV/0!</v>
      </c>
      <c r="M112" s="116"/>
      <c r="N112" s="201">
        <f t="shared" si="131"/>
        <v>0</v>
      </c>
    </row>
    <row r="113" spans="1:14" ht="16">
      <c r="A113" s="138"/>
      <c r="B113" s="140"/>
      <c r="C113" s="83"/>
      <c r="D113" s="83"/>
      <c r="E113" s="11">
        <f t="shared" si="126"/>
        <v>0</v>
      </c>
      <c r="F113" s="141"/>
      <c r="G113" s="13" t="e">
        <f t="shared" si="127"/>
        <v>#DIV/0!</v>
      </c>
      <c r="H113" s="83"/>
      <c r="I113" s="125"/>
      <c r="J113" s="83">
        <f t="shared" si="128"/>
        <v>0</v>
      </c>
      <c r="K113" s="83">
        <f t="shared" si="129"/>
        <v>0</v>
      </c>
      <c r="L113" s="136" t="e">
        <f t="shared" si="130"/>
        <v>#DIV/0!</v>
      </c>
      <c r="M113" s="116"/>
      <c r="N113" s="201">
        <f t="shared" si="131"/>
        <v>0</v>
      </c>
    </row>
    <row r="114" spans="1:14" ht="16">
      <c r="A114" s="138"/>
      <c r="B114" s="140"/>
      <c r="C114" s="83"/>
      <c r="D114" s="83"/>
      <c r="E114" s="11">
        <f t="shared" si="126"/>
        <v>0</v>
      </c>
      <c r="F114" s="141"/>
      <c r="G114" s="13" t="e">
        <f t="shared" si="127"/>
        <v>#DIV/0!</v>
      </c>
      <c r="H114" s="83"/>
      <c r="I114" s="125"/>
      <c r="J114" s="83">
        <f t="shared" si="128"/>
        <v>0</v>
      </c>
      <c r="K114" s="83">
        <f t="shared" si="129"/>
        <v>0</v>
      </c>
      <c r="L114" s="136" t="e">
        <f t="shared" si="130"/>
        <v>#DIV/0!</v>
      </c>
      <c r="M114" s="116"/>
      <c r="N114" s="201">
        <f t="shared" si="131"/>
        <v>0</v>
      </c>
    </row>
    <row r="115" spans="1:14" ht="16">
      <c r="A115" s="59"/>
      <c r="B115" s="60"/>
      <c r="C115" s="59"/>
      <c r="D115" s="59" t="s">
        <v>19</v>
      </c>
      <c r="E115" s="59">
        <f t="shared" ref="E115:F115" si="132">SUM(E110:E114)</f>
        <v>0</v>
      </c>
      <c r="F115" s="59">
        <f t="shared" si="132"/>
        <v>0</v>
      </c>
      <c r="G115" s="61" t="e">
        <f>AVERAGE(G110:G114)</f>
        <v>#DIV/0!</v>
      </c>
      <c r="H115" s="59"/>
      <c r="I115" s="62"/>
      <c r="J115" s="59">
        <f t="shared" ref="J115:K115" si="133">SUM(J110:J114)</f>
        <v>0</v>
      </c>
      <c r="K115" s="59">
        <f t="shared" si="133"/>
        <v>0</v>
      </c>
      <c r="L115" s="61" t="e">
        <f>AVERAGE(L110:L114)</f>
        <v>#DIV/0!</v>
      </c>
      <c r="M115" s="64"/>
      <c r="N115" s="325">
        <f>SUM(N110:N114)</f>
        <v>4400000</v>
      </c>
    </row>
    <row r="116" spans="1:14" ht="16">
      <c r="A116" s="66">
        <v>45722</v>
      </c>
      <c r="B116" s="140" t="s">
        <v>50</v>
      </c>
      <c r="C116" s="83"/>
      <c r="D116" s="12">
        <v>345060</v>
      </c>
      <c r="E116" s="36">
        <f t="shared" ref="E116:E120" si="134">D116-C116</f>
        <v>345060</v>
      </c>
      <c r="F116" s="37"/>
      <c r="G116" s="13">
        <f t="shared" ref="G116:G120" si="135">(F116/E116)*100</f>
        <v>0</v>
      </c>
      <c r="H116" s="83"/>
      <c r="I116" s="126"/>
      <c r="J116" s="39">
        <f t="shared" ref="J116:J120" si="136">I116-H116</f>
        <v>0</v>
      </c>
      <c r="K116" s="39">
        <f t="shared" ref="K116:K120" si="137">F116</f>
        <v>0</v>
      </c>
      <c r="L116" s="136" t="e">
        <f t="shared" ref="L116:L120" si="138">(K116/J116)*100</f>
        <v>#DIV/0!</v>
      </c>
      <c r="M116" s="68"/>
      <c r="N116" s="324">
        <v>4000000</v>
      </c>
    </row>
    <row r="117" spans="1:14" ht="16">
      <c r="A117" s="138">
        <v>45737</v>
      </c>
      <c r="B117" s="140" t="s">
        <v>50</v>
      </c>
      <c r="C117" s="83"/>
      <c r="D117" s="83"/>
      <c r="E117" s="11">
        <f t="shared" si="134"/>
        <v>0</v>
      </c>
      <c r="F117" s="141"/>
      <c r="G117" s="13" t="e">
        <f t="shared" si="135"/>
        <v>#DIV/0!</v>
      </c>
      <c r="H117" s="83"/>
      <c r="I117" s="125"/>
      <c r="J117" s="83">
        <f t="shared" si="136"/>
        <v>0</v>
      </c>
      <c r="K117" s="83">
        <f t="shared" si="137"/>
        <v>0</v>
      </c>
      <c r="L117" s="136" t="e">
        <f t="shared" si="138"/>
        <v>#DIV/0!</v>
      </c>
      <c r="M117" s="116"/>
      <c r="N117" s="324">
        <v>4000000</v>
      </c>
    </row>
    <row r="118" spans="1:14" ht="16">
      <c r="A118" s="138"/>
      <c r="B118" s="140" t="s">
        <v>50</v>
      </c>
      <c r="C118" s="83"/>
      <c r="D118" s="83"/>
      <c r="E118" s="11">
        <f t="shared" si="134"/>
        <v>0</v>
      </c>
      <c r="F118" s="141"/>
      <c r="G118" s="13" t="e">
        <f t="shared" si="135"/>
        <v>#DIV/0!</v>
      </c>
      <c r="H118" s="83"/>
      <c r="I118" s="125"/>
      <c r="J118" s="83">
        <f t="shared" si="136"/>
        <v>0</v>
      </c>
      <c r="K118" s="83">
        <f t="shared" si="137"/>
        <v>0</v>
      </c>
      <c r="L118" s="136" t="e">
        <f t="shared" si="138"/>
        <v>#DIV/0!</v>
      </c>
      <c r="M118" s="116"/>
      <c r="N118" s="201">
        <f t="shared" ref="N118:N120" si="139">F118*M118</f>
        <v>0</v>
      </c>
    </row>
    <row r="119" spans="1:14" ht="16">
      <c r="A119" s="138"/>
      <c r="B119" s="140" t="s">
        <v>50</v>
      </c>
      <c r="C119" s="83"/>
      <c r="D119" s="83"/>
      <c r="E119" s="11">
        <f t="shared" si="134"/>
        <v>0</v>
      </c>
      <c r="F119" s="141"/>
      <c r="G119" s="13" t="e">
        <f t="shared" si="135"/>
        <v>#DIV/0!</v>
      </c>
      <c r="H119" s="83"/>
      <c r="I119" s="125"/>
      <c r="J119" s="83">
        <f t="shared" si="136"/>
        <v>0</v>
      </c>
      <c r="K119" s="83">
        <f t="shared" si="137"/>
        <v>0</v>
      </c>
      <c r="L119" s="136" t="e">
        <f t="shared" si="138"/>
        <v>#DIV/0!</v>
      </c>
      <c r="M119" s="116"/>
      <c r="N119" s="201">
        <f t="shared" si="139"/>
        <v>0</v>
      </c>
    </row>
    <row r="120" spans="1:14" ht="16">
      <c r="A120" s="138"/>
      <c r="B120" s="140" t="s">
        <v>50</v>
      </c>
      <c r="C120" s="83"/>
      <c r="D120" s="83"/>
      <c r="E120" s="11">
        <f t="shared" si="134"/>
        <v>0</v>
      </c>
      <c r="F120" s="141"/>
      <c r="G120" s="13" t="e">
        <f t="shared" si="135"/>
        <v>#DIV/0!</v>
      </c>
      <c r="H120" s="83"/>
      <c r="I120" s="125"/>
      <c r="J120" s="83">
        <f t="shared" si="136"/>
        <v>0</v>
      </c>
      <c r="K120" s="83">
        <f t="shared" si="137"/>
        <v>0</v>
      </c>
      <c r="L120" s="136" t="e">
        <f t="shared" si="138"/>
        <v>#DIV/0!</v>
      </c>
      <c r="M120" s="116"/>
      <c r="N120" s="201">
        <f t="shared" si="139"/>
        <v>0</v>
      </c>
    </row>
    <row r="121" spans="1:14" ht="16">
      <c r="A121" s="59"/>
      <c r="B121" s="60"/>
      <c r="C121" s="59"/>
      <c r="D121" s="59" t="s">
        <v>19</v>
      </c>
      <c r="E121" s="59">
        <f t="shared" ref="E121:F121" si="140">SUM(E116:E120)</f>
        <v>345060</v>
      </c>
      <c r="F121" s="59">
        <f t="shared" si="140"/>
        <v>0</v>
      </c>
      <c r="G121" s="61" t="e">
        <f>AVERAGE(G116:G120)</f>
        <v>#DIV/0!</v>
      </c>
      <c r="H121" s="59"/>
      <c r="I121" s="62"/>
      <c r="J121" s="59">
        <f t="shared" ref="J121:K121" si="141">SUM(J116:J120)</f>
        <v>0</v>
      </c>
      <c r="K121" s="59">
        <f t="shared" si="141"/>
        <v>0</v>
      </c>
      <c r="L121" s="61" t="e">
        <f>AVERAGE(L116:L120)</f>
        <v>#DIV/0!</v>
      </c>
      <c r="M121" s="64"/>
      <c r="N121" s="325">
        <f>SUM(N116:N120)</f>
        <v>8000000</v>
      </c>
    </row>
    <row r="122" spans="1:14" ht="16">
      <c r="A122" s="66">
        <v>45733</v>
      </c>
      <c r="B122" s="140" t="s">
        <v>101</v>
      </c>
      <c r="C122" s="83">
        <v>295530</v>
      </c>
      <c r="D122" s="12"/>
      <c r="E122" s="36">
        <f t="shared" ref="E122:E126" si="142">D122-C122</f>
        <v>-295530</v>
      </c>
      <c r="F122" s="37"/>
      <c r="G122" s="13">
        <f t="shared" ref="G122:G126" si="143">(F122/E122)*100</f>
        <v>0</v>
      </c>
      <c r="H122" s="83"/>
      <c r="I122" s="126"/>
      <c r="J122" s="39">
        <f t="shared" ref="J122:J126" si="144">I122-H122</f>
        <v>0</v>
      </c>
      <c r="K122" s="39">
        <f t="shared" ref="K122:K126" si="145">F122</f>
        <v>0</v>
      </c>
      <c r="L122" s="136" t="e">
        <f t="shared" ref="L122:L126" si="146">(K122/J122)*100</f>
        <v>#DIV/0!</v>
      </c>
      <c r="M122" s="68"/>
      <c r="N122" s="324">
        <v>2700000</v>
      </c>
    </row>
    <row r="123" spans="1:14" ht="16">
      <c r="A123" s="138">
        <v>45744</v>
      </c>
      <c r="B123" s="140" t="s">
        <v>51</v>
      </c>
      <c r="C123" s="83"/>
      <c r="D123" s="83"/>
      <c r="E123" s="11">
        <f t="shared" si="142"/>
        <v>0</v>
      </c>
      <c r="F123" s="141"/>
      <c r="G123" s="13" t="e">
        <f t="shared" si="143"/>
        <v>#DIV/0!</v>
      </c>
      <c r="H123" s="83"/>
      <c r="I123" s="125"/>
      <c r="J123" s="83">
        <f t="shared" si="144"/>
        <v>0</v>
      </c>
      <c r="K123" s="83">
        <f t="shared" si="145"/>
        <v>0</v>
      </c>
      <c r="L123" s="136" t="e">
        <f t="shared" si="146"/>
        <v>#DIV/0!</v>
      </c>
      <c r="M123" s="116"/>
      <c r="N123" s="329">
        <v>1000000</v>
      </c>
    </row>
    <row r="124" spans="1:14" ht="16">
      <c r="A124" s="138"/>
      <c r="B124" s="140"/>
      <c r="C124" s="83"/>
      <c r="D124" s="83"/>
      <c r="E124" s="11">
        <f t="shared" si="142"/>
        <v>0</v>
      </c>
      <c r="F124" s="141"/>
      <c r="G124" s="13" t="e">
        <f t="shared" si="143"/>
        <v>#DIV/0!</v>
      </c>
      <c r="H124" s="83"/>
      <c r="I124" s="125"/>
      <c r="J124" s="83">
        <f t="shared" si="144"/>
        <v>0</v>
      </c>
      <c r="K124" s="83">
        <f t="shared" si="145"/>
        <v>0</v>
      </c>
      <c r="L124" s="136" t="e">
        <f t="shared" si="146"/>
        <v>#DIV/0!</v>
      </c>
      <c r="M124" s="116"/>
      <c r="N124" s="201">
        <f t="shared" ref="N124:N126" si="147">F124*M124</f>
        <v>0</v>
      </c>
    </row>
    <row r="125" spans="1:14" ht="16">
      <c r="A125" s="138"/>
      <c r="B125" s="140"/>
      <c r="C125" s="83"/>
      <c r="D125" s="83"/>
      <c r="E125" s="11">
        <f t="shared" si="142"/>
        <v>0</v>
      </c>
      <c r="F125" s="141"/>
      <c r="G125" s="13" t="e">
        <f t="shared" si="143"/>
        <v>#DIV/0!</v>
      </c>
      <c r="H125" s="83"/>
      <c r="I125" s="125"/>
      <c r="J125" s="83">
        <f t="shared" si="144"/>
        <v>0</v>
      </c>
      <c r="K125" s="83">
        <f t="shared" si="145"/>
        <v>0</v>
      </c>
      <c r="L125" s="136" t="e">
        <f t="shared" si="146"/>
        <v>#DIV/0!</v>
      </c>
      <c r="M125" s="116"/>
      <c r="N125" s="201">
        <f t="shared" si="147"/>
        <v>0</v>
      </c>
    </row>
    <row r="126" spans="1:14" ht="16">
      <c r="A126" s="138"/>
      <c r="B126" s="140"/>
      <c r="C126" s="83"/>
      <c r="D126" s="83"/>
      <c r="E126" s="11">
        <f t="shared" si="142"/>
        <v>0</v>
      </c>
      <c r="F126" s="141"/>
      <c r="G126" s="13" t="e">
        <f t="shared" si="143"/>
        <v>#DIV/0!</v>
      </c>
      <c r="H126" s="83"/>
      <c r="I126" s="125"/>
      <c r="J126" s="83">
        <f t="shared" si="144"/>
        <v>0</v>
      </c>
      <c r="K126" s="83">
        <f t="shared" si="145"/>
        <v>0</v>
      </c>
      <c r="L126" s="136" t="e">
        <f t="shared" si="146"/>
        <v>#DIV/0!</v>
      </c>
      <c r="M126" s="116"/>
      <c r="N126" s="201">
        <f t="shared" si="147"/>
        <v>0</v>
      </c>
    </row>
    <row r="127" spans="1:14" ht="16">
      <c r="A127" s="59"/>
      <c r="B127" s="60"/>
      <c r="C127" s="59"/>
      <c r="D127" s="59" t="s">
        <v>19</v>
      </c>
      <c r="E127" s="59">
        <f t="shared" ref="E127:F127" si="148">SUM(E122:E126)</f>
        <v>-295530</v>
      </c>
      <c r="F127" s="59">
        <f t="shared" si="148"/>
        <v>0</v>
      </c>
      <c r="G127" s="61" t="e">
        <f>AVERAGE(G122:G126)</f>
        <v>#DIV/0!</v>
      </c>
      <c r="H127" s="59"/>
      <c r="I127" s="62"/>
      <c r="J127" s="59">
        <f t="shared" ref="J127:K127" si="149">SUM(J122:J126)</f>
        <v>0</v>
      </c>
      <c r="K127" s="59">
        <f t="shared" si="149"/>
        <v>0</v>
      </c>
      <c r="L127" s="61" t="e">
        <f>AVERAGE(L122:L126)</f>
        <v>#DIV/0!</v>
      </c>
      <c r="M127" s="64"/>
      <c r="N127" s="325">
        <f>SUM(N122:N126)</f>
        <v>3700000</v>
      </c>
    </row>
    <row r="128" spans="1:14" ht="16">
      <c r="A128" s="66">
        <v>45719</v>
      </c>
      <c r="B128" s="140" t="s">
        <v>90</v>
      </c>
      <c r="C128" s="83"/>
      <c r="D128" s="12"/>
      <c r="E128" s="36">
        <f t="shared" ref="E128:E132" si="150">D128-C128</f>
        <v>0</v>
      </c>
      <c r="F128" s="37"/>
      <c r="G128" s="13" t="e">
        <f t="shared" ref="G128:G132" si="151">(F128/E128)*100</f>
        <v>#DIV/0!</v>
      </c>
      <c r="H128" s="83"/>
      <c r="I128" s="126"/>
      <c r="J128" s="39">
        <f t="shared" ref="J128:J132" si="152">I128-H128</f>
        <v>0</v>
      </c>
      <c r="K128" s="39">
        <f t="shared" ref="K128:K132" si="153">F128</f>
        <v>0</v>
      </c>
      <c r="L128" s="136" t="e">
        <f t="shared" ref="L128:L132" si="154">(K128/J128)*100</f>
        <v>#DIV/0!</v>
      </c>
      <c r="M128" s="68"/>
      <c r="N128" s="294">
        <v>8000000</v>
      </c>
    </row>
    <row r="129" spans="1:14" ht="16">
      <c r="A129" s="138">
        <v>45731</v>
      </c>
      <c r="B129" s="140" t="s">
        <v>90</v>
      </c>
      <c r="C129" s="83"/>
      <c r="D129" s="83"/>
      <c r="E129" s="11">
        <f t="shared" si="150"/>
        <v>0</v>
      </c>
      <c r="F129" s="141"/>
      <c r="G129" s="13" t="e">
        <f t="shared" si="151"/>
        <v>#DIV/0!</v>
      </c>
      <c r="H129" s="83"/>
      <c r="I129" s="125"/>
      <c r="J129" s="83">
        <f t="shared" si="152"/>
        <v>0</v>
      </c>
      <c r="K129" s="83">
        <f t="shared" si="153"/>
        <v>0</v>
      </c>
      <c r="L129" s="136" t="e">
        <f t="shared" si="154"/>
        <v>#DIV/0!</v>
      </c>
      <c r="M129" s="116"/>
      <c r="N129" s="329">
        <v>6000000</v>
      </c>
    </row>
    <row r="130" spans="1:14" ht="16">
      <c r="A130" s="138">
        <v>45742</v>
      </c>
      <c r="B130" s="140" t="s">
        <v>90</v>
      </c>
      <c r="C130" s="83"/>
      <c r="D130" s="83"/>
      <c r="E130" s="11">
        <f t="shared" si="150"/>
        <v>0</v>
      </c>
      <c r="F130" s="141"/>
      <c r="G130" s="13" t="e">
        <f t="shared" si="151"/>
        <v>#DIV/0!</v>
      </c>
      <c r="H130" s="83"/>
      <c r="I130" s="125"/>
      <c r="J130" s="83">
        <f t="shared" si="152"/>
        <v>0</v>
      </c>
      <c r="K130" s="83">
        <f t="shared" si="153"/>
        <v>0</v>
      </c>
      <c r="L130" s="136" t="e">
        <f t="shared" si="154"/>
        <v>#DIV/0!</v>
      </c>
      <c r="M130" s="116"/>
      <c r="N130" s="201">
        <v>3000000</v>
      </c>
    </row>
    <row r="131" spans="1:14" ht="16">
      <c r="A131" s="138"/>
      <c r="B131" s="140" t="s">
        <v>90</v>
      </c>
      <c r="C131" s="83"/>
      <c r="D131" s="83"/>
      <c r="E131" s="11">
        <f t="shared" si="150"/>
        <v>0</v>
      </c>
      <c r="F131" s="141"/>
      <c r="G131" s="13" t="e">
        <f t="shared" si="151"/>
        <v>#DIV/0!</v>
      </c>
      <c r="H131" s="83"/>
      <c r="I131" s="125"/>
      <c r="J131" s="83">
        <f t="shared" si="152"/>
        <v>0</v>
      </c>
      <c r="K131" s="83">
        <f t="shared" si="153"/>
        <v>0</v>
      </c>
      <c r="L131" s="136" t="e">
        <f t="shared" si="154"/>
        <v>#DIV/0!</v>
      </c>
      <c r="M131" s="116"/>
      <c r="N131" s="201">
        <f t="shared" ref="N131:N132" si="155">F131*M131</f>
        <v>0</v>
      </c>
    </row>
    <row r="132" spans="1:14" ht="16">
      <c r="A132" s="138"/>
      <c r="B132" s="140"/>
      <c r="C132" s="83"/>
      <c r="D132" s="83"/>
      <c r="E132" s="11">
        <f t="shared" si="150"/>
        <v>0</v>
      </c>
      <c r="F132" s="141"/>
      <c r="G132" s="13" t="e">
        <f t="shared" si="151"/>
        <v>#DIV/0!</v>
      </c>
      <c r="H132" s="83"/>
      <c r="I132" s="125"/>
      <c r="J132" s="83">
        <f t="shared" si="152"/>
        <v>0</v>
      </c>
      <c r="K132" s="83">
        <f t="shared" si="153"/>
        <v>0</v>
      </c>
      <c r="L132" s="136" t="e">
        <f t="shared" si="154"/>
        <v>#DIV/0!</v>
      </c>
      <c r="M132" s="116"/>
      <c r="N132" s="201">
        <f t="shared" si="155"/>
        <v>0</v>
      </c>
    </row>
    <row r="133" spans="1:14" ht="16">
      <c r="A133" s="59"/>
      <c r="B133" s="60"/>
      <c r="C133" s="59"/>
      <c r="D133" s="59"/>
      <c r="E133" s="59">
        <f t="shared" ref="E133:F133" si="156">SUM(E128:E132)</f>
        <v>0</v>
      </c>
      <c r="F133" s="59">
        <f t="shared" si="156"/>
        <v>0</v>
      </c>
      <c r="G133" s="61" t="e">
        <f>AVERAGE(G128:G132)</f>
        <v>#DIV/0!</v>
      </c>
      <c r="H133" s="59"/>
      <c r="I133" s="62"/>
      <c r="J133" s="59">
        <f t="shared" ref="J133:K133" si="157">SUM(J128:J132)</f>
        <v>0</v>
      </c>
      <c r="K133" s="59">
        <f t="shared" si="157"/>
        <v>0</v>
      </c>
      <c r="L133" s="61" t="e">
        <f>AVERAGE(L128:L132)</f>
        <v>#DIV/0!</v>
      </c>
      <c r="M133" s="64"/>
      <c r="N133" s="325">
        <f>SUM(N128:N132)</f>
        <v>17000000</v>
      </c>
    </row>
    <row r="134" spans="1:14" ht="16">
      <c r="A134" s="66">
        <v>45719</v>
      </c>
      <c r="B134" s="140" t="s">
        <v>54</v>
      </c>
      <c r="C134" s="83"/>
      <c r="D134" s="12"/>
      <c r="E134" s="36">
        <f t="shared" ref="E134:E141" si="158">D134-C134</f>
        <v>0</v>
      </c>
      <c r="F134" s="37"/>
      <c r="G134" s="13" t="e">
        <f t="shared" ref="G134:G141" si="159">(F134/E134)*100</f>
        <v>#DIV/0!</v>
      </c>
      <c r="H134" s="83"/>
      <c r="I134" s="126"/>
      <c r="J134" s="39">
        <f t="shared" ref="J134:J141" si="160">I134-H134</f>
        <v>0</v>
      </c>
      <c r="K134" s="39">
        <f t="shared" ref="K134:K141" si="161">F134</f>
        <v>0</v>
      </c>
      <c r="L134" s="136" t="e">
        <f t="shared" ref="L134:L141" si="162">(K134/J134)*100</f>
        <v>#DIV/0!</v>
      </c>
      <c r="M134" s="68"/>
      <c r="N134" s="324">
        <v>5000000</v>
      </c>
    </row>
    <row r="135" spans="1:14" ht="16">
      <c r="A135" s="138">
        <v>45729</v>
      </c>
      <c r="B135" s="140" t="s">
        <v>54</v>
      </c>
      <c r="C135" s="83"/>
      <c r="D135" s="83"/>
      <c r="E135" s="11">
        <f t="shared" si="158"/>
        <v>0</v>
      </c>
      <c r="F135" s="141"/>
      <c r="G135" s="13" t="e">
        <f t="shared" si="159"/>
        <v>#DIV/0!</v>
      </c>
      <c r="H135" s="83"/>
      <c r="I135" s="125"/>
      <c r="J135" s="83">
        <f t="shared" si="160"/>
        <v>0</v>
      </c>
      <c r="K135" s="83">
        <f t="shared" si="161"/>
        <v>0</v>
      </c>
      <c r="L135" s="136" t="e">
        <f t="shared" si="162"/>
        <v>#DIV/0!</v>
      </c>
      <c r="M135" s="116"/>
      <c r="N135" s="329">
        <v>3000000</v>
      </c>
    </row>
    <row r="136" spans="1:14" ht="16">
      <c r="A136" s="138">
        <v>45733</v>
      </c>
      <c r="B136" s="140" t="s">
        <v>54</v>
      </c>
      <c r="C136" s="83"/>
      <c r="D136" s="83"/>
      <c r="E136" s="11">
        <f t="shared" si="158"/>
        <v>0</v>
      </c>
      <c r="F136" s="141"/>
      <c r="G136" s="13" t="e">
        <f t="shared" si="159"/>
        <v>#DIV/0!</v>
      </c>
      <c r="H136" s="83"/>
      <c r="I136" s="125"/>
      <c r="J136" s="83">
        <f t="shared" si="160"/>
        <v>0</v>
      </c>
      <c r="K136" s="83">
        <f t="shared" si="161"/>
        <v>0</v>
      </c>
      <c r="L136" s="136" t="e">
        <f t="shared" si="162"/>
        <v>#DIV/0!</v>
      </c>
      <c r="M136" s="116"/>
      <c r="N136" s="201">
        <v>5000000</v>
      </c>
    </row>
    <row r="137" spans="1:14" ht="16">
      <c r="A137" s="138">
        <v>45736</v>
      </c>
      <c r="B137" s="140" t="s">
        <v>54</v>
      </c>
      <c r="C137" s="83"/>
      <c r="D137" s="83"/>
      <c r="E137" s="11">
        <f t="shared" si="158"/>
        <v>0</v>
      </c>
      <c r="F137" s="141"/>
      <c r="G137" s="13" t="e">
        <f t="shared" si="159"/>
        <v>#DIV/0!</v>
      </c>
      <c r="H137" s="83"/>
      <c r="I137" s="125"/>
      <c r="J137" s="83">
        <f t="shared" si="160"/>
        <v>0</v>
      </c>
      <c r="K137" s="83">
        <f t="shared" si="161"/>
        <v>0</v>
      </c>
      <c r="L137" s="136" t="e">
        <f t="shared" si="162"/>
        <v>#DIV/0!</v>
      </c>
      <c r="M137" s="116"/>
      <c r="N137" s="201">
        <v>5000000</v>
      </c>
    </row>
    <row r="138" spans="1:14" ht="16">
      <c r="A138" s="138">
        <v>45740</v>
      </c>
      <c r="B138" s="140" t="s">
        <v>54</v>
      </c>
      <c r="C138" s="83"/>
      <c r="D138" s="83"/>
      <c r="E138" s="11">
        <f t="shared" si="158"/>
        <v>0</v>
      </c>
      <c r="F138" s="141"/>
      <c r="G138" s="13" t="e">
        <f t="shared" si="159"/>
        <v>#DIV/0!</v>
      </c>
      <c r="H138" s="83"/>
      <c r="I138" s="125"/>
      <c r="J138" s="83">
        <f t="shared" si="160"/>
        <v>0</v>
      </c>
      <c r="K138" s="83">
        <f t="shared" si="161"/>
        <v>0</v>
      </c>
      <c r="L138" s="136" t="e">
        <f t="shared" si="162"/>
        <v>#DIV/0!</v>
      </c>
      <c r="M138" s="116"/>
      <c r="N138" s="201">
        <v>3000000</v>
      </c>
    </row>
    <row r="139" spans="1:14" ht="16">
      <c r="A139" s="138">
        <v>45742</v>
      </c>
      <c r="B139" s="140" t="s">
        <v>54</v>
      </c>
      <c r="C139" s="83"/>
      <c r="D139" s="83"/>
      <c r="E139" s="11">
        <f t="shared" si="158"/>
        <v>0</v>
      </c>
      <c r="F139" s="141"/>
      <c r="G139" s="13" t="e">
        <f t="shared" si="159"/>
        <v>#DIV/0!</v>
      </c>
      <c r="H139" s="83"/>
      <c r="I139" s="125"/>
      <c r="J139" s="83">
        <f t="shared" si="160"/>
        <v>0</v>
      </c>
      <c r="K139" s="83">
        <f t="shared" si="161"/>
        <v>0</v>
      </c>
      <c r="L139" s="136" t="e">
        <f t="shared" si="162"/>
        <v>#DIV/0!</v>
      </c>
      <c r="M139" s="116"/>
      <c r="N139" s="201">
        <v>5000000</v>
      </c>
    </row>
    <row r="140" spans="1:14" ht="16">
      <c r="A140" s="138">
        <v>45745</v>
      </c>
      <c r="B140" s="140" t="s">
        <v>54</v>
      </c>
      <c r="C140" s="83"/>
      <c r="D140" s="83"/>
      <c r="E140" s="11">
        <f t="shared" si="158"/>
        <v>0</v>
      </c>
      <c r="F140" s="141"/>
      <c r="G140" s="13" t="e">
        <f t="shared" si="159"/>
        <v>#DIV/0!</v>
      </c>
      <c r="H140" s="83"/>
      <c r="I140" s="125"/>
      <c r="J140" s="83">
        <f t="shared" si="160"/>
        <v>0</v>
      </c>
      <c r="K140" s="83">
        <f t="shared" si="161"/>
        <v>0</v>
      </c>
      <c r="L140" s="136" t="e">
        <f t="shared" si="162"/>
        <v>#DIV/0!</v>
      </c>
      <c r="M140" s="116"/>
      <c r="N140" s="201">
        <v>5000000</v>
      </c>
    </row>
    <row r="141" spans="1:14" ht="16">
      <c r="A141" s="138"/>
      <c r="B141" s="140" t="s">
        <v>54</v>
      </c>
      <c r="C141" s="83"/>
      <c r="D141" s="83"/>
      <c r="E141" s="11">
        <f t="shared" si="158"/>
        <v>0</v>
      </c>
      <c r="F141" s="141"/>
      <c r="G141" s="13" t="e">
        <f t="shared" si="159"/>
        <v>#DIV/0!</v>
      </c>
      <c r="H141" s="83"/>
      <c r="I141" s="125"/>
      <c r="J141" s="83">
        <f t="shared" si="160"/>
        <v>0</v>
      </c>
      <c r="K141" s="83">
        <f t="shared" si="161"/>
        <v>0</v>
      </c>
      <c r="L141" s="136" t="e">
        <f t="shared" si="162"/>
        <v>#DIV/0!</v>
      </c>
      <c r="M141" s="116"/>
      <c r="N141" s="201">
        <f>F141*M141</f>
        <v>0</v>
      </c>
    </row>
    <row r="142" spans="1:14" ht="16">
      <c r="A142" s="59"/>
      <c r="B142" s="60"/>
      <c r="C142" s="59"/>
      <c r="D142" s="59" t="s">
        <v>19</v>
      </c>
      <c r="E142" s="59">
        <f t="shared" ref="E142:F142" si="163">SUM(E134:E141)</f>
        <v>0</v>
      </c>
      <c r="F142" s="59">
        <f t="shared" si="163"/>
        <v>0</v>
      </c>
      <c r="G142" s="61" t="e">
        <f>AVERAGE(G134:G141)</f>
        <v>#DIV/0!</v>
      </c>
      <c r="H142" s="59"/>
      <c r="I142" s="62"/>
      <c r="J142" s="59">
        <f t="shared" ref="J142:K142" si="164">SUM(J134:J141)</f>
        <v>0</v>
      </c>
      <c r="K142" s="59">
        <f t="shared" si="164"/>
        <v>0</v>
      </c>
      <c r="L142" s="61" t="e">
        <f>AVERAGE(L134:L141)</f>
        <v>#DIV/0!</v>
      </c>
      <c r="M142" s="64"/>
      <c r="N142" s="325">
        <f>SUM(N134:N141)</f>
        <v>31000000</v>
      </c>
    </row>
    <row r="143" spans="1:14" ht="16">
      <c r="A143" s="66">
        <v>45719</v>
      </c>
      <c r="B143" s="140" t="s">
        <v>69</v>
      </c>
      <c r="C143" s="83"/>
      <c r="D143" s="12"/>
      <c r="E143" s="36">
        <f t="shared" ref="E143:E147" si="165">D143-C143</f>
        <v>0</v>
      </c>
      <c r="F143" s="37"/>
      <c r="G143" s="13" t="e">
        <f t="shared" ref="G143:G147" si="166">(F143/E143)*100</f>
        <v>#DIV/0!</v>
      </c>
      <c r="H143" s="83"/>
      <c r="I143" s="126"/>
      <c r="J143" s="39">
        <f t="shared" ref="J143:J147" si="167">I143-H143</f>
        <v>0</v>
      </c>
      <c r="K143" s="39">
        <f t="shared" ref="K143:K147" si="168">F143</f>
        <v>0</v>
      </c>
      <c r="L143" s="136" t="e">
        <f t="shared" ref="L143:L147" si="169">(K143/J143)*100</f>
        <v>#DIV/0!</v>
      </c>
      <c r="M143" s="68"/>
      <c r="N143" s="294">
        <v>6476735</v>
      </c>
    </row>
    <row r="144" spans="1:14" ht="16">
      <c r="A144" s="138">
        <v>45728</v>
      </c>
      <c r="B144" s="140" t="s">
        <v>69</v>
      </c>
      <c r="C144" s="83"/>
      <c r="D144" s="83"/>
      <c r="E144" s="11">
        <f t="shared" si="165"/>
        <v>0</v>
      </c>
      <c r="F144" s="141"/>
      <c r="G144" s="13" t="e">
        <f t="shared" si="166"/>
        <v>#DIV/0!</v>
      </c>
      <c r="H144" s="83"/>
      <c r="I144" s="125"/>
      <c r="J144" s="83">
        <f t="shared" si="167"/>
        <v>0</v>
      </c>
      <c r="K144" s="83">
        <f t="shared" si="168"/>
        <v>0</v>
      </c>
      <c r="L144" s="136" t="e">
        <f t="shared" si="169"/>
        <v>#DIV/0!</v>
      </c>
      <c r="M144" s="116"/>
      <c r="N144" s="329">
        <v>5370148</v>
      </c>
    </row>
    <row r="145" spans="1:14" ht="16">
      <c r="A145" s="138">
        <v>45737</v>
      </c>
      <c r="B145" s="140" t="s">
        <v>69</v>
      </c>
      <c r="C145" s="83"/>
      <c r="D145" s="83"/>
      <c r="E145" s="11">
        <f t="shared" si="165"/>
        <v>0</v>
      </c>
      <c r="F145" s="141"/>
      <c r="G145" s="13" t="e">
        <f t="shared" si="166"/>
        <v>#DIV/0!</v>
      </c>
      <c r="H145" s="83"/>
      <c r="I145" s="125"/>
      <c r="J145" s="83">
        <f t="shared" si="167"/>
        <v>0</v>
      </c>
      <c r="K145" s="83">
        <f t="shared" si="168"/>
        <v>0</v>
      </c>
      <c r="L145" s="136" t="e">
        <f t="shared" si="169"/>
        <v>#DIV/0!</v>
      </c>
      <c r="M145" s="116"/>
      <c r="N145" s="201">
        <v>6030000</v>
      </c>
    </row>
    <row r="146" spans="1:14" ht="16">
      <c r="A146" s="138"/>
      <c r="B146" s="140" t="s">
        <v>69</v>
      </c>
      <c r="C146" s="83"/>
      <c r="D146" s="83"/>
      <c r="E146" s="11">
        <f t="shared" si="165"/>
        <v>0</v>
      </c>
      <c r="F146" s="141"/>
      <c r="G146" s="13" t="e">
        <f t="shared" si="166"/>
        <v>#DIV/0!</v>
      </c>
      <c r="H146" s="83"/>
      <c r="I146" s="125"/>
      <c r="J146" s="83">
        <f t="shared" si="167"/>
        <v>0</v>
      </c>
      <c r="K146" s="83">
        <f t="shared" si="168"/>
        <v>0</v>
      </c>
      <c r="L146" s="136" t="e">
        <f t="shared" si="169"/>
        <v>#DIV/0!</v>
      </c>
      <c r="M146" s="116"/>
      <c r="N146" s="201">
        <f t="shared" ref="N146:N147" si="170">F146*M146</f>
        <v>0</v>
      </c>
    </row>
    <row r="147" spans="1:14" ht="16">
      <c r="A147" s="138"/>
      <c r="B147" s="140"/>
      <c r="C147" s="83"/>
      <c r="D147" s="83"/>
      <c r="E147" s="11">
        <f t="shared" si="165"/>
        <v>0</v>
      </c>
      <c r="F147" s="141"/>
      <c r="G147" s="13" t="e">
        <f t="shared" si="166"/>
        <v>#DIV/0!</v>
      </c>
      <c r="H147" s="83"/>
      <c r="I147" s="125"/>
      <c r="J147" s="83">
        <f t="shared" si="167"/>
        <v>0</v>
      </c>
      <c r="K147" s="83">
        <f t="shared" si="168"/>
        <v>0</v>
      </c>
      <c r="L147" s="136" t="e">
        <f t="shared" si="169"/>
        <v>#DIV/0!</v>
      </c>
      <c r="M147" s="116"/>
      <c r="N147" s="201">
        <f t="shared" si="170"/>
        <v>0</v>
      </c>
    </row>
    <row r="148" spans="1:14" ht="16">
      <c r="A148" s="59"/>
      <c r="B148" s="60"/>
      <c r="C148" s="59"/>
      <c r="D148" s="59" t="s">
        <v>19</v>
      </c>
      <c r="E148" s="59">
        <f t="shared" ref="E148:F148" si="171">SUM(E143:E147)</f>
        <v>0</v>
      </c>
      <c r="F148" s="59">
        <f t="shared" si="171"/>
        <v>0</v>
      </c>
      <c r="G148" s="61" t="e">
        <f>AVERAGE(G143:G147)</f>
        <v>#DIV/0!</v>
      </c>
      <c r="H148" s="59"/>
      <c r="I148" s="62"/>
      <c r="J148" s="59">
        <f t="shared" ref="J148:K148" si="172">SUM(J143:J147)</f>
        <v>0</v>
      </c>
      <c r="K148" s="59">
        <f t="shared" si="172"/>
        <v>0</v>
      </c>
      <c r="L148" s="61" t="e">
        <f>AVERAGE(L143:L147)</f>
        <v>#DIV/0!</v>
      </c>
      <c r="M148" s="64"/>
      <c r="N148" s="325">
        <f>SUM(N143:N147)</f>
        <v>17876883</v>
      </c>
    </row>
    <row r="149" spans="1:14" ht="14">
      <c r="A149" s="354" t="s">
        <v>64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6"/>
      <c r="M149" s="64"/>
      <c r="N149" s="325">
        <f>SUM(N98:N148)/2</f>
        <v>93326883</v>
      </c>
    </row>
    <row r="150" spans="1:14" ht="13">
      <c r="G150" s="150"/>
      <c r="L150" s="150"/>
      <c r="N150" s="76">
        <v>93327907</v>
      </c>
    </row>
    <row r="151" spans="1:14" ht="13">
      <c r="G151" s="150"/>
      <c r="L151" s="150"/>
    </row>
    <row r="152" spans="1:14" ht="13">
      <c r="G152" s="150"/>
      <c r="L152" s="150"/>
    </row>
    <row r="153" spans="1:14" ht="13">
      <c r="G153" s="150"/>
      <c r="L153" s="150"/>
    </row>
    <row r="154" spans="1:14" ht="13">
      <c r="G154" s="150"/>
      <c r="L154" s="150"/>
    </row>
    <row r="155" spans="1:14" ht="13">
      <c r="G155" s="150"/>
      <c r="L155" s="150"/>
    </row>
    <row r="156" spans="1:14" ht="13">
      <c r="G156" s="150"/>
      <c r="L156" s="150"/>
    </row>
    <row r="157" spans="1:14" ht="13">
      <c r="G157" s="150"/>
      <c r="L157" s="150"/>
    </row>
    <row r="158" spans="1:14" ht="13">
      <c r="G158" s="150"/>
      <c r="L158" s="150"/>
    </row>
    <row r="159" spans="1:14" ht="13">
      <c r="G159" s="150"/>
      <c r="L159" s="150"/>
    </row>
    <row r="160" spans="1:14" ht="13">
      <c r="G160" s="150"/>
      <c r="L160" s="150"/>
    </row>
    <row r="161" spans="7:12" ht="13">
      <c r="G161" s="150"/>
      <c r="L161" s="150"/>
    </row>
    <row r="162" spans="7:12" ht="13">
      <c r="G162" s="150"/>
      <c r="L162" s="150"/>
    </row>
    <row r="163" spans="7:12" ht="13">
      <c r="G163" s="150"/>
      <c r="L163" s="150"/>
    </row>
    <row r="164" spans="7:12" ht="13">
      <c r="G164" s="150"/>
      <c r="L164" s="150"/>
    </row>
    <row r="165" spans="7:12" ht="13">
      <c r="G165" s="150"/>
      <c r="L165" s="150"/>
    </row>
    <row r="166" spans="7:12" ht="13">
      <c r="G166" s="150"/>
      <c r="L166" s="150"/>
    </row>
    <row r="167" spans="7:12" ht="13">
      <c r="G167" s="150"/>
      <c r="L167" s="150"/>
    </row>
    <row r="168" spans="7:12" ht="13">
      <c r="G168" s="150"/>
      <c r="L168" s="150"/>
    </row>
    <row r="169" spans="7:12" ht="13">
      <c r="G169" s="150"/>
      <c r="L169" s="150"/>
    </row>
    <row r="170" spans="7:12" ht="13">
      <c r="G170" s="150"/>
      <c r="L170" s="150"/>
    </row>
    <row r="171" spans="7:12" ht="13">
      <c r="G171" s="150"/>
      <c r="L171" s="150"/>
    </row>
    <row r="172" spans="7:12" ht="13">
      <c r="G172" s="150"/>
      <c r="L172" s="150"/>
    </row>
    <row r="173" spans="7:12" ht="13">
      <c r="G173" s="150"/>
      <c r="L173" s="150"/>
    </row>
    <row r="174" spans="7:12" ht="13">
      <c r="G174" s="150"/>
      <c r="L174" s="150"/>
    </row>
    <row r="175" spans="7:12" ht="13">
      <c r="G175" s="150"/>
      <c r="L175" s="150"/>
    </row>
    <row r="176" spans="7:12" ht="13">
      <c r="G176" s="150"/>
      <c r="L176" s="150"/>
    </row>
    <row r="177" spans="7:12" ht="13">
      <c r="G177" s="150"/>
      <c r="L177" s="150"/>
    </row>
    <row r="178" spans="7:12" ht="13">
      <c r="G178" s="150"/>
      <c r="L178" s="150"/>
    </row>
    <row r="179" spans="7:12" ht="13">
      <c r="G179" s="150"/>
      <c r="L179" s="150"/>
    </row>
    <row r="180" spans="7:12" ht="13">
      <c r="G180" s="150"/>
      <c r="L180" s="150"/>
    </row>
    <row r="181" spans="7:12" ht="13">
      <c r="G181" s="150"/>
      <c r="L181" s="150"/>
    </row>
    <row r="182" spans="7:12" ht="13">
      <c r="G182" s="150"/>
      <c r="L182" s="150"/>
    </row>
    <row r="183" spans="7:12" ht="13">
      <c r="G183" s="150"/>
      <c r="L183" s="150"/>
    </row>
    <row r="184" spans="7:12" ht="13">
      <c r="G184" s="150"/>
      <c r="L184" s="150"/>
    </row>
    <row r="185" spans="7:12" ht="13">
      <c r="G185" s="150"/>
      <c r="L185" s="150"/>
    </row>
    <row r="186" spans="7:12" ht="13">
      <c r="G186" s="150"/>
      <c r="L186" s="150"/>
    </row>
    <row r="187" spans="7:12" ht="13">
      <c r="G187" s="150"/>
      <c r="L187" s="150"/>
    </row>
    <row r="188" spans="7:12" ht="13">
      <c r="G188" s="150"/>
      <c r="L188" s="150"/>
    </row>
    <row r="189" spans="7:12" ht="13">
      <c r="G189" s="150"/>
      <c r="L189" s="150"/>
    </row>
    <row r="190" spans="7:12" ht="13">
      <c r="G190" s="150"/>
      <c r="L190" s="150"/>
    </row>
    <row r="191" spans="7:12" ht="13">
      <c r="G191" s="150"/>
      <c r="L191" s="150"/>
    </row>
    <row r="192" spans="7:12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</sheetData>
  <mergeCells count="3">
    <mergeCell ref="A1:N1"/>
    <mergeCell ref="A94:M94"/>
    <mergeCell ref="A149:L14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5"/>
  <sheetViews>
    <sheetView topLeftCell="A51" workbookViewId="0">
      <selection activeCell="A79" sqref="A79"/>
    </sheetView>
  </sheetViews>
  <sheetFormatPr baseColWidth="10" defaultColWidth="12.6640625" defaultRowHeight="15.75" customHeight="1"/>
  <sheetData>
    <row r="1" spans="1:14" ht="18">
      <c r="A1" s="352" t="s">
        <v>108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45691</v>
      </c>
      <c r="B3" s="269" t="s">
        <v>11</v>
      </c>
      <c r="C3" s="83">
        <v>174840</v>
      </c>
      <c r="D3" s="83">
        <v>175143</v>
      </c>
      <c r="E3" s="36">
        <f t="shared" ref="E3:E9" si="0">D3-C3</f>
        <v>303</v>
      </c>
      <c r="F3" s="37">
        <v>50</v>
      </c>
      <c r="G3" s="13">
        <f t="shared" ref="G3:G9" si="1">(F3/E3)*100</f>
        <v>16.5016501650165</v>
      </c>
      <c r="H3" s="125"/>
      <c r="I3" s="126">
        <v>8020</v>
      </c>
      <c r="J3" s="39">
        <f t="shared" ref="J3:J9" si="2">I3-H3</f>
        <v>8020</v>
      </c>
      <c r="K3" s="39">
        <f t="shared" ref="K3:K9" si="3">F3</f>
        <v>50</v>
      </c>
      <c r="L3" s="270">
        <f t="shared" ref="L3:L9" si="4">(K3/J3)*100</f>
        <v>0.62344139650872821</v>
      </c>
      <c r="M3" s="68">
        <v>19240</v>
      </c>
      <c r="N3" s="294">
        <f t="shared" ref="N3:N9" si="5">F3*M3</f>
        <v>962000</v>
      </c>
    </row>
    <row r="4" spans="1:14" ht="16">
      <c r="A4" s="138">
        <v>45699</v>
      </c>
      <c r="B4" s="140" t="s">
        <v>11</v>
      </c>
      <c r="C4" s="83">
        <v>175143</v>
      </c>
      <c r="D4" s="83">
        <v>175491</v>
      </c>
      <c r="E4" s="11">
        <f t="shared" si="0"/>
        <v>348</v>
      </c>
      <c r="F4" s="141">
        <v>50</v>
      </c>
      <c r="G4" s="13">
        <f t="shared" si="1"/>
        <v>14.367816091954023</v>
      </c>
      <c r="H4" s="83">
        <v>8020</v>
      </c>
      <c r="I4" s="125">
        <v>8468</v>
      </c>
      <c r="J4" s="83">
        <f t="shared" si="2"/>
        <v>448</v>
      </c>
      <c r="K4" s="83">
        <f t="shared" si="3"/>
        <v>50</v>
      </c>
      <c r="L4" s="136">
        <f t="shared" si="4"/>
        <v>11.160714285714286</v>
      </c>
      <c r="M4" s="116">
        <v>19050</v>
      </c>
      <c r="N4" s="296">
        <f t="shared" si="5"/>
        <v>952500</v>
      </c>
    </row>
    <row r="5" spans="1:14" ht="16">
      <c r="A5" s="138">
        <v>45702</v>
      </c>
      <c r="B5" s="140" t="s">
        <v>11</v>
      </c>
      <c r="C5" s="83">
        <v>175491</v>
      </c>
      <c r="D5" s="83">
        <v>175848</v>
      </c>
      <c r="E5" s="11">
        <f t="shared" si="0"/>
        <v>357</v>
      </c>
      <c r="F5" s="141">
        <v>50</v>
      </c>
      <c r="G5" s="13">
        <f t="shared" si="1"/>
        <v>14.005602240896359</v>
      </c>
      <c r="H5" s="83">
        <v>8468</v>
      </c>
      <c r="I5" s="125">
        <v>8800</v>
      </c>
      <c r="J5" s="83">
        <f t="shared" si="2"/>
        <v>332</v>
      </c>
      <c r="K5" s="83">
        <f t="shared" si="3"/>
        <v>50</v>
      </c>
      <c r="L5" s="136">
        <f t="shared" si="4"/>
        <v>15.060240963855422</v>
      </c>
      <c r="M5" s="116">
        <v>19070</v>
      </c>
      <c r="N5" s="296">
        <f t="shared" si="5"/>
        <v>953500</v>
      </c>
    </row>
    <row r="6" spans="1:14" ht="16">
      <c r="A6" s="249">
        <v>45708</v>
      </c>
      <c r="B6" s="140" t="s">
        <v>11</v>
      </c>
      <c r="C6" s="83">
        <v>175848</v>
      </c>
      <c r="D6" s="83">
        <v>176227</v>
      </c>
      <c r="E6" s="11">
        <f t="shared" si="0"/>
        <v>379</v>
      </c>
      <c r="F6" s="141">
        <v>50</v>
      </c>
      <c r="G6" s="13">
        <f t="shared" si="1"/>
        <v>13.192612137203167</v>
      </c>
      <c r="H6" s="83">
        <v>8800</v>
      </c>
      <c r="I6" s="125">
        <v>9164</v>
      </c>
      <c r="J6" s="83">
        <f t="shared" si="2"/>
        <v>364</v>
      </c>
      <c r="K6" s="83">
        <f t="shared" si="3"/>
        <v>50</v>
      </c>
      <c r="L6" s="136">
        <f t="shared" si="4"/>
        <v>13.736263736263737</v>
      </c>
      <c r="M6" s="116">
        <v>19060</v>
      </c>
      <c r="N6" s="296">
        <f t="shared" si="5"/>
        <v>953000</v>
      </c>
    </row>
    <row r="7" spans="1:14" ht="16">
      <c r="A7" s="138"/>
      <c r="B7" s="140" t="s">
        <v>11</v>
      </c>
      <c r="C7" s="83"/>
      <c r="D7" s="83"/>
      <c r="E7" s="11">
        <f t="shared" si="0"/>
        <v>0</v>
      </c>
      <c r="F7" s="141"/>
      <c r="G7" s="13" t="e">
        <f t="shared" si="1"/>
        <v>#DIV/0!</v>
      </c>
      <c r="H7" s="83"/>
      <c r="I7" s="125"/>
      <c r="J7" s="83">
        <f t="shared" si="2"/>
        <v>0</v>
      </c>
      <c r="K7" s="83">
        <f t="shared" si="3"/>
        <v>0</v>
      </c>
      <c r="L7" s="136" t="e">
        <f t="shared" si="4"/>
        <v>#DIV/0!</v>
      </c>
      <c r="M7" s="116"/>
      <c r="N7" s="201">
        <f t="shared" si="5"/>
        <v>0</v>
      </c>
    </row>
    <row r="8" spans="1:14" ht="16">
      <c r="A8" s="138"/>
      <c r="B8" s="90" t="s">
        <v>11</v>
      </c>
      <c r="C8" s="83"/>
      <c r="D8" s="83"/>
      <c r="E8" s="11">
        <f t="shared" si="0"/>
        <v>0</v>
      </c>
      <c r="F8" s="141"/>
      <c r="G8" s="13" t="e">
        <f t="shared" si="1"/>
        <v>#DIV/0!</v>
      </c>
      <c r="H8" s="83"/>
      <c r="I8" s="125"/>
      <c r="J8" s="83">
        <f t="shared" si="2"/>
        <v>0</v>
      </c>
      <c r="K8" s="83">
        <f t="shared" si="3"/>
        <v>0</v>
      </c>
      <c r="L8" s="136" t="e">
        <f t="shared" si="4"/>
        <v>#DIV/0!</v>
      </c>
      <c r="M8" s="116"/>
      <c r="N8" s="201">
        <f t="shared" si="5"/>
        <v>0</v>
      </c>
    </row>
    <row r="9" spans="1:14" ht="16">
      <c r="A9" s="271"/>
      <c r="B9" s="283"/>
      <c r="C9" s="134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336">
        <f t="shared" si="5"/>
        <v>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1387</v>
      </c>
      <c r="F10" s="59">
        <f t="shared" si="6"/>
        <v>200</v>
      </c>
      <c r="G10" s="61" t="e">
        <f>AVERAGE(G3:G9)</f>
        <v>#DIV/0!</v>
      </c>
      <c r="H10" s="59"/>
      <c r="I10" s="62"/>
      <c r="J10" s="59">
        <f t="shared" ref="J10:K10" si="7">SUM(J3:J9)</f>
        <v>9164</v>
      </c>
      <c r="K10" s="59">
        <f t="shared" si="7"/>
        <v>200</v>
      </c>
      <c r="L10" s="61" t="e">
        <f>AVERAGE(L3:L9)</f>
        <v>#DIV/0!</v>
      </c>
      <c r="M10" s="64"/>
      <c r="N10" s="325">
        <f>SUM(N3:N9)</f>
        <v>3821000</v>
      </c>
    </row>
    <row r="11" spans="1:14" ht="16">
      <c r="A11" s="66">
        <v>45694</v>
      </c>
      <c r="B11" s="269" t="s">
        <v>12</v>
      </c>
      <c r="C11" s="83">
        <v>138185</v>
      </c>
      <c r="D11" s="83">
        <v>138559</v>
      </c>
      <c r="E11" s="36">
        <f t="shared" ref="E11:E17" si="8">D11-C11</f>
        <v>374</v>
      </c>
      <c r="F11" s="37">
        <v>53</v>
      </c>
      <c r="G11" s="13">
        <f t="shared" ref="G11:G17" si="9">(F11/E11)*100</f>
        <v>14.171122994652407</v>
      </c>
      <c r="H11" s="125"/>
      <c r="I11" s="126">
        <v>7522</v>
      </c>
      <c r="J11" s="39">
        <f t="shared" ref="J11:J17" si="10">I11-H11</f>
        <v>7522</v>
      </c>
      <c r="K11" s="39">
        <f t="shared" ref="K11:K17" si="11">F11</f>
        <v>53</v>
      </c>
      <c r="L11" s="270">
        <f t="shared" ref="L11:L17" si="12">(K11/J11)*100</f>
        <v>0.70459984046796065</v>
      </c>
      <c r="M11" s="68">
        <v>19240</v>
      </c>
      <c r="N11" s="294">
        <f t="shared" ref="N11:N17" si="13">F11*M11</f>
        <v>1019720</v>
      </c>
    </row>
    <row r="12" spans="1:14" ht="16">
      <c r="A12" s="138">
        <v>45702</v>
      </c>
      <c r="B12" s="140" t="s">
        <v>12</v>
      </c>
      <c r="C12" s="83">
        <v>138559</v>
      </c>
      <c r="D12" s="83">
        <v>138964</v>
      </c>
      <c r="E12" s="11">
        <f t="shared" si="8"/>
        <v>405</v>
      </c>
      <c r="F12" s="141">
        <v>55</v>
      </c>
      <c r="G12" s="13">
        <f t="shared" si="9"/>
        <v>13.580246913580247</v>
      </c>
      <c r="H12" s="83">
        <v>7522</v>
      </c>
      <c r="I12" s="125">
        <v>7958</v>
      </c>
      <c r="J12" s="83">
        <f t="shared" si="10"/>
        <v>436</v>
      </c>
      <c r="K12" s="83">
        <f t="shared" si="11"/>
        <v>55</v>
      </c>
      <c r="L12" s="136">
        <f t="shared" si="12"/>
        <v>12.614678899082568</v>
      </c>
      <c r="M12" s="116">
        <v>19070</v>
      </c>
      <c r="N12" s="296">
        <f t="shared" si="13"/>
        <v>1048850</v>
      </c>
    </row>
    <row r="13" spans="1:14" ht="16">
      <c r="A13" s="138">
        <v>45707</v>
      </c>
      <c r="B13" s="140" t="s">
        <v>12</v>
      </c>
      <c r="C13" s="83">
        <v>138964</v>
      </c>
      <c r="D13" s="83">
        <v>139344</v>
      </c>
      <c r="E13" s="11">
        <f t="shared" si="8"/>
        <v>380</v>
      </c>
      <c r="F13" s="141">
        <v>56</v>
      </c>
      <c r="G13" s="13">
        <f t="shared" si="9"/>
        <v>14.736842105263156</v>
      </c>
      <c r="H13" s="83">
        <v>7958</v>
      </c>
      <c r="I13" s="125">
        <v>8417</v>
      </c>
      <c r="J13" s="83">
        <f t="shared" si="10"/>
        <v>459</v>
      </c>
      <c r="K13" s="83">
        <f t="shared" si="11"/>
        <v>56</v>
      </c>
      <c r="L13" s="136">
        <f t="shared" si="12"/>
        <v>12.200435729847495</v>
      </c>
      <c r="M13" s="116">
        <v>19070</v>
      </c>
      <c r="N13" s="296">
        <f t="shared" si="13"/>
        <v>1067920</v>
      </c>
    </row>
    <row r="14" spans="1:14" ht="16">
      <c r="A14" s="138">
        <v>45714</v>
      </c>
      <c r="B14" s="140" t="s">
        <v>12</v>
      </c>
      <c r="C14" s="83">
        <v>139344</v>
      </c>
      <c r="D14" s="83">
        <v>139751</v>
      </c>
      <c r="E14" s="11">
        <f t="shared" si="8"/>
        <v>407</v>
      </c>
      <c r="F14" s="141">
        <v>52</v>
      </c>
      <c r="G14" s="13">
        <f t="shared" si="9"/>
        <v>12.776412776412776</v>
      </c>
      <c r="H14" s="83">
        <v>8417</v>
      </c>
      <c r="I14" s="125">
        <v>8773</v>
      </c>
      <c r="J14" s="83">
        <f t="shared" si="10"/>
        <v>356</v>
      </c>
      <c r="K14" s="83">
        <f t="shared" si="11"/>
        <v>52</v>
      </c>
      <c r="L14" s="136">
        <f t="shared" si="12"/>
        <v>14.606741573033707</v>
      </c>
      <c r="M14" s="116">
        <v>19060</v>
      </c>
      <c r="N14" s="297">
        <f t="shared" si="13"/>
        <v>991120</v>
      </c>
    </row>
    <row r="15" spans="1:14" ht="16">
      <c r="A15" s="138"/>
      <c r="B15" s="140" t="s">
        <v>12</v>
      </c>
      <c r="C15" s="83"/>
      <c r="D15" s="83"/>
      <c r="E15" s="11">
        <f t="shared" si="8"/>
        <v>0</v>
      </c>
      <c r="F15" s="141"/>
      <c r="G15" s="13" t="e">
        <f t="shared" si="9"/>
        <v>#DIV/0!</v>
      </c>
      <c r="H15" s="83"/>
      <c r="I15" s="125"/>
      <c r="J15" s="83">
        <f t="shared" si="10"/>
        <v>0</v>
      </c>
      <c r="K15" s="83">
        <f t="shared" si="11"/>
        <v>0</v>
      </c>
      <c r="L15" s="136" t="e">
        <f t="shared" si="12"/>
        <v>#DIV/0!</v>
      </c>
      <c r="M15" s="116"/>
      <c r="N15" s="201">
        <f t="shared" si="13"/>
        <v>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201">
        <f t="shared" si="13"/>
        <v>0</v>
      </c>
    </row>
    <row r="17" spans="1:17" ht="16">
      <c r="A17" s="271"/>
      <c r="B17" s="272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336">
        <f t="shared" si="13"/>
        <v>0</v>
      </c>
    </row>
    <row r="18" spans="1:17" ht="16">
      <c r="A18" s="59"/>
      <c r="B18" s="60"/>
      <c r="C18" s="59"/>
      <c r="D18" s="59" t="s">
        <v>19</v>
      </c>
      <c r="E18" s="59">
        <f t="shared" ref="E18:F18" si="14">SUM(E11:E17)</f>
        <v>1566</v>
      </c>
      <c r="F18" s="59">
        <f t="shared" si="14"/>
        <v>216</v>
      </c>
      <c r="G18" s="61" t="e">
        <f>AVERAGE(G11:G17)</f>
        <v>#DIV/0!</v>
      </c>
      <c r="H18" s="59"/>
      <c r="I18" s="62"/>
      <c r="J18" s="59">
        <f t="shared" ref="J18:K18" si="15">SUM(J11:J17)</f>
        <v>8773</v>
      </c>
      <c r="K18" s="59">
        <f t="shared" si="15"/>
        <v>216</v>
      </c>
      <c r="L18" s="61" t="e">
        <f>AVERAGE(L11:L17)</f>
        <v>#DIV/0!</v>
      </c>
      <c r="M18" s="64"/>
      <c r="N18" s="325">
        <f>SUM(N11:N17)</f>
        <v>4127610</v>
      </c>
    </row>
    <row r="19" spans="1:17" ht="16">
      <c r="A19" s="66">
        <v>45692</v>
      </c>
      <c r="B19" s="269" t="s">
        <v>13</v>
      </c>
      <c r="C19" s="83">
        <v>156160</v>
      </c>
      <c r="D19" s="39">
        <v>156415</v>
      </c>
      <c r="E19" s="36">
        <f t="shared" ref="E19:E25" si="16">D19-C19</f>
        <v>255</v>
      </c>
      <c r="F19" s="37">
        <v>52</v>
      </c>
      <c r="G19" s="13">
        <f t="shared" ref="G19:G25" si="17">(F19/E19)*100</f>
        <v>20.392156862745097</v>
      </c>
      <c r="H19" s="83">
        <v>7727</v>
      </c>
      <c r="I19" s="126">
        <v>8179</v>
      </c>
      <c r="J19" s="39">
        <f t="shared" ref="J19:J25" si="18">I19-H19</f>
        <v>452</v>
      </c>
      <c r="K19" s="39">
        <f t="shared" ref="K19:K25" si="19">F19</f>
        <v>52</v>
      </c>
      <c r="L19" s="136">
        <f t="shared" ref="L19:L25" si="20">(K19/J19)*100</f>
        <v>11.504424778761061</v>
      </c>
      <c r="M19" s="68">
        <v>19240</v>
      </c>
      <c r="N19" s="294">
        <f t="shared" ref="N19:N25" si="21">F19*M19</f>
        <v>1000480</v>
      </c>
    </row>
    <row r="20" spans="1:17" ht="16">
      <c r="A20" s="138">
        <v>45699</v>
      </c>
      <c r="B20" s="140" t="s">
        <v>13</v>
      </c>
      <c r="C20" s="39">
        <v>156415</v>
      </c>
      <c r="D20" s="83">
        <v>156776</v>
      </c>
      <c r="E20" s="11">
        <f t="shared" si="16"/>
        <v>361</v>
      </c>
      <c r="F20" s="141">
        <v>50</v>
      </c>
      <c r="G20" s="13">
        <f t="shared" si="17"/>
        <v>13.850415512465375</v>
      </c>
      <c r="H20" s="83">
        <v>8179</v>
      </c>
      <c r="I20" s="125">
        <v>8294</v>
      </c>
      <c r="J20" s="83">
        <f t="shared" si="18"/>
        <v>115</v>
      </c>
      <c r="K20" s="83">
        <f t="shared" si="19"/>
        <v>50</v>
      </c>
      <c r="L20" s="136">
        <f t="shared" si="20"/>
        <v>43.478260869565219</v>
      </c>
      <c r="M20" s="116">
        <v>19050</v>
      </c>
      <c r="N20" s="296">
        <f t="shared" si="21"/>
        <v>952500</v>
      </c>
    </row>
    <row r="21" spans="1:17" ht="16">
      <c r="A21" s="138">
        <v>45702</v>
      </c>
      <c r="B21" s="140" t="s">
        <v>13</v>
      </c>
      <c r="C21" s="83">
        <v>156776</v>
      </c>
      <c r="D21" s="83">
        <v>157154</v>
      </c>
      <c r="E21" s="11">
        <f t="shared" si="16"/>
        <v>378</v>
      </c>
      <c r="F21" s="141">
        <v>43</v>
      </c>
      <c r="G21" s="13">
        <f t="shared" si="17"/>
        <v>11.375661375661375</v>
      </c>
      <c r="H21" s="83">
        <v>8294</v>
      </c>
      <c r="I21" s="125">
        <v>8654</v>
      </c>
      <c r="J21" s="83">
        <f t="shared" si="18"/>
        <v>360</v>
      </c>
      <c r="K21" s="83">
        <f t="shared" si="19"/>
        <v>43</v>
      </c>
      <c r="L21" s="136">
        <f t="shared" si="20"/>
        <v>11.944444444444445</v>
      </c>
      <c r="M21" s="116">
        <v>19070</v>
      </c>
      <c r="N21" s="296">
        <f t="shared" si="21"/>
        <v>820010</v>
      </c>
    </row>
    <row r="22" spans="1:17" ht="16">
      <c r="A22" s="138">
        <v>45708</v>
      </c>
      <c r="B22" s="140" t="s">
        <v>13</v>
      </c>
      <c r="C22" s="83">
        <v>157154</v>
      </c>
      <c r="D22" s="83">
        <v>157492</v>
      </c>
      <c r="E22" s="11">
        <f t="shared" si="16"/>
        <v>338</v>
      </c>
      <c r="F22" s="141">
        <v>46</v>
      </c>
      <c r="G22" s="13">
        <f t="shared" si="17"/>
        <v>13.609467455621301</v>
      </c>
      <c r="H22" s="83">
        <v>8654</v>
      </c>
      <c r="I22" s="125">
        <v>9062</v>
      </c>
      <c r="J22" s="83">
        <f t="shared" si="18"/>
        <v>408</v>
      </c>
      <c r="K22" s="83">
        <f t="shared" si="19"/>
        <v>46</v>
      </c>
      <c r="L22" s="136">
        <f t="shared" si="20"/>
        <v>11.274509803921569</v>
      </c>
      <c r="M22" s="116">
        <v>19070</v>
      </c>
      <c r="N22" s="297">
        <f t="shared" si="21"/>
        <v>877220</v>
      </c>
    </row>
    <row r="23" spans="1:17" ht="16">
      <c r="A23" s="138">
        <v>45714</v>
      </c>
      <c r="B23" s="140" t="s">
        <v>13</v>
      </c>
      <c r="C23" s="83">
        <v>157492</v>
      </c>
      <c r="D23" s="83">
        <v>157805</v>
      </c>
      <c r="E23" s="11">
        <f t="shared" si="16"/>
        <v>313</v>
      </c>
      <c r="F23" s="141">
        <v>44</v>
      </c>
      <c r="G23" s="13">
        <f t="shared" si="17"/>
        <v>14.057507987220447</v>
      </c>
      <c r="H23" s="83">
        <v>9062</v>
      </c>
      <c r="I23" s="125">
        <v>9387</v>
      </c>
      <c r="J23" s="83">
        <f t="shared" si="18"/>
        <v>325</v>
      </c>
      <c r="K23" s="83">
        <f t="shared" si="19"/>
        <v>44</v>
      </c>
      <c r="L23" s="136">
        <f t="shared" si="20"/>
        <v>13.538461538461538</v>
      </c>
      <c r="M23" s="116">
        <v>19060</v>
      </c>
      <c r="N23" s="297">
        <f t="shared" si="21"/>
        <v>838640</v>
      </c>
    </row>
    <row r="24" spans="1:17" ht="16">
      <c r="A24" s="138"/>
      <c r="B24" s="90" t="s">
        <v>13</v>
      </c>
      <c r="C24" s="83"/>
      <c r="D24" s="83"/>
      <c r="E24" s="11">
        <f t="shared" si="16"/>
        <v>0</v>
      </c>
      <c r="F24" s="141"/>
      <c r="G24" s="13" t="e">
        <f t="shared" si="17"/>
        <v>#DIV/0!</v>
      </c>
      <c r="H24" s="83"/>
      <c r="I24" s="125"/>
      <c r="J24" s="83">
        <f t="shared" si="18"/>
        <v>0</v>
      </c>
      <c r="K24" s="83">
        <f t="shared" si="19"/>
        <v>0</v>
      </c>
      <c r="L24" s="136" t="e">
        <f t="shared" si="20"/>
        <v>#DIV/0!</v>
      </c>
      <c r="M24" s="116"/>
      <c r="N24" s="201">
        <f t="shared" si="21"/>
        <v>0</v>
      </c>
    </row>
    <row r="25" spans="1:17" ht="16">
      <c r="A25" s="271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36">
        <f t="shared" si="21"/>
        <v>0</v>
      </c>
      <c r="Q25" s="76">
        <f>12679200/3169800</f>
        <v>4</v>
      </c>
    </row>
    <row r="26" spans="1:17" ht="16">
      <c r="A26" s="59"/>
      <c r="B26" s="60"/>
      <c r="C26" s="59"/>
      <c r="D26" s="59" t="s">
        <v>19</v>
      </c>
      <c r="E26" s="59">
        <f t="shared" ref="E26:F26" si="22">SUM(E19:E25)</f>
        <v>1645</v>
      </c>
      <c r="F26" s="59">
        <f t="shared" si="22"/>
        <v>235</v>
      </c>
      <c r="G26" s="61" t="e">
        <f>AVERAGE(G19:G25)</f>
        <v>#DIV/0!</v>
      </c>
      <c r="H26" s="59"/>
      <c r="I26" s="62"/>
      <c r="J26" s="59">
        <f t="shared" ref="J26:K26" si="23">SUM(J19:J25)</f>
        <v>1660</v>
      </c>
      <c r="K26" s="59">
        <f t="shared" si="23"/>
        <v>235</v>
      </c>
      <c r="L26" s="61" t="e">
        <f>AVERAGE(L19:L25)</f>
        <v>#DIV/0!</v>
      </c>
      <c r="M26" s="64"/>
      <c r="N26" s="325">
        <f>SUM(N19:N25)</f>
        <v>4488850</v>
      </c>
    </row>
    <row r="27" spans="1:17" ht="16">
      <c r="A27" s="66">
        <v>45695</v>
      </c>
      <c r="B27" s="269" t="s">
        <v>14</v>
      </c>
      <c r="C27" s="83">
        <v>157588</v>
      </c>
      <c r="D27" s="39">
        <v>157998</v>
      </c>
      <c r="E27" s="36">
        <f t="shared" ref="E27:E33" si="24">D27-C27</f>
        <v>410</v>
      </c>
      <c r="F27" s="37">
        <v>50</v>
      </c>
      <c r="G27" s="13">
        <f t="shared" ref="G27:G33" si="25">(F27/E27)*100</f>
        <v>12.195121951219512</v>
      </c>
      <c r="H27" s="125"/>
      <c r="I27" s="126">
        <v>639</v>
      </c>
      <c r="J27" s="39">
        <f t="shared" ref="J27:J33" si="26">I27-H27</f>
        <v>639</v>
      </c>
      <c r="K27" s="39">
        <f t="shared" ref="K27:K33" si="27">F27</f>
        <v>50</v>
      </c>
      <c r="L27" s="136">
        <f t="shared" ref="L27:L33" si="28">(K27/J27)*100</f>
        <v>7.8247261345852896</v>
      </c>
      <c r="M27" s="68">
        <v>19051</v>
      </c>
      <c r="N27" s="294">
        <f t="shared" ref="N27:N33" si="29">F27*M27</f>
        <v>952550</v>
      </c>
    </row>
    <row r="28" spans="1:17" ht="16">
      <c r="A28" s="138">
        <v>45701</v>
      </c>
      <c r="B28" s="140" t="s">
        <v>14</v>
      </c>
      <c r="C28" s="83">
        <v>157998</v>
      </c>
      <c r="D28" s="83">
        <v>158359</v>
      </c>
      <c r="E28" s="11">
        <f t="shared" si="24"/>
        <v>361</v>
      </c>
      <c r="F28" s="141">
        <v>40</v>
      </c>
      <c r="G28" s="13">
        <f t="shared" si="25"/>
        <v>11.080332409972298</v>
      </c>
      <c r="H28" s="83">
        <v>639</v>
      </c>
      <c r="I28" s="125">
        <v>1084</v>
      </c>
      <c r="J28" s="83">
        <f t="shared" si="26"/>
        <v>445</v>
      </c>
      <c r="K28" s="83">
        <f t="shared" si="27"/>
        <v>40</v>
      </c>
      <c r="L28" s="136">
        <f t="shared" si="28"/>
        <v>8.9887640449438209</v>
      </c>
      <c r="M28" s="116">
        <v>19050</v>
      </c>
      <c r="N28" s="296">
        <f t="shared" si="29"/>
        <v>762000</v>
      </c>
    </row>
    <row r="29" spans="1:17" ht="16">
      <c r="A29" s="138">
        <v>45707</v>
      </c>
      <c r="B29" s="140" t="s">
        <v>14</v>
      </c>
      <c r="C29" s="83">
        <v>158359</v>
      </c>
      <c r="D29" s="83">
        <v>158741</v>
      </c>
      <c r="E29" s="11">
        <f t="shared" si="24"/>
        <v>382</v>
      </c>
      <c r="F29" s="141">
        <v>50</v>
      </c>
      <c r="G29" s="13">
        <f t="shared" si="25"/>
        <v>13.089005235602095</v>
      </c>
      <c r="H29" s="83">
        <v>1084</v>
      </c>
      <c r="I29" s="125">
        <v>1565</v>
      </c>
      <c r="J29" s="83">
        <f t="shared" si="26"/>
        <v>481</v>
      </c>
      <c r="K29" s="83">
        <f t="shared" si="27"/>
        <v>50</v>
      </c>
      <c r="L29" s="136">
        <f t="shared" si="28"/>
        <v>10.395010395010395</v>
      </c>
      <c r="M29" s="116">
        <v>19070</v>
      </c>
      <c r="N29" s="297">
        <f t="shared" si="29"/>
        <v>953500</v>
      </c>
    </row>
    <row r="30" spans="1:17" ht="16">
      <c r="A30" s="138">
        <v>45714</v>
      </c>
      <c r="B30" s="140" t="s">
        <v>14</v>
      </c>
      <c r="C30" s="83">
        <v>158741</v>
      </c>
      <c r="D30" s="83">
        <v>159159</v>
      </c>
      <c r="E30" s="11">
        <f t="shared" si="24"/>
        <v>418</v>
      </c>
      <c r="F30" s="141">
        <v>50</v>
      </c>
      <c r="G30" s="13">
        <f t="shared" si="25"/>
        <v>11.961722488038278</v>
      </c>
      <c r="H30" s="83">
        <v>1565</v>
      </c>
      <c r="I30" s="125"/>
      <c r="J30" s="83">
        <f t="shared" si="26"/>
        <v>-1565</v>
      </c>
      <c r="K30" s="83">
        <f t="shared" si="27"/>
        <v>50</v>
      </c>
      <c r="L30" s="136">
        <f t="shared" si="28"/>
        <v>-3.1948881789137378</v>
      </c>
      <c r="M30" s="116">
        <v>19060</v>
      </c>
      <c r="N30" s="297">
        <f t="shared" si="29"/>
        <v>953000</v>
      </c>
    </row>
    <row r="31" spans="1:17" ht="16">
      <c r="A31" s="138"/>
      <c r="B31" s="140" t="s">
        <v>14</v>
      </c>
      <c r="C31" s="83"/>
      <c r="D31" s="83"/>
      <c r="E31" s="11">
        <f t="shared" si="24"/>
        <v>0</v>
      </c>
      <c r="F31" s="141"/>
      <c r="G31" s="13" t="e">
        <f t="shared" si="25"/>
        <v>#DIV/0!</v>
      </c>
      <c r="H31" s="83"/>
      <c r="I31" s="125"/>
      <c r="J31" s="83">
        <f t="shared" si="26"/>
        <v>0</v>
      </c>
      <c r="K31" s="83">
        <f t="shared" si="27"/>
        <v>0</v>
      </c>
      <c r="L31" s="136" t="e">
        <f t="shared" si="28"/>
        <v>#DIV/0!</v>
      </c>
      <c r="M31" s="116"/>
      <c r="N31" s="201">
        <f t="shared" si="29"/>
        <v>0</v>
      </c>
    </row>
    <row r="32" spans="1:17" ht="16">
      <c r="A32" s="138"/>
      <c r="B32" s="140" t="s">
        <v>14</v>
      </c>
      <c r="C32" s="83"/>
      <c r="D32" s="83"/>
      <c r="E32" s="11">
        <f t="shared" si="24"/>
        <v>0</v>
      </c>
      <c r="F32" s="141"/>
      <c r="G32" s="13" t="e">
        <f t="shared" si="25"/>
        <v>#DIV/0!</v>
      </c>
      <c r="H32" s="83"/>
      <c r="I32" s="125"/>
      <c r="J32" s="83">
        <f t="shared" si="26"/>
        <v>0</v>
      </c>
      <c r="K32" s="83">
        <f t="shared" si="27"/>
        <v>0</v>
      </c>
      <c r="L32" s="136" t="e">
        <f t="shared" si="28"/>
        <v>#DIV/0!</v>
      </c>
      <c r="M32" s="116"/>
      <c r="N32" s="201">
        <f t="shared" si="29"/>
        <v>0</v>
      </c>
    </row>
    <row r="33" spans="1:16" ht="16">
      <c r="A33" s="271"/>
      <c r="B33" s="272"/>
      <c r="C33" s="134"/>
      <c r="D33" s="134"/>
      <c r="E33" s="24">
        <f t="shared" si="24"/>
        <v>0</v>
      </c>
      <c r="F33" s="143"/>
      <c r="G33" s="54" t="e">
        <f t="shared" si="25"/>
        <v>#DIV/0!</v>
      </c>
      <c r="H33" s="134"/>
      <c r="I33" s="135"/>
      <c r="J33" s="134">
        <f t="shared" si="26"/>
        <v>0</v>
      </c>
      <c r="K33" s="134">
        <f t="shared" si="27"/>
        <v>0</v>
      </c>
      <c r="L33" s="136" t="e">
        <f t="shared" si="28"/>
        <v>#DIV/0!</v>
      </c>
      <c r="M33" s="137"/>
      <c r="N33" s="336">
        <f t="shared" si="29"/>
        <v>0</v>
      </c>
    </row>
    <row r="34" spans="1:16" ht="16">
      <c r="A34" s="59"/>
      <c r="B34" s="60"/>
      <c r="C34" s="59"/>
      <c r="D34" s="59" t="s">
        <v>19</v>
      </c>
      <c r="E34" s="59">
        <f t="shared" ref="E34:F34" si="30">SUM(E27:E33)</f>
        <v>1571</v>
      </c>
      <c r="F34" s="59">
        <f t="shared" si="30"/>
        <v>190</v>
      </c>
      <c r="G34" s="61" t="e">
        <f>AVERAGE(G27:G33)</f>
        <v>#DIV/0!</v>
      </c>
      <c r="H34" s="59"/>
      <c r="I34" s="62"/>
      <c r="J34" s="59">
        <f t="shared" ref="J34:K34" si="31">SUM(J27:J33)</f>
        <v>0</v>
      </c>
      <c r="K34" s="59">
        <f t="shared" si="31"/>
        <v>190</v>
      </c>
      <c r="L34" s="61" t="e">
        <f>AVERAGE(L27:L33)</f>
        <v>#DIV/0!</v>
      </c>
      <c r="M34" s="64"/>
      <c r="N34" s="325">
        <f>SUM(N27:N33)</f>
        <v>3621050</v>
      </c>
    </row>
    <row r="35" spans="1:16" ht="16">
      <c r="A35" s="66">
        <v>45695</v>
      </c>
      <c r="B35" s="269" t="s">
        <v>15</v>
      </c>
      <c r="C35" s="83">
        <v>144419</v>
      </c>
      <c r="D35" s="39">
        <v>144796</v>
      </c>
      <c r="E35" s="36">
        <f t="shared" ref="E35:E41" si="32">D35-C35</f>
        <v>377</v>
      </c>
      <c r="F35" s="37">
        <v>45</v>
      </c>
      <c r="G35" s="13">
        <f t="shared" ref="G35:G41" si="33">(F35/E35)*100</f>
        <v>11.936339522546419</v>
      </c>
      <c r="H35" s="125"/>
      <c r="I35" s="126">
        <v>8362</v>
      </c>
      <c r="J35" s="39">
        <f t="shared" ref="J35:J41" si="34">I35-H35</f>
        <v>8362</v>
      </c>
      <c r="K35" s="39">
        <f t="shared" ref="K35:K41" si="35">F35</f>
        <v>45</v>
      </c>
      <c r="L35" s="136">
        <f t="shared" ref="L35:L41" si="36">(K35/J35)*100</f>
        <v>0.53814876823726387</v>
      </c>
      <c r="M35" s="68">
        <v>19051</v>
      </c>
      <c r="N35" s="294">
        <f t="shared" ref="N35:N41" si="37">F35*M35</f>
        <v>857295</v>
      </c>
    </row>
    <row r="36" spans="1:16" ht="16">
      <c r="A36" s="138">
        <v>45701</v>
      </c>
      <c r="B36" s="140" t="s">
        <v>15</v>
      </c>
      <c r="C36" s="83">
        <v>144796</v>
      </c>
      <c r="D36" s="83">
        <v>145131</v>
      </c>
      <c r="E36" s="11">
        <f t="shared" si="32"/>
        <v>335</v>
      </c>
      <c r="F36" s="141">
        <v>40</v>
      </c>
      <c r="G36" s="13">
        <f t="shared" si="33"/>
        <v>11.940298507462686</v>
      </c>
      <c r="H36" s="126">
        <v>8362</v>
      </c>
      <c r="I36" s="125">
        <v>8754</v>
      </c>
      <c r="J36" s="83">
        <f t="shared" si="34"/>
        <v>392</v>
      </c>
      <c r="K36" s="83">
        <f t="shared" si="35"/>
        <v>40</v>
      </c>
      <c r="L36" s="136">
        <f t="shared" si="36"/>
        <v>10.204081632653061</v>
      </c>
      <c r="M36" s="116">
        <v>19070</v>
      </c>
      <c r="N36" s="296">
        <f t="shared" si="37"/>
        <v>762800</v>
      </c>
    </row>
    <row r="37" spans="1:16" ht="16">
      <c r="A37" s="138">
        <v>45708</v>
      </c>
      <c r="B37" s="140" t="s">
        <v>15</v>
      </c>
      <c r="C37" s="83">
        <v>145131</v>
      </c>
      <c r="D37" s="83">
        <v>145435</v>
      </c>
      <c r="E37" s="11">
        <f t="shared" si="32"/>
        <v>304</v>
      </c>
      <c r="F37" s="141">
        <v>40</v>
      </c>
      <c r="G37" s="13">
        <f t="shared" si="33"/>
        <v>13.157894736842104</v>
      </c>
      <c r="H37" s="83">
        <v>8754</v>
      </c>
      <c r="I37" s="125">
        <v>9024</v>
      </c>
      <c r="J37" s="83">
        <f t="shared" si="34"/>
        <v>270</v>
      </c>
      <c r="K37" s="83">
        <f t="shared" si="35"/>
        <v>40</v>
      </c>
      <c r="L37" s="136">
        <f t="shared" si="36"/>
        <v>14.814814814814813</v>
      </c>
      <c r="M37" s="116">
        <v>19070</v>
      </c>
      <c r="N37" s="296">
        <f t="shared" si="37"/>
        <v>762800</v>
      </c>
    </row>
    <row r="38" spans="1:16" ht="16">
      <c r="A38" s="138">
        <v>45714</v>
      </c>
      <c r="B38" s="140" t="s">
        <v>15</v>
      </c>
      <c r="C38" s="83">
        <v>145435</v>
      </c>
      <c r="D38" s="83">
        <v>145748</v>
      </c>
      <c r="E38" s="11">
        <f t="shared" si="32"/>
        <v>313</v>
      </c>
      <c r="F38" s="141">
        <v>39</v>
      </c>
      <c r="G38" s="13">
        <f t="shared" si="33"/>
        <v>12.460063897763577</v>
      </c>
      <c r="H38" s="83">
        <v>9024</v>
      </c>
      <c r="I38" s="125">
        <v>9513</v>
      </c>
      <c r="J38" s="83">
        <f t="shared" si="34"/>
        <v>489</v>
      </c>
      <c r="K38" s="83">
        <f t="shared" si="35"/>
        <v>39</v>
      </c>
      <c r="L38" s="136">
        <f t="shared" si="36"/>
        <v>7.9754601226993866</v>
      </c>
      <c r="M38" s="116">
        <v>19060</v>
      </c>
      <c r="N38" s="296">
        <f t="shared" si="37"/>
        <v>743340</v>
      </c>
    </row>
    <row r="39" spans="1:16" ht="16">
      <c r="A39" s="138"/>
      <c r="B39" s="140" t="s">
        <v>15</v>
      </c>
      <c r="C39" s="83"/>
      <c r="D39" s="83"/>
      <c r="E39" s="11">
        <f t="shared" si="32"/>
        <v>0</v>
      </c>
      <c r="F39" s="141"/>
      <c r="G39" s="13" t="e">
        <f t="shared" si="33"/>
        <v>#DIV/0!</v>
      </c>
      <c r="H39" s="83"/>
      <c r="I39" s="125"/>
      <c r="J39" s="83">
        <f t="shared" si="34"/>
        <v>0</v>
      </c>
      <c r="K39" s="83">
        <f t="shared" si="35"/>
        <v>0</v>
      </c>
      <c r="L39" s="136" t="e">
        <f t="shared" si="36"/>
        <v>#DIV/0!</v>
      </c>
      <c r="M39" s="116"/>
      <c r="N39" s="201">
        <f t="shared" si="37"/>
        <v>0</v>
      </c>
    </row>
    <row r="40" spans="1:16" ht="16">
      <c r="A40" s="276"/>
      <c r="B40" s="140" t="s">
        <v>15</v>
      </c>
      <c r="C40" s="83"/>
      <c r="D40" s="83"/>
      <c r="E40" s="11">
        <f t="shared" si="32"/>
        <v>0</v>
      </c>
      <c r="F40" s="141"/>
      <c r="G40" s="13" t="e">
        <f t="shared" si="33"/>
        <v>#DIV/0!</v>
      </c>
      <c r="H40" s="83"/>
      <c r="I40" s="125"/>
      <c r="J40" s="83">
        <f t="shared" si="34"/>
        <v>0</v>
      </c>
      <c r="K40" s="83">
        <f t="shared" si="35"/>
        <v>0</v>
      </c>
      <c r="L40" s="136" t="e">
        <f t="shared" si="36"/>
        <v>#DIV/0!</v>
      </c>
      <c r="M40" s="116"/>
      <c r="N40" s="201">
        <f t="shared" si="37"/>
        <v>0</v>
      </c>
    </row>
    <row r="41" spans="1:16" ht="16">
      <c r="A41" s="271"/>
      <c r="B41" s="272"/>
      <c r="C41" s="134"/>
      <c r="D41" s="134"/>
      <c r="E41" s="24">
        <f t="shared" si="32"/>
        <v>0</v>
      </c>
      <c r="F41" s="143"/>
      <c r="G41" s="54" t="e">
        <f t="shared" si="33"/>
        <v>#DIV/0!</v>
      </c>
      <c r="H41" s="134"/>
      <c r="I41" s="135"/>
      <c r="J41" s="134">
        <f t="shared" si="34"/>
        <v>0</v>
      </c>
      <c r="K41" s="134">
        <f t="shared" si="35"/>
        <v>0</v>
      </c>
      <c r="L41" s="136" t="e">
        <f t="shared" si="36"/>
        <v>#DIV/0!</v>
      </c>
      <c r="M41" s="137"/>
      <c r="N41" s="336">
        <f t="shared" si="37"/>
        <v>0</v>
      </c>
    </row>
    <row r="42" spans="1:16" ht="16">
      <c r="A42" s="59"/>
      <c r="B42" s="60"/>
      <c r="C42" s="59"/>
      <c r="D42" s="59" t="s">
        <v>19</v>
      </c>
      <c r="E42" s="59">
        <f t="shared" ref="E42:F42" si="38">SUM(E35:E41)</f>
        <v>1329</v>
      </c>
      <c r="F42" s="59">
        <f t="shared" si="38"/>
        <v>164</v>
      </c>
      <c r="G42" s="61" t="e">
        <f>AVERAGE(G35:G41)</f>
        <v>#DIV/0!</v>
      </c>
      <c r="H42" s="59"/>
      <c r="I42" s="62"/>
      <c r="J42" s="59">
        <f t="shared" ref="J42:K42" si="39">SUM(J35:J41)</f>
        <v>9513</v>
      </c>
      <c r="K42" s="59">
        <f t="shared" si="39"/>
        <v>164</v>
      </c>
      <c r="L42" s="61" t="e">
        <f>AVERAGE(L35:L41)</f>
        <v>#DIV/0!</v>
      </c>
      <c r="M42" s="64"/>
      <c r="N42" s="325">
        <f>SUM(N35:N41)</f>
        <v>3126235</v>
      </c>
    </row>
    <row r="43" spans="1:16" ht="16">
      <c r="A43" s="337">
        <v>45693</v>
      </c>
      <c r="B43" s="269" t="s">
        <v>16</v>
      </c>
      <c r="C43" s="83">
        <v>120542</v>
      </c>
      <c r="D43" s="39">
        <v>120860</v>
      </c>
      <c r="E43" s="36">
        <f t="shared" ref="E43:E49" si="40">D43-C43</f>
        <v>318</v>
      </c>
      <c r="F43" s="37">
        <v>45</v>
      </c>
      <c r="G43" s="13">
        <f t="shared" ref="G43:G49" si="41">(F43/E43)*100</f>
        <v>14.150943396226415</v>
      </c>
      <c r="H43" s="83">
        <v>7642</v>
      </c>
      <c r="I43" s="126">
        <v>8086</v>
      </c>
      <c r="J43" s="39">
        <f t="shared" ref="J43:J49" si="42">I43-H43</f>
        <v>444</v>
      </c>
      <c r="K43" s="39">
        <f t="shared" ref="K43:K49" si="43">F43</f>
        <v>45</v>
      </c>
      <c r="L43" s="136">
        <f t="shared" ref="L43:L49" si="44">(K43/J43)*100</f>
        <v>10.135135135135135</v>
      </c>
      <c r="M43" s="68">
        <v>19240</v>
      </c>
      <c r="N43" s="294">
        <f t="shared" ref="N43:N49" si="45">F43*M43</f>
        <v>865800</v>
      </c>
    </row>
    <row r="44" spans="1:16" ht="16">
      <c r="A44" s="138">
        <v>45698</v>
      </c>
      <c r="B44" s="140" t="s">
        <v>16</v>
      </c>
      <c r="C44" s="83">
        <v>120860</v>
      </c>
      <c r="D44" s="83">
        <v>121178</v>
      </c>
      <c r="E44" s="11">
        <f t="shared" si="40"/>
        <v>318</v>
      </c>
      <c r="F44" s="277">
        <v>41</v>
      </c>
      <c r="G44" s="13">
        <f t="shared" si="41"/>
        <v>12.89308176100629</v>
      </c>
      <c r="H44" s="83">
        <v>8086</v>
      </c>
      <c r="I44" s="125">
        <v>8274</v>
      </c>
      <c r="J44" s="83">
        <f t="shared" si="42"/>
        <v>188</v>
      </c>
      <c r="K44" s="83">
        <f t="shared" si="43"/>
        <v>41</v>
      </c>
      <c r="L44" s="136">
        <f t="shared" si="44"/>
        <v>21.808510638297875</v>
      </c>
      <c r="M44" s="116">
        <v>19050</v>
      </c>
      <c r="N44" s="296">
        <f t="shared" si="45"/>
        <v>781050</v>
      </c>
    </row>
    <row r="45" spans="1:16" ht="16">
      <c r="A45" s="138">
        <v>45702</v>
      </c>
      <c r="B45" s="140" t="s">
        <v>16</v>
      </c>
      <c r="C45" s="83">
        <v>121178</v>
      </c>
      <c r="D45" s="83">
        <v>121509</v>
      </c>
      <c r="E45" s="11">
        <f t="shared" si="40"/>
        <v>331</v>
      </c>
      <c r="F45" s="141">
        <v>45</v>
      </c>
      <c r="G45" s="13">
        <f t="shared" si="41"/>
        <v>13.595166163141995</v>
      </c>
      <c r="H45" s="83">
        <v>8274</v>
      </c>
      <c r="I45" s="125">
        <v>8619</v>
      </c>
      <c r="J45" s="83">
        <f t="shared" si="42"/>
        <v>345</v>
      </c>
      <c r="K45" s="83">
        <f t="shared" si="43"/>
        <v>45</v>
      </c>
      <c r="L45" s="136">
        <f t="shared" si="44"/>
        <v>13.043478260869565</v>
      </c>
      <c r="M45" s="116">
        <v>19070</v>
      </c>
      <c r="N45" s="296">
        <f t="shared" si="45"/>
        <v>858150</v>
      </c>
    </row>
    <row r="46" spans="1:16" ht="16">
      <c r="A46" s="138">
        <v>45707</v>
      </c>
      <c r="B46" s="140" t="s">
        <v>16</v>
      </c>
      <c r="C46" s="83">
        <v>121509</v>
      </c>
      <c r="D46" s="83">
        <v>121824</v>
      </c>
      <c r="E46" s="11">
        <f t="shared" si="40"/>
        <v>315</v>
      </c>
      <c r="F46" s="141">
        <v>40</v>
      </c>
      <c r="G46" s="13">
        <f t="shared" si="41"/>
        <v>12.698412698412698</v>
      </c>
      <c r="H46" s="83">
        <v>8619</v>
      </c>
      <c r="I46" s="125">
        <v>8963</v>
      </c>
      <c r="J46" s="83">
        <f t="shared" si="42"/>
        <v>344</v>
      </c>
      <c r="K46" s="83">
        <f t="shared" si="43"/>
        <v>40</v>
      </c>
      <c r="L46" s="136">
        <f t="shared" si="44"/>
        <v>11.627906976744185</v>
      </c>
      <c r="M46" s="116">
        <v>19070</v>
      </c>
      <c r="N46" s="296">
        <f t="shared" si="45"/>
        <v>762800</v>
      </c>
      <c r="P46" s="78"/>
    </row>
    <row r="47" spans="1:16" ht="16">
      <c r="A47" s="138">
        <v>45713</v>
      </c>
      <c r="B47" s="140" t="s">
        <v>16</v>
      </c>
      <c r="C47" s="83">
        <v>121824</v>
      </c>
      <c r="D47" s="83">
        <v>122185</v>
      </c>
      <c r="E47" s="11">
        <f t="shared" si="40"/>
        <v>361</v>
      </c>
      <c r="F47" s="141">
        <v>50</v>
      </c>
      <c r="G47" s="13">
        <f t="shared" si="41"/>
        <v>13.850415512465375</v>
      </c>
      <c r="H47" s="83">
        <v>8963</v>
      </c>
      <c r="I47" s="125">
        <v>9318</v>
      </c>
      <c r="J47" s="83">
        <f t="shared" si="42"/>
        <v>355</v>
      </c>
      <c r="K47" s="83">
        <f t="shared" si="43"/>
        <v>50</v>
      </c>
      <c r="L47" s="136">
        <f t="shared" si="44"/>
        <v>14.084507042253522</v>
      </c>
      <c r="M47" s="116">
        <v>19060</v>
      </c>
      <c r="N47" s="201">
        <f t="shared" si="45"/>
        <v>953000</v>
      </c>
    </row>
    <row r="48" spans="1:16" ht="16">
      <c r="A48" s="139"/>
      <c r="B48" s="90" t="s">
        <v>16</v>
      </c>
      <c r="C48" s="83"/>
      <c r="D48" s="83"/>
      <c r="E48" s="11">
        <f t="shared" si="40"/>
        <v>0</v>
      </c>
      <c r="F48" s="141"/>
      <c r="G48" s="13" t="e">
        <f t="shared" si="41"/>
        <v>#DIV/0!</v>
      </c>
      <c r="H48" s="83"/>
      <c r="I48" s="125"/>
      <c r="J48" s="83">
        <f t="shared" si="42"/>
        <v>0</v>
      </c>
      <c r="K48" s="83">
        <f t="shared" si="43"/>
        <v>0</v>
      </c>
      <c r="L48" s="136" t="e">
        <f t="shared" si="44"/>
        <v>#DIV/0!</v>
      </c>
      <c r="M48" s="116"/>
      <c r="N48" s="201">
        <f t="shared" si="45"/>
        <v>0</v>
      </c>
    </row>
    <row r="49" spans="1:16" ht="16">
      <c r="A49" s="271"/>
      <c r="B49" s="283"/>
      <c r="C49" s="134"/>
      <c r="D49" s="134"/>
      <c r="E49" s="24">
        <f t="shared" si="40"/>
        <v>0</v>
      </c>
      <c r="F49" s="143"/>
      <c r="G49" s="54" t="e">
        <f t="shared" si="41"/>
        <v>#DIV/0!</v>
      </c>
      <c r="H49" s="134">
        <v>1</v>
      </c>
      <c r="I49" s="135"/>
      <c r="J49" s="134">
        <f t="shared" si="42"/>
        <v>-1</v>
      </c>
      <c r="K49" s="134">
        <f t="shared" si="43"/>
        <v>0</v>
      </c>
      <c r="L49" s="136">
        <f t="shared" si="44"/>
        <v>0</v>
      </c>
      <c r="M49" s="137"/>
      <c r="N49" s="336">
        <f t="shared" si="45"/>
        <v>0</v>
      </c>
    </row>
    <row r="50" spans="1:16" ht="16">
      <c r="A50" s="59"/>
      <c r="B50" s="60"/>
      <c r="C50" s="59"/>
      <c r="D50" s="59" t="s">
        <v>19</v>
      </c>
      <c r="E50" s="59">
        <f t="shared" ref="E50:F50" si="46">SUM(E43:E49)</f>
        <v>1643</v>
      </c>
      <c r="F50" s="59">
        <f t="shared" si="46"/>
        <v>221</v>
      </c>
      <c r="G50" s="61" t="e">
        <f>AVERAGE(G43:G49)</f>
        <v>#DIV/0!</v>
      </c>
      <c r="H50" s="59"/>
      <c r="I50" s="62"/>
      <c r="J50" s="59">
        <f t="shared" ref="J50:K50" si="47">SUM(J43:J49)</f>
        <v>1675</v>
      </c>
      <c r="K50" s="59">
        <f t="shared" si="47"/>
        <v>221</v>
      </c>
      <c r="L50" s="61" t="e">
        <f>AVERAGE(L43:L49)</f>
        <v>#DIV/0!</v>
      </c>
      <c r="M50" s="64"/>
      <c r="N50" s="325">
        <f>SUM(N43:N49)</f>
        <v>4220800</v>
      </c>
    </row>
    <row r="51" spans="1:16" ht="16">
      <c r="A51" s="66">
        <v>45693</v>
      </c>
      <c r="B51" s="278" t="s">
        <v>18</v>
      </c>
      <c r="C51" s="83">
        <v>125570</v>
      </c>
      <c r="D51" s="39">
        <v>125861</v>
      </c>
      <c r="E51" s="36">
        <f t="shared" ref="E51:E57" si="48">D51-C51</f>
        <v>291</v>
      </c>
      <c r="F51" s="37">
        <v>40</v>
      </c>
      <c r="G51" s="13">
        <f t="shared" ref="G51:G57" si="49">(F51/E51)*100</f>
        <v>13.745704467353953</v>
      </c>
      <c r="H51" s="135"/>
      <c r="I51" s="126">
        <v>1052</v>
      </c>
      <c r="J51" s="39">
        <f t="shared" ref="J51:J57" si="50">I51-H51</f>
        <v>1052</v>
      </c>
      <c r="K51" s="39">
        <f t="shared" ref="K51:K57" si="51">F51</f>
        <v>40</v>
      </c>
      <c r="L51" s="136">
        <f t="shared" ref="L51:L57" si="52">(K51/J51)*100</f>
        <v>3.8022813688212929</v>
      </c>
      <c r="M51" s="68">
        <v>19240</v>
      </c>
      <c r="N51" s="294">
        <f t="shared" ref="N51:N57" si="53">F51*M51</f>
        <v>769600</v>
      </c>
    </row>
    <row r="52" spans="1:16" ht="16">
      <c r="A52" s="138">
        <v>45699</v>
      </c>
      <c r="B52" s="140" t="s">
        <v>18</v>
      </c>
      <c r="C52" s="83">
        <v>125861</v>
      </c>
      <c r="D52" s="83">
        <v>126155</v>
      </c>
      <c r="E52" s="11">
        <f t="shared" si="48"/>
        <v>294</v>
      </c>
      <c r="F52" s="141">
        <v>34</v>
      </c>
      <c r="G52" s="13">
        <f t="shared" si="49"/>
        <v>11.564625850340136</v>
      </c>
      <c r="H52" s="83">
        <v>1052</v>
      </c>
      <c r="I52" s="125">
        <v>840</v>
      </c>
      <c r="J52" s="83">
        <f t="shared" si="50"/>
        <v>-212</v>
      </c>
      <c r="K52" s="83">
        <f t="shared" si="51"/>
        <v>34</v>
      </c>
      <c r="L52" s="136">
        <f t="shared" si="52"/>
        <v>-16.037735849056602</v>
      </c>
      <c r="M52" s="116">
        <v>19050</v>
      </c>
      <c r="N52" s="296">
        <f t="shared" si="53"/>
        <v>647700</v>
      </c>
    </row>
    <row r="53" spans="1:16" ht="16">
      <c r="A53" s="249">
        <v>45702</v>
      </c>
      <c r="B53" s="140" t="s">
        <v>18</v>
      </c>
      <c r="C53" s="83">
        <v>126155</v>
      </c>
      <c r="D53" s="83">
        <v>126458</v>
      </c>
      <c r="E53" s="11">
        <f t="shared" si="48"/>
        <v>303</v>
      </c>
      <c r="F53" s="141">
        <v>37</v>
      </c>
      <c r="G53" s="13">
        <f t="shared" si="49"/>
        <v>12.211221122112212</v>
      </c>
      <c r="H53" s="83">
        <v>840</v>
      </c>
      <c r="I53" s="125">
        <v>1158</v>
      </c>
      <c r="J53" s="83">
        <f t="shared" si="50"/>
        <v>318</v>
      </c>
      <c r="K53" s="83">
        <f t="shared" si="51"/>
        <v>37</v>
      </c>
      <c r="L53" s="136">
        <f t="shared" si="52"/>
        <v>11.635220125786164</v>
      </c>
      <c r="M53" s="116">
        <v>19070</v>
      </c>
      <c r="N53" s="296">
        <f t="shared" si="53"/>
        <v>705590</v>
      </c>
    </row>
    <row r="54" spans="1:16" ht="16">
      <c r="A54" s="138">
        <v>45709</v>
      </c>
      <c r="B54" s="140" t="s">
        <v>18</v>
      </c>
      <c r="C54" s="83">
        <v>126458</v>
      </c>
      <c r="D54" s="83">
        <v>126776</v>
      </c>
      <c r="E54" s="11">
        <f t="shared" si="48"/>
        <v>318</v>
      </c>
      <c r="F54" s="141">
        <v>42</v>
      </c>
      <c r="G54" s="13">
        <f t="shared" si="49"/>
        <v>13.20754716981132</v>
      </c>
      <c r="H54" s="83">
        <v>1158</v>
      </c>
      <c r="I54" s="125">
        <v>1484</v>
      </c>
      <c r="J54" s="83">
        <f t="shared" si="50"/>
        <v>326</v>
      </c>
      <c r="K54" s="83">
        <f t="shared" si="51"/>
        <v>42</v>
      </c>
      <c r="L54" s="136">
        <f t="shared" si="52"/>
        <v>12.883435582822086</v>
      </c>
      <c r="M54" s="116">
        <v>19060</v>
      </c>
      <c r="N54" s="297">
        <f t="shared" si="53"/>
        <v>800520</v>
      </c>
    </row>
    <row r="55" spans="1:16" ht="16">
      <c r="A55" s="138">
        <v>45716</v>
      </c>
      <c r="B55" s="140" t="s">
        <v>18</v>
      </c>
      <c r="C55" s="83">
        <v>126776</v>
      </c>
      <c r="D55" s="83">
        <v>127172</v>
      </c>
      <c r="E55" s="11">
        <f t="shared" si="48"/>
        <v>396</v>
      </c>
      <c r="F55" s="141">
        <v>47</v>
      </c>
      <c r="G55" s="13">
        <f t="shared" si="49"/>
        <v>11.868686868686869</v>
      </c>
      <c r="H55" s="83">
        <v>1484</v>
      </c>
      <c r="I55" s="125">
        <v>1905</v>
      </c>
      <c r="J55" s="83">
        <f t="shared" si="50"/>
        <v>421</v>
      </c>
      <c r="K55" s="83">
        <f t="shared" si="51"/>
        <v>47</v>
      </c>
      <c r="L55" s="136">
        <f t="shared" si="52"/>
        <v>11.163895486935866</v>
      </c>
      <c r="M55" s="116">
        <v>18950</v>
      </c>
      <c r="N55" s="297">
        <f t="shared" si="53"/>
        <v>890650</v>
      </c>
    </row>
    <row r="56" spans="1:16" ht="16">
      <c r="A56" s="276"/>
      <c r="B56" s="140" t="s">
        <v>18</v>
      </c>
      <c r="C56" s="83"/>
      <c r="D56" s="83"/>
      <c r="E56" s="51">
        <f t="shared" si="48"/>
        <v>0</v>
      </c>
      <c r="F56" s="141"/>
      <c r="G56" s="13" t="e">
        <f t="shared" si="49"/>
        <v>#DIV/0!</v>
      </c>
      <c r="H56" s="83"/>
      <c r="I56" s="125"/>
      <c r="J56" s="83">
        <f t="shared" si="50"/>
        <v>0</v>
      </c>
      <c r="K56" s="83">
        <f t="shared" si="51"/>
        <v>0</v>
      </c>
      <c r="L56" s="136" t="e">
        <f t="shared" si="52"/>
        <v>#DIV/0!</v>
      </c>
      <c r="M56" s="116"/>
      <c r="N56" s="201">
        <f t="shared" si="53"/>
        <v>0</v>
      </c>
      <c r="P56" s="76">
        <f>18950-19060</f>
        <v>-110</v>
      </c>
    </row>
    <row r="57" spans="1:16" ht="16">
      <c r="A57" s="279"/>
      <c r="B57" s="90" t="s">
        <v>18</v>
      </c>
      <c r="C57" s="134"/>
      <c r="D57" s="134"/>
      <c r="E57" s="24">
        <f t="shared" si="48"/>
        <v>0</v>
      </c>
      <c r="F57" s="143"/>
      <c r="G57" s="54" t="e">
        <f t="shared" si="49"/>
        <v>#DIV/0!</v>
      </c>
      <c r="H57" s="134"/>
      <c r="I57" s="135"/>
      <c r="J57" s="134">
        <f t="shared" si="50"/>
        <v>0</v>
      </c>
      <c r="K57" s="134">
        <f t="shared" si="51"/>
        <v>0</v>
      </c>
      <c r="L57" s="136" t="e">
        <f t="shared" si="52"/>
        <v>#DIV/0!</v>
      </c>
      <c r="M57" s="137"/>
      <c r="N57" s="336">
        <f t="shared" si="53"/>
        <v>0</v>
      </c>
    </row>
    <row r="58" spans="1:16" ht="16">
      <c r="A58" s="59"/>
      <c r="B58" s="60"/>
      <c r="C58" s="59"/>
      <c r="D58" s="59" t="s">
        <v>19</v>
      </c>
      <c r="E58" s="59">
        <f t="shared" ref="E58:F58" si="54">SUM(E51:E57)</f>
        <v>1602</v>
      </c>
      <c r="F58" s="59">
        <f t="shared" si="54"/>
        <v>200</v>
      </c>
      <c r="G58" s="61" t="e">
        <f>AVERAGE(G51:G57)</f>
        <v>#DIV/0!</v>
      </c>
      <c r="H58" s="59"/>
      <c r="I58" s="62"/>
      <c r="J58" s="59">
        <f t="shared" ref="J58:K58" si="55">SUM(J51:J57)</f>
        <v>1905</v>
      </c>
      <c r="K58" s="59">
        <f t="shared" si="55"/>
        <v>200</v>
      </c>
      <c r="L58" s="61" t="e">
        <f>AVERAGE(L51:L57)</f>
        <v>#DIV/0!</v>
      </c>
      <c r="M58" s="64"/>
      <c r="N58" s="325">
        <f>SUM(N51:N57)</f>
        <v>3814060</v>
      </c>
    </row>
    <row r="59" spans="1:16" ht="16">
      <c r="A59" s="66">
        <v>45693</v>
      </c>
      <c r="B59" s="269" t="s">
        <v>20</v>
      </c>
      <c r="C59" s="83">
        <v>370199</v>
      </c>
      <c r="D59" s="39">
        <v>370932</v>
      </c>
      <c r="E59" s="36">
        <f t="shared" ref="E59:E65" si="56">D59-C59</f>
        <v>733</v>
      </c>
      <c r="F59" s="37">
        <v>90</v>
      </c>
      <c r="G59" s="13">
        <f t="shared" ref="G59:G65" si="57">(F59/E59)*100</f>
        <v>12.278308321964529</v>
      </c>
      <c r="H59" s="83">
        <v>9332</v>
      </c>
      <c r="I59" s="126">
        <v>9776</v>
      </c>
      <c r="J59" s="39">
        <f t="shared" ref="J59:J65" si="58">I59-H59</f>
        <v>444</v>
      </c>
      <c r="K59" s="39"/>
      <c r="L59" s="136">
        <f t="shared" ref="L59:L65" si="59">(K59/J59)*100</f>
        <v>0</v>
      </c>
      <c r="M59" s="68">
        <v>19240</v>
      </c>
      <c r="N59" s="294">
        <f t="shared" ref="N59:N65" si="60">F59*M59</f>
        <v>1731600</v>
      </c>
    </row>
    <row r="60" spans="1:16" ht="16">
      <c r="A60" s="138">
        <v>45709</v>
      </c>
      <c r="B60" s="140" t="s">
        <v>20</v>
      </c>
      <c r="C60" s="83">
        <v>370932</v>
      </c>
      <c r="D60" s="83">
        <v>371545</v>
      </c>
      <c r="E60" s="11">
        <f t="shared" si="56"/>
        <v>613</v>
      </c>
      <c r="F60" s="141">
        <v>95</v>
      </c>
      <c r="G60" s="13">
        <f t="shared" si="57"/>
        <v>15.497553017944535</v>
      </c>
      <c r="H60" s="83">
        <v>9776</v>
      </c>
      <c r="I60" s="125">
        <v>10008</v>
      </c>
      <c r="J60" s="83">
        <f t="shared" si="58"/>
        <v>232</v>
      </c>
      <c r="K60" s="240"/>
      <c r="L60" s="136">
        <f t="shared" si="59"/>
        <v>0</v>
      </c>
      <c r="M60" s="116">
        <v>19060</v>
      </c>
      <c r="N60" s="296">
        <f t="shared" si="60"/>
        <v>1810700</v>
      </c>
    </row>
    <row r="61" spans="1:16" ht="16">
      <c r="A61" s="138"/>
      <c r="B61" s="140" t="s">
        <v>20</v>
      </c>
      <c r="C61" s="83"/>
      <c r="D61" s="83"/>
      <c r="E61" s="11">
        <f t="shared" si="56"/>
        <v>0</v>
      </c>
      <c r="F61" s="141"/>
      <c r="G61" s="13" t="e">
        <f t="shared" si="57"/>
        <v>#DIV/0!</v>
      </c>
      <c r="H61" s="83"/>
      <c r="I61" s="125"/>
      <c r="J61" s="83">
        <f t="shared" si="58"/>
        <v>0</v>
      </c>
      <c r="K61" s="83"/>
      <c r="L61" s="136" t="e">
        <f t="shared" si="59"/>
        <v>#DIV/0!</v>
      </c>
      <c r="M61" s="116"/>
      <c r="N61" s="201">
        <f t="shared" si="60"/>
        <v>0</v>
      </c>
    </row>
    <row r="62" spans="1:16" ht="16">
      <c r="A62" s="138"/>
      <c r="B62" s="140" t="s">
        <v>20</v>
      </c>
      <c r="C62" s="83"/>
      <c r="D62" s="83"/>
      <c r="E62" s="11">
        <f t="shared" si="56"/>
        <v>0</v>
      </c>
      <c r="F62" s="141"/>
      <c r="G62" s="13" t="e">
        <f t="shared" si="57"/>
        <v>#DIV/0!</v>
      </c>
      <c r="H62" s="83"/>
      <c r="I62" s="125"/>
      <c r="J62" s="83">
        <f t="shared" si="58"/>
        <v>0</v>
      </c>
      <c r="K62" s="83">
        <f t="shared" ref="K62:K65" si="61">F62</f>
        <v>0</v>
      </c>
      <c r="L62" s="136" t="e">
        <f t="shared" si="59"/>
        <v>#DIV/0!</v>
      </c>
      <c r="M62" s="116"/>
      <c r="N62" s="201">
        <f t="shared" si="60"/>
        <v>0</v>
      </c>
    </row>
    <row r="63" spans="1:16" ht="16">
      <c r="A63" s="138"/>
      <c r="B63" s="140" t="s">
        <v>20</v>
      </c>
      <c r="C63" s="83"/>
      <c r="D63" s="83"/>
      <c r="E63" s="11">
        <f t="shared" si="56"/>
        <v>0</v>
      </c>
      <c r="F63" s="141"/>
      <c r="G63" s="13" t="e">
        <f t="shared" si="57"/>
        <v>#DIV/0!</v>
      </c>
      <c r="H63" s="83"/>
      <c r="I63" s="125"/>
      <c r="J63" s="83">
        <f t="shared" si="58"/>
        <v>0</v>
      </c>
      <c r="K63" s="83">
        <f t="shared" si="61"/>
        <v>0</v>
      </c>
      <c r="L63" s="136" t="e">
        <f t="shared" si="59"/>
        <v>#DIV/0!</v>
      </c>
      <c r="M63" s="116"/>
      <c r="N63" s="201">
        <f t="shared" si="60"/>
        <v>0</v>
      </c>
    </row>
    <row r="64" spans="1:16" ht="16">
      <c r="A64" s="244"/>
      <c r="B64" s="90" t="s">
        <v>20</v>
      </c>
      <c r="C64" s="83"/>
      <c r="D64" s="83"/>
      <c r="E64" s="11">
        <f t="shared" si="56"/>
        <v>0</v>
      </c>
      <c r="F64" s="141"/>
      <c r="G64" s="13" t="e">
        <f t="shared" si="57"/>
        <v>#DIV/0!</v>
      </c>
      <c r="H64" s="83"/>
      <c r="I64" s="125"/>
      <c r="J64" s="83">
        <f t="shared" si="58"/>
        <v>0</v>
      </c>
      <c r="K64" s="83">
        <f t="shared" si="61"/>
        <v>0</v>
      </c>
      <c r="L64" s="136" t="e">
        <f t="shared" si="59"/>
        <v>#DIV/0!</v>
      </c>
      <c r="M64" s="116"/>
      <c r="N64" s="201">
        <f t="shared" si="60"/>
        <v>0</v>
      </c>
    </row>
    <row r="65" spans="1:14" ht="16">
      <c r="A65" s="271"/>
      <c r="B65" s="283"/>
      <c r="C65" s="134"/>
      <c r="D65" s="134"/>
      <c r="E65" s="24">
        <f t="shared" si="56"/>
        <v>0</v>
      </c>
      <c r="F65" s="143"/>
      <c r="G65" s="54" t="e">
        <f t="shared" si="57"/>
        <v>#DIV/0!</v>
      </c>
      <c r="H65" s="134"/>
      <c r="I65" s="135"/>
      <c r="J65" s="134">
        <f t="shared" si="58"/>
        <v>0</v>
      </c>
      <c r="K65" s="134">
        <f t="shared" si="61"/>
        <v>0</v>
      </c>
      <c r="L65" s="136" t="e">
        <f t="shared" si="59"/>
        <v>#DIV/0!</v>
      </c>
      <c r="M65" s="137"/>
      <c r="N65" s="336">
        <f t="shared" si="60"/>
        <v>0</v>
      </c>
    </row>
    <row r="66" spans="1:14" ht="16">
      <c r="A66" s="59"/>
      <c r="B66" s="60"/>
      <c r="C66" s="59"/>
      <c r="D66" s="59" t="s">
        <v>19</v>
      </c>
      <c r="E66" s="59">
        <f t="shared" ref="E66:F66" si="62">SUM(E59:E65)</f>
        <v>1346</v>
      </c>
      <c r="F66" s="59">
        <f t="shared" si="62"/>
        <v>185</v>
      </c>
      <c r="G66" s="61" t="e">
        <f>AVERAGE(G59:G65)</f>
        <v>#DIV/0!</v>
      </c>
      <c r="H66" s="59"/>
      <c r="I66" s="62"/>
      <c r="J66" s="59">
        <f t="shared" ref="J66:K66" si="63">SUM(J59:J65)</f>
        <v>676</v>
      </c>
      <c r="K66" s="59">
        <f t="shared" si="63"/>
        <v>0</v>
      </c>
      <c r="L66" s="61" t="e">
        <f>AVERAGE(L59:L65)</f>
        <v>#DIV/0!</v>
      </c>
      <c r="M66" s="64"/>
      <c r="N66" s="325">
        <f>SUM(N59:N65)</f>
        <v>3542300</v>
      </c>
    </row>
    <row r="67" spans="1:14" ht="16">
      <c r="A67" s="66">
        <v>45699</v>
      </c>
      <c r="B67" s="269" t="s">
        <v>21</v>
      </c>
      <c r="C67" s="83">
        <v>352649</v>
      </c>
      <c r="D67" s="39">
        <v>353186</v>
      </c>
      <c r="E67" s="36">
        <f t="shared" ref="E67:E69" si="64">D67-C67</f>
        <v>537</v>
      </c>
      <c r="F67" s="37">
        <v>78</v>
      </c>
      <c r="G67" s="13">
        <f t="shared" ref="G67:G69" si="65">(F67/E67)*100</f>
        <v>14.52513966480447</v>
      </c>
      <c r="H67" s="125"/>
      <c r="I67" s="125">
        <v>716</v>
      </c>
      <c r="J67" s="39">
        <f t="shared" ref="J67:J69" si="66">I67-H67</f>
        <v>716</v>
      </c>
      <c r="K67" s="39">
        <f t="shared" ref="K67:K69" si="67">F67</f>
        <v>78</v>
      </c>
      <c r="L67" s="136">
        <f t="shared" ref="L67:L69" si="68">(K67/J67)*100</f>
        <v>10.893854748603351</v>
      </c>
      <c r="M67" s="68">
        <v>19050</v>
      </c>
      <c r="N67" s="294">
        <f t="shared" ref="N67:N69" si="69">F67*M67</f>
        <v>1485900</v>
      </c>
    </row>
    <row r="68" spans="1:14" ht="16">
      <c r="A68" s="138">
        <v>45706</v>
      </c>
      <c r="B68" s="140" t="s">
        <v>21</v>
      </c>
      <c r="C68" s="83">
        <v>353186</v>
      </c>
      <c r="D68" s="83">
        <v>353631</v>
      </c>
      <c r="E68" s="11">
        <f t="shared" si="64"/>
        <v>445</v>
      </c>
      <c r="F68" s="141">
        <v>66</v>
      </c>
      <c r="G68" s="13">
        <f t="shared" si="65"/>
        <v>14.831460674157304</v>
      </c>
      <c r="H68" s="83">
        <v>716</v>
      </c>
      <c r="I68" s="125">
        <v>1148</v>
      </c>
      <c r="J68" s="83">
        <f t="shared" si="66"/>
        <v>432</v>
      </c>
      <c r="K68" s="83">
        <f t="shared" si="67"/>
        <v>66</v>
      </c>
      <c r="L68" s="136">
        <f t="shared" si="68"/>
        <v>15.277777777777779</v>
      </c>
      <c r="M68" s="116">
        <v>19070</v>
      </c>
      <c r="N68" s="296">
        <f t="shared" si="69"/>
        <v>1258620</v>
      </c>
    </row>
    <row r="69" spans="1:14" ht="16">
      <c r="A69" s="138">
        <v>45713</v>
      </c>
      <c r="B69" s="140" t="s">
        <v>21</v>
      </c>
      <c r="C69" s="83">
        <v>353631</v>
      </c>
      <c r="D69" s="83">
        <v>61168</v>
      </c>
      <c r="E69" s="11">
        <f t="shared" si="64"/>
        <v>-292463</v>
      </c>
      <c r="F69" s="141">
        <v>65</v>
      </c>
      <c r="G69" s="13">
        <f t="shared" si="65"/>
        <v>-2.2225033593993086E-2</v>
      </c>
      <c r="H69" s="83">
        <v>1148</v>
      </c>
      <c r="I69" s="125">
        <v>1629</v>
      </c>
      <c r="J69" s="83">
        <f t="shared" si="66"/>
        <v>481</v>
      </c>
      <c r="K69" s="83">
        <f t="shared" si="67"/>
        <v>65</v>
      </c>
      <c r="L69" s="136">
        <f t="shared" si="68"/>
        <v>13.513513513513514</v>
      </c>
      <c r="M69" s="116">
        <v>19060</v>
      </c>
      <c r="N69" s="329">
        <f t="shared" si="69"/>
        <v>1238900</v>
      </c>
    </row>
    <row r="70" spans="1:14" ht="16">
      <c r="A70" s="59"/>
      <c r="B70" s="60"/>
      <c r="C70" s="59"/>
      <c r="D70" s="59" t="s">
        <v>19</v>
      </c>
      <c r="E70" s="59">
        <f t="shared" ref="E70:F70" si="70">SUM(E67:E69)</f>
        <v>-291481</v>
      </c>
      <c r="F70" s="59">
        <f t="shared" si="70"/>
        <v>209</v>
      </c>
      <c r="G70" s="61">
        <f>AVERAGE(G67:G69)</f>
        <v>9.7781251017892608</v>
      </c>
      <c r="H70" s="59"/>
      <c r="I70" s="62"/>
      <c r="J70" s="59">
        <f t="shared" ref="J70:K70" si="71">SUM(J67:J69)</f>
        <v>1629</v>
      </c>
      <c r="K70" s="59">
        <f t="shared" si="71"/>
        <v>209</v>
      </c>
      <c r="L70" s="61">
        <f>AVERAGE(L67:L69)</f>
        <v>13.228382013298216</v>
      </c>
      <c r="M70" s="64"/>
      <c r="N70" s="325">
        <f>SUM(N67:N69)</f>
        <v>3983420</v>
      </c>
    </row>
    <row r="71" spans="1:14" ht="16">
      <c r="A71" s="66">
        <v>45695</v>
      </c>
      <c r="B71" s="278" t="s">
        <v>98</v>
      </c>
      <c r="C71" s="83">
        <v>187521</v>
      </c>
      <c r="D71" s="39">
        <v>188094</v>
      </c>
      <c r="E71" s="36">
        <f t="shared" ref="E71:E74" si="72">D71-C71</f>
        <v>573</v>
      </c>
      <c r="F71" s="37">
        <v>72</v>
      </c>
      <c r="G71" s="13">
        <f t="shared" ref="G71:G74" si="73">(F71/E71)*100</f>
        <v>12.56544502617801</v>
      </c>
      <c r="H71" s="125"/>
      <c r="I71" s="126">
        <v>768</v>
      </c>
      <c r="J71" s="39">
        <f t="shared" ref="J71:J74" si="74">I71-H71</f>
        <v>768</v>
      </c>
      <c r="K71" s="39">
        <f t="shared" ref="K71:K74" si="75">F71</f>
        <v>72</v>
      </c>
      <c r="L71" s="136">
        <f t="shared" ref="L71:L74" si="76">(K71/J71)*100</f>
        <v>9.375</v>
      </c>
      <c r="M71" s="68">
        <v>19050</v>
      </c>
      <c r="N71" s="294">
        <f t="shared" ref="N71:N74" si="77">F71*M71</f>
        <v>1371600</v>
      </c>
    </row>
    <row r="72" spans="1:14" ht="16">
      <c r="A72" s="138">
        <v>45702</v>
      </c>
      <c r="B72" s="140" t="s">
        <v>98</v>
      </c>
      <c r="C72" s="83">
        <v>188094</v>
      </c>
      <c r="D72" s="83">
        <v>188627</v>
      </c>
      <c r="E72" s="11">
        <f t="shared" si="72"/>
        <v>533</v>
      </c>
      <c r="F72" s="141">
        <v>63</v>
      </c>
      <c r="G72" s="13">
        <f t="shared" si="73"/>
        <v>11.819887429643527</v>
      </c>
      <c r="H72" s="83">
        <v>768</v>
      </c>
      <c r="I72" s="125">
        <v>1006</v>
      </c>
      <c r="J72" s="83">
        <f t="shared" si="74"/>
        <v>238</v>
      </c>
      <c r="K72" s="83">
        <f t="shared" si="75"/>
        <v>63</v>
      </c>
      <c r="L72" s="136">
        <f t="shared" si="76"/>
        <v>26.47058823529412</v>
      </c>
      <c r="M72" s="116">
        <v>19070</v>
      </c>
      <c r="N72" s="296">
        <f t="shared" si="77"/>
        <v>1201410</v>
      </c>
    </row>
    <row r="73" spans="1:14" ht="16">
      <c r="A73" s="138">
        <v>45710</v>
      </c>
      <c r="B73" s="140" t="s">
        <v>98</v>
      </c>
      <c r="C73" s="83">
        <v>188627</v>
      </c>
      <c r="D73" s="83">
        <v>189236</v>
      </c>
      <c r="E73" s="11">
        <f t="shared" si="72"/>
        <v>609</v>
      </c>
      <c r="F73" s="141">
        <v>75</v>
      </c>
      <c r="G73" s="13">
        <f t="shared" si="73"/>
        <v>12.315270935960591</v>
      </c>
      <c r="H73" s="83">
        <v>1006</v>
      </c>
      <c r="I73" s="125">
        <v>1904</v>
      </c>
      <c r="J73" s="83">
        <f t="shared" si="74"/>
        <v>898</v>
      </c>
      <c r="K73" s="83">
        <f t="shared" si="75"/>
        <v>75</v>
      </c>
      <c r="L73" s="136">
        <f t="shared" si="76"/>
        <v>8.351893095768375</v>
      </c>
      <c r="M73" s="116">
        <v>19060</v>
      </c>
      <c r="N73" s="297">
        <f t="shared" si="77"/>
        <v>1429500</v>
      </c>
    </row>
    <row r="74" spans="1:14" ht="16">
      <c r="A74" s="138">
        <v>45716</v>
      </c>
      <c r="B74" s="140" t="s">
        <v>98</v>
      </c>
      <c r="C74" s="83">
        <v>189236</v>
      </c>
      <c r="D74" s="83">
        <v>189768</v>
      </c>
      <c r="E74" s="11">
        <f t="shared" si="72"/>
        <v>532</v>
      </c>
      <c r="F74" s="141">
        <v>67</v>
      </c>
      <c r="G74" s="13">
        <f t="shared" si="73"/>
        <v>12.593984962406015</v>
      </c>
      <c r="H74" s="83">
        <v>1904</v>
      </c>
      <c r="I74" s="125">
        <v>2423</v>
      </c>
      <c r="J74" s="83">
        <f t="shared" si="74"/>
        <v>519</v>
      </c>
      <c r="K74" s="83">
        <f t="shared" si="75"/>
        <v>67</v>
      </c>
      <c r="L74" s="136">
        <f t="shared" si="76"/>
        <v>12.909441233140656</v>
      </c>
      <c r="M74" s="116">
        <v>18950</v>
      </c>
      <c r="N74" s="297">
        <f t="shared" si="77"/>
        <v>1269650</v>
      </c>
    </row>
    <row r="75" spans="1:14" ht="16">
      <c r="A75" s="59"/>
      <c r="B75" s="60"/>
      <c r="C75" s="59"/>
      <c r="D75" s="59" t="s">
        <v>19</v>
      </c>
      <c r="E75" s="59">
        <f t="shared" ref="E75:F75" si="78">SUM(E71:E74)</f>
        <v>2247</v>
      </c>
      <c r="F75" s="59">
        <f t="shared" si="78"/>
        <v>277</v>
      </c>
      <c r="G75" s="61">
        <f>AVERAGE(G71:G74)</f>
        <v>12.323647088547034</v>
      </c>
      <c r="H75" s="59"/>
      <c r="I75" s="62"/>
      <c r="J75" s="59">
        <f t="shared" ref="J75:K75" si="79">SUM(J71:J74)</f>
        <v>2423</v>
      </c>
      <c r="K75" s="59">
        <f t="shared" si="79"/>
        <v>277</v>
      </c>
      <c r="L75" s="61">
        <f>AVERAGE(L71:L74)</f>
        <v>14.276730641050786</v>
      </c>
      <c r="M75" s="64"/>
      <c r="N75" s="325">
        <f>SUM(N71:N74)</f>
        <v>5272160</v>
      </c>
    </row>
    <row r="76" spans="1:14" ht="16">
      <c r="A76" s="338">
        <v>45693</v>
      </c>
      <c r="B76" s="140" t="s">
        <v>38</v>
      </c>
      <c r="C76" s="83">
        <v>139409</v>
      </c>
      <c r="D76" s="39">
        <v>139984</v>
      </c>
      <c r="E76" s="36">
        <f t="shared" ref="E76:E79" si="80">D76-C76</f>
        <v>575</v>
      </c>
      <c r="F76" s="37">
        <v>65</v>
      </c>
      <c r="G76" s="13">
        <f t="shared" ref="G76:G79" si="81">(F76/E76)*100</f>
        <v>11.304347826086957</v>
      </c>
      <c r="H76" s="125"/>
      <c r="I76" s="126"/>
      <c r="J76" s="39">
        <f t="shared" ref="J76:J79" si="82">I76-H76</f>
        <v>0</v>
      </c>
      <c r="K76" s="39">
        <f t="shared" ref="K76:K79" si="83">F76</f>
        <v>65</v>
      </c>
      <c r="L76" s="136" t="e">
        <f t="shared" ref="L76:L79" si="84">(K76/J76)*100</f>
        <v>#DIV/0!</v>
      </c>
      <c r="M76" s="68">
        <v>19240</v>
      </c>
      <c r="N76" s="294">
        <f t="shared" ref="N76:N79" si="85">F76*M76</f>
        <v>1250600</v>
      </c>
    </row>
    <row r="77" spans="1:14" ht="16">
      <c r="A77" s="139">
        <v>45699</v>
      </c>
      <c r="B77" s="140" t="s">
        <v>38</v>
      </c>
      <c r="C77" s="83">
        <v>139984</v>
      </c>
      <c r="D77" s="83">
        <v>140485</v>
      </c>
      <c r="E77" s="36">
        <f t="shared" si="80"/>
        <v>501</v>
      </c>
      <c r="F77" s="141">
        <v>65</v>
      </c>
      <c r="G77" s="13">
        <f t="shared" si="81"/>
        <v>12.974051896207584</v>
      </c>
      <c r="H77" s="83"/>
      <c r="I77" s="125"/>
      <c r="J77" s="83">
        <f t="shared" si="82"/>
        <v>0</v>
      </c>
      <c r="K77" s="83">
        <f t="shared" si="83"/>
        <v>65</v>
      </c>
      <c r="L77" s="136" t="e">
        <f t="shared" si="84"/>
        <v>#DIV/0!</v>
      </c>
      <c r="M77" s="116">
        <v>19050</v>
      </c>
      <c r="N77" s="294">
        <f t="shared" si="85"/>
        <v>1238250</v>
      </c>
    </row>
    <row r="78" spans="1:14" ht="16">
      <c r="A78" s="139">
        <v>45707</v>
      </c>
      <c r="B78" s="140" t="s">
        <v>38</v>
      </c>
      <c r="C78" s="83">
        <v>140485</v>
      </c>
      <c r="D78" s="39">
        <v>141117</v>
      </c>
      <c r="E78" s="36">
        <f t="shared" si="80"/>
        <v>632</v>
      </c>
      <c r="F78" s="141">
        <v>70</v>
      </c>
      <c r="G78" s="13">
        <f t="shared" si="81"/>
        <v>11.075949367088606</v>
      </c>
      <c r="H78" s="83"/>
      <c r="I78" s="125">
        <v>1669</v>
      </c>
      <c r="J78" s="83">
        <f t="shared" si="82"/>
        <v>1669</v>
      </c>
      <c r="K78" s="83">
        <f t="shared" si="83"/>
        <v>70</v>
      </c>
      <c r="L78" s="136">
        <f t="shared" si="84"/>
        <v>4.1941282204913124</v>
      </c>
      <c r="M78" s="116">
        <v>19070</v>
      </c>
      <c r="N78" s="307">
        <f t="shared" si="85"/>
        <v>1334900</v>
      </c>
    </row>
    <row r="79" spans="1:14" ht="16">
      <c r="A79" s="138">
        <v>45715</v>
      </c>
      <c r="B79" s="269" t="s">
        <v>38</v>
      </c>
      <c r="C79" s="83">
        <v>141117</v>
      </c>
      <c r="D79" s="83">
        <v>141687</v>
      </c>
      <c r="E79" s="36">
        <f t="shared" si="80"/>
        <v>570</v>
      </c>
      <c r="F79" s="141">
        <v>74</v>
      </c>
      <c r="G79" s="13">
        <f t="shared" si="81"/>
        <v>12.982456140350877</v>
      </c>
      <c r="H79" s="83">
        <v>1669</v>
      </c>
      <c r="I79" s="125">
        <v>2094</v>
      </c>
      <c r="J79" s="83">
        <f t="shared" si="82"/>
        <v>425</v>
      </c>
      <c r="K79" s="83">
        <f t="shared" si="83"/>
        <v>74</v>
      </c>
      <c r="L79" s="136">
        <f t="shared" si="84"/>
        <v>17.411764705882351</v>
      </c>
      <c r="M79" s="116">
        <v>19060</v>
      </c>
      <c r="N79" s="307">
        <f t="shared" si="85"/>
        <v>1410440</v>
      </c>
    </row>
    <row r="80" spans="1:14" ht="16">
      <c r="A80" s="310"/>
      <c r="B80" s="332"/>
      <c r="C80" s="311"/>
      <c r="D80" s="312" t="s">
        <v>19</v>
      </c>
      <c r="E80" s="313">
        <f t="shared" ref="E80:F80" si="86">SUM(E76:E79)</f>
        <v>2278</v>
      </c>
      <c r="F80" s="313">
        <f t="shared" si="86"/>
        <v>274</v>
      </c>
      <c r="G80" s="314">
        <f>AVERAGE(G76:G79)</f>
        <v>12.084201307433506</v>
      </c>
      <c r="H80" s="311"/>
      <c r="I80" s="315"/>
      <c r="J80" s="312">
        <f t="shared" ref="J80:K80" si="87">SUM(J76:J79)</f>
        <v>2094</v>
      </c>
      <c r="K80" s="312">
        <f t="shared" si="87"/>
        <v>274</v>
      </c>
      <c r="L80" s="316" t="e">
        <f>AVERAGE(L76:L79)</f>
        <v>#DIV/0!</v>
      </c>
      <c r="M80" s="317"/>
      <c r="N80" s="339">
        <f>SUM(N76:N79)</f>
        <v>5234190</v>
      </c>
    </row>
    <row r="81" spans="1:26" ht="16">
      <c r="A81" s="112">
        <v>45695</v>
      </c>
      <c r="B81" s="283" t="s">
        <v>39</v>
      </c>
      <c r="C81" s="12">
        <v>89089</v>
      </c>
      <c r="D81" s="83">
        <v>89741</v>
      </c>
      <c r="E81" s="36">
        <f t="shared" ref="E81:E84" si="88">D81-C81</f>
        <v>652</v>
      </c>
      <c r="F81" s="141">
        <v>77</v>
      </c>
      <c r="G81" s="114">
        <f t="shared" ref="G81:G84" si="89">(F81/E81)*100</f>
        <v>11.809815950920246</v>
      </c>
      <c r="H81" s="83"/>
      <c r="I81" s="125"/>
      <c r="J81" s="83">
        <f t="shared" ref="J81:J84" si="90">I81-H81</f>
        <v>0</v>
      </c>
      <c r="K81" s="83">
        <f t="shared" ref="K81:K84" si="91">F81</f>
        <v>77</v>
      </c>
      <c r="L81" s="290" t="e">
        <f t="shared" ref="L81:L84" si="92">(K81/J81)*100</f>
        <v>#DIV/0!</v>
      </c>
      <c r="M81" s="116">
        <v>19050</v>
      </c>
      <c r="N81" s="319">
        <f t="shared" ref="N81:N84" si="93">F81*M81</f>
        <v>1466850</v>
      </c>
    </row>
    <row r="82" spans="1:26" ht="16">
      <c r="A82" s="7">
        <v>45702</v>
      </c>
      <c r="B82" s="283" t="s">
        <v>39</v>
      </c>
      <c r="C82" s="12">
        <v>89741</v>
      </c>
      <c r="D82" s="12">
        <v>90495</v>
      </c>
      <c r="E82" s="11">
        <f t="shared" si="88"/>
        <v>754</v>
      </c>
      <c r="F82" s="12">
        <v>75</v>
      </c>
      <c r="G82" s="13">
        <f t="shared" si="89"/>
        <v>9.9469496021220163</v>
      </c>
      <c r="H82" s="12"/>
      <c r="I82" s="15">
        <v>2002</v>
      </c>
      <c r="J82" s="83">
        <f t="shared" si="90"/>
        <v>2002</v>
      </c>
      <c r="K82" s="83">
        <f t="shared" si="91"/>
        <v>75</v>
      </c>
      <c r="L82" s="290">
        <f t="shared" si="92"/>
        <v>3.7462537462537462</v>
      </c>
      <c r="M82" s="17">
        <v>19070</v>
      </c>
      <c r="N82" s="320">
        <f t="shared" si="93"/>
        <v>1430250</v>
      </c>
      <c r="S82" s="229"/>
      <c r="T82" s="229"/>
      <c r="U82" s="229"/>
      <c r="V82" s="229"/>
      <c r="W82" s="229"/>
      <c r="X82" s="229"/>
      <c r="Y82" s="229"/>
      <c r="Z82" s="229"/>
    </row>
    <row r="83" spans="1:26" ht="16">
      <c r="A83" s="138">
        <v>45709</v>
      </c>
      <c r="B83" s="283" t="s">
        <v>39</v>
      </c>
      <c r="C83" s="83">
        <v>90495</v>
      </c>
      <c r="D83" s="83">
        <v>91312</v>
      </c>
      <c r="E83" s="11">
        <f t="shared" si="88"/>
        <v>817</v>
      </c>
      <c r="F83" s="141">
        <v>83</v>
      </c>
      <c r="G83" s="13">
        <f t="shared" si="89"/>
        <v>10.159118727050185</v>
      </c>
      <c r="H83" s="83"/>
      <c r="I83" s="125"/>
      <c r="J83" s="83">
        <f t="shared" si="90"/>
        <v>0</v>
      </c>
      <c r="K83" s="83">
        <f t="shared" si="91"/>
        <v>83</v>
      </c>
      <c r="L83" s="290" t="e">
        <f t="shared" si="92"/>
        <v>#DIV/0!</v>
      </c>
      <c r="M83" s="116">
        <v>19060</v>
      </c>
      <c r="N83" s="320">
        <f t="shared" si="93"/>
        <v>1581980</v>
      </c>
    </row>
    <row r="84" spans="1:26" ht="16">
      <c r="A84" s="138">
        <v>45714</v>
      </c>
      <c r="B84" s="283" t="s">
        <v>39</v>
      </c>
      <c r="C84" s="83">
        <v>91312</v>
      </c>
      <c r="D84" s="83">
        <v>91880</v>
      </c>
      <c r="E84" s="11">
        <f t="shared" si="88"/>
        <v>568</v>
      </c>
      <c r="F84" s="141">
        <v>55</v>
      </c>
      <c r="G84" s="13">
        <f t="shared" si="89"/>
        <v>9.683098591549296</v>
      </c>
      <c r="H84" s="83"/>
      <c r="I84" s="125"/>
      <c r="J84" s="83">
        <f t="shared" si="90"/>
        <v>0</v>
      </c>
      <c r="K84" s="83">
        <f t="shared" si="91"/>
        <v>55</v>
      </c>
      <c r="L84" s="136" t="e">
        <f t="shared" si="92"/>
        <v>#DIV/0!</v>
      </c>
      <c r="M84" s="116">
        <v>19060</v>
      </c>
      <c r="N84" s="297">
        <f t="shared" si="93"/>
        <v>1048300</v>
      </c>
    </row>
    <row r="85" spans="1:26" ht="16">
      <c r="A85" s="59"/>
      <c r="B85" s="60"/>
      <c r="C85" s="59"/>
      <c r="D85" s="59" t="s">
        <v>19</v>
      </c>
      <c r="E85" s="59">
        <f t="shared" ref="E85:F85" si="94">SUM(E76:E84)</f>
        <v>7347</v>
      </c>
      <c r="F85" s="59">
        <f t="shared" si="94"/>
        <v>838</v>
      </c>
      <c r="G85" s="61">
        <f>AVERAGE(G76:G84)</f>
        <v>11.335554378756585</v>
      </c>
      <c r="H85" s="59"/>
      <c r="I85" s="62"/>
      <c r="J85" s="59">
        <f t="shared" ref="J85:K85" si="95">SUM(J76:J84)</f>
        <v>6190</v>
      </c>
      <c r="K85" s="59">
        <f t="shared" si="95"/>
        <v>838</v>
      </c>
      <c r="L85" s="61" t="e">
        <f>AVERAGE(L76:L84)</f>
        <v>#DIV/0!</v>
      </c>
      <c r="M85" s="64"/>
      <c r="N85" s="325">
        <f>SUM(N81:N84)</f>
        <v>5527380</v>
      </c>
    </row>
    <row r="86" spans="1:26" ht="16">
      <c r="A86" s="66">
        <v>45700</v>
      </c>
      <c r="B86" s="140" t="s">
        <v>40</v>
      </c>
      <c r="C86" s="83">
        <v>84274</v>
      </c>
      <c r="D86" s="12">
        <v>84866</v>
      </c>
      <c r="E86" s="36">
        <f t="shared" ref="E86:E88" si="96">D86-C86</f>
        <v>592</v>
      </c>
      <c r="F86" s="37">
        <v>70</v>
      </c>
      <c r="G86" s="13">
        <f t="shared" ref="G86:G88" si="97">(F86/E86)*100</f>
        <v>11.824324324324325</v>
      </c>
      <c r="H86" s="83">
        <v>83826</v>
      </c>
      <c r="I86" s="126">
        <v>84815</v>
      </c>
      <c r="J86" s="39">
        <f t="shared" ref="J86:J88" si="98">I86-H86</f>
        <v>989</v>
      </c>
      <c r="K86" s="39">
        <f t="shared" ref="K86:K88" si="99">F86</f>
        <v>70</v>
      </c>
      <c r="L86" s="136">
        <f t="shared" ref="L86:L88" si="100">(K86/J86)*100</f>
        <v>7.0778564206268966</v>
      </c>
      <c r="M86" s="68">
        <v>19050</v>
      </c>
      <c r="N86" s="294">
        <f t="shared" ref="N86:N88" si="101">F86*M86</f>
        <v>1333500</v>
      </c>
    </row>
    <row r="87" spans="1:26" ht="16">
      <c r="A87" s="138">
        <v>45707</v>
      </c>
      <c r="B87" s="140" t="s">
        <v>40</v>
      </c>
      <c r="C87" s="83">
        <v>84866</v>
      </c>
      <c r="D87" s="83">
        <v>85495</v>
      </c>
      <c r="E87" s="11">
        <f t="shared" si="96"/>
        <v>629</v>
      </c>
      <c r="F87" s="141">
        <v>70</v>
      </c>
      <c r="G87" s="13">
        <f t="shared" si="97"/>
        <v>11.128775834658187</v>
      </c>
      <c r="H87" s="83">
        <v>84815</v>
      </c>
      <c r="I87" s="125">
        <v>85438</v>
      </c>
      <c r="J87" s="83">
        <f t="shared" si="98"/>
        <v>623</v>
      </c>
      <c r="K87" s="83">
        <f t="shared" si="99"/>
        <v>70</v>
      </c>
      <c r="L87" s="136">
        <f t="shared" si="100"/>
        <v>11.235955056179774</v>
      </c>
      <c r="M87" s="116">
        <v>19070</v>
      </c>
      <c r="N87" s="296">
        <f t="shared" si="101"/>
        <v>1334900</v>
      </c>
    </row>
    <row r="88" spans="1:26" ht="16">
      <c r="A88" s="138">
        <v>45714</v>
      </c>
      <c r="B88" s="140" t="s">
        <v>40</v>
      </c>
      <c r="C88" s="83">
        <v>85495</v>
      </c>
      <c r="D88" s="83">
        <v>86237</v>
      </c>
      <c r="E88" s="11">
        <f t="shared" si="96"/>
        <v>742</v>
      </c>
      <c r="F88" s="141">
        <v>77</v>
      </c>
      <c r="G88" s="13">
        <f t="shared" si="97"/>
        <v>10.377358490566039</v>
      </c>
      <c r="H88" s="83">
        <v>85438</v>
      </c>
      <c r="I88" s="125">
        <v>86102</v>
      </c>
      <c r="J88" s="83">
        <f t="shared" si="98"/>
        <v>664</v>
      </c>
      <c r="K88" s="83">
        <f t="shared" si="99"/>
        <v>77</v>
      </c>
      <c r="L88" s="136">
        <f t="shared" si="100"/>
        <v>11.596385542168674</v>
      </c>
      <c r="M88" s="116">
        <v>19060</v>
      </c>
      <c r="N88" s="297">
        <f t="shared" si="101"/>
        <v>1467620</v>
      </c>
    </row>
    <row r="89" spans="1:26" ht="16">
      <c r="A89" s="59"/>
      <c r="B89" s="60"/>
      <c r="C89" s="59"/>
      <c r="D89" s="59" t="s">
        <v>19</v>
      </c>
      <c r="E89" s="59">
        <f t="shared" ref="E89:F89" si="102">SUM(E86:E88)</f>
        <v>1963</v>
      </c>
      <c r="F89" s="59">
        <f t="shared" si="102"/>
        <v>217</v>
      </c>
      <c r="G89" s="61">
        <f>AVERAGE(G86:G88)</f>
        <v>11.110152883182849</v>
      </c>
      <c r="H89" s="59"/>
      <c r="I89" s="62"/>
      <c r="J89" s="59">
        <f t="shared" ref="J89:K89" si="103">SUM(J86:J88)</f>
        <v>2276</v>
      </c>
      <c r="K89" s="59">
        <f t="shared" si="103"/>
        <v>217</v>
      </c>
      <c r="L89" s="61">
        <f>AVERAGE(L86:L88)</f>
        <v>9.9700656729917814</v>
      </c>
      <c r="M89" s="64"/>
      <c r="N89" s="325">
        <f>SUM(N86:N88)</f>
        <v>4136020</v>
      </c>
    </row>
    <row r="90" spans="1:26" ht="14">
      <c r="A90" s="354" t="s">
        <v>64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7"/>
      <c r="N90" s="340">
        <f>N10+N18+N26+N34+N42+N50+N58+N66+N70+N75+N85+N89+N80</f>
        <v>54915075</v>
      </c>
      <c r="P90" s="76">
        <f>19149490+20175140+14944600+7599800</f>
        <v>61869030</v>
      </c>
    </row>
    <row r="91" spans="1:26" ht="13">
      <c r="G91" s="150"/>
      <c r="L91" s="150"/>
    </row>
    <row r="92" spans="1:26" ht="31.5" customHeight="1">
      <c r="D92" s="152" t="s">
        <v>45</v>
      </c>
      <c r="E92" s="153"/>
      <c r="G92" s="150"/>
      <c r="L92" s="150"/>
      <c r="Q92" s="76">
        <f>61869030-54915075</f>
        <v>6953955</v>
      </c>
    </row>
    <row r="93" spans="1:26" ht="16">
      <c r="A93" s="220" t="s">
        <v>1</v>
      </c>
      <c r="B93" s="154" t="s">
        <v>2</v>
      </c>
      <c r="C93" s="148" t="s">
        <v>3</v>
      </c>
      <c r="D93" s="148" t="s">
        <v>4</v>
      </c>
      <c r="E93" s="148" t="s">
        <v>5</v>
      </c>
      <c r="F93" s="148" t="s">
        <v>6</v>
      </c>
      <c r="G93" s="155" t="s">
        <v>7</v>
      </c>
      <c r="H93" s="156" t="s">
        <v>8</v>
      </c>
      <c r="I93" s="157" t="s">
        <v>8</v>
      </c>
      <c r="J93" s="148" t="s">
        <v>5</v>
      </c>
      <c r="K93" s="148" t="s">
        <v>6</v>
      </c>
      <c r="L93" s="155" t="s">
        <v>7</v>
      </c>
      <c r="M93" s="148" t="s">
        <v>9</v>
      </c>
      <c r="N93" s="158" t="s">
        <v>10</v>
      </c>
    </row>
    <row r="94" spans="1:26" ht="16">
      <c r="A94" s="66">
        <v>45695</v>
      </c>
      <c r="B94" s="140" t="s">
        <v>46</v>
      </c>
      <c r="C94" s="12"/>
      <c r="D94" s="12">
        <v>238000</v>
      </c>
      <c r="E94" s="11">
        <f t="shared" ref="E94:E98" si="104">D94-C94</f>
        <v>238000</v>
      </c>
      <c r="F94" s="37">
        <v>436</v>
      </c>
      <c r="G94" s="13">
        <f t="shared" ref="G94:G98" si="105">(F94/E94)*100</f>
        <v>0.18319327731092436</v>
      </c>
      <c r="H94" s="83"/>
      <c r="I94" s="126"/>
      <c r="J94" s="39">
        <f t="shared" ref="J94:J98" si="106">I94-H94</f>
        <v>0</v>
      </c>
      <c r="K94" s="39">
        <f t="shared" ref="K94:K98" si="107">F94</f>
        <v>436</v>
      </c>
      <c r="L94" s="136" t="e">
        <f t="shared" ref="L94:L98" si="108">(K94/J94)*100</f>
        <v>#DIV/0!</v>
      </c>
      <c r="M94" s="68">
        <v>19050</v>
      </c>
      <c r="N94" s="324">
        <f t="shared" ref="N94:N98" si="109">F94*M94</f>
        <v>8305800</v>
      </c>
    </row>
    <row r="95" spans="1:26" ht="16">
      <c r="A95" s="138">
        <v>45714</v>
      </c>
      <c r="B95" s="140"/>
      <c r="C95" s="83">
        <v>238000</v>
      </c>
      <c r="D95" s="11">
        <v>384387</v>
      </c>
      <c r="E95" s="11">
        <f t="shared" si="104"/>
        <v>146387</v>
      </c>
      <c r="F95" s="141">
        <v>456.46</v>
      </c>
      <c r="G95" s="13">
        <f t="shared" si="105"/>
        <v>0.31181730618155984</v>
      </c>
      <c r="H95" s="83">
        <v>1780</v>
      </c>
      <c r="I95" s="125"/>
      <c r="J95" s="83">
        <f t="shared" si="106"/>
        <v>-1780</v>
      </c>
      <c r="K95" s="83">
        <f t="shared" si="107"/>
        <v>456.46</v>
      </c>
      <c r="L95" s="136">
        <f t="shared" si="108"/>
        <v>-25.6438202247191</v>
      </c>
      <c r="M95" s="116">
        <v>19060</v>
      </c>
      <c r="N95" s="329">
        <f t="shared" si="109"/>
        <v>8700127.5999999996</v>
      </c>
      <c r="Q95" s="76" t="s">
        <v>103</v>
      </c>
    </row>
    <row r="96" spans="1:26" ht="16">
      <c r="A96" s="138"/>
      <c r="B96" s="140"/>
      <c r="C96" s="83"/>
      <c r="D96" s="83"/>
      <c r="E96" s="11">
        <f t="shared" si="104"/>
        <v>0</v>
      </c>
      <c r="F96" s="141"/>
      <c r="G96" s="13" t="e">
        <f t="shared" si="105"/>
        <v>#DIV/0!</v>
      </c>
      <c r="H96" s="83"/>
      <c r="I96" s="125"/>
      <c r="J96" s="83">
        <f t="shared" si="106"/>
        <v>0</v>
      </c>
      <c r="K96" s="83">
        <f t="shared" si="107"/>
        <v>0</v>
      </c>
      <c r="L96" s="136" t="e">
        <f t="shared" si="108"/>
        <v>#DIV/0!</v>
      </c>
      <c r="M96" s="116"/>
      <c r="N96" s="201">
        <f t="shared" si="109"/>
        <v>0</v>
      </c>
      <c r="Q96" s="76">
        <f>1238900+1231750+1000000+1143000+1144200+1144200+52000</f>
        <v>6954050</v>
      </c>
    </row>
    <row r="97" spans="1:14" ht="16">
      <c r="A97" s="138"/>
      <c r="B97" s="140"/>
      <c r="C97" s="83"/>
      <c r="D97" s="83"/>
      <c r="E97" s="11">
        <f t="shared" si="104"/>
        <v>0</v>
      </c>
      <c r="F97" s="141"/>
      <c r="G97" s="13" t="e">
        <f t="shared" si="105"/>
        <v>#DIV/0!</v>
      </c>
      <c r="H97" s="83"/>
      <c r="I97" s="125"/>
      <c r="J97" s="83">
        <f t="shared" si="106"/>
        <v>0</v>
      </c>
      <c r="K97" s="83">
        <f t="shared" si="107"/>
        <v>0</v>
      </c>
      <c r="L97" s="136" t="e">
        <f t="shared" si="108"/>
        <v>#DIV/0!</v>
      </c>
      <c r="M97" s="116"/>
      <c r="N97" s="201">
        <f t="shared" si="109"/>
        <v>0</v>
      </c>
    </row>
    <row r="98" spans="1:14" ht="16">
      <c r="A98" s="138"/>
      <c r="B98" s="140"/>
      <c r="C98" s="83"/>
      <c r="D98" s="83"/>
      <c r="E98" s="11">
        <f t="shared" si="104"/>
        <v>0</v>
      </c>
      <c r="F98" s="141"/>
      <c r="G98" s="13" t="e">
        <f t="shared" si="105"/>
        <v>#DIV/0!</v>
      </c>
      <c r="H98" s="83"/>
      <c r="I98" s="125"/>
      <c r="J98" s="83">
        <f t="shared" si="106"/>
        <v>0</v>
      </c>
      <c r="K98" s="83">
        <f t="shared" si="107"/>
        <v>0</v>
      </c>
      <c r="L98" s="136" t="e">
        <f t="shared" si="108"/>
        <v>#DIV/0!</v>
      </c>
      <c r="M98" s="116"/>
      <c r="N98" s="201">
        <f t="shared" si="109"/>
        <v>0</v>
      </c>
    </row>
    <row r="99" spans="1:14" ht="16">
      <c r="A99" s="59"/>
      <c r="B99" s="60"/>
      <c r="C99" s="59"/>
      <c r="D99" s="59" t="s">
        <v>19</v>
      </c>
      <c r="E99" s="59">
        <f t="shared" ref="E99:F99" si="110">SUM(E94:E98)</f>
        <v>384387</v>
      </c>
      <c r="F99" s="59">
        <f t="shared" si="110"/>
        <v>892.46</v>
      </c>
      <c r="G99" s="61" t="e">
        <f>AVERAGE(G94:G98)</f>
        <v>#DIV/0!</v>
      </c>
      <c r="H99" s="59"/>
      <c r="I99" s="62"/>
      <c r="J99" s="59">
        <f t="shared" ref="J99:K99" si="111">SUM(J94:J98)</f>
        <v>-1780</v>
      </c>
      <c r="K99" s="59">
        <f t="shared" si="111"/>
        <v>892.46</v>
      </c>
      <c r="L99" s="61" t="e">
        <f>AVERAGE(L94:L98)</f>
        <v>#DIV/0!</v>
      </c>
      <c r="M99" s="64"/>
      <c r="N99" s="325">
        <f>SUM(N94:N98)</f>
        <v>17005927.600000001</v>
      </c>
    </row>
    <row r="100" spans="1:14" ht="16">
      <c r="A100" s="66">
        <v>45698</v>
      </c>
      <c r="B100" s="140" t="s">
        <v>48</v>
      </c>
      <c r="C100" s="83">
        <v>447900</v>
      </c>
      <c r="D100" s="12">
        <v>448350</v>
      </c>
      <c r="E100" s="36">
        <f t="shared" ref="E100:E104" si="112">D100-C100</f>
        <v>450</v>
      </c>
      <c r="F100" s="37">
        <v>299.23</v>
      </c>
      <c r="G100" s="13">
        <f t="shared" ref="G100:G104" si="113">(F100/E100)*100</f>
        <v>66.495555555555569</v>
      </c>
      <c r="H100" s="83"/>
      <c r="I100" s="126"/>
      <c r="J100" s="39">
        <f t="shared" ref="J100:J104" si="114">I100-H100</f>
        <v>0</v>
      </c>
      <c r="K100" s="39">
        <f t="shared" ref="K100:K104" si="115">F100</f>
        <v>299.23</v>
      </c>
      <c r="L100" s="136" t="e">
        <f t="shared" ref="L100:L104" si="116">(K100/J100)*100</f>
        <v>#DIV/0!</v>
      </c>
      <c r="M100" s="68">
        <v>19050</v>
      </c>
      <c r="N100" s="324">
        <f t="shared" ref="N100:N104" si="117">F100*M100</f>
        <v>5700331.5</v>
      </c>
    </row>
    <row r="101" spans="1:14" ht="16">
      <c r="A101" s="138">
        <v>45714</v>
      </c>
      <c r="B101" s="140"/>
      <c r="C101" s="83">
        <v>448350</v>
      </c>
      <c r="D101" s="83">
        <v>448780</v>
      </c>
      <c r="E101" s="11">
        <f t="shared" si="112"/>
        <v>430</v>
      </c>
      <c r="F101" s="141">
        <v>288.5625</v>
      </c>
      <c r="G101" s="13">
        <f t="shared" si="113"/>
        <v>67.107558139534888</v>
      </c>
      <c r="H101" s="83"/>
      <c r="I101" s="125"/>
      <c r="J101" s="83">
        <f t="shared" si="114"/>
        <v>0</v>
      </c>
      <c r="K101" s="83">
        <f t="shared" si="115"/>
        <v>288.5625</v>
      </c>
      <c r="L101" s="136" t="e">
        <f t="shared" si="116"/>
        <v>#DIV/0!</v>
      </c>
      <c r="M101" s="116">
        <v>19060</v>
      </c>
      <c r="N101" s="329">
        <f t="shared" si="117"/>
        <v>5500001.25</v>
      </c>
    </row>
    <row r="102" spans="1:14" ht="16">
      <c r="A102" s="138"/>
      <c r="B102" s="140"/>
      <c r="C102" s="83"/>
      <c r="D102" s="83"/>
      <c r="E102" s="11">
        <f t="shared" si="112"/>
        <v>0</v>
      </c>
      <c r="F102" s="141"/>
      <c r="G102" s="13" t="e">
        <f t="shared" si="113"/>
        <v>#DIV/0!</v>
      </c>
      <c r="H102" s="83"/>
      <c r="I102" s="125"/>
      <c r="J102" s="83">
        <f t="shared" si="114"/>
        <v>0</v>
      </c>
      <c r="K102" s="83">
        <f t="shared" si="115"/>
        <v>0</v>
      </c>
      <c r="L102" s="136" t="e">
        <f t="shared" si="116"/>
        <v>#DIV/0!</v>
      </c>
      <c r="M102" s="116"/>
      <c r="N102" s="201">
        <f t="shared" si="117"/>
        <v>0</v>
      </c>
    </row>
    <row r="103" spans="1:14" ht="16">
      <c r="A103" s="138"/>
      <c r="B103" s="140"/>
      <c r="C103" s="83"/>
      <c r="D103" s="83"/>
      <c r="E103" s="11">
        <f t="shared" si="112"/>
        <v>0</v>
      </c>
      <c r="F103" s="141"/>
      <c r="G103" s="13" t="e">
        <f t="shared" si="113"/>
        <v>#DIV/0!</v>
      </c>
      <c r="H103" s="83"/>
      <c r="I103" s="125"/>
      <c r="J103" s="83">
        <f t="shared" si="114"/>
        <v>0</v>
      </c>
      <c r="K103" s="83">
        <f t="shared" si="115"/>
        <v>0</v>
      </c>
      <c r="L103" s="136" t="e">
        <f t="shared" si="116"/>
        <v>#DIV/0!</v>
      </c>
      <c r="M103" s="116"/>
      <c r="N103" s="201">
        <f t="shared" si="117"/>
        <v>0</v>
      </c>
    </row>
    <row r="104" spans="1:14" ht="16">
      <c r="A104" s="138"/>
      <c r="B104" s="140"/>
      <c r="C104" s="83"/>
      <c r="D104" s="83"/>
      <c r="E104" s="11">
        <f t="shared" si="112"/>
        <v>0</v>
      </c>
      <c r="F104" s="141"/>
      <c r="G104" s="13" t="e">
        <f t="shared" si="113"/>
        <v>#DIV/0!</v>
      </c>
      <c r="H104" s="83"/>
      <c r="I104" s="125"/>
      <c r="J104" s="83">
        <f t="shared" si="114"/>
        <v>0</v>
      </c>
      <c r="K104" s="83">
        <f t="shared" si="115"/>
        <v>0</v>
      </c>
      <c r="L104" s="136" t="e">
        <f t="shared" si="116"/>
        <v>#DIV/0!</v>
      </c>
      <c r="M104" s="116"/>
      <c r="N104" s="201">
        <f t="shared" si="117"/>
        <v>0</v>
      </c>
    </row>
    <row r="105" spans="1:14" ht="16">
      <c r="A105" s="59"/>
      <c r="B105" s="60"/>
      <c r="C105" s="59"/>
      <c r="D105" s="59" t="s">
        <v>19</v>
      </c>
      <c r="E105" s="59">
        <f t="shared" ref="E105:F105" si="118">SUM(E100:E104)</f>
        <v>880</v>
      </c>
      <c r="F105" s="59">
        <f t="shared" si="118"/>
        <v>587.79250000000002</v>
      </c>
      <c r="G105" s="61" t="e">
        <f>AVERAGE(G100:G104)</f>
        <v>#DIV/0!</v>
      </c>
      <c r="H105" s="59"/>
      <c r="I105" s="62"/>
      <c r="J105" s="59">
        <f t="shared" ref="J105:K105" si="119">SUM(J100:J104)</f>
        <v>0</v>
      </c>
      <c r="K105" s="59">
        <f t="shared" si="119"/>
        <v>587.79250000000002</v>
      </c>
      <c r="L105" s="61" t="e">
        <f>AVERAGE(L100:L104)</f>
        <v>#DIV/0!</v>
      </c>
      <c r="M105" s="64"/>
      <c r="N105" s="325">
        <f>SUM(N100:N104)</f>
        <v>11200332.75</v>
      </c>
    </row>
    <row r="106" spans="1:14" ht="16">
      <c r="A106" s="66">
        <v>45692</v>
      </c>
      <c r="B106" s="140" t="s">
        <v>49</v>
      </c>
      <c r="C106" s="83"/>
      <c r="D106" s="12"/>
      <c r="E106" s="36">
        <f t="shared" ref="E106:E110" si="120">D106-C106</f>
        <v>0</v>
      </c>
      <c r="F106" s="37">
        <v>228.691</v>
      </c>
      <c r="G106" s="13" t="e">
        <f t="shared" ref="G106:G110" si="121">(F106/E106)*100</f>
        <v>#DIV/0!</v>
      </c>
      <c r="H106" s="83"/>
      <c r="I106" s="126"/>
      <c r="J106" s="39">
        <f t="shared" ref="J106:J110" si="122">I106-H106</f>
        <v>0</v>
      </c>
      <c r="K106" s="39">
        <f t="shared" ref="K106:K110" si="123">F106</f>
        <v>228.691</v>
      </c>
      <c r="L106" s="136" t="e">
        <f t="shared" ref="L106:L110" si="124">(K106/J106)*100</f>
        <v>#DIV/0!</v>
      </c>
      <c r="M106" s="68">
        <v>19240</v>
      </c>
      <c r="N106" s="324">
        <f t="shared" ref="N106:N110" si="125">F106*M106</f>
        <v>4400014.84</v>
      </c>
    </row>
    <row r="107" spans="1:14" ht="16">
      <c r="A107" s="138">
        <v>45713</v>
      </c>
      <c r="B107" s="140"/>
      <c r="C107" s="83"/>
      <c r="D107" s="83"/>
      <c r="E107" s="11">
        <f t="shared" si="120"/>
        <v>0</v>
      </c>
      <c r="F107" s="141">
        <v>241.34</v>
      </c>
      <c r="G107" s="13" t="e">
        <f t="shared" si="121"/>
        <v>#DIV/0!</v>
      </c>
      <c r="H107" s="83"/>
      <c r="I107" s="125"/>
      <c r="J107" s="83">
        <f t="shared" si="122"/>
        <v>0</v>
      </c>
      <c r="K107" s="83">
        <f t="shared" si="123"/>
        <v>241.34</v>
      </c>
      <c r="L107" s="136" t="e">
        <f t="shared" si="124"/>
        <v>#DIV/0!</v>
      </c>
      <c r="M107" s="116">
        <v>19060</v>
      </c>
      <c r="N107" s="329">
        <f t="shared" si="125"/>
        <v>4599940.4000000004</v>
      </c>
    </row>
    <row r="108" spans="1:14" ht="16">
      <c r="A108" s="138"/>
      <c r="B108" s="140"/>
      <c r="C108" s="83"/>
      <c r="D108" s="83"/>
      <c r="E108" s="11">
        <f t="shared" si="120"/>
        <v>0</v>
      </c>
      <c r="F108" s="141"/>
      <c r="G108" s="13" t="e">
        <f t="shared" si="121"/>
        <v>#DIV/0!</v>
      </c>
      <c r="H108" s="83"/>
      <c r="I108" s="125"/>
      <c r="J108" s="83">
        <f t="shared" si="122"/>
        <v>0</v>
      </c>
      <c r="K108" s="83">
        <f t="shared" si="123"/>
        <v>0</v>
      </c>
      <c r="L108" s="136" t="e">
        <f t="shared" si="124"/>
        <v>#DIV/0!</v>
      </c>
      <c r="M108" s="116"/>
      <c r="N108" s="201">
        <f t="shared" si="125"/>
        <v>0</v>
      </c>
    </row>
    <row r="109" spans="1:14" ht="16">
      <c r="A109" s="138"/>
      <c r="B109" s="140"/>
      <c r="C109" s="83"/>
      <c r="D109" s="83"/>
      <c r="E109" s="11">
        <f t="shared" si="120"/>
        <v>0</v>
      </c>
      <c r="F109" s="141"/>
      <c r="G109" s="13" t="e">
        <f t="shared" si="121"/>
        <v>#DIV/0!</v>
      </c>
      <c r="H109" s="83"/>
      <c r="I109" s="125"/>
      <c r="J109" s="83">
        <f t="shared" si="122"/>
        <v>0</v>
      </c>
      <c r="K109" s="83">
        <f t="shared" si="123"/>
        <v>0</v>
      </c>
      <c r="L109" s="136" t="e">
        <f t="shared" si="124"/>
        <v>#DIV/0!</v>
      </c>
      <c r="M109" s="116"/>
      <c r="N109" s="201">
        <f t="shared" si="125"/>
        <v>0</v>
      </c>
    </row>
    <row r="110" spans="1:14" ht="16">
      <c r="A110" s="138"/>
      <c r="B110" s="140"/>
      <c r="C110" s="83"/>
      <c r="D110" s="83"/>
      <c r="E110" s="11">
        <f t="shared" si="120"/>
        <v>0</v>
      </c>
      <c r="F110" s="141"/>
      <c r="G110" s="13" t="e">
        <f t="shared" si="121"/>
        <v>#DIV/0!</v>
      </c>
      <c r="H110" s="83"/>
      <c r="I110" s="125"/>
      <c r="J110" s="83">
        <f t="shared" si="122"/>
        <v>0</v>
      </c>
      <c r="K110" s="83">
        <f t="shared" si="123"/>
        <v>0</v>
      </c>
      <c r="L110" s="136" t="e">
        <f t="shared" si="124"/>
        <v>#DIV/0!</v>
      </c>
      <c r="M110" s="116"/>
      <c r="N110" s="201">
        <f t="shared" si="125"/>
        <v>0</v>
      </c>
    </row>
    <row r="111" spans="1:14" ht="16">
      <c r="A111" s="59"/>
      <c r="B111" s="60"/>
      <c r="C111" s="59"/>
      <c r="D111" s="59" t="s">
        <v>19</v>
      </c>
      <c r="E111" s="59">
        <f t="shared" ref="E111:F111" si="126">SUM(E106:E110)</f>
        <v>0</v>
      </c>
      <c r="F111" s="59">
        <f t="shared" si="126"/>
        <v>470.03100000000001</v>
      </c>
      <c r="G111" s="61" t="e">
        <f>AVERAGE(G106:G110)</f>
        <v>#DIV/0!</v>
      </c>
      <c r="H111" s="59"/>
      <c r="I111" s="62"/>
      <c r="J111" s="59">
        <f t="shared" ref="J111:K111" si="127">SUM(J106:J110)</f>
        <v>0</v>
      </c>
      <c r="K111" s="59">
        <f t="shared" si="127"/>
        <v>470.03100000000001</v>
      </c>
      <c r="L111" s="61" t="e">
        <f>AVERAGE(L106:L110)</f>
        <v>#DIV/0!</v>
      </c>
      <c r="M111" s="64"/>
      <c r="N111" s="325">
        <f>SUM(N106:N110)</f>
        <v>8999955.2400000002</v>
      </c>
    </row>
    <row r="112" spans="1:14" ht="16">
      <c r="A112" s="66">
        <v>45691</v>
      </c>
      <c r="B112" s="140" t="s">
        <v>50</v>
      </c>
      <c r="C112" s="83"/>
      <c r="D112" s="12">
        <v>345060</v>
      </c>
      <c r="E112" s="36">
        <f t="shared" ref="E112:E116" si="128">D112-C112</f>
        <v>345060</v>
      </c>
      <c r="F112" s="37">
        <v>207.91</v>
      </c>
      <c r="G112" s="13">
        <f t="shared" ref="G112:G116" si="129">(F112/E112)*100</f>
        <v>6.0253289283023238E-2</v>
      </c>
      <c r="H112" s="83"/>
      <c r="I112" s="126"/>
      <c r="J112" s="39">
        <f t="shared" ref="J112:J116" si="130">I112-H112</f>
        <v>0</v>
      </c>
      <c r="K112" s="39">
        <f t="shared" ref="K112:K116" si="131">F112</f>
        <v>207.91</v>
      </c>
      <c r="L112" s="136" t="e">
        <f t="shared" ref="L112:L116" si="132">(K112/J112)*100</f>
        <v>#DIV/0!</v>
      </c>
      <c r="M112" s="68">
        <v>19240</v>
      </c>
      <c r="N112" s="324">
        <f t="shared" ref="N112:N116" si="133">F112*M112</f>
        <v>4000188.4</v>
      </c>
    </row>
    <row r="113" spans="1:14" ht="16">
      <c r="A113" s="138"/>
      <c r="B113" s="140"/>
      <c r="C113" s="83"/>
      <c r="D113" s="83"/>
      <c r="E113" s="11">
        <f t="shared" si="128"/>
        <v>0</v>
      </c>
      <c r="F113" s="141"/>
      <c r="G113" s="13" t="e">
        <f t="shared" si="129"/>
        <v>#DIV/0!</v>
      </c>
      <c r="H113" s="83"/>
      <c r="I113" s="125"/>
      <c r="J113" s="83">
        <f t="shared" si="130"/>
        <v>0</v>
      </c>
      <c r="K113" s="83">
        <f t="shared" si="131"/>
        <v>0</v>
      </c>
      <c r="L113" s="136" t="e">
        <f t="shared" si="132"/>
        <v>#DIV/0!</v>
      </c>
      <c r="M113" s="116"/>
      <c r="N113" s="329">
        <f t="shared" si="133"/>
        <v>0</v>
      </c>
    </row>
    <row r="114" spans="1:14" ht="16">
      <c r="A114" s="138"/>
      <c r="B114" s="140"/>
      <c r="C114" s="83"/>
      <c r="D114" s="83"/>
      <c r="E114" s="11">
        <f t="shared" si="128"/>
        <v>0</v>
      </c>
      <c r="F114" s="141"/>
      <c r="G114" s="13" t="e">
        <f t="shared" si="129"/>
        <v>#DIV/0!</v>
      </c>
      <c r="H114" s="83"/>
      <c r="I114" s="125"/>
      <c r="J114" s="83">
        <f t="shared" si="130"/>
        <v>0</v>
      </c>
      <c r="K114" s="83">
        <f t="shared" si="131"/>
        <v>0</v>
      </c>
      <c r="L114" s="136" t="e">
        <f t="shared" si="132"/>
        <v>#DIV/0!</v>
      </c>
      <c r="M114" s="116"/>
      <c r="N114" s="201">
        <f t="shared" si="133"/>
        <v>0</v>
      </c>
    </row>
    <row r="115" spans="1:14" ht="16">
      <c r="A115" s="138"/>
      <c r="B115" s="140"/>
      <c r="C115" s="83"/>
      <c r="D115" s="83"/>
      <c r="E115" s="11">
        <f t="shared" si="128"/>
        <v>0</v>
      </c>
      <c r="F115" s="141"/>
      <c r="G115" s="13" t="e">
        <f t="shared" si="129"/>
        <v>#DIV/0!</v>
      </c>
      <c r="H115" s="83"/>
      <c r="I115" s="125"/>
      <c r="J115" s="83">
        <f t="shared" si="130"/>
        <v>0</v>
      </c>
      <c r="K115" s="83">
        <f t="shared" si="131"/>
        <v>0</v>
      </c>
      <c r="L115" s="136" t="e">
        <f t="shared" si="132"/>
        <v>#DIV/0!</v>
      </c>
      <c r="M115" s="116"/>
      <c r="N115" s="201">
        <f t="shared" si="133"/>
        <v>0</v>
      </c>
    </row>
    <row r="116" spans="1:14" ht="16">
      <c r="A116" s="138"/>
      <c r="B116" s="140"/>
      <c r="C116" s="83"/>
      <c r="D116" s="83"/>
      <c r="E116" s="11">
        <f t="shared" si="128"/>
        <v>0</v>
      </c>
      <c r="F116" s="141"/>
      <c r="G116" s="13" t="e">
        <f t="shared" si="129"/>
        <v>#DIV/0!</v>
      </c>
      <c r="H116" s="83"/>
      <c r="I116" s="125"/>
      <c r="J116" s="83">
        <f t="shared" si="130"/>
        <v>0</v>
      </c>
      <c r="K116" s="83">
        <f t="shared" si="131"/>
        <v>0</v>
      </c>
      <c r="L116" s="136" t="e">
        <f t="shared" si="132"/>
        <v>#DIV/0!</v>
      </c>
      <c r="M116" s="116"/>
      <c r="N116" s="201">
        <f t="shared" si="133"/>
        <v>0</v>
      </c>
    </row>
    <row r="117" spans="1:14" ht="16">
      <c r="A117" s="59"/>
      <c r="B117" s="60"/>
      <c r="C117" s="59"/>
      <c r="D117" s="59" t="s">
        <v>19</v>
      </c>
      <c r="E117" s="59">
        <f t="shared" ref="E117:F117" si="134">SUM(E112:E116)</f>
        <v>345060</v>
      </c>
      <c r="F117" s="59">
        <f t="shared" si="134"/>
        <v>207.91</v>
      </c>
      <c r="G117" s="61" t="e">
        <f>AVERAGE(G112:G116)</f>
        <v>#DIV/0!</v>
      </c>
      <c r="H117" s="59"/>
      <c r="I117" s="62"/>
      <c r="J117" s="59">
        <f t="shared" ref="J117:K117" si="135">SUM(J112:J116)</f>
        <v>0</v>
      </c>
      <c r="K117" s="59">
        <f t="shared" si="135"/>
        <v>207.91</v>
      </c>
      <c r="L117" s="61" t="e">
        <f>AVERAGE(L112:L116)</f>
        <v>#DIV/0!</v>
      </c>
      <c r="M117" s="64"/>
      <c r="N117" s="325">
        <f>SUM(N112:N116)</f>
        <v>4000188.4</v>
      </c>
    </row>
    <row r="118" spans="1:14" ht="16">
      <c r="A118" s="66">
        <v>45696</v>
      </c>
      <c r="B118" s="140" t="s">
        <v>101</v>
      </c>
      <c r="C118" s="83">
        <v>295100</v>
      </c>
      <c r="D118" s="12">
        <v>295310</v>
      </c>
      <c r="E118" s="36">
        <f t="shared" ref="E118:E122" si="136">D118-C118</f>
        <v>210</v>
      </c>
      <c r="F118" s="37">
        <v>146.97999999999999</v>
      </c>
      <c r="G118" s="13">
        <f t="shared" ref="G118:G122" si="137">(F118/E118)*100</f>
        <v>69.990476190476187</v>
      </c>
      <c r="H118" s="83"/>
      <c r="I118" s="126"/>
      <c r="J118" s="39">
        <f t="shared" ref="J118:J122" si="138">I118-H118</f>
        <v>0</v>
      </c>
      <c r="K118" s="39">
        <f t="shared" ref="K118:K122" si="139">F118</f>
        <v>146.97999999999999</v>
      </c>
      <c r="L118" s="136" t="e">
        <f t="shared" ref="L118:L122" si="140">(K118/J118)*100</f>
        <v>#DIV/0!</v>
      </c>
      <c r="M118" s="68">
        <v>19050</v>
      </c>
      <c r="N118" s="324">
        <f t="shared" ref="N118:N122" si="141">F118*M118</f>
        <v>2799969</v>
      </c>
    </row>
    <row r="119" spans="1:14" ht="16">
      <c r="A119" s="138">
        <v>45713</v>
      </c>
      <c r="B119" s="140"/>
      <c r="C119" s="83">
        <v>295310</v>
      </c>
      <c r="D119" s="83">
        <v>295530</v>
      </c>
      <c r="E119" s="11">
        <f t="shared" si="136"/>
        <v>220</v>
      </c>
      <c r="F119" s="141">
        <v>136.41999999999999</v>
      </c>
      <c r="G119" s="13">
        <f t="shared" si="137"/>
        <v>62.009090909090901</v>
      </c>
      <c r="H119" s="83"/>
      <c r="I119" s="125"/>
      <c r="J119" s="83">
        <f t="shared" si="138"/>
        <v>0</v>
      </c>
      <c r="K119" s="83">
        <f t="shared" si="139"/>
        <v>136.41999999999999</v>
      </c>
      <c r="L119" s="136" t="e">
        <f t="shared" si="140"/>
        <v>#DIV/0!</v>
      </c>
      <c r="M119" s="116">
        <v>19060</v>
      </c>
      <c r="N119" s="329">
        <f t="shared" si="141"/>
        <v>2600165.1999999997</v>
      </c>
    </row>
    <row r="120" spans="1:14" ht="16">
      <c r="A120" s="138"/>
      <c r="B120" s="140"/>
      <c r="C120" s="83"/>
      <c r="D120" s="83"/>
      <c r="E120" s="11">
        <f t="shared" si="136"/>
        <v>0</v>
      </c>
      <c r="F120" s="141"/>
      <c r="G120" s="13" t="e">
        <f t="shared" si="137"/>
        <v>#DIV/0!</v>
      </c>
      <c r="H120" s="83"/>
      <c r="I120" s="125"/>
      <c r="J120" s="83">
        <f t="shared" si="138"/>
        <v>0</v>
      </c>
      <c r="K120" s="83">
        <f t="shared" si="139"/>
        <v>0</v>
      </c>
      <c r="L120" s="136" t="e">
        <f t="shared" si="140"/>
        <v>#DIV/0!</v>
      </c>
      <c r="M120" s="116"/>
      <c r="N120" s="201">
        <f t="shared" si="141"/>
        <v>0</v>
      </c>
    </row>
    <row r="121" spans="1:14" ht="16">
      <c r="A121" s="138"/>
      <c r="B121" s="140"/>
      <c r="C121" s="83"/>
      <c r="D121" s="83"/>
      <c r="E121" s="11">
        <f t="shared" si="136"/>
        <v>0</v>
      </c>
      <c r="F121" s="141"/>
      <c r="G121" s="13" t="e">
        <f t="shared" si="137"/>
        <v>#DIV/0!</v>
      </c>
      <c r="H121" s="83"/>
      <c r="I121" s="125"/>
      <c r="J121" s="83">
        <f t="shared" si="138"/>
        <v>0</v>
      </c>
      <c r="K121" s="83">
        <f t="shared" si="139"/>
        <v>0</v>
      </c>
      <c r="L121" s="136" t="e">
        <f t="shared" si="140"/>
        <v>#DIV/0!</v>
      </c>
      <c r="M121" s="116"/>
      <c r="N121" s="201">
        <f t="shared" si="141"/>
        <v>0</v>
      </c>
    </row>
    <row r="122" spans="1:14" ht="16">
      <c r="A122" s="138"/>
      <c r="B122" s="140"/>
      <c r="C122" s="83"/>
      <c r="D122" s="83"/>
      <c r="E122" s="11">
        <f t="shared" si="136"/>
        <v>0</v>
      </c>
      <c r="F122" s="141"/>
      <c r="G122" s="13" t="e">
        <f t="shared" si="137"/>
        <v>#DIV/0!</v>
      </c>
      <c r="H122" s="83"/>
      <c r="I122" s="125"/>
      <c r="J122" s="83">
        <f t="shared" si="138"/>
        <v>0</v>
      </c>
      <c r="K122" s="83">
        <f t="shared" si="139"/>
        <v>0</v>
      </c>
      <c r="L122" s="136" t="e">
        <f t="shared" si="140"/>
        <v>#DIV/0!</v>
      </c>
      <c r="M122" s="116"/>
      <c r="N122" s="201">
        <f t="shared" si="141"/>
        <v>0</v>
      </c>
    </row>
    <row r="123" spans="1:14" ht="16">
      <c r="A123" s="59"/>
      <c r="B123" s="60"/>
      <c r="C123" s="59"/>
      <c r="D123" s="59" t="s">
        <v>19</v>
      </c>
      <c r="E123" s="59">
        <f t="shared" ref="E123:F123" si="142">SUM(E118:E122)</f>
        <v>430</v>
      </c>
      <c r="F123" s="59">
        <f t="shared" si="142"/>
        <v>283.39999999999998</v>
      </c>
      <c r="G123" s="61" t="e">
        <f>AVERAGE(G118:G122)</f>
        <v>#DIV/0!</v>
      </c>
      <c r="H123" s="59"/>
      <c r="I123" s="62"/>
      <c r="J123" s="59">
        <f t="shared" ref="J123:K123" si="143">SUM(J118:J122)</f>
        <v>0</v>
      </c>
      <c r="K123" s="59">
        <f t="shared" si="143"/>
        <v>283.39999999999998</v>
      </c>
      <c r="L123" s="61" t="e">
        <f>AVERAGE(L118:L122)</f>
        <v>#DIV/0!</v>
      </c>
      <c r="M123" s="64"/>
      <c r="N123" s="325">
        <f>SUM(N118:N122)</f>
        <v>5400134.1999999993</v>
      </c>
    </row>
    <row r="124" spans="1:14" ht="16">
      <c r="A124" s="66"/>
      <c r="B124" s="140" t="s">
        <v>104</v>
      </c>
      <c r="C124" s="83"/>
      <c r="D124" s="12"/>
      <c r="E124" s="36">
        <f t="shared" ref="E124:E128" si="144">D124-C124</f>
        <v>0</v>
      </c>
      <c r="F124" s="37"/>
      <c r="G124" s="13" t="e">
        <f t="shared" ref="G124:G128" si="145">(F124/E124)*100</f>
        <v>#DIV/0!</v>
      </c>
      <c r="H124" s="83"/>
      <c r="I124" s="126"/>
      <c r="J124" s="39">
        <f t="shared" ref="J124:J128" si="146">I124-H124</f>
        <v>0</v>
      </c>
      <c r="K124" s="39">
        <f t="shared" ref="K124:K128" si="147">F124</f>
        <v>0</v>
      </c>
      <c r="L124" s="136" t="e">
        <f t="shared" ref="L124:L128" si="148">(K124/J124)*100</f>
        <v>#DIV/0!</v>
      </c>
      <c r="M124" s="68"/>
      <c r="N124" s="324">
        <f t="shared" ref="N124:N128" si="149">F124*M124</f>
        <v>0</v>
      </c>
    </row>
    <row r="125" spans="1:14" ht="16">
      <c r="A125" s="138"/>
      <c r="B125" s="140"/>
      <c r="C125" s="83"/>
      <c r="D125" s="83"/>
      <c r="E125" s="11">
        <f t="shared" si="144"/>
        <v>0</v>
      </c>
      <c r="F125" s="141"/>
      <c r="G125" s="13" t="e">
        <f t="shared" si="145"/>
        <v>#DIV/0!</v>
      </c>
      <c r="H125" s="83"/>
      <c r="I125" s="125"/>
      <c r="J125" s="83">
        <f t="shared" si="146"/>
        <v>0</v>
      </c>
      <c r="K125" s="83">
        <f t="shared" si="147"/>
        <v>0</v>
      </c>
      <c r="L125" s="136" t="e">
        <f t="shared" si="148"/>
        <v>#DIV/0!</v>
      </c>
      <c r="M125" s="116"/>
      <c r="N125" s="329">
        <f t="shared" si="149"/>
        <v>0</v>
      </c>
    </row>
    <row r="126" spans="1:14" ht="16">
      <c r="A126" s="138"/>
      <c r="B126" s="140"/>
      <c r="C126" s="83"/>
      <c r="D126" s="83"/>
      <c r="E126" s="11">
        <f t="shared" si="144"/>
        <v>0</v>
      </c>
      <c r="F126" s="141"/>
      <c r="G126" s="13" t="e">
        <f t="shared" si="145"/>
        <v>#DIV/0!</v>
      </c>
      <c r="H126" s="83"/>
      <c r="I126" s="125"/>
      <c r="J126" s="83">
        <f t="shared" si="146"/>
        <v>0</v>
      </c>
      <c r="K126" s="83">
        <f t="shared" si="147"/>
        <v>0</v>
      </c>
      <c r="L126" s="136" t="e">
        <f t="shared" si="148"/>
        <v>#DIV/0!</v>
      </c>
      <c r="M126" s="116"/>
      <c r="N126" s="201">
        <f t="shared" si="149"/>
        <v>0</v>
      </c>
    </row>
    <row r="127" spans="1:14" ht="16">
      <c r="A127" s="138"/>
      <c r="B127" s="140"/>
      <c r="C127" s="83"/>
      <c r="D127" s="83"/>
      <c r="E127" s="11">
        <f t="shared" si="144"/>
        <v>0</v>
      </c>
      <c r="F127" s="141"/>
      <c r="G127" s="13" t="e">
        <f t="shared" si="145"/>
        <v>#DIV/0!</v>
      </c>
      <c r="H127" s="83"/>
      <c r="I127" s="125"/>
      <c r="J127" s="83">
        <f t="shared" si="146"/>
        <v>0</v>
      </c>
      <c r="K127" s="83">
        <f t="shared" si="147"/>
        <v>0</v>
      </c>
      <c r="L127" s="136" t="e">
        <f t="shared" si="148"/>
        <v>#DIV/0!</v>
      </c>
      <c r="M127" s="116"/>
      <c r="N127" s="201">
        <f t="shared" si="149"/>
        <v>0</v>
      </c>
    </row>
    <row r="128" spans="1:14" ht="16">
      <c r="A128" s="138"/>
      <c r="B128" s="140"/>
      <c r="C128" s="83"/>
      <c r="D128" s="83"/>
      <c r="E128" s="11">
        <f t="shared" si="144"/>
        <v>0</v>
      </c>
      <c r="F128" s="141"/>
      <c r="G128" s="13" t="e">
        <f t="shared" si="145"/>
        <v>#DIV/0!</v>
      </c>
      <c r="H128" s="83"/>
      <c r="I128" s="125"/>
      <c r="J128" s="83">
        <f t="shared" si="146"/>
        <v>0</v>
      </c>
      <c r="K128" s="83">
        <f t="shared" si="147"/>
        <v>0</v>
      </c>
      <c r="L128" s="136" t="e">
        <f t="shared" si="148"/>
        <v>#DIV/0!</v>
      </c>
      <c r="M128" s="116"/>
      <c r="N128" s="201">
        <f t="shared" si="149"/>
        <v>0</v>
      </c>
    </row>
    <row r="129" spans="1:14" ht="16">
      <c r="A129" s="59"/>
      <c r="B129" s="60"/>
      <c r="C129" s="59"/>
      <c r="D129" s="59"/>
      <c r="E129" s="59">
        <f t="shared" ref="E129:F129" si="150">SUM(E124:E128)</f>
        <v>0</v>
      </c>
      <c r="F129" s="59">
        <f t="shared" si="150"/>
        <v>0</v>
      </c>
      <c r="G129" s="61" t="e">
        <f>AVERAGE(G124:G128)</f>
        <v>#DIV/0!</v>
      </c>
      <c r="H129" s="59"/>
      <c r="I129" s="62"/>
      <c r="J129" s="59">
        <f t="shared" ref="J129:K129" si="151">SUM(J124:J128)</f>
        <v>0</v>
      </c>
      <c r="K129" s="59">
        <f t="shared" si="151"/>
        <v>0</v>
      </c>
      <c r="L129" s="61" t="e">
        <f>AVERAGE(L124:L128)</f>
        <v>#DIV/0!</v>
      </c>
      <c r="M129" s="64"/>
      <c r="N129" s="325">
        <f>SUM(N124:N128)</f>
        <v>0</v>
      </c>
    </row>
    <row r="130" spans="1:14" ht="16">
      <c r="A130" s="66"/>
      <c r="B130" s="140" t="s">
        <v>54</v>
      </c>
      <c r="C130" s="83"/>
      <c r="D130" s="12"/>
      <c r="E130" s="36">
        <f t="shared" ref="E130:E134" si="152">D130-C130</f>
        <v>0</v>
      </c>
      <c r="F130" s="37"/>
      <c r="G130" s="13" t="e">
        <f t="shared" ref="G130:G134" si="153">(F130/E130)*100</f>
        <v>#DIV/0!</v>
      </c>
      <c r="H130" s="83"/>
      <c r="I130" s="126"/>
      <c r="J130" s="39">
        <f t="shared" ref="J130:J134" si="154">I130-H130</f>
        <v>0</v>
      </c>
      <c r="K130" s="39">
        <f t="shared" ref="K130:K134" si="155">F130</f>
        <v>0</v>
      </c>
      <c r="L130" s="136" t="e">
        <f t="shared" ref="L130:L134" si="156">(K130/J130)*100</f>
        <v>#DIV/0!</v>
      </c>
      <c r="M130" s="68"/>
      <c r="N130" s="324">
        <f t="shared" ref="N130:N134" si="157">F130*M130</f>
        <v>0</v>
      </c>
    </row>
    <row r="131" spans="1:14" ht="16">
      <c r="A131" s="138"/>
      <c r="B131" s="140"/>
      <c r="C131" s="83"/>
      <c r="D131" s="83"/>
      <c r="E131" s="11">
        <f t="shared" si="152"/>
        <v>0</v>
      </c>
      <c r="F131" s="141"/>
      <c r="G131" s="13" t="e">
        <f t="shared" si="153"/>
        <v>#DIV/0!</v>
      </c>
      <c r="H131" s="83"/>
      <c r="I131" s="125"/>
      <c r="J131" s="83">
        <f t="shared" si="154"/>
        <v>0</v>
      </c>
      <c r="K131" s="83">
        <f t="shared" si="155"/>
        <v>0</v>
      </c>
      <c r="L131" s="136" t="e">
        <f t="shared" si="156"/>
        <v>#DIV/0!</v>
      </c>
      <c r="M131" s="116"/>
      <c r="N131" s="329">
        <f t="shared" si="157"/>
        <v>0</v>
      </c>
    </row>
    <row r="132" spans="1:14" ht="16">
      <c r="A132" s="138"/>
      <c r="B132" s="140"/>
      <c r="C132" s="83"/>
      <c r="D132" s="83"/>
      <c r="E132" s="11">
        <f t="shared" si="152"/>
        <v>0</v>
      </c>
      <c r="F132" s="141"/>
      <c r="G132" s="13" t="e">
        <f t="shared" si="153"/>
        <v>#DIV/0!</v>
      </c>
      <c r="H132" s="83"/>
      <c r="I132" s="125"/>
      <c r="J132" s="83">
        <f t="shared" si="154"/>
        <v>0</v>
      </c>
      <c r="K132" s="83">
        <f t="shared" si="155"/>
        <v>0</v>
      </c>
      <c r="L132" s="136" t="e">
        <f t="shared" si="156"/>
        <v>#DIV/0!</v>
      </c>
      <c r="M132" s="116"/>
      <c r="N132" s="201">
        <f t="shared" si="157"/>
        <v>0</v>
      </c>
    </row>
    <row r="133" spans="1:14" ht="16">
      <c r="A133" s="138"/>
      <c r="B133" s="140"/>
      <c r="C133" s="83"/>
      <c r="D133" s="83"/>
      <c r="E133" s="11">
        <f t="shared" si="152"/>
        <v>0</v>
      </c>
      <c r="F133" s="141"/>
      <c r="G133" s="13" t="e">
        <f t="shared" si="153"/>
        <v>#DIV/0!</v>
      </c>
      <c r="H133" s="83"/>
      <c r="I133" s="125"/>
      <c r="J133" s="83">
        <f t="shared" si="154"/>
        <v>0</v>
      </c>
      <c r="K133" s="83">
        <f t="shared" si="155"/>
        <v>0</v>
      </c>
      <c r="L133" s="136" t="e">
        <f t="shared" si="156"/>
        <v>#DIV/0!</v>
      </c>
      <c r="M133" s="116"/>
      <c r="N133" s="201">
        <f t="shared" si="157"/>
        <v>0</v>
      </c>
    </row>
    <row r="134" spans="1:14" ht="16">
      <c r="A134" s="138"/>
      <c r="B134" s="140"/>
      <c r="C134" s="83"/>
      <c r="D134" s="83"/>
      <c r="E134" s="11">
        <f t="shared" si="152"/>
        <v>0</v>
      </c>
      <c r="F134" s="141"/>
      <c r="G134" s="13" t="e">
        <f t="shared" si="153"/>
        <v>#DIV/0!</v>
      </c>
      <c r="H134" s="83"/>
      <c r="I134" s="125"/>
      <c r="J134" s="83">
        <f t="shared" si="154"/>
        <v>0</v>
      </c>
      <c r="K134" s="83">
        <f t="shared" si="155"/>
        <v>0</v>
      </c>
      <c r="L134" s="136" t="e">
        <f t="shared" si="156"/>
        <v>#DIV/0!</v>
      </c>
      <c r="M134" s="116"/>
      <c r="N134" s="201">
        <f t="shared" si="157"/>
        <v>0</v>
      </c>
    </row>
    <row r="135" spans="1:14" ht="16">
      <c r="A135" s="59"/>
      <c r="B135" s="60"/>
      <c r="C135" s="59"/>
      <c r="D135" s="59" t="s">
        <v>19</v>
      </c>
      <c r="E135" s="59">
        <f t="shared" ref="E135:F135" si="158">SUM(E130:E134)</f>
        <v>0</v>
      </c>
      <c r="F135" s="59">
        <f t="shared" si="158"/>
        <v>0</v>
      </c>
      <c r="G135" s="61" t="e">
        <f>AVERAGE(G130:G134)</f>
        <v>#DIV/0!</v>
      </c>
      <c r="H135" s="59"/>
      <c r="I135" s="62"/>
      <c r="J135" s="59">
        <f t="shared" ref="J135:K135" si="159">SUM(J130:J134)</f>
        <v>0</v>
      </c>
      <c r="K135" s="59">
        <f t="shared" si="159"/>
        <v>0</v>
      </c>
      <c r="L135" s="61" t="e">
        <f>AVERAGE(L130:L134)</f>
        <v>#DIV/0!</v>
      </c>
      <c r="M135" s="64"/>
      <c r="N135" s="325">
        <f>SUM(N130:N134)</f>
        <v>0</v>
      </c>
    </row>
    <row r="136" spans="1:14" ht="13">
      <c r="G136" s="150"/>
      <c r="L136" s="150"/>
    </row>
    <row r="137" spans="1:14" ht="13">
      <c r="G137" s="150"/>
      <c r="L137" s="150"/>
    </row>
    <row r="138" spans="1:14" ht="13">
      <c r="G138" s="150"/>
      <c r="L138" s="150"/>
    </row>
    <row r="139" spans="1:14" ht="13">
      <c r="G139" s="150"/>
      <c r="L139" s="150"/>
    </row>
    <row r="140" spans="1:14" ht="13">
      <c r="G140" s="150"/>
      <c r="L140" s="150"/>
    </row>
    <row r="141" spans="1:14" ht="13">
      <c r="G141" s="150"/>
      <c r="L141" s="150"/>
    </row>
    <row r="142" spans="1:14" ht="13">
      <c r="G142" s="150"/>
      <c r="L142" s="150"/>
    </row>
    <row r="143" spans="1:14" ht="13">
      <c r="G143" s="150"/>
      <c r="L143" s="150"/>
    </row>
    <row r="144" spans="1:14" ht="13">
      <c r="G144" s="150"/>
      <c r="L144" s="150"/>
    </row>
    <row r="145" spans="7:12" ht="13">
      <c r="G145" s="150"/>
      <c r="L145" s="150"/>
    </row>
    <row r="146" spans="7:12" ht="13">
      <c r="G146" s="150"/>
      <c r="L146" s="150"/>
    </row>
    <row r="147" spans="7:12" ht="13">
      <c r="G147" s="150"/>
      <c r="L147" s="150"/>
    </row>
    <row r="148" spans="7:12" ht="13">
      <c r="G148" s="150"/>
      <c r="L148" s="150"/>
    </row>
    <row r="149" spans="7:12" ht="13">
      <c r="G149" s="150"/>
      <c r="L149" s="150"/>
    </row>
    <row r="150" spans="7:12" ht="13">
      <c r="G150" s="150"/>
      <c r="L150" s="150"/>
    </row>
    <row r="151" spans="7:12" ht="13">
      <c r="G151" s="150"/>
      <c r="L151" s="150"/>
    </row>
    <row r="152" spans="7:12" ht="13">
      <c r="G152" s="150"/>
      <c r="L152" s="150"/>
    </row>
    <row r="153" spans="7:12" ht="13">
      <c r="G153" s="150"/>
      <c r="L153" s="150"/>
    </row>
    <row r="154" spans="7:12" ht="13">
      <c r="G154" s="150"/>
      <c r="L154" s="150"/>
    </row>
    <row r="155" spans="7:12" ht="13">
      <c r="G155" s="150"/>
      <c r="L155" s="150"/>
    </row>
    <row r="156" spans="7:12" ht="13">
      <c r="G156" s="150"/>
      <c r="L156" s="150"/>
    </row>
    <row r="157" spans="7:12" ht="13">
      <c r="G157" s="150"/>
      <c r="L157" s="150"/>
    </row>
    <row r="158" spans="7:12" ht="13">
      <c r="G158" s="150"/>
      <c r="L158" s="150"/>
    </row>
    <row r="159" spans="7:12" ht="13">
      <c r="G159" s="150"/>
      <c r="L159" s="150"/>
    </row>
    <row r="160" spans="7:12" ht="13">
      <c r="G160" s="150"/>
      <c r="L160" s="150"/>
    </row>
    <row r="161" spans="7:12" ht="13">
      <c r="G161" s="150"/>
      <c r="L161" s="150"/>
    </row>
    <row r="162" spans="7:12" ht="13">
      <c r="G162" s="150"/>
      <c r="L162" s="150"/>
    </row>
    <row r="163" spans="7:12" ht="13">
      <c r="G163" s="150"/>
      <c r="L163" s="150"/>
    </row>
    <row r="164" spans="7:12" ht="13">
      <c r="G164" s="150"/>
      <c r="L164" s="150"/>
    </row>
    <row r="165" spans="7:12" ht="13">
      <c r="G165" s="150"/>
      <c r="L165" s="150"/>
    </row>
    <row r="166" spans="7:12" ht="13">
      <c r="G166" s="150"/>
      <c r="L166" s="150"/>
    </row>
    <row r="167" spans="7:12" ht="13">
      <c r="G167" s="150"/>
      <c r="L167" s="150"/>
    </row>
    <row r="168" spans="7:12" ht="13">
      <c r="G168" s="150"/>
      <c r="L168" s="150"/>
    </row>
    <row r="169" spans="7:12" ht="13">
      <c r="G169" s="150"/>
      <c r="L169" s="150"/>
    </row>
    <row r="170" spans="7:12" ht="13">
      <c r="G170" s="150"/>
      <c r="L170" s="150"/>
    </row>
    <row r="171" spans="7:12" ht="13">
      <c r="G171" s="150"/>
      <c r="L171" s="150"/>
    </row>
    <row r="172" spans="7:12" ht="13">
      <c r="G172" s="150"/>
      <c r="L172" s="150"/>
    </row>
    <row r="173" spans="7:12" ht="13">
      <c r="G173" s="150"/>
      <c r="L173" s="150"/>
    </row>
    <row r="174" spans="7:12" ht="13">
      <c r="G174" s="150"/>
      <c r="L174" s="150"/>
    </row>
    <row r="175" spans="7:12" ht="13">
      <c r="G175" s="150"/>
      <c r="L175" s="150"/>
    </row>
    <row r="176" spans="7:12" ht="13">
      <c r="G176" s="150"/>
      <c r="L176" s="150"/>
    </row>
    <row r="177" spans="7:12" ht="13">
      <c r="G177" s="150"/>
      <c r="L177" s="150"/>
    </row>
    <row r="178" spans="7:12" ht="13">
      <c r="G178" s="150"/>
      <c r="L178" s="150"/>
    </row>
    <row r="179" spans="7:12" ht="13">
      <c r="G179" s="150"/>
      <c r="L179" s="150"/>
    </row>
    <row r="180" spans="7:12" ht="13">
      <c r="G180" s="150"/>
      <c r="L180" s="150"/>
    </row>
    <row r="181" spans="7:12" ht="13">
      <c r="G181" s="150"/>
      <c r="L181" s="150"/>
    </row>
    <row r="182" spans="7:12" ht="13">
      <c r="G182" s="150"/>
      <c r="L182" s="150"/>
    </row>
    <row r="183" spans="7:12" ht="13">
      <c r="G183" s="150"/>
      <c r="L183" s="150"/>
    </row>
    <row r="184" spans="7:12" ht="13">
      <c r="G184" s="150"/>
      <c r="L184" s="150"/>
    </row>
    <row r="185" spans="7:12" ht="13">
      <c r="G185" s="150"/>
      <c r="L185" s="150"/>
    </row>
    <row r="186" spans="7:12" ht="13">
      <c r="G186" s="150"/>
      <c r="L186" s="150"/>
    </row>
    <row r="187" spans="7:12" ht="13">
      <c r="G187" s="150"/>
      <c r="L187" s="150"/>
    </row>
    <row r="188" spans="7:12" ht="13">
      <c r="G188" s="150"/>
      <c r="L188" s="150"/>
    </row>
    <row r="189" spans="7:12" ht="13">
      <c r="G189" s="150"/>
      <c r="L189" s="150"/>
    </row>
    <row r="190" spans="7:12" ht="13">
      <c r="G190" s="150"/>
      <c r="L190" s="150"/>
    </row>
    <row r="191" spans="7:12" ht="13">
      <c r="G191" s="150"/>
      <c r="L191" s="150"/>
    </row>
    <row r="192" spans="7:12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</sheetData>
  <mergeCells count="2">
    <mergeCell ref="A1:N1"/>
    <mergeCell ref="A90:M9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10"/>
  <sheetViews>
    <sheetView topLeftCell="A61" workbookViewId="0">
      <selection activeCell="C85" sqref="C85"/>
    </sheetView>
  </sheetViews>
  <sheetFormatPr baseColWidth="10" defaultColWidth="12.6640625" defaultRowHeight="15.75" customHeight="1"/>
  <sheetData>
    <row r="1" spans="1:14" ht="18">
      <c r="A1" s="352" t="s">
        <v>102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45660</v>
      </c>
      <c r="B3" s="269" t="s">
        <v>11</v>
      </c>
      <c r="C3" s="83">
        <v>173098</v>
      </c>
      <c r="D3" s="39">
        <v>173442</v>
      </c>
      <c r="E3" s="36">
        <f t="shared" ref="E3:E9" si="0">D3-C3</f>
        <v>344</v>
      </c>
      <c r="F3" s="37">
        <v>50</v>
      </c>
      <c r="G3" s="13">
        <f t="shared" ref="G3:G9" si="1">(F3/E3)*100</f>
        <v>14.534883720930234</v>
      </c>
      <c r="H3" s="125">
        <v>10801</v>
      </c>
      <c r="I3" s="126">
        <v>11221</v>
      </c>
      <c r="J3" s="39">
        <f t="shared" ref="J3:J9" si="2">I3-H3</f>
        <v>420</v>
      </c>
      <c r="K3" s="39">
        <f t="shared" ref="K3:K9" si="3">F3</f>
        <v>50</v>
      </c>
      <c r="L3" s="270">
        <f t="shared" ref="L3:L9" si="4">(K3/J3)*100</f>
        <v>11.904761904761903</v>
      </c>
      <c r="M3" s="68">
        <v>18750</v>
      </c>
      <c r="N3" s="324">
        <f t="shared" ref="N3:N9" si="5">F3*M3</f>
        <v>937500</v>
      </c>
    </row>
    <row r="4" spans="1:14" ht="16">
      <c r="A4" s="138">
        <v>45667</v>
      </c>
      <c r="B4" s="140" t="s">
        <v>11</v>
      </c>
      <c r="C4" s="83">
        <v>173442</v>
      </c>
      <c r="D4" s="83">
        <v>173811</v>
      </c>
      <c r="E4" s="11">
        <f t="shared" si="0"/>
        <v>369</v>
      </c>
      <c r="F4" s="141">
        <v>50</v>
      </c>
      <c r="G4" s="13">
        <f t="shared" si="1"/>
        <v>13.550135501355012</v>
      </c>
      <c r="H4" s="83">
        <v>11221</v>
      </c>
      <c r="I4" s="125">
        <v>11589</v>
      </c>
      <c r="J4" s="83">
        <f t="shared" si="2"/>
        <v>368</v>
      </c>
      <c r="K4" s="83">
        <f t="shared" si="3"/>
        <v>50</v>
      </c>
      <c r="L4" s="136">
        <f t="shared" si="4"/>
        <v>13.586956521739129</v>
      </c>
      <c r="M4" s="116">
        <v>19240</v>
      </c>
      <c r="N4" s="329">
        <f t="shared" si="5"/>
        <v>962000</v>
      </c>
    </row>
    <row r="5" spans="1:14" ht="16">
      <c r="A5" s="138">
        <v>45671</v>
      </c>
      <c r="B5" s="140" t="s">
        <v>11</v>
      </c>
      <c r="C5" s="83">
        <v>173811</v>
      </c>
      <c r="D5" s="83">
        <v>174164</v>
      </c>
      <c r="E5" s="11">
        <f t="shared" si="0"/>
        <v>353</v>
      </c>
      <c r="F5" s="141">
        <v>40</v>
      </c>
      <c r="G5" s="13">
        <f t="shared" si="1"/>
        <v>11.3314447592068</v>
      </c>
      <c r="H5" s="83">
        <v>11589</v>
      </c>
      <c r="I5" s="125">
        <v>11932</v>
      </c>
      <c r="J5" s="83">
        <f t="shared" si="2"/>
        <v>343</v>
      </c>
      <c r="K5" s="83">
        <f t="shared" si="3"/>
        <v>40</v>
      </c>
      <c r="L5" s="136">
        <f t="shared" si="4"/>
        <v>11.661807580174926</v>
      </c>
      <c r="M5" s="116">
        <v>19240</v>
      </c>
      <c r="N5" s="329">
        <f t="shared" si="5"/>
        <v>769600</v>
      </c>
    </row>
    <row r="6" spans="1:14" ht="16">
      <c r="A6" s="249">
        <v>45673</v>
      </c>
      <c r="B6" s="140" t="s">
        <v>11</v>
      </c>
      <c r="C6" s="83">
        <v>174164</v>
      </c>
      <c r="D6" s="83">
        <v>174510</v>
      </c>
      <c r="E6" s="11">
        <f t="shared" si="0"/>
        <v>346</v>
      </c>
      <c r="F6" s="141">
        <v>50</v>
      </c>
      <c r="G6" s="13">
        <f t="shared" si="1"/>
        <v>14.450867052023122</v>
      </c>
      <c r="H6" s="83">
        <v>11932</v>
      </c>
      <c r="I6" s="125">
        <v>12335</v>
      </c>
      <c r="J6" s="83">
        <f t="shared" si="2"/>
        <v>403</v>
      </c>
      <c r="K6" s="83">
        <f t="shared" si="3"/>
        <v>50</v>
      </c>
      <c r="L6" s="136">
        <f t="shared" si="4"/>
        <v>12.406947890818859</v>
      </c>
      <c r="M6" s="116">
        <v>19780</v>
      </c>
      <c r="N6" s="329">
        <f t="shared" si="5"/>
        <v>989000</v>
      </c>
    </row>
    <row r="7" spans="1:14" ht="16">
      <c r="A7" s="138">
        <v>45678</v>
      </c>
      <c r="B7" s="140" t="s">
        <v>11</v>
      </c>
      <c r="C7" s="83">
        <v>174510</v>
      </c>
      <c r="D7" s="83">
        <v>174840</v>
      </c>
      <c r="E7" s="11">
        <f t="shared" si="0"/>
        <v>330</v>
      </c>
      <c r="F7" s="141">
        <v>40</v>
      </c>
      <c r="G7" s="13">
        <f t="shared" si="1"/>
        <v>12.121212121212121</v>
      </c>
      <c r="H7" s="83">
        <v>12335</v>
      </c>
      <c r="I7" s="125"/>
      <c r="J7" s="83">
        <f t="shared" si="2"/>
        <v>-12335</v>
      </c>
      <c r="K7" s="83">
        <f t="shared" si="3"/>
        <v>40</v>
      </c>
      <c r="L7" s="136">
        <f t="shared" si="4"/>
        <v>-0.32428050263477909</v>
      </c>
      <c r="M7" s="116">
        <v>19780</v>
      </c>
      <c r="N7" s="329">
        <f t="shared" si="5"/>
        <v>791200</v>
      </c>
    </row>
    <row r="8" spans="1:14" ht="16">
      <c r="A8" s="138"/>
      <c r="B8" s="90" t="s">
        <v>11</v>
      </c>
      <c r="C8" s="83"/>
      <c r="D8" s="83"/>
      <c r="E8" s="11">
        <f t="shared" si="0"/>
        <v>0</v>
      </c>
      <c r="F8" s="141"/>
      <c r="G8" s="13" t="e">
        <f t="shared" si="1"/>
        <v>#DIV/0!</v>
      </c>
      <c r="H8" s="83"/>
      <c r="I8" s="125"/>
      <c r="J8" s="83">
        <f t="shared" si="2"/>
        <v>0</v>
      </c>
      <c r="K8" s="83">
        <f t="shared" si="3"/>
        <v>0</v>
      </c>
      <c r="L8" s="136" t="e">
        <f t="shared" si="4"/>
        <v>#DIV/0!</v>
      </c>
      <c r="M8" s="116"/>
      <c r="N8" s="201">
        <f t="shared" si="5"/>
        <v>0</v>
      </c>
    </row>
    <row r="9" spans="1:14" ht="16">
      <c r="A9" s="271"/>
      <c r="B9" s="283"/>
      <c r="C9" s="134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336">
        <f t="shared" si="5"/>
        <v>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1742</v>
      </c>
      <c r="F10" s="59">
        <f t="shared" si="6"/>
        <v>230</v>
      </c>
      <c r="G10" s="61" t="e">
        <f>AVERAGE(G3:G9)</f>
        <v>#DIV/0!</v>
      </c>
      <c r="H10" s="59"/>
      <c r="I10" s="62"/>
      <c r="J10" s="59">
        <f t="shared" ref="J10:K10" si="7">SUM(J3:J9)</f>
        <v>-10801</v>
      </c>
      <c r="K10" s="59">
        <f t="shared" si="7"/>
        <v>230</v>
      </c>
      <c r="L10" s="61" t="e">
        <f>AVERAGE(L3:L9)</f>
        <v>#DIV/0!</v>
      </c>
      <c r="M10" s="64"/>
      <c r="N10" s="325">
        <f>SUM(N3:N9)</f>
        <v>4449300</v>
      </c>
    </row>
    <row r="11" spans="1:14" ht="16">
      <c r="A11" s="66">
        <v>45660</v>
      </c>
      <c r="B11" s="269" t="s">
        <v>12</v>
      </c>
      <c r="C11" s="83">
        <v>136284</v>
      </c>
      <c r="D11" s="39">
        <v>136704</v>
      </c>
      <c r="E11" s="36">
        <f t="shared" ref="E11:E17" si="8">D11-C11</f>
        <v>420</v>
      </c>
      <c r="F11" s="37">
        <v>60</v>
      </c>
      <c r="G11" s="13">
        <f t="shared" ref="G11:G17" si="9">(F11/E11)*100</f>
        <v>14.285714285714285</v>
      </c>
      <c r="H11" s="125">
        <v>9622</v>
      </c>
      <c r="I11" s="126">
        <v>10266</v>
      </c>
      <c r="J11" s="39">
        <f t="shared" ref="J11:J17" si="10">I11-H11</f>
        <v>644</v>
      </c>
      <c r="K11" s="39">
        <f t="shared" ref="K11:K17" si="11">F11</f>
        <v>60</v>
      </c>
      <c r="L11" s="270">
        <f t="shared" ref="L11:L17" si="12">(K11/J11)*100</f>
        <v>9.316770186335404</v>
      </c>
      <c r="M11" s="68">
        <v>18750</v>
      </c>
      <c r="N11" s="324">
        <f t="shared" ref="N11:N17" si="13">F11*M11</f>
        <v>1125000</v>
      </c>
    </row>
    <row r="12" spans="1:14" ht="16">
      <c r="A12" s="138">
        <v>45666</v>
      </c>
      <c r="B12" s="140" t="s">
        <v>12</v>
      </c>
      <c r="C12" s="83">
        <v>136704</v>
      </c>
      <c r="D12" s="83">
        <v>137101</v>
      </c>
      <c r="E12" s="11">
        <f t="shared" si="8"/>
        <v>397</v>
      </c>
      <c r="F12" s="141">
        <v>59</v>
      </c>
      <c r="G12" s="13">
        <f t="shared" si="9"/>
        <v>14.86146095717884</v>
      </c>
      <c r="H12" s="83">
        <v>10266</v>
      </c>
      <c r="I12" s="125">
        <v>10455</v>
      </c>
      <c r="J12" s="83">
        <f t="shared" si="10"/>
        <v>189</v>
      </c>
      <c r="K12" s="83">
        <f t="shared" si="11"/>
        <v>59</v>
      </c>
      <c r="L12" s="136">
        <f t="shared" si="12"/>
        <v>31.216931216931215</v>
      </c>
      <c r="M12" s="116">
        <v>18750</v>
      </c>
      <c r="N12" s="329">
        <f t="shared" si="13"/>
        <v>1106250</v>
      </c>
    </row>
    <row r="13" spans="1:14" ht="16">
      <c r="A13" s="138">
        <v>45671</v>
      </c>
      <c r="B13" s="140" t="s">
        <v>12</v>
      </c>
      <c r="C13" s="83">
        <v>137101</v>
      </c>
      <c r="D13" s="83">
        <v>137467</v>
      </c>
      <c r="E13" s="11">
        <f t="shared" si="8"/>
        <v>366</v>
      </c>
      <c r="F13" s="141">
        <v>54</v>
      </c>
      <c r="G13" s="13">
        <f t="shared" si="9"/>
        <v>14.754098360655737</v>
      </c>
      <c r="H13" s="83">
        <v>10455</v>
      </c>
      <c r="I13" s="125">
        <v>10841</v>
      </c>
      <c r="J13" s="83">
        <f t="shared" si="10"/>
        <v>386</v>
      </c>
      <c r="K13" s="83">
        <f t="shared" si="11"/>
        <v>54</v>
      </c>
      <c r="L13" s="136">
        <f t="shared" si="12"/>
        <v>13.989637305699482</v>
      </c>
      <c r="M13" s="116">
        <v>19240</v>
      </c>
      <c r="N13" s="329">
        <f t="shared" si="13"/>
        <v>1038960</v>
      </c>
    </row>
    <row r="14" spans="1:14" ht="16">
      <c r="A14" s="138">
        <v>45675</v>
      </c>
      <c r="B14" s="140" t="s">
        <v>12</v>
      </c>
      <c r="C14" s="83">
        <v>137467</v>
      </c>
      <c r="D14" s="83">
        <v>137811</v>
      </c>
      <c r="E14" s="11">
        <f t="shared" si="8"/>
        <v>344</v>
      </c>
      <c r="F14" s="141">
        <v>50</v>
      </c>
      <c r="G14" s="13">
        <f t="shared" si="9"/>
        <v>14.534883720930234</v>
      </c>
      <c r="H14" s="83">
        <v>10841</v>
      </c>
      <c r="I14" s="125"/>
      <c r="J14" s="83">
        <f t="shared" si="10"/>
        <v>-10841</v>
      </c>
      <c r="K14" s="83">
        <f t="shared" si="11"/>
        <v>50</v>
      </c>
      <c r="L14" s="136">
        <f t="shared" si="12"/>
        <v>-0.46121206530762848</v>
      </c>
      <c r="M14" s="116">
        <v>19780</v>
      </c>
      <c r="N14" s="329">
        <f t="shared" si="13"/>
        <v>989000</v>
      </c>
    </row>
    <row r="15" spans="1:14" ht="16">
      <c r="A15" s="138">
        <v>45679</v>
      </c>
      <c r="B15" s="140" t="s">
        <v>12</v>
      </c>
      <c r="C15" s="83">
        <v>137811</v>
      </c>
      <c r="D15" s="83">
        <v>138185</v>
      </c>
      <c r="E15" s="11">
        <f t="shared" si="8"/>
        <v>374</v>
      </c>
      <c r="F15" s="141">
        <v>50</v>
      </c>
      <c r="G15" s="13">
        <f t="shared" si="9"/>
        <v>13.368983957219251</v>
      </c>
      <c r="H15" s="83"/>
      <c r="I15" s="125"/>
      <c r="J15" s="83">
        <f t="shared" si="10"/>
        <v>0</v>
      </c>
      <c r="K15" s="83">
        <f t="shared" si="11"/>
        <v>50</v>
      </c>
      <c r="L15" s="136" t="e">
        <f t="shared" si="12"/>
        <v>#DIV/0!</v>
      </c>
      <c r="M15" s="116">
        <v>19780</v>
      </c>
      <c r="N15" s="329">
        <f t="shared" si="13"/>
        <v>989000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201">
        <f t="shared" si="13"/>
        <v>0</v>
      </c>
    </row>
    <row r="17" spans="1:14" ht="16">
      <c r="A17" s="271"/>
      <c r="B17" s="272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336">
        <f t="shared" si="13"/>
        <v>0</v>
      </c>
    </row>
    <row r="18" spans="1:14" ht="16">
      <c r="A18" s="59"/>
      <c r="B18" s="60"/>
      <c r="C18" s="59"/>
      <c r="D18" s="59" t="s">
        <v>19</v>
      </c>
      <c r="E18" s="59">
        <f t="shared" ref="E18:F18" si="14">SUM(E11:E17)</f>
        <v>1901</v>
      </c>
      <c r="F18" s="59">
        <f t="shared" si="14"/>
        <v>273</v>
      </c>
      <c r="G18" s="61" t="e">
        <f>AVERAGE(G11:G17)</f>
        <v>#DIV/0!</v>
      </c>
      <c r="H18" s="59"/>
      <c r="I18" s="62"/>
      <c r="J18" s="59">
        <f t="shared" ref="J18:K18" si="15">SUM(J11:J17)</f>
        <v>-9622</v>
      </c>
      <c r="K18" s="59">
        <f t="shared" si="15"/>
        <v>273</v>
      </c>
      <c r="L18" s="61" t="e">
        <f>AVERAGE(L11:L17)</f>
        <v>#DIV/0!</v>
      </c>
      <c r="M18" s="64"/>
      <c r="N18" s="325">
        <f>SUM(N11:N17)</f>
        <v>5248210</v>
      </c>
    </row>
    <row r="19" spans="1:14" ht="16">
      <c r="A19" s="66">
        <v>45661</v>
      </c>
      <c r="B19" s="269" t="s">
        <v>13</v>
      </c>
      <c r="C19" s="83">
        <v>154388</v>
      </c>
      <c r="D19" s="39">
        <v>154735</v>
      </c>
      <c r="E19" s="36">
        <f t="shared" ref="E19:E25" si="16">D19-C19</f>
        <v>347</v>
      </c>
      <c r="F19" s="37">
        <v>49</v>
      </c>
      <c r="G19" s="13">
        <f t="shared" ref="G19:G25" si="17">(F19/E19)*100</f>
        <v>14.121037463976945</v>
      </c>
      <c r="H19" s="125">
        <v>10399</v>
      </c>
      <c r="I19" s="126">
        <v>10773</v>
      </c>
      <c r="J19" s="39">
        <f t="shared" ref="J19:J25" si="18">I19-H19</f>
        <v>374</v>
      </c>
      <c r="K19" s="39">
        <f t="shared" ref="K19:K25" si="19">F19</f>
        <v>49</v>
      </c>
      <c r="L19" s="136">
        <f t="shared" ref="L19:L25" si="20">(K19/J19)*100</f>
        <v>13.101604278074866</v>
      </c>
      <c r="M19" s="68">
        <v>18750</v>
      </c>
      <c r="N19" s="324">
        <f t="shared" ref="N19:N25" si="21">F19*M19</f>
        <v>918750</v>
      </c>
    </row>
    <row r="20" spans="1:14" ht="16">
      <c r="A20" s="138">
        <v>45667</v>
      </c>
      <c r="B20" s="140" t="s">
        <v>13</v>
      </c>
      <c r="C20" s="39">
        <v>154735</v>
      </c>
      <c r="D20" s="83">
        <v>155114</v>
      </c>
      <c r="E20" s="11">
        <f t="shared" si="16"/>
        <v>379</v>
      </c>
      <c r="F20" s="141">
        <v>49</v>
      </c>
      <c r="G20" s="13">
        <f t="shared" si="17"/>
        <v>12.928759894459102</v>
      </c>
      <c r="H20" s="83">
        <v>10773</v>
      </c>
      <c r="I20" s="125">
        <v>11212</v>
      </c>
      <c r="J20" s="83">
        <f t="shared" si="18"/>
        <v>439</v>
      </c>
      <c r="K20" s="83">
        <f t="shared" si="19"/>
        <v>49</v>
      </c>
      <c r="L20" s="136">
        <f t="shared" si="20"/>
        <v>11.161731207289293</v>
      </c>
      <c r="M20" s="116">
        <v>19240</v>
      </c>
      <c r="N20" s="329">
        <f t="shared" si="21"/>
        <v>942760</v>
      </c>
    </row>
    <row r="21" spans="1:14" ht="16">
      <c r="A21" s="138">
        <v>45671</v>
      </c>
      <c r="B21" s="140" t="s">
        <v>13</v>
      </c>
      <c r="C21" s="83">
        <v>155114</v>
      </c>
      <c r="D21" s="83">
        <v>155474</v>
      </c>
      <c r="E21" s="11">
        <f t="shared" si="16"/>
        <v>360</v>
      </c>
      <c r="F21" s="141">
        <v>50</v>
      </c>
      <c r="G21" s="13">
        <f t="shared" si="17"/>
        <v>13.888888888888889</v>
      </c>
      <c r="H21" s="83">
        <v>11212</v>
      </c>
      <c r="I21" s="125">
        <v>11575</v>
      </c>
      <c r="J21" s="83">
        <f t="shared" si="18"/>
        <v>363</v>
      </c>
      <c r="K21" s="83">
        <f t="shared" si="19"/>
        <v>50</v>
      </c>
      <c r="L21" s="136">
        <f t="shared" si="20"/>
        <v>13.774104683195592</v>
      </c>
      <c r="M21" s="116">
        <v>19240</v>
      </c>
      <c r="N21" s="329">
        <f t="shared" si="21"/>
        <v>962000</v>
      </c>
    </row>
    <row r="22" spans="1:14" ht="16">
      <c r="A22" s="138">
        <v>45675</v>
      </c>
      <c r="B22" s="140" t="s">
        <v>13</v>
      </c>
      <c r="C22" s="83">
        <v>155474</v>
      </c>
      <c r="D22" s="83">
        <v>155823</v>
      </c>
      <c r="E22" s="11">
        <f t="shared" si="16"/>
        <v>349</v>
      </c>
      <c r="F22" s="141">
        <v>50</v>
      </c>
      <c r="G22" s="13">
        <f t="shared" si="17"/>
        <v>14.326647564469914</v>
      </c>
      <c r="H22" s="83">
        <v>11575</v>
      </c>
      <c r="I22" s="125">
        <v>7727</v>
      </c>
      <c r="J22" s="83">
        <f t="shared" si="18"/>
        <v>-3848</v>
      </c>
      <c r="K22" s="83">
        <f t="shared" si="19"/>
        <v>50</v>
      </c>
      <c r="L22" s="136">
        <f t="shared" si="20"/>
        <v>-1.2993762993762994</v>
      </c>
      <c r="M22" s="116">
        <v>19780</v>
      </c>
      <c r="N22" s="329">
        <f t="shared" si="21"/>
        <v>989000</v>
      </c>
    </row>
    <row r="23" spans="1:14" ht="16">
      <c r="A23" s="138">
        <v>45679</v>
      </c>
      <c r="B23" s="140" t="s">
        <v>13</v>
      </c>
      <c r="C23" s="83">
        <v>155823</v>
      </c>
      <c r="D23" s="83">
        <v>156160</v>
      </c>
      <c r="E23" s="11">
        <f t="shared" si="16"/>
        <v>337</v>
      </c>
      <c r="F23" s="141">
        <v>47</v>
      </c>
      <c r="G23" s="13">
        <f t="shared" si="17"/>
        <v>13.94658753709199</v>
      </c>
      <c r="H23" s="83">
        <v>7727</v>
      </c>
      <c r="I23" s="125"/>
      <c r="J23" s="83">
        <f t="shared" si="18"/>
        <v>-7727</v>
      </c>
      <c r="K23" s="83">
        <f t="shared" si="19"/>
        <v>47</v>
      </c>
      <c r="L23" s="136">
        <f t="shared" si="20"/>
        <v>-0.60825676200336487</v>
      </c>
      <c r="M23" s="116">
        <v>19780</v>
      </c>
      <c r="N23" s="329">
        <f t="shared" si="21"/>
        <v>929660</v>
      </c>
    </row>
    <row r="24" spans="1:14" ht="16">
      <c r="A24" s="138"/>
      <c r="B24" s="90" t="s">
        <v>13</v>
      </c>
      <c r="C24" s="83"/>
      <c r="D24" s="83"/>
      <c r="E24" s="11">
        <f t="shared" si="16"/>
        <v>0</v>
      </c>
      <c r="F24" s="141"/>
      <c r="G24" s="13" t="e">
        <f t="shared" si="17"/>
        <v>#DIV/0!</v>
      </c>
      <c r="H24" s="83"/>
      <c r="I24" s="125"/>
      <c r="J24" s="83">
        <f t="shared" si="18"/>
        <v>0</v>
      </c>
      <c r="K24" s="83">
        <f t="shared" si="19"/>
        <v>0</v>
      </c>
      <c r="L24" s="136" t="e">
        <f t="shared" si="20"/>
        <v>#DIV/0!</v>
      </c>
      <c r="M24" s="116"/>
      <c r="N24" s="201">
        <f t="shared" si="21"/>
        <v>0</v>
      </c>
    </row>
    <row r="25" spans="1:14" ht="16">
      <c r="A25" s="271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36">
        <f t="shared" si="21"/>
        <v>0</v>
      </c>
    </row>
    <row r="26" spans="1:14" ht="16">
      <c r="A26" s="59"/>
      <c r="B26" s="60"/>
      <c r="C26" s="59"/>
      <c r="D26" s="59" t="s">
        <v>19</v>
      </c>
      <c r="E26" s="59">
        <f t="shared" ref="E26:F26" si="22">SUM(E19:E25)</f>
        <v>1772</v>
      </c>
      <c r="F26" s="59">
        <f t="shared" si="22"/>
        <v>245</v>
      </c>
      <c r="G26" s="61" t="e">
        <f>AVERAGE(G19:G25)</f>
        <v>#DIV/0!</v>
      </c>
      <c r="H26" s="59"/>
      <c r="I26" s="62"/>
      <c r="J26" s="59">
        <f t="shared" ref="J26:K26" si="23">SUM(J19:J25)</f>
        <v>-10399</v>
      </c>
      <c r="K26" s="59">
        <f t="shared" si="23"/>
        <v>245</v>
      </c>
      <c r="L26" s="61" t="e">
        <f>AVERAGE(L19:L25)</f>
        <v>#DIV/0!</v>
      </c>
      <c r="M26" s="64"/>
      <c r="N26" s="325">
        <f>SUM(N19:N25)</f>
        <v>4742170</v>
      </c>
    </row>
    <row r="27" spans="1:14" ht="16">
      <c r="A27" s="66">
        <v>45666</v>
      </c>
      <c r="B27" s="269" t="s">
        <v>14</v>
      </c>
      <c r="C27" s="83">
        <v>155969</v>
      </c>
      <c r="D27" s="39">
        <v>156361</v>
      </c>
      <c r="E27" s="36">
        <f t="shared" ref="E27:E33" si="24">D27-C27</f>
        <v>392</v>
      </c>
      <c r="F27" s="37">
        <v>50</v>
      </c>
      <c r="G27" s="13">
        <f t="shared" ref="G27:G33" si="25">(F27/E27)*100</f>
        <v>12.755102040816327</v>
      </c>
      <c r="H27" s="125">
        <v>10665</v>
      </c>
      <c r="I27" s="126">
        <v>11087</v>
      </c>
      <c r="J27" s="39">
        <f t="shared" ref="J27:J33" si="26">I27-H27</f>
        <v>422</v>
      </c>
      <c r="K27" s="39">
        <f t="shared" ref="K27:K33" si="27">F27</f>
        <v>50</v>
      </c>
      <c r="L27" s="136">
        <f t="shared" ref="L27:L33" si="28">(K27/J27)*100</f>
        <v>11.848341232227488</v>
      </c>
      <c r="M27" s="68">
        <v>18750</v>
      </c>
      <c r="N27" s="324">
        <f t="shared" ref="N27:N33" si="29">F27*M27</f>
        <v>937500</v>
      </c>
    </row>
    <row r="28" spans="1:14" ht="16">
      <c r="A28" s="138">
        <v>45671</v>
      </c>
      <c r="B28" s="140" t="s">
        <v>14</v>
      </c>
      <c r="C28" s="83">
        <v>156361</v>
      </c>
      <c r="D28" s="83">
        <v>156753</v>
      </c>
      <c r="E28" s="11">
        <f t="shared" si="24"/>
        <v>392</v>
      </c>
      <c r="F28" s="141">
        <v>50</v>
      </c>
      <c r="G28" s="13">
        <f t="shared" si="25"/>
        <v>12.755102040816327</v>
      </c>
      <c r="H28" s="83">
        <v>11087</v>
      </c>
      <c r="I28" s="125">
        <v>11474</v>
      </c>
      <c r="J28" s="83">
        <f t="shared" si="26"/>
        <v>387</v>
      </c>
      <c r="K28" s="83">
        <f t="shared" si="27"/>
        <v>50</v>
      </c>
      <c r="L28" s="136">
        <f t="shared" si="28"/>
        <v>12.919896640826872</v>
      </c>
      <c r="M28" s="116">
        <v>19240</v>
      </c>
      <c r="N28" s="329">
        <f t="shared" si="29"/>
        <v>962000</v>
      </c>
    </row>
    <row r="29" spans="1:14" ht="16">
      <c r="A29" s="138">
        <v>45678</v>
      </c>
      <c r="B29" s="140" t="s">
        <v>14</v>
      </c>
      <c r="C29" s="83">
        <v>156753</v>
      </c>
      <c r="D29" s="83">
        <v>157149</v>
      </c>
      <c r="E29" s="11">
        <f t="shared" si="24"/>
        <v>396</v>
      </c>
      <c r="F29" s="141">
        <v>50</v>
      </c>
      <c r="G29" s="13">
        <f t="shared" si="25"/>
        <v>12.626262626262626</v>
      </c>
      <c r="H29" s="83">
        <v>11474</v>
      </c>
      <c r="I29" s="125"/>
      <c r="J29" s="83">
        <f t="shared" si="26"/>
        <v>-11474</v>
      </c>
      <c r="K29" s="83">
        <f t="shared" si="27"/>
        <v>50</v>
      </c>
      <c r="L29" s="136">
        <f t="shared" si="28"/>
        <v>-0.43576782290395677</v>
      </c>
      <c r="M29" s="116">
        <v>19780</v>
      </c>
      <c r="N29" s="329">
        <f t="shared" si="29"/>
        <v>989000</v>
      </c>
    </row>
    <row r="30" spans="1:14" ht="16">
      <c r="A30" s="138">
        <v>45682</v>
      </c>
      <c r="B30" s="140" t="s">
        <v>14</v>
      </c>
      <c r="C30" s="83">
        <v>157149</v>
      </c>
      <c r="D30" s="83">
        <v>157588</v>
      </c>
      <c r="E30" s="11">
        <f t="shared" si="24"/>
        <v>439</v>
      </c>
      <c r="F30" s="141">
        <v>50</v>
      </c>
      <c r="G30" s="13">
        <f t="shared" si="25"/>
        <v>11.389521640091116</v>
      </c>
      <c r="H30" s="83"/>
      <c r="I30" s="125"/>
      <c r="J30" s="83">
        <f t="shared" si="26"/>
        <v>0</v>
      </c>
      <c r="K30" s="83">
        <f t="shared" si="27"/>
        <v>50</v>
      </c>
      <c r="L30" s="136" t="e">
        <f t="shared" si="28"/>
        <v>#DIV/0!</v>
      </c>
      <c r="M30" s="116">
        <v>20190</v>
      </c>
      <c r="N30" s="329">
        <f t="shared" si="29"/>
        <v>1009500</v>
      </c>
    </row>
    <row r="31" spans="1:14" ht="16">
      <c r="A31" s="138"/>
      <c r="B31" s="140" t="s">
        <v>14</v>
      </c>
      <c r="C31" s="83"/>
      <c r="D31" s="83"/>
      <c r="E31" s="11">
        <f t="shared" si="24"/>
        <v>0</v>
      </c>
      <c r="F31" s="141"/>
      <c r="G31" s="13" t="e">
        <f t="shared" si="25"/>
        <v>#DIV/0!</v>
      </c>
      <c r="H31" s="83"/>
      <c r="I31" s="125"/>
      <c r="J31" s="83">
        <f t="shared" si="26"/>
        <v>0</v>
      </c>
      <c r="K31" s="83">
        <f t="shared" si="27"/>
        <v>0</v>
      </c>
      <c r="L31" s="136" t="e">
        <f t="shared" si="28"/>
        <v>#DIV/0!</v>
      </c>
      <c r="M31" s="116"/>
      <c r="N31" s="201">
        <f t="shared" si="29"/>
        <v>0</v>
      </c>
    </row>
    <row r="32" spans="1:14" ht="16">
      <c r="A32" s="138"/>
      <c r="B32" s="140" t="s">
        <v>14</v>
      </c>
      <c r="C32" s="83"/>
      <c r="D32" s="83"/>
      <c r="E32" s="11">
        <f t="shared" si="24"/>
        <v>0</v>
      </c>
      <c r="F32" s="141"/>
      <c r="G32" s="13" t="e">
        <f t="shared" si="25"/>
        <v>#DIV/0!</v>
      </c>
      <c r="H32" s="83"/>
      <c r="I32" s="125"/>
      <c r="J32" s="83">
        <f t="shared" si="26"/>
        <v>0</v>
      </c>
      <c r="K32" s="83">
        <f t="shared" si="27"/>
        <v>0</v>
      </c>
      <c r="L32" s="136" t="e">
        <f t="shared" si="28"/>
        <v>#DIV/0!</v>
      </c>
      <c r="M32" s="116"/>
      <c r="N32" s="201">
        <f t="shared" si="29"/>
        <v>0</v>
      </c>
    </row>
    <row r="33" spans="1:16" ht="16">
      <c r="A33" s="271"/>
      <c r="B33" s="272"/>
      <c r="C33" s="134"/>
      <c r="D33" s="134"/>
      <c r="E33" s="24">
        <f t="shared" si="24"/>
        <v>0</v>
      </c>
      <c r="F33" s="143"/>
      <c r="G33" s="54" t="e">
        <f t="shared" si="25"/>
        <v>#DIV/0!</v>
      </c>
      <c r="H33" s="134"/>
      <c r="I33" s="135"/>
      <c r="J33" s="134">
        <f t="shared" si="26"/>
        <v>0</v>
      </c>
      <c r="K33" s="134">
        <f t="shared" si="27"/>
        <v>0</v>
      </c>
      <c r="L33" s="136" t="e">
        <f t="shared" si="28"/>
        <v>#DIV/0!</v>
      </c>
      <c r="M33" s="137"/>
      <c r="N33" s="336">
        <f t="shared" si="29"/>
        <v>0</v>
      </c>
    </row>
    <row r="34" spans="1:16" ht="16">
      <c r="A34" s="59"/>
      <c r="B34" s="60"/>
      <c r="C34" s="59"/>
      <c r="D34" s="59" t="s">
        <v>19</v>
      </c>
      <c r="E34" s="59">
        <f t="shared" ref="E34:F34" si="30">SUM(E27:E33)</f>
        <v>1619</v>
      </c>
      <c r="F34" s="59">
        <f t="shared" si="30"/>
        <v>200</v>
      </c>
      <c r="G34" s="61" t="e">
        <f>AVERAGE(G27:G33)</f>
        <v>#DIV/0!</v>
      </c>
      <c r="H34" s="59"/>
      <c r="I34" s="62"/>
      <c r="J34" s="59">
        <f t="shared" ref="J34:K34" si="31">SUM(J27:J33)</f>
        <v>-10665</v>
      </c>
      <c r="K34" s="59">
        <f t="shared" si="31"/>
        <v>200</v>
      </c>
      <c r="L34" s="61" t="e">
        <f>AVERAGE(L27:L33)</f>
        <v>#DIV/0!</v>
      </c>
      <c r="M34" s="64"/>
      <c r="N34" s="325">
        <f>SUM(N27:N33)</f>
        <v>3898000</v>
      </c>
    </row>
    <row r="35" spans="1:16" ht="16">
      <c r="A35" s="66">
        <v>45660</v>
      </c>
      <c r="B35" s="269" t="s">
        <v>15</v>
      </c>
      <c r="C35" s="83">
        <v>142577</v>
      </c>
      <c r="D35" s="39">
        <v>142824</v>
      </c>
      <c r="E35" s="36">
        <f t="shared" ref="E35:E41" si="32">D35-C35</f>
        <v>247</v>
      </c>
      <c r="F35" s="37">
        <v>30</v>
      </c>
      <c r="G35" s="13">
        <f t="shared" ref="G35:G41" si="33">(F35/E35)*100</f>
        <v>12.145748987854251</v>
      </c>
      <c r="H35" s="125">
        <v>10105</v>
      </c>
      <c r="I35" s="126">
        <v>10424</v>
      </c>
      <c r="J35" s="39">
        <f t="shared" ref="J35:J41" si="34">I35-H35</f>
        <v>319</v>
      </c>
      <c r="K35" s="39">
        <f t="shared" ref="K35:K41" si="35">F35</f>
        <v>30</v>
      </c>
      <c r="L35" s="136">
        <f t="shared" ref="L35:L41" si="36">(K35/J35)*100</f>
        <v>9.4043887147335425</v>
      </c>
      <c r="M35" s="68">
        <v>18750</v>
      </c>
      <c r="N35" s="324">
        <f t="shared" ref="N35:N41" si="37">F35*M35</f>
        <v>562500</v>
      </c>
    </row>
    <row r="36" spans="1:16" ht="16">
      <c r="A36" s="138">
        <v>45665</v>
      </c>
      <c r="B36" s="140" t="s">
        <v>15</v>
      </c>
      <c r="C36" s="83">
        <v>142824</v>
      </c>
      <c r="D36" s="83">
        <v>143082</v>
      </c>
      <c r="E36" s="11">
        <f t="shared" si="32"/>
        <v>258</v>
      </c>
      <c r="F36" s="141">
        <v>32</v>
      </c>
      <c r="G36" s="13">
        <f t="shared" si="33"/>
        <v>12.403100775193799</v>
      </c>
      <c r="H36" s="126">
        <v>10424</v>
      </c>
      <c r="I36" s="125">
        <v>10806</v>
      </c>
      <c r="J36" s="83">
        <f t="shared" si="34"/>
        <v>382</v>
      </c>
      <c r="K36" s="83">
        <f t="shared" si="35"/>
        <v>32</v>
      </c>
      <c r="L36" s="136">
        <f t="shared" si="36"/>
        <v>8.3769633507853403</v>
      </c>
      <c r="M36" s="116">
        <v>18750</v>
      </c>
      <c r="N36" s="329">
        <f t="shared" si="37"/>
        <v>600000</v>
      </c>
    </row>
    <row r="37" spans="1:16" ht="16">
      <c r="A37" s="138">
        <v>45667</v>
      </c>
      <c r="B37" s="140" t="s">
        <v>15</v>
      </c>
      <c r="C37" s="83">
        <v>143082</v>
      </c>
      <c r="D37" s="83">
        <v>143392</v>
      </c>
      <c r="E37" s="11">
        <f t="shared" si="32"/>
        <v>310</v>
      </c>
      <c r="F37" s="141">
        <v>42</v>
      </c>
      <c r="G37" s="13">
        <f t="shared" si="33"/>
        <v>13.548387096774196</v>
      </c>
      <c r="H37" s="83">
        <v>10806</v>
      </c>
      <c r="I37" s="125">
        <v>11028</v>
      </c>
      <c r="J37" s="83">
        <f t="shared" si="34"/>
        <v>222</v>
      </c>
      <c r="K37" s="83">
        <f t="shared" si="35"/>
        <v>42</v>
      </c>
      <c r="L37" s="136">
        <f t="shared" si="36"/>
        <v>18.918918918918919</v>
      </c>
      <c r="M37" s="116">
        <v>19240</v>
      </c>
      <c r="N37" s="329">
        <f t="shared" si="37"/>
        <v>808080</v>
      </c>
    </row>
    <row r="38" spans="1:16" ht="16">
      <c r="A38" s="138">
        <v>45671</v>
      </c>
      <c r="B38" s="140" t="s">
        <v>15</v>
      </c>
      <c r="C38" s="83">
        <v>143392</v>
      </c>
      <c r="D38" s="83">
        <v>143700</v>
      </c>
      <c r="E38" s="11">
        <f t="shared" si="32"/>
        <v>308</v>
      </c>
      <c r="F38" s="141">
        <v>43</v>
      </c>
      <c r="G38" s="13">
        <f t="shared" si="33"/>
        <v>13.961038961038961</v>
      </c>
      <c r="H38" s="83">
        <v>11028</v>
      </c>
      <c r="I38" s="125">
        <v>11331</v>
      </c>
      <c r="J38" s="83">
        <f t="shared" si="34"/>
        <v>303</v>
      </c>
      <c r="K38" s="83">
        <f t="shared" si="35"/>
        <v>43</v>
      </c>
      <c r="L38" s="136">
        <f t="shared" si="36"/>
        <v>14.19141914191419</v>
      </c>
      <c r="M38" s="116">
        <v>19240</v>
      </c>
      <c r="N38" s="329">
        <f t="shared" si="37"/>
        <v>827320</v>
      </c>
    </row>
    <row r="39" spans="1:16" ht="16">
      <c r="A39" s="138">
        <v>45677</v>
      </c>
      <c r="B39" s="140" t="s">
        <v>15</v>
      </c>
      <c r="C39" s="83">
        <v>143700</v>
      </c>
      <c r="D39" s="83">
        <v>144060</v>
      </c>
      <c r="E39" s="11">
        <f t="shared" si="32"/>
        <v>360</v>
      </c>
      <c r="F39" s="141">
        <v>48</v>
      </c>
      <c r="G39" s="13">
        <f t="shared" si="33"/>
        <v>13.333333333333334</v>
      </c>
      <c r="H39" s="83">
        <v>11331</v>
      </c>
      <c r="I39" s="125"/>
      <c r="J39" s="83">
        <f t="shared" si="34"/>
        <v>-11331</v>
      </c>
      <c r="K39" s="83">
        <f t="shared" si="35"/>
        <v>48</v>
      </c>
      <c r="L39" s="136">
        <f t="shared" si="36"/>
        <v>-0.42361662695260788</v>
      </c>
      <c r="M39" s="116">
        <v>19780</v>
      </c>
      <c r="N39" s="329">
        <f t="shared" si="37"/>
        <v>949440</v>
      </c>
    </row>
    <row r="40" spans="1:16" ht="16">
      <c r="A40" s="276">
        <v>45680</v>
      </c>
      <c r="B40" s="140" t="s">
        <v>15</v>
      </c>
      <c r="C40" s="83">
        <v>144060</v>
      </c>
      <c r="D40" s="83">
        <v>144419</v>
      </c>
      <c r="E40" s="11">
        <f t="shared" si="32"/>
        <v>359</v>
      </c>
      <c r="F40" s="141">
        <v>44</v>
      </c>
      <c r="G40" s="13">
        <f t="shared" si="33"/>
        <v>12.256267409470752</v>
      </c>
      <c r="H40" s="83"/>
      <c r="I40" s="125"/>
      <c r="J40" s="83">
        <f t="shared" si="34"/>
        <v>0</v>
      </c>
      <c r="K40" s="83">
        <f t="shared" si="35"/>
        <v>44</v>
      </c>
      <c r="L40" s="136" t="e">
        <f t="shared" si="36"/>
        <v>#DIV/0!</v>
      </c>
      <c r="M40" s="116">
        <v>19780</v>
      </c>
      <c r="N40" s="329">
        <f t="shared" si="37"/>
        <v>870320</v>
      </c>
    </row>
    <row r="41" spans="1:16" ht="16">
      <c r="A41" s="271"/>
      <c r="B41" s="272"/>
      <c r="C41" s="134"/>
      <c r="D41" s="134"/>
      <c r="E41" s="24">
        <f t="shared" si="32"/>
        <v>0</v>
      </c>
      <c r="F41" s="143"/>
      <c r="G41" s="54" t="e">
        <f t="shared" si="33"/>
        <v>#DIV/0!</v>
      </c>
      <c r="H41" s="134"/>
      <c r="I41" s="135"/>
      <c r="J41" s="134">
        <f t="shared" si="34"/>
        <v>0</v>
      </c>
      <c r="K41" s="134">
        <f t="shared" si="35"/>
        <v>0</v>
      </c>
      <c r="L41" s="136" t="e">
        <f t="shared" si="36"/>
        <v>#DIV/0!</v>
      </c>
      <c r="M41" s="137"/>
      <c r="N41" s="336">
        <f t="shared" si="37"/>
        <v>0</v>
      </c>
    </row>
    <row r="42" spans="1:16" ht="16">
      <c r="A42" s="59"/>
      <c r="B42" s="60"/>
      <c r="C42" s="59"/>
      <c r="D42" s="59" t="s">
        <v>19</v>
      </c>
      <c r="E42" s="59">
        <f t="shared" ref="E42:F42" si="38">SUM(E35:E41)</f>
        <v>1842</v>
      </c>
      <c r="F42" s="59">
        <f t="shared" si="38"/>
        <v>239</v>
      </c>
      <c r="G42" s="61" t="e">
        <f>AVERAGE(G35:G41)</f>
        <v>#DIV/0!</v>
      </c>
      <c r="H42" s="59"/>
      <c r="I42" s="62"/>
      <c r="J42" s="59">
        <f t="shared" ref="J42:K42" si="39">SUM(J35:J41)</f>
        <v>-10105</v>
      </c>
      <c r="K42" s="59">
        <f t="shared" si="39"/>
        <v>239</v>
      </c>
      <c r="L42" s="61" t="e">
        <f>AVERAGE(L35:L41)</f>
        <v>#DIV/0!</v>
      </c>
      <c r="M42" s="64"/>
      <c r="N42" s="325">
        <f>SUM(N35:N41)</f>
        <v>4617660</v>
      </c>
    </row>
    <row r="43" spans="1:16" ht="16">
      <c r="A43" s="337">
        <v>45659</v>
      </c>
      <c r="B43" s="269" t="s">
        <v>16</v>
      </c>
      <c r="C43" s="83">
        <v>118707</v>
      </c>
      <c r="D43" s="39">
        <v>119004</v>
      </c>
      <c r="E43" s="36">
        <f t="shared" ref="E43:E49" si="40">D43-C43</f>
        <v>297</v>
      </c>
      <c r="F43" s="37">
        <v>40</v>
      </c>
      <c r="G43" s="13">
        <f t="shared" ref="G43:G49" si="41">(F43/E43)*100</f>
        <v>13.468013468013467</v>
      </c>
      <c r="H43" s="125">
        <v>10086</v>
      </c>
      <c r="I43" s="126">
        <v>10356</v>
      </c>
      <c r="J43" s="39">
        <f t="shared" ref="J43:J49" si="42">I43-H43</f>
        <v>270</v>
      </c>
      <c r="K43" s="39">
        <f t="shared" ref="K43:K49" si="43">F43</f>
        <v>40</v>
      </c>
      <c r="L43" s="136">
        <f t="shared" ref="L43:L49" si="44">(K43/J43)*100</f>
        <v>14.814814814814813</v>
      </c>
      <c r="M43" s="68">
        <v>18630</v>
      </c>
      <c r="N43" s="324">
        <f t="shared" ref="N43:N49" si="45">F43*M43</f>
        <v>745200</v>
      </c>
    </row>
    <row r="44" spans="1:16" ht="16">
      <c r="A44" s="138">
        <v>45664</v>
      </c>
      <c r="B44" s="140" t="s">
        <v>16</v>
      </c>
      <c r="C44" s="83">
        <v>119004</v>
      </c>
      <c r="D44" s="83">
        <v>119312</v>
      </c>
      <c r="E44" s="11">
        <f t="shared" si="40"/>
        <v>308</v>
      </c>
      <c r="F44" s="277">
        <v>48</v>
      </c>
      <c r="G44" s="13">
        <f t="shared" si="41"/>
        <v>15.584415584415584</v>
      </c>
      <c r="H44" s="83">
        <v>10356</v>
      </c>
      <c r="I44" s="125">
        <v>10645</v>
      </c>
      <c r="J44" s="83">
        <f t="shared" si="42"/>
        <v>289</v>
      </c>
      <c r="K44" s="83">
        <f t="shared" si="43"/>
        <v>48</v>
      </c>
      <c r="L44" s="136">
        <f t="shared" si="44"/>
        <v>16.608996539792386</v>
      </c>
      <c r="M44" s="116">
        <v>18750</v>
      </c>
      <c r="N44" s="329">
        <f t="shared" si="45"/>
        <v>900000</v>
      </c>
    </row>
    <row r="45" spans="1:16" ht="16">
      <c r="A45" s="138">
        <v>45668</v>
      </c>
      <c r="B45" s="140" t="s">
        <v>16</v>
      </c>
      <c r="C45" s="83">
        <v>119312</v>
      </c>
      <c r="D45" s="83">
        <v>119618</v>
      </c>
      <c r="E45" s="11">
        <f t="shared" si="40"/>
        <v>306</v>
      </c>
      <c r="F45" s="141">
        <v>40</v>
      </c>
      <c r="G45" s="13">
        <f t="shared" si="41"/>
        <v>13.071895424836603</v>
      </c>
      <c r="H45" s="83">
        <v>10645</v>
      </c>
      <c r="I45" s="125">
        <v>10992</v>
      </c>
      <c r="J45" s="83">
        <f t="shared" si="42"/>
        <v>347</v>
      </c>
      <c r="K45" s="83">
        <f t="shared" si="43"/>
        <v>40</v>
      </c>
      <c r="L45" s="136">
        <f t="shared" si="44"/>
        <v>11.527377521613833</v>
      </c>
      <c r="M45" s="116">
        <v>19240</v>
      </c>
      <c r="N45" s="329">
        <f t="shared" si="45"/>
        <v>769600</v>
      </c>
    </row>
    <row r="46" spans="1:16" ht="16">
      <c r="A46" s="138">
        <v>45671</v>
      </c>
      <c r="B46" s="140" t="s">
        <v>16</v>
      </c>
      <c r="C46" s="83">
        <v>119618</v>
      </c>
      <c r="D46" s="83">
        <v>119882</v>
      </c>
      <c r="E46" s="11">
        <f t="shared" si="40"/>
        <v>264</v>
      </c>
      <c r="F46" s="141">
        <v>39</v>
      </c>
      <c r="G46" s="13">
        <f t="shared" si="41"/>
        <v>14.772727272727273</v>
      </c>
      <c r="H46" s="83">
        <v>10992</v>
      </c>
      <c r="I46" s="125">
        <v>11290</v>
      </c>
      <c r="J46" s="83">
        <f t="shared" si="42"/>
        <v>298</v>
      </c>
      <c r="K46" s="83">
        <f t="shared" si="43"/>
        <v>39</v>
      </c>
      <c r="L46" s="136">
        <f t="shared" si="44"/>
        <v>13.087248322147651</v>
      </c>
      <c r="M46" s="116">
        <v>19240</v>
      </c>
      <c r="N46" s="329">
        <f t="shared" si="45"/>
        <v>750360</v>
      </c>
      <c r="P46" s="78"/>
    </row>
    <row r="47" spans="1:16" ht="16">
      <c r="A47" s="138">
        <v>45677</v>
      </c>
      <c r="B47" s="140" t="s">
        <v>16</v>
      </c>
      <c r="C47" s="83">
        <v>119882</v>
      </c>
      <c r="D47" s="83">
        <v>120216</v>
      </c>
      <c r="E47" s="11">
        <f t="shared" si="40"/>
        <v>334</v>
      </c>
      <c r="F47" s="141">
        <v>40</v>
      </c>
      <c r="G47" s="13">
        <f t="shared" si="41"/>
        <v>11.976047904191617</v>
      </c>
      <c r="H47" s="83">
        <v>11290</v>
      </c>
      <c r="I47" s="125"/>
      <c r="J47" s="83">
        <f t="shared" si="42"/>
        <v>-11290</v>
      </c>
      <c r="K47" s="83">
        <f t="shared" si="43"/>
        <v>40</v>
      </c>
      <c r="L47" s="136">
        <f t="shared" si="44"/>
        <v>-0.35429583702391498</v>
      </c>
      <c r="M47" s="116">
        <v>19780</v>
      </c>
      <c r="N47" s="329">
        <f t="shared" si="45"/>
        <v>791200</v>
      </c>
    </row>
    <row r="48" spans="1:16" ht="16">
      <c r="A48" s="139">
        <v>45681</v>
      </c>
      <c r="B48" s="90" t="s">
        <v>16</v>
      </c>
      <c r="C48" s="83">
        <v>120216</v>
      </c>
      <c r="D48" s="83">
        <v>120542</v>
      </c>
      <c r="E48" s="11">
        <f t="shared" si="40"/>
        <v>326</v>
      </c>
      <c r="F48" s="141">
        <v>50</v>
      </c>
      <c r="G48" s="13">
        <f t="shared" si="41"/>
        <v>15.337423312883436</v>
      </c>
      <c r="H48" s="83">
        <v>7642</v>
      </c>
      <c r="I48" s="125"/>
      <c r="J48" s="83">
        <f t="shared" si="42"/>
        <v>-7642</v>
      </c>
      <c r="K48" s="83">
        <f t="shared" si="43"/>
        <v>50</v>
      </c>
      <c r="L48" s="136">
        <f t="shared" si="44"/>
        <v>-0.65427898455901601</v>
      </c>
      <c r="M48" s="116">
        <v>20190</v>
      </c>
      <c r="N48" s="329">
        <f t="shared" si="45"/>
        <v>1009500</v>
      </c>
    </row>
    <row r="49" spans="1:14" ht="16">
      <c r="A49" s="271"/>
      <c r="B49" s="283"/>
      <c r="C49" s="134"/>
      <c r="D49" s="134"/>
      <c r="E49" s="24">
        <f t="shared" si="40"/>
        <v>0</v>
      </c>
      <c r="F49" s="143"/>
      <c r="G49" s="54" t="e">
        <f t="shared" si="41"/>
        <v>#DIV/0!</v>
      </c>
      <c r="H49" s="134">
        <v>1</v>
      </c>
      <c r="I49" s="135"/>
      <c r="J49" s="134">
        <f t="shared" si="42"/>
        <v>-1</v>
      </c>
      <c r="K49" s="134">
        <f t="shared" si="43"/>
        <v>0</v>
      </c>
      <c r="L49" s="136">
        <f t="shared" si="44"/>
        <v>0</v>
      </c>
      <c r="M49" s="137"/>
      <c r="N49" s="336">
        <f t="shared" si="45"/>
        <v>0</v>
      </c>
    </row>
    <row r="50" spans="1:14" ht="16">
      <c r="A50" s="59"/>
      <c r="B50" s="60"/>
      <c r="C50" s="59"/>
      <c r="D50" s="59" t="s">
        <v>19</v>
      </c>
      <c r="E50" s="59">
        <f t="shared" ref="E50:F50" si="46">SUM(E43:E49)</f>
        <v>1835</v>
      </c>
      <c r="F50" s="59">
        <f t="shared" si="46"/>
        <v>257</v>
      </c>
      <c r="G50" s="61" t="e">
        <f>AVERAGE(G43:G49)</f>
        <v>#DIV/0!</v>
      </c>
      <c r="H50" s="59"/>
      <c r="I50" s="62"/>
      <c r="J50" s="59">
        <f t="shared" ref="J50:K50" si="47">SUM(J43:J49)</f>
        <v>-17729</v>
      </c>
      <c r="K50" s="59">
        <f t="shared" si="47"/>
        <v>257</v>
      </c>
      <c r="L50" s="61">
        <f>AVERAGE(L43:L49)</f>
        <v>7.8614089109693941</v>
      </c>
      <c r="M50" s="64"/>
      <c r="N50" s="325">
        <f>SUM(N43:N49)</f>
        <v>4965860</v>
      </c>
    </row>
    <row r="51" spans="1:14" ht="16">
      <c r="A51" s="66">
        <v>45664</v>
      </c>
      <c r="B51" s="278" t="s">
        <v>18</v>
      </c>
      <c r="C51" s="134">
        <v>124048</v>
      </c>
      <c r="D51" s="39">
        <v>124408</v>
      </c>
      <c r="E51" s="36">
        <f t="shared" ref="E51:E57" si="48">D51-C51</f>
        <v>360</v>
      </c>
      <c r="F51" s="37">
        <v>41</v>
      </c>
      <c r="G51" s="13">
        <f t="shared" ref="G51:G57" si="49">(F51/E51)*100</f>
        <v>11.388888888888889</v>
      </c>
      <c r="H51" s="135">
        <v>10879</v>
      </c>
      <c r="I51" s="126">
        <v>11228</v>
      </c>
      <c r="J51" s="39">
        <f t="shared" ref="J51:J57" si="50">I51-H51</f>
        <v>349</v>
      </c>
      <c r="K51" s="39">
        <f t="shared" ref="K51:K57" si="51">F51</f>
        <v>41</v>
      </c>
      <c r="L51" s="136">
        <f t="shared" ref="L51:L57" si="52">(K51/J51)*100</f>
        <v>11.74785100286533</v>
      </c>
      <c r="M51" s="68">
        <v>18750</v>
      </c>
      <c r="N51" s="324">
        <f t="shared" ref="N51:N57" si="53">F51*M51</f>
        <v>768750</v>
      </c>
    </row>
    <row r="52" spans="1:14" ht="16">
      <c r="A52" s="138">
        <v>45668</v>
      </c>
      <c r="B52" s="140" t="s">
        <v>18</v>
      </c>
      <c r="C52" s="83">
        <v>124408</v>
      </c>
      <c r="D52" s="83">
        <v>124641</v>
      </c>
      <c r="E52" s="11">
        <f t="shared" si="48"/>
        <v>233</v>
      </c>
      <c r="F52" s="141">
        <v>29</v>
      </c>
      <c r="G52" s="13">
        <f t="shared" si="49"/>
        <v>12.446351931330472</v>
      </c>
      <c r="H52" s="83">
        <v>11228</v>
      </c>
      <c r="I52" s="125">
        <v>11604</v>
      </c>
      <c r="J52" s="83">
        <f t="shared" si="50"/>
        <v>376</v>
      </c>
      <c r="K52" s="83">
        <f t="shared" si="51"/>
        <v>29</v>
      </c>
      <c r="L52" s="136">
        <f t="shared" si="52"/>
        <v>7.7127659574468082</v>
      </c>
      <c r="M52" s="116">
        <v>19240</v>
      </c>
      <c r="N52" s="329">
        <f t="shared" si="53"/>
        <v>557960</v>
      </c>
    </row>
    <row r="53" spans="1:14" ht="16">
      <c r="A53" s="249">
        <v>45673</v>
      </c>
      <c r="B53" s="140" t="s">
        <v>18</v>
      </c>
      <c r="C53" s="83">
        <v>124641</v>
      </c>
      <c r="D53" s="83">
        <v>124957</v>
      </c>
      <c r="E53" s="11">
        <f t="shared" si="48"/>
        <v>316</v>
      </c>
      <c r="F53" s="141">
        <v>44</v>
      </c>
      <c r="G53" s="13">
        <f t="shared" si="49"/>
        <v>13.924050632911392</v>
      </c>
      <c r="H53" s="83">
        <v>11604</v>
      </c>
      <c r="I53" s="125">
        <v>11852</v>
      </c>
      <c r="J53" s="83">
        <f t="shared" si="50"/>
        <v>248</v>
      </c>
      <c r="K53" s="83">
        <f t="shared" si="51"/>
        <v>44</v>
      </c>
      <c r="L53" s="136">
        <f t="shared" si="52"/>
        <v>17.741935483870968</v>
      </c>
      <c r="M53" s="116">
        <v>19780</v>
      </c>
      <c r="N53" s="329">
        <f t="shared" si="53"/>
        <v>870320</v>
      </c>
    </row>
    <row r="54" spans="1:14" ht="16">
      <c r="A54" s="138">
        <v>45677</v>
      </c>
      <c r="B54" s="140" t="s">
        <v>18</v>
      </c>
      <c r="C54" s="83">
        <v>124957</v>
      </c>
      <c r="D54" s="83">
        <v>125232</v>
      </c>
      <c r="E54" s="11">
        <f t="shared" si="48"/>
        <v>275</v>
      </c>
      <c r="F54" s="141">
        <v>38</v>
      </c>
      <c r="G54" s="13">
        <f t="shared" si="49"/>
        <v>13.818181818181818</v>
      </c>
      <c r="H54" s="83">
        <v>11852</v>
      </c>
      <c r="I54" s="125"/>
      <c r="J54" s="83">
        <f t="shared" si="50"/>
        <v>-11852</v>
      </c>
      <c r="K54" s="83">
        <f t="shared" si="51"/>
        <v>38</v>
      </c>
      <c r="L54" s="136">
        <f t="shared" si="52"/>
        <v>-0.32062099223759699</v>
      </c>
      <c r="M54" s="116">
        <v>19780</v>
      </c>
      <c r="N54" s="329">
        <f t="shared" si="53"/>
        <v>751640</v>
      </c>
    </row>
    <row r="55" spans="1:14" ht="16">
      <c r="A55" s="138">
        <v>45680</v>
      </c>
      <c r="B55" s="140" t="s">
        <v>18</v>
      </c>
      <c r="C55" s="83">
        <v>125232</v>
      </c>
      <c r="D55" s="83">
        <v>125570</v>
      </c>
      <c r="E55" s="11">
        <f t="shared" si="48"/>
        <v>338</v>
      </c>
      <c r="F55" s="141">
        <v>40</v>
      </c>
      <c r="G55" s="13">
        <f t="shared" si="49"/>
        <v>11.834319526627219</v>
      </c>
      <c r="H55" s="83"/>
      <c r="I55" s="125"/>
      <c r="J55" s="83">
        <f t="shared" si="50"/>
        <v>0</v>
      </c>
      <c r="K55" s="83">
        <f t="shared" si="51"/>
        <v>40</v>
      </c>
      <c r="L55" s="136" t="e">
        <f t="shared" si="52"/>
        <v>#DIV/0!</v>
      </c>
      <c r="M55" s="275">
        <v>20190</v>
      </c>
      <c r="N55" s="306">
        <f t="shared" si="53"/>
        <v>807600</v>
      </c>
    </row>
    <row r="56" spans="1:14" ht="16">
      <c r="A56" s="276"/>
      <c r="B56" s="140" t="s">
        <v>18</v>
      </c>
      <c r="C56" s="83"/>
      <c r="D56" s="83"/>
      <c r="E56" s="51">
        <f t="shared" si="48"/>
        <v>0</v>
      </c>
      <c r="F56" s="141"/>
      <c r="G56" s="13" t="e">
        <f t="shared" si="49"/>
        <v>#DIV/0!</v>
      </c>
      <c r="H56" s="83"/>
      <c r="I56" s="125"/>
      <c r="J56" s="83">
        <f t="shared" si="50"/>
        <v>0</v>
      </c>
      <c r="K56" s="83">
        <f t="shared" si="51"/>
        <v>0</v>
      </c>
      <c r="L56" s="136" t="e">
        <f t="shared" si="52"/>
        <v>#DIV/0!</v>
      </c>
      <c r="M56" s="116"/>
      <c r="N56" s="201">
        <f t="shared" si="53"/>
        <v>0</v>
      </c>
    </row>
    <row r="57" spans="1:14" ht="16">
      <c r="A57" s="279"/>
      <c r="B57" s="90" t="s">
        <v>18</v>
      </c>
      <c r="C57" s="134"/>
      <c r="D57" s="134"/>
      <c r="E57" s="24">
        <f t="shared" si="48"/>
        <v>0</v>
      </c>
      <c r="F57" s="143"/>
      <c r="G57" s="54" t="e">
        <f t="shared" si="49"/>
        <v>#DIV/0!</v>
      </c>
      <c r="H57" s="134"/>
      <c r="I57" s="135"/>
      <c r="J57" s="134">
        <f t="shared" si="50"/>
        <v>0</v>
      </c>
      <c r="K57" s="134">
        <f t="shared" si="51"/>
        <v>0</v>
      </c>
      <c r="L57" s="136" t="e">
        <f t="shared" si="52"/>
        <v>#DIV/0!</v>
      </c>
      <c r="M57" s="137"/>
      <c r="N57" s="336">
        <f t="shared" si="53"/>
        <v>0</v>
      </c>
    </row>
    <row r="58" spans="1:14" ht="16">
      <c r="A58" s="59"/>
      <c r="B58" s="60"/>
      <c r="C58" s="59"/>
      <c r="D58" s="59" t="s">
        <v>19</v>
      </c>
      <c r="E58" s="59">
        <f t="shared" ref="E58:F58" si="54">SUM(E51:E57)</f>
        <v>1522</v>
      </c>
      <c r="F58" s="59">
        <f t="shared" si="54"/>
        <v>192</v>
      </c>
      <c r="G58" s="61" t="e">
        <f>AVERAGE(G51:G57)</f>
        <v>#DIV/0!</v>
      </c>
      <c r="H58" s="59"/>
      <c r="I58" s="62"/>
      <c r="J58" s="59">
        <f t="shared" ref="J58:K58" si="55">SUM(J51:J57)</f>
        <v>-10879</v>
      </c>
      <c r="K58" s="59">
        <f t="shared" si="55"/>
        <v>192</v>
      </c>
      <c r="L58" s="61" t="e">
        <f>AVERAGE(L51:L57)</f>
        <v>#DIV/0!</v>
      </c>
      <c r="M58" s="64"/>
      <c r="N58" s="325">
        <f>SUM(N51:N57)</f>
        <v>3756270</v>
      </c>
    </row>
    <row r="59" spans="1:14" ht="16">
      <c r="A59" s="66">
        <v>45660</v>
      </c>
      <c r="B59" s="269" t="s">
        <v>20</v>
      </c>
      <c r="C59" s="83">
        <v>368013</v>
      </c>
      <c r="D59" s="39">
        <v>368743</v>
      </c>
      <c r="E59" s="36">
        <f t="shared" ref="E59:E65" si="56">D59-C59</f>
        <v>730</v>
      </c>
      <c r="F59" s="37">
        <v>87</v>
      </c>
      <c r="G59" s="13">
        <f t="shared" ref="G59:G65" si="57">(F59/E59)*100</f>
        <v>11.917808219178081</v>
      </c>
      <c r="H59" s="125">
        <v>11333</v>
      </c>
      <c r="I59" s="126">
        <v>12044</v>
      </c>
      <c r="J59" s="39">
        <f t="shared" ref="J59:J65" si="58">I59-H59</f>
        <v>711</v>
      </c>
      <c r="K59" s="39">
        <f>F59</f>
        <v>87</v>
      </c>
      <c r="L59" s="136">
        <f t="shared" ref="L59:L65" si="59">(K59/J59)*100</f>
        <v>12.236286919831224</v>
      </c>
      <c r="M59" s="68">
        <v>18750</v>
      </c>
      <c r="N59" s="324">
        <f t="shared" ref="N59:N65" si="60">F59*M59</f>
        <v>1631250</v>
      </c>
    </row>
    <row r="60" spans="1:14" ht="16">
      <c r="A60" s="138">
        <v>45668</v>
      </c>
      <c r="B60" s="140" t="s">
        <v>20</v>
      </c>
      <c r="C60" s="83">
        <v>368743</v>
      </c>
      <c r="D60" s="83">
        <v>369428</v>
      </c>
      <c r="E60" s="11">
        <f t="shared" si="56"/>
        <v>685</v>
      </c>
      <c r="F60" s="141">
        <v>75</v>
      </c>
      <c r="G60" s="13">
        <f t="shared" si="57"/>
        <v>10.948905109489052</v>
      </c>
      <c r="H60" s="83">
        <v>12044</v>
      </c>
      <c r="I60" s="125">
        <v>12830</v>
      </c>
      <c r="J60" s="83">
        <f t="shared" si="58"/>
        <v>786</v>
      </c>
      <c r="K60" s="240">
        <v>75</v>
      </c>
      <c r="L60" s="136">
        <f t="shared" si="59"/>
        <v>9.5419847328244281</v>
      </c>
      <c r="M60" s="116">
        <v>19240</v>
      </c>
      <c r="N60" s="306">
        <f t="shared" si="60"/>
        <v>1443000</v>
      </c>
    </row>
    <row r="61" spans="1:14" ht="16">
      <c r="A61" s="138">
        <v>45675</v>
      </c>
      <c r="B61" s="140" t="s">
        <v>20</v>
      </c>
      <c r="C61" s="83">
        <v>369428</v>
      </c>
      <c r="D61" s="83">
        <v>370199</v>
      </c>
      <c r="E61" s="11">
        <f t="shared" si="56"/>
        <v>771</v>
      </c>
      <c r="F61" s="141">
        <v>95</v>
      </c>
      <c r="G61" s="13">
        <f t="shared" si="57"/>
        <v>12.321660181582361</v>
      </c>
      <c r="H61" s="83">
        <v>12830</v>
      </c>
      <c r="I61" s="125"/>
      <c r="J61" s="83">
        <f t="shared" si="58"/>
        <v>-12830</v>
      </c>
      <c r="K61" s="83">
        <f t="shared" ref="K61:K65" si="61">F61</f>
        <v>95</v>
      </c>
      <c r="L61" s="136">
        <f t="shared" si="59"/>
        <v>-0.74045206547155107</v>
      </c>
      <c r="M61" s="116">
        <v>19780</v>
      </c>
      <c r="N61" s="329">
        <f t="shared" si="60"/>
        <v>1879100</v>
      </c>
    </row>
    <row r="62" spans="1:14" ht="16">
      <c r="A62" s="138"/>
      <c r="B62" s="140" t="s">
        <v>20</v>
      </c>
      <c r="C62" s="83"/>
      <c r="D62" s="83"/>
      <c r="E62" s="11">
        <f t="shared" si="56"/>
        <v>0</v>
      </c>
      <c r="F62" s="141"/>
      <c r="G62" s="13" t="e">
        <f t="shared" si="57"/>
        <v>#DIV/0!</v>
      </c>
      <c r="H62" s="83"/>
      <c r="I62" s="125"/>
      <c r="J62" s="83">
        <f t="shared" si="58"/>
        <v>0</v>
      </c>
      <c r="K62" s="83">
        <f t="shared" si="61"/>
        <v>0</v>
      </c>
      <c r="L62" s="136" t="e">
        <f t="shared" si="59"/>
        <v>#DIV/0!</v>
      </c>
      <c r="M62" s="116"/>
      <c r="N62" s="201">
        <f t="shared" si="60"/>
        <v>0</v>
      </c>
    </row>
    <row r="63" spans="1:14" ht="16">
      <c r="A63" s="138"/>
      <c r="B63" s="140" t="s">
        <v>20</v>
      </c>
      <c r="C63" s="83"/>
      <c r="D63" s="83"/>
      <c r="E63" s="11">
        <f t="shared" si="56"/>
        <v>0</v>
      </c>
      <c r="F63" s="141"/>
      <c r="G63" s="13" t="e">
        <f t="shared" si="57"/>
        <v>#DIV/0!</v>
      </c>
      <c r="H63" s="83"/>
      <c r="I63" s="125"/>
      <c r="J63" s="83">
        <f t="shared" si="58"/>
        <v>0</v>
      </c>
      <c r="K63" s="83">
        <f t="shared" si="61"/>
        <v>0</v>
      </c>
      <c r="L63" s="136" t="e">
        <f t="shared" si="59"/>
        <v>#DIV/0!</v>
      </c>
      <c r="M63" s="116"/>
      <c r="N63" s="201">
        <f t="shared" si="60"/>
        <v>0</v>
      </c>
    </row>
    <row r="64" spans="1:14" ht="16">
      <c r="A64" s="244"/>
      <c r="B64" s="90" t="s">
        <v>20</v>
      </c>
      <c r="C64" s="83"/>
      <c r="D64" s="83"/>
      <c r="E64" s="11">
        <f t="shared" si="56"/>
        <v>0</v>
      </c>
      <c r="F64" s="141"/>
      <c r="G64" s="13" t="e">
        <f t="shared" si="57"/>
        <v>#DIV/0!</v>
      </c>
      <c r="H64" s="83"/>
      <c r="I64" s="125"/>
      <c r="J64" s="83">
        <f t="shared" si="58"/>
        <v>0</v>
      </c>
      <c r="K64" s="83">
        <f t="shared" si="61"/>
        <v>0</v>
      </c>
      <c r="L64" s="136" t="e">
        <f t="shared" si="59"/>
        <v>#DIV/0!</v>
      </c>
      <c r="M64" s="116"/>
      <c r="N64" s="201">
        <f t="shared" si="60"/>
        <v>0</v>
      </c>
    </row>
    <row r="65" spans="1:14" ht="16">
      <c r="A65" s="271"/>
      <c r="B65" s="283"/>
      <c r="C65" s="134"/>
      <c r="D65" s="134"/>
      <c r="E65" s="24">
        <f t="shared" si="56"/>
        <v>0</v>
      </c>
      <c r="F65" s="143"/>
      <c r="G65" s="54" t="e">
        <f t="shared" si="57"/>
        <v>#DIV/0!</v>
      </c>
      <c r="H65" s="134"/>
      <c r="I65" s="135"/>
      <c r="J65" s="134">
        <f t="shared" si="58"/>
        <v>0</v>
      </c>
      <c r="K65" s="134">
        <f t="shared" si="61"/>
        <v>0</v>
      </c>
      <c r="L65" s="136" t="e">
        <f t="shared" si="59"/>
        <v>#DIV/0!</v>
      </c>
      <c r="M65" s="137"/>
      <c r="N65" s="336">
        <f t="shared" si="60"/>
        <v>0</v>
      </c>
    </row>
    <row r="66" spans="1:14" ht="16">
      <c r="A66" s="59"/>
      <c r="B66" s="60"/>
      <c r="C66" s="59"/>
      <c r="D66" s="59" t="s">
        <v>19</v>
      </c>
      <c r="E66" s="59">
        <f t="shared" ref="E66:F66" si="62">SUM(E59:E65)</f>
        <v>2186</v>
      </c>
      <c r="F66" s="59">
        <f t="shared" si="62"/>
        <v>257</v>
      </c>
      <c r="G66" s="61" t="e">
        <f>AVERAGE(G59:G65)</f>
        <v>#DIV/0!</v>
      </c>
      <c r="H66" s="59"/>
      <c r="I66" s="62"/>
      <c r="J66" s="59">
        <f t="shared" ref="J66:K66" si="63">SUM(J59:J65)</f>
        <v>-11333</v>
      </c>
      <c r="K66" s="59">
        <f t="shared" si="63"/>
        <v>257</v>
      </c>
      <c r="L66" s="61" t="e">
        <f>AVERAGE(L59:L65)</f>
        <v>#DIV/0!</v>
      </c>
      <c r="M66" s="64"/>
      <c r="N66" s="325">
        <f>SUM(N59:N65)</f>
        <v>4953350</v>
      </c>
    </row>
    <row r="67" spans="1:14" ht="16">
      <c r="A67" s="66">
        <v>45659</v>
      </c>
      <c r="B67" s="269" t="s">
        <v>21</v>
      </c>
      <c r="C67" s="83">
        <v>349832</v>
      </c>
      <c r="D67" s="39">
        <v>350302</v>
      </c>
      <c r="E67" s="36">
        <f t="shared" ref="E67:E73" si="64">D67-C67</f>
        <v>470</v>
      </c>
      <c r="F67" s="37">
        <v>61</v>
      </c>
      <c r="G67" s="13">
        <f t="shared" ref="G67:G73" si="65">(F67/E67)*100</f>
        <v>12.978723404255318</v>
      </c>
      <c r="H67" s="125">
        <v>11110</v>
      </c>
      <c r="I67" s="125">
        <v>11295</v>
      </c>
      <c r="J67" s="39">
        <f t="shared" ref="J67:J73" si="66">I67-H67</f>
        <v>185</v>
      </c>
      <c r="K67" s="39">
        <f t="shared" ref="K67:K73" si="67">F67</f>
        <v>61</v>
      </c>
      <c r="L67" s="136">
        <f t="shared" ref="L67:L73" si="68">(K67/J67)*100</f>
        <v>32.972972972972975</v>
      </c>
      <c r="M67" s="68">
        <v>18630</v>
      </c>
      <c r="N67" s="324">
        <f t="shared" ref="N67:N73" si="69">F67*M67</f>
        <v>1136430</v>
      </c>
    </row>
    <row r="68" spans="1:14" ht="16">
      <c r="A68" s="138">
        <v>45665</v>
      </c>
      <c r="B68" s="140" t="s">
        <v>21</v>
      </c>
      <c r="C68" s="83">
        <v>350302</v>
      </c>
      <c r="D68" s="83">
        <v>350733</v>
      </c>
      <c r="E68" s="11">
        <f t="shared" si="64"/>
        <v>431</v>
      </c>
      <c r="F68" s="141">
        <v>65</v>
      </c>
      <c r="G68" s="13">
        <f t="shared" si="65"/>
        <v>15.081206496519723</v>
      </c>
      <c r="H68" s="83">
        <v>11295</v>
      </c>
      <c r="I68" s="125">
        <v>11856</v>
      </c>
      <c r="J68" s="83">
        <f t="shared" si="66"/>
        <v>561</v>
      </c>
      <c r="K68" s="83">
        <f t="shared" si="67"/>
        <v>65</v>
      </c>
      <c r="L68" s="136">
        <f t="shared" si="68"/>
        <v>11.586452762923351</v>
      </c>
      <c r="M68" s="116">
        <v>18750</v>
      </c>
      <c r="N68" s="329">
        <f t="shared" si="69"/>
        <v>1218750</v>
      </c>
    </row>
    <row r="69" spans="1:14" ht="16">
      <c r="A69" s="138">
        <v>45668</v>
      </c>
      <c r="B69" s="140" t="s">
        <v>21</v>
      </c>
      <c r="C69" s="83">
        <v>350733</v>
      </c>
      <c r="D69" s="83">
        <v>351214</v>
      </c>
      <c r="E69" s="11">
        <f t="shared" si="64"/>
        <v>481</v>
      </c>
      <c r="F69" s="141">
        <v>65</v>
      </c>
      <c r="G69" s="13">
        <f t="shared" si="65"/>
        <v>13.513513513513514</v>
      </c>
      <c r="H69" s="83">
        <v>11856</v>
      </c>
      <c r="I69" s="125">
        <v>12303</v>
      </c>
      <c r="J69" s="83">
        <f t="shared" si="66"/>
        <v>447</v>
      </c>
      <c r="K69" s="83">
        <f t="shared" si="67"/>
        <v>65</v>
      </c>
      <c r="L69" s="136">
        <f t="shared" si="68"/>
        <v>14.541387024608502</v>
      </c>
      <c r="M69" s="116">
        <v>19240</v>
      </c>
      <c r="N69" s="329">
        <f t="shared" si="69"/>
        <v>1250600</v>
      </c>
    </row>
    <row r="70" spans="1:14" ht="16">
      <c r="A70" s="284">
        <v>45673</v>
      </c>
      <c r="B70" s="140" t="s">
        <v>21</v>
      </c>
      <c r="C70" s="83">
        <v>351214</v>
      </c>
      <c r="D70" s="83">
        <v>351635</v>
      </c>
      <c r="E70" s="11">
        <f t="shared" si="64"/>
        <v>421</v>
      </c>
      <c r="F70" s="141">
        <v>65</v>
      </c>
      <c r="G70" s="13">
        <f t="shared" si="65"/>
        <v>15.439429928741092</v>
      </c>
      <c r="H70" s="83">
        <v>12303</v>
      </c>
      <c r="I70" s="125">
        <v>12753</v>
      </c>
      <c r="J70" s="83">
        <f t="shared" si="66"/>
        <v>450</v>
      </c>
      <c r="K70" s="83">
        <f t="shared" si="67"/>
        <v>65</v>
      </c>
      <c r="L70" s="136">
        <f t="shared" si="68"/>
        <v>14.444444444444443</v>
      </c>
      <c r="M70" s="116">
        <v>19240</v>
      </c>
      <c r="N70" s="329">
        <f t="shared" si="69"/>
        <v>1250600</v>
      </c>
    </row>
    <row r="71" spans="1:14" ht="16">
      <c r="A71" s="138">
        <v>45677</v>
      </c>
      <c r="B71" s="140" t="s">
        <v>21</v>
      </c>
      <c r="C71" s="83">
        <v>351635</v>
      </c>
      <c r="D71" s="83">
        <v>352133</v>
      </c>
      <c r="E71" s="11">
        <f t="shared" si="64"/>
        <v>498</v>
      </c>
      <c r="F71" s="141">
        <v>77</v>
      </c>
      <c r="G71" s="13">
        <f t="shared" si="65"/>
        <v>15.461847389558233</v>
      </c>
      <c r="H71" s="83">
        <v>12753</v>
      </c>
      <c r="I71" s="125"/>
      <c r="J71" s="83">
        <f t="shared" si="66"/>
        <v>-12753</v>
      </c>
      <c r="K71" s="83">
        <f t="shared" si="67"/>
        <v>77</v>
      </c>
      <c r="L71" s="136">
        <f t="shared" si="68"/>
        <v>-0.6037795028620716</v>
      </c>
      <c r="M71" s="116">
        <v>19780</v>
      </c>
      <c r="N71" s="329">
        <f t="shared" si="69"/>
        <v>1523060</v>
      </c>
    </row>
    <row r="72" spans="1:14" ht="16">
      <c r="A72" s="139">
        <v>45682</v>
      </c>
      <c r="B72" s="90" t="s">
        <v>37</v>
      </c>
      <c r="C72" s="83">
        <v>352133</v>
      </c>
      <c r="D72" s="83">
        <v>352649</v>
      </c>
      <c r="E72" s="11">
        <f t="shared" si="64"/>
        <v>516</v>
      </c>
      <c r="F72" s="141">
        <v>70</v>
      </c>
      <c r="G72" s="13">
        <f t="shared" si="65"/>
        <v>13.565891472868216</v>
      </c>
      <c r="H72" s="83"/>
      <c r="I72" s="125"/>
      <c r="J72" s="83">
        <f t="shared" si="66"/>
        <v>0</v>
      </c>
      <c r="K72" s="83">
        <f t="shared" si="67"/>
        <v>70</v>
      </c>
      <c r="L72" s="136" t="e">
        <f t="shared" si="68"/>
        <v>#DIV/0!</v>
      </c>
      <c r="M72" s="116">
        <v>20190</v>
      </c>
      <c r="N72" s="329">
        <f t="shared" si="69"/>
        <v>1413300</v>
      </c>
    </row>
    <row r="73" spans="1:14" ht="16">
      <c r="A73" s="271"/>
      <c r="B73" s="283"/>
      <c r="C73" s="134"/>
      <c r="D73" s="134"/>
      <c r="E73" s="24">
        <f t="shared" si="64"/>
        <v>0</v>
      </c>
      <c r="F73" s="143"/>
      <c r="G73" s="54" t="e">
        <f t="shared" si="65"/>
        <v>#DIV/0!</v>
      </c>
      <c r="H73" s="134">
        <v>1</v>
      </c>
      <c r="I73" s="135"/>
      <c r="J73" s="134">
        <f t="shared" si="66"/>
        <v>-1</v>
      </c>
      <c r="K73" s="134">
        <f t="shared" si="67"/>
        <v>0</v>
      </c>
      <c r="L73" s="136">
        <f t="shared" si="68"/>
        <v>0</v>
      </c>
      <c r="M73" s="137"/>
      <c r="N73" s="336">
        <f t="shared" si="69"/>
        <v>0</v>
      </c>
    </row>
    <row r="74" spans="1:14" ht="16">
      <c r="A74" s="59"/>
      <c r="B74" s="60"/>
      <c r="C74" s="59"/>
      <c r="D74" s="59" t="s">
        <v>19</v>
      </c>
      <c r="E74" s="59">
        <f t="shared" ref="E74:F74" si="70">SUM(E67:E73)</f>
        <v>2817</v>
      </c>
      <c r="F74" s="59">
        <f t="shared" si="70"/>
        <v>403</v>
      </c>
      <c r="G74" s="61" t="e">
        <f>AVERAGE(G67:G73)</f>
        <v>#DIV/0!</v>
      </c>
      <c r="H74" s="59"/>
      <c r="I74" s="62"/>
      <c r="J74" s="59">
        <f t="shared" ref="J74:K74" si="71">SUM(J67:J73)</f>
        <v>-11111</v>
      </c>
      <c r="K74" s="59">
        <f t="shared" si="71"/>
        <v>403</v>
      </c>
      <c r="L74" s="61" t="e">
        <f>AVERAGE(L67:L73)</f>
        <v>#DIV/0!</v>
      </c>
      <c r="M74" s="64"/>
      <c r="N74" s="325">
        <f>SUM(N67:N73)</f>
        <v>7792740</v>
      </c>
    </row>
    <row r="75" spans="1:14" ht="16">
      <c r="A75" s="66">
        <v>45664</v>
      </c>
      <c r="B75" s="278" t="s">
        <v>98</v>
      </c>
      <c r="C75" s="83">
        <v>184832</v>
      </c>
      <c r="D75" s="39">
        <v>185949</v>
      </c>
      <c r="E75" s="36">
        <f t="shared" ref="E75:E81" si="72">D75-C75</f>
        <v>1117</v>
      </c>
      <c r="F75" s="37">
        <v>72</v>
      </c>
      <c r="G75" s="13">
        <f t="shared" ref="G75:G81" si="73">(F75/E75)*100</f>
        <v>6.4458370635631157</v>
      </c>
      <c r="H75" s="125">
        <v>14930</v>
      </c>
      <c r="I75" s="126">
        <v>15595</v>
      </c>
      <c r="J75" s="39">
        <f t="shared" ref="J75:J81" si="74">I75-H75</f>
        <v>665</v>
      </c>
      <c r="K75" s="39">
        <f t="shared" ref="K75:K81" si="75">F75</f>
        <v>72</v>
      </c>
      <c r="L75" s="136">
        <f t="shared" ref="L75:L81" si="76">(K75/J75)*100</f>
        <v>10.827067669172932</v>
      </c>
      <c r="M75" s="68">
        <v>18750</v>
      </c>
      <c r="N75" s="324">
        <f t="shared" ref="N75:N81" si="77">F75*M75</f>
        <v>1350000</v>
      </c>
    </row>
    <row r="76" spans="1:14" ht="16">
      <c r="A76" s="138">
        <v>45669</v>
      </c>
      <c r="B76" s="140" t="s">
        <v>98</v>
      </c>
      <c r="C76" s="83">
        <v>185949</v>
      </c>
      <c r="D76" s="83">
        <v>186477</v>
      </c>
      <c r="E76" s="11">
        <f t="shared" si="72"/>
        <v>528</v>
      </c>
      <c r="F76" s="141">
        <v>64</v>
      </c>
      <c r="G76" s="13">
        <f t="shared" si="73"/>
        <v>12.121212121212121</v>
      </c>
      <c r="H76" s="83">
        <v>15595</v>
      </c>
      <c r="I76" s="125">
        <v>16146</v>
      </c>
      <c r="J76" s="83">
        <f t="shared" si="74"/>
        <v>551</v>
      </c>
      <c r="K76" s="83">
        <f t="shared" si="75"/>
        <v>64</v>
      </c>
      <c r="L76" s="136">
        <f t="shared" si="76"/>
        <v>11.61524500907441</v>
      </c>
      <c r="M76" s="116">
        <v>19240</v>
      </c>
      <c r="N76" s="329">
        <f t="shared" si="77"/>
        <v>1231360</v>
      </c>
    </row>
    <row r="77" spans="1:14" ht="16">
      <c r="A77" s="138">
        <v>45674</v>
      </c>
      <c r="B77" s="140" t="s">
        <v>98</v>
      </c>
      <c r="C77" s="83">
        <v>186477</v>
      </c>
      <c r="D77" s="83">
        <v>186976</v>
      </c>
      <c r="E77" s="11">
        <f t="shared" si="72"/>
        <v>499</v>
      </c>
      <c r="F77" s="141">
        <v>62</v>
      </c>
      <c r="G77" s="13">
        <f t="shared" si="73"/>
        <v>12.424849699398797</v>
      </c>
      <c r="H77" s="83">
        <v>16146</v>
      </c>
      <c r="I77" s="125">
        <v>16566</v>
      </c>
      <c r="J77" s="83">
        <f t="shared" si="74"/>
        <v>420</v>
      </c>
      <c r="K77" s="83">
        <f t="shared" si="75"/>
        <v>62</v>
      </c>
      <c r="L77" s="136">
        <f t="shared" si="76"/>
        <v>14.761904761904763</v>
      </c>
      <c r="M77" s="116">
        <v>19780</v>
      </c>
      <c r="N77" s="329">
        <f t="shared" si="77"/>
        <v>1226360</v>
      </c>
    </row>
    <row r="78" spans="1:14" ht="16">
      <c r="A78" s="138">
        <v>45679</v>
      </c>
      <c r="B78" s="140" t="s">
        <v>98</v>
      </c>
      <c r="C78" s="83">
        <v>186976</v>
      </c>
      <c r="D78" s="83">
        <v>187521</v>
      </c>
      <c r="E78" s="11">
        <f t="shared" si="72"/>
        <v>545</v>
      </c>
      <c r="F78" s="141">
        <v>67</v>
      </c>
      <c r="G78" s="13">
        <f t="shared" si="73"/>
        <v>12.293577981651376</v>
      </c>
      <c r="H78" s="83">
        <v>16566</v>
      </c>
      <c r="I78" s="125"/>
      <c r="J78" s="83">
        <f t="shared" si="74"/>
        <v>-16566</v>
      </c>
      <c r="K78" s="83">
        <f t="shared" si="75"/>
        <v>67</v>
      </c>
      <c r="L78" s="136">
        <f t="shared" si="76"/>
        <v>-0.40444283472171916</v>
      </c>
      <c r="M78" s="116">
        <v>19780</v>
      </c>
      <c r="N78" s="329">
        <f t="shared" si="77"/>
        <v>1325260</v>
      </c>
    </row>
    <row r="79" spans="1:14" ht="16">
      <c r="A79" s="138"/>
      <c r="B79" s="140" t="s">
        <v>98</v>
      </c>
      <c r="C79" s="83"/>
      <c r="D79" s="83"/>
      <c r="E79" s="11">
        <f t="shared" si="72"/>
        <v>0</v>
      </c>
      <c r="F79" s="141"/>
      <c r="G79" s="13" t="e">
        <f t="shared" si="73"/>
        <v>#DIV/0!</v>
      </c>
      <c r="H79" s="83"/>
      <c r="I79" s="125"/>
      <c r="J79" s="83">
        <f t="shared" si="74"/>
        <v>0</v>
      </c>
      <c r="K79" s="83">
        <f t="shared" si="75"/>
        <v>0</v>
      </c>
      <c r="L79" s="136" t="e">
        <f t="shared" si="76"/>
        <v>#DIV/0!</v>
      </c>
      <c r="M79" s="116"/>
      <c r="N79" s="201">
        <f t="shared" si="77"/>
        <v>0</v>
      </c>
    </row>
    <row r="80" spans="1:14" ht="16">
      <c r="A80" s="244"/>
      <c r="B80" s="140" t="s">
        <v>98</v>
      </c>
      <c r="C80" s="83"/>
      <c r="D80" s="83"/>
      <c r="E80" s="11">
        <f t="shared" si="72"/>
        <v>0</v>
      </c>
      <c r="F80" s="141"/>
      <c r="G80" s="13" t="e">
        <f t="shared" si="73"/>
        <v>#DIV/0!</v>
      </c>
      <c r="H80" s="83"/>
      <c r="I80" s="125"/>
      <c r="J80" s="83">
        <f t="shared" si="74"/>
        <v>0</v>
      </c>
      <c r="K80" s="83">
        <f t="shared" si="75"/>
        <v>0</v>
      </c>
      <c r="L80" s="136" t="e">
        <f t="shared" si="76"/>
        <v>#DIV/0!</v>
      </c>
      <c r="M80" s="116"/>
      <c r="N80" s="201">
        <f t="shared" si="77"/>
        <v>0</v>
      </c>
    </row>
    <row r="81" spans="1:26" ht="16">
      <c r="A81" s="271"/>
      <c r="B81" s="272"/>
      <c r="C81" s="134"/>
      <c r="D81" s="134"/>
      <c r="E81" s="24">
        <f t="shared" si="72"/>
        <v>0</v>
      </c>
      <c r="F81" s="143"/>
      <c r="G81" s="54" t="e">
        <f t="shared" si="73"/>
        <v>#DIV/0!</v>
      </c>
      <c r="H81" s="134">
        <v>1</v>
      </c>
      <c r="I81" s="135"/>
      <c r="J81" s="134">
        <f t="shared" si="74"/>
        <v>-1</v>
      </c>
      <c r="K81" s="134">
        <f t="shared" si="75"/>
        <v>0</v>
      </c>
      <c r="L81" s="136">
        <f t="shared" si="76"/>
        <v>0</v>
      </c>
      <c r="M81" s="137"/>
      <c r="N81" s="336">
        <f t="shared" si="77"/>
        <v>0</v>
      </c>
    </row>
    <row r="82" spans="1:26" ht="16">
      <c r="A82" s="59"/>
      <c r="B82" s="60"/>
      <c r="C82" s="59"/>
      <c r="D82" s="59" t="s">
        <v>19</v>
      </c>
      <c r="E82" s="59">
        <f t="shared" ref="E82:F82" si="78">SUM(E75:E81)</f>
        <v>2689</v>
      </c>
      <c r="F82" s="59">
        <f t="shared" si="78"/>
        <v>265</v>
      </c>
      <c r="G82" s="61" t="e">
        <f>AVERAGE(G75:G81)</f>
        <v>#DIV/0!</v>
      </c>
      <c r="H82" s="59"/>
      <c r="I82" s="62"/>
      <c r="J82" s="59">
        <f t="shared" ref="J82:K82" si="79">SUM(J75:J81)</f>
        <v>-14931</v>
      </c>
      <c r="K82" s="59">
        <f t="shared" si="79"/>
        <v>265</v>
      </c>
      <c r="L82" s="61" t="e">
        <f>AVERAGE(L75:L81)</f>
        <v>#DIV/0!</v>
      </c>
      <c r="M82" s="64"/>
      <c r="N82" s="325">
        <f>SUM(N75:N81)</f>
        <v>5132980</v>
      </c>
    </row>
    <row r="83" spans="1:26" ht="17" thickBot="1">
      <c r="A83" s="66">
        <v>45663</v>
      </c>
      <c r="B83" s="269" t="s">
        <v>38</v>
      </c>
      <c r="C83" s="83">
        <v>136948</v>
      </c>
      <c r="D83" s="39">
        <v>138188</v>
      </c>
      <c r="E83" s="36">
        <f t="shared" ref="E83:E88" si="80">D83-C83</f>
        <v>1240</v>
      </c>
      <c r="F83" s="37">
        <v>78</v>
      </c>
      <c r="G83" s="13">
        <f t="shared" ref="G83:G88" si="81">(F83/E83)*100</f>
        <v>6.290322580645161</v>
      </c>
      <c r="H83" s="125">
        <v>10841</v>
      </c>
      <c r="I83" s="126"/>
      <c r="J83" s="39">
        <f t="shared" ref="J83:J85" si="82">I83-H83</f>
        <v>-10841</v>
      </c>
      <c r="K83" s="39">
        <f t="shared" ref="K83:K88" si="83">F83</f>
        <v>78</v>
      </c>
      <c r="L83" s="136">
        <f t="shared" ref="L83:L88" si="84">(K83/J83)*100</f>
        <v>-0.71949082187990043</v>
      </c>
      <c r="M83" s="68">
        <v>18750</v>
      </c>
      <c r="N83" s="324">
        <f t="shared" ref="N83:N88" si="85">F83*M83</f>
        <v>1462500</v>
      </c>
    </row>
    <row r="84" spans="1:26" ht="17" thickBot="1">
      <c r="A84" s="66">
        <v>45671</v>
      </c>
      <c r="B84" s="140" t="s">
        <v>38</v>
      </c>
      <c r="C84" s="83">
        <v>138188</v>
      </c>
      <c r="D84" s="83">
        <v>138778</v>
      </c>
      <c r="E84" s="36">
        <f t="shared" si="80"/>
        <v>590</v>
      </c>
      <c r="F84" s="141">
        <v>75</v>
      </c>
      <c r="G84" s="13">
        <f t="shared" si="81"/>
        <v>12.711864406779661</v>
      </c>
      <c r="H84" s="83"/>
      <c r="I84" s="125"/>
      <c r="J84" s="83">
        <f t="shared" si="82"/>
        <v>0</v>
      </c>
      <c r="K84" s="83">
        <f t="shared" si="83"/>
        <v>75</v>
      </c>
      <c r="L84" s="136" t="e">
        <f t="shared" si="84"/>
        <v>#DIV/0!</v>
      </c>
      <c r="M84" s="116">
        <v>19240</v>
      </c>
      <c r="N84" s="324">
        <f t="shared" si="85"/>
        <v>1443000</v>
      </c>
    </row>
    <row r="85" spans="1:26" ht="17" thickBot="1">
      <c r="A85" s="138">
        <v>45678</v>
      </c>
      <c r="B85" s="140" t="s">
        <v>38</v>
      </c>
      <c r="C85" s="83">
        <v>138788</v>
      </c>
      <c r="D85" s="83">
        <v>139409</v>
      </c>
      <c r="E85" s="36">
        <f t="shared" si="80"/>
        <v>621</v>
      </c>
      <c r="F85" s="141">
        <v>80</v>
      </c>
      <c r="G85" s="13">
        <f t="shared" si="81"/>
        <v>12.882447665056359</v>
      </c>
      <c r="H85" s="83"/>
      <c r="I85" s="125"/>
      <c r="J85" s="83">
        <f t="shared" si="82"/>
        <v>0</v>
      </c>
      <c r="K85" s="83">
        <f t="shared" si="83"/>
        <v>80</v>
      </c>
      <c r="L85" s="136" t="e">
        <f t="shared" si="84"/>
        <v>#DIV/0!</v>
      </c>
      <c r="M85" s="116">
        <v>19780</v>
      </c>
      <c r="N85" s="324">
        <f t="shared" si="85"/>
        <v>1582400</v>
      </c>
    </row>
    <row r="86" spans="1:26" ht="16">
      <c r="A86" s="138"/>
      <c r="B86" s="140"/>
      <c r="C86" s="83"/>
      <c r="D86" s="83"/>
      <c r="E86" s="36">
        <f t="shared" si="80"/>
        <v>0</v>
      </c>
      <c r="F86" s="141"/>
      <c r="G86" s="13" t="e">
        <f t="shared" si="81"/>
        <v>#DIV/0!</v>
      </c>
      <c r="H86" s="83"/>
      <c r="I86" s="125"/>
      <c r="J86" s="83"/>
      <c r="K86" s="83">
        <f t="shared" si="83"/>
        <v>0</v>
      </c>
      <c r="L86" s="136" t="e">
        <f t="shared" si="84"/>
        <v>#DIV/0!</v>
      </c>
      <c r="M86" s="116"/>
      <c r="N86" s="341">
        <f t="shared" si="85"/>
        <v>0</v>
      </c>
    </row>
    <row r="87" spans="1:26" ht="16">
      <c r="A87" s="138"/>
      <c r="B87" s="140"/>
      <c r="C87" s="83"/>
      <c r="D87" s="83"/>
      <c r="E87" s="36">
        <f t="shared" si="80"/>
        <v>0</v>
      </c>
      <c r="F87" s="141"/>
      <c r="G87" s="13" t="e">
        <f t="shared" si="81"/>
        <v>#DIV/0!</v>
      </c>
      <c r="H87" s="83"/>
      <c r="I87" s="125"/>
      <c r="J87" s="83"/>
      <c r="K87" s="83">
        <f t="shared" si="83"/>
        <v>0</v>
      </c>
      <c r="L87" s="136" t="e">
        <f t="shared" si="84"/>
        <v>#DIV/0!</v>
      </c>
      <c r="M87" s="116"/>
      <c r="N87" s="341">
        <f t="shared" si="85"/>
        <v>0</v>
      </c>
    </row>
    <row r="88" spans="1:26" ht="16">
      <c r="A88" s="138"/>
      <c r="B88" s="272"/>
      <c r="C88" s="83"/>
      <c r="D88" s="83"/>
      <c r="E88" s="36">
        <f t="shared" si="80"/>
        <v>0</v>
      </c>
      <c r="F88" s="141"/>
      <c r="G88" s="13" t="e">
        <f t="shared" si="81"/>
        <v>#DIV/0!</v>
      </c>
      <c r="H88" s="83"/>
      <c r="I88" s="125"/>
      <c r="J88" s="83"/>
      <c r="K88" s="83">
        <f t="shared" si="83"/>
        <v>0</v>
      </c>
      <c r="L88" s="309" t="e">
        <f t="shared" si="84"/>
        <v>#DIV/0!</v>
      </c>
      <c r="M88" s="116"/>
      <c r="N88" s="341">
        <f t="shared" si="85"/>
        <v>0</v>
      </c>
    </row>
    <row r="89" spans="1:26" ht="16">
      <c r="A89" s="310"/>
      <c r="B89" s="332"/>
      <c r="C89" s="311"/>
      <c r="D89" s="312" t="s">
        <v>19</v>
      </c>
      <c r="E89" s="313">
        <f t="shared" ref="E89:F89" si="86">SUM(E83:E88)</f>
        <v>2451</v>
      </c>
      <c r="F89" s="313">
        <f t="shared" si="86"/>
        <v>233</v>
      </c>
      <c r="G89" s="314" t="e">
        <f>AVERAGE(G83:G88)</f>
        <v>#DIV/0!</v>
      </c>
      <c r="H89" s="311"/>
      <c r="I89" s="315"/>
      <c r="J89" s="312">
        <f t="shared" ref="J89:K89" si="87">SUM(J83:J88)</f>
        <v>-10841</v>
      </c>
      <c r="K89" s="312">
        <f t="shared" si="87"/>
        <v>233</v>
      </c>
      <c r="L89" s="316" t="e">
        <f>AVERAGE(L83:L88)</f>
        <v>#DIV/0!</v>
      </c>
      <c r="M89" s="317"/>
      <c r="N89" s="339">
        <f>SUM(N83:N88)</f>
        <v>4487900</v>
      </c>
    </row>
    <row r="90" spans="1:26" ht="16">
      <c r="A90" s="112">
        <v>45674</v>
      </c>
      <c r="B90" s="283" t="s">
        <v>39</v>
      </c>
      <c r="C90" s="83">
        <v>88403</v>
      </c>
      <c r="D90" s="83"/>
      <c r="E90" s="36">
        <f t="shared" ref="E90:E96" si="88">D90-C90</f>
        <v>-88403</v>
      </c>
      <c r="F90" s="141">
        <v>90</v>
      </c>
      <c r="G90" s="114">
        <f t="shared" ref="G90:G96" si="89">(F90/E90)*100</f>
        <v>-0.10180649977941925</v>
      </c>
      <c r="H90" s="83"/>
      <c r="I90" s="125"/>
      <c r="J90" s="83">
        <f t="shared" ref="J90:J96" si="90">I90-H90</f>
        <v>0</v>
      </c>
      <c r="K90" s="83">
        <f t="shared" ref="K90:K96" si="91">F90</f>
        <v>90</v>
      </c>
      <c r="L90" s="290" t="e">
        <f t="shared" ref="L90:L96" si="92">(K90/J90)*100</f>
        <v>#DIV/0!</v>
      </c>
      <c r="M90" s="116">
        <v>19780</v>
      </c>
      <c r="N90" s="342">
        <f t="shared" ref="N90:N96" si="93">F90*M90</f>
        <v>1780200</v>
      </c>
    </row>
    <row r="91" spans="1:26" ht="16">
      <c r="A91" s="7">
        <v>45682</v>
      </c>
      <c r="B91" s="283" t="s">
        <v>39</v>
      </c>
      <c r="C91" s="12">
        <v>88403</v>
      </c>
      <c r="D91" s="12">
        <v>89089</v>
      </c>
      <c r="E91" s="11">
        <f t="shared" si="88"/>
        <v>686</v>
      </c>
      <c r="F91" s="12">
        <v>78</v>
      </c>
      <c r="G91" s="13">
        <f t="shared" si="89"/>
        <v>11.370262390670554</v>
      </c>
      <c r="H91" s="12">
        <v>1194</v>
      </c>
      <c r="I91" s="15"/>
      <c r="J91" s="83">
        <f t="shared" si="90"/>
        <v>-1194</v>
      </c>
      <c r="K91" s="83">
        <f t="shared" si="91"/>
        <v>78</v>
      </c>
      <c r="L91" s="290">
        <f t="shared" si="92"/>
        <v>-6.5326633165829149</v>
      </c>
      <c r="M91" s="17">
        <v>20190</v>
      </c>
      <c r="N91" s="343">
        <f t="shared" si="93"/>
        <v>1574820</v>
      </c>
      <c r="S91" s="229"/>
      <c r="T91" s="229"/>
      <c r="U91" s="229"/>
      <c r="V91" s="229"/>
      <c r="W91" s="229"/>
      <c r="X91" s="229"/>
      <c r="Y91" s="229"/>
      <c r="Z91" s="229"/>
    </row>
    <row r="92" spans="1:26" ht="16">
      <c r="A92" s="138"/>
      <c r="B92" s="144"/>
      <c r="C92" s="83"/>
      <c r="D92" s="83"/>
      <c r="E92" s="11">
        <f t="shared" si="88"/>
        <v>0</v>
      </c>
      <c r="F92" s="141"/>
      <c r="G92" s="13" t="e">
        <f t="shared" si="89"/>
        <v>#DIV/0!</v>
      </c>
      <c r="H92" s="83"/>
      <c r="I92" s="125"/>
      <c r="J92" s="83">
        <f t="shared" si="90"/>
        <v>0</v>
      </c>
      <c r="K92" s="83">
        <f t="shared" si="91"/>
        <v>0</v>
      </c>
      <c r="L92" s="290" t="e">
        <f t="shared" si="92"/>
        <v>#DIV/0!</v>
      </c>
      <c r="M92" s="116"/>
      <c r="N92" s="344">
        <f t="shared" si="93"/>
        <v>0</v>
      </c>
    </row>
    <row r="93" spans="1:26" ht="16">
      <c r="A93" s="138"/>
      <c r="B93" s="140"/>
      <c r="C93" s="83"/>
      <c r="D93" s="83"/>
      <c r="E93" s="11">
        <f t="shared" si="88"/>
        <v>0</v>
      </c>
      <c r="F93" s="141"/>
      <c r="G93" s="13" t="e">
        <f t="shared" si="89"/>
        <v>#DIV/0!</v>
      </c>
      <c r="H93" s="83"/>
      <c r="I93" s="125"/>
      <c r="J93" s="83">
        <f t="shared" si="90"/>
        <v>0</v>
      </c>
      <c r="K93" s="83">
        <f t="shared" si="91"/>
        <v>0</v>
      </c>
      <c r="L93" s="136" t="e">
        <f t="shared" si="92"/>
        <v>#DIV/0!</v>
      </c>
      <c r="M93" s="116"/>
      <c r="N93" s="201">
        <f t="shared" si="93"/>
        <v>0</v>
      </c>
    </row>
    <row r="94" spans="1:26" ht="16">
      <c r="A94" s="138"/>
      <c r="B94" s="140"/>
      <c r="C94" s="83"/>
      <c r="D94" s="83"/>
      <c r="E94" s="11">
        <f t="shared" si="88"/>
        <v>0</v>
      </c>
      <c r="F94" s="141"/>
      <c r="G94" s="13" t="e">
        <f t="shared" si="89"/>
        <v>#DIV/0!</v>
      </c>
      <c r="H94" s="83"/>
      <c r="I94" s="125"/>
      <c r="J94" s="83">
        <f t="shared" si="90"/>
        <v>0</v>
      </c>
      <c r="K94" s="83">
        <f t="shared" si="91"/>
        <v>0</v>
      </c>
      <c r="L94" s="136" t="e">
        <f t="shared" si="92"/>
        <v>#DIV/0!</v>
      </c>
      <c r="M94" s="116"/>
      <c r="N94" s="201">
        <f t="shared" si="93"/>
        <v>0</v>
      </c>
    </row>
    <row r="95" spans="1:26" ht="16">
      <c r="A95" s="244"/>
      <c r="B95" s="90"/>
      <c r="C95" s="83"/>
      <c r="D95" s="83"/>
      <c r="E95" s="11">
        <f t="shared" si="88"/>
        <v>0</v>
      </c>
      <c r="F95" s="141"/>
      <c r="G95" s="13" t="e">
        <f t="shared" si="89"/>
        <v>#DIV/0!</v>
      </c>
      <c r="H95" s="83"/>
      <c r="I95" s="125"/>
      <c r="J95" s="83">
        <f t="shared" si="90"/>
        <v>0</v>
      </c>
      <c r="K95" s="83">
        <f t="shared" si="91"/>
        <v>0</v>
      </c>
      <c r="L95" s="136" t="e">
        <f t="shared" si="92"/>
        <v>#DIV/0!</v>
      </c>
      <c r="M95" s="116"/>
      <c r="N95" s="201">
        <f t="shared" si="93"/>
        <v>0</v>
      </c>
    </row>
    <row r="96" spans="1:26" ht="16">
      <c r="A96" s="271"/>
      <c r="B96" s="283"/>
      <c r="C96" s="134"/>
      <c r="D96" s="134"/>
      <c r="E96" s="24">
        <f t="shared" si="88"/>
        <v>0</v>
      </c>
      <c r="F96" s="143"/>
      <c r="G96" s="54" t="e">
        <f t="shared" si="89"/>
        <v>#DIV/0!</v>
      </c>
      <c r="H96" s="134"/>
      <c r="I96" s="135"/>
      <c r="J96" s="134">
        <f t="shared" si="90"/>
        <v>0</v>
      </c>
      <c r="K96" s="134">
        <f t="shared" si="91"/>
        <v>0</v>
      </c>
      <c r="L96" s="136" t="e">
        <f t="shared" si="92"/>
        <v>#DIV/0!</v>
      </c>
      <c r="M96" s="137"/>
      <c r="N96" s="336">
        <f t="shared" si="93"/>
        <v>0</v>
      </c>
    </row>
    <row r="97" spans="1:16" ht="16">
      <c r="A97" s="59"/>
      <c r="B97" s="60"/>
      <c r="C97" s="59"/>
      <c r="D97" s="59" t="s">
        <v>19</v>
      </c>
      <c r="E97" s="59">
        <f t="shared" ref="E97:F97" si="94">SUM(E83:E96)</f>
        <v>-82815</v>
      </c>
      <c r="F97" s="59">
        <f t="shared" si="94"/>
        <v>634</v>
      </c>
      <c r="G97" s="61" t="e">
        <f>AVERAGE(G83:G96)</f>
        <v>#DIV/0!</v>
      </c>
      <c r="H97" s="59"/>
      <c r="I97" s="62"/>
      <c r="J97" s="59">
        <f t="shared" ref="J97:K97" si="95">SUM(J83:J96)</f>
        <v>-22876</v>
      </c>
      <c r="K97" s="59">
        <f t="shared" si="95"/>
        <v>634</v>
      </c>
      <c r="L97" s="61" t="e">
        <f>AVERAGE(L83:L96)</f>
        <v>#DIV/0!</v>
      </c>
      <c r="M97" s="64"/>
      <c r="N97" s="325">
        <f>SUM(N90:N96)</f>
        <v>3355020</v>
      </c>
    </row>
    <row r="98" spans="1:16" ht="16">
      <c r="A98" s="66">
        <v>45664</v>
      </c>
      <c r="B98" s="140" t="s">
        <v>40</v>
      </c>
      <c r="C98" s="83">
        <v>81877</v>
      </c>
      <c r="D98" s="12">
        <v>82464</v>
      </c>
      <c r="E98" s="36">
        <f t="shared" ref="E98:E104" si="96">D98-C98</f>
        <v>587</v>
      </c>
      <c r="F98" s="37">
        <v>65</v>
      </c>
      <c r="G98" s="13">
        <f t="shared" ref="G98:G104" si="97">(F98/E98)*100</f>
        <v>11.073253833049405</v>
      </c>
      <c r="H98" s="125">
        <v>81923</v>
      </c>
      <c r="I98" s="126">
        <v>82522</v>
      </c>
      <c r="J98" s="39">
        <f t="shared" ref="J98:J104" si="98">I98-H98</f>
        <v>599</v>
      </c>
      <c r="K98" s="39">
        <f t="shared" ref="K98:K104" si="99">F98</f>
        <v>65</v>
      </c>
      <c r="L98" s="136">
        <f t="shared" ref="L98:L104" si="100">(K98/J98)*100</f>
        <v>10.851419031719532</v>
      </c>
      <c r="M98" s="68">
        <v>18750</v>
      </c>
      <c r="N98" s="324">
        <f t="shared" ref="N98:N104" si="101">F98*M98</f>
        <v>1218750</v>
      </c>
    </row>
    <row r="99" spans="1:16" ht="16">
      <c r="A99" s="138">
        <v>45671</v>
      </c>
      <c r="B99" s="140" t="s">
        <v>40</v>
      </c>
      <c r="C99" s="83">
        <v>82464</v>
      </c>
      <c r="D99" s="83">
        <v>83174</v>
      </c>
      <c r="E99" s="11">
        <f t="shared" si="96"/>
        <v>710</v>
      </c>
      <c r="F99" s="141">
        <v>77</v>
      </c>
      <c r="G99" s="13">
        <f t="shared" si="97"/>
        <v>10.84507042253521</v>
      </c>
      <c r="H99" s="83">
        <v>82522</v>
      </c>
      <c r="I99" s="125">
        <v>83159</v>
      </c>
      <c r="J99" s="83">
        <f t="shared" si="98"/>
        <v>637</v>
      </c>
      <c r="K99" s="83">
        <f t="shared" si="99"/>
        <v>77</v>
      </c>
      <c r="L99" s="136">
        <f t="shared" si="100"/>
        <v>12.087912087912088</v>
      </c>
      <c r="M99" s="116">
        <v>19240</v>
      </c>
      <c r="N99" s="329">
        <f t="shared" si="101"/>
        <v>1481480</v>
      </c>
    </row>
    <row r="100" spans="1:16" ht="16">
      <c r="A100" s="138">
        <v>45675</v>
      </c>
      <c r="B100" s="140" t="s">
        <v>40</v>
      </c>
      <c r="C100" s="83">
        <v>83174</v>
      </c>
      <c r="D100" s="83">
        <v>83724</v>
      </c>
      <c r="E100" s="11">
        <f t="shared" si="96"/>
        <v>550</v>
      </c>
      <c r="F100" s="141">
        <v>63</v>
      </c>
      <c r="G100" s="13">
        <f t="shared" si="97"/>
        <v>11.454545454545455</v>
      </c>
      <c r="H100" s="83">
        <v>83159</v>
      </c>
      <c r="I100" s="125">
        <v>83826</v>
      </c>
      <c r="J100" s="83">
        <f t="shared" si="98"/>
        <v>667</v>
      </c>
      <c r="K100" s="83">
        <f t="shared" si="99"/>
        <v>63</v>
      </c>
      <c r="L100" s="136">
        <f t="shared" si="100"/>
        <v>9.4452773613193397</v>
      </c>
      <c r="M100" s="116">
        <v>19780</v>
      </c>
      <c r="N100" s="329">
        <f t="shared" si="101"/>
        <v>1246140</v>
      </c>
    </row>
    <row r="101" spans="1:16" ht="16">
      <c r="A101" s="138">
        <v>45681</v>
      </c>
      <c r="B101" s="140" t="s">
        <v>40</v>
      </c>
      <c r="C101" s="83">
        <v>83742</v>
      </c>
      <c r="D101" s="83">
        <v>84274</v>
      </c>
      <c r="E101" s="11">
        <f t="shared" si="96"/>
        <v>532</v>
      </c>
      <c r="F101" s="141">
        <v>60</v>
      </c>
      <c r="G101" s="13">
        <f t="shared" si="97"/>
        <v>11.278195488721805</v>
      </c>
      <c r="H101" s="83">
        <v>83826</v>
      </c>
      <c r="I101" s="125"/>
      <c r="J101" s="83">
        <f t="shared" si="98"/>
        <v>-83826</v>
      </c>
      <c r="K101" s="83">
        <f t="shared" si="99"/>
        <v>60</v>
      </c>
      <c r="L101" s="136">
        <f t="shared" si="100"/>
        <v>-7.157683773530886E-2</v>
      </c>
      <c r="M101" s="116">
        <v>20190</v>
      </c>
      <c r="N101" s="329">
        <f t="shared" si="101"/>
        <v>1211400</v>
      </c>
    </row>
    <row r="102" spans="1:16" ht="16">
      <c r="A102" s="138"/>
      <c r="B102" s="140" t="s">
        <v>40</v>
      </c>
      <c r="C102" s="83"/>
      <c r="D102" s="83"/>
      <c r="E102" s="11">
        <f t="shared" si="96"/>
        <v>0</v>
      </c>
      <c r="F102" s="141"/>
      <c r="G102" s="13" t="e">
        <f t="shared" si="97"/>
        <v>#DIV/0!</v>
      </c>
      <c r="H102" s="83"/>
      <c r="I102" s="125"/>
      <c r="J102" s="83">
        <f t="shared" si="98"/>
        <v>0</v>
      </c>
      <c r="K102" s="83">
        <f t="shared" si="99"/>
        <v>0</v>
      </c>
      <c r="L102" s="136" t="e">
        <f t="shared" si="100"/>
        <v>#DIV/0!</v>
      </c>
      <c r="M102" s="116"/>
      <c r="N102" s="201">
        <f t="shared" si="101"/>
        <v>0</v>
      </c>
    </row>
    <row r="103" spans="1:16" ht="16">
      <c r="A103" s="244"/>
      <c r="B103" s="113"/>
      <c r="C103" s="83"/>
      <c r="D103" s="83"/>
      <c r="E103" s="11">
        <f t="shared" si="96"/>
        <v>0</v>
      </c>
      <c r="F103" s="141"/>
      <c r="G103" s="13" t="e">
        <f t="shared" si="97"/>
        <v>#DIV/0!</v>
      </c>
      <c r="H103" s="83"/>
      <c r="I103" s="125"/>
      <c r="J103" s="83">
        <f t="shared" si="98"/>
        <v>0</v>
      </c>
      <c r="K103" s="83">
        <f t="shared" si="99"/>
        <v>0</v>
      </c>
      <c r="L103" s="136" t="e">
        <f t="shared" si="100"/>
        <v>#DIV/0!</v>
      </c>
      <c r="M103" s="116"/>
      <c r="N103" s="201">
        <f t="shared" si="101"/>
        <v>0</v>
      </c>
    </row>
    <row r="104" spans="1:16" ht="16">
      <c r="A104" s="271"/>
      <c r="B104" s="283"/>
      <c r="C104" s="134"/>
      <c r="D104" s="134"/>
      <c r="E104" s="24">
        <f t="shared" si="96"/>
        <v>0</v>
      </c>
      <c r="F104" s="143"/>
      <c r="G104" s="54" t="e">
        <f t="shared" si="97"/>
        <v>#DIV/0!</v>
      </c>
      <c r="H104" s="134"/>
      <c r="I104" s="135"/>
      <c r="J104" s="134">
        <f t="shared" si="98"/>
        <v>0</v>
      </c>
      <c r="K104" s="134">
        <f t="shared" si="99"/>
        <v>0</v>
      </c>
      <c r="L104" s="136" t="e">
        <f t="shared" si="100"/>
        <v>#DIV/0!</v>
      </c>
      <c r="M104" s="137"/>
      <c r="N104" s="336">
        <f t="shared" si="101"/>
        <v>0</v>
      </c>
    </row>
    <row r="105" spans="1:16" ht="16">
      <c r="A105" s="59"/>
      <c r="B105" s="60"/>
      <c r="C105" s="59"/>
      <c r="D105" s="59" t="s">
        <v>19</v>
      </c>
      <c r="E105" s="59">
        <f t="shared" ref="E105:F105" si="102">SUM(E98:E104)</f>
        <v>2379</v>
      </c>
      <c r="F105" s="59">
        <f t="shared" si="102"/>
        <v>265</v>
      </c>
      <c r="G105" s="61" t="e">
        <f>AVERAGE(G98:G104)</f>
        <v>#DIV/0!</v>
      </c>
      <c r="H105" s="59"/>
      <c r="I105" s="62"/>
      <c r="J105" s="59">
        <f t="shared" ref="J105:K105" si="103">SUM(J98:J104)</f>
        <v>-81923</v>
      </c>
      <c r="K105" s="59">
        <f t="shared" si="103"/>
        <v>265</v>
      </c>
      <c r="L105" s="61" t="e">
        <f>AVERAGE(L98:L104)</f>
        <v>#DIV/0!</v>
      </c>
      <c r="M105" s="64"/>
      <c r="N105" s="325">
        <f>SUM(N98:N104)</f>
        <v>5157770</v>
      </c>
    </row>
    <row r="106" spans="1:16" ht="15.75" customHeight="1">
      <c r="A106" s="354" t="s">
        <v>64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7"/>
      <c r="N106" s="340">
        <f>N10+N18+N26+N34+N42+N50+N58+N66+N74+N82+N97+N105+N89</f>
        <v>62557230</v>
      </c>
      <c r="P106" s="223">
        <f>N10+N18+N26+N34+N42+N50+N58+N66+N74+N82+N89+N97+N105</f>
        <v>62557230</v>
      </c>
    </row>
    <row r="107" spans="1:16" ht="15.75" customHeight="1">
      <c r="G107" s="150"/>
      <c r="L107" s="150"/>
    </row>
    <row r="108" spans="1:16" ht="15.75" customHeight="1">
      <c r="G108" s="150"/>
      <c r="L108" s="150"/>
    </row>
    <row r="109" spans="1:16" ht="15.75" customHeight="1">
      <c r="G109" s="150"/>
      <c r="L109" s="150"/>
    </row>
    <row r="110" spans="1:16" ht="15.75" customHeight="1">
      <c r="G110" s="150"/>
      <c r="L110" s="150"/>
      <c r="M110" s="76">
        <f>17561890+18367240+21419080+5261020</f>
        <v>62609230</v>
      </c>
    </row>
    <row r="111" spans="1:16" ht="15.75" customHeight="1">
      <c r="G111" s="150"/>
      <c r="L111" s="150"/>
    </row>
    <row r="112" spans="1:16" ht="15.75" customHeight="1">
      <c r="G112" s="150"/>
      <c r="L112" s="150"/>
    </row>
    <row r="113" spans="7:12" ht="15.75" customHeight="1">
      <c r="G113" s="150"/>
      <c r="L113" s="150"/>
    </row>
    <row r="114" spans="7:12" ht="15.75" customHeight="1">
      <c r="G114" s="150"/>
      <c r="L114" s="150"/>
    </row>
    <row r="115" spans="7:12" ht="15.75" customHeight="1">
      <c r="G115" s="150"/>
      <c r="L115" s="150"/>
    </row>
    <row r="116" spans="7:12" ht="15.75" customHeight="1">
      <c r="G116" s="150"/>
      <c r="L116" s="150"/>
    </row>
    <row r="117" spans="7:12" ht="15.75" customHeight="1">
      <c r="G117" s="150"/>
      <c r="L117" s="150"/>
    </row>
    <row r="118" spans="7:12" ht="15.75" customHeight="1">
      <c r="G118" s="150"/>
      <c r="L118" s="150"/>
    </row>
    <row r="119" spans="7:12" ht="15.75" customHeight="1">
      <c r="G119" s="150"/>
      <c r="L119" s="150"/>
    </row>
    <row r="120" spans="7:12" ht="15.75" customHeight="1">
      <c r="G120" s="150"/>
      <c r="L120" s="150"/>
    </row>
    <row r="121" spans="7:12" ht="15.75" customHeight="1">
      <c r="G121" s="150"/>
      <c r="L121" s="150"/>
    </row>
    <row r="122" spans="7:12" ht="15.75" customHeight="1">
      <c r="G122" s="150"/>
      <c r="L122" s="150"/>
    </row>
    <row r="123" spans="7:12" ht="15.75" customHeight="1">
      <c r="G123" s="150"/>
      <c r="L123" s="150"/>
    </row>
    <row r="124" spans="7:12" ht="15.75" customHeight="1">
      <c r="G124" s="150"/>
      <c r="L124" s="150"/>
    </row>
    <row r="125" spans="7:12" ht="15.75" customHeight="1">
      <c r="G125" s="150"/>
      <c r="L125" s="150"/>
    </row>
    <row r="126" spans="7:12" ht="15.75" customHeight="1">
      <c r="G126" s="150"/>
      <c r="L126" s="150"/>
    </row>
    <row r="127" spans="7:12" ht="15.75" customHeight="1">
      <c r="G127" s="150"/>
      <c r="L127" s="150"/>
    </row>
    <row r="128" spans="7:12" ht="15.75" customHeight="1">
      <c r="G128" s="150"/>
      <c r="L128" s="150"/>
    </row>
    <row r="129" spans="7:12" ht="15.75" customHeight="1">
      <c r="G129" s="150"/>
      <c r="L129" s="150"/>
    </row>
    <row r="130" spans="7:12" ht="15.75" customHeight="1">
      <c r="G130" s="150"/>
      <c r="L130" s="150"/>
    </row>
    <row r="131" spans="7:12" ht="15.75" customHeight="1">
      <c r="G131" s="150"/>
      <c r="L131" s="150"/>
    </row>
    <row r="132" spans="7:12" ht="15.75" customHeight="1">
      <c r="G132" s="150"/>
      <c r="L132" s="150"/>
    </row>
    <row r="133" spans="7:12" ht="15.75" customHeight="1">
      <c r="G133" s="150"/>
      <c r="L133" s="150"/>
    </row>
    <row r="134" spans="7:12" ht="15.75" customHeight="1">
      <c r="G134" s="150"/>
      <c r="L134" s="150"/>
    </row>
    <row r="135" spans="7:12" ht="15.75" customHeight="1">
      <c r="G135" s="150"/>
      <c r="L135" s="150"/>
    </row>
    <row r="136" spans="7:12" ht="15.75" customHeight="1">
      <c r="G136" s="150"/>
      <c r="L136" s="150"/>
    </row>
    <row r="137" spans="7:12" ht="15.75" customHeight="1">
      <c r="G137" s="150"/>
      <c r="L137" s="150"/>
    </row>
    <row r="138" spans="7:12" ht="15.75" customHeight="1">
      <c r="G138" s="150"/>
      <c r="L138" s="150"/>
    </row>
    <row r="139" spans="7:12" ht="15.75" customHeight="1">
      <c r="G139" s="150"/>
      <c r="L139" s="150"/>
    </row>
    <row r="140" spans="7:12" ht="15.75" customHeight="1">
      <c r="G140" s="150"/>
      <c r="L140" s="150"/>
    </row>
    <row r="141" spans="7:12" ht="15.75" customHeight="1">
      <c r="G141" s="150"/>
      <c r="L141" s="150"/>
    </row>
    <row r="142" spans="7:12" ht="15.75" customHeight="1">
      <c r="G142" s="150"/>
      <c r="L142" s="150"/>
    </row>
    <row r="143" spans="7:12" ht="15.75" customHeight="1">
      <c r="G143" s="150"/>
      <c r="L143" s="150"/>
    </row>
    <row r="144" spans="7:12" ht="15.75" customHeight="1">
      <c r="G144" s="150"/>
      <c r="L144" s="150"/>
    </row>
    <row r="145" spans="7:12" ht="15.75" customHeight="1">
      <c r="G145" s="150"/>
      <c r="L145" s="150"/>
    </row>
    <row r="146" spans="7:12" ht="15.75" customHeight="1">
      <c r="G146" s="150"/>
      <c r="L146" s="150"/>
    </row>
    <row r="147" spans="7:12" ht="15.75" customHeight="1">
      <c r="G147" s="150"/>
      <c r="L147" s="150"/>
    </row>
    <row r="148" spans="7:12" ht="15.75" customHeight="1">
      <c r="G148" s="150"/>
      <c r="L148" s="150"/>
    </row>
    <row r="149" spans="7:12" ht="15.75" customHeight="1">
      <c r="G149" s="150"/>
      <c r="L149" s="150"/>
    </row>
    <row r="150" spans="7:12" ht="15.75" customHeight="1">
      <c r="G150" s="150"/>
      <c r="L150" s="150"/>
    </row>
    <row r="151" spans="7:12" ht="15.75" customHeight="1">
      <c r="G151" s="150"/>
      <c r="L151" s="150"/>
    </row>
    <row r="152" spans="7:12" ht="15.75" customHeight="1">
      <c r="G152" s="150"/>
      <c r="L152" s="150"/>
    </row>
    <row r="153" spans="7:12" ht="15.75" customHeight="1">
      <c r="G153" s="150"/>
      <c r="L153" s="150"/>
    </row>
    <row r="154" spans="7:12" ht="15.75" customHeight="1">
      <c r="G154" s="150"/>
      <c r="L154" s="150"/>
    </row>
    <row r="155" spans="7:12" ht="15.75" customHeight="1">
      <c r="G155" s="150"/>
      <c r="L155" s="150"/>
    </row>
    <row r="156" spans="7:12" ht="15.75" customHeight="1">
      <c r="G156" s="150"/>
      <c r="L156" s="150"/>
    </row>
    <row r="157" spans="7:12" ht="15.75" customHeight="1">
      <c r="G157" s="150"/>
      <c r="L157" s="150"/>
    </row>
    <row r="158" spans="7:12" ht="15.75" customHeight="1">
      <c r="G158" s="150"/>
      <c r="L158" s="150"/>
    </row>
    <row r="159" spans="7:12" ht="15.75" customHeight="1">
      <c r="G159" s="150"/>
      <c r="L159" s="150"/>
    </row>
    <row r="160" spans="7:12" ht="15.75" customHeight="1">
      <c r="G160" s="150"/>
      <c r="L160" s="150"/>
    </row>
    <row r="161" spans="7:12" ht="15.75" customHeight="1">
      <c r="G161" s="150"/>
      <c r="L161" s="150"/>
    </row>
    <row r="162" spans="7:12" ht="15.75" customHeight="1">
      <c r="G162" s="150"/>
      <c r="L162" s="150"/>
    </row>
    <row r="163" spans="7:12" ht="15.75" customHeight="1">
      <c r="G163" s="150"/>
      <c r="L163" s="150"/>
    </row>
    <row r="164" spans="7:12" ht="15.75" customHeight="1">
      <c r="G164" s="150"/>
      <c r="L164" s="150"/>
    </row>
    <row r="165" spans="7:12" ht="15.75" customHeight="1">
      <c r="G165" s="150"/>
      <c r="L165" s="150"/>
    </row>
    <row r="166" spans="7:12" ht="15.75" customHeight="1">
      <c r="G166" s="150"/>
      <c r="L166" s="150"/>
    </row>
    <row r="167" spans="7:12" ht="15.75" customHeight="1">
      <c r="G167" s="150"/>
      <c r="L167" s="150"/>
    </row>
    <row r="168" spans="7:12" ht="15.75" customHeight="1">
      <c r="G168" s="150"/>
      <c r="L168" s="150"/>
    </row>
    <row r="169" spans="7:12" ht="15.75" customHeight="1">
      <c r="G169" s="150"/>
      <c r="L169" s="150"/>
    </row>
    <row r="170" spans="7:12" ht="15.75" customHeight="1">
      <c r="G170" s="150"/>
      <c r="L170" s="150"/>
    </row>
    <row r="171" spans="7:12" ht="15.75" customHeight="1">
      <c r="G171" s="150"/>
      <c r="L171" s="150"/>
    </row>
    <row r="172" spans="7:12" ht="15.75" customHeight="1">
      <c r="G172" s="150"/>
      <c r="L172" s="150"/>
    </row>
    <row r="173" spans="7:12" ht="15.75" customHeight="1">
      <c r="G173" s="150"/>
      <c r="L173" s="150"/>
    </row>
    <row r="174" spans="7:12" ht="15.75" customHeight="1">
      <c r="G174" s="150"/>
      <c r="L174" s="150"/>
    </row>
    <row r="175" spans="7:12" ht="15.75" customHeight="1">
      <c r="G175" s="150"/>
      <c r="L175" s="150"/>
    </row>
    <row r="176" spans="7:12" ht="15.75" customHeight="1">
      <c r="G176" s="150"/>
      <c r="L176" s="150"/>
    </row>
    <row r="177" spans="7:12" ht="15.75" customHeight="1">
      <c r="G177" s="150"/>
      <c r="L177" s="150"/>
    </row>
    <row r="178" spans="7:12" ht="15.75" customHeight="1">
      <c r="G178" s="150"/>
      <c r="L178" s="150"/>
    </row>
    <row r="179" spans="7:12" ht="15.75" customHeight="1">
      <c r="G179" s="150"/>
      <c r="L179" s="150"/>
    </row>
    <row r="180" spans="7:12" ht="15.75" customHeight="1">
      <c r="G180" s="150"/>
      <c r="L180" s="150"/>
    </row>
    <row r="181" spans="7:12" ht="15.75" customHeight="1">
      <c r="G181" s="150"/>
      <c r="L181" s="150"/>
    </row>
    <row r="182" spans="7:12" ht="15.75" customHeight="1">
      <c r="G182" s="150"/>
      <c r="L182" s="150"/>
    </row>
    <row r="183" spans="7:12" ht="15.75" customHeight="1">
      <c r="G183" s="150"/>
      <c r="L183" s="150"/>
    </row>
    <row r="184" spans="7:12" ht="15.75" customHeight="1">
      <c r="G184" s="150"/>
      <c r="L184" s="150"/>
    </row>
    <row r="185" spans="7:12" ht="15.75" customHeight="1">
      <c r="G185" s="150"/>
      <c r="L185" s="150"/>
    </row>
    <row r="186" spans="7:12" ht="15.75" customHeight="1">
      <c r="G186" s="150"/>
      <c r="L186" s="150"/>
    </row>
    <row r="187" spans="7:12" ht="15.75" customHeight="1">
      <c r="G187" s="150"/>
      <c r="L187" s="150"/>
    </row>
    <row r="188" spans="7:12" ht="15.75" customHeight="1">
      <c r="G188" s="150"/>
      <c r="L188" s="150"/>
    </row>
    <row r="189" spans="7:12" ht="15.75" customHeight="1">
      <c r="G189" s="150"/>
      <c r="L189" s="150"/>
    </row>
    <row r="190" spans="7:12" ht="15.75" customHeight="1">
      <c r="G190" s="150"/>
      <c r="L190" s="150"/>
    </row>
    <row r="191" spans="7:12" ht="15.75" customHeight="1">
      <c r="G191" s="150"/>
      <c r="L191" s="150"/>
    </row>
    <row r="192" spans="7:12" ht="15.75" customHeight="1">
      <c r="G192" s="150"/>
      <c r="L192" s="150"/>
    </row>
    <row r="193" spans="7:12" ht="15.75" customHeight="1">
      <c r="G193" s="150"/>
      <c r="L193" s="150"/>
    </row>
    <row r="194" spans="7:12" ht="15.75" customHeight="1">
      <c r="G194" s="150"/>
      <c r="L194" s="150"/>
    </row>
    <row r="195" spans="7:12" ht="15.75" customHeight="1">
      <c r="G195" s="150"/>
      <c r="L195" s="150"/>
    </row>
    <row r="196" spans="7:12" ht="15.75" customHeight="1">
      <c r="G196" s="150"/>
      <c r="L196" s="150"/>
    </row>
    <row r="197" spans="7:12" ht="15.75" customHeight="1">
      <c r="G197" s="150"/>
      <c r="L197" s="150"/>
    </row>
    <row r="198" spans="7:12" ht="15.75" customHeight="1">
      <c r="G198" s="150"/>
      <c r="L198" s="150"/>
    </row>
    <row r="199" spans="7:12" ht="15.75" customHeight="1">
      <c r="G199" s="150"/>
      <c r="L199" s="150"/>
    </row>
    <row r="200" spans="7:12" ht="15.75" customHeight="1">
      <c r="G200" s="150"/>
      <c r="L200" s="150"/>
    </row>
    <row r="201" spans="7:12" ht="15.75" customHeight="1">
      <c r="G201" s="150"/>
      <c r="L201" s="150"/>
    </row>
    <row r="202" spans="7:12" ht="15.75" customHeight="1">
      <c r="G202" s="150"/>
      <c r="L202" s="150"/>
    </row>
    <row r="203" spans="7:12" ht="15.75" customHeight="1">
      <c r="G203" s="150"/>
      <c r="L203" s="150"/>
    </row>
    <row r="204" spans="7:12" ht="15.75" customHeight="1">
      <c r="G204" s="150"/>
      <c r="L204" s="150"/>
    </row>
    <row r="205" spans="7:12" ht="15.75" customHeight="1">
      <c r="G205" s="150"/>
      <c r="L205" s="150"/>
    </row>
    <row r="206" spans="7:12" ht="15.75" customHeight="1">
      <c r="G206" s="150"/>
      <c r="L206" s="150"/>
    </row>
    <row r="207" spans="7:12" ht="15.75" customHeight="1">
      <c r="G207" s="150"/>
      <c r="L207" s="150"/>
    </row>
    <row r="208" spans="7:12" ht="15.75" customHeight="1">
      <c r="G208" s="150"/>
      <c r="L208" s="150"/>
    </row>
    <row r="209" spans="7:12" ht="15.75" customHeight="1">
      <c r="G209" s="150"/>
      <c r="L209" s="150"/>
    </row>
    <row r="210" spans="7:12" ht="15.75" customHeight="1">
      <c r="G210" s="150"/>
      <c r="L210" s="150"/>
    </row>
    <row r="211" spans="7:12" ht="15.75" customHeight="1">
      <c r="G211" s="150"/>
      <c r="L211" s="150"/>
    </row>
    <row r="212" spans="7:12" ht="15.75" customHeight="1">
      <c r="G212" s="150"/>
      <c r="L212" s="150"/>
    </row>
    <row r="213" spans="7:12" ht="15.75" customHeight="1">
      <c r="G213" s="150"/>
      <c r="L213" s="150"/>
    </row>
    <row r="214" spans="7:12" ht="15.75" customHeight="1">
      <c r="G214" s="150"/>
      <c r="L214" s="150"/>
    </row>
    <row r="215" spans="7:12" ht="15.75" customHeight="1">
      <c r="G215" s="150"/>
      <c r="L215" s="150"/>
    </row>
    <row r="216" spans="7:12" ht="15.75" customHeight="1">
      <c r="G216" s="150"/>
      <c r="L216" s="150"/>
    </row>
    <row r="217" spans="7:12" ht="15.75" customHeight="1">
      <c r="G217" s="150"/>
      <c r="L217" s="150"/>
    </row>
    <row r="218" spans="7:12" ht="15.75" customHeight="1">
      <c r="G218" s="150"/>
      <c r="L218" s="150"/>
    </row>
    <row r="219" spans="7:12" ht="15.75" customHeight="1">
      <c r="G219" s="150"/>
      <c r="L219" s="150"/>
    </row>
    <row r="220" spans="7:12" ht="15.75" customHeight="1">
      <c r="G220" s="150"/>
      <c r="L220" s="150"/>
    </row>
    <row r="221" spans="7:12" ht="15.75" customHeight="1">
      <c r="G221" s="150"/>
      <c r="L221" s="150"/>
    </row>
    <row r="222" spans="7:12" ht="15.75" customHeight="1">
      <c r="G222" s="150"/>
      <c r="L222" s="150"/>
    </row>
    <row r="223" spans="7:12" ht="15.75" customHeight="1">
      <c r="G223" s="150"/>
      <c r="L223" s="150"/>
    </row>
    <row r="224" spans="7:12" ht="15.75" customHeight="1">
      <c r="G224" s="150"/>
      <c r="L224" s="150"/>
    </row>
    <row r="225" spans="7:12" ht="15.75" customHeight="1">
      <c r="G225" s="150"/>
      <c r="L225" s="150"/>
    </row>
    <row r="226" spans="7:12" ht="15.75" customHeight="1">
      <c r="G226" s="150"/>
      <c r="L226" s="150"/>
    </row>
    <row r="227" spans="7:12" ht="15.75" customHeight="1">
      <c r="G227" s="150"/>
      <c r="L227" s="150"/>
    </row>
    <row r="228" spans="7:12" ht="15.75" customHeight="1">
      <c r="G228" s="150"/>
      <c r="L228" s="150"/>
    </row>
    <row r="229" spans="7:12" ht="15.75" customHeight="1">
      <c r="G229" s="150"/>
      <c r="L229" s="150"/>
    </row>
    <row r="230" spans="7:12" ht="15.75" customHeight="1">
      <c r="G230" s="150"/>
      <c r="L230" s="150"/>
    </row>
    <row r="231" spans="7:12" ht="15.75" customHeight="1">
      <c r="G231" s="150"/>
      <c r="L231" s="150"/>
    </row>
    <row r="232" spans="7:12" ht="15.75" customHeight="1">
      <c r="G232" s="150"/>
      <c r="L232" s="150"/>
    </row>
    <row r="233" spans="7:12" ht="15.75" customHeight="1">
      <c r="G233" s="150"/>
      <c r="L233" s="150"/>
    </row>
    <row r="234" spans="7:12" ht="15.75" customHeight="1">
      <c r="G234" s="150"/>
      <c r="L234" s="150"/>
    </row>
    <row r="235" spans="7:12" ht="15.75" customHeight="1">
      <c r="G235" s="150"/>
      <c r="L235" s="150"/>
    </row>
    <row r="236" spans="7:12" ht="15.75" customHeight="1">
      <c r="G236" s="150"/>
      <c r="L236" s="150"/>
    </row>
    <row r="237" spans="7:12" ht="15.75" customHeight="1">
      <c r="G237" s="150"/>
      <c r="L237" s="150"/>
    </row>
    <row r="238" spans="7:12" ht="15.75" customHeight="1">
      <c r="G238" s="150"/>
      <c r="L238" s="150"/>
    </row>
    <row r="239" spans="7:12" ht="15.75" customHeight="1">
      <c r="G239" s="150"/>
      <c r="L239" s="150"/>
    </row>
    <row r="240" spans="7:12" ht="15.75" customHeight="1">
      <c r="G240" s="150"/>
      <c r="L240" s="150"/>
    </row>
    <row r="241" spans="7:12" ht="15.75" customHeight="1">
      <c r="G241" s="150"/>
      <c r="L241" s="150"/>
    </row>
    <row r="242" spans="7:12" ht="15.75" customHeight="1">
      <c r="G242" s="150"/>
      <c r="L242" s="150"/>
    </row>
    <row r="243" spans="7:12" ht="15.75" customHeight="1">
      <c r="G243" s="150"/>
      <c r="L243" s="150"/>
    </row>
    <row r="244" spans="7:12" ht="15.75" customHeight="1">
      <c r="G244" s="150"/>
      <c r="L244" s="150"/>
    </row>
    <row r="245" spans="7:12" ht="15.75" customHeight="1">
      <c r="G245" s="150"/>
      <c r="L245" s="150"/>
    </row>
    <row r="246" spans="7:12" ht="15.75" customHeight="1">
      <c r="G246" s="150"/>
      <c r="L246" s="150"/>
    </row>
    <row r="247" spans="7:12" ht="15.75" customHeight="1">
      <c r="G247" s="150"/>
      <c r="L247" s="150"/>
    </row>
    <row r="248" spans="7:12" ht="15.75" customHeight="1">
      <c r="G248" s="150"/>
      <c r="L248" s="150"/>
    </row>
    <row r="249" spans="7:12" ht="15.75" customHeight="1">
      <c r="G249" s="150"/>
      <c r="L249" s="150"/>
    </row>
    <row r="250" spans="7:12" ht="15.75" customHeight="1">
      <c r="G250" s="150"/>
      <c r="L250" s="150"/>
    </row>
    <row r="251" spans="7:12" ht="15.75" customHeight="1">
      <c r="G251" s="150"/>
      <c r="L251" s="150"/>
    </row>
    <row r="252" spans="7:12" ht="15.75" customHeight="1">
      <c r="G252" s="150"/>
      <c r="L252" s="150"/>
    </row>
    <row r="253" spans="7:12" ht="15.75" customHeight="1">
      <c r="G253" s="150"/>
      <c r="L253" s="150"/>
    </row>
    <row r="254" spans="7:12" ht="15.75" customHeight="1">
      <c r="G254" s="150"/>
      <c r="L254" s="150"/>
    </row>
    <row r="255" spans="7:12" ht="15.75" customHeight="1">
      <c r="G255" s="150"/>
      <c r="L255" s="150"/>
    </row>
    <row r="256" spans="7:12" ht="15.75" customHeight="1">
      <c r="G256" s="150"/>
      <c r="L256" s="150"/>
    </row>
    <row r="257" spans="7:12" ht="15.75" customHeight="1">
      <c r="G257" s="150"/>
      <c r="L257" s="150"/>
    </row>
    <row r="258" spans="7:12" ht="15.75" customHeight="1">
      <c r="G258" s="150"/>
      <c r="L258" s="150"/>
    </row>
    <row r="259" spans="7:12" ht="15.75" customHeight="1">
      <c r="G259" s="150"/>
      <c r="L259" s="150"/>
    </row>
    <row r="260" spans="7:12" ht="15.75" customHeight="1">
      <c r="G260" s="150"/>
      <c r="L260" s="150"/>
    </row>
    <row r="261" spans="7:12" ht="15.75" customHeight="1">
      <c r="G261" s="150"/>
      <c r="L261" s="150"/>
    </row>
    <row r="262" spans="7:12" ht="15.75" customHeight="1">
      <c r="G262" s="150"/>
      <c r="L262" s="150"/>
    </row>
    <row r="263" spans="7:12" ht="15.75" customHeight="1">
      <c r="G263" s="150"/>
      <c r="L263" s="150"/>
    </row>
    <row r="264" spans="7:12" ht="15.75" customHeight="1">
      <c r="G264" s="150"/>
      <c r="L264" s="150"/>
    </row>
    <row r="265" spans="7:12" ht="15.75" customHeight="1">
      <c r="G265" s="150"/>
      <c r="L265" s="150"/>
    </row>
    <row r="266" spans="7:12" ht="15.75" customHeight="1">
      <c r="G266" s="150"/>
      <c r="L266" s="150"/>
    </row>
    <row r="267" spans="7:12" ht="15.75" customHeight="1">
      <c r="G267" s="150"/>
      <c r="L267" s="150"/>
    </row>
    <row r="268" spans="7:12" ht="15.75" customHeight="1">
      <c r="G268" s="150"/>
      <c r="L268" s="150"/>
    </row>
    <row r="269" spans="7:12" ht="15.75" customHeight="1">
      <c r="G269" s="150"/>
      <c r="L269" s="150"/>
    </row>
    <row r="270" spans="7:12" ht="15.75" customHeight="1">
      <c r="G270" s="150"/>
      <c r="L270" s="150"/>
    </row>
    <row r="271" spans="7:12" ht="15.75" customHeight="1">
      <c r="G271" s="150"/>
      <c r="L271" s="150"/>
    </row>
    <row r="272" spans="7:12" ht="15.75" customHeight="1">
      <c r="G272" s="150"/>
      <c r="L272" s="150"/>
    </row>
    <row r="273" spans="7:12" ht="15.75" customHeight="1">
      <c r="G273" s="150"/>
      <c r="L273" s="150"/>
    </row>
    <row r="274" spans="7:12" ht="15.75" customHeight="1">
      <c r="G274" s="150"/>
      <c r="L274" s="150"/>
    </row>
    <row r="275" spans="7:12" ht="15.75" customHeight="1">
      <c r="G275" s="150"/>
      <c r="L275" s="150"/>
    </row>
    <row r="276" spans="7:12" ht="15.75" customHeight="1">
      <c r="G276" s="150"/>
      <c r="L276" s="150"/>
    </row>
    <row r="277" spans="7:12" ht="15.75" customHeight="1">
      <c r="G277" s="150"/>
      <c r="L277" s="150"/>
    </row>
    <row r="278" spans="7:12" ht="15.75" customHeight="1">
      <c r="G278" s="150"/>
      <c r="L278" s="150"/>
    </row>
    <row r="279" spans="7:12" ht="15.75" customHeight="1">
      <c r="G279" s="150"/>
      <c r="L279" s="150"/>
    </row>
    <row r="280" spans="7:12" ht="15.75" customHeight="1">
      <c r="G280" s="150"/>
      <c r="L280" s="150"/>
    </row>
    <row r="281" spans="7:12" ht="15.75" customHeight="1">
      <c r="G281" s="150"/>
      <c r="L281" s="150"/>
    </row>
    <row r="282" spans="7:12" ht="15.75" customHeight="1">
      <c r="G282" s="150"/>
      <c r="L282" s="150"/>
    </row>
    <row r="283" spans="7:12" ht="15.75" customHeight="1">
      <c r="G283" s="150"/>
      <c r="L283" s="150"/>
    </row>
    <row r="284" spans="7:12" ht="15.75" customHeight="1">
      <c r="G284" s="150"/>
      <c r="L284" s="150"/>
    </row>
    <row r="285" spans="7:12" ht="15.75" customHeight="1">
      <c r="G285" s="150"/>
      <c r="L285" s="150"/>
    </row>
    <row r="286" spans="7:12" ht="15.75" customHeight="1">
      <c r="G286" s="150"/>
      <c r="L286" s="150"/>
    </row>
    <row r="287" spans="7:12" ht="15.75" customHeight="1">
      <c r="G287" s="150"/>
      <c r="L287" s="150"/>
    </row>
    <row r="288" spans="7:12" ht="15.75" customHeight="1">
      <c r="G288" s="150"/>
      <c r="L288" s="150"/>
    </row>
    <row r="289" spans="7:12" ht="15.75" customHeight="1">
      <c r="G289" s="150"/>
      <c r="L289" s="150"/>
    </row>
    <row r="290" spans="7:12" ht="15.75" customHeight="1">
      <c r="G290" s="150"/>
      <c r="L290" s="150"/>
    </row>
    <row r="291" spans="7:12" ht="15.75" customHeight="1">
      <c r="G291" s="150"/>
      <c r="L291" s="150"/>
    </row>
    <row r="292" spans="7:12" ht="15.75" customHeight="1">
      <c r="G292" s="150"/>
      <c r="L292" s="150"/>
    </row>
    <row r="293" spans="7:12" ht="15.75" customHeight="1">
      <c r="G293" s="150"/>
      <c r="L293" s="150"/>
    </row>
    <row r="294" spans="7:12" ht="15.75" customHeight="1">
      <c r="G294" s="150"/>
      <c r="L294" s="150"/>
    </row>
    <row r="295" spans="7:12" ht="15.75" customHeight="1">
      <c r="G295" s="150"/>
      <c r="L295" s="150"/>
    </row>
    <row r="296" spans="7:12" ht="15.75" customHeight="1">
      <c r="G296" s="150"/>
      <c r="L296" s="150"/>
    </row>
    <row r="297" spans="7:12" ht="15.75" customHeight="1">
      <c r="G297" s="150"/>
      <c r="L297" s="150"/>
    </row>
    <row r="298" spans="7:12" ht="15.75" customHeight="1">
      <c r="G298" s="150"/>
      <c r="L298" s="150"/>
    </row>
    <row r="299" spans="7:12" ht="15.75" customHeight="1">
      <c r="G299" s="150"/>
      <c r="L299" s="150"/>
    </row>
    <row r="300" spans="7:12" ht="15.75" customHeight="1">
      <c r="G300" s="150"/>
      <c r="L300" s="150"/>
    </row>
    <row r="301" spans="7:12" ht="15.75" customHeight="1">
      <c r="G301" s="150"/>
      <c r="L301" s="150"/>
    </row>
    <row r="302" spans="7:12" ht="15.75" customHeight="1">
      <c r="G302" s="150"/>
      <c r="L302" s="150"/>
    </row>
    <row r="303" spans="7:12" ht="15.75" customHeight="1">
      <c r="G303" s="150"/>
      <c r="L303" s="150"/>
    </row>
    <row r="304" spans="7:12" ht="15.75" customHeight="1">
      <c r="G304" s="150"/>
      <c r="L304" s="150"/>
    </row>
    <row r="305" spans="7:12" ht="15.75" customHeight="1">
      <c r="G305" s="150"/>
      <c r="L305" s="150"/>
    </row>
    <row r="306" spans="7:12" ht="15.75" customHeight="1">
      <c r="G306" s="150"/>
      <c r="L306" s="150"/>
    </row>
    <row r="307" spans="7:12" ht="15.75" customHeight="1">
      <c r="G307" s="150"/>
      <c r="L307" s="150"/>
    </row>
    <row r="308" spans="7:12" ht="15.75" customHeight="1">
      <c r="G308" s="150"/>
      <c r="L308" s="150"/>
    </row>
    <row r="309" spans="7:12" ht="15.75" customHeight="1">
      <c r="G309" s="150"/>
      <c r="L309" s="150"/>
    </row>
    <row r="310" spans="7:12" ht="15.75" customHeight="1">
      <c r="G310" s="150"/>
      <c r="L310" s="150"/>
    </row>
    <row r="311" spans="7:12" ht="15.75" customHeight="1">
      <c r="G311" s="150"/>
      <c r="L311" s="150"/>
    </row>
    <row r="312" spans="7:12" ht="15.75" customHeight="1">
      <c r="G312" s="150"/>
      <c r="L312" s="150"/>
    </row>
    <row r="313" spans="7:12" ht="15.75" customHeight="1">
      <c r="G313" s="150"/>
      <c r="L313" s="150"/>
    </row>
    <row r="314" spans="7:12" ht="15.75" customHeight="1">
      <c r="G314" s="150"/>
      <c r="L314" s="150"/>
    </row>
    <row r="315" spans="7:12" ht="15.75" customHeight="1">
      <c r="G315" s="150"/>
      <c r="L315" s="150"/>
    </row>
    <row r="316" spans="7:12" ht="15.75" customHeight="1">
      <c r="G316" s="150"/>
      <c r="L316" s="150"/>
    </row>
    <row r="317" spans="7:12" ht="15.75" customHeight="1">
      <c r="G317" s="150"/>
      <c r="L317" s="150"/>
    </row>
    <row r="318" spans="7:12" ht="15.75" customHeight="1">
      <c r="G318" s="150"/>
      <c r="L318" s="150"/>
    </row>
    <row r="319" spans="7:12" ht="15.75" customHeight="1">
      <c r="G319" s="150"/>
      <c r="L319" s="150"/>
    </row>
    <row r="320" spans="7:12" ht="15.75" customHeight="1">
      <c r="G320" s="150"/>
      <c r="L320" s="150"/>
    </row>
    <row r="321" spans="7:12" ht="15.75" customHeight="1">
      <c r="G321" s="150"/>
      <c r="L321" s="150"/>
    </row>
    <row r="322" spans="7:12" ht="15.75" customHeight="1">
      <c r="G322" s="150"/>
      <c r="L322" s="150"/>
    </row>
    <row r="323" spans="7:12" ht="15.75" customHeight="1">
      <c r="G323" s="150"/>
      <c r="L323" s="150"/>
    </row>
    <row r="324" spans="7:12" ht="15.75" customHeight="1">
      <c r="G324" s="150"/>
      <c r="L324" s="150"/>
    </row>
    <row r="325" spans="7:12" ht="15.75" customHeight="1">
      <c r="G325" s="150"/>
      <c r="L325" s="150"/>
    </row>
    <row r="326" spans="7:12" ht="15.75" customHeight="1">
      <c r="G326" s="150"/>
      <c r="L326" s="150"/>
    </row>
    <row r="327" spans="7:12" ht="15.75" customHeight="1">
      <c r="G327" s="150"/>
      <c r="L327" s="150"/>
    </row>
    <row r="328" spans="7:12" ht="15.75" customHeight="1">
      <c r="G328" s="150"/>
      <c r="L328" s="150"/>
    </row>
    <row r="329" spans="7:12" ht="15.75" customHeight="1">
      <c r="G329" s="150"/>
      <c r="L329" s="150"/>
    </row>
    <row r="330" spans="7:12" ht="15.75" customHeight="1">
      <c r="G330" s="150"/>
      <c r="L330" s="150"/>
    </row>
    <row r="331" spans="7:12" ht="15.75" customHeight="1">
      <c r="G331" s="150"/>
      <c r="L331" s="150"/>
    </row>
    <row r="332" spans="7:12" ht="15.75" customHeight="1">
      <c r="G332" s="150"/>
      <c r="L332" s="150"/>
    </row>
    <row r="333" spans="7:12" ht="15.75" customHeight="1">
      <c r="G333" s="150"/>
      <c r="L333" s="150"/>
    </row>
    <row r="334" spans="7:12" ht="15.75" customHeight="1">
      <c r="G334" s="150"/>
      <c r="L334" s="150"/>
    </row>
    <row r="335" spans="7:12" ht="15.75" customHeight="1">
      <c r="G335" s="150"/>
      <c r="L335" s="150"/>
    </row>
    <row r="336" spans="7:12" ht="15.75" customHeight="1">
      <c r="G336" s="150"/>
      <c r="L336" s="150"/>
    </row>
    <row r="337" spans="7:12" ht="15.75" customHeight="1">
      <c r="G337" s="150"/>
      <c r="L337" s="150"/>
    </row>
    <row r="338" spans="7:12" ht="15.75" customHeight="1">
      <c r="G338" s="150"/>
      <c r="L338" s="150"/>
    </row>
    <row r="339" spans="7:12" ht="15.75" customHeight="1">
      <c r="G339" s="150"/>
      <c r="L339" s="150"/>
    </row>
    <row r="340" spans="7:12" ht="15.75" customHeight="1">
      <c r="G340" s="150"/>
      <c r="L340" s="150"/>
    </row>
    <row r="341" spans="7:12" ht="15.75" customHeight="1">
      <c r="G341" s="150"/>
      <c r="L341" s="150"/>
    </row>
    <row r="342" spans="7:12" ht="15.75" customHeight="1">
      <c r="G342" s="150"/>
      <c r="L342" s="150"/>
    </row>
    <row r="343" spans="7:12" ht="15.75" customHeight="1">
      <c r="G343" s="150"/>
      <c r="L343" s="150"/>
    </row>
    <row r="344" spans="7:12" ht="15.75" customHeight="1">
      <c r="G344" s="150"/>
      <c r="L344" s="150"/>
    </row>
    <row r="345" spans="7:12" ht="15.75" customHeight="1">
      <c r="G345" s="150"/>
      <c r="L345" s="150"/>
    </row>
    <row r="346" spans="7:12" ht="15.75" customHeight="1">
      <c r="G346" s="150"/>
      <c r="L346" s="150"/>
    </row>
    <row r="347" spans="7:12" ht="15.75" customHeight="1">
      <c r="G347" s="150"/>
      <c r="L347" s="150"/>
    </row>
    <row r="348" spans="7:12" ht="15.75" customHeight="1">
      <c r="G348" s="150"/>
      <c r="L348" s="150"/>
    </row>
    <row r="349" spans="7:12" ht="15.75" customHeight="1">
      <c r="G349" s="150"/>
      <c r="L349" s="150"/>
    </row>
    <row r="350" spans="7:12" ht="15.75" customHeight="1">
      <c r="G350" s="150"/>
      <c r="L350" s="150"/>
    </row>
    <row r="351" spans="7:12" ht="15.75" customHeight="1">
      <c r="G351" s="150"/>
      <c r="L351" s="150"/>
    </row>
    <row r="352" spans="7:12" ht="15.75" customHeight="1">
      <c r="G352" s="150"/>
      <c r="L352" s="150"/>
    </row>
    <row r="353" spans="7:12" ht="15.75" customHeight="1">
      <c r="G353" s="150"/>
      <c r="L353" s="150"/>
    </row>
    <row r="354" spans="7:12" ht="15.75" customHeight="1">
      <c r="G354" s="150"/>
      <c r="L354" s="150"/>
    </row>
    <row r="355" spans="7:12" ht="15.75" customHeight="1">
      <c r="G355" s="150"/>
      <c r="L355" s="150"/>
    </row>
    <row r="356" spans="7:12" ht="15.75" customHeight="1">
      <c r="G356" s="150"/>
      <c r="L356" s="150"/>
    </row>
    <row r="357" spans="7:12" ht="15.75" customHeight="1">
      <c r="G357" s="150"/>
      <c r="L357" s="150"/>
    </row>
    <row r="358" spans="7:12" ht="15.75" customHeight="1">
      <c r="G358" s="150"/>
      <c r="L358" s="150"/>
    </row>
    <row r="359" spans="7:12" ht="15.75" customHeight="1">
      <c r="G359" s="150"/>
      <c r="L359" s="150"/>
    </row>
    <row r="360" spans="7:12" ht="15.75" customHeight="1">
      <c r="G360" s="150"/>
      <c r="L360" s="150"/>
    </row>
    <row r="361" spans="7:12" ht="15.75" customHeight="1">
      <c r="G361" s="150"/>
      <c r="L361" s="150"/>
    </row>
    <row r="362" spans="7:12" ht="15.75" customHeight="1">
      <c r="G362" s="150"/>
      <c r="L362" s="150"/>
    </row>
    <row r="363" spans="7:12" ht="15.75" customHeight="1">
      <c r="G363" s="150"/>
      <c r="L363" s="150"/>
    </row>
    <row r="364" spans="7:12" ht="15.75" customHeight="1">
      <c r="G364" s="150"/>
      <c r="L364" s="150"/>
    </row>
    <row r="365" spans="7:12" ht="15.75" customHeight="1">
      <c r="G365" s="150"/>
      <c r="L365" s="150"/>
    </row>
    <row r="366" spans="7:12" ht="15.75" customHeight="1">
      <c r="G366" s="150"/>
      <c r="L366" s="150"/>
    </row>
    <row r="367" spans="7:12" ht="15.75" customHeight="1">
      <c r="G367" s="150"/>
      <c r="L367" s="150"/>
    </row>
    <row r="368" spans="7:12" ht="15.75" customHeight="1">
      <c r="G368" s="150"/>
      <c r="L368" s="150"/>
    </row>
    <row r="369" spans="7:12" ht="15.75" customHeight="1">
      <c r="G369" s="150"/>
      <c r="L369" s="150"/>
    </row>
    <row r="370" spans="7:12" ht="15.75" customHeight="1">
      <c r="G370" s="150"/>
      <c r="L370" s="150"/>
    </row>
    <row r="371" spans="7:12" ht="15.75" customHeight="1">
      <c r="G371" s="150"/>
      <c r="L371" s="150"/>
    </row>
    <row r="372" spans="7:12" ht="15.75" customHeight="1">
      <c r="G372" s="150"/>
      <c r="L372" s="150"/>
    </row>
    <row r="373" spans="7:12" ht="15.75" customHeight="1">
      <c r="G373" s="150"/>
      <c r="L373" s="150"/>
    </row>
    <row r="374" spans="7:12" ht="15.75" customHeight="1">
      <c r="G374" s="150"/>
      <c r="L374" s="150"/>
    </row>
    <row r="375" spans="7:12" ht="15.75" customHeight="1">
      <c r="G375" s="150"/>
      <c r="L375" s="150"/>
    </row>
    <row r="376" spans="7:12" ht="15.75" customHeight="1">
      <c r="G376" s="150"/>
      <c r="L376" s="150"/>
    </row>
    <row r="377" spans="7:12" ht="15.75" customHeight="1">
      <c r="G377" s="150"/>
      <c r="L377" s="150"/>
    </row>
    <row r="378" spans="7:12" ht="15.75" customHeight="1">
      <c r="G378" s="150"/>
      <c r="L378" s="150"/>
    </row>
    <row r="379" spans="7:12" ht="15.75" customHeight="1">
      <c r="G379" s="150"/>
      <c r="L379" s="150"/>
    </row>
    <row r="380" spans="7:12" ht="15.75" customHeight="1">
      <c r="G380" s="150"/>
      <c r="L380" s="150"/>
    </row>
    <row r="381" spans="7:12" ht="15.75" customHeight="1">
      <c r="G381" s="150"/>
      <c r="L381" s="150"/>
    </row>
    <row r="382" spans="7:12" ht="15.75" customHeight="1">
      <c r="G382" s="150"/>
      <c r="L382" s="150"/>
    </row>
    <row r="383" spans="7:12" ht="15.75" customHeight="1">
      <c r="G383" s="150"/>
      <c r="L383" s="150"/>
    </row>
    <row r="384" spans="7:12" ht="15.75" customHeight="1">
      <c r="G384" s="150"/>
      <c r="L384" s="150"/>
    </row>
    <row r="385" spans="7:12" ht="15.75" customHeight="1">
      <c r="G385" s="150"/>
      <c r="L385" s="150"/>
    </row>
    <row r="386" spans="7:12" ht="15.75" customHeight="1">
      <c r="G386" s="150"/>
      <c r="L386" s="150"/>
    </row>
    <row r="387" spans="7:12" ht="15.75" customHeight="1">
      <c r="G387" s="150"/>
      <c r="L387" s="150"/>
    </row>
    <row r="388" spans="7:12" ht="15.75" customHeight="1">
      <c r="G388" s="150"/>
      <c r="L388" s="150"/>
    </row>
    <row r="389" spans="7:12" ht="15.75" customHeight="1">
      <c r="G389" s="150"/>
      <c r="L389" s="150"/>
    </row>
    <row r="390" spans="7:12" ht="15.75" customHeight="1">
      <c r="G390" s="150"/>
      <c r="L390" s="150"/>
    </row>
    <row r="391" spans="7:12" ht="15.75" customHeight="1">
      <c r="G391" s="150"/>
      <c r="L391" s="150"/>
    </row>
    <row r="392" spans="7:12" ht="15.75" customHeight="1">
      <c r="G392" s="150"/>
      <c r="L392" s="150"/>
    </row>
    <row r="393" spans="7:12" ht="15.75" customHeight="1">
      <c r="G393" s="150"/>
      <c r="L393" s="150"/>
    </row>
    <row r="394" spans="7:12" ht="15.75" customHeight="1">
      <c r="G394" s="150"/>
      <c r="L394" s="150"/>
    </row>
    <row r="395" spans="7:12" ht="15.75" customHeight="1">
      <c r="G395" s="150"/>
      <c r="L395" s="150"/>
    </row>
    <row r="396" spans="7:12" ht="15.75" customHeight="1">
      <c r="G396" s="150"/>
      <c r="L396" s="150"/>
    </row>
    <row r="397" spans="7:12" ht="15.75" customHeight="1">
      <c r="G397" s="150"/>
      <c r="L397" s="150"/>
    </row>
    <row r="398" spans="7:12" ht="15.75" customHeight="1">
      <c r="G398" s="150"/>
      <c r="L398" s="150"/>
    </row>
    <row r="399" spans="7:12" ht="15.75" customHeight="1">
      <c r="G399" s="150"/>
      <c r="L399" s="150"/>
    </row>
    <row r="400" spans="7:12" ht="15.75" customHeight="1">
      <c r="G400" s="150"/>
      <c r="L400" s="150"/>
    </row>
    <row r="401" spans="7:12" ht="15.75" customHeight="1">
      <c r="G401" s="150"/>
      <c r="L401" s="150"/>
    </row>
    <row r="402" spans="7:12" ht="15.75" customHeight="1">
      <c r="G402" s="150"/>
      <c r="L402" s="150"/>
    </row>
    <row r="403" spans="7:12" ht="15.75" customHeight="1">
      <c r="G403" s="150"/>
      <c r="L403" s="150"/>
    </row>
    <row r="404" spans="7:12" ht="15.75" customHeight="1">
      <c r="G404" s="150"/>
      <c r="L404" s="150"/>
    </row>
    <row r="405" spans="7:12" ht="15.75" customHeight="1">
      <c r="G405" s="150"/>
      <c r="L405" s="150"/>
    </row>
    <row r="406" spans="7:12" ht="15.75" customHeight="1">
      <c r="G406" s="150"/>
      <c r="L406" s="150"/>
    </row>
    <row r="407" spans="7:12" ht="15.75" customHeight="1">
      <c r="G407" s="150"/>
      <c r="L407" s="150"/>
    </row>
    <row r="408" spans="7:12" ht="15.75" customHeight="1">
      <c r="G408" s="150"/>
      <c r="L408" s="150"/>
    </row>
    <row r="409" spans="7:12" ht="15.75" customHeight="1">
      <c r="G409" s="150"/>
      <c r="L409" s="150"/>
    </row>
    <row r="410" spans="7:12" ht="15.75" customHeight="1">
      <c r="G410" s="150"/>
      <c r="L410" s="150"/>
    </row>
    <row r="411" spans="7:12" ht="15.75" customHeight="1">
      <c r="G411" s="150"/>
      <c r="L411" s="150"/>
    </row>
    <row r="412" spans="7:12" ht="15.75" customHeight="1">
      <c r="G412" s="150"/>
      <c r="L412" s="150"/>
    </row>
    <row r="413" spans="7:12" ht="15.75" customHeight="1">
      <c r="G413" s="150"/>
      <c r="L413" s="150"/>
    </row>
    <row r="414" spans="7:12" ht="15.75" customHeight="1">
      <c r="G414" s="150"/>
      <c r="L414" s="150"/>
    </row>
    <row r="415" spans="7:12" ht="15.75" customHeight="1">
      <c r="G415" s="150"/>
      <c r="L415" s="150"/>
    </row>
    <row r="416" spans="7:12" ht="15.75" customHeight="1">
      <c r="G416" s="150"/>
      <c r="L416" s="150"/>
    </row>
    <row r="417" spans="7:12" ht="15.75" customHeight="1">
      <c r="G417" s="150"/>
      <c r="L417" s="150"/>
    </row>
    <row r="418" spans="7:12" ht="15.75" customHeight="1">
      <c r="G418" s="150"/>
      <c r="L418" s="150"/>
    </row>
    <row r="419" spans="7:12" ht="15.75" customHeight="1">
      <c r="G419" s="150"/>
      <c r="L419" s="150"/>
    </row>
    <row r="420" spans="7:12" ht="15.75" customHeight="1">
      <c r="G420" s="150"/>
      <c r="L420" s="150"/>
    </row>
    <row r="421" spans="7:12" ht="15.75" customHeight="1">
      <c r="G421" s="150"/>
      <c r="L421" s="150"/>
    </row>
    <row r="422" spans="7:12" ht="15.75" customHeight="1">
      <c r="G422" s="150"/>
      <c r="L422" s="150"/>
    </row>
    <row r="423" spans="7:12" ht="15.75" customHeight="1">
      <c r="G423" s="150"/>
      <c r="L423" s="150"/>
    </row>
    <row r="424" spans="7:12" ht="15.75" customHeight="1">
      <c r="G424" s="150"/>
      <c r="L424" s="150"/>
    </row>
    <row r="425" spans="7:12" ht="15.75" customHeight="1">
      <c r="G425" s="150"/>
      <c r="L425" s="150"/>
    </row>
    <row r="426" spans="7:12" ht="15.75" customHeight="1">
      <c r="G426" s="150"/>
      <c r="L426" s="150"/>
    </row>
    <row r="427" spans="7:12" ht="15.75" customHeight="1">
      <c r="G427" s="150"/>
      <c r="L427" s="150"/>
    </row>
    <row r="428" spans="7:12" ht="15.75" customHeight="1">
      <c r="G428" s="150"/>
      <c r="L428" s="150"/>
    </row>
    <row r="429" spans="7:12" ht="15.75" customHeight="1">
      <c r="G429" s="150"/>
      <c r="L429" s="150"/>
    </row>
    <row r="430" spans="7:12" ht="15.75" customHeight="1">
      <c r="G430" s="150"/>
      <c r="L430" s="150"/>
    </row>
    <row r="431" spans="7:12" ht="15.75" customHeight="1">
      <c r="G431" s="150"/>
      <c r="L431" s="150"/>
    </row>
    <row r="432" spans="7:12" ht="15.75" customHeight="1">
      <c r="G432" s="150"/>
      <c r="L432" s="150"/>
    </row>
    <row r="433" spans="7:12" ht="15.75" customHeight="1">
      <c r="G433" s="150"/>
      <c r="L433" s="150"/>
    </row>
    <row r="434" spans="7:12" ht="15.75" customHeight="1">
      <c r="G434" s="150"/>
      <c r="L434" s="150"/>
    </row>
    <row r="435" spans="7:12" ht="15.75" customHeight="1">
      <c r="G435" s="150"/>
      <c r="L435" s="150"/>
    </row>
    <row r="436" spans="7:12" ht="15.75" customHeight="1">
      <c r="G436" s="150"/>
      <c r="L436" s="150"/>
    </row>
    <row r="437" spans="7:12" ht="15.75" customHeight="1">
      <c r="G437" s="150"/>
      <c r="L437" s="150"/>
    </row>
    <row r="438" spans="7:12" ht="15.75" customHeight="1">
      <c r="G438" s="150"/>
      <c r="L438" s="150"/>
    </row>
    <row r="439" spans="7:12" ht="15.75" customHeight="1">
      <c r="G439" s="150"/>
      <c r="L439" s="150"/>
    </row>
    <row r="440" spans="7:12" ht="15.75" customHeight="1">
      <c r="G440" s="150"/>
      <c r="L440" s="150"/>
    </row>
    <row r="441" spans="7:12" ht="15.75" customHeight="1">
      <c r="G441" s="150"/>
      <c r="L441" s="150"/>
    </row>
    <row r="442" spans="7:12" ht="15.75" customHeight="1">
      <c r="G442" s="150"/>
      <c r="L442" s="150"/>
    </row>
    <row r="443" spans="7:12" ht="15.75" customHeight="1">
      <c r="G443" s="150"/>
      <c r="L443" s="150"/>
    </row>
    <row r="444" spans="7:12" ht="15.75" customHeight="1">
      <c r="G444" s="150"/>
      <c r="L444" s="150"/>
    </row>
    <row r="445" spans="7:12" ht="15.75" customHeight="1">
      <c r="G445" s="150"/>
      <c r="L445" s="150"/>
    </row>
    <row r="446" spans="7:12" ht="15.75" customHeight="1">
      <c r="G446" s="150"/>
      <c r="L446" s="150"/>
    </row>
    <row r="447" spans="7:12" ht="15.75" customHeight="1">
      <c r="G447" s="150"/>
      <c r="L447" s="150"/>
    </row>
    <row r="448" spans="7:12" ht="15.75" customHeight="1">
      <c r="G448" s="150"/>
      <c r="L448" s="150"/>
    </row>
    <row r="449" spans="7:12" ht="15.75" customHeight="1">
      <c r="G449" s="150"/>
      <c r="L449" s="150"/>
    </row>
    <row r="450" spans="7:12" ht="15.75" customHeight="1">
      <c r="G450" s="150"/>
      <c r="L450" s="150"/>
    </row>
    <row r="451" spans="7:12" ht="15.75" customHeight="1">
      <c r="G451" s="150"/>
      <c r="L451" s="150"/>
    </row>
    <row r="452" spans="7:12" ht="15.75" customHeight="1">
      <c r="G452" s="150"/>
      <c r="L452" s="150"/>
    </row>
    <row r="453" spans="7:12" ht="15.75" customHeight="1">
      <c r="G453" s="150"/>
      <c r="L453" s="150"/>
    </row>
    <row r="454" spans="7:12" ht="15.75" customHeight="1">
      <c r="G454" s="150"/>
      <c r="L454" s="150"/>
    </row>
    <row r="455" spans="7:12" ht="15.75" customHeight="1">
      <c r="G455" s="150"/>
      <c r="L455" s="150"/>
    </row>
    <row r="456" spans="7:12" ht="15.75" customHeight="1">
      <c r="G456" s="150"/>
      <c r="L456" s="150"/>
    </row>
    <row r="457" spans="7:12" ht="15.75" customHeight="1">
      <c r="G457" s="150"/>
      <c r="L457" s="150"/>
    </row>
    <row r="458" spans="7:12" ht="15.75" customHeight="1">
      <c r="G458" s="150"/>
      <c r="L458" s="150"/>
    </row>
    <row r="459" spans="7:12" ht="15.75" customHeight="1">
      <c r="G459" s="150"/>
      <c r="L459" s="150"/>
    </row>
    <row r="460" spans="7:12" ht="15.75" customHeight="1">
      <c r="G460" s="150"/>
      <c r="L460" s="150"/>
    </row>
    <row r="461" spans="7:12" ht="15.75" customHeight="1">
      <c r="G461" s="150"/>
      <c r="L461" s="150"/>
    </row>
    <row r="462" spans="7:12" ht="15.75" customHeight="1">
      <c r="G462" s="150"/>
      <c r="L462" s="150"/>
    </row>
    <row r="463" spans="7:12" ht="15.75" customHeight="1">
      <c r="G463" s="150"/>
      <c r="L463" s="150"/>
    </row>
    <row r="464" spans="7:12" ht="15.75" customHeight="1">
      <c r="G464" s="150"/>
      <c r="L464" s="150"/>
    </row>
    <row r="465" spans="7:12" ht="15.75" customHeight="1">
      <c r="G465" s="150"/>
      <c r="L465" s="150"/>
    </row>
    <row r="466" spans="7:12" ht="15.75" customHeight="1">
      <c r="G466" s="150"/>
      <c r="L466" s="150"/>
    </row>
    <row r="467" spans="7:12" ht="15.75" customHeight="1">
      <c r="G467" s="150"/>
      <c r="L467" s="150"/>
    </row>
    <row r="468" spans="7:12" ht="15.75" customHeight="1">
      <c r="G468" s="150"/>
      <c r="L468" s="150"/>
    </row>
    <row r="469" spans="7:12" ht="15.75" customHeight="1">
      <c r="G469" s="150"/>
      <c r="L469" s="150"/>
    </row>
    <row r="470" spans="7:12" ht="15.75" customHeight="1">
      <c r="G470" s="150"/>
      <c r="L470" s="150"/>
    </row>
    <row r="471" spans="7:12" ht="15.75" customHeight="1">
      <c r="G471" s="150"/>
      <c r="L471" s="150"/>
    </row>
    <row r="472" spans="7:12" ht="15.75" customHeight="1">
      <c r="G472" s="150"/>
      <c r="L472" s="150"/>
    </row>
    <row r="473" spans="7:12" ht="15.75" customHeight="1">
      <c r="G473" s="150"/>
      <c r="L473" s="150"/>
    </row>
    <row r="474" spans="7:12" ht="15.75" customHeight="1">
      <c r="G474" s="150"/>
      <c r="L474" s="150"/>
    </row>
    <row r="475" spans="7:12" ht="15.75" customHeight="1">
      <c r="G475" s="150"/>
      <c r="L475" s="150"/>
    </row>
    <row r="476" spans="7:12" ht="15.75" customHeight="1">
      <c r="G476" s="150"/>
      <c r="L476" s="150"/>
    </row>
    <row r="477" spans="7:12" ht="15.75" customHeight="1">
      <c r="G477" s="150"/>
      <c r="L477" s="150"/>
    </row>
    <row r="478" spans="7:12" ht="15.75" customHeight="1">
      <c r="G478" s="150"/>
      <c r="L478" s="150"/>
    </row>
    <row r="479" spans="7:12" ht="15.75" customHeight="1">
      <c r="G479" s="150"/>
      <c r="L479" s="150"/>
    </row>
    <row r="480" spans="7:12" ht="15.75" customHeight="1">
      <c r="G480" s="150"/>
      <c r="L480" s="150"/>
    </row>
    <row r="481" spans="7:12" ht="15.75" customHeight="1">
      <c r="G481" s="150"/>
      <c r="L481" s="150"/>
    </row>
    <row r="482" spans="7:12" ht="15.75" customHeight="1">
      <c r="G482" s="150"/>
      <c r="L482" s="150"/>
    </row>
    <row r="483" spans="7:12" ht="15.75" customHeight="1">
      <c r="G483" s="150"/>
      <c r="L483" s="150"/>
    </row>
    <row r="484" spans="7:12" ht="15.75" customHeight="1">
      <c r="G484" s="150"/>
      <c r="L484" s="150"/>
    </row>
    <row r="485" spans="7:12" ht="15.75" customHeight="1">
      <c r="G485" s="150"/>
      <c r="L485" s="150"/>
    </row>
    <row r="486" spans="7:12" ht="15.75" customHeight="1">
      <c r="G486" s="150"/>
      <c r="L486" s="150"/>
    </row>
    <row r="487" spans="7:12" ht="15.75" customHeight="1">
      <c r="G487" s="150"/>
      <c r="L487" s="150"/>
    </row>
    <row r="488" spans="7:12" ht="15.75" customHeight="1">
      <c r="G488" s="150"/>
      <c r="L488" s="150"/>
    </row>
    <row r="489" spans="7:12" ht="15.75" customHeight="1">
      <c r="G489" s="150"/>
      <c r="L489" s="150"/>
    </row>
    <row r="490" spans="7:12" ht="15.75" customHeight="1">
      <c r="G490" s="150"/>
      <c r="L490" s="150"/>
    </row>
    <row r="491" spans="7:12" ht="15.75" customHeight="1">
      <c r="G491" s="150"/>
      <c r="L491" s="150"/>
    </row>
    <row r="492" spans="7:12" ht="15.75" customHeight="1">
      <c r="G492" s="150"/>
      <c r="L492" s="150"/>
    </row>
    <row r="493" spans="7:12" ht="15.75" customHeight="1">
      <c r="G493" s="150"/>
      <c r="L493" s="150"/>
    </row>
    <row r="494" spans="7:12" ht="15.75" customHeight="1">
      <c r="G494" s="150"/>
      <c r="L494" s="150"/>
    </row>
    <row r="495" spans="7:12" ht="15.75" customHeight="1">
      <c r="G495" s="150"/>
      <c r="L495" s="150"/>
    </row>
    <row r="496" spans="7:12" ht="15.75" customHeight="1">
      <c r="G496" s="150"/>
      <c r="L496" s="150"/>
    </row>
    <row r="497" spans="7:12" ht="15.75" customHeight="1">
      <c r="G497" s="150"/>
      <c r="L497" s="150"/>
    </row>
    <row r="498" spans="7:12" ht="15.75" customHeight="1">
      <c r="G498" s="150"/>
      <c r="L498" s="150"/>
    </row>
    <row r="499" spans="7:12" ht="15.75" customHeight="1">
      <c r="G499" s="150"/>
      <c r="L499" s="150"/>
    </row>
    <row r="500" spans="7:12" ht="15.75" customHeight="1">
      <c r="G500" s="150"/>
      <c r="L500" s="150"/>
    </row>
    <row r="501" spans="7:12" ht="15.75" customHeight="1">
      <c r="G501" s="150"/>
      <c r="L501" s="150"/>
    </row>
    <row r="502" spans="7:12" ht="15.75" customHeight="1">
      <c r="G502" s="150"/>
      <c r="L502" s="150"/>
    </row>
    <row r="503" spans="7:12" ht="15.75" customHeight="1">
      <c r="G503" s="150"/>
      <c r="L503" s="150"/>
    </row>
    <row r="504" spans="7:12" ht="15.75" customHeight="1">
      <c r="G504" s="150"/>
      <c r="L504" s="150"/>
    </row>
    <row r="505" spans="7:12" ht="15.75" customHeight="1">
      <c r="G505" s="150"/>
      <c r="L505" s="150"/>
    </row>
    <row r="506" spans="7:12" ht="15.75" customHeight="1">
      <c r="G506" s="150"/>
      <c r="L506" s="150"/>
    </row>
    <row r="507" spans="7:12" ht="15.75" customHeight="1">
      <c r="G507" s="150"/>
      <c r="L507" s="150"/>
    </row>
    <row r="508" spans="7:12" ht="15.75" customHeight="1">
      <c r="G508" s="150"/>
      <c r="L508" s="150"/>
    </row>
    <row r="509" spans="7:12" ht="15.75" customHeight="1">
      <c r="G509" s="150"/>
      <c r="L509" s="150"/>
    </row>
    <row r="510" spans="7:12" ht="15.75" customHeight="1">
      <c r="G510" s="150"/>
      <c r="L510" s="150"/>
    </row>
    <row r="511" spans="7:12" ht="15.75" customHeight="1">
      <c r="G511" s="150"/>
      <c r="L511" s="150"/>
    </row>
    <row r="512" spans="7:12" ht="15.75" customHeight="1">
      <c r="G512" s="150"/>
      <c r="L512" s="150"/>
    </row>
    <row r="513" spans="7:12" ht="15.75" customHeight="1">
      <c r="G513" s="150"/>
      <c r="L513" s="150"/>
    </row>
    <row r="514" spans="7:12" ht="15.75" customHeight="1">
      <c r="G514" s="150"/>
      <c r="L514" s="150"/>
    </row>
    <row r="515" spans="7:12" ht="15.75" customHeight="1">
      <c r="G515" s="150"/>
      <c r="L515" s="150"/>
    </row>
    <row r="516" spans="7:12" ht="15.75" customHeight="1">
      <c r="G516" s="150"/>
      <c r="L516" s="150"/>
    </row>
    <row r="517" spans="7:12" ht="15.75" customHeight="1">
      <c r="G517" s="150"/>
      <c r="L517" s="150"/>
    </row>
    <row r="518" spans="7:12" ht="15.75" customHeight="1">
      <c r="G518" s="150"/>
      <c r="L518" s="150"/>
    </row>
    <row r="519" spans="7:12" ht="15.75" customHeight="1">
      <c r="G519" s="150"/>
      <c r="L519" s="150"/>
    </row>
    <row r="520" spans="7:12" ht="15.75" customHeight="1">
      <c r="G520" s="150"/>
      <c r="L520" s="150"/>
    </row>
    <row r="521" spans="7:12" ht="15.75" customHeight="1">
      <c r="G521" s="150"/>
      <c r="L521" s="150"/>
    </row>
    <row r="522" spans="7:12" ht="15.75" customHeight="1">
      <c r="G522" s="150"/>
      <c r="L522" s="150"/>
    </row>
    <row r="523" spans="7:12" ht="15.75" customHeight="1">
      <c r="G523" s="150"/>
      <c r="L523" s="150"/>
    </row>
    <row r="524" spans="7:12" ht="15.75" customHeight="1">
      <c r="G524" s="150"/>
      <c r="L524" s="150"/>
    </row>
    <row r="525" spans="7:12" ht="15.75" customHeight="1">
      <c r="G525" s="150"/>
      <c r="L525" s="150"/>
    </row>
    <row r="526" spans="7:12" ht="15.75" customHeight="1">
      <c r="G526" s="150"/>
      <c r="L526" s="150"/>
    </row>
    <row r="527" spans="7:12" ht="15.75" customHeight="1">
      <c r="G527" s="150"/>
      <c r="L527" s="150"/>
    </row>
    <row r="528" spans="7:12" ht="15.75" customHeight="1">
      <c r="G528" s="150"/>
      <c r="L528" s="150"/>
    </row>
    <row r="529" spans="7:12" ht="15.75" customHeight="1">
      <c r="G529" s="150"/>
      <c r="L529" s="150"/>
    </row>
    <row r="530" spans="7:12" ht="15.75" customHeight="1">
      <c r="G530" s="150"/>
      <c r="L530" s="150"/>
    </row>
    <row r="531" spans="7:12" ht="15.75" customHeight="1">
      <c r="G531" s="150"/>
      <c r="L531" s="150"/>
    </row>
    <row r="532" spans="7:12" ht="15.75" customHeight="1">
      <c r="G532" s="150"/>
      <c r="L532" s="150"/>
    </row>
    <row r="533" spans="7:12" ht="15.75" customHeight="1">
      <c r="G533" s="150"/>
      <c r="L533" s="150"/>
    </row>
    <row r="534" spans="7:12" ht="15.75" customHeight="1">
      <c r="G534" s="150"/>
      <c r="L534" s="150"/>
    </row>
    <row r="535" spans="7:12" ht="15.75" customHeight="1">
      <c r="G535" s="150"/>
      <c r="L535" s="150"/>
    </row>
    <row r="536" spans="7:12" ht="15.75" customHeight="1">
      <c r="G536" s="150"/>
      <c r="L536" s="150"/>
    </row>
    <row r="537" spans="7:12" ht="15.75" customHeight="1">
      <c r="G537" s="150"/>
      <c r="L537" s="150"/>
    </row>
    <row r="538" spans="7:12" ht="15.75" customHeight="1">
      <c r="G538" s="150"/>
      <c r="L538" s="150"/>
    </row>
    <row r="539" spans="7:12" ht="15.75" customHeight="1">
      <c r="G539" s="150"/>
      <c r="L539" s="150"/>
    </row>
    <row r="540" spans="7:12" ht="15.75" customHeight="1">
      <c r="G540" s="150"/>
      <c r="L540" s="150"/>
    </row>
    <row r="541" spans="7:12" ht="15.75" customHeight="1">
      <c r="G541" s="150"/>
      <c r="L541" s="150"/>
    </row>
    <row r="542" spans="7:12" ht="15.75" customHeight="1">
      <c r="G542" s="150"/>
      <c r="L542" s="150"/>
    </row>
    <row r="543" spans="7:12" ht="15.75" customHeight="1">
      <c r="G543" s="150"/>
      <c r="L543" s="150"/>
    </row>
    <row r="544" spans="7:12" ht="15.75" customHeight="1">
      <c r="G544" s="150"/>
      <c r="L544" s="150"/>
    </row>
    <row r="545" spans="7:12" ht="15.75" customHeight="1">
      <c r="G545" s="150"/>
      <c r="L545" s="150"/>
    </row>
    <row r="546" spans="7:12" ht="15.75" customHeight="1">
      <c r="G546" s="150"/>
      <c r="L546" s="150"/>
    </row>
    <row r="547" spans="7:12" ht="15.75" customHeight="1">
      <c r="G547" s="150"/>
      <c r="L547" s="150"/>
    </row>
    <row r="548" spans="7:12" ht="15.75" customHeight="1">
      <c r="G548" s="150"/>
      <c r="L548" s="150"/>
    </row>
    <row r="549" spans="7:12" ht="15.75" customHeight="1">
      <c r="G549" s="150"/>
      <c r="L549" s="150"/>
    </row>
    <row r="550" spans="7:12" ht="15.75" customHeight="1">
      <c r="G550" s="150"/>
      <c r="L550" s="150"/>
    </row>
    <row r="551" spans="7:12" ht="15.75" customHeight="1">
      <c r="G551" s="150"/>
      <c r="L551" s="150"/>
    </row>
    <row r="552" spans="7:12" ht="15.75" customHeight="1">
      <c r="G552" s="150"/>
      <c r="L552" s="150"/>
    </row>
    <row r="553" spans="7:12" ht="15.75" customHeight="1">
      <c r="G553" s="150"/>
      <c r="L553" s="150"/>
    </row>
    <row r="554" spans="7:12" ht="15.75" customHeight="1">
      <c r="G554" s="150"/>
      <c r="L554" s="150"/>
    </row>
    <row r="555" spans="7:12" ht="15.75" customHeight="1">
      <c r="G555" s="150"/>
      <c r="L555" s="150"/>
    </row>
    <row r="556" spans="7:12" ht="15.75" customHeight="1">
      <c r="G556" s="150"/>
      <c r="L556" s="150"/>
    </row>
    <row r="557" spans="7:12" ht="15.75" customHeight="1">
      <c r="G557" s="150"/>
      <c r="L557" s="150"/>
    </row>
    <row r="558" spans="7:12" ht="15.75" customHeight="1">
      <c r="G558" s="150"/>
      <c r="L558" s="150"/>
    </row>
    <row r="559" spans="7:12" ht="15.75" customHeight="1">
      <c r="G559" s="150"/>
      <c r="L559" s="150"/>
    </row>
    <row r="560" spans="7:12" ht="15.75" customHeight="1">
      <c r="G560" s="150"/>
      <c r="L560" s="150"/>
    </row>
    <row r="561" spans="7:12" ht="15.75" customHeight="1">
      <c r="G561" s="150"/>
      <c r="L561" s="150"/>
    </row>
    <row r="562" spans="7:12" ht="15.75" customHeight="1">
      <c r="G562" s="150"/>
      <c r="L562" s="150"/>
    </row>
    <row r="563" spans="7:12" ht="15.75" customHeight="1">
      <c r="G563" s="150"/>
      <c r="L563" s="150"/>
    </row>
    <row r="564" spans="7:12" ht="15.75" customHeight="1">
      <c r="G564" s="150"/>
      <c r="L564" s="150"/>
    </row>
    <row r="565" spans="7:12" ht="15.75" customHeight="1">
      <c r="G565" s="150"/>
      <c r="L565" s="150"/>
    </row>
    <row r="566" spans="7:12" ht="15.75" customHeight="1">
      <c r="G566" s="150"/>
      <c r="L566" s="150"/>
    </row>
    <row r="567" spans="7:12" ht="15.75" customHeight="1">
      <c r="G567" s="150"/>
      <c r="L567" s="150"/>
    </row>
    <row r="568" spans="7:12" ht="15.75" customHeight="1">
      <c r="G568" s="150"/>
      <c r="L568" s="150"/>
    </row>
    <row r="569" spans="7:12" ht="15.75" customHeight="1">
      <c r="G569" s="150"/>
      <c r="L569" s="150"/>
    </row>
    <row r="570" spans="7:12" ht="15.75" customHeight="1">
      <c r="G570" s="150"/>
      <c r="L570" s="150"/>
    </row>
    <row r="571" spans="7:12" ht="15.75" customHeight="1">
      <c r="G571" s="150"/>
      <c r="L571" s="150"/>
    </row>
    <row r="572" spans="7:12" ht="15.75" customHeight="1">
      <c r="G572" s="150"/>
      <c r="L572" s="150"/>
    </row>
    <row r="573" spans="7:12" ht="15.75" customHeight="1">
      <c r="G573" s="150"/>
      <c r="L573" s="150"/>
    </row>
    <row r="574" spans="7:12" ht="15.75" customHeight="1">
      <c r="G574" s="150"/>
      <c r="L574" s="150"/>
    </row>
    <row r="575" spans="7:12" ht="15.75" customHeight="1">
      <c r="G575" s="150"/>
      <c r="L575" s="150"/>
    </row>
    <row r="576" spans="7:12" ht="15.75" customHeight="1">
      <c r="G576" s="150"/>
      <c r="L576" s="150"/>
    </row>
    <row r="577" spans="7:12" ht="15.75" customHeight="1">
      <c r="G577" s="150"/>
      <c r="L577" s="150"/>
    </row>
    <row r="578" spans="7:12" ht="15.75" customHeight="1">
      <c r="G578" s="150"/>
      <c r="L578" s="150"/>
    </row>
    <row r="579" spans="7:12" ht="15.75" customHeight="1">
      <c r="G579" s="150"/>
      <c r="L579" s="150"/>
    </row>
    <row r="580" spans="7:12" ht="15.75" customHeight="1">
      <c r="G580" s="150"/>
      <c r="L580" s="150"/>
    </row>
    <row r="581" spans="7:12" ht="15.75" customHeight="1">
      <c r="G581" s="150"/>
      <c r="L581" s="150"/>
    </row>
    <row r="582" spans="7:12" ht="15.75" customHeight="1">
      <c r="G582" s="150"/>
      <c r="L582" s="150"/>
    </row>
    <row r="583" spans="7:12" ht="15.75" customHeight="1">
      <c r="G583" s="150"/>
      <c r="L583" s="150"/>
    </row>
    <row r="584" spans="7:12" ht="15.75" customHeight="1">
      <c r="G584" s="150"/>
      <c r="L584" s="150"/>
    </row>
    <row r="585" spans="7:12" ht="15.75" customHeight="1">
      <c r="G585" s="150"/>
      <c r="L585" s="150"/>
    </row>
    <row r="586" spans="7:12" ht="15.75" customHeight="1">
      <c r="G586" s="150"/>
      <c r="L586" s="150"/>
    </row>
    <row r="587" spans="7:12" ht="15.75" customHeight="1">
      <c r="G587" s="150"/>
      <c r="L587" s="150"/>
    </row>
    <row r="588" spans="7:12" ht="15.75" customHeight="1">
      <c r="G588" s="150"/>
      <c r="L588" s="150"/>
    </row>
    <row r="589" spans="7:12" ht="15.75" customHeight="1">
      <c r="G589" s="150"/>
      <c r="L589" s="150"/>
    </row>
    <row r="590" spans="7:12" ht="15.75" customHeight="1">
      <c r="G590" s="150"/>
      <c r="L590" s="150"/>
    </row>
    <row r="591" spans="7:12" ht="15.75" customHeight="1">
      <c r="G591" s="150"/>
      <c r="L591" s="150"/>
    </row>
    <row r="592" spans="7:12" ht="15.75" customHeight="1">
      <c r="G592" s="150"/>
      <c r="L592" s="150"/>
    </row>
    <row r="593" spans="7:12" ht="15.75" customHeight="1">
      <c r="G593" s="150"/>
      <c r="L593" s="150"/>
    </row>
    <row r="594" spans="7:12" ht="15.75" customHeight="1">
      <c r="G594" s="150"/>
      <c r="L594" s="150"/>
    </row>
    <row r="595" spans="7:12" ht="15.75" customHeight="1">
      <c r="G595" s="150"/>
      <c r="L595" s="150"/>
    </row>
    <row r="596" spans="7:12" ht="15.75" customHeight="1">
      <c r="G596" s="150"/>
      <c r="L596" s="150"/>
    </row>
    <row r="597" spans="7:12" ht="15.75" customHeight="1">
      <c r="G597" s="150"/>
      <c r="L597" s="150"/>
    </row>
    <row r="598" spans="7:12" ht="15.75" customHeight="1">
      <c r="G598" s="150"/>
      <c r="L598" s="150"/>
    </row>
    <row r="599" spans="7:12" ht="15.75" customHeight="1">
      <c r="G599" s="150"/>
      <c r="L599" s="150"/>
    </row>
    <row r="600" spans="7:12" ht="15.75" customHeight="1">
      <c r="G600" s="150"/>
      <c r="L600" s="150"/>
    </row>
    <row r="601" spans="7:12" ht="15.75" customHeight="1">
      <c r="G601" s="150"/>
      <c r="L601" s="150"/>
    </row>
    <row r="602" spans="7:12" ht="15.75" customHeight="1">
      <c r="G602" s="150"/>
      <c r="L602" s="150"/>
    </row>
    <row r="603" spans="7:12" ht="15.75" customHeight="1">
      <c r="G603" s="150"/>
      <c r="L603" s="150"/>
    </row>
    <row r="604" spans="7:12" ht="15.75" customHeight="1">
      <c r="G604" s="150"/>
      <c r="L604" s="150"/>
    </row>
    <row r="605" spans="7:12" ht="15.75" customHeight="1">
      <c r="G605" s="150"/>
      <c r="L605" s="150"/>
    </row>
    <row r="606" spans="7:12" ht="15.75" customHeight="1">
      <c r="G606" s="150"/>
      <c r="L606" s="150"/>
    </row>
    <row r="607" spans="7:12" ht="15.75" customHeight="1">
      <c r="G607" s="150"/>
      <c r="L607" s="150"/>
    </row>
    <row r="608" spans="7:12" ht="15.75" customHeight="1">
      <c r="G608" s="150"/>
      <c r="L608" s="150"/>
    </row>
    <row r="609" spans="7:12" ht="15.75" customHeight="1">
      <c r="G609" s="150"/>
      <c r="L609" s="150"/>
    </row>
    <row r="610" spans="7:12" ht="15.75" customHeight="1">
      <c r="G610" s="150"/>
      <c r="L610" s="150"/>
    </row>
    <row r="611" spans="7:12" ht="15.75" customHeight="1">
      <c r="G611" s="150"/>
      <c r="L611" s="150"/>
    </row>
    <row r="612" spans="7:12" ht="15.75" customHeight="1">
      <c r="G612" s="150"/>
      <c r="L612" s="150"/>
    </row>
    <row r="613" spans="7:12" ht="15.75" customHeight="1">
      <c r="G613" s="150"/>
      <c r="L613" s="150"/>
    </row>
    <row r="614" spans="7:12" ht="15.75" customHeight="1">
      <c r="G614" s="150"/>
      <c r="L614" s="150"/>
    </row>
    <row r="615" spans="7:12" ht="15.75" customHeight="1">
      <c r="G615" s="150"/>
      <c r="L615" s="150"/>
    </row>
    <row r="616" spans="7:12" ht="15.75" customHeight="1">
      <c r="G616" s="150"/>
      <c r="L616" s="150"/>
    </row>
    <row r="617" spans="7:12" ht="15.75" customHeight="1">
      <c r="G617" s="150"/>
      <c r="L617" s="150"/>
    </row>
    <row r="618" spans="7:12" ht="15.75" customHeight="1">
      <c r="G618" s="150"/>
      <c r="L618" s="150"/>
    </row>
    <row r="619" spans="7:12" ht="15.75" customHeight="1">
      <c r="G619" s="150"/>
      <c r="L619" s="150"/>
    </row>
    <row r="620" spans="7:12" ht="15.75" customHeight="1">
      <c r="G620" s="150"/>
      <c r="L620" s="150"/>
    </row>
    <row r="621" spans="7:12" ht="15.75" customHeight="1">
      <c r="G621" s="150"/>
      <c r="L621" s="150"/>
    </row>
    <row r="622" spans="7:12" ht="15.75" customHeight="1">
      <c r="G622" s="150"/>
      <c r="L622" s="150"/>
    </row>
    <row r="623" spans="7:12" ht="15.75" customHeight="1">
      <c r="G623" s="150"/>
      <c r="L623" s="150"/>
    </row>
    <row r="624" spans="7:12" ht="15.75" customHeight="1">
      <c r="G624" s="150"/>
      <c r="L624" s="150"/>
    </row>
    <row r="625" spans="7:12" ht="15.75" customHeight="1">
      <c r="G625" s="150"/>
      <c r="L625" s="150"/>
    </row>
    <row r="626" spans="7:12" ht="15.75" customHeight="1">
      <c r="G626" s="150"/>
      <c r="L626" s="150"/>
    </row>
    <row r="627" spans="7:12" ht="15.75" customHeight="1">
      <c r="G627" s="150"/>
      <c r="L627" s="150"/>
    </row>
    <row r="628" spans="7:12" ht="15.75" customHeight="1">
      <c r="G628" s="150"/>
      <c r="L628" s="150"/>
    </row>
    <row r="629" spans="7:12" ht="15.75" customHeight="1">
      <c r="G629" s="150"/>
      <c r="L629" s="150"/>
    </row>
    <row r="630" spans="7:12" ht="15.75" customHeight="1">
      <c r="G630" s="150"/>
      <c r="L630" s="150"/>
    </row>
    <row r="631" spans="7:12" ht="15.75" customHeight="1">
      <c r="G631" s="150"/>
      <c r="L631" s="150"/>
    </row>
    <row r="632" spans="7:12" ht="15.75" customHeight="1">
      <c r="G632" s="150"/>
      <c r="L632" s="150"/>
    </row>
    <row r="633" spans="7:12" ht="15.75" customHeight="1">
      <c r="G633" s="150"/>
      <c r="L633" s="150"/>
    </row>
    <row r="634" spans="7:12" ht="15.75" customHeight="1">
      <c r="G634" s="150"/>
      <c r="L634" s="150"/>
    </row>
    <row r="635" spans="7:12" ht="15.75" customHeight="1">
      <c r="G635" s="150"/>
      <c r="L635" s="150"/>
    </row>
    <row r="636" spans="7:12" ht="15.75" customHeight="1">
      <c r="G636" s="150"/>
      <c r="L636" s="150"/>
    </row>
    <row r="637" spans="7:12" ht="15.75" customHeight="1">
      <c r="G637" s="150"/>
      <c r="L637" s="150"/>
    </row>
    <row r="638" spans="7:12" ht="15.75" customHeight="1">
      <c r="G638" s="150"/>
      <c r="L638" s="150"/>
    </row>
    <row r="639" spans="7:12" ht="15.75" customHeight="1">
      <c r="G639" s="150"/>
      <c r="L639" s="150"/>
    </row>
    <row r="640" spans="7:12" ht="15.75" customHeight="1">
      <c r="G640" s="150"/>
      <c r="L640" s="150"/>
    </row>
    <row r="641" spans="7:12" ht="15.75" customHeight="1">
      <c r="G641" s="150"/>
      <c r="L641" s="150"/>
    </row>
    <row r="642" spans="7:12" ht="15.75" customHeight="1">
      <c r="G642" s="150"/>
      <c r="L642" s="150"/>
    </row>
    <row r="643" spans="7:12" ht="15.75" customHeight="1">
      <c r="G643" s="150"/>
      <c r="L643" s="150"/>
    </row>
    <row r="644" spans="7:12" ht="15.75" customHeight="1">
      <c r="G644" s="150"/>
      <c r="L644" s="150"/>
    </row>
    <row r="645" spans="7:12" ht="15.75" customHeight="1">
      <c r="G645" s="150"/>
      <c r="L645" s="150"/>
    </row>
    <row r="646" spans="7:12" ht="15.75" customHeight="1">
      <c r="G646" s="150"/>
      <c r="L646" s="150"/>
    </row>
    <row r="647" spans="7:12" ht="15.75" customHeight="1">
      <c r="G647" s="150"/>
      <c r="L647" s="150"/>
    </row>
    <row r="648" spans="7:12" ht="15.75" customHeight="1">
      <c r="G648" s="150"/>
      <c r="L648" s="150"/>
    </row>
    <row r="649" spans="7:12" ht="15.75" customHeight="1">
      <c r="G649" s="150"/>
      <c r="L649" s="150"/>
    </row>
    <row r="650" spans="7:12" ht="15.75" customHeight="1">
      <c r="G650" s="150"/>
      <c r="L650" s="150"/>
    </row>
    <row r="651" spans="7:12" ht="15.75" customHeight="1">
      <c r="G651" s="150"/>
      <c r="L651" s="150"/>
    </row>
    <row r="652" spans="7:12" ht="15.75" customHeight="1">
      <c r="G652" s="150"/>
      <c r="L652" s="150"/>
    </row>
    <row r="653" spans="7:12" ht="15.75" customHeight="1">
      <c r="G653" s="150"/>
      <c r="L653" s="150"/>
    </row>
    <row r="654" spans="7:12" ht="15.75" customHeight="1">
      <c r="G654" s="150"/>
      <c r="L654" s="150"/>
    </row>
    <row r="655" spans="7:12" ht="15.75" customHeight="1">
      <c r="G655" s="150"/>
      <c r="L655" s="150"/>
    </row>
    <row r="656" spans="7:12" ht="15.75" customHeight="1">
      <c r="G656" s="150"/>
      <c r="L656" s="150"/>
    </row>
    <row r="657" spans="7:12" ht="15.75" customHeight="1">
      <c r="G657" s="150"/>
      <c r="L657" s="150"/>
    </row>
    <row r="658" spans="7:12" ht="15.75" customHeight="1">
      <c r="G658" s="150"/>
      <c r="L658" s="150"/>
    </row>
    <row r="659" spans="7:12" ht="15.75" customHeight="1">
      <c r="G659" s="150"/>
      <c r="L659" s="150"/>
    </row>
    <row r="660" spans="7:12" ht="15.75" customHeight="1">
      <c r="G660" s="150"/>
      <c r="L660" s="150"/>
    </row>
    <row r="661" spans="7:12" ht="15.75" customHeight="1">
      <c r="G661" s="150"/>
      <c r="L661" s="150"/>
    </row>
    <row r="662" spans="7:12" ht="15.75" customHeight="1">
      <c r="G662" s="150"/>
      <c r="L662" s="150"/>
    </row>
    <row r="663" spans="7:12" ht="15.75" customHeight="1">
      <c r="G663" s="150"/>
      <c r="L663" s="150"/>
    </row>
    <row r="664" spans="7:12" ht="15.75" customHeight="1">
      <c r="G664" s="150"/>
      <c r="L664" s="150"/>
    </row>
    <row r="665" spans="7:12" ht="15.75" customHeight="1">
      <c r="G665" s="150"/>
      <c r="L665" s="150"/>
    </row>
    <row r="666" spans="7:12" ht="15.75" customHeight="1">
      <c r="G666" s="150"/>
      <c r="L666" s="150"/>
    </row>
    <row r="667" spans="7:12" ht="15.75" customHeight="1">
      <c r="G667" s="150"/>
      <c r="L667" s="150"/>
    </row>
    <row r="668" spans="7:12" ht="15.75" customHeight="1">
      <c r="G668" s="150"/>
      <c r="L668" s="150"/>
    </row>
    <row r="669" spans="7:12" ht="15.75" customHeight="1">
      <c r="G669" s="150"/>
      <c r="L669" s="150"/>
    </row>
    <row r="670" spans="7:12" ht="15.75" customHeight="1">
      <c r="G670" s="150"/>
      <c r="L670" s="150"/>
    </row>
    <row r="671" spans="7:12" ht="15.75" customHeight="1">
      <c r="G671" s="150"/>
      <c r="L671" s="150"/>
    </row>
    <row r="672" spans="7:12" ht="15.75" customHeight="1">
      <c r="G672" s="150"/>
      <c r="L672" s="150"/>
    </row>
    <row r="673" spans="7:12" ht="15.75" customHeight="1">
      <c r="G673" s="150"/>
      <c r="L673" s="150"/>
    </row>
    <row r="674" spans="7:12" ht="15.75" customHeight="1">
      <c r="G674" s="150"/>
      <c r="L674" s="150"/>
    </row>
    <row r="675" spans="7:12" ht="15.75" customHeight="1">
      <c r="G675" s="150"/>
      <c r="L675" s="150"/>
    </row>
    <row r="676" spans="7:12" ht="15.75" customHeight="1">
      <c r="G676" s="150"/>
      <c r="L676" s="150"/>
    </row>
    <row r="677" spans="7:12" ht="15.75" customHeight="1">
      <c r="G677" s="150"/>
      <c r="L677" s="150"/>
    </row>
    <row r="678" spans="7:12" ht="15.75" customHeight="1">
      <c r="G678" s="150"/>
      <c r="L678" s="150"/>
    </row>
    <row r="679" spans="7:12" ht="15.75" customHeight="1">
      <c r="G679" s="150"/>
      <c r="L679" s="150"/>
    </row>
    <row r="680" spans="7:12" ht="15.75" customHeight="1">
      <c r="G680" s="150"/>
      <c r="L680" s="150"/>
    </row>
    <row r="681" spans="7:12" ht="15.75" customHeight="1">
      <c r="G681" s="150"/>
      <c r="L681" s="150"/>
    </row>
    <row r="682" spans="7:12" ht="15.75" customHeight="1">
      <c r="G682" s="150"/>
      <c r="L682" s="150"/>
    </row>
    <row r="683" spans="7:12" ht="15.75" customHeight="1">
      <c r="G683" s="150"/>
      <c r="L683" s="150"/>
    </row>
    <row r="684" spans="7:12" ht="15.75" customHeight="1">
      <c r="G684" s="150"/>
      <c r="L684" s="150"/>
    </row>
    <row r="685" spans="7:12" ht="15.75" customHeight="1">
      <c r="G685" s="150"/>
      <c r="L685" s="150"/>
    </row>
    <row r="686" spans="7:12" ht="15.75" customHeight="1">
      <c r="G686" s="150"/>
      <c r="L686" s="150"/>
    </row>
    <row r="687" spans="7:12" ht="15.75" customHeight="1">
      <c r="G687" s="150"/>
      <c r="L687" s="150"/>
    </row>
    <row r="688" spans="7:12" ht="15.75" customHeight="1">
      <c r="G688" s="150"/>
      <c r="L688" s="150"/>
    </row>
    <row r="689" spans="7:12" ht="15.75" customHeight="1">
      <c r="G689" s="150"/>
      <c r="L689" s="150"/>
    </row>
    <row r="690" spans="7:12" ht="15.75" customHeight="1">
      <c r="G690" s="150"/>
      <c r="L690" s="150"/>
    </row>
    <row r="691" spans="7:12" ht="15.75" customHeight="1">
      <c r="G691" s="150"/>
      <c r="L691" s="150"/>
    </row>
    <row r="692" spans="7:12" ht="15.75" customHeight="1">
      <c r="G692" s="150"/>
      <c r="L692" s="150"/>
    </row>
    <row r="693" spans="7:12" ht="15.75" customHeight="1">
      <c r="G693" s="150"/>
      <c r="L693" s="150"/>
    </row>
    <row r="694" spans="7:12" ht="15.75" customHeight="1">
      <c r="G694" s="150"/>
      <c r="L694" s="150"/>
    </row>
    <row r="695" spans="7:12" ht="15.75" customHeight="1">
      <c r="G695" s="150"/>
      <c r="L695" s="150"/>
    </row>
    <row r="696" spans="7:12" ht="15.75" customHeight="1">
      <c r="G696" s="150"/>
      <c r="L696" s="150"/>
    </row>
    <row r="697" spans="7:12" ht="15.75" customHeight="1">
      <c r="G697" s="150"/>
      <c r="L697" s="150"/>
    </row>
    <row r="698" spans="7:12" ht="15.75" customHeight="1">
      <c r="G698" s="150"/>
      <c r="L698" s="150"/>
    </row>
    <row r="699" spans="7:12" ht="15.75" customHeight="1">
      <c r="G699" s="150"/>
      <c r="L699" s="150"/>
    </row>
    <row r="700" spans="7:12" ht="15.75" customHeight="1">
      <c r="G700" s="150"/>
      <c r="L700" s="150"/>
    </row>
    <row r="701" spans="7:12" ht="15.75" customHeight="1">
      <c r="G701" s="150"/>
      <c r="L701" s="150"/>
    </row>
    <row r="702" spans="7:12" ht="15.75" customHeight="1">
      <c r="G702" s="150"/>
      <c r="L702" s="150"/>
    </row>
    <row r="703" spans="7:12" ht="15.75" customHeight="1">
      <c r="G703" s="150"/>
      <c r="L703" s="150"/>
    </row>
    <row r="704" spans="7:12" ht="15.75" customHeight="1">
      <c r="G704" s="150"/>
      <c r="L704" s="150"/>
    </row>
    <row r="705" spans="7:12" ht="15.75" customHeight="1">
      <c r="G705" s="150"/>
      <c r="L705" s="150"/>
    </row>
    <row r="706" spans="7:12" ht="15.75" customHeight="1">
      <c r="G706" s="150"/>
      <c r="L706" s="150"/>
    </row>
    <row r="707" spans="7:12" ht="15.75" customHeight="1">
      <c r="G707" s="150"/>
      <c r="L707" s="150"/>
    </row>
    <row r="708" spans="7:12" ht="15.75" customHeight="1">
      <c r="G708" s="150"/>
      <c r="L708" s="150"/>
    </row>
    <row r="709" spans="7:12" ht="15.75" customHeight="1">
      <c r="G709" s="150"/>
      <c r="L709" s="150"/>
    </row>
    <row r="710" spans="7:12" ht="15.75" customHeight="1">
      <c r="G710" s="150"/>
      <c r="L710" s="150"/>
    </row>
    <row r="711" spans="7:12" ht="15.75" customHeight="1">
      <c r="G711" s="150"/>
      <c r="L711" s="150"/>
    </row>
    <row r="712" spans="7:12" ht="15.75" customHeight="1">
      <c r="G712" s="150"/>
      <c r="L712" s="150"/>
    </row>
    <row r="713" spans="7:12" ht="15.75" customHeight="1">
      <c r="G713" s="150"/>
      <c r="L713" s="150"/>
    </row>
    <row r="714" spans="7:12" ht="15.75" customHeight="1">
      <c r="G714" s="150"/>
      <c r="L714" s="150"/>
    </row>
    <row r="715" spans="7:12" ht="15.75" customHeight="1">
      <c r="G715" s="150"/>
      <c r="L715" s="150"/>
    </row>
    <row r="716" spans="7:12" ht="15.75" customHeight="1">
      <c r="G716" s="150"/>
      <c r="L716" s="150"/>
    </row>
    <row r="717" spans="7:12" ht="15.75" customHeight="1">
      <c r="G717" s="150"/>
      <c r="L717" s="150"/>
    </row>
    <row r="718" spans="7:12" ht="15.75" customHeight="1">
      <c r="G718" s="150"/>
      <c r="L718" s="150"/>
    </row>
    <row r="719" spans="7:12" ht="15.75" customHeight="1">
      <c r="G719" s="150"/>
      <c r="L719" s="150"/>
    </row>
    <row r="720" spans="7:12" ht="15.75" customHeight="1">
      <c r="G720" s="150"/>
      <c r="L720" s="150"/>
    </row>
    <row r="721" spans="7:12" ht="15.75" customHeight="1">
      <c r="G721" s="150"/>
      <c r="L721" s="150"/>
    </row>
    <row r="722" spans="7:12" ht="15.75" customHeight="1">
      <c r="G722" s="150"/>
      <c r="L722" s="150"/>
    </row>
    <row r="723" spans="7:12" ht="15.75" customHeight="1">
      <c r="G723" s="150"/>
      <c r="L723" s="150"/>
    </row>
    <row r="724" spans="7:12" ht="15.75" customHeight="1">
      <c r="G724" s="150"/>
      <c r="L724" s="150"/>
    </row>
    <row r="725" spans="7:12" ht="15.75" customHeight="1">
      <c r="G725" s="150"/>
      <c r="L725" s="150"/>
    </row>
    <row r="726" spans="7:12" ht="15.75" customHeight="1">
      <c r="G726" s="150"/>
      <c r="L726" s="150"/>
    </row>
    <row r="727" spans="7:12" ht="15.75" customHeight="1">
      <c r="G727" s="150"/>
      <c r="L727" s="150"/>
    </row>
    <row r="728" spans="7:12" ht="15.75" customHeight="1">
      <c r="G728" s="150"/>
      <c r="L728" s="150"/>
    </row>
    <row r="729" spans="7:12" ht="15.75" customHeight="1">
      <c r="G729" s="150"/>
      <c r="L729" s="150"/>
    </row>
    <row r="730" spans="7:12" ht="15.75" customHeight="1">
      <c r="G730" s="150"/>
      <c r="L730" s="150"/>
    </row>
    <row r="731" spans="7:12" ht="15.75" customHeight="1">
      <c r="G731" s="150"/>
      <c r="L731" s="150"/>
    </row>
    <row r="732" spans="7:12" ht="15.75" customHeight="1">
      <c r="G732" s="150"/>
      <c r="L732" s="150"/>
    </row>
    <row r="733" spans="7:12" ht="15.75" customHeight="1">
      <c r="G733" s="150"/>
      <c r="L733" s="150"/>
    </row>
    <row r="734" spans="7:12" ht="15.75" customHeight="1">
      <c r="G734" s="150"/>
      <c r="L734" s="150"/>
    </row>
    <row r="735" spans="7:12" ht="15.75" customHeight="1">
      <c r="G735" s="150"/>
      <c r="L735" s="150"/>
    </row>
    <row r="736" spans="7:12" ht="15.75" customHeight="1">
      <c r="G736" s="150"/>
      <c r="L736" s="150"/>
    </row>
    <row r="737" spans="7:12" ht="15.75" customHeight="1">
      <c r="G737" s="150"/>
      <c r="L737" s="150"/>
    </row>
    <row r="738" spans="7:12" ht="15.75" customHeight="1">
      <c r="G738" s="150"/>
      <c r="L738" s="150"/>
    </row>
    <row r="739" spans="7:12" ht="15.75" customHeight="1">
      <c r="G739" s="150"/>
      <c r="L739" s="150"/>
    </row>
    <row r="740" spans="7:12" ht="15.75" customHeight="1">
      <c r="G740" s="150"/>
      <c r="L740" s="150"/>
    </row>
    <row r="741" spans="7:12" ht="15.75" customHeight="1">
      <c r="G741" s="150"/>
      <c r="L741" s="150"/>
    </row>
    <row r="742" spans="7:12" ht="15.75" customHeight="1">
      <c r="G742" s="150"/>
      <c r="L742" s="150"/>
    </row>
    <row r="743" spans="7:12" ht="15.75" customHeight="1">
      <c r="G743" s="150"/>
      <c r="L743" s="150"/>
    </row>
    <row r="744" spans="7:12" ht="15.75" customHeight="1">
      <c r="G744" s="150"/>
      <c r="L744" s="150"/>
    </row>
    <row r="745" spans="7:12" ht="15.75" customHeight="1">
      <c r="G745" s="150"/>
      <c r="L745" s="150"/>
    </row>
    <row r="746" spans="7:12" ht="15.75" customHeight="1">
      <c r="G746" s="150"/>
      <c r="L746" s="150"/>
    </row>
    <row r="747" spans="7:12" ht="15.75" customHeight="1">
      <c r="G747" s="150"/>
      <c r="L747" s="150"/>
    </row>
    <row r="748" spans="7:12" ht="15.75" customHeight="1">
      <c r="G748" s="150"/>
      <c r="L748" s="150"/>
    </row>
    <row r="749" spans="7:12" ht="15.75" customHeight="1">
      <c r="G749" s="150"/>
      <c r="L749" s="150"/>
    </row>
    <row r="750" spans="7:12" ht="15.75" customHeight="1">
      <c r="G750" s="150"/>
      <c r="L750" s="150"/>
    </row>
    <row r="751" spans="7:12" ht="15.75" customHeight="1">
      <c r="G751" s="150"/>
      <c r="L751" s="150"/>
    </row>
    <row r="752" spans="7:12" ht="15.75" customHeight="1">
      <c r="G752" s="150"/>
      <c r="L752" s="150"/>
    </row>
    <row r="753" spans="7:12" ht="15.75" customHeight="1">
      <c r="G753" s="150"/>
      <c r="L753" s="150"/>
    </row>
    <row r="754" spans="7:12" ht="15.75" customHeight="1">
      <c r="G754" s="150"/>
      <c r="L754" s="150"/>
    </row>
    <row r="755" spans="7:12" ht="15.75" customHeight="1">
      <c r="G755" s="150"/>
      <c r="L755" s="150"/>
    </row>
    <row r="756" spans="7:12" ht="15.75" customHeight="1">
      <c r="G756" s="150"/>
      <c r="L756" s="150"/>
    </row>
    <row r="757" spans="7:12" ht="15.75" customHeight="1">
      <c r="G757" s="150"/>
      <c r="L757" s="150"/>
    </row>
    <row r="758" spans="7:12" ht="15.75" customHeight="1">
      <c r="G758" s="150"/>
      <c r="L758" s="150"/>
    </row>
    <row r="759" spans="7:12" ht="15.75" customHeight="1">
      <c r="G759" s="150"/>
      <c r="L759" s="150"/>
    </row>
    <row r="760" spans="7:12" ht="15.75" customHeight="1">
      <c r="G760" s="150"/>
      <c r="L760" s="150"/>
    </row>
    <row r="761" spans="7:12" ht="15.75" customHeight="1">
      <c r="G761" s="150"/>
      <c r="L761" s="150"/>
    </row>
    <row r="762" spans="7:12" ht="15.75" customHeight="1">
      <c r="G762" s="150"/>
      <c r="L762" s="150"/>
    </row>
    <row r="763" spans="7:12" ht="15.75" customHeight="1">
      <c r="G763" s="150"/>
      <c r="L763" s="150"/>
    </row>
    <row r="764" spans="7:12" ht="15.75" customHeight="1">
      <c r="G764" s="150"/>
      <c r="L764" s="150"/>
    </row>
    <row r="765" spans="7:12" ht="15.75" customHeight="1">
      <c r="G765" s="150"/>
      <c r="L765" s="150"/>
    </row>
    <row r="766" spans="7:12" ht="15.75" customHeight="1">
      <c r="G766" s="150"/>
      <c r="L766" s="150"/>
    </row>
    <row r="767" spans="7:12" ht="15.75" customHeight="1">
      <c r="G767" s="150"/>
      <c r="L767" s="150"/>
    </row>
    <row r="768" spans="7:12" ht="15.75" customHeight="1">
      <c r="G768" s="150"/>
      <c r="L768" s="150"/>
    </row>
    <row r="769" spans="7:12" ht="15.75" customHeight="1">
      <c r="G769" s="150"/>
      <c r="L769" s="150"/>
    </row>
    <row r="770" spans="7:12" ht="15.75" customHeight="1">
      <c r="G770" s="150"/>
      <c r="L770" s="150"/>
    </row>
    <row r="771" spans="7:12" ht="15.75" customHeight="1">
      <c r="G771" s="150"/>
      <c r="L771" s="150"/>
    </row>
    <row r="772" spans="7:12" ht="15.75" customHeight="1">
      <c r="G772" s="150"/>
      <c r="L772" s="150"/>
    </row>
    <row r="773" spans="7:12" ht="15.75" customHeight="1">
      <c r="G773" s="150"/>
      <c r="L773" s="150"/>
    </row>
    <row r="774" spans="7:12" ht="15.75" customHeight="1">
      <c r="G774" s="150"/>
      <c r="L774" s="150"/>
    </row>
    <row r="775" spans="7:12" ht="15.75" customHeight="1">
      <c r="G775" s="150"/>
      <c r="L775" s="150"/>
    </row>
    <row r="776" spans="7:12" ht="15.75" customHeight="1">
      <c r="G776" s="150"/>
      <c r="L776" s="150"/>
    </row>
    <row r="777" spans="7:12" ht="15.75" customHeight="1">
      <c r="G777" s="150"/>
      <c r="L777" s="150"/>
    </row>
    <row r="778" spans="7:12" ht="15.75" customHeight="1">
      <c r="G778" s="150"/>
      <c r="L778" s="150"/>
    </row>
    <row r="779" spans="7:12" ht="15.75" customHeight="1">
      <c r="G779" s="150"/>
      <c r="L779" s="150"/>
    </row>
    <row r="780" spans="7:12" ht="15.75" customHeight="1">
      <c r="G780" s="150"/>
      <c r="L780" s="150"/>
    </row>
    <row r="781" spans="7:12" ht="15.75" customHeight="1">
      <c r="G781" s="150"/>
      <c r="L781" s="150"/>
    </row>
    <row r="782" spans="7:12" ht="15.75" customHeight="1">
      <c r="G782" s="150"/>
      <c r="L782" s="150"/>
    </row>
    <row r="783" spans="7:12" ht="15.75" customHeight="1">
      <c r="G783" s="150"/>
      <c r="L783" s="150"/>
    </row>
    <row r="784" spans="7:12" ht="15.75" customHeight="1">
      <c r="G784" s="150"/>
      <c r="L784" s="150"/>
    </row>
    <row r="785" spans="7:12" ht="15.75" customHeight="1">
      <c r="G785" s="150"/>
      <c r="L785" s="150"/>
    </row>
    <row r="786" spans="7:12" ht="15.75" customHeight="1">
      <c r="G786" s="150"/>
      <c r="L786" s="150"/>
    </row>
    <row r="787" spans="7:12" ht="15.75" customHeight="1">
      <c r="G787" s="150"/>
      <c r="L787" s="150"/>
    </row>
    <row r="788" spans="7:12" ht="15.75" customHeight="1">
      <c r="G788" s="150"/>
      <c r="L788" s="150"/>
    </row>
    <row r="789" spans="7:12" ht="15.75" customHeight="1">
      <c r="G789" s="150"/>
      <c r="L789" s="150"/>
    </row>
    <row r="790" spans="7:12" ht="15.75" customHeight="1">
      <c r="G790" s="150"/>
      <c r="L790" s="150"/>
    </row>
    <row r="791" spans="7:12" ht="15.75" customHeight="1">
      <c r="G791" s="150"/>
      <c r="L791" s="150"/>
    </row>
    <row r="792" spans="7:12" ht="15.75" customHeight="1">
      <c r="G792" s="150"/>
      <c r="L792" s="150"/>
    </row>
    <row r="793" spans="7:12" ht="15.75" customHeight="1">
      <c r="G793" s="150"/>
      <c r="L793" s="150"/>
    </row>
    <row r="794" spans="7:12" ht="15.75" customHeight="1">
      <c r="G794" s="150"/>
      <c r="L794" s="150"/>
    </row>
    <row r="795" spans="7:12" ht="15.75" customHeight="1">
      <c r="G795" s="150"/>
      <c r="L795" s="150"/>
    </row>
    <row r="796" spans="7:12" ht="15.75" customHeight="1">
      <c r="G796" s="150"/>
      <c r="L796" s="150"/>
    </row>
    <row r="797" spans="7:12" ht="15.75" customHeight="1">
      <c r="G797" s="150"/>
      <c r="L797" s="150"/>
    </row>
    <row r="798" spans="7:12" ht="15.75" customHeight="1">
      <c r="G798" s="150"/>
      <c r="L798" s="150"/>
    </row>
    <row r="799" spans="7:12" ht="15.75" customHeight="1">
      <c r="G799" s="150"/>
      <c r="L799" s="150"/>
    </row>
    <row r="800" spans="7:12" ht="15.75" customHeight="1">
      <c r="G800" s="150"/>
      <c r="L800" s="150"/>
    </row>
    <row r="801" spans="7:12" ht="15.75" customHeight="1">
      <c r="G801" s="150"/>
      <c r="L801" s="150"/>
    </row>
    <row r="802" spans="7:12" ht="15.75" customHeight="1">
      <c r="G802" s="150"/>
      <c r="L802" s="150"/>
    </row>
    <row r="803" spans="7:12" ht="15.75" customHeight="1">
      <c r="G803" s="150"/>
      <c r="L803" s="150"/>
    </row>
    <row r="804" spans="7:12" ht="15.75" customHeight="1">
      <c r="G804" s="150"/>
      <c r="L804" s="150"/>
    </row>
    <row r="805" spans="7:12" ht="15.75" customHeight="1">
      <c r="G805" s="150"/>
      <c r="L805" s="150"/>
    </row>
    <row r="806" spans="7:12" ht="15.75" customHeight="1">
      <c r="G806" s="150"/>
      <c r="L806" s="150"/>
    </row>
    <row r="807" spans="7:12" ht="15.75" customHeight="1">
      <c r="G807" s="150"/>
      <c r="L807" s="150"/>
    </row>
    <row r="808" spans="7:12" ht="15.75" customHeight="1">
      <c r="G808" s="150"/>
      <c r="L808" s="150"/>
    </row>
    <row r="809" spans="7:12" ht="15.75" customHeight="1">
      <c r="G809" s="150"/>
      <c r="L809" s="150"/>
    </row>
    <row r="810" spans="7:12" ht="15.75" customHeight="1">
      <c r="G810" s="150"/>
      <c r="L810" s="150"/>
    </row>
    <row r="811" spans="7:12" ht="15.75" customHeight="1">
      <c r="G811" s="150"/>
      <c r="L811" s="150"/>
    </row>
    <row r="812" spans="7:12" ht="15.75" customHeight="1">
      <c r="G812" s="150"/>
      <c r="L812" s="150"/>
    </row>
    <row r="813" spans="7:12" ht="15.75" customHeight="1">
      <c r="G813" s="150"/>
      <c r="L813" s="150"/>
    </row>
    <row r="814" spans="7:12" ht="15.75" customHeight="1">
      <c r="G814" s="150"/>
      <c r="L814" s="150"/>
    </row>
    <row r="815" spans="7:12" ht="15.75" customHeight="1">
      <c r="G815" s="150"/>
      <c r="L815" s="150"/>
    </row>
    <row r="816" spans="7:12" ht="15.75" customHeight="1">
      <c r="G816" s="150"/>
      <c r="L816" s="150"/>
    </row>
    <row r="817" spans="7:12" ht="15.75" customHeight="1">
      <c r="G817" s="150"/>
      <c r="L817" s="150"/>
    </row>
    <row r="818" spans="7:12" ht="15.75" customHeight="1">
      <c r="G818" s="150"/>
      <c r="L818" s="150"/>
    </row>
    <row r="819" spans="7:12" ht="15.75" customHeight="1">
      <c r="G819" s="150"/>
      <c r="L819" s="150"/>
    </row>
    <row r="820" spans="7:12" ht="15.75" customHeight="1">
      <c r="G820" s="150"/>
      <c r="L820" s="150"/>
    </row>
    <row r="821" spans="7:12" ht="15.75" customHeight="1">
      <c r="G821" s="150"/>
      <c r="L821" s="150"/>
    </row>
    <row r="822" spans="7:12" ht="15.75" customHeight="1">
      <c r="G822" s="150"/>
      <c r="L822" s="150"/>
    </row>
    <row r="823" spans="7:12" ht="15.75" customHeight="1">
      <c r="G823" s="150"/>
      <c r="L823" s="150"/>
    </row>
    <row r="824" spans="7:12" ht="15.75" customHeight="1">
      <c r="G824" s="150"/>
      <c r="L824" s="150"/>
    </row>
    <row r="825" spans="7:12" ht="15.75" customHeight="1">
      <c r="G825" s="150"/>
      <c r="L825" s="150"/>
    </row>
    <row r="826" spans="7:12" ht="15.75" customHeight="1">
      <c r="G826" s="150"/>
      <c r="L826" s="150"/>
    </row>
    <row r="827" spans="7:12" ht="15.75" customHeight="1">
      <c r="G827" s="150"/>
      <c r="L827" s="150"/>
    </row>
    <row r="828" spans="7:12" ht="15.75" customHeight="1">
      <c r="G828" s="150"/>
      <c r="L828" s="150"/>
    </row>
    <row r="829" spans="7:12" ht="15.75" customHeight="1">
      <c r="G829" s="150"/>
      <c r="L829" s="150"/>
    </row>
    <row r="830" spans="7:12" ht="15.75" customHeight="1">
      <c r="G830" s="150"/>
      <c r="L830" s="150"/>
    </row>
    <row r="831" spans="7:12" ht="15.75" customHeight="1">
      <c r="G831" s="150"/>
      <c r="L831" s="150"/>
    </row>
    <row r="832" spans="7:12" ht="15.75" customHeight="1">
      <c r="G832" s="150"/>
      <c r="L832" s="150"/>
    </row>
    <row r="833" spans="7:12" ht="15.75" customHeight="1">
      <c r="G833" s="150"/>
      <c r="L833" s="150"/>
    </row>
    <row r="834" spans="7:12" ht="15.75" customHeight="1">
      <c r="G834" s="150"/>
      <c r="L834" s="150"/>
    </row>
    <row r="835" spans="7:12" ht="15.75" customHeight="1">
      <c r="G835" s="150"/>
      <c r="L835" s="150"/>
    </row>
    <row r="836" spans="7:12" ht="15.75" customHeight="1">
      <c r="G836" s="150"/>
      <c r="L836" s="150"/>
    </row>
    <row r="837" spans="7:12" ht="15.75" customHeight="1">
      <c r="G837" s="150"/>
      <c r="L837" s="150"/>
    </row>
    <row r="838" spans="7:12" ht="15.75" customHeight="1">
      <c r="G838" s="150"/>
      <c r="L838" s="150"/>
    </row>
    <row r="839" spans="7:12" ht="15.75" customHeight="1">
      <c r="G839" s="150"/>
      <c r="L839" s="150"/>
    </row>
    <row r="840" spans="7:12" ht="15.75" customHeight="1">
      <c r="G840" s="150"/>
      <c r="L840" s="150"/>
    </row>
    <row r="841" spans="7:12" ht="15.75" customHeight="1">
      <c r="G841" s="150"/>
      <c r="L841" s="150"/>
    </row>
    <row r="842" spans="7:12" ht="15.75" customHeight="1">
      <c r="G842" s="150"/>
      <c r="L842" s="150"/>
    </row>
    <row r="843" spans="7:12" ht="15.75" customHeight="1">
      <c r="G843" s="150"/>
      <c r="L843" s="150"/>
    </row>
    <row r="844" spans="7:12" ht="15.75" customHeight="1">
      <c r="G844" s="150"/>
      <c r="L844" s="150"/>
    </row>
    <row r="845" spans="7:12" ht="15.75" customHeight="1">
      <c r="G845" s="150"/>
      <c r="L845" s="150"/>
    </row>
    <row r="846" spans="7:12" ht="15.75" customHeight="1">
      <c r="G846" s="150"/>
      <c r="L846" s="150"/>
    </row>
    <row r="847" spans="7:12" ht="15.75" customHeight="1">
      <c r="G847" s="150"/>
      <c r="L847" s="150"/>
    </row>
    <row r="848" spans="7:12" ht="15.75" customHeight="1">
      <c r="G848" s="150"/>
      <c r="L848" s="150"/>
    </row>
    <row r="849" spans="7:12" ht="15.75" customHeight="1">
      <c r="G849" s="150"/>
      <c r="L849" s="150"/>
    </row>
    <row r="850" spans="7:12" ht="15.75" customHeight="1">
      <c r="G850" s="150"/>
      <c r="L850" s="150"/>
    </row>
    <row r="851" spans="7:12" ht="15.75" customHeight="1">
      <c r="G851" s="150"/>
      <c r="L851" s="150"/>
    </row>
    <row r="852" spans="7:12" ht="15.75" customHeight="1">
      <c r="G852" s="150"/>
      <c r="L852" s="150"/>
    </row>
    <row r="853" spans="7:12" ht="15.75" customHeight="1">
      <c r="G853" s="150"/>
      <c r="L853" s="150"/>
    </row>
    <row r="854" spans="7:12" ht="15.75" customHeight="1">
      <c r="G854" s="150"/>
      <c r="L854" s="150"/>
    </row>
    <row r="855" spans="7:12" ht="15.75" customHeight="1">
      <c r="G855" s="150"/>
      <c r="L855" s="150"/>
    </row>
    <row r="856" spans="7:12" ht="15.75" customHeight="1">
      <c r="G856" s="150"/>
      <c r="L856" s="150"/>
    </row>
    <row r="857" spans="7:12" ht="15.75" customHeight="1">
      <c r="G857" s="150"/>
      <c r="L857" s="150"/>
    </row>
    <row r="858" spans="7:12" ht="15.75" customHeight="1">
      <c r="G858" s="150"/>
      <c r="L858" s="150"/>
    </row>
    <row r="859" spans="7:12" ht="15.75" customHeight="1">
      <c r="G859" s="150"/>
      <c r="L859" s="150"/>
    </row>
    <row r="860" spans="7:12" ht="15.75" customHeight="1">
      <c r="G860" s="150"/>
      <c r="L860" s="150"/>
    </row>
    <row r="861" spans="7:12" ht="15.75" customHeight="1">
      <c r="G861" s="150"/>
      <c r="L861" s="150"/>
    </row>
    <row r="862" spans="7:12" ht="15.75" customHeight="1">
      <c r="G862" s="150"/>
      <c r="L862" s="150"/>
    </row>
    <row r="863" spans="7:12" ht="15.75" customHeight="1">
      <c r="G863" s="150"/>
      <c r="L863" s="150"/>
    </row>
    <row r="864" spans="7:12" ht="15.75" customHeight="1">
      <c r="G864" s="150"/>
      <c r="L864" s="150"/>
    </row>
    <row r="865" spans="7:12" ht="15.75" customHeight="1">
      <c r="G865" s="150"/>
      <c r="L865" s="150"/>
    </row>
    <row r="866" spans="7:12" ht="15.75" customHeight="1">
      <c r="G866" s="150"/>
      <c r="L866" s="150"/>
    </row>
    <row r="867" spans="7:12" ht="15.75" customHeight="1">
      <c r="G867" s="150"/>
      <c r="L867" s="150"/>
    </row>
    <row r="868" spans="7:12" ht="15.75" customHeight="1">
      <c r="G868" s="150"/>
      <c r="L868" s="150"/>
    </row>
    <row r="869" spans="7:12" ht="15.75" customHeight="1">
      <c r="G869" s="150"/>
      <c r="L869" s="150"/>
    </row>
    <row r="870" spans="7:12" ht="15.75" customHeight="1">
      <c r="G870" s="150"/>
      <c r="L870" s="150"/>
    </row>
    <row r="871" spans="7:12" ht="15.75" customHeight="1">
      <c r="G871" s="150"/>
      <c r="L871" s="150"/>
    </row>
    <row r="872" spans="7:12" ht="15.75" customHeight="1">
      <c r="G872" s="150"/>
      <c r="L872" s="150"/>
    </row>
    <row r="873" spans="7:12" ht="15.75" customHeight="1">
      <c r="G873" s="150"/>
      <c r="L873" s="150"/>
    </row>
    <row r="874" spans="7:12" ht="15.75" customHeight="1">
      <c r="G874" s="150"/>
      <c r="L874" s="150"/>
    </row>
    <row r="875" spans="7:12" ht="15.75" customHeight="1">
      <c r="G875" s="150"/>
      <c r="L875" s="150"/>
    </row>
    <row r="876" spans="7:12" ht="15.75" customHeight="1">
      <c r="G876" s="150"/>
      <c r="L876" s="150"/>
    </row>
    <row r="877" spans="7:12" ht="15.75" customHeight="1">
      <c r="G877" s="150"/>
      <c r="L877" s="150"/>
    </row>
    <row r="878" spans="7:12" ht="15.75" customHeight="1">
      <c r="G878" s="150"/>
      <c r="L878" s="150"/>
    </row>
    <row r="879" spans="7:12" ht="15.75" customHeight="1">
      <c r="G879" s="150"/>
      <c r="L879" s="150"/>
    </row>
    <row r="880" spans="7:12" ht="15.75" customHeight="1">
      <c r="G880" s="150"/>
      <c r="L880" s="150"/>
    </row>
    <row r="881" spans="7:12" ht="15.75" customHeight="1">
      <c r="G881" s="150"/>
      <c r="L881" s="150"/>
    </row>
    <row r="882" spans="7:12" ht="15.75" customHeight="1">
      <c r="G882" s="150"/>
      <c r="L882" s="150"/>
    </row>
    <row r="883" spans="7:12" ht="15.75" customHeight="1">
      <c r="G883" s="150"/>
      <c r="L883" s="150"/>
    </row>
    <row r="884" spans="7:12" ht="15.75" customHeight="1">
      <c r="G884" s="150"/>
      <c r="L884" s="150"/>
    </row>
    <row r="885" spans="7:12" ht="15.75" customHeight="1">
      <c r="G885" s="150"/>
      <c r="L885" s="150"/>
    </row>
    <row r="886" spans="7:12" ht="15.75" customHeight="1">
      <c r="G886" s="150"/>
      <c r="L886" s="150"/>
    </row>
    <row r="887" spans="7:12" ht="15.75" customHeight="1">
      <c r="G887" s="150"/>
      <c r="L887" s="150"/>
    </row>
    <row r="888" spans="7:12" ht="15.75" customHeight="1">
      <c r="G888" s="150"/>
      <c r="L888" s="150"/>
    </row>
    <row r="889" spans="7:12" ht="15.75" customHeight="1">
      <c r="G889" s="150"/>
      <c r="L889" s="150"/>
    </row>
    <row r="890" spans="7:12" ht="15.75" customHeight="1">
      <c r="G890" s="150"/>
      <c r="L890" s="150"/>
    </row>
    <row r="891" spans="7:12" ht="15.75" customHeight="1">
      <c r="G891" s="150"/>
      <c r="L891" s="150"/>
    </row>
    <row r="892" spans="7:12" ht="15.75" customHeight="1">
      <c r="G892" s="150"/>
      <c r="L892" s="150"/>
    </row>
    <row r="893" spans="7:12" ht="15.75" customHeight="1">
      <c r="G893" s="150"/>
      <c r="L893" s="150"/>
    </row>
    <row r="894" spans="7:12" ht="15.75" customHeight="1">
      <c r="G894" s="150"/>
      <c r="L894" s="150"/>
    </row>
    <row r="895" spans="7:12" ht="15.75" customHeight="1">
      <c r="G895" s="150"/>
      <c r="L895" s="150"/>
    </row>
    <row r="896" spans="7:12" ht="15.75" customHeight="1">
      <c r="G896" s="150"/>
      <c r="L896" s="150"/>
    </row>
    <row r="897" spans="7:12" ht="15.75" customHeight="1">
      <c r="G897" s="150"/>
      <c r="L897" s="150"/>
    </row>
    <row r="898" spans="7:12" ht="15.75" customHeight="1">
      <c r="G898" s="150"/>
      <c r="L898" s="150"/>
    </row>
    <row r="899" spans="7:12" ht="15.75" customHeight="1">
      <c r="G899" s="150"/>
      <c r="L899" s="150"/>
    </row>
    <row r="900" spans="7:12" ht="15.75" customHeight="1">
      <c r="G900" s="150"/>
      <c r="L900" s="150"/>
    </row>
    <row r="901" spans="7:12" ht="15.75" customHeight="1">
      <c r="G901" s="150"/>
      <c r="L901" s="150"/>
    </row>
    <row r="902" spans="7:12" ht="15.75" customHeight="1">
      <c r="G902" s="150"/>
      <c r="L902" s="150"/>
    </row>
    <row r="903" spans="7:12" ht="15.75" customHeight="1">
      <c r="G903" s="150"/>
      <c r="L903" s="150"/>
    </row>
    <row r="904" spans="7:12" ht="15.75" customHeight="1">
      <c r="G904" s="150"/>
      <c r="L904" s="150"/>
    </row>
    <row r="905" spans="7:12" ht="15.75" customHeight="1">
      <c r="G905" s="150"/>
      <c r="L905" s="150"/>
    </row>
    <row r="906" spans="7:12" ht="15.75" customHeight="1">
      <c r="G906" s="150"/>
      <c r="L906" s="150"/>
    </row>
    <row r="907" spans="7:12" ht="15.75" customHeight="1">
      <c r="G907" s="150"/>
      <c r="L907" s="150"/>
    </row>
    <row r="908" spans="7:12" ht="15.75" customHeight="1">
      <c r="G908" s="150"/>
      <c r="L908" s="150"/>
    </row>
    <row r="909" spans="7:12" ht="15.75" customHeight="1">
      <c r="G909" s="150"/>
      <c r="L909" s="150"/>
    </row>
    <row r="910" spans="7:12" ht="15.75" customHeight="1">
      <c r="G910" s="150"/>
      <c r="L910" s="150"/>
    </row>
    <row r="911" spans="7:12" ht="15.75" customHeight="1">
      <c r="G911" s="150"/>
      <c r="L911" s="150"/>
    </row>
    <row r="912" spans="7:12" ht="15.75" customHeight="1">
      <c r="G912" s="150"/>
      <c r="L912" s="150"/>
    </row>
    <row r="913" spans="7:12" ht="15.75" customHeight="1">
      <c r="G913" s="150"/>
      <c r="L913" s="150"/>
    </row>
    <row r="914" spans="7:12" ht="15.75" customHeight="1">
      <c r="G914" s="150"/>
      <c r="L914" s="150"/>
    </row>
    <row r="915" spans="7:12" ht="15.75" customHeight="1">
      <c r="G915" s="150"/>
      <c r="L915" s="150"/>
    </row>
    <row r="916" spans="7:12" ht="15.75" customHeight="1">
      <c r="G916" s="150"/>
      <c r="L916" s="150"/>
    </row>
    <row r="917" spans="7:12" ht="15.75" customHeight="1">
      <c r="G917" s="150"/>
      <c r="L917" s="150"/>
    </row>
    <row r="918" spans="7:12" ht="15.75" customHeight="1">
      <c r="G918" s="150"/>
      <c r="L918" s="150"/>
    </row>
    <row r="919" spans="7:12" ht="15.75" customHeight="1">
      <c r="G919" s="150"/>
      <c r="L919" s="150"/>
    </row>
    <row r="920" spans="7:12" ht="15.75" customHeight="1">
      <c r="G920" s="150"/>
      <c r="L920" s="150"/>
    </row>
    <row r="921" spans="7:12" ht="15.75" customHeight="1">
      <c r="G921" s="150"/>
      <c r="L921" s="150"/>
    </row>
    <row r="922" spans="7:12" ht="15.75" customHeight="1">
      <c r="G922" s="150"/>
      <c r="L922" s="150"/>
    </row>
    <row r="923" spans="7:12" ht="15.75" customHeight="1">
      <c r="G923" s="150"/>
      <c r="L923" s="150"/>
    </row>
    <row r="924" spans="7:12" ht="15.75" customHeight="1">
      <c r="G924" s="150"/>
      <c r="L924" s="150"/>
    </row>
    <row r="925" spans="7:12" ht="15.75" customHeight="1">
      <c r="G925" s="150"/>
      <c r="L925" s="150"/>
    </row>
    <row r="926" spans="7:12" ht="15.75" customHeight="1">
      <c r="G926" s="150"/>
      <c r="L926" s="150"/>
    </row>
    <row r="927" spans="7:12" ht="15.75" customHeight="1">
      <c r="G927" s="150"/>
      <c r="L927" s="150"/>
    </row>
    <row r="928" spans="7:12" ht="15.75" customHeight="1">
      <c r="G928" s="150"/>
      <c r="L928" s="150"/>
    </row>
    <row r="929" spans="7:12" ht="15.75" customHeight="1">
      <c r="G929" s="150"/>
      <c r="L929" s="150"/>
    </row>
    <row r="930" spans="7:12" ht="15.75" customHeight="1">
      <c r="G930" s="150"/>
      <c r="L930" s="150"/>
    </row>
    <row r="931" spans="7:12" ht="15.75" customHeight="1">
      <c r="G931" s="150"/>
      <c r="L931" s="150"/>
    </row>
    <row r="932" spans="7:12" ht="15.75" customHeight="1">
      <c r="G932" s="150"/>
      <c r="L932" s="150"/>
    </row>
    <row r="933" spans="7:12" ht="15.75" customHeight="1">
      <c r="G933" s="150"/>
      <c r="L933" s="150"/>
    </row>
    <row r="934" spans="7:12" ht="15.75" customHeight="1">
      <c r="G934" s="150"/>
      <c r="L934" s="150"/>
    </row>
    <row r="935" spans="7:12" ht="15.75" customHeight="1">
      <c r="G935" s="150"/>
      <c r="L935" s="150"/>
    </row>
    <row r="936" spans="7:12" ht="15.75" customHeight="1">
      <c r="G936" s="150"/>
      <c r="L936" s="150"/>
    </row>
    <row r="937" spans="7:12" ht="15.75" customHeight="1">
      <c r="G937" s="150"/>
      <c r="L937" s="150"/>
    </row>
    <row r="938" spans="7:12" ht="15.75" customHeight="1">
      <c r="G938" s="150"/>
      <c r="L938" s="150"/>
    </row>
    <row r="939" spans="7:12" ht="15.75" customHeight="1">
      <c r="G939" s="150"/>
      <c r="L939" s="150"/>
    </row>
    <row r="940" spans="7:12" ht="15.75" customHeight="1">
      <c r="G940" s="150"/>
      <c r="L940" s="150"/>
    </row>
    <row r="941" spans="7:12" ht="15.75" customHeight="1">
      <c r="G941" s="150"/>
      <c r="L941" s="150"/>
    </row>
    <row r="942" spans="7:12" ht="15.75" customHeight="1">
      <c r="G942" s="150"/>
      <c r="L942" s="150"/>
    </row>
    <row r="943" spans="7:12" ht="15.75" customHeight="1">
      <c r="G943" s="150"/>
      <c r="L943" s="150"/>
    </row>
    <row r="944" spans="7:12" ht="15.75" customHeight="1">
      <c r="G944" s="150"/>
      <c r="L944" s="150"/>
    </row>
    <row r="945" spans="7:12" ht="15.75" customHeight="1">
      <c r="G945" s="150"/>
      <c r="L945" s="150"/>
    </row>
    <row r="946" spans="7:12" ht="15.75" customHeight="1">
      <c r="G946" s="150"/>
      <c r="L946" s="150"/>
    </row>
    <row r="947" spans="7:12" ht="15.75" customHeight="1">
      <c r="G947" s="150"/>
      <c r="L947" s="150"/>
    </row>
    <row r="948" spans="7:12" ht="15.75" customHeight="1">
      <c r="G948" s="150"/>
      <c r="L948" s="150"/>
    </row>
    <row r="949" spans="7:12" ht="15.75" customHeight="1">
      <c r="G949" s="150"/>
      <c r="L949" s="150"/>
    </row>
    <row r="950" spans="7:12" ht="15.75" customHeight="1">
      <c r="G950" s="150"/>
      <c r="L950" s="150"/>
    </row>
    <row r="951" spans="7:12" ht="15.75" customHeight="1">
      <c r="G951" s="150"/>
      <c r="L951" s="150"/>
    </row>
    <row r="952" spans="7:12" ht="15.75" customHeight="1">
      <c r="G952" s="150"/>
      <c r="L952" s="150"/>
    </row>
    <row r="953" spans="7:12" ht="15.75" customHeight="1">
      <c r="G953" s="150"/>
      <c r="L953" s="150"/>
    </row>
    <row r="954" spans="7:12" ht="15.75" customHeight="1">
      <c r="G954" s="150"/>
      <c r="L954" s="150"/>
    </row>
    <row r="955" spans="7:12" ht="15.75" customHeight="1">
      <c r="G955" s="150"/>
      <c r="L955" s="150"/>
    </row>
    <row r="956" spans="7:12" ht="15.75" customHeight="1">
      <c r="G956" s="150"/>
      <c r="L956" s="150"/>
    </row>
    <row r="957" spans="7:12" ht="15.75" customHeight="1">
      <c r="G957" s="150"/>
      <c r="L957" s="150"/>
    </row>
    <row r="958" spans="7:12" ht="15.75" customHeight="1">
      <c r="G958" s="150"/>
      <c r="L958" s="150"/>
    </row>
    <row r="959" spans="7:12" ht="15.75" customHeight="1">
      <c r="G959" s="150"/>
      <c r="L959" s="150"/>
    </row>
    <row r="960" spans="7:12" ht="15.75" customHeight="1">
      <c r="G960" s="150"/>
      <c r="L960" s="150"/>
    </row>
    <row r="961" spans="7:12" ht="15.75" customHeight="1">
      <c r="G961" s="150"/>
      <c r="L961" s="150"/>
    </row>
    <row r="962" spans="7:12" ht="15.75" customHeight="1">
      <c r="G962" s="150"/>
      <c r="L962" s="150"/>
    </row>
    <row r="963" spans="7:12" ht="15.75" customHeight="1">
      <c r="G963" s="150"/>
      <c r="L963" s="150"/>
    </row>
    <row r="964" spans="7:12" ht="15.75" customHeight="1">
      <c r="G964" s="150"/>
      <c r="L964" s="150"/>
    </row>
    <row r="965" spans="7:12" ht="15.75" customHeight="1">
      <c r="G965" s="150"/>
      <c r="L965" s="150"/>
    </row>
    <row r="966" spans="7:12" ht="15.75" customHeight="1">
      <c r="G966" s="150"/>
      <c r="L966" s="150"/>
    </row>
    <row r="967" spans="7:12" ht="15.75" customHeight="1">
      <c r="G967" s="150"/>
      <c r="L967" s="150"/>
    </row>
    <row r="968" spans="7:12" ht="15.75" customHeight="1">
      <c r="G968" s="150"/>
      <c r="L968" s="150"/>
    </row>
    <row r="969" spans="7:12" ht="15.75" customHeight="1">
      <c r="G969" s="150"/>
      <c r="L969" s="150"/>
    </row>
    <row r="970" spans="7:12" ht="15.75" customHeight="1">
      <c r="G970" s="150"/>
      <c r="L970" s="150"/>
    </row>
    <row r="971" spans="7:12" ht="15.75" customHeight="1">
      <c r="G971" s="150"/>
      <c r="L971" s="150"/>
    </row>
    <row r="972" spans="7:12" ht="15.75" customHeight="1">
      <c r="G972" s="150"/>
      <c r="L972" s="150"/>
    </row>
    <row r="973" spans="7:12" ht="15.75" customHeight="1">
      <c r="G973" s="150"/>
      <c r="L973" s="150"/>
    </row>
    <row r="974" spans="7:12" ht="15.75" customHeight="1">
      <c r="G974" s="150"/>
      <c r="L974" s="150"/>
    </row>
    <row r="975" spans="7:12" ht="15.75" customHeight="1">
      <c r="G975" s="150"/>
      <c r="L975" s="150"/>
    </row>
    <row r="976" spans="7:12" ht="15.75" customHeight="1">
      <c r="G976" s="150"/>
      <c r="L976" s="150"/>
    </row>
    <row r="977" spans="7:12" ht="15.75" customHeight="1">
      <c r="G977" s="150"/>
      <c r="L977" s="150"/>
    </row>
    <row r="978" spans="7:12" ht="15.75" customHeight="1">
      <c r="G978" s="150"/>
      <c r="L978" s="150"/>
    </row>
    <row r="979" spans="7:12" ht="15.75" customHeight="1">
      <c r="G979" s="150"/>
      <c r="L979" s="150"/>
    </row>
    <row r="980" spans="7:12" ht="15.75" customHeight="1">
      <c r="G980" s="150"/>
      <c r="L980" s="150"/>
    </row>
    <row r="981" spans="7:12" ht="15.75" customHeight="1">
      <c r="G981" s="150"/>
      <c r="L981" s="150"/>
    </row>
    <row r="982" spans="7:12" ht="15.75" customHeight="1">
      <c r="G982" s="150"/>
      <c r="L982" s="150"/>
    </row>
    <row r="983" spans="7:12" ht="15.75" customHeight="1">
      <c r="G983" s="150"/>
      <c r="L983" s="150"/>
    </row>
    <row r="984" spans="7:12" ht="15.75" customHeight="1">
      <c r="G984" s="150"/>
      <c r="L984" s="150"/>
    </row>
    <row r="985" spans="7:12" ht="15.75" customHeight="1">
      <c r="G985" s="150"/>
      <c r="L985" s="150"/>
    </row>
    <row r="986" spans="7:12" ht="15.75" customHeight="1">
      <c r="G986" s="150"/>
      <c r="L986" s="150"/>
    </row>
    <row r="987" spans="7:12" ht="15.75" customHeight="1">
      <c r="G987" s="150"/>
      <c r="L987" s="150"/>
    </row>
    <row r="988" spans="7:12" ht="15.75" customHeight="1">
      <c r="G988" s="150"/>
      <c r="L988" s="150"/>
    </row>
    <row r="989" spans="7:12" ht="15.75" customHeight="1">
      <c r="G989" s="150"/>
      <c r="L989" s="150"/>
    </row>
    <row r="990" spans="7:12" ht="15.75" customHeight="1">
      <c r="G990" s="150"/>
      <c r="L990" s="150"/>
    </row>
    <row r="991" spans="7:12" ht="15.75" customHeight="1">
      <c r="G991" s="150"/>
      <c r="L991" s="150"/>
    </row>
    <row r="992" spans="7:12" ht="15.75" customHeight="1">
      <c r="G992" s="150"/>
      <c r="L992" s="150"/>
    </row>
    <row r="993" spans="7:12" ht="15.75" customHeight="1">
      <c r="G993" s="150"/>
      <c r="L993" s="150"/>
    </row>
    <row r="994" spans="7:12" ht="15.75" customHeight="1">
      <c r="G994" s="150"/>
      <c r="L994" s="150"/>
    </row>
    <row r="995" spans="7:12" ht="15.75" customHeight="1">
      <c r="G995" s="150"/>
      <c r="L995" s="150"/>
    </row>
    <row r="996" spans="7:12" ht="15.75" customHeight="1">
      <c r="G996" s="150"/>
      <c r="L996" s="150"/>
    </row>
    <row r="997" spans="7:12" ht="15.75" customHeight="1">
      <c r="G997" s="150"/>
      <c r="L997" s="150"/>
    </row>
    <row r="998" spans="7:12" ht="15.75" customHeight="1">
      <c r="G998" s="150"/>
      <c r="L998" s="150"/>
    </row>
    <row r="999" spans="7:12" ht="15.75" customHeight="1">
      <c r="G999" s="150"/>
      <c r="L999" s="150"/>
    </row>
    <row r="1000" spans="7:12" ht="15.75" customHeight="1">
      <c r="G1000" s="150"/>
      <c r="L1000" s="150"/>
    </row>
    <row r="1001" spans="7:12" ht="15.75" customHeight="1">
      <c r="G1001" s="150"/>
      <c r="L1001" s="150"/>
    </row>
    <row r="1002" spans="7:12" ht="15.75" customHeight="1">
      <c r="G1002" s="150"/>
      <c r="L1002" s="150"/>
    </row>
    <row r="1003" spans="7:12" ht="15.75" customHeight="1">
      <c r="G1003" s="150"/>
      <c r="L1003" s="150"/>
    </row>
    <row r="1004" spans="7:12" ht="15.75" customHeight="1">
      <c r="G1004" s="150"/>
      <c r="L1004" s="150"/>
    </row>
    <row r="1005" spans="7:12" ht="15.75" customHeight="1">
      <c r="G1005" s="150"/>
      <c r="L1005" s="150"/>
    </row>
    <row r="1006" spans="7:12" ht="15.75" customHeight="1">
      <c r="G1006" s="150"/>
      <c r="L1006" s="150"/>
    </row>
    <row r="1007" spans="7:12" ht="15.75" customHeight="1">
      <c r="G1007" s="150"/>
      <c r="L1007" s="150"/>
    </row>
    <row r="1008" spans="7:12" ht="15.75" customHeight="1">
      <c r="G1008" s="150"/>
      <c r="L1008" s="150"/>
    </row>
    <row r="1009" spans="7:12" ht="15.75" customHeight="1">
      <c r="G1009" s="150"/>
      <c r="L1009" s="150"/>
    </row>
    <row r="1010" spans="7:12" ht="15.75" customHeight="1">
      <c r="G1010" s="150"/>
      <c r="L1010" s="150"/>
    </row>
  </sheetData>
  <mergeCells count="2">
    <mergeCell ref="A1:N1"/>
    <mergeCell ref="A106:M10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000"/>
  <sheetViews>
    <sheetView topLeftCell="A25" workbookViewId="0">
      <selection activeCell="A54" sqref="A54"/>
    </sheetView>
  </sheetViews>
  <sheetFormatPr baseColWidth="10" defaultColWidth="12.6640625" defaultRowHeight="15.75" customHeight="1"/>
  <sheetData>
    <row r="1" spans="1:14" ht="18">
      <c r="A1" s="352" t="s">
        <v>105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45629</v>
      </c>
      <c r="B3" s="269" t="s">
        <v>11</v>
      </c>
      <c r="C3" s="83">
        <v>170971</v>
      </c>
      <c r="D3" s="39">
        <v>171299</v>
      </c>
      <c r="E3" s="36">
        <f t="shared" ref="E3:E8" si="0">D3-C3</f>
        <v>328</v>
      </c>
      <c r="F3" s="37">
        <v>50</v>
      </c>
      <c r="G3" s="13">
        <f t="shared" ref="G3:G8" si="1">(F3/E3)*100</f>
        <v>15.24390243902439</v>
      </c>
      <c r="H3" s="125">
        <v>8494</v>
      </c>
      <c r="I3" s="126">
        <v>8845</v>
      </c>
      <c r="J3" s="39">
        <f t="shared" ref="J3:J8" si="2">I3-H3</f>
        <v>351</v>
      </c>
      <c r="K3" s="39">
        <f t="shared" ref="K3:K8" si="3">F3</f>
        <v>50</v>
      </c>
      <c r="L3" s="270">
        <f t="shared" ref="L3:L8" si="4">(K3/J3)*100</f>
        <v>14.245014245014245</v>
      </c>
      <c r="M3" s="68">
        <v>18770</v>
      </c>
      <c r="N3" s="341">
        <f t="shared" ref="N3:N8" si="5">F3*M3</f>
        <v>938500</v>
      </c>
    </row>
    <row r="4" spans="1:14" ht="16">
      <c r="A4" s="138">
        <v>45635</v>
      </c>
      <c r="B4" s="140" t="s">
        <v>11</v>
      </c>
      <c r="C4" s="83">
        <v>171299</v>
      </c>
      <c r="D4" s="83">
        <v>171669</v>
      </c>
      <c r="E4" s="11">
        <f t="shared" si="0"/>
        <v>370</v>
      </c>
      <c r="F4" s="141">
        <v>50</v>
      </c>
      <c r="G4" s="13">
        <f t="shared" si="1"/>
        <v>13.513513513513514</v>
      </c>
      <c r="H4" s="83">
        <v>8845</v>
      </c>
      <c r="I4" s="125">
        <v>9273</v>
      </c>
      <c r="J4" s="83">
        <f t="shared" si="2"/>
        <v>428</v>
      </c>
      <c r="K4" s="83">
        <f t="shared" si="3"/>
        <v>50</v>
      </c>
      <c r="L4" s="136">
        <f t="shared" si="4"/>
        <v>11.682242990654206</v>
      </c>
      <c r="M4" s="116">
        <v>18380</v>
      </c>
      <c r="N4" s="201">
        <f t="shared" si="5"/>
        <v>919000</v>
      </c>
    </row>
    <row r="5" spans="1:14" ht="16">
      <c r="A5" s="138">
        <v>45639</v>
      </c>
      <c r="B5" s="140" t="s">
        <v>11</v>
      </c>
      <c r="C5" s="83">
        <v>171669</v>
      </c>
      <c r="D5" s="83">
        <v>172012</v>
      </c>
      <c r="E5" s="11">
        <f t="shared" si="0"/>
        <v>343</v>
      </c>
      <c r="F5" s="141">
        <v>50</v>
      </c>
      <c r="G5" s="13">
        <f t="shared" si="1"/>
        <v>14.577259475218659</v>
      </c>
      <c r="H5" s="83">
        <v>9273</v>
      </c>
      <c r="I5" s="125">
        <v>9644</v>
      </c>
      <c r="J5" s="83">
        <f t="shared" si="2"/>
        <v>371</v>
      </c>
      <c r="K5" s="83">
        <f t="shared" si="3"/>
        <v>50</v>
      </c>
      <c r="L5" s="136">
        <f t="shared" si="4"/>
        <v>13.477088948787062</v>
      </c>
      <c r="M5" s="116">
        <v>18250</v>
      </c>
      <c r="N5" s="201">
        <f t="shared" si="5"/>
        <v>912500</v>
      </c>
    </row>
    <row r="6" spans="1:14" ht="16">
      <c r="A6" s="138">
        <v>45644</v>
      </c>
      <c r="B6" s="140" t="s">
        <v>11</v>
      </c>
      <c r="C6" s="83">
        <v>172012</v>
      </c>
      <c r="D6" s="83">
        <v>172389</v>
      </c>
      <c r="E6" s="11">
        <f t="shared" si="0"/>
        <v>377</v>
      </c>
      <c r="F6" s="141">
        <v>50</v>
      </c>
      <c r="G6" s="13">
        <f t="shared" si="1"/>
        <v>13.262599469496022</v>
      </c>
      <c r="H6" s="83">
        <v>9644</v>
      </c>
      <c r="I6" s="125">
        <v>10015</v>
      </c>
      <c r="J6" s="83">
        <f t="shared" si="2"/>
        <v>371</v>
      </c>
      <c r="K6" s="83">
        <f t="shared" si="3"/>
        <v>50</v>
      </c>
      <c r="L6" s="136">
        <f t="shared" si="4"/>
        <v>13.477088948787062</v>
      </c>
      <c r="M6" s="116">
        <v>18250</v>
      </c>
      <c r="N6" s="201">
        <f t="shared" si="5"/>
        <v>912500</v>
      </c>
    </row>
    <row r="7" spans="1:14" ht="16">
      <c r="A7" s="138">
        <v>45650</v>
      </c>
      <c r="B7" s="140" t="s">
        <v>11</v>
      </c>
      <c r="C7" s="83">
        <v>172389</v>
      </c>
      <c r="D7" s="83">
        <v>172738</v>
      </c>
      <c r="E7" s="11">
        <f t="shared" si="0"/>
        <v>349</v>
      </c>
      <c r="F7" s="141">
        <v>50</v>
      </c>
      <c r="G7" s="13">
        <f t="shared" si="1"/>
        <v>14.326647564469914</v>
      </c>
      <c r="H7" s="83">
        <v>10015</v>
      </c>
      <c r="I7" s="125">
        <v>10376</v>
      </c>
      <c r="J7" s="83">
        <f t="shared" si="2"/>
        <v>361</v>
      </c>
      <c r="K7" s="83">
        <f t="shared" si="3"/>
        <v>50</v>
      </c>
      <c r="L7" s="136">
        <f t="shared" si="4"/>
        <v>13.850415512465375</v>
      </c>
      <c r="M7" s="116">
        <v>18730</v>
      </c>
      <c r="N7" s="201">
        <f t="shared" si="5"/>
        <v>936500</v>
      </c>
    </row>
    <row r="8" spans="1:14" ht="16">
      <c r="A8" s="138">
        <v>45654</v>
      </c>
      <c r="B8" s="90" t="s">
        <v>11</v>
      </c>
      <c r="C8" s="83">
        <v>172738</v>
      </c>
      <c r="D8" s="83">
        <v>173098</v>
      </c>
      <c r="E8" s="11">
        <f t="shared" si="0"/>
        <v>360</v>
      </c>
      <c r="F8" s="141">
        <v>50</v>
      </c>
      <c r="G8" s="13">
        <f t="shared" si="1"/>
        <v>13.888888888888889</v>
      </c>
      <c r="H8" s="83">
        <v>10376</v>
      </c>
      <c r="I8" s="125">
        <v>10801</v>
      </c>
      <c r="J8" s="83">
        <f t="shared" si="2"/>
        <v>425</v>
      </c>
      <c r="K8" s="83">
        <f t="shared" si="3"/>
        <v>50</v>
      </c>
      <c r="L8" s="136">
        <f t="shared" si="4"/>
        <v>11.76470588235294</v>
      </c>
      <c r="M8" s="116">
        <v>18630</v>
      </c>
      <c r="N8" s="201">
        <f t="shared" si="5"/>
        <v>931500</v>
      </c>
    </row>
    <row r="9" spans="1:14" ht="16">
      <c r="A9" s="59"/>
      <c r="B9" s="60"/>
      <c r="C9" s="59"/>
      <c r="D9" s="59" t="s">
        <v>19</v>
      </c>
      <c r="E9" s="59">
        <f t="shared" ref="E9:F9" si="6">SUM(E3:E8)</f>
        <v>2127</v>
      </c>
      <c r="F9" s="59">
        <f t="shared" si="6"/>
        <v>300</v>
      </c>
      <c r="G9" s="61">
        <f>AVERAGE(G3:G8)</f>
        <v>14.13546855843523</v>
      </c>
      <c r="H9" s="59"/>
      <c r="I9" s="62"/>
      <c r="J9" s="59">
        <f t="shared" ref="J9:K9" si="7">SUM(J3:J8)</f>
        <v>2307</v>
      </c>
      <c r="K9" s="59">
        <f t="shared" si="7"/>
        <v>300</v>
      </c>
      <c r="L9" s="61">
        <f>AVERAGE(L3:L8)</f>
        <v>13.082759421343482</v>
      </c>
      <c r="M9" s="64"/>
      <c r="N9" s="345">
        <f>SUM(N3:N8)</f>
        <v>5550500</v>
      </c>
    </row>
    <row r="10" spans="1:14" ht="16">
      <c r="A10" s="66">
        <v>45629</v>
      </c>
      <c r="B10" s="269" t="s">
        <v>12</v>
      </c>
      <c r="C10" s="83">
        <v>134459</v>
      </c>
      <c r="D10" s="39">
        <v>134772</v>
      </c>
      <c r="E10" s="36">
        <f t="shared" ref="E10:E14" si="8">D10-C10</f>
        <v>313</v>
      </c>
      <c r="F10" s="37">
        <v>50</v>
      </c>
      <c r="G10" s="13">
        <f t="shared" ref="G10:G14" si="9">(F10/E10)*100</f>
        <v>15.974440894568689</v>
      </c>
      <c r="H10" s="125">
        <v>7694</v>
      </c>
      <c r="I10" s="126">
        <v>8012</v>
      </c>
      <c r="J10" s="39">
        <f t="shared" ref="J10:J14" si="10">I10-H10</f>
        <v>318</v>
      </c>
      <c r="K10" s="39">
        <f t="shared" ref="K10:K14" si="11">F10</f>
        <v>50</v>
      </c>
      <c r="L10" s="270">
        <f t="shared" ref="L10:L14" si="12">(K10/J10)*100</f>
        <v>15.723270440251572</v>
      </c>
      <c r="M10" s="68">
        <v>18770</v>
      </c>
      <c r="N10" s="341">
        <f t="shared" ref="N10:N14" si="13">F10*M10</f>
        <v>938500</v>
      </c>
    </row>
    <row r="11" spans="1:14" ht="16">
      <c r="A11" s="138">
        <v>45635</v>
      </c>
      <c r="B11" s="140" t="s">
        <v>12</v>
      </c>
      <c r="C11" s="83">
        <v>134772</v>
      </c>
      <c r="D11" s="83">
        <v>135165</v>
      </c>
      <c r="E11" s="11">
        <f t="shared" si="8"/>
        <v>393</v>
      </c>
      <c r="F11" s="141">
        <v>59</v>
      </c>
      <c r="G11" s="13">
        <f t="shared" si="9"/>
        <v>15.012722646310433</v>
      </c>
      <c r="H11" s="83">
        <v>8012</v>
      </c>
      <c r="I11" s="125">
        <v>8450</v>
      </c>
      <c r="J11" s="83">
        <f t="shared" si="10"/>
        <v>438</v>
      </c>
      <c r="K11" s="83">
        <f t="shared" si="11"/>
        <v>59</v>
      </c>
      <c r="L11" s="136">
        <f t="shared" si="12"/>
        <v>13.470319634703195</v>
      </c>
      <c r="M11" s="116">
        <v>18380</v>
      </c>
      <c r="N11" s="201">
        <f t="shared" si="13"/>
        <v>1084420</v>
      </c>
    </row>
    <row r="12" spans="1:14" ht="16">
      <c r="A12" s="138">
        <v>45640</v>
      </c>
      <c r="B12" s="140" t="s">
        <v>12</v>
      </c>
      <c r="C12" s="83">
        <v>135165</v>
      </c>
      <c r="D12" s="83">
        <v>135521</v>
      </c>
      <c r="E12" s="11">
        <f t="shared" si="8"/>
        <v>356</v>
      </c>
      <c r="F12" s="141">
        <v>55</v>
      </c>
      <c r="G12" s="13">
        <f t="shared" si="9"/>
        <v>15.44943820224719</v>
      </c>
      <c r="H12" s="83">
        <v>8450</v>
      </c>
      <c r="I12" s="125">
        <v>8889</v>
      </c>
      <c r="J12" s="83">
        <f t="shared" si="10"/>
        <v>439</v>
      </c>
      <c r="K12" s="83">
        <f t="shared" si="11"/>
        <v>55</v>
      </c>
      <c r="L12" s="136">
        <f t="shared" si="12"/>
        <v>12.52847380410023</v>
      </c>
      <c r="M12" s="116">
        <v>18250</v>
      </c>
      <c r="N12" s="201">
        <f t="shared" si="13"/>
        <v>1003750</v>
      </c>
    </row>
    <row r="13" spans="1:14" ht="16">
      <c r="A13" s="138">
        <v>45645</v>
      </c>
      <c r="B13" s="140" t="s">
        <v>12</v>
      </c>
      <c r="C13" s="83">
        <v>135521</v>
      </c>
      <c r="D13" s="83">
        <v>135914</v>
      </c>
      <c r="E13" s="11">
        <f t="shared" si="8"/>
        <v>393</v>
      </c>
      <c r="F13" s="141">
        <v>55</v>
      </c>
      <c r="G13" s="13">
        <f t="shared" si="9"/>
        <v>13.994910941475828</v>
      </c>
      <c r="H13" s="83">
        <v>8889</v>
      </c>
      <c r="I13" s="125">
        <v>9193</v>
      </c>
      <c r="J13" s="83">
        <f t="shared" si="10"/>
        <v>304</v>
      </c>
      <c r="K13" s="83">
        <f t="shared" si="11"/>
        <v>55</v>
      </c>
      <c r="L13" s="136">
        <f t="shared" si="12"/>
        <v>18.092105263157894</v>
      </c>
      <c r="M13" s="116">
        <v>18250</v>
      </c>
      <c r="N13" s="201">
        <f t="shared" si="13"/>
        <v>1003750</v>
      </c>
    </row>
    <row r="14" spans="1:14" ht="16">
      <c r="A14" s="138">
        <v>45651</v>
      </c>
      <c r="B14" s="140" t="s">
        <v>12</v>
      </c>
      <c r="C14" s="83">
        <v>135914</v>
      </c>
      <c r="D14" s="83">
        <v>136284</v>
      </c>
      <c r="E14" s="11">
        <f t="shared" si="8"/>
        <v>370</v>
      </c>
      <c r="F14" s="141">
        <v>59</v>
      </c>
      <c r="G14" s="13">
        <f t="shared" si="9"/>
        <v>15.945945945945947</v>
      </c>
      <c r="H14" s="83">
        <v>9193</v>
      </c>
      <c r="I14" s="125">
        <v>9622</v>
      </c>
      <c r="J14" s="83">
        <f t="shared" si="10"/>
        <v>429</v>
      </c>
      <c r="K14" s="83">
        <f t="shared" si="11"/>
        <v>59</v>
      </c>
      <c r="L14" s="136">
        <f t="shared" si="12"/>
        <v>13.752913752913754</v>
      </c>
      <c r="M14" s="116">
        <v>18730</v>
      </c>
      <c r="N14" s="201">
        <f t="shared" si="13"/>
        <v>1105070</v>
      </c>
    </row>
    <row r="15" spans="1:14" ht="16">
      <c r="A15" s="59"/>
      <c r="B15" s="60"/>
      <c r="C15" s="59"/>
      <c r="D15" s="59" t="s">
        <v>19</v>
      </c>
      <c r="E15" s="59">
        <f t="shared" ref="E15:F15" si="14">SUM(E10:E14)</f>
        <v>1825</v>
      </c>
      <c r="F15" s="59">
        <f t="shared" si="14"/>
        <v>278</v>
      </c>
      <c r="G15" s="61">
        <f>AVERAGE(G10:G14)</f>
        <v>15.275491726109617</v>
      </c>
      <c r="H15" s="59"/>
      <c r="I15" s="62"/>
      <c r="J15" s="59">
        <f t="shared" ref="J15:K15" si="15">SUM(J10:J14)</f>
        <v>1928</v>
      </c>
      <c r="K15" s="59">
        <f t="shared" si="15"/>
        <v>278</v>
      </c>
      <c r="L15" s="61">
        <f>AVERAGE(L10:L14)</f>
        <v>14.71341657902533</v>
      </c>
      <c r="M15" s="64"/>
      <c r="N15" s="345">
        <f>SUM(N10:N14)</f>
        <v>5135490</v>
      </c>
    </row>
    <row r="16" spans="1:14" ht="16">
      <c r="A16" s="66">
        <v>45629</v>
      </c>
      <c r="B16" s="269" t="s">
        <v>13</v>
      </c>
      <c r="C16" s="83">
        <v>152231</v>
      </c>
      <c r="D16" s="39">
        <v>152589</v>
      </c>
      <c r="E16" s="36">
        <f t="shared" ref="E16:E22" si="16">D16-C16</f>
        <v>358</v>
      </c>
      <c r="F16" s="37">
        <v>50</v>
      </c>
      <c r="G16" s="13">
        <f t="shared" ref="G16:G22" si="17">(F16/E16)*100</f>
        <v>13.966480446927374</v>
      </c>
      <c r="H16" s="125">
        <v>8000</v>
      </c>
      <c r="I16" s="126">
        <v>8381</v>
      </c>
      <c r="J16" s="39">
        <f t="shared" ref="J16:J22" si="18">I16-H16</f>
        <v>381</v>
      </c>
      <c r="K16" s="39">
        <f t="shared" ref="K16:K22" si="19">F16</f>
        <v>50</v>
      </c>
      <c r="L16" s="136">
        <f t="shared" ref="L16:L22" si="20">(K16/J16)*100</f>
        <v>13.123359580052494</v>
      </c>
      <c r="M16" s="68">
        <v>18770</v>
      </c>
      <c r="N16" s="341">
        <f t="shared" ref="N16:N22" si="21">F16*M16</f>
        <v>938500</v>
      </c>
    </row>
    <row r="17" spans="1:14" ht="16">
      <c r="A17" s="138">
        <v>45633</v>
      </c>
      <c r="B17" s="140" t="s">
        <v>13</v>
      </c>
      <c r="C17" s="39">
        <v>152589</v>
      </c>
      <c r="D17" s="83">
        <v>152950</v>
      </c>
      <c r="E17" s="11">
        <f t="shared" si="16"/>
        <v>361</v>
      </c>
      <c r="F17" s="141">
        <v>52</v>
      </c>
      <c r="G17" s="13">
        <f t="shared" si="17"/>
        <v>14.40443213296399</v>
      </c>
      <c r="H17" s="83">
        <v>8381</v>
      </c>
      <c r="I17" s="125">
        <v>8703</v>
      </c>
      <c r="J17" s="83">
        <f t="shared" si="18"/>
        <v>322</v>
      </c>
      <c r="K17" s="83">
        <f t="shared" si="19"/>
        <v>52</v>
      </c>
      <c r="L17" s="136">
        <f t="shared" si="20"/>
        <v>16.149068322981368</v>
      </c>
      <c r="M17" s="116">
        <v>18380</v>
      </c>
      <c r="N17" s="201">
        <f t="shared" si="21"/>
        <v>955760</v>
      </c>
    </row>
    <row r="18" spans="1:14" ht="16">
      <c r="A18" s="138">
        <v>45639</v>
      </c>
      <c r="B18" s="140" t="s">
        <v>13</v>
      </c>
      <c r="C18" s="83">
        <v>152950</v>
      </c>
      <c r="D18" s="83">
        <v>153310</v>
      </c>
      <c r="E18" s="11">
        <f t="shared" si="16"/>
        <v>360</v>
      </c>
      <c r="F18" s="141">
        <v>52</v>
      </c>
      <c r="G18" s="13">
        <f t="shared" si="17"/>
        <v>14.444444444444443</v>
      </c>
      <c r="H18" s="83">
        <v>8703</v>
      </c>
      <c r="I18" s="125">
        <v>9025</v>
      </c>
      <c r="J18" s="83">
        <f t="shared" si="18"/>
        <v>322</v>
      </c>
      <c r="K18" s="83">
        <f t="shared" si="19"/>
        <v>52</v>
      </c>
      <c r="L18" s="136">
        <f t="shared" si="20"/>
        <v>16.149068322981368</v>
      </c>
      <c r="M18" s="116">
        <v>18250</v>
      </c>
      <c r="N18" s="201">
        <f t="shared" si="21"/>
        <v>949000</v>
      </c>
    </row>
    <row r="19" spans="1:14" ht="16">
      <c r="A19" s="138">
        <v>45645</v>
      </c>
      <c r="B19" s="140" t="s">
        <v>13</v>
      </c>
      <c r="C19" s="83">
        <v>153310</v>
      </c>
      <c r="D19" s="83">
        <v>153714</v>
      </c>
      <c r="E19" s="11">
        <f t="shared" si="16"/>
        <v>404</v>
      </c>
      <c r="F19" s="141">
        <v>52</v>
      </c>
      <c r="G19" s="13">
        <f t="shared" si="17"/>
        <v>12.871287128712872</v>
      </c>
      <c r="H19" s="83">
        <v>9025</v>
      </c>
      <c r="I19" s="125">
        <v>9619</v>
      </c>
      <c r="J19" s="83">
        <f t="shared" si="18"/>
        <v>594</v>
      </c>
      <c r="K19" s="83">
        <f t="shared" si="19"/>
        <v>52</v>
      </c>
      <c r="L19" s="136">
        <f t="shared" si="20"/>
        <v>8.7542087542087543</v>
      </c>
      <c r="M19" s="116">
        <v>18250</v>
      </c>
      <c r="N19" s="201">
        <f t="shared" si="21"/>
        <v>949000</v>
      </c>
    </row>
    <row r="20" spans="1:14" ht="16">
      <c r="A20" s="138">
        <v>45650</v>
      </c>
      <c r="B20" s="140" t="s">
        <v>13</v>
      </c>
      <c r="C20" s="83">
        <v>153714</v>
      </c>
      <c r="D20" s="83">
        <v>154024</v>
      </c>
      <c r="E20" s="11">
        <f t="shared" si="16"/>
        <v>310</v>
      </c>
      <c r="F20" s="141">
        <v>47</v>
      </c>
      <c r="G20" s="13">
        <f t="shared" si="17"/>
        <v>15.161290322580644</v>
      </c>
      <c r="H20" s="83">
        <v>9619</v>
      </c>
      <c r="I20" s="125">
        <v>9954</v>
      </c>
      <c r="J20" s="83">
        <f t="shared" si="18"/>
        <v>335</v>
      </c>
      <c r="K20" s="83">
        <f t="shared" si="19"/>
        <v>47</v>
      </c>
      <c r="L20" s="136">
        <f t="shared" si="20"/>
        <v>14.029850746268657</v>
      </c>
      <c r="M20" s="116">
        <v>18730</v>
      </c>
      <c r="N20" s="201">
        <f t="shared" si="21"/>
        <v>880310</v>
      </c>
    </row>
    <row r="21" spans="1:14" ht="16">
      <c r="A21" s="138">
        <v>45656</v>
      </c>
      <c r="B21" s="90" t="s">
        <v>13</v>
      </c>
      <c r="C21" s="83">
        <v>154024</v>
      </c>
      <c r="D21" s="83">
        <v>154388</v>
      </c>
      <c r="E21" s="11">
        <f t="shared" si="16"/>
        <v>364</v>
      </c>
      <c r="F21" s="141">
        <v>50</v>
      </c>
      <c r="G21" s="13">
        <f t="shared" si="17"/>
        <v>13.736263736263737</v>
      </c>
      <c r="H21" s="83">
        <v>9954</v>
      </c>
      <c r="I21" s="125">
        <v>10399</v>
      </c>
      <c r="J21" s="83">
        <f t="shared" si="18"/>
        <v>445</v>
      </c>
      <c r="K21" s="83">
        <f t="shared" si="19"/>
        <v>50</v>
      </c>
      <c r="L21" s="136">
        <f t="shared" si="20"/>
        <v>11.235955056179774</v>
      </c>
      <c r="M21" s="116">
        <v>18630</v>
      </c>
      <c r="N21" s="201">
        <f t="shared" si="21"/>
        <v>931500</v>
      </c>
    </row>
    <row r="22" spans="1:14" ht="16">
      <c r="A22" s="271"/>
      <c r="B22" s="34" t="s">
        <v>13</v>
      </c>
      <c r="C22" s="134"/>
      <c r="D22" s="134"/>
      <c r="E22" s="24">
        <f t="shared" si="16"/>
        <v>0</v>
      </c>
      <c r="F22" s="143"/>
      <c r="G22" s="54" t="e">
        <f t="shared" si="17"/>
        <v>#DIV/0!</v>
      </c>
      <c r="H22" s="134"/>
      <c r="I22" s="135"/>
      <c r="J22" s="134">
        <f t="shared" si="18"/>
        <v>0</v>
      </c>
      <c r="K22" s="134">
        <f t="shared" si="19"/>
        <v>0</v>
      </c>
      <c r="L22" s="136" t="e">
        <f t="shared" si="20"/>
        <v>#DIV/0!</v>
      </c>
      <c r="M22" s="137"/>
      <c r="N22" s="336">
        <f t="shared" si="21"/>
        <v>0</v>
      </c>
    </row>
    <row r="23" spans="1:14" ht="16">
      <c r="A23" s="59"/>
      <c r="B23" s="60"/>
      <c r="C23" s="59"/>
      <c r="D23" s="59" t="s">
        <v>19</v>
      </c>
      <c r="E23" s="59">
        <f t="shared" ref="E23:F23" si="22">SUM(E16:E22)</f>
        <v>2157</v>
      </c>
      <c r="F23" s="59">
        <f t="shared" si="22"/>
        <v>303</v>
      </c>
      <c r="G23" s="61" t="e">
        <f>AVERAGE(G16:G22)</f>
        <v>#DIV/0!</v>
      </c>
      <c r="H23" s="59"/>
      <c r="I23" s="62"/>
      <c r="J23" s="59">
        <f t="shared" ref="J23:K23" si="23">SUM(J16:J22)</f>
        <v>2399</v>
      </c>
      <c r="K23" s="59">
        <f t="shared" si="23"/>
        <v>303</v>
      </c>
      <c r="L23" s="61" t="e">
        <f>AVERAGE(L16:L22)</f>
        <v>#DIV/0!</v>
      </c>
      <c r="M23" s="64"/>
      <c r="N23" s="345">
        <f>SUM(N16:N22)</f>
        <v>5604070</v>
      </c>
    </row>
    <row r="24" spans="1:14" ht="16">
      <c r="A24" s="66">
        <v>45629</v>
      </c>
      <c r="B24" s="269" t="s">
        <v>14</v>
      </c>
      <c r="C24" s="83">
        <v>153414</v>
      </c>
      <c r="D24" s="39">
        <v>153856</v>
      </c>
      <c r="E24" s="36">
        <f t="shared" ref="E24:E30" si="24">D24-C24</f>
        <v>442</v>
      </c>
      <c r="F24" s="37">
        <v>50</v>
      </c>
      <c r="G24" s="13">
        <f t="shared" ref="G24:G30" si="25">(F24/E24)*100</f>
        <v>11.312217194570136</v>
      </c>
      <c r="H24" s="125">
        <v>7955</v>
      </c>
      <c r="I24" s="126">
        <v>8386</v>
      </c>
      <c r="J24" s="39">
        <f t="shared" ref="J24:J30" si="26">I24-H24</f>
        <v>431</v>
      </c>
      <c r="K24" s="39">
        <f t="shared" ref="K24:K30" si="27">F24</f>
        <v>50</v>
      </c>
      <c r="L24" s="136">
        <f t="shared" ref="L24:L30" si="28">(K24/J24)*100</f>
        <v>11.600928074245939</v>
      </c>
      <c r="M24" s="68">
        <v>18770</v>
      </c>
      <c r="N24" s="341">
        <f t="shared" ref="N24:N30" si="29">F24*M24</f>
        <v>938500</v>
      </c>
    </row>
    <row r="25" spans="1:14" ht="16">
      <c r="A25" s="138">
        <v>45635</v>
      </c>
      <c r="B25" s="140" t="s">
        <v>14</v>
      </c>
      <c r="C25" s="83">
        <v>153856</v>
      </c>
      <c r="D25" s="83">
        <v>154298</v>
      </c>
      <c r="E25" s="11">
        <f t="shared" si="24"/>
        <v>442</v>
      </c>
      <c r="F25" s="141">
        <v>50</v>
      </c>
      <c r="G25" s="13">
        <f t="shared" si="25"/>
        <v>11.312217194570136</v>
      </c>
      <c r="H25" s="83">
        <v>8386</v>
      </c>
      <c r="I25" s="125">
        <v>8862</v>
      </c>
      <c r="J25" s="83">
        <f t="shared" si="26"/>
        <v>476</v>
      </c>
      <c r="K25" s="83">
        <f t="shared" si="27"/>
        <v>50</v>
      </c>
      <c r="L25" s="136">
        <f t="shared" si="28"/>
        <v>10.504201680672269</v>
      </c>
      <c r="M25" s="116">
        <v>18380</v>
      </c>
      <c r="N25" s="201">
        <f t="shared" si="29"/>
        <v>919000</v>
      </c>
    </row>
    <row r="26" spans="1:14" ht="16">
      <c r="A26" s="138">
        <v>45640</v>
      </c>
      <c r="B26" s="140" t="s">
        <v>14</v>
      </c>
      <c r="C26" s="83">
        <v>154298</v>
      </c>
      <c r="D26" s="83">
        <v>154738</v>
      </c>
      <c r="E26" s="11">
        <f t="shared" si="24"/>
        <v>440</v>
      </c>
      <c r="F26" s="141">
        <v>50</v>
      </c>
      <c r="G26" s="13">
        <f t="shared" si="25"/>
        <v>11.363636363636363</v>
      </c>
      <c r="H26" s="83">
        <v>8862</v>
      </c>
      <c r="I26" s="125">
        <v>9395</v>
      </c>
      <c r="J26" s="83">
        <f t="shared" si="26"/>
        <v>533</v>
      </c>
      <c r="K26" s="83">
        <f t="shared" si="27"/>
        <v>50</v>
      </c>
      <c r="L26" s="136">
        <f t="shared" si="28"/>
        <v>9.3808630393996246</v>
      </c>
      <c r="M26" s="116">
        <v>18250</v>
      </c>
      <c r="N26" s="201">
        <f t="shared" si="29"/>
        <v>912500</v>
      </c>
    </row>
    <row r="27" spans="1:14" ht="16">
      <c r="A27" s="138">
        <v>45646</v>
      </c>
      <c r="B27" s="140" t="s">
        <v>14</v>
      </c>
      <c r="C27" s="83">
        <v>154738</v>
      </c>
      <c r="D27" s="83">
        <v>155159</v>
      </c>
      <c r="E27" s="11">
        <f t="shared" si="24"/>
        <v>421</v>
      </c>
      <c r="F27" s="141">
        <v>50</v>
      </c>
      <c r="G27" s="13">
        <f t="shared" si="25"/>
        <v>11.87648456057007</v>
      </c>
      <c r="H27" s="83">
        <v>9395</v>
      </c>
      <c r="I27" s="125">
        <v>9774</v>
      </c>
      <c r="J27" s="83">
        <f t="shared" si="26"/>
        <v>379</v>
      </c>
      <c r="K27" s="83">
        <f t="shared" si="27"/>
        <v>50</v>
      </c>
      <c r="L27" s="136">
        <f t="shared" si="28"/>
        <v>13.192612137203167</v>
      </c>
      <c r="M27" s="116">
        <v>18730</v>
      </c>
      <c r="N27" s="201">
        <f t="shared" si="29"/>
        <v>936500</v>
      </c>
    </row>
    <row r="28" spans="1:14" ht="16">
      <c r="A28" s="138">
        <v>45652</v>
      </c>
      <c r="B28" s="140" t="s">
        <v>14</v>
      </c>
      <c r="C28" s="83">
        <v>155159</v>
      </c>
      <c r="D28" s="83">
        <v>155546</v>
      </c>
      <c r="E28" s="11">
        <f t="shared" si="24"/>
        <v>387</v>
      </c>
      <c r="F28" s="141">
        <v>50</v>
      </c>
      <c r="G28" s="13">
        <f t="shared" si="25"/>
        <v>12.919896640826872</v>
      </c>
      <c r="H28" s="83">
        <v>9774</v>
      </c>
      <c r="I28" s="125">
        <v>10192</v>
      </c>
      <c r="J28" s="83">
        <f t="shared" si="26"/>
        <v>418</v>
      </c>
      <c r="K28" s="83">
        <f t="shared" si="27"/>
        <v>50</v>
      </c>
      <c r="L28" s="136">
        <f t="shared" si="28"/>
        <v>11.961722488038278</v>
      </c>
      <c r="M28" s="116">
        <v>18730</v>
      </c>
      <c r="N28" s="201">
        <f t="shared" si="29"/>
        <v>936500</v>
      </c>
    </row>
    <row r="29" spans="1:14" ht="16">
      <c r="A29" s="138">
        <v>45657</v>
      </c>
      <c r="B29" s="140" t="s">
        <v>14</v>
      </c>
      <c r="C29" s="83">
        <v>155546</v>
      </c>
      <c r="D29" s="83">
        <v>155969</v>
      </c>
      <c r="E29" s="11">
        <f t="shared" si="24"/>
        <v>423</v>
      </c>
      <c r="F29" s="141">
        <v>50</v>
      </c>
      <c r="G29" s="13">
        <f t="shared" si="25"/>
        <v>11.82033096926714</v>
      </c>
      <c r="H29" s="83">
        <v>10192</v>
      </c>
      <c r="I29" s="125">
        <v>10665</v>
      </c>
      <c r="J29" s="83">
        <f t="shared" si="26"/>
        <v>473</v>
      </c>
      <c r="K29" s="83">
        <f t="shared" si="27"/>
        <v>50</v>
      </c>
      <c r="L29" s="136">
        <f t="shared" si="28"/>
        <v>10.570824524312897</v>
      </c>
      <c r="M29" s="116">
        <v>18630</v>
      </c>
      <c r="N29" s="201">
        <f t="shared" si="29"/>
        <v>931500</v>
      </c>
    </row>
    <row r="30" spans="1:14" ht="16">
      <c r="A30" s="271"/>
      <c r="B30" s="272"/>
      <c r="C30" s="134"/>
      <c r="D30" s="134"/>
      <c r="E30" s="24">
        <f t="shared" si="24"/>
        <v>0</v>
      </c>
      <c r="F30" s="143"/>
      <c r="G30" s="54" t="e">
        <f t="shared" si="25"/>
        <v>#DIV/0!</v>
      </c>
      <c r="H30" s="134"/>
      <c r="I30" s="135"/>
      <c r="J30" s="134">
        <f t="shared" si="26"/>
        <v>0</v>
      </c>
      <c r="K30" s="134">
        <f t="shared" si="27"/>
        <v>0</v>
      </c>
      <c r="L30" s="136" t="e">
        <f t="shared" si="28"/>
        <v>#DIV/0!</v>
      </c>
      <c r="M30" s="137"/>
      <c r="N30" s="336">
        <f t="shared" si="29"/>
        <v>0</v>
      </c>
    </row>
    <row r="31" spans="1:14" ht="16">
      <c r="A31" s="59"/>
      <c r="B31" s="60"/>
      <c r="C31" s="59"/>
      <c r="D31" s="59" t="s">
        <v>19</v>
      </c>
      <c r="E31" s="59">
        <f t="shared" ref="E31:F31" si="30">SUM(E24:E30)</f>
        <v>2555</v>
      </c>
      <c r="F31" s="59">
        <f t="shared" si="30"/>
        <v>300</v>
      </c>
      <c r="G31" s="61" t="e">
        <f>AVERAGE(G24:G30)</f>
        <v>#DIV/0!</v>
      </c>
      <c r="H31" s="59"/>
      <c r="I31" s="62"/>
      <c r="J31" s="59">
        <f t="shared" ref="J31:K31" si="31">SUM(J24:J30)</f>
        <v>2710</v>
      </c>
      <c r="K31" s="59">
        <f t="shared" si="31"/>
        <v>300</v>
      </c>
      <c r="L31" s="61" t="e">
        <f>AVERAGE(L24:L30)</f>
        <v>#DIV/0!</v>
      </c>
      <c r="M31" s="64"/>
      <c r="N31" s="345">
        <f>SUM(N24:N30)</f>
        <v>5574500</v>
      </c>
    </row>
    <row r="32" spans="1:14" ht="16">
      <c r="A32" s="66">
        <v>45629</v>
      </c>
      <c r="B32" s="269" t="s">
        <v>15</v>
      </c>
      <c r="C32" s="83">
        <v>140622</v>
      </c>
      <c r="D32" s="39">
        <v>140943</v>
      </c>
      <c r="E32" s="36">
        <f t="shared" ref="E32:E38" si="32">D32-C32</f>
        <v>321</v>
      </c>
      <c r="F32" s="37">
        <v>41</v>
      </c>
      <c r="G32" s="13">
        <f t="shared" ref="G32:G38" si="33">(F32/E32)*100</f>
        <v>12.772585669781931</v>
      </c>
      <c r="H32" s="125">
        <v>7969</v>
      </c>
      <c r="I32" s="126">
        <v>8339</v>
      </c>
      <c r="J32" s="39">
        <f t="shared" ref="J32:J38" si="34">I32-H32</f>
        <v>370</v>
      </c>
      <c r="K32" s="39">
        <f t="shared" ref="K32:K38" si="35">F32</f>
        <v>41</v>
      </c>
      <c r="L32" s="136">
        <f t="shared" ref="L32:L38" si="36">(K32/J32)*100</f>
        <v>11.081081081081082</v>
      </c>
      <c r="M32" s="68">
        <v>18770</v>
      </c>
      <c r="N32" s="341">
        <f t="shared" ref="N32:N38" si="37">F32*M32</f>
        <v>769570</v>
      </c>
    </row>
    <row r="33" spans="1:16" ht="16">
      <c r="A33" s="138">
        <v>45635</v>
      </c>
      <c r="B33" s="140" t="s">
        <v>15</v>
      </c>
      <c r="C33" s="83">
        <v>140943</v>
      </c>
      <c r="D33" s="83">
        <v>141283</v>
      </c>
      <c r="E33" s="11">
        <f t="shared" si="32"/>
        <v>340</v>
      </c>
      <c r="F33" s="141">
        <v>45</v>
      </c>
      <c r="G33" s="13">
        <f t="shared" si="33"/>
        <v>13.23529411764706</v>
      </c>
      <c r="H33" s="126">
        <v>8339</v>
      </c>
      <c r="I33" s="125">
        <v>8748</v>
      </c>
      <c r="J33" s="83">
        <f t="shared" si="34"/>
        <v>409</v>
      </c>
      <c r="K33" s="83">
        <f t="shared" si="35"/>
        <v>45</v>
      </c>
      <c r="L33" s="136">
        <f t="shared" si="36"/>
        <v>11.002444987775061</v>
      </c>
      <c r="M33" s="116">
        <v>18380</v>
      </c>
      <c r="N33" s="201">
        <f t="shared" si="37"/>
        <v>827100</v>
      </c>
    </row>
    <row r="34" spans="1:16" ht="16">
      <c r="A34" s="138">
        <v>45639</v>
      </c>
      <c r="B34" s="140" t="s">
        <v>15</v>
      </c>
      <c r="C34" s="83">
        <v>141283</v>
      </c>
      <c r="D34" s="83">
        <v>141591</v>
      </c>
      <c r="E34" s="11">
        <f t="shared" si="32"/>
        <v>308</v>
      </c>
      <c r="F34" s="141">
        <v>45</v>
      </c>
      <c r="G34" s="13">
        <f t="shared" si="33"/>
        <v>14.61038961038961</v>
      </c>
      <c r="H34" s="83">
        <v>8748</v>
      </c>
      <c r="I34" s="125">
        <v>9024</v>
      </c>
      <c r="J34" s="83">
        <f t="shared" si="34"/>
        <v>276</v>
      </c>
      <c r="K34" s="83">
        <f t="shared" si="35"/>
        <v>45</v>
      </c>
      <c r="L34" s="136">
        <f t="shared" si="36"/>
        <v>16.304347826086957</v>
      </c>
      <c r="M34" s="116">
        <v>18250</v>
      </c>
      <c r="N34" s="201">
        <f t="shared" si="37"/>
        <v>821250</v>
      </c>
    </row>
    <row r="35" spans="1:16" ht="16">
      <c r="A35" s="138">
        <v>45645</v>
      </c>
      <c r="B35" s="140" t="s">
        <v>15</v>
      </c>
      <c r="C35" s="83">
        <v>141591</v>
      </c>
      <c r="D35" s="83">
        <v>141905</v>
      </c>
      <c r="E35" s="11">
        <f t="shared" si="32"/>
        <v>314</v>
      </c>
      <c r="F35" s="141">
        <v>42</v>
      </c>
      <c r="G35" s="13">
        <f t="shared" si="33"/>
        <v>13.375796178343949</v>
      </c>
      <c r="H35" s="83">
        <v>9024</v>
      </c>
      <c r="I35" s="125">
        <v>9370</v>
      </c>
      <c r="J35" s="83">
        <f t="shared" si="34"/>
        <v>346</v>
      </c>
      <c r="K35" s="83">
        <f t="shared" si="35"/>
        <v>42</v>
      </c>
      <c r="L35" s="136">
        <f t="shared" si="36"/>
        <v>12.138728323699421</v>
      </c>
      <c r="M35" s="116">
        <v>18290</v>
      </c>
      <c r="N35" s="201">
        <f t="shared" si="37"/>
        <v>768180</v>
      </c>
    </row>
    <row r="36" spans="1:16" ht="16">
      <c r="A36" s="138">
        <v>45650</v>
      </c>
      <c r="B36" s="140" t="s">
        <v>15</v>
      </c>
      <c r="C36" s="83">
        <v>141905</v>
      </c>
      <c r="D36" s="83">
        <v>142231</v>
      </c>
      <c r="E36" s="11">
        <f t="shared" si="32"/>
        <v>326</v>
      </c>
      <c r="F36" s="141">
        <v>43</v>
      </c>
      <c r="G36" s="13">
        <f t="shared" si="33"/>
        <v>13.190184049079754</v>
      </c>
      <c r="H36" s="83">
        <v>9370</v>
      </c>
      <c r="I36" s="125">
        <v>9717</v>
      </c>
      <c r="J36" s="83">
        <f t="shared" si="34"/>
        <v>347</v>
      </c>
      <c r="K36" s="83">
        <f t="shared" si="35"/>
        <v>43</v>
      </c>
      <c r="L36" s="136">
        <f t="shared" si="36"/>
        <v>12.39193083573487</v>
      </c>
      <c r="M36" s="116">
        <v>18730</v>
      </c>
      <c r="N36" s="201">
        <f t="shared" si="37"/>
        <v>805390</v>
      </c>
    </row>
    <row r="37" spans="1:16" ht="16">
      <c r="A37" s="276">
        <v>45656</v>
      </c>
      <c r="B37" s="140" t="s">
        <v>15</v>
      </c>
      <c r="C37" s="83">
        <v>142231</v>
      </c>
      <c r="D37" s="83">
        <v>142577</v>
      </c>
      <c r="E37" s="11">
        <f t="shared" si="32"/>
        <v>346</v>
      </c>
      <c r="F37" s="141">
        <v>44</v>
      </c>
      <c r="G37" s="13">
        <f t="shared" si="33"/>
        <v>12.716763005780345</v>
      </c>
      <c r="H37" s="83">
        <v>9717</v>
      </c>
      <c r="I37" s="125">
        <v>10105</v>
      </c>
      <c r="J37" s="83">
        <f t="shared" si="34"/>
        <v>388</v>
      </c>
      <c r="K37" s="83">
        <f t="shared" si="35"/>
        <v>44</v>
      </c>
      <c r="L37" s="136">
        <f t="shared" si="36"/>
        <v>11.340206185567011</v>
      </c>
      <c r="M37" s="116">
        <v>18630</v>
      </c>
      <c r="N37" s="201">
        <f t="shared" si="37"/>
        <v>819720</v>
      </c>
    </row>
    <row r="38" spans="1:16" ht="16">
      <c r="A38" s="271"/>
      <c r="B38" s="272"/>
      <c r="C38" s="134"/>
      <c r="D38" s="134"/>
      <c r="E38" s="24">
        <f t="shared" si="32"/>
        <v>0</v>
      </c>
      <c r="F38" s="143"/>
      <c r="G38" s="54" t="e">
        <f t="shared" si="33"/>
        <v>#DIV/0!</v>
      </c>
      <c r="H38" s="134"/>
      <c r="I38" s="135"/>
      <c r="J38" s="134">
        <f t="shared" si="34"/>
        <v>0</v>
      </c>
      <c r="K38" s="134">
        <f t="shared" si="35"/>
        <v>0</v>
      </c>
      <c r="L38" s="136" t="e">
        <f t="shared" si="36"/>
        <v>#DIV/0!</v>
      </c>
      <c r="M38" s="137"/>
      <c r="N38" s="336">
        <f t="shared" si="37"/>
        <v>0</v>
      </c>
    </row>
    <row r="39" spans="1:16" ht="16">
      <c r="A39" s="59"/>
      <c r="B39" s="60"/>
      <c r="C39" s="59"/>
      <c r="D39" s="59" t="s">
        <v>19</v>
      </c>
      <c r="E39" s="59">
        <f t="shared" ref="E39:F39" si="38">SUM(E32:E38)</f>
        <v>1955</v>
      </c>
      <c r="F39" s="59">
        <f t="shared" si="38"/>
        <v>260</v>
      </c>
      <c r="G39" s="61" t="e">
        <f>AVERAGE(G32:G38)</f>
        <v>#DIV/0!</v>
      </c>
      <c r="H39" s="59"/>
      <c r="I39" s="62"/>
      <c r="J39" s="59">
        <f t="shared" ref="J39:K39" si="39">SUM(J32:J38)</f>
        <v>2136</v>
      </c>
      <c r="K39" s="59">
        <f t="shared" si="39"/>
        <v>260</v>
      </c>
      <c r="L39" s="61" t="e">
        <f>AVERAGE(L32:L38)</f>
        <v>#DIV/0!</v>
      </c>
      <c r="M39" s="64"/>
      <c r="N39" s="345">
        <f>SUM(N32:N38)</f>
        <v>4811210</v>
      </c>
    </row>
    <row r="40" spans="1:16" ht="16">
      <c r="A40" s="346">
        <v>45629</v>
      </c>
      <c r="B40" s="269" t="s">
        <v>16</v>
      </c>
      <c r="C40" s="83">
        <v>116719</v>
      </c>
      <c r="D40" s="39">
        <v>117031</v>
      </c>
      <c r="E40" s="36">
        <f t="shared" ref="E40:E46" si="40">D40-C40</f>
        <v>312</v>
      </c>
      <c r="F40" s="37">
        <v>50</v>
      </c>
      <c r="G40" s="13">
        <f t="shared" ref="G40:G46" si="41">(F40/E40)*100</f>
        <v>16.025641025641026</v>
      </c>
      <c r="H40" s="125">
        <v>7856</v>
      </c>
      <c r="I40" s="126">
        <v>8222</v>
      </c>
      <c r="J40" s="39">
        <f t="shared" ref="J40:J46" si="42">I40-H40</f>
        <v>366</v>
      </c>
      <c r="K40" s="39">
        <f t="shared" ref="K40:K46" si="43">F40</f>
        <v>50</v>
      </c>
      <c r="L40" s="136">
        <f t="shared" ref="L40:L46" si="44">(K40/J40)*100</f>
        <v>13.661202185792352</v>
      </c>
      <c r="M40" s="68">
        <v>18770</v>
      </c>
      <c r="N40" s="341">
        <f t="shared" ref="N40:N46" si="45">F40*M40</f>
        <v>938500</v>
      </c>
    </row>
    <row r="41" spans="1:16" ht="16">
      <c r="A41" s="138">
        <v>45633</v>
      </c>
      <c r="B41" s="140" t="s">
        <v>16</v>
      </c>
      <c r="C41" s="83">
        <v>117031</v>
      </c>
      <c r="D41" s="83">
        <v>117422</v>
      </c>
      <c r="E41" s="11">
        <f t="shared" si="40"/>
        <v>391</v>
      </c>
      <c r="F41" s="141">
        <v>51</v>
      </c>
      <c r="G41" s="13">
        <f t="shared" si="41"/>
        <v>13.043478260869565</v>
      </c>
      <c r="H41" s="83">
        <v>8222</v>
      </c>
      <c r="I41" s="125">
        <v>8628</v>
      </c>
      <c r="J41" s="83">
        <f t="shared" si="42"/>
        <v>406</v>
      </c>
      <c r="K41" s="83">
        <f t="shared" si="43"/>
        <v>51</v>
      </c>
      <c r="L41" s="136">
        <f t="shared" si="44"/>
        <v>12.561576354679804</v>
      </c>
      <c r="M41" s="116">
        <v>18380</v>
      </c>
      <c r="N41" s="201">
        <f t="shared" si="45"/>
        <v>937380</v>
      </c>
    </row>
    <row r="42" spans="1:16" ht="16">
      <c r="A42" s="138">
        <v>45644</v>
      </c>
      <c r="B42" s="140" t="s">
        <v>16</v>
      </c>
      <c r="C42" s="83">
        <v>117422</v>
      </c>
      <c r="D42" s="83">
        <v>118086</v>
      </c>
      <c r="E42" s="11">
        <f t="shared" si="40"/>
        <v>664</v>
      </c>
      <c r="F42" s="141">
        <v>49</v>
      </c>
      <c r="G42" s="13">
        <f t="shared" si="41"/>
        <v>7.3795180722891569</v>
      </c>
      <c r="H42" s="83">
        <v>8628</v>
      </c>
      <c r="I42" s="125">
        <v>9440</v>
      </c>
      <c r="J42" s="83">
        <f t="shared" si="42"/>
        <v>812</v>
      </c>
      <c r="K42" s="83">
        <f t="shared" si="43"/>
        <v>49</v>
      </c>
      <c r="L42" s="136">
        <f t="shared" si="44"/>
        <v>6.0344827586206895</v>
      </c>
      <c r="M42" s="116">
        <v>18250</v>
      </c>
      <c r="N42" s="201">
        <f t="shared" si="45"/>
        <v>894250</v>
      </c>
    </row>
    <row r="43" spans="1:16" ht="16">
      <c r="A43" s="138">
        <v>45648</v>
      </c>
      <c r="B43" s="140" t="s">
        <v>16</v>
      </c>
      <c r="C43" s="83">
        <v>118086</v>
      </c>
      <c r="D43" s="83">
        <v>118392</v>
      </c>
      <c r="E43" s="11">
        <f t="shared" si="40"/>
        <v>306</v>
      </c>
      <c r="F43" s="141">
        <v>46</v>
      </c>
      <c r="G43" s="13">
        <f t="shared" si="41"/>
        <v>15.032679738562091</v>
      </c>
      <c r="H43" s="83">
        <v>9440</v>
      </c>
      <c r="I43" s="125">
        <v>9717</v>
      </c>
      <c r="J43" s="83">
        <f t="shared" si="42"/>
        <v>277</v>
      </c>
      <c r="K43" s="83">
        <f t="shared" si="43"/>
        <v>46</v>
      </c>
      <c r="L43" s="136">
        <f t="shared" si="44"/>
        <v>16.60649819494585</v>
      </c>
      <c r="M43" s="116">
        <v>18730</v>
      </c>
      <c r="N43" s="201">
        <f t="shared" si="45"/>
        <v>861580</v>
      </c>
      <c r="P43" s="78"/>
    </row>
    <row r="44" spans="1:16" ht="16">
      <c r="A44" s="138">
        <v>45652</v>
      </c>
      <c r="B44" s="140" t="s">
        <v>16</v>
      </c>
      <c r="C44" s="83">
        <v>118392</v>
      </c>
      <c r="D44" s="83">
        <v>118707</v>
      </c>
      <c r="E44" s="11">
        <f t="shared" si="40"/>
        <v>315</v>
      </c>
      <c r="F44" s="141">
        <v>40</v>
      </c>
      <c r="G44" s="13">
        <f t="shared" si="41"/>
        <v>12.698412698412698</v>
      </c>
      <c r="H44" s="83">
        <v>9717</v>
      </c>
      <c r="I44" s="125">
        <v>10086</v>
      </c>
      <c r="J44" s="83">
        <f t="shared" si="42"/>
        <v>369</v>
      </c>
      <c r="K44" s="83">
        <f t="shared" si="43"/>
        <v>40</v>
      </c>
      <c r="L44" s="136">
        <f t="shared" si="44"/>
        <v>10.840108401084011</v>
      </c>
      <c r="M44" s="116">
        <v>18630</v>
      </c>
      <c r="N44" s="201">
        <f t="shared" si="45"/>
        <v>745200</v>
      </c>
    </row>
    <row r="45" spans="1:16" ht="16">
      <c r="A45" s="244"/>
      <c r="B45" s="90" t="s">
        <v>16</v>
      </c>
      <c r="C45" s="83"/>
      <c r="D45" s="83"/>
      <c r="E45" s="11">
        <f t="shared" si="40"/>
        <v>0</v>
      </c>
      <c r="F45" s="141"/>
      <c r="G45" s="13" t="e">
        <f t="shared" si="41"/>
        <v>#DIV/0!</v>
      </c>
      <c r="H45" s="83"/>
      <c r="I45" s="125"/>
      <c r="J45" s="83">
        <f t="shared" si="42"/>
        <v>0</v>
      </c>
      <c r="K45" s="83">
        <f t="shared" si="43"/>
        <v>0</v>
      </c>
      <c r="L45" s="136" t="e">
        <f t="shared" si="44"/>
        <v>#DIV/0!</v>
      </c>
      <c r="M45" s="116"/>
      <c r="N45" s="201">
        <f t="shared" si="45"/>
        <v>0</v>
      </c>
    </row>
    <row r="46" spans="1:16" ht="16">
      <c r="A46" s="271"/>
      <c r="B46" s="283"/>
      <c r="C46" s="134"/>
      <c r="D46" s="134"/>
      <c r="E46" s="24">
        <f t="shared" si="40"/>
        <v>0</v>
      </c>
      <c r="F46" s="143"/>
      <c r="G46" s="54" t="e">
        <f t="shared" si="41"/>
        <v>#DIV/0!</v>
      </c>
      <c r="H46" s="134">
        <v>1</v>
      </c>
      <c r="I46" s="135"/>
      <c r="J46" s="134">
        <f t="shared" si="42"/>
        <v>-1</v>
      </c>
      <c r="K46" s="134">
        <f t="shared" si="43"/>
        <v>0</v>
      </c>
      <c r="L46" s="136">
        <f t="shared" si="44"/>
        <v>0</v>
      </c>
      <c r="M46" s="137"/>
      <c r="N46" s="336">
        <f t="shared" si="45"/>
        <v>0</v>
      </c>
    </row>
    <row r="47" spans="1:16" ht="16">
      <c r="A47" s="59"/>
      <c r="B47" s="60"/>
      <c r="C47" s="59"/>
      <c r="D47" s="59" t="s">
        <v>19</v>
      </c>
      <c r="E47" s="59">
        <f t="shared" ref="E47:F47" si="46">SUM(E40:E46)</f>
        <v>1988</v>
      </c>
      <c r="F47" s="59">
        <f t="shared" si="46"/>
        <v>236</v>
      </c>
      <c r="G47" s="61" t="e">
        <f>AVERAGE(G40:G46)</f>
        <v>#DIV/0!</v>
      </c>
      <c r="H47" s="59"/>
      <c r="I47" s="62"/>
      <c r="J47" s="59">
        <f t="shared" ref="J47:K47" si="47">SUM(J40:J46)</f>
        <v>2229</v>
      </c>
      <c r="K47" s="59">
        <f t="shared" si="47"/>
        <v>236</v>
      </c>
      <c r="L47" s="61" t="e">
        <f>AVERAGE(L40:L46)</f>
        <v>#DIV/0!</v>
      </c>
      <c r="M47" s="64"/>
      <c r="N47" s="345">
        <f>SUM(N40:N46)</f>
        <v>4376910</v>
      </c>
    </row>
    <row r="48" spans="1:16" ht="16">
      <c r="A48" s="66">
        <v>45633</v>
      </c>
      <c r="B48" s="278" t="s">
        <v>18</v>
      </c>
      <c r="C48" s="83">
        <v>121741</v>
      </c>
      <c r="D48" s="39">
        <v>122141</v>
      </c>
      <c r="E48" s="36">
        <f t="shared" ref="E48:E54" si="48">D48-C48</f>
        <v>400</v>
      </c>
      <c r="F48" s="37">
        <v>52</v>
      </c>
      <c r="G48" s="13">
        <f t="shared" ref="G48:G54" si="49">(F48/E48)*100</f>
        <v>13</v>
      </c>
      <c r="H48" s="125">
        <v>8354</v>
      </c>
      <c r="I48" s="126">
        <v>8871</v>
      </c>
      <c r="J48" s="39">
        <f t="shared" ref="J48:J54" si="50">I48-H48</f>
        <v>517</v>
      </c>
      <c r="K48" s="39">
        <f t="shared" ref="K48:K54" si="51">F48</f>
        <v>52</v>
      </c>
      <c r="L48" s="136">
        <f t="shared" ref="L48:L54" si="52">(K48/J48)*100</f>
        <v>10.058027079303674</v>
      </c>
      <c r="M48" s="68">
        <v>18380</v>
      </c>
      <c r="N48" s="341">
        <f t="shared" ref="N48:N54" si="53">F48*M48</f>
        <v>955760</v>
      </c>
    </row>
    <row r="49" spans="1:14" ht="16">
      <c r="A49" s="138">
        <v>45636</v>
      </c>
      <c r="B49" s="140" t="s">
        <v>18</v>
      </c>
      <c r="C49" s="83">
        <v>122141</v>
      </c>
      <c r="D49" s="83">
        <v>122448</v>
      </c>
      <c r="E49" s="11">
        <f t="shared" si="48"/>
        <v>307</v>
      </c>
      <c r="F49" s="141">
        <v>39</v>
      </c>
      <c r="G49" s="13">
        <f t="shared" si="49"/>
        <v>12.703583061889251</v>
      </c>
      <c r="H49" s="83">
        <v>8871</v>
      </c>
      <c r="I49" s="125">
        <v>9212</v>
      </c>
      <c r="J49" s="83">
        <f t="shared" si="50"/>
        <v>341</v>
      </c>
      <c r="K49" s="83">
        <f t="shared" si="51"/>
        <v>39</v>
      </c>
      <c r="L49" s="136">
        <f t="shared" si="52"/>
        <v>11.436950146627565</v>
      </c>
      <c r="M49" s="116">
        <v>18380</v>
      </c>
      <c r="N49" s="201">
        <f t="shared" si="53"/>
        <v>716820</v>
      </c>
    </row>
    <row r="50" spans="1:14" ht="16">
      <c r="A50" s="138">
        <v>45642</v>
      </c>
      <c r="B50" s="140" t="s">
        <v>18</v>
      </c>
      <c r="C50" s="83">
        <v>122448</v>
      </c>
      <c r="D50" s="83">
        <v>122866</v>
      </c>
      <c r="E50" s="11">
        <f t="shared" si="48"/>
        <v>418</v>
      </c>
      <c r="F50" s="141">
        <v>52</v>
      </c>
      <c r="G50" s="13">
        <f t="shared" si="49"/>
        <v>12.440191387559809</v>
      </c>
      <c r="H50" s="83">
        <v>9212</v>
      </c>
      <c r="I50" s="125">
        <v>9552</v>
      </c>
      <c r="J50" s="83">
        <f t="shared" si="50"/>
        <v>340</v>
      </c>
      <c r="K50" s="83">
        <f t="shared" si="51"/>
        <v>52</v>
      </c>
      <c r="L50" s="136">
        <f t="shared" si="52"/>
        <v>15.294117647058824</v>
      </c>
      <c r="M50" s="116">
        <v>18250</v>
      </c>
      <c r="N50" s="201">
        <f t="shared" si="53"/>
        <v>949000</v>
      </c>
    </row>
    <row r="51" spans="1:14" ht="16">
      <c r="A51" s="138">
        <v>45647</v>
      </c>
      <c r="B51" s="140" t="s">
        <v>18</v>
      </c>
      <c r="C51" s="83">
        <v>122866</v>
      </c>
      <c r="D51" s="83">
        <v>123148</v>
      </c>
      <c r="E51" s="11">
        <f t="shared" si="48"/>
        <v>282</v>
      </c>
      <c r="F51" s="141">
        <v>37</v>
      </c>
      <c r="G51" s="13">
        <f t="shared" si="49"/>
        <v>13.120567375886525</v>
      </c>
      <c r="H51" s="83">
        <v>9552</v>
      </c>
      <c r="I51" s="125">
        <v>10115</v>
      </c>
      <c r="J51" s="83">
        <f t="shared" si="50"/>
        <v>563</v>
      </c>
      <c r="K51" s="83">
        <f t="shared" si="51"/>
        <v>37</v>
      </c>
      <c r="L51" s="136">
        <f t="shared" si="52"/>
        <v>6.571936056838366</v>
      </c>
      <c r="M51" s="116">
        <v>18730</v>
      </c>
      <c r="N51" s="201">
        <f t="shared" si="53"/>
        <v>693010</v>
      </c>
    </row>
    <row r="52" spans="1:14" ht="16">
      <c r="A52" s="138">
        <v>45649</v>
      </c>
      <c r="B52" s="140" t="s">
        <v>18</v>
      </c>
      <c r="C52" s="83">
        <v>123148</v>
      </c>
      <c r="D52" s="83">
        <v>123456</v>
      </c>
      <c r="E52" s="11">
        <f t="shared" si="48"/>
        <v>308</v>
      </c>
      <c r="F52" s="141">
        <v>40</v>
      </c>
      <c r="G52" s="13">
        <f t="shared" si="49"/>
        <v>12.987012987012985</v>
      </c>
      <c r="H52" s="83">
        <v>10115</v>
      </c>
      <c r="I52" s="125">
        <v>10196</v>
      </c>
      <c r="J52" s="83">
        <f t="shared" si="50"/>
        <v>81</v>
      </c>
      <c r="K52" s="83">
        <f t="shared" si="51"/>
        <v>40</v>
      </c>
      <c r="L52" s="136">
        <f t="shared" si="52"/>
        <v>49.382716049382715</v>
      </c>
      <c r="M52" s="116">
        <v>18730</v>
      </c>
      <c r="N52" s="201">
        <f t="shared" si="53"/>
        <v>749200</v>
      </c>
    </row>
    <row r="53" spans="1:14" ht="16">
      <c r="A53" s="276">
        <v>45654</v>
      </c>
      <c r="B53" s="140" t="s">
        <v>18</v>
      </c>
      <c r="C53" s="83">
        <v>123456</v>
      </c>
      <c r="D53" s="83">
        <v>123766</v>
      </c>
      <c r="E53" s="11">
        <f t="shared" si="48"/>
        <v>310</v>
      </c>
      <c r="F53" s="141">
        <v>38</v>
      </c>
      <c r="G53" s="13">
        <f t="shared" si="49"/>
        <v>12.258064516129032</v>
      </c>
      <c r="H53" s="83">
        <v>10196</v>
      </c>
      <c r="I53" s="125">
        <v>10732</v>
      </c>
      <c r="J53" s="83">
        <f t="shared" si="50"/>
        <v>536</v>
      </c>
      <c r="K53" s="83">
        <f t="shared" si="51"/>
        <v>38</v>
      </c>
      <c r="L53" s="136">
        <f t="shared" si="52"/>
        <v>7.08955223880597</v>
      </c>
      <c r="M53" s="116">
        <v>18630</v>
      </c>
      <c r="N53" s="201">
        <f t="shared" si="53"/>
        <v>707940</v>
      </c>
    </row>
    <row r="54" spans="1:14" ht="16">
      <c r="A54" s="279">
        <v>45657</v>
      </c>
      <c r="B54" s="90" t="s">
        <v>18</v>
      </c>
      <c r="C54" s="134">
        <v>123766</v>
      </c>
      <c r="D54" s="134">
        <v>124048</v>
      </c>
      <c r="E54" s="24">
        <f t="shared" si="48"/>
        <v>282</v>
      </c>
      <c r="F54" s="143">
        <v>40</v>
      </c>
      <c r="G54" s="54">
        <f t="shared" si="49"/>
        <v>14.184397163120568</v>
      </c>
      <c r="H54" s="134">
        <v>10732</v>
      </c>
      <c r="I54" s="135">
        <v>10879</v>
      </c>
      <c r="J54" s="134">
        <f t="shared" si="50"/>
        <v>147</v>
      </c>
      <c r="K54" s="134">
        <f t="shared" si="51"/>
        <v>40</v>
      </c>
      <c r="L54" s="136">
        <f t="shared" si="52"/>
        <v>27.210884353741498</v>
      </c>
      <c r="M54" s="137">
        <v>18630</v>
      </c>
      <c r="N54" s="336">
        <f t="shared" si="53"/>
        <v>745200</v>
      </c>
    </row>
    <row r="55" spans="1:14" ht="16">
      <c r="A55" s="59"/>
      <c r="B55" s="60"/>
      <c r="C55" s="59"/>
      <c r="D55" s="59" t="s">
        <v>19</v>
      </c>
      <c r="E55" s="59">
        <f t="shared" ref="E55:F55" si="54">SUM(E48:E54)</f>
        <v>2307</v>
      </c>
      <c r="F55" s="59">
        <f t="shared" si="54"/>
        <v>298</v>
      </c>
      <c r="G55" s="61">
        <f>AVERAGE(G48:G54)</f>
        <v>12.956259498799739</v>
      </c>
      <c r="H55" s="59"/>
      <c r="I55" s="62"/>
      <c r="J55" s="59">
        <f t="shared" ref="J55:K55" si="55">SUM(J48:J54)</f>
        <v>2525</v>
      </c>
      <c r="K55" s="59">
        <f t="shared" si="55"/>
        <v>298</v>
      </c>
      <c r="L55" s="61">
        <f>AVERAGE(L48:L54)</f>
        <v>18.149169081679805</v>
      </c>
      <c r="M55" s="64"/>
      <c r="N55" s="345">
        <f>SUM(N48:N54)</f>
        <v>5516930</v>
      </c>
    </row>
    <row r="56" spans="1:14" ht="16">
      <c r="A56" s="66">
        <v>45629</v>
      </c>
      <c r="B56" s="269" t="s">
        <v>20</v>
      </c>
      <c r="C56" s="83">
        <v>365769</v>
      </c>
      <c r="D56" s="39">
        <v>366474</v>
      </c>
      <c r="E56" s="36">
        <f t="shared" ref="E56:E62" si="56">D56-C56</f>
        <v>705</v>
      </c>
      <c r="F56" s="37">
        <v>95</v>
      </c>
      <c r="G56" s="13">
        <f t="shared" ref="G56:G62" si="57">(F56/E56)*100</f>
        <v>13.475177304964539</v>
      </c>
      <c r="H56" s="125">
        <v>9186</v>
      </c>
      <c r="I56" s="126">
        <v>9858</v>
      </c>
      <c r="J56" s="39">
        <f t="shared" ref="J56:J62" si="58">I56-H56</f>
        <v>672</v>
      </c>
      <c r="K56" s="39">
        <f t="shared" ref="K56:K62" si="59">F56</f>
        <v>95</v>
      </c>
      <c r="L56" s="136">
        <f t="shared" ref="L56:L62" si="60">(K56/J56)*100</f>
        <v>14.136904761904761</v>
      </c>
      <c r="M56" s="68">
        <v>18770</v>
      </c>
      <c r="N56" s="341">
        <f t="shared" ref="N56:N62" si="61">F56*M56</f>
        <v>1783150</v>
      </c>
    </row>
    <row r="57" spans="1:14" ht="16">
      <c r="A57" s="138">
        <v>45642</v>
      </c>
      <c r="B57" s="140" t="s">
        <v>20</v>
      </c>
      <c r="C57" s="83">
        <v>366474</v>
      </c>
      <c r="D57" s="83">
        <v>367276</v>
      </c>
      <c r="E57" s="11">
        <f t="shared" si="56"/>
        <v>802</v>
      </c>
      <c r="F57" s="141">
        <v>100</v>
      </c>
      <c r="G57" s="13">
        <f t="shared" si="57"/>
        <v>12.468827930174564</v>
      </c>
      <c r="H57" s="83">
        <v>9858</v>
      </c>
      <c r="I57" s="125">
        <v>10622</v>
      </c>
      <c r="J57" s="83">
        <f t="shared" si="58"/>
        <v>764</v>
      </c>
      <c r="K57" s="83">
        <f t="shared" si="59"/>
        <v>100</v>
      </c>
      <c r="L57" s="136">
        <f t="shared" si="60"/>
        <v>13.089005235602095</v>
      </c>
      <c r="M57" s="116">
        <v>18250</v>
      </c>
      <c r="N57" s="201">
        <f t="shared" si="61"/>
        <v>1825000</v>
      </c>
    </row>
    <row r="58" spans="1:14" ht="16">
      <c r="A58" s="138">
        <v>45650</v>
      </c>
      <c r="B58" s="140" t="s">
        <v>20</v>
      </c>
      <c r="C58" s="83">
        <v>367276</v>
      </c>
      <c r="D58" s="83">
        <v>368013</v>
      </c>
      <c r="E58" s="11">
        <f t="shared" si="56"/>
        <v>737</v>
      </c>
      <c r="F58" s="141">
        <v>90</v>
      </c>
      <c r="G58" s="13">
        <f t="shared" si="57"/>
        <v>12.211668928086839</v>
      </c>
      <c r="H58" s="83">
        <v>10622</v>
      </c>
      <c r="I58" s="125">
        <v>11333</v>
      </c>
      <c r="J58" s="83">
        <f t="shared" si="58"/>
        <v>711</v>
      </c>
      <c r="K58" s="83">
        <f t="shared" si="59"/>
        <v>90</v>
      </c>
      <c r="L58" s="136">
        <f t="shared" si="60"/>
        <v>12.658227848101266</v>
      </c>
      <c r="M58" s="116">
        <v>18730</v>
      </c>
      <c r="N58" s="201">
        <f t="shared" si="61"/>
        <v>1685700</v>
      </c>
    </row>
    <row r="59" spans="1:14" ht="16">
      <c r="A59" s="138"/>
      <c r="B59" s="140" t="s">
        <v>20</v>
      </c>
      <c r="C59" s="83"/>
      <c r="D59" s="83"/>
      <c r="E59" s="11">
        <f t="shared" si="56"/>
        <v>0</v>
      </c>
      <c r="F59" s="141"/>
      <c r="G59" s="13" t="e">
        <f t="shared" si="57"/>
        <v>#DIV/0!</v>
      </c>
      <c r="H59" s="83"/>
      <c r="I59" s="125"/>
      <c r="J59" s="83">
        <f t="shared" si="58"/>
        <v>0</v>
      </c>
      <c r="K59" s="83">
        <f t="shared" si="59"/>
        <v>0</v>
      </c>
      <c r="L59" s="136" t="e">
        <f t="shared" si="60"/>
        <v>#DIV/0!</v>
      </c>
      <c r="M59" s="116"/>
      <c r="N59" s="201">
        <f t="shared" si="61"/>
        <v>0</v>
      </c>
    </row>
    <row r="60" spans="1:14" ht="16">
      <c r="A60" s="138"/>
      <c r="B60" s="140" t="s">
        <v>20</v>
      </c>
      <c r="C60" s="83"/>
      <c r="D60" s="83"/>
      <c r="E60" s="11">
        <f t="shared" si="56"/>
        <v>0</v>
      </c>
      <c r="F60" s="141"/>
      <c r="G60" s="13" t="e">
        <f t="shared" si="57"/>
        <v>#DIV/0!</v>
      </c>
      <c r="H60" s="83"/>
      <c r="I60" s="125"/>
      <c r="J60" s="83">
        <f t="shared" si="58"/>
        <v>0</v>
      </c>
      <c r="K60" s="83">
        <f t="shared" si="59"/>
        <v>0</v>
      </c>
      <c r="L60" s="136" t="e">
        <f t="shared" si="60"/>
        <v>#DIV/0!</v>
      </c>
      <c r="M60" s="116"/>
      <c r="N60" s="201">
        <f t="shared" si="61"/>
        <v>0</v>
      </c>
    </row>
    <row r="61" spans="1:14" ht="16">
      <c r="A61" s="244"/>
      <c r="B61" s="90" t="s">
        <v>20</v>
      </c>
      <c r="C61" s="83"/>
      <c r="D61" s="83"/>
      <c r="E61" s="11">
        <f t="shared" si="56"/>
        <v>0</v>
      </c>
      <c r="F61" s="141"/>
      <c r="G61" s="13" t="e">
        <f t="shared" si="57"/>
        <v>#DIV/0!</v>
      </c>
      <c r="H61" s="83"/>
      <c r="I61" s="125"/>
      <c r="J61" s="83">
        <f t="shared" si="58"/>
        <v>0</v>
      </c>
      <c r="K61" s="83">
        <f t="shared" si="59"/>
        <v>0</v>
      </c>
      <c r="L61" s="136" t="e">
        <f t="shared" si="60"/>
        <v>#DIV/0!</v>
      </c>
      <c r="M61" s="116"/>
      <c r="N61" s="201">
        <f t="shared" si="61"/>
        <v>0</v>
      </c>
    </row>
    <row r="62" spans="1:14" ht="16">
      <c r="A62" s="271"/>
      <c r="B62" s="283"/>
      <c r="C62" s="134"/>
      <c r="D62" s="134"/>
      <c r="E62" s="24">
        <f t="shared" si="56"/>
        <v>0</v>
      </c>
      <c r="F62" s="143"/>
      <c r="G62" s="54" t="e">
        <f t="shared" si="57"/>
        <v>#DIV/0!</v>
      </c>
      <c r="H62" s="134"/>
      <c r="I62" s="135"/>
      <c r="J62" s="134">
        <f t="shared" si="58"/>
        <v>0</v>
      </c>
      <c r="K62" s="134">
        <f t="shared" si="59"/>
        <v>0</v>
      </c>
      <c r="L62" s="136" t="e">
        <f t="shared" si="60"/>
        <v>#DIV/0!</v>
      </c>
      <c r="M62" s="137"/>
      <c r="N62" s="336">
        <f t="shared" si="61"/>
        <v>0</v>
      </c>
    </row>
    <row r="63" spans="1:14" ht="16">
      <c r="A63" s="59"/>
      <c r="B63" s="60"/>
      <c r="C63" s="59"/>
      <c r="D63" s="59" t="s">
        <v>19</v>
      </c>
      <c r="E63" s="59">
        <f t="shared" ref="E63:F63" si="62">SUM(E56:E62)</f>
        <v>2244</v>
      </c>
      <c r="F63" s="59">
        <f t="shared" si="62"/>
        <v>285</v>
      </c>
      <c r="G63" s="61" t="e">
        <f>AVERAGE(G56:G62)</f>
        <v>#DIV/0!</v>
      </c>
      <c r="H63" s="59"/>
      <c r="I63" s="62"/>
      <c r="J63" s="59">
        <f t="shared" ref="J63:K63" si="63">SUM(J56:J62)</f>
        <v>2147</v>
      </c>
      <c r="K63" s="59">
        <f t="shared" si="63"/>
        <v>285</v>
      </c>
      <c r="L63" s="61" t="e">
        <f>AVERAGE(L56:L62)</f>
        <v>#DIV/0!</v>
      </c>
      <c r="M63" s="64"/>
      <c r="N63" s="345">
        <f>SUM(N56:N62)</f>
        <v>5293850</v>
      </c>
    </row>
    <row r="64" spans="1:14" ht="16">
      <c r="A64" s="66">
        <v>45628</v>
      </c>
      <c r="B64" s="269" t="s">
        <v>21</v>
      </c>
      <c r="C64" s="83">
        <v>347392</v>
      </c>
      <c r="D64" s="39">
        <v>348006</v>
      </c>
      <c r="E64" s="36">
        <f t="shared" ref="E64:E70" si="64">D64-C64</f>
        <v>614</v>
      </c>
      <c r="F64" s="37">
        <v>75</v>
      </c>
      <c r="G64" s="13">
        <f t="shared" ref="G64:G70" si="65">(F64/E64)*100</f>
        <v>12.214983713355048</v>
      </c>
      <c r="H64" s="39">
        <v>8427</v>
      </c>
      <c r="I64" s="125">
        <v>9035</v>
      </c>
      <c r="J64" s="39">
        <f t="shared" ref="J64:J70" si="66">I64-H64</f>
        <v>608</v>
      </c>
      <c r="K64" s="39">
        <f t="shared" ref="K64:K70" si="67">F64</f>
        <v>75</v>
      </c>
      <c r="L64" s="136">
        <f t="shared" ref="L64:L70" si="68">(K64/J64)*100</f>
        <v>12.335526315789473</v>
      </c>
      <c r="M64" s="68">
        <v>18770</v>
      </c>
      <c r="N64" s="341">
        <f t="shared" ref="N64:N70" si="69">F64*M64</f>
        <v>1407750</v>
      </c>
    </row>
    <row r="65" spans="1:14" ht="16">
      <c r="A65" s="138">
        <v>45637</v>
      </c>
      <c r="B65" s="140" t="s">
        <v>21</v>
      </c>
      <c r="C65" s="83">
        <v>348006</v>
      </c>
      <c r="D65" s="83">
        <v>348450</v>
      </c>
      <c r="E65" s="11">
        <f t="shared" si="64"/>
        <v>444</v>
      </c>
      <c r="F65" s="141">
        <v>63</v>
      </c>
      <c r="G65" s="13">
        <f t="shared" si="65"/>
        <v>14.189189189189189</v>
      </c>
      <c r="H65" s="83">
        <v>9035</v>
      </c>
      <c r="I65" s="125">
        <v>9596</v>
      </c>
      <c r="J65" s="83">
        <f t="shared" si="66"/>
        <v>561</v>
      </c>
      <c r="K65" s="83">
        <f t="shared" si="67"/>
        <v>63</v>
      </c>
      <c r="L65" s="136">
        <f t="shared" si="68"/>
        <v>11.229946524064172</v>
      </c>
      <c r="M65" s="116">
        <v>18380</v>
      </c>
      <c r="N65" s="201">
        <f t="shared" si="69"/>
        <v>1157940</v>
      </c>
    </row>
    <row r="66" spans="1:14" ht="16">
      <c r="A66" s="138">
        <v>45646</v>
      </c>
      <c r="B66" s="140" t="s">
        <v>21</v>
      </c>
      <c r="C66" s="83">
        <v>348450</v>
      </c>
      <c r="D66" s="83">
        <v>349339</v>
      </c>
      <c r="E66" s="11">
        <f t="shared" si="64"/>
        <v>889</v>
      </c>
      <c r="F66" s="141">
        <v>78</v>
      </c>
      <c r="G66" s="13">
        <f t="shared" si="65"/>
        <v>8.7739032620922384</v>
      </c>
      <c r="H66" s="83">
        <v>9596</v>
      </c>
      <c r="I66" s="125">
        <v>10348</v>
      </c>
      <c r="J66" s="83">
        <f t="shared" si="66"/>
        <v>752</v>
      </c>
      <c r="K66" s="83">
        <f t="shared" si="67"/>
        <v>78</v>
      </c>
      <c r="L66" s="136">
        <f t="shared" si="68"/>
        <v>10.372340425531915</v>
      </c>
      <c r="M66" s="116">
        <v>18730</v>
      </c>
      <c r="N66" s="201">
        <f t="shared" si="69"/>
        <v>1460940</v>
      </c>
    </row>
    <row r="67" spans="1:14" ht="16">
      <c r="A67" s="138">
        <v>45651</v>
      </c>
      <c r="B67" s="140" t="s">
        <v>21</v>
      </c>
      <c r="C67" s="83">
        <v>349339</v>
      </c>
      <c r="D67" s="83">
        <v>349832</v>
      </c>
      <c r="E67" s="11">
        <f t="shared" si="64"/>
        <v>493</v>
      </c>
      <c r="F67" s="141">
        <v>70</v>
      </c>
      <c r="G67" s="13">
        <f t="shared" si="65"/>
        <v>14.198782961460447</v>
      </c>
      <c r="H67" s="83">
        <v>10348</v>
      </c>
      <c r="I67" s="125">
        <v>11110</v>
      </c>
      <c r="J67" s="83">
        <f t="shared" si="66"/>
        <v>762</v>
      </c>
      <c r="K67" s="83">
        <f t="shared" si="67"/>
        <v>70</v>
      </c>
      <c r="L67" s="136">
        <f t="shared" si="68"/>
        <v>9.1863517060367457</v>
      </c>
      <c r="M67" s="116">
        <v>18730</v>
      </c>
      <c r="N67" s="201">
        <f t="shared" si="69"/>
        <v>1311100</v>
      </c>
    </row>
    <row r="68" spans="1:14" ht="16">
      <c r="A68" s="138"/>
      <c r="B68" s="140" t="s">
        <v>21</v>
      </c>
      <c r="C68" s="83"/>
      <c r="D68" s="83"/>
      <c r="E68" s="11">
        <f t="shared" si="64"/>
        <v>0</v>
      </c>
      <c r="F68" s="141"/>
      <c r="G68" s="13" t="e">
        <f t="shared" si="65"/>
        <v>#DIV/0!</v>
      </c>
      <c r="H68" s="83"/>
      <c r="I68" s="125"/>
      <c r="J68" s="83">
        <f t="shared" si="66"/>
        <v>0</v>
      </c>
      <c r="K68" s="83">
        <f t="shared" si="67"/>
        <v>0</v>
      </c>
      <c r="L68" s="136" t="e">
        <f t="shared" si="68"/>
        <v>#DIV/0!</v>
      </c>
      <c r="M68" s="116"/>
      <c r="N68" s="201">
        <f t="shared" si="69"/>
        <v>0</v>
      </c>
    </row>
    <row r="69" spans="1:14" ht="16">
      <c r="A69" s="244"/>
      <c r="B69" s="90"/>
      <c r="C69" s="83"/>
      <c r="D69" s="83"/>
      <c r="E69" s="11">
        <f t="shared" si="64"/>
        <v>0</v>
      </c>
      <c r="F69" s="141"/>
      <c r="G69" s="13" t="e">
        <f t="shared" si="65"/>
        <v>#DIV/0!</v>
      </c>
      <c r="H69" s="83"/>
      <c r="I69" s="125"/>
      <c r="J69" s="83">
        <f t="shared" si="66"/>
        <v>0</v>
      </c>
      <c r="K69" s="83">
        <f t="shared" si="67"/>
        <v>0</v>
      </c>
      <c r="L69" s="136" t="e">
        <f t="shared" si="68"/>
        <v>#DIV/0!</v>
      </c>
      <c r="M69" s="116"/>
      <c r="N69" s="201">
        <f t="shared" si="69"/>
        <v>0</v>
      </c>
    </row>
    <row r="70" spans="1:14" ht="16">
      <c r="A70" s="271"/>
      <c r="B70" s="283"/>
      <c r="C70" s="134"/>
      <c r="D70" s="134"/>
      <c r="E70" s="24">
        <f t="shared" si="64"/>
        <v>0</v>
      </c>
      <c r="F70" s="143"/>
      <c r="G70" s="54" t="e">
        <f t="shared" si="65"/>
        <v>#DIV/0!</v>
      </c>
      <c r="H70" s="134">
        <v>1</v>
      </c>
      <c r="I70" s="135"/>
      <c r="J70" s="134">
        <f t="shared" si="66"/>
        <v>-1</v>
      </c>
      <c r="K70" s="134">
        <f t="shared" si="67"/>
        <v>0</v>
      </c>
      <c r="L70" s="136">
        <f t="shared" si="68"/>
        <v>0</v>
      </c>
      <c r="M70" s="137"/>
      <c r="N70" s="336">
        <f t="shared" si="69"/>
        <v>0</v>
      </c>
    </row>
    <row r="71" spans="1:14" ht="16">
      <c r="A71" s="59"/>
      <c r="B71" s="60"/>
      <c r="C71" s="59"/>
      <c r="D71" s="59" t="s">
        <v>19</v>
      </c>
      <c r="E71" s="59">
        <f t="shared" ref="E71:F71" si="70">SUM(E64:E70)</f>
        <v>2440</v>
      </c>
      <c r="F71" s="59">
        <f t="shared" si="70"/>
        <v>286</v>
      </c>
      <c r="G71" s="61" t="e">
        <f>AVERAGE(G64:G70)</f>
        <v>#DIV/0!</v>
      </c>
      <c r="H71" s="59"/>
      <c r="I71" s="62"/>
      <c r="J71" s="59">
        <f t="shared" ref="J71:K71" si="71">SUM(J64:J70)</f>
        <v>2682</v>
      </c>
      <c r="K71" s="59">
        <f t="shared" si="71"/>
        <v>286</v>
      </c>
      <c r="L71" s="61" t="e">
        <f>AVERAGE(L64:L70)</f>
        <v>#DIV/0!</v>
      </c>
      <c r="M71" s="64"/>
      <c r="N71" s="345">
        <f>SUM(N64:N70)</f>
        <v>5337730</v>
      </c>
    </row>
    <row r="72" spans="1:14" ht="16">
      <c r="A72" s="66">
        <v>45633</v>
      </c>
      <c r="B72" s="278" t="s">
        <v>98</v>
      </c>
      <c r="C72" s="83">
        <v>182379</v>
      </c>
      <c r="D72" s="39">
        <v>182997</v>
      </c>
      <c r="E72" s="36">
        <f t="shared" ref="E72:E78" si="72">D72-C72</f>
        <v>618</v>
      </c>
      <c r="F72" s="37">
        <v>72</v>
      </c>
      <c r="G72" s="13">
        <f t="shared" ref="G72:G78" si="73">(F72/E72)*100</f>
        <v>11.650485436893204</v>
      </c>
      <c r="H72" s="125">
        <v>11996</v>
      </c>
      <c r="I72" s="126">
        <v>12600</v>
      </c>
      <c r="J72" s="39">
        <f t="shared" ref="J72:J78" si="74">I72-H72</f>
        <v>604</v>
      </c>
      <c r="K72" s="39">
        <f t="shared" ref="K72:K78" si="75">F72</f>
        <v>72</v>
      </c>
      <c r="L72" s="136">
        <f t="shared" ref="L72:L78" si="76">(K72/J72)*100</f>
        <v>11.920529801324504</v>
      </c>
      <c r="M72" s="68">
        <v>18380</v>
      </c>
      <c r="N72" s="341">
        <f t="shared" ref="N72:N78" si="77">F72*M72</f>
        <v>1323360</v>
      </c>
    </row>
    <row r="73" spans="1:14" ht="16">
      <c r="A73" s="138">
        <v>45639</v>
      </c>
      <c r="B73" s="140" t="s">
        <v>98</v>
      </c>
      <c r="C73" s="83">
        <v>182997</v>
      </c>
      <c r="D73" s="83">
        <v>183604</v>
      </c>
      <c r="E73" s="11">
        <f t="shared" si="72"/>
        <v>607</v>
      </c>
      <c r="F73" s="141">
        <v>75</v>
      </c>
      <c r="G73" s="13">
        <f t="shared" si="73"/>
        <v>12.355848434925864</v>
      </c>
      <c r="H73" s="83">
        <v>12600</v>
      </c>
      <c r="I73" s="125">
        <v>13221</v>
      </c>
      <c r="J73" s="83">
        <f t="shared" si="74"/>
        <v>621</v>
      </c>
      <c r="K73" s="83">
        <f t="shared" si="75"/>
        <v>75</v>
      </c>
      <c r="L73" s="136">
        <f t="shared" si="76"/>
        <v>12.077294685990339</v>
      </c>
      <c r="M73" s="116">
        <v>18250</v>
      </c>
      <c r="N73" s="201">
        <f t="shared" si="77"/>
        <v>1368750</v>
      </c>
    </row>
    <row r="74" spans="1:14" ht="16">
      <c r="A74" s="138">
        <v>45645</v>
      </c>
      <c r="B74" s="140" t="s">
        <v>98</v>
      </c>
      <c r="C74" s="83">
        <v>183604</v>
      </c>
      <c r="D74" s="83">
        <v>184192</v>
      </c>
      <c r="E74" s="11">
        <f t="shared" si="72"/>
        <v>588</v>
      </c>
      <c r="F74" s="141">
        <v>69</v>
      </c>
      <c r="G74" s="13">
        <f t="shared" si="73"/>
        <v>11.73469387755102</v>
      </c>
      <c r="H74" s="83">
        <v>12600</v>
      </c>
      <c r="I74" s="125">
        <v>13807</v>
      </c>
      <c r="J74" s="83">
        <f t="shared" si="74"/>
        <v>1207</v>
      </c>
      <c r="K74" s="83">
        <f t="shared" si="75"/>
        <v>69</v>
      </c>
      <c r="L74" s="136">
        <f t="shared" si="76"/>
        <v>5.7166528583264293</v>
      </c>
      <c r="M74" s="116">
        <v>18250</v>
      </c>
      <c r="N74" s="201">
        <f t="shared" si="77"/>
        <v>1259250</v>
      </c>
    </row>
    <row r="75" spans="1:14" ht="16">
      <c r="A75" s="138">
        <v>45650</v>
      </c>
      <c r="B75" s="140" t="s">
        <v>98</v>
      </c>
      <c r="C75" s="83">
        <v>184192</v>
      </c>
      <c r="D75" s="83">
        <v>184832</v>
      </c>
      <c r="E75" s="11">
        <f t="shared" si="72"/>
        <v>640</v>
      </c>
      <c r="F75" s="141">
        <v>72</v>
      </c>
      <c r="G75" s="13">
        <f t="shared" si="73"/>
        <v>11.25</v>
      </c>
      <c r="H75" s="83">
        <v>13807</v>
      </c>
      <c r="I75" s="125">
        <v>14415</v>
      </c>
      <c r="J75" s="83">
        <f t="shared" si="74"/>
        <v>608</v>
      </c>
      <c r="K75" s="83">
        <f t="shared" si="75"/>
        <v>72</v>
      </c>
      <c r="L75" s="136">
        <f t="shared" si="76"/>
        <v>11.842105263157894</v>
      </c>
      <c r="M75" s="116">
        <v>18730</v>
      </c>
      <c r="N75" s="201">
        <f t="shared" si="77"/>
        <v>1348560</v>
      </c>
    </row>
    <row r="76" spans="1:14" ht="16">
      <c r="A76" s="138">
        <v>45656</v>
      </c>
      <c r="B76" s="140" t="s">
        <v>98</v>
      </c>
      <c r="C76" s="83">
        <v>184832</v>
      </c>
      <c r="D76" s="83">
        <v>184832</v>
      </c>
      <c r="E76" s="11">
        <f t="shared" si="72"/>
        <v>0</v>
      </c>
      <c r="F76" s="141">
        <v>72</v>
      </c>
      <c r="G76" s="13" t="e">
        <f t="shared" si="73"/>
        <v>#DIV/0!</v>
      </c>
      <c r="H76" s="83">
        <v>14415</v>
      </c>
      <c r="I76" s="125">
        <v>14930</v>
      </c>
      <c r="J76" s="83">
        <f t="shared" si="74"/>
        <v>515</v>
      </c>
      <c r="K76" s="83">
        <f t="shared" si="75"/>
        <v>72</v>
      </c>
      <c r="L76" s="136">
        <f t="shared" si="76"/>
        <v>13.980582524271846</v>
      </c>
      <c r="M76" s="116">
        <v>18630</v>
      </c>
      <c r="N76" s="201">
        <f t="shared" si="77"/>
        <v>1341360</v>
      </c>
    </row>
    <row r="77" spans="1:14" ht="16">
      <c r="A77" s="244"/>
      <c r="B77" s="140" t="s">
        <v>98</v>
      </c>
      <c r="C77" s="83"/>
      <c r="D77" s="83"/>
      <c r="E77" s="11">
        <f t="shared" si="72"/>
        <v>0</v>
      </c>
      <c r="F77" s="141"/>
      <c r="G77" s="13" t="e">
        <f t="shared" si="73"/>
        <v>#DIV/0!</v>
      </c>
      <c r="H77" s="83"/>
      <c r="I77" s="125"/>
      <c r="J77" s="83">
        <f t="shared" si="74"/>
        <v>0</v>
      </c>
      <c r="K77" s="83">
        <f t="shared" si="75"/>
        <v>0</v>
      </c>
      <c r="L77" s="136" t="e">
        <f t="shared" si="76"/>
        <v>#DIV/0!</v>
      </c>
      <c r="M77" s="116"/>
      <c r="N77" s="201">
        <f t="shared" si="77"/>
        <v>0</v>
      </c>
    </row>
    <row r="78" spans="1:14" ht="16">
      <c r="A78" s="271"/>
      <c r="B78" s="272"/>
      <c r="C78" s="134"/>
      <c r="D78" s="134"/>
      <c r="E78" s="24">
        <f t="shared" si="72"/>
        <v>0</v>
      </c>
      <c r="F78" s="143"/>
      <c r="G78" s="54" t="e">
        <f t="shared" si="73"/>
        <v>#DIV/0!</v>
      </c>
      <c r="H78" s="134">
        <v>1</v>
      </c>
      <c r="I78" s="135"/>
      <c r="J78" s="134">
        <f t="shared" si="74"/>
        <v>-1</v>
      </c>
      <c r="K78" s="134">
        <f t="shared" si="75"/>
        <v>0</v>
      </c>
      <c r="L78" s="136">
        <f t="shared" si="76"/>
        <v>0</v>
      </c>
      <c r="M78" s="137"/>
      <c r="N78" s="336">
        <f t="shared" si="77"/>
        <v>0</v>
      </c>
    </row>
    <row r="79" spans="1:14" ht="16">
      <c r="A79" s="59"/>
      <c r="B79" s="60"/>
      <c r="C79" s="59"/>
      <c r="D79" s="59" t="s">
        <v>19</v>
      </c>
      <c r="E79" s="59">
        <f t="shared" ref="E79:F79" si="78">SUM(E72:E78)</f>
        <v>2453</v>
      </c>
      <c r="F79" s="59">
        <f t="shared" si="78"/>
        <v>360</v>
      </c>
      <c r="G79" s="61" t="e">
        <f>AVERAGE(G72:G78)</f>
        <v>#DIV/0!</v>
      </c>
      <c r="H79" s="59"/>
      <c r="I79" s="62"/>
      <c r="J79" s="59">
        <f t="shared" ref="J79:K79" si="79">SUM(J72:J78)</f>
        <v>3554</v>
      </c>
      <c r="K79" s="59">
        <f t="shared" si="79"/>
        <v>360</v>
      </c>
      <c r="L79" s="61" t="e">
        <f>AVERAGE(L72:L78)</f>
        <v>#DIV/0!</v>
      </c>
      <c r="M79" s="64"/>
      <c r="N79" s="345">
        <f>SUM(N72:N78)</f>
        <v>6641280</v>
      </c>
    </row>
    <row r="80" spans="1:14" ht="16">
      <c r="A80" s="66">
        <v>45635</v>
      </c>
      <c r="B80" s="269" t="s">
        <v>38</v>
      </c>
      <c r="C80" s="39">
        <v>134435</v>
      </c>
      <c r="D80" s="39">
        <v>135553</v>
      </c>
      <c r="E80" s="36">
        <f t="shared" ref="E80:E86" si="80">D80-C80</f>
        <v>1118</v>
      </c>
      <c r="F80" s="37">
        <v>70</v>
      </c>
      <c r="G80" s="13">
        <f t="shared" ref="G80:G86" si="81">(F80/E80)*100</f>
        <v>6.2611806797853307</v>
      </c>
      <c r="H80" s="126">
        <v>8342</v>
      </c>
      <c r="I80" s="126">
        <v>9474</v>
      </c>
      <c r="J80" s="39">
        <f t="shared" ref="J80:J86" si="82">I80-H80</f>
        <v>1132</v>
      </c>
      <c r="K80" s="39">
        <f t="shared" ref="K80:K86" si="83">F80</f>
        <v>70</v>
      </c>
      <c r="L80" s="136">
        <f t="shared" ref="L80:L86" si="84">(K80/J80)*100</f>
        <v>6.1837455830388697</v>
      </c>
      <c r="M80" s="68">
        <v>18380</v>
      </c>
      <c r="N80" s="341">
        <f t="shared" ref="N80:N86" si="85">F80*M80</f>
        <v>1286600</v>
      </c>
    </row>
    <row r="81" spans="1:14" ht="16">
      <c r="A81" s="138">
        <v>45640</v>
      </c>
      <c r="B81" s="140" t="s">
        <v>38</v>
      </c>
      <c r="C81" s="83">
        <v>135553</v>
      </c>
      <c r="D81" s="83">
        <v>136285</v>
      </c>
      <c r="E81" s="11">
        <f t="shared" si="80"/>
        <v>732</v>
      </c>
      <c r="F81" s="141">
        <v>78</v>
      </c>
      <c r="G81" s="13">
        <f t="shared" si="81"/>
        <v>10.655737704918032</v>
      </c>
      <c r="H81" s="83">
        <v>9474</v>
      </c>
      <c r="I81" s="125">
        <v>10149</v>
      </c>
      <c r="J81" s="83">
        <f t="shared" si="82"/>
        <v>675</v>
      </c>
      <c r="K81" s="83">
        <f t="shared" si="83"/>
        <v>78</v>
      </c>
      <c r="L81" s="136">
        <f t="shared" si="84"/>
        <v>11.555555555555555</v>
      </c>
      <c r="M81" s="116">
        <v>18250</v>
      </c>
      <c r="N81" s="201">
        <f t="shared" si="85"/>
        <v>1423500</v>
      </c>
    </row>
    <row r="82" spans="1:14" ht="16">
      <c r="A82" s="138">
        <v>45646</v>
      </c>
      <c r="B82" s="140" t="s">
        <v>38</v>
      </c>
      <c r="C82" s="83">
        <v>136285</v>
      </c>
      <c r="D82" s="83">
        <v>136948</v>
      </c>
      <c r="E82" s="11">
        <f t="shared" si="80"/>
        <v>663</v>
      </c>
      <c r="F82" s="141">
        <v>77</v>
      </c>
      <c r="G82" s="13">
        <f t="shared" si="81"/>
        <v>11.613876319758672</v>
      </c>
      <c r="H82" s="83">
        <v>10149</v>
      </c>
      <c r="I82" s="125">
        <v>10841</v>
      </c>
      <c r="J82" s="83">
        <f t="shared" si="82"/>
        <v>692</v>
      </c>
      <c r="K82" s="83">
        <f t="shared" si="83"/>
        <v>77</v>
      </c>
      <c r="L82" s="136">
        <f t="shared" si="84"/>
        <v>11.127167630057803</v>
      </c>
      <c r="M82" s="116">
        <v>18730</v>
      </c>
      <c r="N82" s="201">
        <f t="shared" si="85"/>
        <v>1442210</v>
      </c>
    </row>
    <row r="83" spans="1:14" ht="16">
      <c r="A83" s="138"/>
      <c r="B83" s="140"/>
      <c r="C83" s="83"/>
      <c r="D83" s="83"/>
      <c r="E83" s="11">
        <f t="shared" si="80"/>
        <v>0</v>
      </c>
      <c r="F83" s="141"/>
      <c r="G83" s="13" t="e">
        <f t="shared" si="81"/>
        <v>#DIV/0!</v>
      </c>
      <c r="H83" s="83"/>
      <c r="I83" s="125"/>
      <c r="J83" s="83">
        <f t="shared" si="82"/>
        <v>0</v>
      </c>
      <c r="K83" s="83">
        <f t="shared" si="83"/>
        <v>0</v>
      </c>
      <c r="L83" s="136" t="e">
        <f t="shared" si="84"/>
        <v>#DIV/0!</v>
      </c>
      <c r="M83" s="116"/>
      <c r="N83" s="201">
        <f t="shared" si="85"/>
        <v>0</v>
      </c>
    </row>
    <row r="84" spans="1:14" ht="16">
      <c r="A84" s="138"/>
      <c r="B84" s="140"/>
      <c r="C84" s="83"/>
      <c r="D84" s="83"/>
      <c r="E84" s="11">
        <f t="shared" si="80"/>
        <v>0</v>
      </c>
      <c r="F84" s="141"/>
      <c r="G84" s="13" t="e">
        <f t="shared" si="81"/>
        <v>#DIV/0!</v>
      </c>
      <c r="H84" s="83"/>
      <c r="I84" s="125"/>
      <c r="J84" s="83">
        <f t="shared" si="82"/>
        <v>0</v>
      </c>
      <c r="K84" s="83">
        <f t="shared" si="83"/>
        <v>0</v>
      </c>
      <c r="L84" s="136" t="e">
        <f t="shared" si="84"/>
        <v>#DIV/0!</v>
      </c>
      <c r="M84" s="116"/>
      <c r="N84" s="201">
        <f t="shared" si="85"/>
        <v>0</v>
      </c>
    </row>
    <row r="85" spans="1:14" ht="16">
      <c r="A85" s="244"/>
      <c r="B85" s="90"/>
      <c r="C85" s="83"/>
      <c r="D85" s="83"/>
      <c r="E85" s="11">
        <f t="shared" si="80"/>
        <v>0</v>
      </c>
      <c r="F85" s="141"/>
      <c r="G85" s="13" t="e">
        <f t="shared" si="81"/>
        <v>#DIV/0!</v>
      </c>
      <c r="H85" s="83"/>
      <c r="I85" s="125"/>
      <c r="J85" s="83">
        <f t="shared" si="82"/>
        <v>0</v>
      </c>
      <c r="K85" s="83">
        <f t="shared" si="83"/>
        <v>0</v>
      </c>
      <c r="L85" s="136" t="e">
        <f t="shared" si="84"/>
        <v>#DIV/0!</v>
      </c>
      <c r="M85" s="116"/>
      <c r="N85" s="201">
        <f t="shared" si="85"/>
        <v>0</v>
      </c>
    </row>
    <row r="86" spans="1:14" ht="16">
      <c r="A86" s="271"/>
      <c r="B86" s="283"/>
      <c r="C86" s="134"/>
      <c r="D86" s="134"/>
      <c r="E86" s="24">
        <f t="shared" si="80"/>
        <v>0</v>
      </c>
      <c r="F86" s="143"/>
      <c r="G86" s="54" t="e">
        <f t="shared" si="81"/>
        <v>#DIV/0!</v>
      </c>
      <c r="H86" s="134"/>
      <c r="I86" s="135"/>
      <c r="J86" s="134">
        <f t="shared" si="82"/>
        <v>0</v>
      </c>
      <c r="K86" s="134">
        <f t="shared" si="83"/>
        <v>0</v>
      </c>
      <c r="L86" s="136" t="e">
        <f t="shared" si="84"/>
        <v>#DIV/0!</v>
      </c>
      <c r="M86" s="137"/>
      <c r="N86" s="336">
        <f t="shared" si="85"/>
        <v>0</v>
      </c>
    </row>
    <row r="87" spans="1:14" ht="16">
      <c r="A87" s="59"/>
      <c r="B87" s="60"/>
      <c r="C87" s="59"/>
      <c r="D87" s="59" t="s">
        <v>19</v>
      </c>
      <c r="E87" s="59">
        <f t="shared" ref="E87:F87" si="86">SUM(E80:E86)</f>
        <v>2513</v>
      </c>
      <c r="F87" s="59">
        <f t="shared" si="86"/>
        <v>225</v>
      </c>
      <c r="G87" s="61" t="e">
        <f>AVERAGE(G80:G86)</f>
        <v>#DIV/0!</v>
      </c>
      <c r="H87" s="59"/>
      <c r="I87" s="62"/>
      <c r="J87" s="59">
        <f t="shared" ref="J87:K87" si="87">SUM(J80:J86)</f>
        <v>2499</v>
      </c>
      <c r="K87" s="59">
        <f t="shared" si="87"/>
        <v>225</v>
      </c>
      <c r="L87" s="61" t="e">
        <f>AVERAGE(L80:L86)</f>
        <v>#DIV/0!</v>
      </c>
      <c r="M87" s="64"/>
      <c r="N87" s="345">
        <f>SUM(N80:N86)</f>
        <v>4152310</v>
      </c>
    </row>
    <row r="88" spans="1:14" ht="16">
      <c r="A88" s="66">
        <v>45629</v>
      </c>
      <c r="B88" s="269" t="s">
        <v>106</v>
      </c>
      <c r="C88" s="83">
        <v>79866</v>
      </c>
      <c r="D88" s="12">
        <v>80631</v>
      </c>
      <c r="E88" s="36">
        <f t="shared" ref="E88:E94" si="88">D88-C88</f>
        <v>765</v>
      </c>
      <c r="F88" s="37">
        <v>87</v>
      </c>
      <c r="G88" s="13">
        <f t="shared" ref="G88:G94" si="89">(F88/E88)*100</f>
        <v>11.372549019607844</v>
      </c>
      <c r="H88" s="125">
        <v>79934</v>
      </c>
      <c r="I88" s="126">
        <v>80696</v>
      </c>
      <c r="J88" s="39">
        <f t="shared" ref="J88:J94" si="90">I88-H88</f>
        <v>762</v>
      </c>
      <c r="K88" s="39">
        <f t="shared" ref="K88:K94" si="91">F88</f>
        <v>87</v>
      </c>
      <c r="L88" s="136">
        <f t="shared" ref="L88:L94" si="92">(K88/J88)*100</f>
        <v>11.41732283464567</v>
      </c>
      <c r="M88" s="68">
        <v>18770</v>
      </c>
      <c r="N88" s="341">
        <f t="shared" ref="N88:N94" si="93">F88*M88</f>
        <v>1632990</v>
      </c>
    </row>
    <row r="89" spans="1:14" ht="16">
      <c r="A89" s="138">
        <v>45648</v>
      </c>
      <c r="B89" s="140" t="s">
        <v>40</v>
      </c>
      <c r="C89" s="83">
        <v>80631</v>
      </c>
      <c r="D89" s="83">
        <v>81250</v>
      </c>
      <c r="E89" s="11">
        <f t="shared" si="88"/>
        <v>619</v>
      </c>
      <c r="F89" s="141">
        <v>74</v>
      </c>
      <c r="G89" s="13">
        <f t="shared" si="89"/>
        <v>11.954765751211632</v>
      </c>
      <c r="H89" s="83">
        <v>80696</v>
      </c>
      <c r="I89" s="125">
        <v>81324</v>
      </c>
      <c r="J89" s="83">
        <f t="shared" si="90"/>
        <v>628</v>
      </c>
      <c r="K89" s="83">
        <f t="shared" si="91"/>
        <v>74</v>
      </c>
      <c r="L89" s="136">
        <f t="shared" si="92"/>
        <v>11.783439490445859</v>
      </c>
      <c r="M89" s="116">
        <v>18730</v>
      </c>
      <c r="N89" s="201">
        <f t="shared" si="93"/>
        <v>1386020</v>
      </c>
    </row>
    <row r="90" spans="1:14" ht="16">
      <c r="A90" s="138">
        <v>45654</v>
      </c>
      <c r="B90" s="140" t="s">
        <v>40</v>
      </c>
      <c r="C90" s="83">
        <v>81250</v>
      </c>
      <c r="D90" s="83">
        <v>81877</v>
      </c>
      <c r="E90" s="11">
        <f t="shared" si="88"/>
        <v>627</v>
      </c>
      <c r="F90" s="141">
        <v>70</v>
      </c>
      <c r="G90" s="13">
        <f t="shared" si="89"/>
        <v>11.164274322169058</v>
      </c>
      <c r="H90" s="83">
        <v>81324</v>
      </c>
      <c r="I90" s="125"/>
      <c r="J90" s="83">
        <f t="shared" si="90"/>
        <v>-81324</v>
      </c>
      <c r="K90" s="83">
        <f t="shared" si="91"/>
        <v>70</v>
      </c>
      <c r="L90" s="136">
        <f t="shared" si="92"/>
        <v>-8.6075451281294582E-2</v>
      </c>
      <c r="M90" s="116">
        <v>18630</v>
      </c>
      <c r="N90" s="201">
        <f t="shared" si="93"/>
        <v>1304100</v>
      </c>
    </row>
    <row r="91" spans="1:14" ht="16">
      <c r="A91" s="138"/>
      <c r="B91" s="140" t="s">
        <v>106</v>
      </c>
      <c r="C91" s="83"/>
      <c r="D91" s="83"/>
      <c r="E91" s="11">
        <f t="shared" si="88"/>
        <v>0</v>
      </c>
      <c r="F91" s="141"/>
      <c r="G91" s="13" t="e">
        <f t="shared" si="89"/>
        <v>#DIV/0!</v>
      </c>
      <c r="H91" s="83"/>
      <c r="I91" s="125"/>
      <c r="J91" s="83">
        <f t="shared" si="90"/>
        <v>0</v>
      </c>
      <c r="K91" s="83">
        <f t="shared" si="91"/>
        <v>0</v>
      </c>
      <c r="L91" s="136" t="e">
        <f t="shared" si="92"/>
        <v>#DIV/0!</v>
      </c>
      <c r="M91" s="116"/>
      <c r="N91" s="201">
        <f t="shared" si="93"/>
        <v>0</v>
      </c>
    </row>
    <row r="92" spans="1:14" ht="16">
      <c r="A92" s="138"/>
      <c r="B92" s="90" t="s">
        <v>106</v>
      </c>
      <c r="C92" s="83"/>
      <c r="D92" s="83"/>
      <c r="E92" s="11">
        <f t="shared" si="88"/>
        <v>0</v>
      </c>
      <c r="F92" s="141"/>
      <c r="G92" s="13" t="e">
        <f t="shared" si="89"/>
        <v>#DIV/0!</v>
      </c>
      <c r="H92" s="83"/>
      <c r="I92" s="125"/>
      <c r="J92" s="83">
        <f t="shared" si="90"/>
        <v>0</v>
      </c>
      <c r="K92" s="83">
        <f t="shared" si="91"/>
        <v>0</v>
      </c>
      <c r="L92" s="136" t="e">
        <f t="shared" si="92"/>
        <v>#DIV/0!</v>
      </c>
      <c r="M92" s="116"/>
      <c r="N92" s="201">
        <f t="shared" si="93"/>
        <v>0</v>
      </c>
    </row>
    <row r="93" spans="1:14" ht="16">
      <c r="A93" s="244"/>
      <c r="B93" s="113"/>
      <c r="C93" s="83"/>
      <c r="D93" s="83"/>
      <c r="E93" s="11">
        <f t="shared" si="88"/>
        <v>0</v>
      </c>
      <c r="F93" s="141"/>
      <c r="G93" s="13" t="e">
        <f t="shared" si="89"/>
        <v>#DIV/0!</v>
      </c>
      <c r="H93" s="83"/>
      <c r="I93" s="125"/>
      <c r="J93" s="83">
        <f t="shared" si="90"/>
        <v>0</v>
      </c>
      <c r="K93" s="83">
        <f t="shared" si="91"/>
        <v>0</v>
      </c>
      <c r="L93" s="136" t="e">
        <f t="shared" si="92"/>
        <v>#DIV/0!</v>
      </c>
      <c r="M93" s="116"/>
      <c r="N93" s="201">
        <f t="shared" si="93"/>
        <v>0</v>
      </c>
    </row>
    <row r="94" spans="1:14" ht="16">
      <c r="A94" s="271"/>
      <c r="B94" s="283"/>
      <c r="C94" s="134"/>
      <c r="D94" s="134"/>
      <c r="E94" s="24">
        <f t="shared" si="88"/>
        <v>0</v>
      </c>
      <c r="F94" s="143"/>
      <c r="G94" s="54" t="e">
        <f t="shared" si="89"/>
        <v>#DIV/0!</v>
      </c>
      <c r="H94" s="134"/>
      <c r="I94" s="135"/>
      <c r="J94" s="134">
        <f t="shared" si="90"/>
        <v>0</v>
      </c>
      <c r="K94" s="134">
        <f t="shared" si="91"/>
        <v>0</v>
      </c>
      <c r="L94" s="136" t="e">
        <f t="shared" si="92"/>
        <v>#DIV/0!</v>
      </c>
      <c r="M94" s="137"/>
      <c r="N94" s="336">
        <f t="shared" si="93"/>
        <v>0</v>
      </c>
    </row>
    <row r="95" spans="1:14" ht="16">
      <c r="A95" s="59"/>
      <c r="B95" s="60"/>
      <c r="C95" s="59"/>
      <c r="D95" s="59" t="s">
        <v>19</v>
      </c>
      <c r="E95" s="59">
        <f t="shared" ref="E95:F95" si="94">SUM(E88:E94)</f>
        <v>2011</v>
      </c>
      <c r="F95" s="59">
        <f t="shared" si="94"/>
        <v>231</v>
      </c>
      <c r="G95" s="61" t="e">
        <f>AVERAGE(G88:G94)</f>
        <v>#DIV/0!</v>
      </c>
      <c r="H95" s="59"/>
      <c r="I95" s="62"/>
      <c r="J95" s="59">
        <f t="shared" ref="J95:K95" si="95">SUM(J88:J94)</f>
        <v>-79934</v>
      </c>
      <c r="K95" s="59">
        <f t="shared" si="95"/>
        <v>231</v>
      </c>
      <c r="L95" s="61" t="e">
        <f>AVERAGE(L88:L94)</f>
        <v>#DIV/0!</v>
      </c>
      <c r="M95" s="64"/>
      <c r="N95" s="345">
        <f>SUM(N88:N94)</f>
        <v>4323110</v>
      </c>
    </row>
    <row r="96" spans="1:14" ht="15.75" customHeight="1">
      <c r="A96" s="354" t="s">
        <v>64</v>
      </c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7"/>
      <c r="N96" s="340">
        <f>N9+N15+N23+N31+N39+N47+N55+N63+N71+N79+N87+N95</f>
        <v>62317890</v>
      </c>
    </row>
    <row r="97" spans="7:12" ht="15.75" customHeight="1">
      <c r="G97" s="150"/>
      <c r="L97" s="150"/>
    </row>
    <row r="98" spans="7:12" ht="15.75" customHeight="1">
      <c r="G98" s="150"/>
      <c r="L98" s="150"/>
    </row>
    <row r="99" spans="7:12" ht="15.75" customHeight="1">
      <c r="G99" s="150"/>
      <c r="L99" s="150"/>
    </row>
    <row r="100" spans="7:12" ht="15.75" customHeight="1">
      <c r="G100" s="150"/>
      <c r="L100" s="150"/>
    </row>
    <row r="101" spans="7:12" ht="15.75" customHeight="1">
      <c r="G101" s="150"/>
      <c r="L101" s="150"/>
    </row>
    <row r="102" spans="7:12" ht="15.75" customHeight="1">
      <c r="G102" s="150"/>
      <c r="L102" s="150"/>
    </row>
    <row r="103" spans="7:12" ht="15.75" customHeight="1">
      <c r="G103" s="150"/>
      <c r="L103" s="150"/>
    </row>
    <row r="104" spans="7:12" ht="15.75" customHeight="1">
      <c r="G104" s="150"/>
      <c r="L104" s="150"/>
    </row>
    <row r="105" spans="7:12" ht="15.75" customHeight="1">
      <c r="G105" s="150"/>
      <c r="L105" s="150"/>
    </row>
    <row r="106" spans="7:12" ht="15.75" customHeight="1">
      <c r="G106" s="150"/>
      <c r="L106" s="150"/>
    </row>
    <row r="107" spans="7:12" ht="15.75" customHeight="1">
      <c r="G107" s="150"/>
      <c r="L107" s="150"/>
    </row>
    <row r="108" spans="7:12" ht="15.75" customHeight="1">
      <c r="G108" s="150"/>
      <c r="L108" s="150"/>
    </row>
    <row r="109" spans="7:12" ht="15.75" customHeight="1">
      <c r="G109" s="150"/>
      <c r="L109" s="150"/>
    </row>
    <row r="110" spans="7:12" ht="15.75" customHeight="1">
      <c r="G110" s="150"/>
      <c r="L110" s="150"/>
    </row>
    <row r="111" spans="7:12" ht="15.75" customHeight="1">
      <c r="G111" s="150"/>
      <c r="L111" s="150"/>
    </row>
    <row r="112" spans="7:12" ht="15.75" customHeight="1">
      <c r="G112" s="150"/>
      <c r="L112" s="150"/>
    </row>
    <row r="113" spans="7:12" ht="15.75" customHeight="1">
      <c r="G113" s="150"/>
      <c r="L113" s="150"/>
    </row>
    <row r="114" spans="7:12" ht="15.75" customHeight="1">
      <c r="G114" s="150"/>
      <c r="L114" s="150"/>
    </row>
    <row r="115" spans="7:12" ht="15.75" customHeight="1">
      <c r="G115" s="150"/>
      <c r="L115" s="150"/>
    </row>
    <row r="116" spans="7:12" ht="15.75" customHeight="1">
      <c r="G116" s="150"/>
      <c r="L116" s="150"/>
    </row>
    <row r="117" spans="7:12" ht="15.75" customHeight="1">
      <c r="G117" s="150"/>
      <c r="L117" s="150"/>
    </row>
    <row r="118" spans="7:12" ht="15.75" customHeight="1">
      <c r="G118" s="150"/>
      <c r="L118" s="150"/>
    </row>
    <row r="119" spans="7:12" ht="15.75" customHeight="1">
      <c r="G119" s="150"/>
      <c r="L119" s="150"/>
    </row>
    <row r="120" spans="7:12" ht="15.75" customHeight="1">
      <c r="G120" s="150"/>
      <c r="L120" s="150"/>
    </row>
    <row r="121" spans="7:12" ht="15.75" customHeight="1">
      <c r="G121" s="150"/>
      <c r="L121" s="150"/>
    </row>
    <row r="122" spans="7:12" ht="15.75" customHeight="1">
      <c r="G122" s="150"/>
      <c r="L122" s="150"/>
    </row>
    <row r="123" spans="7:12" ht="15.75" customHeight="1">
      <c r="G123" s="150"/>
      <c r="L123" s="150"/>
    </row>
    <row r="124" spans="7:12" ht="15.75" customHeight="1">
      <c r="G124" s="150"/>
      <c r="L124" s="150"/>
    </row>
    <row r="125" spans="7:12" ht="15.75" customHeight="1">
      <c r="G125" s="150"/>
      <c r="L125" s="150"/>
    </row>
    <row r="126" spans="7:12" ht="15.75" customHeight="1">
      <c r="G126" s="150"/>
      <c r="L126" s="150"/>
    </row>
    <row r="127" spans="7:12" ht="15.75" customHeight="1">
      <c r="G127" s="150"/>
      <c r="L127" s="150"/>
    </row>
    <row r="128" spans="7:12" ht="15.75" customHeight="1">
      <c r="G128" s="150"/>
      <c r="L128" s="150"/>
    </row>
    <row r="129" spans="7:12" ht="15.75" customHeight="1">
      <c r="G129" s="150"/>
      <c r="L129" s="150"/>
    </row>
    <row r="130" spans="7:12" ht="15.75" customHeight="1">
      <c r="G130" s="150"/>
      <c r="L130" s="150"/>
    </row>
    <row r="131" spans="7:12" ht="15.75" customHeight="1">
      <c r="G131" s="150"/>
      <c r="L131" s="150"/>
    </row>
    <row r="132" spans="7:12" ht="15.75" customHeight="1">
      <c r="G132" s="150"/>
      <c r="L132" s="150"/>
    </row>
    <row r="133" spans="7:12" ht="15.75" customHeight="1">
      <c r="G133" s="150"/>
      <c r="L133" s="150"/>
    </row>
    <row r="134" spans="7:12" ht="15.75" customHeight="1">
      <c r="G134" s="150"/>
      <c r="L134" s="150"/>
    </row>
    <row r="135" spans="7:12" ht="15.75" customHeight="1">
      <c r="G135" s="150"/>
      <c r="L135" s="150"/>
    </row>
    <row r="136" spans="7:12" ht="15.75" customHeight="1">
      <c r="G136" s="150"/>
      <c r="L136" s="150"/>
    </row>
    <row r="137" spans="7:12" ht="15.75" customHeight="1">
      <c r="G137" s="150"/>
      <c r="L137" s="150"/>
    </row>
    <row r="138" spans="7:12" ht="15.75" customHeight="1">
      <c r="G138" s="150"/>
      <c r="L138" s="150"/>
    </row>
    <row r="139" spans="7:12" ht="15.75" customHeight="1">
      <c r="G139" s="150"/>
      <c r="L139" s="150"/>
    </row>
    <row r="140" spans="7:12" ht="15.75" customHeight="1">
      <c r="G140" s="150"/>
      <c r="L140" s="150"/>
    </row>
    <row r="141" spans="7:12" ht="15.75" customHeight="1">
      <c r="G141" s="150"/>
      <c r="L141" s="150"/>
    </row>
    <row r="142" spans="7:12" ht="15.75" customHeight="1">
      <c r="G142" s="150"/>
      <c r="L142" s="150"/>
    </row>
    <row r="143" spans="7:12" ht="15.75" customHeight="1">
      <c r="G143" s="150"/>
      <c r="L143" s="150"/>
    </row>
    <row r="144" spans="7:12" ht="15.75" customHeight="1">
      <c r="G144" s="150"/>
      <c r="L144" s="150"/>
    </row>
    <row r="145" spans="7:12" ht="15.75" customHeight="1">
      <c r="G145" s="150"/>
      <c r="L145" s="150"/>
    </row>
    <row r="146" spans="7:12" ht="15.75" customHeight="1">
      <c r="G146" s="150"/>
      <c r="L146" s="150"/>
    </row>
    <row r="147" spans="7:12" ht="15.75" customHeight="1">
      <c r="G147" s="150"/>
      <c r="L147" s="150"/>
    </row>
    <row r="148" spans="7:12" ht="15.75" customHeight="1">
      <c r="G148" s="150"/>
      <c r="L148" s="150"/>
    </row>
    <row r="149" spans="7:12" ht="15.75" customHeight="1">
      <c r="G149" s="150"/>
      <c r="L149" s="150"/>
    </row>
    <row r="150" spans="7:12" ht="15.75" customHeight="1">
      <c r="G150" s="150"/>
      <c r="L150" s="150"/>
    </row>
    <row r="151" spans="7:12" ht="15.75" customHeight="1">
      <c r="G151" s="150"/>
      <c r="L151" s="150"/>
    </row>
    <row r="152" spans="7:12" ht="15.75" customHeight="1">
      <c r="G152" s="150"/>
      <c r="L152" s="150"/>
    </row>
    <row r="153" spans="7:12" ht="15.75" customHeight="1">
      <c r="G153" s="150"/>
      <c r="L153" s="150"/>
    </row>
    <row r="154" spans="7:12" ht="15.75" customHeight="1">
      <c r="G154" s="150"/>
      <c r="L154" s="150"/>
    </row>
    <row r="155" spans="7:12" ht="15.75" customHeight="1">
      <c r="G155" s="150"/>
      <c r="L155" s="150"/>
    </row>
    <row r="156" spans="7:12" ht="15.75" customHeight="1">
      <c r="G156" s="150"/>
      <c r="L156" s="150"/>
    </row>
    <row r="157" spans="7:12" ht="15.75" customHeight="1">
      <c r="G157" s="150"/>
      <c r="L157" s="150"/>
    </row>
    <row r="158" spans="7:12" ht="15.75" customHeight="1">
      <c r="G158" s="150"/>
      <c r="L158" s="150"/>
    </row>
    <row r="159" spans="7:12" ht="15.75" customHeight="1">
      <c r="G159" s="150"/>
      <c r="L159" s="150"/>
    </row>
    <row r="160" spans="7:12" ht="15.75" customHeight="1">
      <c r="G160" s="150"/>
      <c r="L160" s="150"/>
    </row>
    <row r="161" spans="7:12" ht="15.75" customHeight="1">
      <c r="G161" s="150"/>
      <c r="L161" s="150"/>
    </row>
    <row r="162" spans="7:12" ht="15.75" customHeight="1">
      <c r="G162" s="150"/>
      <c r="L162" s="150"/>
    </row>
    <row r="163" spans="7:12" ht="15.75" customHeight="1">
      <c r="G163" s="150"/>
      <c r="L163" s="150"/>
    </row>
    <row r="164" spans="7:12" ht="15.75" customHeight="1">
      <c r="G164" s="150"/>
      <c r="L164" s="150"/>
    </row>
    <row r="165" spans="7:12" ht="15.75" customHeight="1">
      <c r="G165" s="150"/>
      <c r="L165" s="150"/>
    </row>
    <row r="166" spans="7:12" ht="15.75" customHeight="1">
      <c r="G166" s="150"/>
      <c r="L166" s="150"/>
    </row>
    <row r="167" spans="7:12" ht="15.75" customHeight="1">
      <c r="G167" s="150"/>
      <c r="L167" s="150"/>
    </row>
    <row r="168" spans="7:12" ht="15.75" customHeight="1">
      <c r="G168" s="150"/>
      <c r="L168" s="150"/>
    </row>
    <row r="169" spans="7:12" ht="15.75" customHeight="1">
      <c r="G169" s="150"/>
      <c r="L169" s="150"/>
    </row>
    <row r="170" spans="7:12" ht="15.75" customHeight="1">
      <c r="G170" s="150"/>
      <c r="L170" s="150"/>
    </row>
    <row r="171" spans="7:12" ht="15.75" customHeight="1">
      <c r="G171" s="150"/>
      <c r="L171" s="150"/>
    </row>
    <row r="172" spans="7:12" ht="15.75" customHeight="1">
      <c r="G172" s="150"/>
      <c r="L172" s="150"/>
    </row>
    <row r="173" spans="7:12" ht="15.75" customHeight="1">
      <c r="G173" s="150"/>
      <c r="L173" s="150"/>
    </row>
    <row r="174" spans="7:12" ht="15.75" customHeight="1">
      <c r="G174" s="150"/>
      <c r="L174" s="150"/>
    </row>
    <row r="175" spans="7:12" ht="15.75" customHeight="1">
      <c r="G175" s="150"/>
      <c r="L175" s="150"/>
    </row>
    <row r="176" spans="7:12" ht="15.75" customHeight="1">
      <c r="G176" s="150"/>
      <c r="L176" s="150"/>
    </row>
    <row r="177" spans="7:12" ht="15.75" customHeight="1">
      <c r="G177" s="150"/>
      <c r="L177" s="150"/>
    </row>
    <row r="178" spans="7:12" ht="15.75" customHeight="1">
      <c r="G178" s="150"/>
      <c r="L178" s="150"/>
    </row>
    <row r="179" spans="7:12" ht="15.75" customHeight="1">
      <c r="G179" s="150"/>
      <c r="L179" s="150"/>
    </row>
    <row r="180" spans="7:12" ht="15.75" customHeight="1">
      <c r="G180" s="150"/>
      <c r="L180" s="150"/>
    </row>
    <row r="181" spans="7:12" ht="15.75" customHeight="1">
      <c r="G181" s="150"/>
      <c r="L181" s="150"/>
    </row>
    <row r="182" spans="7:12" ht="15.75" customHeight="1">
      <c r="G182" s="150"/>
      <c r="L182" s="150"/>
    </row>
    <row r="183" spans="7:12" ht="15.75" customHeight="1">
      <c r="G183" s="150"/>
      <c r="L183" s="150"/>
    </row>
    <row r="184" spans="7:12" ht="15.75" customHeight="1">
      <c r="G184" s="150"/>
      <c r="L184" s="150"/>
    </row>
    <row r="185" spans="7:12" ht="15.75" customHeight="1">
      <c r="G185" s="150"/>
      <c r="L185" s="150"/>
    </row>
    <row r="186" spans="7:12" ht="15.75" customHeight="1">
      <c r="G186" s="150"/>
      <c r="L186" s="150"/>
    </row>
    <row r="187" spans="7:12" ht="15.75" customHeight="1">
      <c r="G187" s="150"/>
      <c r="L187" s="150"/>
    </row>
    <row r="188" spans="7:12" ht="15.75" customHeight="1">
      <c r="G188" s="150"/>
      <c r="L188" s="150"/>
    </row>
    <row r="189" spans="7:12" ht="15.75" customHeight="1">
      <c r="G189" s="150"/>
      <c r="L189" s="150"/>
    </row>
    <row r="190" spans="7:12" ht="15.75" customHeight="1">
      <c r="G190" s="150"/>
      <c r="L190" s="150"/>
    </row>
    <row r="191" spans="7:12" ht="15.75" customHeight="1">
      <c r="G191" s="150"/>
      <c r="L191" s="150"/>
    </row>
    <row r="192" spans="7:12" ht="15.75" customHeight="1">
      <c r="G192" s="150"/>
      <c r="L192" s="150"/>
    </row>
    <row r="193" spans="7:12" ht="15.75" customHeight="1">
      <c r="G193" s="150"/>
      <c r="L193" s="150"/>
    </row>
    <row r="194" spans="7:12" ht="15.75" customHeight="1">
      <c r="G194" s="150"/>
      <c r="L194" s="150"/>
    </row>
    <row r="195" spans="7:12" ht="15.75" customHeight="1">
      <c r="G195" s="150"/>
      <c r="L195" s="150"/>
    </row>
    <row r="196" spans="7:12" ht="15.75" customHeight="1">
      <c r="G196" s="150"/>
      <c r="L196" s="150"/>
    </row>
    <row r="197" spans="7:12" ht="15.75" customHeight="1">
      <c r="G197" s="150"/>
      <c r="L197" s="150"/>
    </row>
    <row r="198" spans="7:12" ht="15.75" customHeight="1">
      <c r="G198" s="150"/>
      <c r="L198" s="150"/>
    </row>
    <row r="199" spans="7:12" ht="15.75" customHeight="1">
      <c r="G199" s="150"/>
      <c r="L199" s="150"/>
    </row>
    <row r="200" spans="7:12" ht="15.75" customHeight="1">
      <c r="G200" s="150"/>
      <c r="L200" s="150"/>
    </row>
    <row r="201" spans="7:12" ht="15.75" customHeight="1">
      <c r="G201" s="150"/>
      <c r="L201" s="150"/>
    </row>
    <row r="202" spans="7:12" ht="15.75" customHeight="1">
      <c r="G202" s="150"/>
      <c r="L202" s="150"/>
    </row>
    <row r="203" spans="7:12" ht="15.75" customHeight="1">
      <c r="G203" s="150"/>
      <c r="L203" s="150"/>
    </row>
    <row r="204" spans="7:12" ht="15.75" customHeight="1">
      <c r="G204" s="150"/>
      <c r="L204" s="150"/>
    </row>
    <row r="205" spans="7:12" ht="15.75" customHeight="1">
      <c r="G205" s="150"/>
      <c r="L205" s="150"/>
    </row>
    <row r="206" spans="7:12" ht="15.75" customHeight="1">
      <c r="G206" s="150"/>
      <c r="L206" s="150"/>
    </row>
    <row r="207" spans="7:12" ht="15.75" customHeight="1">
      <c r="G207" s="150"/>
      <c r="L207" s="150"/>
    </row>
    <row r="208" spans="7:12" ht="15.75" customHeight="1">
      <c r="G208" s="150"/>
      <c r="L208" s="150"/>
    </row>
    <row r="209" spans="7:12" ht="15.75" customHeight="1">
      <c r="G209" s="150"/>
      <c r="L209" s="150"/>
    </row>
    <row r="210" spans="7:12" ht="15.75" customHeight="1">
      <c r="G210" s="150"/>
      <c r="L210" s="150"/>
    </row>
    <row r="211" spans="7:12" ht="15.75" customHeight="1">
      <c r="G211" s="150"/>
      <c r="L211" s="150"/>
    </row>
    <row r="212" spans="7:12" ht="15.75" customHeight="1">
      <c r="G212" s="150"/>
      <c r="L212" s="150"/>
    </row>
    <row r="213" spans="7:12" ht="15.75" customHeight="1">
      <c r="G213" s="150"/>
      <c r="L213" s="150"/>
    </row>
    <row r="214" spans="7:12" ht="15.75" customHeight="1">
      <c r="G214" s="150"/>
      <c r="L214" s="150"/>
    </row>
    <row r="215" spans="7:12" ht="15.75" customHeight="1">
      <c r="G215" s="150"/>
      <c r="L215" s="150"/>
    </row>
    <row r="216" spans="7:12" ht="15.75" customHeight="1">
      <c r="G216" s="150"/>
      <c r="L216" s="150"/>
    </row>
    <row r="217" spans="7:12" ht="15.75" customHeight="1">
      <c r="G217" s="150"/>
      <c r="L217" s="150"/>
    </row>
    <row r="218" spans="7:12" ht="15.75" customHeight="1">
      <c r="G218" s="150"/>
      <c r="L218" s="150"/>
    </row>
    <row r="219" spans="7:12" ht="15.75" customHeight="1">
      <c r="G219" s="150"/>
      <c r="L219" s="150"/>
    </row>
    <row r="220" spans="7:12" ht="15.75" customHeight="1">
      <c r="G220" s="150"/>
      <c r="L220" s="150"/>
    </row>
    <row r="221" spans="7:12" ht="15.75" customHeight="1">
      <c r="G221" s="150"/>
      <c r="L221" s="150"/>
    </row>
    <row r="222" spans="7:12" ht="15.75" customHeight="1">
      <c r="G222" s="150"/>
      <c r="L222" s="150"/>
    </row>
    <row r="223" spans="7:12" ht="15.75" customHeight="1">
      <c r="G223" s="150"/>
      <c r="L223" s="150"/>
    </row>
    <row r="224" spans="7:12" ht="15.75" customHeight="1">
      <c r="G224" s="150"/>
      <c r="L224" s="150"/>
    </row>
    <row r="225" spans="7:12" ht="15.75" customHeight="1">
      <c r="G225" s="150"/>
      <c r="L225" s="150"/>
    </row>
    <row r="226" spans="7:12" ht="15.75" customHeight="1">
      <c r="G226" s="150"/>
      <c r="L226" s="150"/>
    </row>
    <row r="227" spans="7:12" ht="15.75" customHeight="1">
      <c r="G227" s="150"/>
      <c r="L227" s="150"/>
    </row>
    <row r="228" spans="7:12" ht="15.75" customHeight="1">
      <c r="G228" s="150"/>
      <c r="L228" s="150"/>
    </row>
    <row r="229" spans="7:12" ht="15.75" customHeight="1">
      <c r="G229" s="150"/>
      <c r="L229" s="150"/>
    </row>
    <row r="230" spans="7:12" ht="15.75" customHeight="1">
      <c r="G230" s="150"/>
      <c r="L230" s="150"/>
    </row>
    <row r="231" spans="7:12" ht="15.75" customHeight="1">
      <c r="G231" s="150"/>
      <c r="L231" s="150"/>
    </row>
    <row r="232" spans="7:12" ht="15.75" customHeight="1">
      <c r="G232" s="150"/>
      <c r="L232" s="150"/>
    </row>
    <row r="233" spans="7:12" ht="15.75" customHeight="1">
      <c r="G233" s="150"/>
      <c r="L233" s="150"/>
    </row>
    <row r="234" spans="7:12" ht="15.75" customHeight="1">
      <c r="G234" s="150"/>
      <c r="L234" s="150"/>
    </row>
    <row r="235" spans="7:12" ht="15.75" customHeight="1">
      <c r="G235" s="150"/>
      <c r="L235" s="150"/>
    </row>
    <row r="236" spans="7:12" ht="15.75" customHeight="1">
      <c r="G236" s="150"/>
      <c r="L236" s="150"/>
    </row>
    <row r="237" spans="7:12" ht="15.75" customHeight="1">
      <c r="G237" s="150"/>
      <c r="L237" s="150"/>
    </row>
    <row r="238" spans="7:12" ht="15.75" customHeight="1">
      <c r="G238" s="150"/>
      <c r="L238" s="150"/>
    </row>
    <row r="239" spans="7:12" ht="15.75" customHeight="1">
      <c r="G239" s="150"/>
      <c r="L239" s="150"/>
    </row>
    <row r="240" spans="7:12" ht="15.75" customHeight="1">
      <c r="G240" s="150"/>
      <c r="L240" s="150"/>
    </row>
    <row r="241" spans="7:12" ht="15.75" customHeight="1">
      <c r="G241" s="150"/>
      <c r="L241" s="150"/>
    </row>
    <row r="242" spans="7:12" ht="15.75" customHeight="1">
      <c r="G242" s="150"/>
      <c r="L242" s="150"/>
    </row>
    <row r="243" spans="7:12" ht="15.75" customHeight="1">
      <c r="G243" s="150"/>
      <c r="L243" s="150"/>
    </row>
    <row r="244" spans="7:12" ht="15.75" customHeight="1">
      <c r="G244" s="150"/>
      <c r="L244" s="150"/>
    </row>
    <row r="245" spans="7:12" ht="15.75" customHeight="1">
      <c r="G245" s="150"/>
      <c r="L245" s="150"/>
    </row>
    <row r="246" spans="7:12" ht="15.75" customHeight="1">
      <c r="G246" s="150"/>
      <c r="L246" s="150"/>
    </row>
    <row r="247" spans="7:12" ht="15.75" customHeight="1">
      <c r="G247" s="150"/>
      <c r="L247" s="150"/>
    </row>
    <row r="248" spans="7:12" ht="15.75" customHeight="1">
      <c r="G248" s="150"/>
      <c r="L248" s="150"/>
    </row>
    <row r="249" spans="7:12" ht="15.75" customHeight="1">
      <c r="G249" s="150"/>
      <c r="L249" s="150"/>
    </row>
    <row r="250" spans="7:12" ht="15.75" customHeight="1">
      <c r="G250" s="150"/>
      <c r="L250" s="150"/>
    </row>
    <row r="251" spans="7:12" ht="15.75" customHeight="1">
      <c r="G251" s="150"/>
      <c r="L251" s="150"/>
    </row>
    <row r="252" spans="7:12" ht="15.75" customHeight="1">
      <c r="G252" s="150"/>
      <c r="L252" s="150"/>
    </row>
    <row r="253" spans="7:12" ht="15.75" customHeight="1">
      <c r="G253" s="150"/>
      <c r="L253" s="150"/>
    </row>
    <row r="254" spans="7:12" ht="15.75" customHeight="1">
      <c r="G254" s="150"/>
      <c r="L254" s="150"/>
    </row>
    <row r="255" spans="7:12" ht="15.75" customHeight="1">
      <c r="G255" s="150"/>
      <c r="L255" s="150"/>
    </row>
    <row r="256" spans="7:12" ht="15.75" customHeight="1">
      <c r="G256" s="150"/>
      <c r="L256" s="150"/>
    </row>
    <row r="257" spans="7:12" ht="15.75" customHeight="1">
      <c r="G257" s="150"/>
      <c r="L257" s="150"/>
    </row>
    <row r="258" spans="7:12" ht="15.75" customHeight="1">
      <c r="G258" s="150"/>
      <c r="L258" s="150"/>
    </row>
    <row r="259" spans="7:12" ht="15.75" customHeight="1">
      <c r="G259" s="150"/>
      <c r="L259" s="150"/>
    </row>
    <row r="260" spans="7:12" ht="15.75" customHeight="1">
      <c r="G260" s="150"/>
      <c r="L260" s="150"/>
    </row>
    <row r="261" spans="7:12" ht="15.75" customHeight="1">
      <c r="G261" s="150"/>
      <c r="L261" s="150"/>
    </row>
    <row r="262" spans="7:12" ht="15.75" customHeight="1">
      <c r="G262" s="150"/>
      <c r="L262" s="150"/>
    </row>
    <row r="263" spans="7:12" ht="15.75" customHeight="1">
      <c r="G263" s="150"/>
      <c r="L263" s="150"/>
    </row>
    <row r="264" spans="7:12" ht="15.75" customHeight="1">
      <c r="G264" s="150"/>
      <c r="L264" s="150"/>
    </row>
    <row r="265" spans="7:12" ht="15.75" customHeight="1">
      <c r="G265" s="150"/>
      <c r="L265" s="150"/>
    </row>
    <row r="266" spans="7:12" ht="15.75" customHeight="1">
      <c r="G266" s="150"/>
      <c r="L266" s="150"/>
    </row>
    <row r="267" spans="7:12" ht="15.75" customHeight="1">
      <c r="G267" s="150"/>
      <c r="L267" s="150"/>
    </row>
    <row r="268" spans="7:12" ht="15.75" customHeight="1">
      <c r="G268" s="150"/>
      <c r="L268" s="150"/>
    </row>
    <row r="269" spans="7:12" ht="15.75" customHeight="1">
      <c r="G269" s="150"/>
      <c r="L269" s="150"/>
    </row>
    <row r="270" spans="7:12" ht="15.75" customHeight="1">
      <c r="G270" s="150"/>
      <c r="L270" s="150"/>
    </row>
    <row r="271" spans="7:12" ht="15.75" customHeight="1">
      <c r="G271" s="150"/>
      <c r="L271" s="150"/>
    </row>
    <row r="272" spans="7:12" ht="15.75" customHeight="1">
      <c r="G272" s="150"/>
      <c r="L272" s="150"/>
    </row>
    <row r="273" spans="7:12" ht="15.75" customHeight="1">
      <c r="G273" s="150"/>
      <c r="L273" s="150"/>
    </row>
    <row r="274" spans="7:12" ht="15.75" customHeight="1">
      <c r="G274" s="150"/>
      <c r="L274" s="150"/>
    </row>
    <row r="275" spans="7:12" ht="15.75" customHeight="1">
      <c r="G275" s="150"/>
      <c r="L275" s="150"/>
    </row>
    <row r="276" spans="7:12" ht="15.75" customHeight="1">
      <c r="G276" s="150"/>
      <c r="L276" s="150"/>
    </row>
    <row r="277" spans="7:12" ht="15.75" customHeight="1">
      <c r="G277" s="150"/>
      <c r="L277" s="150"/>
    </row>
    <row r="278" spans="7:12" ht="15.75" customHeight="1">
      <c r="G278" s="150"/>
      <c r="L278" s="150"/>
    </row>
    <row r="279" spans="7:12" ht="15.75" customHeight="1">
      <c r="G279" s="150"/>
      <c r="L279" s="150"/>
    </row>
    <row r="280" spans="7:12" ht="15.75" customHeight="1">
      <c r="G280" s="150"/>
      <c r="L280" s="150"/>
    </row>
    <row r="281" spans="7:12" ht="15.75" customHeight="1">
      <c r="G281" s="150"/>
      <c r="L281" s="150"/>
    </row>
    <row r="282" spans="7:12" ht="15.75" customHeight="1">
      <c r="G282" s="150"/>
      <c r="L282" s="150"/>
    </row>
    <row r="283" spans="7:12" ht="15.75" customHeight="1">
      <c r="G283" s="150"/>
      <c r="L283" s="150"/>
    </row>
    <row r="284" spans="7:12" ht="15.75" customHeight="1">
      <c r="G284" s="150"/>
      <c r="L284" s="150"/>
    </row>
    <row r="285" spans="7:12" ht="15.75" customHeight="1">
      <c r="G285" s="150"/>
      <c r="L285" s="150"/>
    </row>
    <row r="286" spans="7:12" ht="15.75" customHeight="1">
      <c r="G286" s="150"/>
      <c r="L286" s="150"/>
    </row>
    <row r="287" spans="7:12" ht="15.75" customHeight="1">
      <c r="G287" s="150"/>
      <c r="L287" s="150"/>
    </row>
    <row r="288" spans="7:12" ht="15.75" customHeight="1">
      <c r="G288" s="150"/>
      <c r="L288" s="150"/>
    </row>
    <row r="289" spans="7:12" ht="15.75" customHeight="1">
      <c r="G289" s="150"/>
      <c r="L289" s="150"/>
    </row>
    <row r="290" spans="7:12" ht="15.75" customHeight="1">
      <c r="G290" s="150"/>
      <c r="L290" s="150"/>
    </row>
    <row r="291" spans="7:12" ht="15.75" customHeight="1">
      <c r="G291" s="150"/>
      <c r="L291" s="150"/>
    </row>
    <row r="292" spans="7:12" ht="15.75" customHeight="1">
      <c r="G292" s="150"/>
      <c r="L292" s="150"/>
    </row>
    <row r="293" spans="7:12" ht="15.75" customHeight="1">
      <c r="G293" s="150"/>
      <c r="L293" s="150"/>
    </row>
    <row r="294" spans="7:12" ht="15.75" customHeight="1">
      <c r="G294" s="150"/>
      <c r="L294" s="150"/>
    </row>
    <row r="295" spans="7:12" ht="15.75" customHeight="1">
      <c r="G295" s="150"/>
      <c r="L295" s="150"/>
    </row>
    <row r="296" spans="7:12" ht="15.75" customHeight="1">
      <c r="G296" s="150"/>
      <c r="L296" s="150"/>
    </row>
    <row r="297" spans="7:12" ht="15.75" customHeight="1">
      <c r="G297" s="150"/>
      <c r="L297" s="150"/>
    </row>
    <row r="298" spans="7:12" ht="15.75" customHeight="1">
      <c r="G298" s="150"/>
      <c r="L298" s="150"/>
    </row>
    <row r="299" spans="7:12" ht="15.75" customHeight="1">
      <c r="G299" s="150"/>
      <c r="L299" s="150"/>
    </row>
    <row r="300" spans="7:12" ht="15.75" customHeight="1">
      <c r="G300" s="150"/>
      <c r="L300" s="150"/>
    </row>
    <row r="301" spans="7:12" ht="15.75" customHeight="1">
      <c r="G301" s="150"/>
      <c r="L301" s="150"/>
    </row>
    <row r="302" spans="7:12" ht="15.75" customHeight="1">
      <c r="G302" s="150"/>
      <c r="L302" s="150"/>
    </row>
    <row r="303" spans="7:12" ht="15.75" customHeight="1">
      <c r="G303" s="150"/>
      <c r="L303" s="150"/>
    </row>
    <row r="304" spans="7:12" ht="15.75" customHeight="1">
      <c r="G304" s="150"/>
      <c r="L304" s="150"/>
    </row>
    <row r="305" spans="7:12" ht="15.75" customHeight="1">
      <c r="G305" s="150"/>
      <c r="L305" s="150"/>
    </row>
    <row r="306" spans="7:12" ht="15.75" customHeight="1">
      <c r="G306" s="150"/>
      <c r="L306" s="150"/>
    </row>
    <row r="307" spans="7:12" ht="15.75" customHeight="1">
      <c r="G307" s="150"/>
      <c r="L307" s="150"/>
    </row>
    <row r="308" spans="7:12" ht="15.75" customHeight="1">
      <c r="G308" s="150"/>
      <c r="L308" s="150"/>
    </row>
    <row r="309" spans="7:12" ht="15.75" customHeight="1">
      <c r="G309" s="150"/>
      <c r="L309" s="150"/>
    </row>
    <row r="310" spans="7:12" ht="15.75" customHeight="1">
      <c r="G310" s="150"/>
      <c r="L310" s="150"/>
    </row>
    <row r="311" spans="7:12" ht="15.75" customHeight="1">
      <c r="G311" s="150"/>
      <c r="L311" s="150"/>
    </row>
    <row r="312" spans="7:12" ht="15.75" customHeight="1">
      <c r="G312" s="150"/>
      <c r="L312" s="150"/>
    </row>
    <row r="313" spans="7:12" ht="15.75" customHeight="1">
      <c r="G313" s="150"/>
      <c r="L313" s="150"/>
    </row>
    <row r="314" spans="7:12" ht="15.75" customHeight="1">
      <c r="G314" s="150"/>
      <c r="L314" s="150"/>
    </row>
    <row r="315" spans="7:12" ht="15.75" customHeight="1">
      <c r="G315" s="150"/>
      <c r="L315" s="150"/>
    </row>
    <row r="316" spans="7:12" ht="15.75" customHeight="1">
      <c r="G316" s="150"/>
      <c r="L316" s="150"/>
    </row>
    <row r="317" spans="7:12" ht="15.75" customHeight="1">
      <c r="G317" s="150"/>
      <c r="L317" s="150"/>
    </row>
    <row r="318" spans="7:12" ht="15.75" customHeight="1">
      <c r="G318" s="150"/>
      <c r="L318" s="150"/>
    </row>
    <row r="319" spans="7:12" ht="15.75" customHeight="1">
      <c r="G319" s="150"/>
      <c r="L319" s="150"/>
    </row>
    <row r="320" spans="7:12" ht="15.75" customHeight="1">
      <c r="G320" s="150"/>
      <c r="L320" s="150"/>
    </row>
    <row r="321" spans="7:12" ht="15.75" customHeight="1">
      <c r="G321" s="150"/>
      <c r="L321" s="150"/>
    </row>
    <row r="322" spans="7:12" ht="15.75" customHeight="1">
      <c r="G322" s="150"/>
      <c r="L322" s="150"/>
    </row>
    <row r="323" spans="7:12" ht="15.75" customHeight="1">
      <c r="G323" s="150"/>
      <c r="L323" s="150"/>
    </row>
    <row r="324" spans="7:12" ht="15.75" customHeight="1">
      <c r="G324" s="150"/>
      <c r="L324" s="150"/>
    </row>
    <row r="325" spans="7:12" ht="15.75" customHeight="1">
      <c r="G325" s="150"/>
      <c r="L325" s="150"/>
    </row>
    <row r="326" spans="7:12" ht="15.75" customHeight="1">
      <c r="G326" s="150"/>
      <c r="L326" s="150"/>
    </row>
    <row r="327" spans="7:12" ht="15.75" customHeight="1">
      <c r="G327" s="150"/>
      <c r="L327" s="150"/>
    </row>
    <row r="328" spans="7:12" ht="15.75" customHeight="1">
      <c r="G328" s="150"/>
      <c r="L328" s="150"/>
    </row>
    <row r="329" spans="7:12" ht="15.75" customHeight="1">
      <c r="G329" s="150"/>
      <c r="L329" s="150"/>
    </row>
    <row r="330" spans="7:12" ht="15.75" customHeight="1">
      <c r="G330" s="150"/>
      <c r="L330" s="150"/>
    </row>
    <row r="331" spans="7:12" ht="15.75" customHeight="1">
      <c r="G331" s="150"/>
      <c r="L331" s="150"/>
    </row>
    <row r="332" spans="7:12" ht="15.75" customHeight="1">
      <c r="G332" s="150"/>
      <c r="L332" s="150"/>
    </row>
    <row r="333" spans="7:12" ht="15.75" customHeight="1">
      <c r="G333" s="150"/>
      <c r="L333" s="150"/>
    </row>
    <row r="334" spans="7:12" ht="15.75" customHeight="1">
      <c r="G334" s="150"/>
      <c r="L334" s="150"/>
    </row>
    <row r="335" spans="7:12" ht="15.75" customHeight="1">
      <c r="G335" s="150"/>
      <c r="L335" s="150"/>
    </row>
    <row r="336" spans="7:12" ht="15.75" customHeight="1">
      <c r="G336" s="150"/>
      <c r="L336" s="150"/>
    </row>
    <row r="337" spans="7:12" ht="15.75" customHeight="1">
      <c r="G337" s="150"/>
      <c r="L337" s="150"/>
    </row>
    <row r="338" spans="7:12" ht="15.75" customHeight="1">
      <c r="G338" s="150"/>
      <c r="L338" s="150"/>
    </row>
    <row r="339" spans="7:12" ht="15.75" customHeight="1">
      <c r="G339" s="150"/>
      <c r="L339" s="150"/>
    </row>
    <row r="340" spans="7:12" ht="15.75" customHeight="1">
      <c r="G340" s="150"/>
      <c r="L340" s="150"/>
    </row>
    <row r="341" spans="7:12" ht="15.75" customHeight="1">
      <c r="G341" s="150"/>
      <c r="L341" s="150"/>
    </row>
    <row r="342" spans="7:12" ht="15.75" customHeight="1">
      <c r="G342" s="150"/>
      <c r="L342" s="150"/>
    </row>
    <row r="343" spans="7:12" ht="15.75" customHeight="1">
      <c r="G343" s="150"/>
      <c r="L343" s="150"/>
    </row>
    <row r="344" spans="7:12" ht="15.75" customHeight="1">
      <c r="G344" s="150"/>
      <c r="L344" s="150"/>
    </row>
    <row r="345" spans="7:12" ht="15.75" customHeight="1">
      <c r="G345" s="150"/>
      <c r="L345" s="150"/>
    </row>
    <row r="346" spans="7:12" ht="15.75" customHeight="1">
      <c r="G346" s="150"/>
      <c r="L346" s="150"/>
    </row>
    <row r="347" spans="7:12" ht="15.75" customHeight="1">
      <c r="G347" s="150"/>
      <c r="L347" s="150"/>
    </row>
    <row r="348" spans="7:12" ht="15.75" customHeight="1">
      <c r="G348" s="150"/>
      <c r="L348" s="150"/>
    </row>
    <row r="349" spans="7:12" ht="15.75" customHeight="1">
      <c r="G349" s="150"/>
      <c r="L349" s="150"/>
    </row>
    <row r="350" spans="7:12" ht="15.75" customHeight="1">
      <c r="G350" s="150"/>
      <c r="L350" s="150"/>
    </row>
    <row r="351" spans="7:12" ht="15.75" customHeight="1">
      <c r="G351" s="150"/>
      <c r="L351" s="150"/>
    </row>
    <row r="352" spans="7:12" ht="15.75" customHeight="1">
      <c r="G352" s="150"/>
      <c r="L352" s="150"/>
    </row>
    <row r="353" spans="7:12" ht="15.75" customHeight="1">
      <c r="G353" s="150"/>
      <c r="L353" s="150"/>
    </row>
    <row r="354" spans="7:12" ht="15.75" customHeight="1">
      <c r="G354" s="150"/>
      <c r="L354" s="150"/>
    </row>
    <row r="355" spans="7:12" ht="15.75" customHeight="1">
      <c r="G355" s="150"/>
      <c r="L355" s="150"/>
    </row>
    <row r="356" spans="7:12" ht="15.75" customHeight="1">
      <c r="G356" s="150"/>
      <c r="L356" s="150"/>
    </row>
    <row r="357" spans="7:12" ht="15.75" customHeight="1">
      <c r="G357" s="150"/>
      <c r="L357" s="150"/>
    </row>
    <row r="358" spans="7:12" ht="15.75" customHeight="1">
      <c r="G358" s="150"/>
      <c r="L358" s="150"/>
    </row>
    <row r="359" spans="7:12" ht="15.75" customHeight="1">
      <c r="G359" s="150"/>
      <c r="L359" s="150"/>
    </row>
    <row r="360" spans="7:12" ht="15.75" customHeight="1">
      <c r="G360" s="150"/>
      <c r="L360" s="150"/>
    </row>
    <row r="361" spans="7:12" ht="15.75" customHeight="1">
      <c r="G361" s="150"/>
      <c r="L361" s="150"/>
    </row>
    <row r="362" spans="7:12" ht="15.75" customHeight="1">
      <c r="G362" s="150"/>
      <c r="L362" s="150"/>
    </row>
    <row r="363" spans="7:12" ht="15.75" customHeight="1">
      <c r="G363" s="150"/>
      <c r="L363" s="150"/>
    </row>
    <row r="364" spans="7:12" ht="15.75" customHeight="1">
      <c r="G364" s="150"/>
      <c r="L364" s="150"/>
    </row>
    <row r="365" spans="7:12" ht="15.75" customHeight="1">
      <c r="G365" s="150"/>
      <c r="L365" s="150"/>
    </row>
    <row r="366" spans="7:12" ht="15.75" customHeight="1">
      <c r="G366" s="150"/>
      <c r="L366" s="150"/>
    </row>
    <row r="367" spans="7:12" ht="15.75" customHeight="1">
      <c r="G367" s="150"/>
      <c r="L367" s="150"/>
    </row>
    <row r="368" spans="7:12" ht="15.75" customHeight="1">
      <c r="G368" s="150"/>
      <c r="L368" s="150"/>
    </row>
    <row r="369" spans="7:12" ht="15.75" customHeight="1">
      <c r="G369" s="150"/>
      <c r="L369" s="150"/>
    </row>
    <row r="370" spans="7:12" ht="15.75" customHeight="1">
      <c r="G370" s="150"/>
      <c r="L370" s="150"/>
    </row>
    <row r="371" spans="7:12" ht="15.75" customHeight="1">
      <c r="G371" s="150"/>
      <c r="L371" s="150"/>
    </row>
    <row r="372" spans="7:12" ht="15.75" customHeight="1">
      <c r="G372" s="150"/>
      <c r="L372" s="150"/>
    </row>
    <row r="373" spans="7:12" ht="15.75" customHeight="1">
      <c r="G373" s="150"/>
      <c r="L373" s="150"/>
    </row>
    <row r="374" spans="7:12" ht="15.75" customHeight="1">
      <c r="G374" s="150"/>
      <c r="L374" s="150"/>
    </row>
    <row r="375" spans="7:12" ht="15.75" customHeight="1">
      <c r="G375" s="150"/>
      <c r="L375" s="150"/>
    </row>
    <row r="376" spans="7:12" ht="15.75" customHeight="1">
      <c r="G376" s="150"/>
      <c r="L376" s="150"/>
    </row>
    <row r="377" spans="7:12" ht="15.75" customHeight="1">
      <c r="G377" s="150"/>
      <c r="L377" s="150"/>
    </row>
    <row r="378" spans="7:12" ht="15.75" customHeight="1">
      <c r="G378" s="150"/>
      <c r="L378" s="150"/>
    </row>
    <row r="379" spans="7:12" ht="15.75" customHeight="1">
      <c r="G379" s="150"/>
      <c r="L379" s="150"/>
    </row>
    <row r="380" spans="7:12" ht="15.75" customHeight="1">
      <c r="G380" s="150"/>
      <c r="L380" s="150"/>
    </row>
    <row r="381" spans="7:12" ht="15.75" customHeight="1">
      <c r="G381" s="150"/>
      <c r="L381" s="150"/>
    </row>
    <row r="382" spans="7:12" ht="15.75" customHeight="1">
      <c r="G382" s="150"/>
      <c r="L382" s="150"/>
    </row>
    <row r="383" spans="7:12" ht="15.75" customHeight="1">
      <c r="G383" s="150"/>
      <c r="L383" s="150"/>
    </row>
    <row r="384" spans="7:12" ht="15.75" customHeight="1">
      <c r="G384" s="150"/>
      <c r="L384" s="150"/>
    </row>
    <row r="385" spans="7:12" ht="15.75" customHeight="1">
      <c r="G385" s="150"/>
      <c r="L385" s="150"/>
    </row>
    <row r="386" spans="7:12" ht="15.75" customHeight="1">
      <c r="G386" s="150"/>
      <c r="L386" s="150"/>
    </row>
    <row r="387" spans="7:12" ht="15.75" customHeight="1">
      <c r="G387" s="150"/>
      <c r="L387" s="150"/>
    </row>
    <row r="388" spans="7:12" ht="15.75" customHeight="1">
      <c r="G388" s="150"/>
      <c r="L388" s="150"/>
    </row>
    <row r="389" spans="7:12" ht="15.75" customHeight="1">
      <c r="G389" s="150"/>
      <c r="L389" s="150"/>
    </row>
    <row r="390" spans="7:12" ht="15.75" customHeight="1">
      <c r="G390" s="150"/>
      <c r="L390" s="150"/>
    </row>
    <row r="391" spans="7:12" ht="15.75" customHeight="1">
      <c r="G391" s="150"/>
      <c r="L391" s="150"/>
    </row>
    <row r="392" spans="7:12" ht="15.75" customHeight="1">
      <c r="G392" s="150"/>
      <c r="L392" s="150"/>
    </row>
    <row r="393" spans="7:12" ht="15.75" customHeight="1">
      <c r="G393" s="150"/>
      <c r="L393" s="150"/>
    </row>
    <row r="394" spans="7:12" ht="15.75" customHeight="1">
      <c r="G394" s="150"/>
      <c r="L394" s="150"/>
    </row>
    <row r="395" spans="7:12" ht="15.75" customHeight="1">
      <c r="G395" s="150"/>
      <c r="L395" s="150"/>
    </row>
    <row r="396" spans="7:12" ht="15.75" customHeight="1">
      <c r="G396" s="150"/>
      <c r="L396" s="150"/>
    </row>
    <row r="397" spans="7:12" ht="15.75" customHeight="1">
      <c r="G397" s="150"/>
      <c r="L397" s="150"/>
    </row>
    <row r="398" spans="7:12" ht="15.75" customHeight="1">
      <c r="G398" s="150"/>
      <c r="L398" s="150"/>
    </row>
    <row r="399" spans="7:12" ht="15.75" customHeight="1">
      <c r="G399" s="150"/>
      <c r="L399" s="150"/>
    </row>
    <row r="400" spans="7:12" ht="15.75" customHeight="1">
      <c r="G400" s="150"/>
      <c r="L400" s="150"/>
    </row>
    <row r="401" spans="7:12" ht="15.75" customHeight="1">
      <c r="G401" s="150"/>
      <c r="L401" s="150"/>
    </row>
    <row r="402" spans="7:12" ht="15.75" customHeight="1">
      <c r="G402" s="150"/>
      <c r="L402" s="150"/>
    </row>
    <row r="403" spans="7:12" ht="15.75" customHeight="1">
      <c r="G403" s="150"/>
      <c r="L403" s="150"/>
    </row>
    <row r="404" spans="7:12" ht="15.75" customHeight="1">
      <c r="G404" s="150"/>
      <c r="L404" s="150"/>
    </row>
    <row r="405" spans="7:12" ht="15.75" customHeight="1">
      <c r="G405" s="150"/>
      <c r="L405" s="150"/>
    </row>
    <row r="406" spans="7:12" ht="15.75" customHeight="1">
      <c r="G406" s="150"/>
      <c r="L406" s="150"/>
    </row>
    <row r="407" spans="7:12" ht="15.75" customHeight="1">
      <c r="G407" s="150"/>
      <c r="L407" s="150"/>
    </row>
    <row r="408" spans="7:12" ht="15.75" customHeight="1">
      <c r="G408" s="150"/>
      <c r="L408" s="150"/>
    </row>
    <row r="409" spans="7:12" ht="15.75" customHeight="1">
      <c r="G409" s="150"/>
      <c r="L409" s="150"/>
    </row>
    <row r="410" spans="7:12" ht="15.75" customHeight="1">
      <c r="G410" s="150"/>
      <c r="L410" s="150"/>
    </row>
    <row r="411" spans="7:12" ht="15.75" customHeight="1">
      <c r="G411" s="150"/>
      <c r="L411" s="150"/>
    </row>
    <row r="412" spans="7:12" ht="15.75" customHeight="1">
      <c r="G412" s="150"/>
      <c r="L412" s="150"/>
    </row>
    <row r="413" spans="7:12" ht="15.75" customHeight="1">
      <c r="G413" s="150"/>
      <c r="L413" s="150"/>
    </row>
    <row r="414" spans="7:12" ht="15.75" customHeight="1">
      <c r="G414" s="150"/>
      <c r="L414" s="150"/>
    </row>
    <row r="415" spans="7:12" ht="15.75" customHeight="1">
      <c r="G415" s="150"/>
      <c r="L415" s="150"/>
    </row>
    <row r="416" spans="7:12" ht="15.75" customHeight="1">
      <c r="G416" s="150"/>
      <c r="L416" s="150"/>
    </row>
    <row r="417" spans="7:12" ht="15.75" customHeight="1">
      <c r="G417" s="150"/>
      <c r="L417" s="150"/>
    </row>
    <row r="418" spans="7:12" ht="15.75" customHeight="1">
      <c r="G418" s="150"/>
      <c r="L418" s="150"/>
    </row>
    <row r="419" spans="7:12" ht="15.75" customHeight="1">
      <c r="G419" s="150"/>
      <c r="L419" s="150"/>
    </row>
    <row r="420" spans="7:12" ht="15.75" customHeight="1">
      <c r="G420" s="150"/>
      <c r="L420" s="150"/>
    </row>
    <row r="421" spans="7:12" ht="15.75" customHeight="1">
      <c r="G421" s="150"/>
      <c r="L421" s="150"/>
    </row>
    <row r="422" spans="7:12" ht="15.75" customHeight="1">
      <c r="G422" s="150"/>
      <c r="L422" s="150"/>
    </row>
    <row r="423" spans="7:12" ht="15.75" customHeight="1">
      <c r="G423" s="150"/>
      <c r="L423" s="150"/>
    </row>
    <row r="424" spans="7:12" ht="15.75" customHeight="1">
      <c r="G424" s="150"/>
      <c r="L424" s="150"/>
    </row>
    <row r="425" spans="7:12" ht="15.75" customHeight="1">
      <c r="G425" s="150"/>
      <c r="L425" s="150"/>
    </row>
    <row r="426" spans="7:12" ht="15.75" customHeight="1">
      <c r="G426" s="150"/>
      <c r="L426" s="150"/>
    </row>
    <row r="427" spans="7:12" ht="15.75" customHeight="1">
      <c r="G427" s="150"/>
      <c r="L427" s="150"/>
    </row>
    <row r="428" spans="7:12" ht="15.75" customHeight="1">
      <c r="G428" s="150"/>
      <c r="L428" s="150"/>
    </row>
    <row r="429" spans="7:12" ht="15.75" customHeight="1">
      <c r="G429" s="150"/>
      <c r="L429" s="150"/>
    </row>
    <row r="430" spans="7:12" ht="15.75" customHeight="1">
      <c r="G430" s="150"/>
      <c r="L430" s="150"/>
    </row>
    <row r="431" spans="7:12" ht="15.75" customHeight="1">
      <c r="G431" s="150"/>
      <c r="L431" s="150"/>
    </row>
    <row r="432" spans="7:12" ht="15.75" customHeight="1">
      <c r="G432" s="150"/>
      <c r="L432" s="150"/>
    </row>
    <row r="433" spans="7:12" ht="15.75" customHeight="1">
      <c r="G433" s="150"/>
      <c r="L433" s="150"/>
    </row>
    <row r="434" spans="7:12" ht="15.75" customHeight="1">
      <c r="G434" s="150"/>
      <c r="L434" s="150"/>
    </row>
    <row r="435" spans="7:12" ht="15.75" customHeight="1">
      <c r="G435" s="150"/>
      <c r="L435" s="150"/>
    </row>
    <row r="436" spans="7:12" ht="15.75" customHeight="1">
      <c r="G436" s="150"/>
      <c r="L436" s="150"/>
    </row>
    <row r="437" spans="7:12" ht="15.75" customHeight="1">
      <c r="G437" s="150"/>
      <c r="L437" s="150"/>
    </row>
    <row r="438" spans="7:12" ht="15.75" customHeight="1">
      <c r="G438" s="150"/>
      <c r="L438" s="150"/>
    </row>
    <row r="439" spans="7:12" ht="15.75" customHeight="1">
      <c r="G439" s="150"/>
      <c r="L439" s="150"/>
    </row>
    <row r="440" spans="7:12" ht="15.75" customHeight="1">
      <c r="G440" s="150"/>
      <c r="L440" s="150"/>
    </row>
    <row r="441" spans="7:12" ht="15.75" customHeight="1">
      <c r="G441" s="150"/>
      <c r="L441" s="150"/>
    </row>
    <row r="442" spans="7:12" ht="15.75" customHeight="1">
      <c r="G442" s="150"/>
      <c r="L442" s="150"/>
    </row>
    <row r="443" spans="7:12" ht="15.75" customHeight="1">
      <c r="G443" s="150"/>
      <c r="L443" s="150"/>
    </row>
    <row r="444" spans="7:12" ht="15.75" customHeight="1">
      <c r="G444" s="150"/>
      <c r="L444" s="150"/>
    </row>
    <row r="445" spans="7:12" ht="15.75" customHeight="1">
      <c r="G445" s="150"/>
      <c r="L445" s="150"/>
    </row>
    <row r="446" spans="7:12" ht="15.75" customHeight="1">
      <c r="G446" s="150"/>
      <c r="L446" s="150"/>
    </row>
    <row r="447" spans="7:12" ht="15.75" customHeight="1">
      <c r="G447" s="150"/>
      <c r="L447" s="150"/>
    </row>
    <row r="448" spans="7:12" ht="15.75" customHeight="1">
      <c r="G448" s="150"/>
      <c r="L448" s="150"/>
    </row>
    <row r="449" spans="7:12" ht="15.75" customHeight="1">
      <c r="G449" s="150"/>
      <c r="L449" s="150"/>
    </row>
    <row r="450" spans="7:12" ht="15.75" customHeight="1">
      <c r="G450" s="150"/>
      <c r="L450" s="150"/>
    </row>
    <row r="451" spans="7:12" ht="15.75" customHeight="1">
      <c r="G451" s="150"/>
      <c r="L451" s="150"/>
    </row>
    <row r="452" spans="7:12" ht="15.75" customHeight="1">
      <c r="G452" s="150"/>
      <c r="L452" s="150"/>
    </row>
    <row r="453" spans="7:12" ht="15.75" customHeight="1">
      <c r="G453" s="150"/>
      <c r="L453" s="150"/>
    </row>
    <row r="454" spans="7:12" ht="15.75" customHeight="1">
      <c r="G454" s="150"/>
      <c r="L454" s="150"/>
    </row>
    <row r="455" spans="7:12" ht="15.75" customHeight="1">
      <c r="G455" s="150"/>
      <c r="L455" s="150"/>
    </row>
    <row r="456" spans="7:12" ht="15.75" customHeight="1">
      <c r="G456" s="150"/>
      <c r="L456" s="150"/>
    </row>
    <row r="457" spans="7:12" ht="15.75" customHeight="1">
      <c r="G457" s="150"/>
      <c r="L457" s="150"/>
    </row>
    <row r="458" spans="7:12" ht="15.75" customHeight="1">
      <c r="G458" s="150"/>
      <c r="L458" s="150"/>
    </row>
    <row r="459" spans="7:12" ht="15.75" customHeight="1">
      <c r="G459" s="150"/>
      <c r="L459" s="150"/>
    </row>
    <row r="460" spans="7:12" ht="15.75" customHeight="1">
      <c r="G460" s="150"/>
      <c r="L460" s="150"/>
    </row>
    <row r="461" spans="7:12" ht="15.75" customHeight="1">
      <c r="G461" s="150"/>
      <c r="L461" s="150"/>
    </row>
    <row r="462" spans="7:12" ht="15.75" customHeight="1">
      <c r="G462" s="150"/>
      <c r="L462" s="150"/>
    </row>
    <row r="463" spans="7:12" ht="15.75" customHeight="1">
      <c r="G463" s="150"/>
      <c r="L463" s="150"/>
    </row>
    <row r="464" spans="7:12" ht="15.75" customHeight="1">
      <c r="G464" s="150"/>
      <c r="L464" s="150"/>
    </row>
    <row r="465" spans="7:12" ht="15.75" customHeight="1">
      <c r="G465" s="150"/>
      <c r="L465" s="150"/>
    </row>
    <row r="466" spans="7:12" ht="15.75" customHeight="1">
      <c r="G466" s="150"/>
      <c r="L466" s="150"/>
    </row>
    <row r="467" spans="7:12" ht="15.75" customHeight="1">
      <c r="G467" s="150"/>
      <c r="L467" s="150"/>
    </row>
    <row r="468" spans="7:12" ht="15.75" customHeight="1">
      <c r="G468" s="150"/>
      <c r="L468" s="150"/>
    </row>
    <row r="469" spans="7:12" ht="15.75" customHeight="1">
      <c r="G469" s="150"/>
      <c r="L469" s="150"/>
    </row>
    <row r="470" spans="7:12" ht="15.75" customHeight="1">
      <c r="G470" s="150"/>
      <c r="L470" s="150"/>
    </row>
    <row r="471" spans="7:12" ht="15.75" customHeight="1">
      <c r="G471" s="150"/>
      <c r="L471" s="150"/>
    </row>
    <row r="472" spans="7:12" ht="15.75" customHeight="1">
      <c r="G472" s="150"/>
      <c r="L472" s="150"/>
    </row>
    <row r="473" spans="7:12" ht="15.75" customHeight="1">
      <c r="G473" s="150"/>
      <c r="L473" s="150"/>
    </row>
    <row r="474" spans="7:12" ht="15.75" customHeight="1">
      <c r="G474" s="150"/>
      <c r="L474" s="150"/>
    </row>
    <row r="475" spans="7:12" ht="15.75" customHeight="1">
      <c r="G475" s="150"/>
      <c r="L475" s="150"/>
    </row>
    <row r="476" spans="7:12" ht="15.75" customHeight="1">
      <c r="G476" s="150"/>
      <c r="L476" s="150"/>
    </row>
    <row r="477" spans="7:12" ht="15.75" customHeight="1">
      <c r="G477" s="150"/>
      <c r="L477" s="150"/>
    </row>
    <row r="478" spans="7:12" ht="15.75" customHeight="1">
      <c r="G478" s="150"/>
      <c r="L478" s="150"/>
    </row>
    <row r="479" spans="7:12" ht="15.75" customHeight="1">
      <c r="G479" s="150"/>
      <c r="L479" s="150"/>
    </row>
    <row r="480" spans="7:12" ht="15.75" customHeight="1">
      <c r="G480" s="150"/>
      <c r="L480" s="150"/>
    </row>
    <row r="481" spans="7:12" ht="15.75" customHeight="1">
      <c r="G481" s="150"/>
      <c r="L481" s="150"/>
    </row>
    <row r="482" spans="7:12" ht="15.75" customHeight="1">
      <c r="G482" s="150"/>
      <c r="L482" s="150"/>
    </row>
    <row r="483" spans="7:12" ht="15.75" customHeight="1">
      <c r="G483" s="150"/>
      <c r="L483" s="150"/>
    </row>
    <row r="484" spans="7:12" ht="15.75" customHeight="1">
      <c r="G484" s="150"/>
      <c r="L484" s="150"/>
    </row>
    <row r="485" spans="7:12" ht="15.75" customHeight="1">
      <c r="G485" s="150"/>
      <c r="L485" s="150"/>
    </row>
    <row r="486" spans="7:12" ht="15.75" customHeight="1">
      <c r="G486" s="150"/>
      <c r="L486" s="150"/>
    </row>
    <row r="487" spans="7:12" ht="15.75" customHeight="1">
      <c r="G487" s="150"/>
      <c r="L487" s="150"/>
    </row>
    <row r="488" spans="7:12" ht="15.75" customHeight="1">
      <c r="G488" s="150"/>
      <c r="L488" s="150"/>
    </row>
    <row r="489" spans="7:12" ht="15.75" customHeight="1">
      <c r="G489" s="150"/>
      <c r="L489" s="150"/>
    </row>
    <row r="490" spans="7:12" ht="15.75" customHeight="1">
      <c r="G490" s="150"/>
      <c r="L490" s="150"/>
    </row>
    <row r="491" spans="7:12" ht="15.75" customHeight="1">
      <c r="G491" s="150"/>
      <c r="L491" s="150"/>
    </row>
    <row r="492" spans="7:12" ht="15.75" customHeight="1">
      <c r="G492" s="150"/>
      <c r="L492" s="150"/>
    </row>
    <row r="493" spans="7:12" ht="15.75" customHeight="1">
      <c r="G493" s="150"/>
      <c r="L493" s="150"/>
    </row>
    <row r="494" spans="7:12" ht="15.75" customHeight="1">
      <c r="G494" s="150"/>
      <c r="L494" s="150"/>
    </row>
    <row r="495" spans="7:12" ht="15.75" customHeight="1">
      <c r="G495" s="150"/>
      <c r="L495" s="150"/>
    </row>
    <row r="496" spans="7:12" ht="15.75" customHeight="1">
      <c r="G496" s="150"/>
      <c r="L496" s="150"/>
    </row>
    <row r="497" spans="7:12" ht="15.75" customHeight="1">
      <c r="G497" s="150"/>
      <c r="L497" s="150"/>
    </row>
    <row r="498" spans="7:12" ht="15.75" customHeight="1">
      <c r="G498" s="150"/>
      <c r="L498" s="150"/>
    </row>
    <row r="499" spans="7:12" ht="15.75" customHeight="1">
      <c r="G499" s="150"/>
      <c r="L499" s="150"/>
    </row>
    <row r="500" spans="7:12" ht="15.75" customHeight="1">
      <c r="G500" s="150"/>
      <c r="L500" s="150"/>
    </row>
    <row r="501" spans="7:12" ht="15.75" customHeight="1">
      <c r="G501" s="150"/>
      <c r="L501" s="150"/>
    </row>
    <row r="502" spans="7:12" ht="15.75" customHeight="1">
      <c r="G502" s="150"/>
      <c r="L502" s="150"/>
    </row>
    <row r="503" spans="7:12" ht="15.75" customHeight="1">
      <c r="G503" s="150"/>
      <c r="L503" s="150"/>
    </row>
    <row r="504" spans="7:12" ht="15.75" customHeight="1">
      <c r="G504" s="150"/>
      <c r="L504" s="150"/>
    </row>
    <row r="505" spans="7:12" ht="15.75" customHeight="1">
      <c r="G505" s="150"/>
      <c r="L505" s="150"/>
    </row>
    <row r="506" spans="7:12" ht="15.75" customHeight="1">
      <c r="G506" s="150"/>
      <c r="L506" s="150"/>
    </row>
    <row r="507" spans="7:12" ht="15.75" customHeight="1">
      <c r="G507" s="150"/>
      <c r="L507" s="150"/>
    </row>
    <row r="508" spans="7:12" ht="15.75" customHeight="1">
      <c r="G508" s="150"/>
      <c r="L508" s="150"/>
    </row>
    <row r="509" spans="7:12" ht="15.75" customHeight="1">
      <c r="G509" s="150"/>
      <c r="L509" s="150"/>
    </row>
    <row r="510" spans="7:12" ht="15.75" customHeight="1">
      <c r="G510" s="150"/>
      <c r="L510" s="150"/>
    </row>
    <row r="511" spans="7:12" ht="15.75" customHeight="1">
      <c r="G511" s="150"/>
      <c r="L511" s="150"/>
    </row>
    <row r="512" spans="7:12" ht="15.75" customHeight="1">
      <c r="G512" s="150"/>
      <c r="L512" s="150"/>
    </row>
    <row r="513" spans="7:12" ht="15.75" customHeight="1">
      <c r="G513" s="150"/>
      <c r="L513" s="150"/>
    </row>
    <row r="514" spans="7:12" ht="15.75" customHeight="1">
      <c r="G514" s="150"/>
      <c r="L514" s="150"/>
    </row>
    <row r="515" spans="7:12" ht="15.75" customHeight="1">
      <c r="G515" s="150"/>
      <c r="L515" s="150"/>
    </row>
    <row r="516" spans="7:12" ht="15.75" customHeight="1">
      <c r="G516" s="150"/>
      <c r="L516" s="150"/>
    </row>
    <row r="517" spans="7:12" ht="15.75" customHeight="1">
      <c r="G517" s="150"/>
      <c r="L517" s="150"/>
    </row>
    <row r="518" spans="7:12" ht="15.75" customHeight="1">
      <c r="G518" s="150"/>
      <c r="L518" s="150"/>
    </row>
    <row r="519" spans="7:12" ht="15.75" customHeight="1">
      <c r="G519" s="150"/>
      <c r="L519" s="150"/>
    </row>
    <row r="520" spans="7:12" ht="15.75" customHeight="1">
      <c r="G520" s="150"/>
      <c r="L520" s="150"/>
    </row>
    <row r="521" spans="7:12" ht="15.75" customHeight="1">
      <c r="G521" s="150"/>
      <c r="L521" s="150"/>
    </row>
    <row r="522" spans="7:12" ht="15.75" customHeight="1">
      <c r="G522" s="150"/>
      <c r="L522" s="150"/>
    </row>
    <row r="523" spans="7:12" ht="15.75" customHeight="1">
      <c r="G523" s="150"/>
      <c r="L523" s="150"/>
    </row>
    <row r="524" spans="7:12" ht="15.75" customHeight="1">
      <c r="G524" s="150"/>
      <c r="L524" s="150"/>
    </row>
    <row r="525" spans="7:12" ht="15.75" customHeight="1">
      <c r="G525" s="150"/>
      <c r="L525" s="150"/>
    </row>
    <row r="526" spans="7:12" ht="15.75" customHeight="1">
      <c r="G526" s="150"/>
      <c r="L526" s="150"/>
    </row>
    <row r="527" spans="7:12" ht="15.75" customHeight="1">
      <c r="G527" s="150"/>
      <c r="L527" s="150"/>
    </row>
    <row r="528" spans="7:12" ht="15.75" customHeight="1">
      <c r="G528" s="150"/>
      <c r="L528" s="150"/>
    </row>
    <row r="529" spans="7:12" ht="15.75" customHeight="1">
      <c r="G529" s="150"/>
      <c r="L529" s="150"/>
    </row>
    <row r="530" spans="7:12" ht="15.75" customHeight="1">
      <c r="G530" s="150"/>
      <c r="L530" s="150"/>
    </row>
    <row r="531" spans="7:12" ht="15.75" customHeight="1">
      <c r="G531" s="150"/>
      <c r="L531" s="150"/>
    </row>
    <row r="532" spans="7:12" ht="15.75" customHeight="1">
      <c r="G532" s="150"/>
      <c r="L532" s="150"/>
    </row>
    <row r="533" spans="7:12" ht="15.75" customHeight="1">
      <c r="G533" s="150"/>
      <c r="L533" s="150"/>
    </row>
    <row r="534" spans="7:12" ht="15.75" customHeight="1">
      <c r="G534" s="150"/>
      <c r="L534" s="150"/>
    </row>
    <row r="535" spans="7:12" ht="15.75" customHeight="1">
      <c r="G535" s="150"/>
      <c r="L535" s="150"/>
    </row>
    <row r="536" spans="7:12" ht="15.75" customHeight="1">
      <c r="G536" s="150"/>
      <c r="L536" s="150"/>
    </row>
    <row r="537" spans="7:12" ht="15.75" customHeight="1">
      <c r="G537" s="150"/>
      <c r="L537" s="150"/>
    </row>
    <row r="538" spans="7:12" ht="15.75" customHeight="1">
      <c r="G538" s="150"/>
      <c r="L538" s="150"/>
    </row>
    <row r="539" spans="7:12" ht="15.75" customHeight="1">
      <c r="G539" s="150"/>
      <c r="L539" s="150"/>
    </row>
    <row r="540" spans="7:12" ht="15.75" customHeight="1">
      <c r="G540" s="150"/>
      <c r="L540" s="150"/>
    </row>
    <row r="541" spans="7:12" ht="15.75" customHeight="1">
      <c r="G541" s="150"/>
      <c r="L541" s="150"/>
    </row>
    <row r="542" spans="7:12" ht="15.75" customHeight="1">
      <c r="G542" s="150"/>
      <c r="L542" s="150"/>
    </row>
    <row r="543" spans="7:12" ht="15.75" customHeight="1">
      <c r="G543" s="150"/>
      <c r="L543" s="150"/>
    </row>
    <row r="544" spans="7:12" ht="15.75" customHeight="1">
      <c r="G544" s="150"/>
      <c r="L544" s="150"/>
    </row>
    <row r="545" spans="7:12" ht="15.75" customHeight="1">
      <c r="G545" s="150"/>
      <c r="L545" s="150"/>
    </row>
    <row r="546" spans="7:12" ht="15.75" customHeight="1">
      <c r="G546" s="150"/>
      <c r="L546" s="150"/>
    </row>
    <row r="547" spans="7:12" ht="15.75" customHeight="1">
      <c r="G547" s="150"/>
      <c r="L547" s="150"/>
    </row>
    <row r="548" spans="7:12" ht="15.75" customHeight="1">
      <c r="G548" s="150"/>
      <c r="L548" s="150"/>
    </row>
    <row r="549" spans="7:12" ht="15.75" customHeight="1">
      <c r="G549" s="150"/>
      <c r="L549" s="150"/>
    </row>
    <row r="550" spans="7:12" ht="15.75" customHeight="1">
      <c r="G550" s="150"/>
      <c r="L550" s="150"/>
    </row>
    <row r="551" spans="7:12" ht="15.75" customHeight="1">
      <c r="G551" s="150"/>
      <c r="L551" s="150"/>
    </row>
    <row r="552" spans="7:12" ht="15.75" customHeight="1">
      <c r="G552" s="150"/>
      <c r="L552" s="150"/>
    </row>
    <row r="553" spans="7:12" ht="15.75" customHeight="1">
      <c r="G553" s="150"/>
      <c r="L553" s="150"/>
    </row>
    <row r="554" spans="7:12" ht="15.75" customHeight="1">
      <c r="G554" s="150"/>
      <c r="L554" s="150"/>
    </row>
    <row r="555" spans="7:12" ht="15.75" customHeight="1">
      <c r="G555" s="150"/>
      <c r="L555" s="150"/>
    </row>
    <row r="556" spans="7:12" ht="15.75" customHeight="1">
      <c r="G556" s="150"/>
      <c r="L556" s="150"/>
    </row>
    <row r="557" spans="7:12" ht="15.75" customHeight="1">
      <c r="G557" s="150"/>
      <c r="L557" s="150"/>
    </row>
    <row r="558" spans="7:12" ht="15.75" customHeight="1">
      <c r="G558" s="150"/>
      <c r="L558" s="150"/>
    </row>
    <row r="559" spans="7:12" ht="15.75" customHeight="1">
      <c r="G559" s="150"/>
      <c r="L559" s="150"/>
    </row>
    <row r="560" spans="7:12" ht="15.75" customHeight="1">
      <c r="G560" s="150"/>
      <c r="L560" s="150"/>
    </row>
    <row r="561" spans="7:12" ht="15.75" customHeight="1">
      <c r="G561" s="150"/>
      <c r="L561" s="150"/>
    </row>
    <row r="562" spans="7:12" ht="15.75" customHeight="1">
      <c r="G562" s="150"/>
      <c r="L562" s="150"/>
    </row>
    <row r="563" spans="7:12" ht="15.75" customHeight="1">
      <c r="G563" s="150"/>
      <c r="L563" s="150"/>
    </row>
    <row r="564" spans="7:12" ht="15.75" customHeight="1">
      <c r="G564" s="150"/>
      <c r="L564" s="150"/>
    </row>
    <row r="565" spans="7:12" ht="15.75" customHeight="1">
      <c r="G565" s="150"/>
      <c r="L565" s="150"/>
    </row>
    <row r="566" spans="7:12" ht="15.75" customHeight="1">
      <c r="G566" s="150"/>
      <c r="L566" s="150"/>
    </row>
    <row r="567" spans="7:12" ht="15.75" customHeight="1">
      <c r="G567" s="150"/>
      <c r="L567" s="150"/>
    </row>
    <row r="568" spans="7:12" ht="15.75" customHeight="1">
      <c r="G568" s="150"/>
      <c r="L568" s="150"/>
    </row>
    <row r="569" spans="7:12" ht="15.75" customHeight="1">
      <c r="G569" s="150"/>
      <c r="L569" s="150"/>
    </row>
    <row r="570" spans="7:12" ht="15.75" customHeight="1">
      <c r="G570" s="150"/>
      <c r="L570" s="150"/>
    </row>
    <row r="571" spans="7:12" ht="15.75" customHeight="1">
      <c r="G571" s="150"/>
      <c r="L571" s="150"/>
    </row>
    <row r="572" spans="7:12" ht="15.75" customHeight="1">
      <c r="G572" s="150"/>
      <c r="L572" s="150"/>
    </row>
    <row r="573" spans="7:12" ht="15.75" customHeight="1">
      <c r="G573" s="150"/>
      <c r="L573" s="150"/>
    </row>
    <row r="574" spans="7:12" ht="15.75" customHeight="1">
      <c r="G574" s="150"/>
      <c r="L574" s="150"/>
    </row>
    <row r="575" spans="7:12" ht="15.75" customHeight="1">
      <c r="G575" s="150"/>
      <c r="L575" s="150"/>
    </row>
    <row r="576" spans="7:12" ht="15.75" customHeight="1">
      <c r="G576" s="150"/>
      <c r="L576" s="150"/>
    </row>
    <row r="577" spans="7:12" ht="15.75" customHeight="1">
      <c r="G577" s="150"/>
      <c r="L577" s="150"/>
    </row>
    <row r="578" spans="7:12" ht="15.75" customHeight="1">
      <c r="G578" s="150"/>
      <c r="L578" s="150"/>
    </row>
    <row r="579" spans="7:12" ht="15.75" customHeight="1">
      <c r="G579" s="150"/>
      <c r="L579" s="150"/>
    </row>
    <row r="580" spans="7:12" ht="15.75" customHeight="1">
      <c r="G580" s="150"/>
      <c r="L580" s="150"/>
    </row>
    <row r="581" spans="7:12" ht="15.75" customHeight="1">
      <c r="G581" s="150"/>
      <c r="L581" s="150"/>
    </row>
    <row r="582" spans="7:12" ht="15.75" customHeight="1">
      <c r="G582" s="150"/>
      <c r="L582" s="150"/>
    </row>
    <row r="583" spans="7:12" ht="15.75" customHeight="1">
      <c r="G583" s="150"/>
      <c r="L583" s="150"/>
    </row>
    <row r="584" spans="7:12" ht="15.75" customHeight="1">
      <c r="G584" s="150"/>
      <c r="L584" s="150"/>
    </row>
    <row r="585" spans="7:12" ht="15.75" customHeight="1">
      <c r="G585" s="150"/>
      <c r="L585" s="150"/>
    </row>
    <row r="586" spans="7:12" ht="15.75" customHeight="1">
      <c r="G586" s="150"/>
      <c r="L586" s="150"/>
    </row>
    <row r="587" spans="7:12" ht="15.75" customHeight="1">
      <c r="G587" s="150"/>
      <c r="L587" s="150"/>
    </row>
    <row r="588" spans="7:12" ht="15.75" customHeight="1">
      <c r="G588" s="150"/>
      <c r="L588" s="150"/>
    </row>
    <row r="589" spans="7:12" ht="15.75" customHeight="1">
      <c r="G589" s="150"/>
      <c r="L589" s="150"/>
    </row>
    <row r="590" spans="7:12" ht="15.75" customHeight="1">
      <c r="G590" s="150"/>
      <c r="L590" s="150"/>
    </row>
    <row r="591" spans="7:12" ht="15.75" customHeight="1">
      <c r="G591" s="150"/>
      <c r="L591" s="150"/>
    </row>
    <row r="592" spans="7:12" ht="15.75" customHeight="1">
      <c r="G592" s="150"/>
      <c r="L592" s="150"/>
    </row>
    <row r="593" spans="7:12" ht="15.75" customHeight="1">
      <c r="G593" s="150"/>
      <c r="L593" s="150"/>
    </row>
    <row r="594" spans="7:12" ht="15.75" customHeight="1">
      <c r="G594" s="150"/>
      <c r="L594" s="150"/>
    </row>
    <row r="595" spans="7:12" ht="15.75" customHeight="1">
      <c r="G595" s="150"/>
      <c r="L595" s="150"/>
    </row>
    <row r="596" spans="7:12" ht="15.75" customHeight="1">
      <c r="G596" s="150"/>
      <c r="L596" s="150"/>
    </row>
    <row r="597" spans="7:12" ht="15.75" customHeight="1">
      <c r="G597" s="150"/>
      <c r="L597" s="150"/>
    </row>
    <row r="598" spans="7:12" ht="15.75" customHeight="1">
      <c r="G598" s="150"/>
      <c r="L598" s="150"/>
    </row>
    <row r="599" spans="7:12" ht="15.75" customHeight="1">
      <c r="G599" s="150"/>
      <c r="L599" s="150"/>
    </row>
    <row r="600" spans="7:12" ht="15.75" customHeight="1">
      <c r="G600" s="150"/>
      <c r="L600" s="150"/>
    </row>
    <row r="601" spans="7:12" ht="15.75" customHeight="1">
      <c r="G601" s="150"/>
      <c r="L601" s="150"/>
    </row>
    <row r="602" spans="7:12" ht="15.75" customHeight="1">
      <c r="G602" s="150"/>
      <c r="L602" s="150"/>
    </row>
    <row r="603" spans="7:12" ht="15.75" customHeight="1">
      <c r="G603" s="150"/>
      <c r="L603" s="150"/>
    </row>
    <row r="604" spans="7:12" ht="15.75" customHeight="1">
      <c r="G604" s="150"/>
      <c r="L604" s="150"/>
    </row>
    <row r="605" spans="7:12" ht="15.75" customHeight="1">
      <c r="G605" s="150"/>
      <c r="L605" s="150"/>
    </row>
    <row r="606" spans="7:12" ht="15.75" customHeight="1">
      <c r="G606" s="150"/>
      <c r="L606" s="150"/>
    </row>
    <row r="607" spans="7:12" ht="15.75" customHeight="1">
      <c r="G607" s="150"/>
      <c r="L607" s="150"/>
    </row>
    <row r="608" spans="7:12" ht="15.75" customHeight="1">
      <c r="G608" s="150"/>
      <c r="L608" s="150"/>
    </row>
    <row r="609" spans="7:12" ht="15.75" customHeight="1">
      <c r="G609" s="150"/>
      <c r="L609" s="150"/>
    </row>
    <row r="610" spans="7:12" ht="15.75" customHeight="1">
      <c r="G610" s="150"/>
      <c r="L610" s="150"/>
    </row>
    <row r="611" spans="7:12" ht="15.75" customHeight="1">
      <c r="G611" s="150"/>
      <c r="L611" s="150"/>
    </row>
    <row r="612" spans="7:12" ht="15.75" customHeight="1">
      <c r="G612" s="150"/>
      <c r="L612" s="150"/>
    </row>
    <row r="613" spans="7:12" ht="15.75" customHeight="1">
      <c r="G613" s="150"/>
      <c r="L613" s="150"/>
    </row>
    <row r="614" spans="7:12" ht="15.75" customHeight="1">
      <c r="G614" s="150"/>
      <c r="L614" s="150"/>
    </row>
    <row r="615" spans="7:12" ht="15.75" customHeight="1">
      <c r="G615" s="150"/>
      <c r="L615" s="150"/>
    </row>
    <row r="616" spans="7:12" ht="15.75" customHeight="1">
      <c r="G616" s="150"/>
      <c r="L616" s="150"/>
    </row>
    <row r="617" spans="7:12" ht="15.75" customHeight="1">
      <c r="G617" s="150"/>
      <c r="L617" s="150"/>
    </row>
    <row r="618" spans="7:12" ht="15.75" customHeight="1">
      <c r="G618" s="150"/>
      <c r="L618" s="150"/>
    </row>
    <row r="619" spans="7:12" ht="15.75" customHeight="1">
      <c r="G619" s="150"/>
      <c r="L619" s="150"/>
    </row>
    <row r="620" spans="7:12" ht="15.75" customHeight="1">
      <c r="G620" s="150"/>
      <c r="L620" s="150"/>
    </row>
    <row r="621" spans="7:12" ht="15.75" customHeight="1">
      <c r="G621" s="150"/>
      <c r="L621" s="150"/>
    </row>
    <row r="622" spans="7:12" ht="15.75" customHeight="1">
      <c r="G622" s="150"/>
      <c r="L622" s="150"/>
    </row>
    <row r="623" spans="7:12" ht="15.75" customHeight="1">
      <c r="G623" s="150"/>
      <c r="L623" s="150"/>
    </row>
    <row r="624" spans="7:12" ht="15.75" customHeight="1">
      <c r="G624" s="150"/>
      <c r="L624" s="150"/>
    </row>
    <row r="625" spans="7:12" ht="15.75" customHeight="1">
      <c r="G625" s="150"/>
      <c r="L625" s="150"/>
    </row>
    <row r="626" spans="7:12" ht="15.75" customHeight="1">
      <c r="G626" s="150"/>
      <c r="L626" s="150"/>
    </row>
    <row r="627" spans="7:12" ht="15.75" customHeight="1">
      <c r="G627" s="150"/>
      <c r="L627" s="150"/>
    </row>
    <row r="628" spans="7:12" ht="15.75" customHeight="1">
      <c r="G628" s="150"/>
      <c r="L628" s="150"/>
    </row>
    <row r="629" spans="7:12" ht="15.75" customHeight="1">
      <c r="G629" s="150"/>
      <c r="L629" s="150"/>
    </row>
    <row r="630" spans="7:12" ht="15.75" customHeight="1">
      <c r="G630" s="150"/>
      <c r="L630" s="150"/>
    </row>
    <row r="631" spans="7:12" ht="15.75" customHeight="1">
      <c r="G631" s="150"/>
      <c r="L631" s="150"/>
    </row>
    <row r="632" spans="7:12" ht="15.75" customHeight="1">
      <c r="G632" s="150"/>
      <c r="L632" s="150"/>
    </row>
    <row r="633" spans="7:12" ht="15.75" customHeight="1">
      <c r="G633" s="150"/>
      <c r="L633" s="150"/>
    </row>
    <row r="634" spans="7:12" ht="15.75" customHeight="1">
      <c r="G634" s="150"/>
      <c r="L634" s="150"/>
    </row>
    <row r="635" spans="7:12" ht="15.75" customHeight="1">
      <c r="G635" s="150"/>
      <c r="L635" s="150"/>
    </row>
    <row r="636" spans="7:12" ht="15.75" customHeight="1">
      <c r="G636" s="150"/>
      <c r="L636" s="150"/>
    </row>
    <row r="637" spans="7:12" ht="15.75" customHeight="1">
      <c r="G637" s="150"/>
      <c r="L637" s="150"/>
    </row>
    <row r="638" spans="7:12" ht="15.75" customHeight="1">
      <c r="G638" s="150"/>
      <c r="L638" s="150"/>
    </row>
    <row r="639" spans="7:12" ht="15.75" customHeight="1">
      <c r="G639" s="150"/>
      <c r="L639" s="150"/>
    </row>
    <row r="640" spans="7:12" ht="15.75" customHeight="1">
      <c r="G640" s="150"/>
      <c r="L640" s="150"/>
    </row>
    <row r="641" spans="7:12" ht="15.75" customHeight="1">
      <c r="G641" s="150"/>
      <c r="L641" s="150"/>
    </row>
    <row r="642" spans="7:12" ht="15.75" customHeight="1">
      <c r="G642" s="150"/>
      <c r="L642" s="150"/>
    </row>
    <row r="643" spans="7:12" ht="15.75" customHeight="1">
      <c r="G643" s="150"/>
      <c r="L643" s="150"/>
    </row>
    <row r="644" spans="7:12" ht="15.75" customHeight="1">
      <c r="G644" s="150"/>
      <c r="L644" s="150"/>
    </row>
    <row r="645" spans="7:12" ht="15.75" customHeight="1">
      <c r="G645" s="150"/>
      <c r="L645" s="150"/>
    </row>
    <row r="646" spans="7:12" ht="15.75" customHeight="1">
      <c r="G646" s="150"/>
      <c r="L646" s="150"/>
    </row>
    <row r="647" spans="7:12" ht="15.75" customHeight="1">
      <c r="G647" s="150"/>
      <c r="L647" s="150"/>
    </row>
    <row r="648" spans="7:12" ht="15.75" customHeight="1">
      <c r="G648" s="150"/>
      <c r="L648" s="150"/>
    </row>
    <row r="649" spans="7:12" ht="15.75" customHeight="1">
      <c r="G649" s="150"/>
      <c r="L649" s="150"/>
    </row>
    <row r="650" spans="7:12" ht="15.75" customHeight="1">
      <c r="G650" s="150"/>
      <c r="L650" s="150"/>
    </row>
    <row r="651" spans="7:12" ht="15.75" customHeight="1">
      <c r="G651" s="150"/>
      <c r="L651" s="150"/>
    </row>
    <row r="652" spans="7:12" ht="15.75" customHeight="1">
      <c r="G652" s="150"/>
      <c r="L652" s="150"/>
    </row>
    <row r="653" spans="7:12" ht="15.75" customHeight="1">
      <c r="G653" s="150"/>
      <c r="L653" s="150"/>
    </row>
    <row r="654" spans="7:12" ht="15.75" customHeight="1">
      <c r="G654" s="150"/>
      <c r="L654" s="150"/>
    </row>
    <row r="655" spans="7:12" ht="15.75" customHeight="1">
      <c r="G655" s="150"/>
      <c r="L655" s="150"/>
    </row>
    <row r="656" spans="7:12" ht="15.75" customHeight="1">
      <c r="G656" s="150"/>
      <c r="L656" s="150"/>
    </row>
    <row r="657" spans="7:12" ht="15.75" customHeight="1">
      <c r="G657" s="150"/>
      <c r="L657" s="150"/>
    </row>
    <row r="658" spans="7:12" ht="15.75" customHeight="1">
      <c r="G658" s="150"/>
      <c r="L658" s="150"/>
    </row>
    <row r="659" spans="7:12" ht="15.75" customHeight="1">
      <c r="G659" s="150"/>
      <c r="L659" s="150"/>
    </row>
    <row r="660" spans="7:12" ht="15.75" customHeight="1">
      <c r="G660" s="150"/>
      <c r="L660" s="150"/>
    </row>
    <row r="661" spans="7:12" ht="15.75" customHeight="1">
      <c r="G661" s="150"/>
      <c r="L661" s="150"/>
    </row>
    <row r="662" spans="7:12" ht="15.75" customHeight="1">
      <c r="G662" s="150"/>
      <c r="L662" s="150"/>
    </row>
    <row r="663" spans="7:12" ht="15.75" customHeight="1">
      <c r="G663" s="150"/>
      <c r="L663" s="150"/>
    </row>
    <row r="664" spans="7:12" ht="15.75" customHeight="1">
      <c r="G664" s="150"/>
      <c r="L664" s="150"/>
    </row>
    <row r="665" spans="7:12" ht="15.75" customHeight="1">
      <c r="G665" s="150"/>
      <c r="L665" s="150"/>
    </row>
    <row r="666" spans="7:12" ht="15.75" customHeight="1">
      <c r="G666" s="150"/>
      <c r="L666" s="150"/>
    </row>
    <row r="667" spans="7:12" ht="15.75" customHeight="1">
      <c r="G667" s="150"/>
      <c r="L667" s="150"/>
    </row>
    <row r="668" spans="7:12" ht="15.75" customHeight="1">
      <c r="G668" s="150"/>
      <c r="L668" s="150"/>
    </row>
    <row r="669" spans="7:12" ht="15.75" customHeight="1">
      <c r="G669" s="150"/>
      <c r="L669" s="150"/>
    </row>
    <row r="670" spans="7:12" ht="15.75" customHeight="1">
      <c r="G670" s="150"/>
      <c r="L670" s="150"/>
    </row>
    <row r="671" spans="7:12" ht="15.75" customHeight="1">
      <c r="G671" s="150"/>
      <c r="L671" s="150"/>
    </row>
    <row r="672" spans="7:12" ht="15.75" customHeight="1">
      <c r="G672" s="150"/>
      <c r="L672" s="150"/>
    </row>
    <row r="673" spans="7:12" ht="15.75" customHeight="1">
      <c r="G673" s="150"/>
      <c r="L673" s="150"/>
    </row>
    <row r="674" spans="7:12" ht="15.75" customHeight="1">
      <c r="G674" s="150"/>
      <c r="L674" s="150"/>
    </row>
    <row r="675" spans="7:12" ht="15.75" customHeight="1">
      <c r="G675" s="150"/>
      <c r="L675" s="150"/>
    </row>
    <row r="676" spans="7:12" ht="15.75" customHeight="1">
      <c r="G676" s="150"/>
      <c r="L676" s="150"/>
    </row>
    <row r="677" spans="7:12" ht="15.75" customHeight="1">
      <c r="G677" s="150"/>
      <c r="L677" s="150"/>
    </row>
    <row r="678" spans="7:12" ht="15.75" customHeight="1">
      <c r="G678" s="150"/>
      <c r="L678" s="150"/>
    </row>
    <row r="679" spans="7:12" ht="15.75" customHeight="1">
      <c r="G679" s="150"/>
      <c r="L679" s="150"/>
    </row>
    <row r="680" spans="7:12" ht="15.75" customHeight="1">
      <c r="G680" s="150"/>
      <c r="L680" s="150"/>
    </row>
    <row r="681" spans="7:12" ht="15.75" customHeight="1">
      <c r="G681" s="150"/>
      <c r="L681" s="150"/>
    </row>
    <row r="682" spans="7:12" ht="15.75" customHeight="1">
      <c r="G682" s="150"/>
      <c r="L682" s="150"/>
    </row>
    <row r="683" spans="7:12" ht="15.75" customHeight="1">
      <c r="G683" s="150"/>
      <c r="L683" s="150"/>
    </row>
    <row r="684" spans="7:12" ht="15.75" customHeight="1">
      <c r="G684" s="150"/>
      <c r="L684" s="150"/>
    </row>
    <row r="685" spans="7:12" ht="15.75" customHeight="1">
      <c r="G685" s="150"/>
      <c r="L685" s="150"/>
    </row>
    <row r="686" spans="7:12" ht="15.75" customHeight="1">
      <c r="G686" s="150"/>
      <c r="L686" s="150"/>
    </row>
    <row r="687" spans="7:12" ht="15.75" customHeight="1">
      <c r="G687" s="150"/>
      <c r="L687" s="150"/>
    </row>
    <row r="688" spans="7:12" ht="15.75" customHeight="1">
      <c r="G688" s="150"/>
      <c r="L688" s="150"/>
    </row>
    <row r="689" spans="7:12" ht="15.75" customHeight="1">
      <c r="G689" s="150"/>
      <c r="L689" s="150"/>
    </row>
    <row r="690" spans="7:12" ht="15.75" customHeight="1">
      <c r="G690" s="150"/>
      <c r="L690" s="150"/>
    </row>
    <row r="691" spans="7:12" ht="15.75" customHeight="1">
      <c r="G691" s="150"/>
      <c r="L691" s="150"/>
    </row>
    <row r="692" spans="7:12" ht="15.75" customHeight="1">
      <c r="G692" s="150"/>
      <c r="L692" s="150"/>
    </row>
    <row r="693" spans="7:12" ht="15.75" customHeight="1">
      <c r="G693" s="150"/>
      <c r="L693" s="150"/>
    </row>
    <row r="694" spans="7:12" ht="15.75" customHeight="1">
      <c r="G694" s="150"/>
      <c r="L694" s="150"/>
    </row>
    <row r="695" spans="7:12" ht="15.75" customHeight="1">
      <c r="G695" s="150"/>
      <c r="L695" s="150"/>
    </row>
    <row r="696" spans="7:12" ht="15.75" customHeight="1">
      <c r="G696" s="150"/>
      <c r="L696" s="150"/>
    </row>
    <row r="697" spans="7:12" ht="15.75" customHeight="1">
      <c r="G697" s="150"/>
      <c r="L697" s="150"/>
    </row>
    <row r="698" spans="7:12" ht="15.75" customHeight="1">
      <c r="G698" s="150"/>
      <c r="L698" s="150"/>
    </row>
    <row r="699" spans="7:12" ht="15.75" customHeight="1">
      <c r="G699" s="150"/>
      <c r="L699" s="150"/>
    </row>
    <row r="700" spans="7:12" ht="15.75" customHeight="1">
      <c r="G700" s="150"/>
      <c r="L700" s="150"/>
    </row>
    <row r="701" spans="7:12" ht="15.75" customHeight="1">
      <c r="G701" s="150"/>
      <c r="L701" s="150"/>
    </row>
    <row r="702" spans="7:12" ht="15.75" customHeight="1">
      <c r="G702" s="150"/>
      <c r="L702" s="150"/>
    </row>
    <row r="703" spans="7:12" ht="15.75" customHeight="1">
      <c r="G703" s="150"/>
      <c r="L703" s="150"/>
    </row>
    <row r="704" spans="7:12" ht="15.75" customHeight="1">
      <c r="G704" s="150"/>
      <c r="L704" s="150"/>
    </row>
    <row r="705" spans="7:12" ht="15.75" customHeight="1">
      <c r="G705" s="150"/>
      <c r="L705" s="150"/>
    </row>
    <row r="706" spans="7:12" ht="15.75" customHeight="1">
      <c r="G706" s="150"/>
      <c r="L706" s="150"/>
    </row>
    <row r="707" spans="7:12" ht="15.75" customHeight="1">
      <c r="G707" s="150"/>
      <c r="L707" s="150"/>
    </row>
    <row r="708" spans="7:12" ht="15.75" customHeight="1">
      <c r="G708" s="150"/>
      <c r="L708" s="150"/>
    </row>
    <row r="709" spans="7:12" ht="15.75" customHeight="1">
      <c r="G709" s="150"/>
      <c r="L709" s="150"/>
    </row>
    <row r="710" spans="7:12" ht="15.75" customHeight="1">
      <c r="G710" s="150"/>
      <c r="L710" s="150"/>
    </row>
    <row r="711" spans="7:12" ht="15.75" customHeight="1">
      <c r="G711" s="150"/>
      <c r="L711" s="150"/>
    </row>
    <row r="712" spans="7:12" ht="15.75" customHeight="1">
      <c r="G712" s="150"/>
      <c r="L712" s="150"/>
    </row>
    <row r="713" spans="7:12" ht="15.75" customHeight="1">
      <c r="G713" s="150"/>
      <c r="L713" s="150"/>
    </row>
    <row r="714" spans="7:12" ht="15.75" customHeight="1">
      <c r="G714" s="150"/>
      <c r="L714" s="150"/>
    </row>
    <row r="715" spans="7:12" ht="15.75" customHeight="1">
      <c r="G715" s="150"/>
      <c r="L715" s="150"/>
    </row>
    <row r="716" spans="7:12" ht="15.75" customHeight="1">
      <c r="G716" s="150"/>
      <c r="L716" s="150"/>
    </row>
    <row r="717" spans="7:12" ht="15.75" customHeight="1">
      <c r="G717" s="150"/>
      <c r="L717" s="150"/>
    </row>
    <row r="718" spans="7:12" ht="15.75" customHeight="1">
      <c r="G718" s="150"/>
      <c r="L718" s="150"/>
    </row>
    <row r="719" spans="7:12" ht="15.75" customHeight="1">
      <c r="G719" s="150"/>
      <c r="L719" s="150"/>
    </row>
    <row r="720" spans="7:12" ht="15.75" customHeight="1">
      <c r="G720" s="150"/>
      <c r="L720" s="150"/>
    </row>
    <row r="721" spans="7:12" ht="15.75" customHeight="1">
      <c r="G721" s="150"/>
      <c r="L721" s="150"/>
    </row>
    <row r="722" spans="7:12" ht="15.75" customHeight="1">
      <c r="G722" s="150"/>
      <c r="L722" s="150"/>
    </row>
    <row r="723" spans="7:12" ht="15.75" customHeight="1">
      <c r="G723" s="150"/>
      <c r="L723" s="150"/>
    </row>
    <row r="724" spans="7:12" ht="15.75" customHeight="1">
      <c r="G724" s="150"/>
      <c r="L724" s="150"/>
    </row>
    <row r="725" spans="7:12" ht="15.75" customHeight="1">
      <c r="G725" s="150"/>
      <c r="L725" s="150"/>
    </row>
    <row r="726" spans="7:12" ht="15.75" customHeight="1">
      <c r="G726" s="150"/>
      <c r="L726" s="150"/>
    </row>
    <row r="727" spans="7:12" ht="15.75" customHeight="1">
      <c r="G727" s="150"/>
      <c r="L727" s="150"/>
    </row>
    <row r="728" spans="7:12" ht="15.75" customHeight="1">
      <c r="G728" s="150"/>
      <c r="L728" s="150"/>
    </row>
    <row r="729" spans="7:12" ht="15.75" customHeight="1">
      <c r="G729" s="150"/>
      <c r="L729" s="150"/>
    </row>
    <row r="730" spans="7:12" ht="15.75" customHeight="1">
      <c r="G730" s="150"/>
      <c r="L730" s="150"/>
    </row>
    <row r="731" spans="7:12" ht="15.75" customHeight="1">
      <c r="G731" s="150"/>
      <c r="L731" s="150"/>
    </row>
    <row r="732" spans="7:12" ht="15.75" customHeight="1">
      <c r="G732" s="150"/>
      <c r="L732" s="150"/>
    </row>
    <row r="733" spans="7:12" ht="15.75" customHeight="1">
      <c r="G733" s="150"/>
      <c r="L733" s="150"/>
    </row>
    <row r="734" spans="7:12" ht="15.75" customHeight="1">
      <c r="G734" s="150"/>
      <c r="L734" s="150"/>
    </row>
    <row r="735" spans="7:12" ht="15.75" customHeight="1">
      <c r="G735" s="150"/>
      <c r="L735" s="150"/>
    </row>
    <row r="736" spans="7:12" ht="15.75" customHeight="1">
      <c r="G736" s="150"/>
      <c r="L736" s="150"/>
    </row>
    <row r="737" spans="7:12" ht="15.75" customHeight="1">
      <c r="G737" s="150"/>
      <c r="L737" s="150"/>
    </row>
    <row r="738" spans="7:12" ht="15.75" customHeight="1">
      <c r="G738" s="150"/>
      <c r="L738" s="150"/>
    </row>
    <row r="739" spans="7:12" ht="15.75" customHeight="1">
      <c r="G739" s="150"/>
      <c r="L739" s="150"/>
    </row>
    <row r="740" spans="7:12" ht="15.75" customHeight="1">
      <c r="G740" s="150"/>
      <c r="L740" s="150"/>
    </row>
    <row r="741" spans="7:12" ht="15.75" customHeight="1">
      <c r="G741" s="150"/>
      <c r="L741" s="150"/>
    </row>
    <row r="742" spans="7:12" ht="15.75" customHeight="1">
      <c r="G742" s="150"/>
      <c r="L742" s="150"/>
    </row>
    <row r="743" spans="7:12" ht="15.75" customHeight="1">
      <c r="G743" s="150"/>
      <c r="L743" s="150"/>
    </row>
    <row r="744" spans="7:12" ht="15.75" customHeight="1">
      <c r="G744" s="150"/>
      <c r="L744" s="150"/>
    </row>
    <row r="745" spans="7:12" ht="15.75" customHeight="1">
      <c r="G745" s="150"/>
      <c r="L745" s="150"/>
    </row>
    <row r="746" spans="7:12" ht="15.75" customHeight="1">
      <c r="G746" s="150"/>
      <c r="L746" s="150"/>
    </row>
    <row r="747" spans="7:12" ht="15.75" customHeight="1">
      <c r="G747" s="150"/>
      <c r="L747" s="150"/>
    </row>
    <row r="748" spans="7:12" ht="15.75" customHeight="1">
      <c r="G748" s="150"/>
      <c r="L748" s="150"/>
    </row>
    <row r="749" spans="7:12" ht="15.75" customHeight="1">
      <c r="G749" s="150"/>
      <c r="L749" s="150"/>
    </row>
    <row r="750" spans="7:12" ht="15.75" customHeight="1">
      <c r="G750" s="150"/>
      <c r="L750" s="150"/>
    </row>
    <row r="751" spans="7:12" ht="15.75" customHeight="1">
      <c r="G751" s="150"/>
      <c r="L751" s="150"/>
    </row>
    <row r="752" spans="7:12" ht="15.75" customHeight="1">
      <c r="G752" s="150"/>
      <c r="L752" s="150"/>
    </row>
    <row r="753" spans="7:12" ht="15.75" customHeight="1">
      <c r="G753" s="150"/>
      <c r="L753" s="150"/>
    </row>
    <row r="754" spans="7:12" ht="15.75" customHeight="1">
      <c r="G754" s="150"/>
      <c r="L754" s="150"/>
    </row>
    <row r="755" spans="7:12" ht="15.75" customHeight="1">
      <c r="G755" s="150"/>
      <c r="L755" s="150"/>
    </row>
    <row r="756" spans="7:12" ht="15.75" customHeight="1">
      <c r="G756" s="150"/>
      <c r="L756" s="150"/>
    </row>
    <row r="757" spans="7:12" ht="15.75" customHeight="1">
      <c r="G757" s="150"/>
      <c r="L757" s="150"/>
    </row>
    <row r="758" spans="7:12" ht="15.75" customHeight="1">
      <c r="G758" s="150"/>
      <c r="L758" s="150"/>
    </row>
    <row r="759" spans="7:12" ht="15.75" customHeight="1">
      <c r="G759" s="150"/>
      <c r="L759" s="150"/>
    </row>
    <row r="760" spans="7:12" ht="15.75" customHeight="1">
      <c r="G760" s="150"/>
      <c r="L760" s="150"/>
    </row>
    <row r="761" spans="7:12" ht="15.75" customHeight="1">
      <c r="G761" s="150"/>
      <c r="L761" s="150"/>
    </row>
    <row r="762" spans="7:12" ht="15.75" customHeight="1">
      <c r="G762" s="150"/>
      <c r="L762" s="150"/>
    </row>
    <row r="763" spans="7:12" ht="15.75" customHeight="1">
      <c r="G763" s="150"/>
      <c r="L763" s="150"/>
    </row>
    <row r="764" spans="7:12" ht="15.75" customHeight="1">
      <c r="G764" s="150"/>
      <c r="L764" s="150"/>
    </row>
    <row r="765" spans="7:12" ht="15.75" customHeight="1">
      <c r="G765" s="150"/>
      <c r="L765" s="150"/>
    </row>
    <row r="766" spans="7:12" ht="15.75" customHeight="1">
      <c r="G766" s="150"/>
      <c r="L766" s="150"/>
    </row>
    <row r="767" spans="7:12" ht="15.75" customHeight="1">
      <c r="G767" s="150"/>
      <c r="L767" s="150"/>
    </row>
    <row r="768" spans="7:12" ht="15.75" customHeight="1">
      <c r="G768" s="150"/>
      <c r="L768" s="150"/>
    </row>
    <row r="769" spans="7:12" ht="15.75" customHeight="1">
      <c r="G769" s="150"/>
      <c r="L769" s="150"/>
    </row>
    <row r="770" spans="7:12" ht="15.75" customHeight="1">
      <c r="G770" s="150"/>
      <c r="L770" s="150"/>
    </row>
    <row r="771" spans="7:12" ht="15.75" customHeight="1">
      <c r="G771" s="150"/>
      <c r="L771" s="150"/>
    </row>
    <row r="772" spans="7:12" ht="15.75" customHeight="1">
      <c r="G772" s="150"/>
      <c r="L772" s="150"/>
    </row>
    <row r="773" spans="7:12" ht="15.75" customHeight="1">
      <c r="G773" s="150"/>
      <c r="L773" s="150"/>
    </row>
    <row r="774" spans="7:12" ht="15.75" customHeight="1">
      <c r="G774" s="150"/>
      <c r="L774" s="150"/>
    </row>
    <row r="775" spans="7:12" ht="15.75" customHeight="1">
      <c r="G775" s="150"/>
      <c r="L775" s="150"/>
    </row>
    <row r="776" spans="7:12" ht="15.75" customHeight="1">
      <c r="G776" s="150"/>
      <c r="L776" s="150"/>
    </row>
    <row r="777" spans="7:12" ht="15.75" customHeight="1">
      <c r="G777" s="150"/>
      <c r="L777" s="150"/>
    </row>
    <row r="778" spans="7:12" ht="15.75" customHeight="1">
      <c r="G778" s="150"/>
      <c r="L778" s="150"/>
    </row>
    <row r="779" spans="7:12" ht="15.75" customHeight="1">
      <c r="G779" s="150"/>
      <c r="L779" s="150"/>
    </row>
    <row r="780" spans="7:12" ht="15.75" customHeight="1">
      <c r="G780" s="150"/>
      <c r="L780" s="150"/>
    </row>
    <row r="781" spans="7:12" ht="15.75" customHeight="1">
      <c r="G781" s="150"/>
      <c r="L781" s="150"/>
    </row>
    <row r="782" spans="7:12" ht="15.75" customHeight="1">
      <c r="G782" s="150"/>
      <c r="L782" s="150"/>
    </row>
    <row r="783" spans="7:12" ht="15.75" customHeight="1">
      <c r="G783" s="150"/>
      <c r="L783" s="150"/>
    </row>
    <row r="784" spans="7:12" ht="15.75" customHeight="1">
      <c r="G784" s="150"/>
      <c r="L784" s="150"/>
    </row>
    <row r="785" spans="7:12" ht="15.75" customHeight="1">
      <c r="G785" s="150"/>
      <c r="L785" s="150"/>
    </row>
    <row r="786" spans="7:12" ht="15.75" customHeight="1">
      <c r="G786" s="150"/>
      <c r="L786" s="150"/>
    </row>
    <row r="787" spans="7:12" ht="15.75" customHeight="1">
      <c r="G787" s="150"/>
      <c r="L787" s="150"/>
    </row>
    <row r="788" spans="7:12" ht="15.75" customHeight="1">
      <c r="G788" s="150"/>
      <c r="L788" s="150"/>
    </row>
    <row r="789" spans="7:12" ht="15.75" customHeight="1">
      <c r="G789" s="150"/>
      <c r="L789" s="150"/>
    </row>
    <row r="790" spans="7:12" ht="15.75" customHeight="1">
      <c r="G790" s="150"/>
      <c r="L790" s="150"/>
    </row>
    <row r="791" spans="7:12" ht="15.75" customHeight="1">
      <c r="G791" s="150"/>
      <c r="L791" s="150"/>
    </row>
    <row r="792" spans="7:12" ht="15.75" customHeight="1">
      <c r="G792" s="150"/>
      <c r="L792" s="150"/>
    </row>
    <row r="793" spans="7:12" ht="15.75" customHeight="1">
      <c r="G793" s="150"/>
      <c r="L793" s="150"/>
    </row>
    <row r="794" spans="7:12" ht="15.75" customHeight="1">
      <c r="G794" s="150"/>
      <c r="L794" s="150"/>
    </row>
    <row r="795" spans="7:12" ht="15.75" customHeight="1">
      <c r="G795" s="150"/>
      <c r="L795" s="150"/>
    </row>
    <row r="796" spans="7:12" ht="15.75" customHeight="1">
      <c r="G796" s="150"/>
      <c r="L796" s="150"/>
    </row>
    <row r="797" spans="7:12" ht="15.75" customHeight="1">
      <c r="G797" s="150"/>
      <c r="L797" s="150"/>
    </row>
    <row r="798" spans="7:12" ht="15.75" customHeight="1">
      <c r="G798" s="150"/>
      <c r="L798" s="150"/>
    </row>
    <row r="799" spans="7:12" ht="15.75" customHeight="1">
      <c r="G799" s="150"/>
      <c r="L799" s="150"/>
    </row>
    <row r="800" spans="7:12" ht="15.75" customHeight="1">
      <c r="G800" s="150"/>
      <c r="L800" s="150"/>
    </row>
    <row r="801" spans="7:12" ht="15.75" customHeight="1">
      <c r="G801" s="150"/>
      <c r="L801" s="150"/>
    </row>
    <row r="802" spans="7:12" ht="15.75" customHeight="1">
      <c r="G802" s="150"/>
      <c r="L802" s="150"/>
    </row>
    <row r="803" spans="7:12" ht="15.75" customHeight="1">
      <c r="G803" s="150"/>
      <c r="L803" s="150"/>
    </row>
    <row r="804" spans="7:12" ht="15.75" customHeight="1">
      <c r="G804" s="150"/>
      <c r="L804" s="150"/>
    </row>
    <row r="805" spans="7:12" ht="15.75" customHeight="1">
      <c r="G805" s="150"/>
      <c r="L805" s="150"/>
    </row>
    <row r="806" spans="7:12" ht="15.75" customHeight="1">
      <c r="G806" s="150"/>
      <c r="L806" s="150"/>
    </row>
    <row r="807" spans="7:12" ht="15.75" customHeight="1">
      <c r="G807" s="150"/>
      <c r="L807" s="150"/>
    </row>
    <row r="808" spans="7:12" ht="15.75" customHeight="1">
      <c r="G808" s="150"/>
      <c r="L808" s="150"/>
    </row>
    <row r="809" spans="7:12" ht="15.75" customHeight="1">
      <c r="G809" s="150"/>
      <c r="L809" s="150"/>
    </row>
    <row r="810" spans="7:12" ht="15.75" customHeight="1">
      <c r="G810" s="150"/>
      <c r="L810" s="150"/>
    </row>
    <row r="811" spans="7:12" ht="15.75" customHeight="1">
      <c r="G811" s="150"/>
      <c r="L811" s="150"/>
    </row>
    <row r="812" spans="7:12" ht="15.75" customHeight="1">
      <c r="G812" s="150"/>
      <c r="L812" s="150"/>
    </row>
    <row r="813" spans="7:12" ht="15.75" customHeight="1">
      <c r="G813" s="150"/>
      <c r="L813" s="150"/>
    </row>
    <row r="814" spans="7:12" ht="15.75" customHeight="1">
      <c r="G814" s="150"/>
      <c r="L814" s="150"/>
    </row>
    <row r="815" spans="7:12" ht="15.75" customHeight="1">
      <c r="G815" s="150"/>
      <c r="L815" s="150"/>
    </row>
    <row r="816" spans="7:12" ht="15.75" customHeight="1">
      <c r="G816" s="150"/>
      <c r="L816" s="150"/>
    </row>
    <row r="817" spans="7:12" ht="15.75" customHeight="1">
      <c r="G817" s="150"/>
      <c r="L817" s="150"/>
    </row>
    <row r="818" spans="7:12" ht="15.75" customHeight="1">
      <c r="G818" s="150"/>
      <c r="L818" s="150"/>
    </row>
    <row r="819" spans="7:12" ht="15.75" customHeight="1">
      <c r="G819" s="150"/>
      <c r="L819" s="150"/>
    </row>
    <row r="820" spans="7:12" ht="15.75" customHeight="1">
      <c r="G820" s="150"/>
      <c r="L820" s="150"/>
    </row>
    <row r="821" spans="7:12" ht="15.75" customHeight="1">
      <c r="G821" s="150"/>
      <c r="L821" s="150"/>
    </row>
    <row r="822" spans="7:12" ht="15.75" customHeight="1">
      <c r="G822" s="150"/>
      <c r="L822" s="150"/>
    </row>
    <row r="823" spans="7:12" ht="15.75" customHeight="1">
      <c r="G823" s="150"/>
      <c r="L823" s="150"/>
    </row>
    <row r="824" spans="7:12" ht="15.75" customHeight="1">
      <c r="G824" s="150"/>
      <c r="L824" s="150"/>
    </row>
    <row r="825" spans="7:12" ht="15.75" customHeight="1">
      <c r="G825" s="150"/>
      <c r="L825" s="150"/>
    </row>
    <row r="826" spans="7:12" ht="15.75" customHeight="1">
      <c r="G826" s="150"/>
      <c r="L826" s="150"/>
    </row>
    <row r="827" spans="7:12" ht="15.75" customHeight="1">
      <c r="G827" s="150"/>
      <c r="L827" s="150"/>
    </row>
    <row r="828" spans="7:12" ht="15.75" customHeight="1">
      <c r="G828" s="150"/>
      <c r="L828" s="150"/>
    </row>
    <row r="829" spans="7:12" ht="15.75" customHeight="1">
      <c r="G829" s="150"/>
      <c r="L829" s="150"/>
    </row>
    <row r="830" spans="7:12" ht="15.75" customHeight="1">
      <c r="G830" s="150"/>
      <c r="L830" s="150"/>
    </row>
    <row r="831" spans="7:12" ht="15.75" customHeight="1">
      <c r="G831" s="150"/>
      <c r="L831" s="150"/>
    </row>
    <row r="832" spans="7:12" ht="15.75" customHeight="1">
      <c r="G832" s="150"/>
      <c r="L832" s="150"/>
    </row>
    <row r="833" spans="7:12" ht="15.75" customHeight="1">
      <c r="G833" s="150"/>
      <c r="L833" s="150"/>
    </row>
    <row r="834" spans="7:12" ht="15.75" customHeight="1">
      <c r="G834" s="150"/>
      <c r="L834" s="150"/>
    </row>
    <row r="835" spans="7:12" ht="15.75" customHeight="1">
      <c r="G835" s="150"/>
      <c r="L835" s="150"/>
    </row>
    <row r="836" spans="7:12" ht="15.75" customHeight="1">
      <c r="G836" s="150"/>
      <c r="L836" s="150"/>
    </row>
    <row r="837" spans="7:12" ht="15.75" customHeight="1">
      <c r="G837" s="150"/>
      <c r="L837" s="150"/>
    </row>
    <row r="838" spans="7:12" ht="15.75" customHeight="1">
      <c r="G838" s="150"/>
      <c r="L838" s="150"/>
    </row>
    <row r="839" spans="7:12" ht="15.75" customHeight="1">
      <c r="G839" s="150"/>
      <c r="L839" s="150"/>
    </row>
    <row r="840" spans="7:12" ht="15.75" customHeight="1">
      <c r="G840" s="150"/>
      <c r="L840" s="150"/>
    </row>
    <row r="841" spans="7:12" ht="15.75" customHeight="1">
      <c r="G841" s="150"/>
      <c r="L841" s="150"/>
    </row>
    <row r="842" spans="7:12" ht="15.75" customHeight="1">
      <c r="G842" s="150"/>
      <c r="L842" s="150"/>
    </row>
    <row r="843" spans="7:12" ht="15.75" customHeight="1">
      <c r="G843" s="150"/>
      <c r="L843" s="150"/>
    </row>
    <row r="844" spans="7:12" ht="15.75" customHeight="1">
      <c r="G844" s="150"/>
      <c r="L844" s="150"/>
    </row>
    <row r="845" spans="7:12" ht="15.75" customHeight="1">
      <c r="G845" s="150"/>
      <c r="L845" s="150"/>
    </row>
    <row r="846" spans="7:12" ht="15.75" customHeight="1">
      <c r="G846" s="150"/>
      <c r="L846" s="150"/>
    </row>
    <row r="847" spans="7:12" ht="15.75" customHeight="1">
      <c r="G847" s="150"/>
      <c r="L847" s="150"/>
    </row>
    <row r="848" spans="7:12" ht="15.75" customHeight="1">
      <c r="G848" s="150"/>
      <c r="L848" s="150"/>
    </row>
    <row r="849" spans="7:12" ht="15.75" customHeight="1">
      <c r="G849" s="150"/>
      <c r="L849" s="150"/>
    </row>
    <row r="850" spans="7:12" ht="15.75" customHeight="1">
      <c r="G850" s="150"/>
      <c r="L850" s="150"/>
    </row>
    <row r="851" spans="7:12" ht="15.75" customHeight="1">
      <c r="G851" s="150"/>
      <c r="L851" s="150"/>
    </row>
    <row r="852" spans="7:12" ht="15.75" customHeight="1">
      <c r="G852" s="150"/>
      <c r="L852" s="150"/>
    </row>
    <row r="853" spans="7:12" ht="15.75" customHeight="1">
      <c r="G853" s="150"/>
      <c r="L853" s="150"/>
    </row>
    <row r="854" spans="7:12" ht="15.75" customHeight="1">
      <c r="G854" s="150"/>
      <c r="L854" s="150"/>
    </row>
    <row r="855" spans="7:12" ht="15.75" customHeight="1">
      <c r="G855" s="150"/>
      <c r="L855" s="150"/>
    </row>
    <row r="856" spans="7:12" ht="15.75" customHeight="1">
      <c r="G856" s="150"/>
      <c r="L856" s="150"/>
    </row>
    <row r="857" spans="7:12" ht="15.75" customHeight="1">
      <c r="G857" s="150"/>
      <c r="L857" s="150"/>
    </row>
    <row r="858" spans="7:12" ht="15.75" customHeight="1">
      <c r="G858" s="150"/>
      <c r="L858" s="150"/>
    </row>
    <row r="859" spans="7:12" ht="15.75" customHeight="1">
      <c r="G859" s="150"/>
      <c r="L859" s="150"/>
    </row>
    <row r="860" spans="7:12" ht="15.75" customHeight="1">
      <c r="G860" s="150"/>
      <c r="L860" s="150"/>
    </row>
    <row r="861" spans="7:12" ht="15.75" customHeight="1">
      <c r="G861" s="150"/>
      <c r="L861" s="150"/>
    </row>
    <row r="862" spans="7:12" ht="15.75" customHeight="1">
      <c r="G862" s="150"/>
      <c r="L862" s="150"/>
    </row>
    <row r="863" spans="7:12" ht="15.75" customHeight="1">
      <c r="G863" s="150"/>
      <c r="L863" s="150"/>
    </row>
    <row r="864" spans="7:12" ht="15.75" customHeight="1">
      <c r="G864" s="150"/>
      <c r="L864" s="150"/>
    </row>
    <row r="865" spans="7:12" ht="15.75" customHeight="1">
      <c r="G865" s="150"/>
      <c r="L865" s="150"/>
    </row>
    <row r="866" spans="7:12" ht="15.75" customHeight="1">
      <c r="G866" s="150"/>
      <c r="L866" s="150"/>
    </row>
    <row r="867" spans="7:12" ht="15.75" customHeight="1">
      <c r="G867" s="150"/>
      <c r="L867" s="150"/>
    </row>
    <row r="868" spans="7:12" ht="15.75" customHeight="1">
      <c r="G868" s="150"/>
      <c r="L868" s="150"/>
    </row>
    <row r="869" spans="7:12" ht="15.75" customHeight="1">
      <c r="G869" s="150"/>
      <c r="L869" s="150"/>
    </row>
    <row r="870" spans="7:12" ht="15.75" customHeight="1">
      <c r="G870" s="150"/>
      <c r="L870" s="150"/>
    </row>
    <row r="871" spans="7:12" ht="15.75" customHeight="1">
      <c r="G871" s="150"/>
      <c r="L871" s="150"/>
    </row>
    <row r="872" spans="7:12" ht="15.75" customHeight="1">
      <c r="G872" s="150"/>
      <c r="L872" s="150"/>
    </row>
    <row r="873" spans="7:12" ht="15.75" customHeight="1">
      <c r="G873" s="150"/>
      <c r="L873" s="150"/>
    </row>
    <row r="874" spans="7:12" ht="15.75" customHeight="1">
      <c r="G874" s="150"/>
      <c r="L874" s="150"/>
    </row>
    <row r="875" spans="7:12" ht="15.75" customHeight="1">
      <c r="G875" s="150"/>
      <c r="L875" s="150"/>
    </row>
    <row r="876" spans="7:12" ht="15.75" customHeight="1">
      <c r="G876" s="150"/>
      <c r="L876" s="150"/>
    </row>
    <row r="877" spans="7:12" ht="15.75" customHeight="1">
      <c r="G877" s="150"/>
      <c r="L877" s="150"/>
    </row>
    <row r="878" spans="7:12" ht="15.75" customHeight="1">
      <c r="G878" s="150"/>
      <c r="L878" s="150"/>
    </row>
    <row r="879" spans="7:12" ht="15.75" customHeight="1">
      <c r="G879" s="150"/>
      <c r="L879" s="150"/>
    </row>
    <row r="880" spans="7:12" ht="15.75" customHeight="1">
      <c r="G880" s="150"/>
      <c r="L880" s="150"/>
    </row>
    <row r="881" spans="7:12" ht="15.75" customHeight="1">
      <c r="G881" s="150"/>
      <c r="L881" s="150"/>
    </row>
    <row r="882" spans="7:12" ht="15.75" customHeight="1">
      <c r="G882" s="150"/>
      <c r="L882" s="150"/>
    </row>
    <row r="883" spans="7:12" ht="15.75" customHeight="1">
      <c r="G883" s="150"/>
      <c r="L883" s="150"/>
    </row>
    <row r="884" spans="7:12" ht="15.75" customHeight="1">
      <c r="G884" s="150"/>
      <c r="L884" s="150"/>
    </row>
    <row r="885" spans="7:12" ht="15.75" customHeight="1">
      <c r="G885" s="150"/>
      <c r="L885" s="150"/>
    </row>
    <row r="886" spans="7:12" ht="15.75" customHeight="1">
      <c r="G886" s="150"/>
      <c r="L886" s="150"/>
    </row>
    <row r="887" spans="7:12" ht="15.75" customHeight="1">
      <c r="G887" s="150"/>
      <c r="L887" s="150"/>
    </row>
    <row r="888" spans="7:12" ht="15.75" customHeight="1">
      <c r="G888" s="150"/>
      <c r="L888" s="150"/>
    </row>
    <row r="889" spans="7:12" ht="15.75" customHeight="1">
      <c r="G889" s="150"/>
      <c r="L889" s="150"/>
    </row>
    <row r="890" spans="7:12" ht="15.75" customHeight="1">
      <c r="G890" s="150"/>
      <c r="L890" s="150"/>
    </row>
    <row r="891" spans="7:12" ht="15.75" customHeight="1">
      <c r="G891" s="150"/>
      <c r="L891" s="150"/>
    </row>
    <row r="892" spans="7:12" ht="15.75" customHeight="1">
      <c r="G892" s="150"/>
      <c r="L892" s="150"/>
    </row>
    <row r="893" spans="7:12" ht="15.75" customHeight="1">
      <c r="G893" s="150"/>
      <c r="L893" s="150"/>
    </row>
    <row r="894" spans="7:12" ht="15.75" customHeight="1">
      <c r="G894" s="150"/>
      <c r="L894" s="150"/>
    </row>
    <row r="895" spans="7:12" ht="15.75" customHeight="1">
      <c r="G895" s="150"/>
      <c r="L895" s="150"/>
    </row>
    <row r="896" spans="7:12" ht="15.75" customHeight="1">
      <c r="G896" s="150"/>
      <c r="L896" s="150"/>
    </row>
    <row r="897" spans="7:12" ht="15.75" customHeight="1">
      <c r="G897" s="150"/>
      <c r="L897" s="150"/>
    </row>
    <row r="898" spans="7:12" ht="15.75" customHeight="1">
      <c r="G898" s="150"/>
      <c r="L898" s="150"/>
    </row>
    <row r="899" spans="7:12" ht="15.75" customHeight="1">
      <c r="G899" s="150"/>
      <c r="L899" s="150"/>
    </row>
    <row r="900" spans="7:12" ht="15.75" customHeight="1">
      <c r="G900" s="150"/>
      <c r="L900" s="150"/>
    </row>
    <row r="901" spans="7:12" ht="15.75" customHeight="1">
      <c r="G901" s="150"/>
      <c r="L901" s="150"/>
    </row>
    <row r="902" spans="7:12" ht="15.75" customHeight="1">
      <c r="G902" s="150"/>
      <c r="L902" s="150"/>
    </row>
    <row r="903" spans="7:12" ht="15.75" customHeight="1">
      <c r="G903" s="150"/>
      <c r="L903" s="150"/>
    </row>
    <row r="904" spans="7:12" ht="15.75" customHeight="1">
      <c r="G904" s="150"/>
      <c r="L904" s="150"/>
    </row>
    <row r="905" spans="7:12" ht="15.75" customHeight="1">
      <c r="G905" s="150"/>
      <c r="L905" s="150"/>
    </row>
    <row r="906" spans="7:12" ht="15.75" customHeight="1">
      <c r="G906" s="150"/>
      <c r="L906" s="150"/>
    </row>
    <row r="907" spans="7:12" ht="15.75" customHeight="1">
      <c r="G907" s="150"/>
      <c r="L907" s="150"/>
    </row>
    <row r="908" spans="7:12" ht="15.75" customHeight="1">
      <c r="G908" s="150"/>
      <c r="L908" s="150"/>
    </row>
    <row r="909" spans="7:12" ht="15.75" customHeight="1">
      <c r="G909" s="150"/>
      <c r="L909" s="150"/>
    </row>
    <row r="910" spans="7:12" ht="15.75" customHeight="1">
      <c r="G910" s="150"/>
      <c r="L910" s="150"/>
    </row>
    <row r="911" spans="7:12" ht="15.75" customHeight="1">
      <c r="G911" s="150"/>
      <c r="L911" s="150"/>
    </row>
    <row r="912" spans="7:12" ht="15.75" customHeight="1">
      <c r="G912" s="150"/>
      <c r="L912" s="150"/>
    </row>
    <row r="913" spans="7:12" ht="15.75" customHeight="1">
      <c r="G913" s="150"/>
      <c r="L913" s="150"/>
    </row>
    <row r="914" spans="7:12" ht="15.75" customHeight="1">
      <c r="G914" s="150"/>
      <c r="L914" s="150"/>
    </row>
    <row r="915" spans="7:12" ht="15.75" customHeight="1">
      <c r="G915" s="150"/>
      <c r="L915" s="150"/>
    </row>
    <row r="916" spans="7:12" ht="15.75" customHeight="1">
      <c r="G916" s="150"/>
      <c r="L916" s="150"/>
    </row>
    <row r="917" spans="7:12" ht="15.75" customHeight="1">
      <c r="G917" s="150"/>
      <c r="L917" s="150"/>
    </row>
    <row r="918" spans="7:12" ht="15.75" customHeight="1">
      <c r="G918" s="150"/>
      <c r="L918" s="150"/>
    </row>
    <row r="919" spans="7:12" ht="15.75" customHeight="1">
      <c r="G919" s="150"/>
      <c r="L919" s="150"/>
    </row>
    <row r="920" spans="7:12" ht="15.75" customHeight="1">
      <c r="G920" s="150"/>
      <c r="L920" s="150"/>
    </row>
    <row r="921" spans="7:12" ht="15.75" customHeight="1">
      <c r="G921" s="150"/>
      <c r="L921" s="150"/>
    </row>
    <row r="922" spans="7:12" ht="15.75" customHeight="1">
      <c r="G922" s="150"/>
      <c r="L922" s="150"/>
    </row>
    <row r="923" spans="7:12" ht="15.75" customHeight="1">
      <c r="G923" s="150"/>
      <c r="L923" s="150"/>
    </row>
    <row r="924" spans="7:12" ht="15.75" customHeight="1">
      <c r="G924" s="150"/>
      <c r="L924" s="150"/>
    </row>
    <row r="925" spans="7:12" ht="15.75" customHeight="1">
      <c r="G925" s="150"/>
      <c r="L925" s="150"/>
    </row>
    <row r="926" spans="7:12" ht="15.75" customHeight="1">
      <c r="G926" s="150"/>
      <c r="L926" s="150"/>
    </row>
    <row r="927" spans="7:12" ht="15.75" customHeight="1">
      <c r="G927" s="150"/>
      <c r="L927" s="150"/>
    </row>
    <row r="928" spans="7:12" ht="15.75" customHeight="1">
      <c r="G928" s="150"/>
      <c r="L928" s="150"/>
    </row>
    <row r="929" spans="7:12" ht="15.75" customHeight="1">
      <c r="G929" s="150"/>
      <c r="L929" s="150"/>
    </row>
    <row r="930" spans="7:12" ht="15.75" customHeight="1">
      <c r="G930" s="150"/>
      <c r="L930" s="150"/>
    </row>
    <row r="931" spans="7:12" ht="15.75" customHeight="1">
      <c r="G931" s="150"/>
      <c r="L931" s="150"/>
    </row>
    <row r="932" spans="7:12" ht="15.75" customHeight="1">
      <c r="G932" s="150"/>
      <c r="L932" s="150"/>
    </row>
    <row r="933" spans="7:12" ht="15.75" customHeight="1">
      <c r="G933" s="150"/>
      <c r="L933" s="150"/>
    </row>
    <row r="934" spans="7:12" ht="15.75" customHeight="1">
      <c r="G934" s="150"/>
      <c r="L934" s="150"/>
    </row>
    <row r="935" spans="7:12" ht="15.75" customHeight="1">
      <c r="G935" s="150"/>
      <c r="L935" s="150"/>
    </row>
    <row r="936" spans="7:12" ht="15.75" customHeight="1">
      <c r="G936" s="150"/>
      <c r="L936" s="150"/>
    </row>
    <row r="937" spans="7:12" ht="15.75" customHeight="1">
      <c r="G937" s="150"/>
      <c r="L937" s="150"/>
    </row>
    <row r="938" spans="7:12" ht="15.75" customHeight="1">
      <c r="G938" s="150"/>
      <c r="L938" s="150"/>
    </row>
    <row r="939" spans="7:12" ht="15.75" customHeight="1">
      <c r="G939" s="150"/>
      <c r="L939" s="150"/>
    </row>
    <row r="940" spans="7:12" ht="15.75" customHeight="1">
      <c r="G940" s="150"/>
      <c r="L940" s="150"/>
    </row>
    <row r="941" spans="7:12" ht="15.75" customHeight="1">
      <c r="G941" s="150"/>
      <c r="L941" s="150"/>
    </row>
    <row r="942" spans="7:12" ht="15.75" customHeight="1">
      <c r="G942" s="150"/>
      <c r="L942" s="150"/>
    </row>
    <row r="943" spans="7:12" ht="15.75" customHeight="1">
      <c r="G943" s="150"/>
      <c r="L943" s="150"/>
    </row>
    <row r="944" spans="7:12" ht="15.75" customHeight="1">
      <c r="G944" s="150"/>
      <c r="L944" s="150"/>
    </row>
    <row r="945" spans="7:12" ht="15.75" customHeight="1">
      <c r="G945" s="150"/>
      <c r="L945" s="150"/>
    </row>
    <row r="946" spans="7:12" ht="15.75" customHeight="1">
      <c r="G946" s="150"/>
      <c r="L946" s="150"/>
    </row>
    <row r="947" spans="7:12" ht="15.75" customHeight="1">
      <c r="G947" s="150"/>
      <c r="L947" s="150"/>
    </row>
    <row r="948" spans="7:12" ht="15.75" customHeight="1">
      <c r="G948" s="150"/>
      <c r="L948" s="150"/>
    </row>
    <row r="949" spans="7:12" ht="15.75" customHeight="1">
      <c r="G949" s="150"/>
      <c r="L949" s="150"/>
    </row>
    <row r="950" spans="7:12" ht="15.75" customHeight="1">
      <c r="G950" s="150"/>
      <c r="L950" s="150"/>
    </row>
    <row r="951" spans="7:12" ht="15.75" customHeight="1">
      <c r="G951" s="150"/>
      <c r="L951" s="150"/>
    </row>
    <row r="952" spans="7:12" ht="15.75" customHeight="1">
      <c r="G952" s="150"/>
      <c r="L952" s="150"/>
    </row>
    <row r="953" spans="7:12" ht="15.75" customHeight="1">
      <c r="G953" s="150"/>
      <c r="L953" s="150"/>
    </row>
    <row r="954" spans="7:12" ht="15.75" customHeight="1">
      <c r="G954" s="150"/>
      <c r="L954" s="150"/>
    </row>
    <row r="955" spans="7:12" ht="15.75" customHeight="1">
      <c r="G955" s="150"/>
      <c r="L955" s="150"/>
    </row>
    <row r="956" spans="7:12" ht="15.75" customHeight="1">
      <c r="G956" s="150"/>
      <c r="L956" s="150"/>
    </row>
    <row r="957" spans="7:12" ht="15.75" customHeight="1">
      <c r="G957" s="150"/>
      <c r="L957" s="150"/>
    </row>
    <row r="958" spans="7:12" ht="15.75" customHeight="1">
      <c r="G958" s="150"/>
      <c r="L958" s="150"/>
    </row>
    <row r="959" spans="7:12" ht="15.75" customHeight="1">
      <c r="G959" s="150"/>
      <c r="L959" s="150"/>
    </row>
    <row r="960" spans="7:12" ht="15.75" customHeight="1">
      <c r="G960" s="150"/>
      <c r="L960" s="150"/>
    </row>
    <row r="961" spans="7:12" ht="15.75" customHeight="1">
      <c r="G961" s="150"/>
      <c r="L961" s="150"/>
    </row>
    <row r="962" spans="7:12" ht="15.75" customHeight="1">
      <c r="G962" s="150"/>
      <c r="L962" s="150"/>
    </row>
    <row r="963" spans="7:12" ht="15.75" customHeight="1">
      <c r="G963" s="150"/>
      <c r="L963" s="150"/>
    </row>
    <row r="964" spans="7:12" ht="15.75" customHeight="1">
      <c r="G964" s="150"/>
      <c r="L964" s="150"/>
    </row>
    <row r="965" spans="7:12" ht="15.75" customHeight="1">
      <c r="G965" s="150"/>
      <c r="L965" s="150"/>
    </row>
    <row r="966" spans="7:12" ht="15.75" customHeight="1">
      <c r="G966" s="150"/>
      <c r="L966" s="150"/>
    </row>
    <row r="967" spans="7:12" ht="15.75" customHeight="1">
      <c r="G967" s="150"/>
      <c r="L967" s="150"/>
    </row>
    <row r="968" spans="7:12" ht="15.75" customHeight="1">
      <c r="G968" s="150"/>
      <c r="L968" s="150"/>
    </row>
    <row r="969" spans="7:12" ht="15.75" customHeight="1">
      <c r="G969" s="150"/>
      <c r="L969" s="150"/>
    </row>
    <row r="970" spans="7:12" ht="15.75" customHeight="1">
      <c r="G970" s="150"/>
      <c r="L970" s="150"/>
    </row>
    <row r="971" spans="7:12" ht="15.75" customHeight="1">
      <c r="G971" s="150"/>
      <c r="L971" s="150"/>
    </row>
    <row r="972" spans="7:12" ht="15.75" customHeight="1">
      <c r="G972" s="150"/>
      <c r="L972" s="150"/>
    </row>
    <row r="973" spans="7:12" ht="15.75" customHeight="1">
      <c r="G973" s="150"/>
      <c r="L973" s="150"/>
    </row>
    <row r="974" spans="7:12" ht="15.75" customHeight="1">
      <c r="G974" s="150"/>
      <c r="L974" s="150"/>
    </row>
    <row r="975" spans="7:12" ht="15.75" customHeight="1">
      <c r="G975" s="150"/>
      <c r="L975" s="150"/>
    </row>
    <row r="976" spans="7:12" ht="15.75" customHeight="1">
      <c r="G976" s="150"/>
      <c r="L976" s="150"/>
    </row>
    <row r="977" spans="7:12" ht="15.75" customHeight="1">
      <c r="G977" s="150"/>
      <c r="L977" s="150"/>
    </row>
    <row r="978" spans="7:12" ht="15.75" customHeight="1">
      <c r="G978" s="150"/>
      <c r="L978" s="150"/>
    </row>
    <row r="979" spans="7:12" ht="15.75" customHeight="1">
      <c r="G979" s="150"/>
      <c r="L979" s="150"/>
    </row>
    <row r="980" spans="7:12" ht="15.75" customHeight="1">
      <c r="G980" s="150"/>
      <c r="L980" s="150"/>
    </row>
    <row r="981" spans="7:12" ht="15.75" customHeight="1">
      <c r="G981" s="150"/>
      <c r="L981" s="150"/>
    </row>
    <row r="982" spans="7:12" ht="15.75" customHeight="1">
      <c r="G982" s="150"/>
      <c r="L982" s="150"/>
    </row>
    <row r="983" spans="7:12" ht="15.75" customHeight="1">
      <c r="G983" s="150"/>
      <c r="L983" s="150"/>
    </row>
    <row r="984" spans="7:12" ht="15.75" customHeight="1">
      <c r="G984" s="150"/>
      <c r="L984" s="150"/>
    </row>
    <row r="985" spans="7:12" ht="15.75" customHeight="1">
      <c r="G985" s="150"/>
      <c r="L985" s="150"/>
    </row>
    <row r="986" spans="7:12" ht="15.75" customHeight="1">
      <c r="G986" s="150"/>
      <c r="L986" s="150"/>
    </row>
    <row r="987" spans="7:12" ht="15.75" customHeight="1">
      <c r="G987" s="150"/>
      <c r="L987" s="150"/>
    </row>
    <row r="988" spans="7:12" ht="15.75" customHeight="1">
      <c r="G988" s="150"/>
      <c r="L988" s="150"/>
    </row>
    <row r="989" spans="7:12" ht="15.75" customHeight="1">
      <c r="G989" s="150"/>
      <c r="L989" s="150"/>
    </row>
    <row r="990" spans="7:12" ht="15.75" customHeight="1">
      <c r="G990" s="150"/>
      <c r="L990" s="150"/>
    </row>
    <row r="991" spans="7:12" ht="15.75" customHeight="1">
      <c r="G991" s="150"/>
      <c r="L991" s="150"/>
    </row>
    <row r="992" spans="7:12" ht="15.75" customHeight="1">
      <c r="G992" s="150"/>
      <c r="L992" s="150"/>
    </row>
    <row r="993" spans="7:12" ht="15.75" customHeight="1">
      <c r="G993" s="150"/>
      <c r="L993" s="150"/>
    </row>
    <row r="994" spans="7:12" ht="15.75" customHeight="1">
      <c r="G994" s="150"/>
      <c r="L994" s="150"/>
    </row>
    <row r="995" spans="7:12" ht="15.75" customHeight="1">
      <c r="G995" s="150"/>
      <c r="L995" s="150"/>
    </row>
    <row r="996" spans="7:12" ht="15.75" customHeight="1">
      <c r="G996" s="150"/>
      <c r="L996" s="150"/>
    </row>
    <row r="997" spans="7:12" ht="15.75" customHeight="1">
      <c r="G997" s="150"/>
      <c r="L997" s="150"/>
    </row>
    <row r="998" spans="7:12" ht="15.75" customHeight="1">
      <c r="G998" s="150"/>
      <c r="L998" s="150"/>
    </row>
    <row r="999" spans="7:12" ht="15.75" customHeight="1">
      <c r="G999" s="150"/>
      <c r="L999" s="150"/>
    </row>
    <row r="1000" spans="7:12" ht="15.75" customHeight="1">
      <c r="G1000" s="150"/>
      <c r="L1000" s="150"/>
    </row>
  </sheetData>
  <mergeCells count="2">
    <mergeCell ref="A1:N1"/>
    <mergeCell ref="A96:M9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Q989"/>
  <sheetViews>
    <sheetView topLeftCell="A48" workbookViewId="0">
      <selection activeCell="A79" sqref="A79"/>
    </sheetView>
  </sheetViews>
  <sheetFormatPr baseColWidth="10" defaultColWidth="12.6640625" defaultRowHeight="15.75" customHeight="1"/>
  <sheetData>
    <row r="1" spans="1:15" ht="18">
      <c r="A1" s="352" t="s">
        <v>105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5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5" ht="16">
      <c r="A3" s="66">
        <v>45598</v>
      </c>
      <c r="B3" s="269" t="s">
        <v>11</v>
      </c>
      <c r="C3" s="39">
        <v>16839</v>
      </c>
      <c r="D3" s="39">
        <v>16932</v>
      </c>
      <c r="E3" s="36">
        <f t="shared" ref="E3:E9" si="0">D3-C3</f>
        <v>93</v>
      </c>
      <c r="F3" s="37">
        <v>45</v>
      </c>
      <c r="G3" s="13">
        <f t="shared" ref="G3:G9" si="1">(F3/E3)*100</f>
        <v>48.387096774193552</v>
      </c>
      <c r="H3" s="39">
        <v>6304</v>
      </c>
      <c r="I3" s="126">
        <v>6736</v>
      </c>
      <c r="J3" s="39">
        <f t="shared" ref="J3:J9" si="2">I3-H3</f>
        <v>432</v>
      </c>
      <c r="K3" s="39">
        <f t="shared" ref="K3:K9" si="3">F3</f>
        <v>45</v>
      </c>
      <c r="L3" s="270">
        <f t="shared" ref="L3:L9" si="4">(K3/J3)*100</f>
        <v>10.416666666666668</v>
      </c>
      <c r="M3" s="68">
        <v>18140</v>
      </c>
      <c r="N3" s="324">
        <f t="shared" ref="N3:N9" si="5">F3*M3</f>
        <v>816300</v>
      </c>
    </row>
    <row r="4" spans="1:15" ht="16">
      <c r="A4" s="138">
        <v>45603</v>
      </c>
      <c r="B4" s="140" t="s">
        <v>11</v>
      </c>
      <c r="C4" s="83">
        <v>169326</v>
      </c>
      <c r="D4" s="83">
        <v>169648</v>
      </c>
      <c r="E4" s="11">
        <f t="shared" si="0"/>
        <v>322</v>
      </c>
      <c r="F4" s="141">
        <v>40</v>
      </c>
      <c r="G4" s="13">
        <f t="shared" si="1"/>
        <v>12.422360248447205</v>
      </c>
      <c r="H4" s="83">
        <v>6736</v>
      </c>
      <c r="I4" s="125">
        <v>7105</v>
      </c>
      <c r="J4" s="83">
        <f t="shared" si="2"/>
        <v>369</v>
      </c>
      <c r="K4" s="83">
        <f t="shared" si="3"/>
        <v>40</v>
      </c>
      <c r="L4" s="136">
        <f t="shared" si="4"/>
        <v>10.840108401084011</v>
      </c>
      <c r="M4" s="116">
        <v>18910</v>
      </c>
      <c r="N4" s="329">
        <f t="shared" si="5"/>
        <v>756400</v>
      </c>
    </row>
    <row r="5" spans="1:15" ht="16">
      <c r="A5" s="138">
        <v>45608</v>
      </c>
      <c r="B5" s="140" t="s">
        <v>11</v>
      </c>
      <c r="C5" s="83">
        <v>169648</v>
      </c>
      <c r="D5" s="83">
        <v>169929</v>
      </c>
      <c r="E5" s="11">
        <f t="shared" si="0"/>
        <v>281</v>
      </c>
      <c r="F5" s="141">
        <v>42</v>
      </c>
      <c r="G5" s="13">
        <f t="shared" si="1"/>
        <v>14.946619217081849</v>
      </c>
      <c r="H5" s="83">
        <v>7105</v>
      </c>
      <c r="I5" s="125">
        <v>7368</v>
      </c>
      <c r="J5" s="83">
        <f t="shared" si="2"/>
        <v>263</v>
      </c>
      <c r="K5" s="83">
        <f t="shared" si="3"/>
        <v>42</v>
      </c>
      <c r="L5" s="136">
        <f t="shared" si="4"/>
        <v>15.96958174904943</v>
      </c>
      <c r="M5" s="116">
        <v>18910</v>
      </c>
      <c r="N5" s="329">
        <f t="shared" si="5"/>
        <v>794220</v>
      </c>
    </row>
    <row r="6" spans="1:15" ht="16">
      <c r="A6" s="138">
        <v>45614</v>
      </c>
      <c r="B6" s="140" t="s">
        <v>11</v>
      </c>
      <c r="C6" s="83">
        <v>169929</v>
      </c>
      <c r="D6" s="83">
        <v>170297</v>
      </c>
      <c r="E6" s="11">
        <f t="shared" si="0"/>
        <v>368</v>
      </c>
      <c r="F6" s="141">
        <v>44</v>
      </c>
      <c r="G6" s="13">
        <f t="shared" si="1"/>
        <v>11.956521739130435</v>
      </c>
      <c r="H6" s="83">
        <v>7368</v>
      </c>
      <c r="I6" s="125">
        <v>7832</v>
      </c>
      <c r="J6" s="83">
        <f t="shared" si="2"/>
        <v>464</v>
      </c>
      <c r="K6" s="83">
        <f t="shared" si="3"/>
        <v>44</v>
      </c>
      <c r="L6" s="136">
        <f t="shared" si="4"/>
        <v>9.4827586206896548</v>
      </c>
      <c r="M6" s="116">
        <v>18570</v>
      </c>
      <c r="N6" s="329">
        <f t="shared" si="5"/>
        <v>817080</v>
      </c>
    </row>
    <row r="7" spans="1:15" ht="16">
      <c r="A7" s="138">
        <v>45618</v>
      </c>
      <c r="B7" s="140" t="s">
        <v>11</v>
      </c>
      <c r="C7" s="83">
        <v>170297</v>
      </c>
      <c r="D7" s="83">
        <v>170628</v>
      </c>
      <c r="E7" s="11">
        <f t="shared" si="0"/>
        <v>331</v>
      </c>
      <c r="F7" s="141">
        <v>50</v>
      </c>
      <c r="G7" s="13">
        <f t="shared" si="1"/>
        <v>15.105740181268882</v>
      </c>
      <c r="H7" s="83">
        <v>7832</v>
      </c>
      <c r="I7" s="125">
        <v>8218</v>
      </c>
      <c r="J7" s="83">
        <f t="shared" si="2"/>
        <v>386</v>
      </c>
      <c r="K7" s="83">
        <f t="shared" si="3"/>
        <v>50</v>
      </c>
      <c r="L7" s="136">
        <f t="shared" si="4"/>
        <v>12.953367875647666</v>
      </c>
      <c r="M7" s="116">
        <v>18500</v>
      </c>
      <c r="N7" s="329">
        <f t="shared" si="5"/>
        <v>925000</v>
      </c>
    </row>
    <row r="8" spans="1:15" ht="16">
      <c r="A8" s="138">
        <v>45623</v>
      </c>
      <c r="B8" s="90" t="s">
        <v>11</v>
      </c>
      <c r="C8" s="83">
        <v>170628</v>
      </c>
      <c r="D8" s="83">
        <v>170971</v>
      </c>
      <c r="E8" s="11">
        <f t="shared" si="0"/>
        <v>343</v>
      </c>
      <c r="F8" s="141">
        <v>40</v>
      </c>
      <c r="G8" s="13">
        <f t="shared" si="1"/>
        <v>11.661807580174926</v>
      </c>
      <c r="H8" s="83">
        <v>8218</v>
      </c>
      <c r="I8" s="125">
        <v>8494</v>
      </c>
      <c r="J8" s="83">
        <f t="shared" si="2"/>
        <v>276</v>
      </c>
      <c r="K8" s="83">
        <f t="shared" si="3"/>
        <v>40</v>
      </c>
      <c r="L8" s="136">
        <f t="shared" si="4"/>
        <v>14.492753623188406</v>
      </c>
      <c r="M8" s="116">
        <v>18500</v>
      </c>
      <c r="N8" s="329">
        <f t="shared" si="5"/>
        <v>740000</v>
      </c>
    </row>
    <row r="9" spans="1:15" ht="16">
      <c r="A9" s="271"/>
      <c r="B9" s="283"/>
      <c r="C9" s="134">
        <v>1</v>
      </c>
      <c r="D9" s="134"/>
      <c r="E9" s="24">
        <f t="shared" si="0"/>
        <v>-1</v>
      </c>
      <c r="F9" s="143"/>
      <c r="G9" s="54">
        <f t="shared" si="1"/>
        <v>0</v>
      </c>
      <c r="H9" s="134">
        <v>1</v>
      </c>
      <c r="I9" s="135"/>
      <c r="J9" s="134">
        <f t="shared" si="2"/>
        <v>-1</v>
      </c>
      <c r="K9" s="134">
        <f t="shared" si="3"/>
        <v>0</v>
      </c>
      <c r="L9" s="67">
        <f t="shared" si="4"/>
        <v>0</v>
      </c>
      <c r="M9" s="137"/>
      <c r="N9" s="336">
        <f t="shared" si="5"/>
        <v>0</v>
      </c>
    </row>
    <row r="10" spans="1:15" ht="16">
      <c r="A10" s="59"/>
      <c r="B10" s="60"/>
      <c r="C10" s="59"/>
      <c r="D10" s="59" t="s">
        <v>19</v>
      </c>
      <c r="E10" s="59">
        <f t="shared" ref="E10:F10" si="6">SUM(E3:E9)</f>
        <v>1737</v>
      </c>
      <c r="F10" s="59">
        <f t="shared" si="6"/>
        <v>261</v>
      </c>
      <c r="G10" s="61">
        <f>AVERAGE(G3:G9)</f>
        <v>16.354306534328121</v>
      </c>
      <c r="H10" s="59"/>
      <c r="I10" s="62"/>
      <c r="J10" s="59">
        <f t="shared" ref="J10:K10" si="7">SUM(J3:J9)</f>
        <v>2189</v>
      </c>
      <c r="K10" s="59">
        <f t="shared" si="7"/>
        <v>261</v>
      </c>
      <c r="L10" s="61">
        <f>AVERAGE(L3:L9)</f>
        <v>10.593605276617978</v>
      </c>
      <c r="M10" s="64"/>
      <c r="N10" s="345">
        <f>SUM(N3:N9)</f>
        <v>4849000</v>
      </c>
      <c r="O10" s="223">
        <f>N10+N15+N22+N30+N37+N45+N50+N54+N60+N68+N76+N84</f>
        <v>55275390</v>
      </c>
    </row>
    <row r="11" spans="1:15" ht="16">
      <c r="A11" s="66">
        <v>45603</v>
      </c>
      <c r="B11" s="269" t="s">
        <v>12</v>
      </c>
      <c r="C11" s="39">
        <v>132511</v>
      </c>
      <c r="D11" s="39">
        <v>133307</v>
      </c>
      <c r="E11" s="36">
        <f t="shared" ref="E11:E14" si="8">D11-C11</f>
        <v>796</v>
      </c>
      <c r="F11" s="37">
        <v>57</v>
      </c>
      <c r="G11" s="13">
        <f t="shared" ref="G11:G14" si="9">(F11/E11)*100</f>
        <v>7.1608040201005032</v>
      </c>
      <c r="H11" s="39">
        <v>5595</v>
      </c>
      <c r="I11" s="126">
        <v>6436</v>
      </c>
      <c r="J11" s="39">
        <f t="shared" ref="J11:J14" si="10">I11-H11</f>
        <v>841</v>
      </c>
      <c r="K11" s="39">
        <f t="shared" ref="K11:K14" si="11">F11</f>
        <v>57</v>
      </c>
      <c r="L11" s="270">
        <f t="shared" ref="L11:L14" si="12">(K11/J11)*100</f>
        <v>6.7776456599286563</v>
      </c>
      <c r="M11" s="68">
        <v>18140</v>
      </c>
      <c r="N11" s="324">
        <f t="shared" ref="N11:N14" si="13">F11*M11</f>
        <v>1033980</v>
      </c>
    </row>
    <row r="12" spans="1:15" ht="16">
      <c r="A12" s="138">
        <v>45610</v>
      </c>
      <c r="B12" s="140" t="s">
        <v>12</v>
      </c>
      <c r="C12" s="83">
        <v>133307</v>
      </c>
      <c r="D12" s="83">
        <v>133705</v>
      </c>
      <c r="E12" s="11">
        <f t="shared" si="8"/>
        <v>398</v>
      </c>
      <c r="F12" s="141">
        <v>57</v>
      </c>
      <c r="G12" s="13">
        <f t="shared" si="9"/>
        <v>14.321608040201006</v>
      </c>
      <c r="H12" s="83">
        <v>6436</v>
      </c>
      <c r="I12" s="125">
        <v>6932</v>
      </c>
      <c r="J12" s="83">
        <f t="shared" si="10"/>
        <v>496</v>
      </c>
      <c r="K12" s="83">
        <f t="shared" si="11"/>
        <v>57</v>
      </c>
      <c r="L12" s="136">
        <f t="shared" si="12"/>
        <v>11.491935483870968</v>
      </c>
      <c r="M12" s="116">
        <v>18910</v>
      </c>
      <c r="N12" s="329">
        <f t="shared" si="13"/>
        <v>1077870</v>
      </c>
    </row>
    <row r="13" spans="1:15" ht="16">
      <c r="A13" s="138">
        <v>45616</v>
      </c>
      <c r="B13" s="140" t="s">
        <v>12</v>
      </c>
      <c r="C13" s="83">
        <v>133705</v>
      </c>
      <c r="D13" s="83">
        <v>134095</v>
      </c>
      <c r="E13" s="11">
        <f t="shared" si="8"/>
        <v>390</v>
      </c>
      <c r="F13" s="141">
        <v>60</v>
      </c>
      <c r="G13" s="13">
        <f t="shared" si="9"/>
        <v>15.384615384615385</v>
      </c>
      <c r="H13" s="83">
        <v>6932</v>
      </c>
      <c r="I13" s="125">
        <v>7268</v>
      </c>
      <c r="J13" s="83">
        <f t="shared" si="10"/>
        <v>336</v>
      </c>
      <c r="K13" s="83">
        <f t="shared" si="11"/>
        <v>60</v>
      </c>
      <c r="L13" s="136">
        <f t="shared" si="12"/>
        <v>17.857142857142858</v>
      </c>
      <c r="M13" s="116">
        <v>18570</v>
      </c>
      <c r="N13" s="329">
        <f t="shared" si="13"/>
        <v>1114200</v>
      </c>
    </row>
    <row r="14" spans="1:15" ht="16">
      <c r="A14" s="138">
        <v>45623</v>
      </c>
      <c r="B14" s="140" t="s">
        <v>12</v>
      </c>
      <c r="C14" s="83">
        <v>134095</v>
      </c>
      <c r="D14" s="83">
        <v>134459</v>
      </c>
      <c r="E14" s="11">
        <f t="shared" si="8"/>
        <v>364</v>
      </c>
      <c r="F14" s="141">
        <v>50</v>
      </c>
      <c r="G14" s="13">
        <f t="shared" si="9"/>
        <v>13.736263736263737</v>
      </c>
      <c r="H14" s="83">
        <v>7268</v>
      </c>
      <c r="I14" s="125">
        <v>7694</v>
      </c>
      <c r="J14" s="83">
        <f t="shared" si="10"/>
        <v>426</v>
      </c>
      <c r="K14" s="83">
        <f t="shared" si="11"/>
        <v>50</v>
      </c>
      <c r="L14" s="136">
        <f t="shared" si="12"/>
        <v>11.737089201877934</v>
      </c>
      <c r="M14" s="116">
        <v>18500</v>
      </c>
      <c r="N14" s="329">
        <f t="shared" si="13"/>
        <v>925000</v>
      </c>
    </row>
    <row r="15" spans="1:15" ht="16">
      <c r="A15" s="59"/>
      <c r="B15" s="60"/>
      <c r="C15" s="59"/>
      <c r="D15" s="59" t="s">
        <v>19</v>
      </c>
      <c r="E15" s="59">
        <f t="shared" ref="E15:F15" si="14">SUM(E11:E14)</f>
        <v>1948</v>
      </c>
      <c r="F15" s="59">
        <f t="shared" si="14"/>
        <v>224</v>
      </c>
      <c r="G15" s="61">
        <f>AVERAGE(G11:G14)</f>
        <v>12.650822795295158</v>
      </c>
      <c r="H15" s="59"/>
      <c r="I15" s="62"/>
      <c r="J15" s="59">
        <f t="shared" ref="J15:K15" si="15">SUM(J11:J14)</f>
        <v>2099</v>
      </c>
      <c r="K15" s="59">
        <f t="shared" si="15"/>
        <v>224</v>
      </c>
      <c r="L15" s="61">
        <f>AVERAGE(L11:L14)</f>
        <v>11.965953300705104</v>
      </c>
      <c r="M15" s="64"/>
      <c r="N15" s="345">
        <f>SUM(N11:N14)</f>
        <v>4151050</v>
      </c>
    </row>
    <row r="16" spans="1:15" ht="16">
      <c r="A16" s="66">
        <v>45597</v>
      </c>
      <c r="B16" s="269" t="s">
        <v>13</v>
      </c>
      <c r="C16" s="39">
        <v>150066</v>
      </c>
      <c r="D16" s="39">
        <v>150456</v>
      </c>
      <c r="E16" s="36">
        <f t="shared" ref="E16:E21" si="16">D16-C16</f>
        <v>390</v>
      </c>
      <c r="F16" s="37"/>
      <c r="G16" s="13">
        <f t="shared" ref="G16:G21" si="17">(F16/E16)*100</f>
        <v>0</v>
      </c>
      <c r="H16" s="39">
        <v>5610</v>
      </c>
      <c r="I16" s="126">
        <v>6126</v>
      </c>
      <c r="J16" s="39">
        <f t="shared" ref="J16:J21" si="18">I16-H16</f>
        <v>516</v>
      </c>
      <c r="K16" s="39">
        <f t="shared" ref="K16:K21" si="19">F16</f>
        <v>0</v>
      </c>
      <c r="L16" s="136">
        <f t="shared" ref="L16:L21" si="20">(K16/J16)*100</f>
        <v>0</v>
      </c>
      <c r="M16" s="68">
        <v>18140</v>
      </c>
      <c r="N16" s="341">
        <f t="shared" ref="N16:N21" si="21">F16*M16</f>
        <v>0</v>
      </c>
    </row>
    <row r="17" spans="1:14" ht="16">
      <c r="A17" s="138">
        <v>45604</v>
      </c>
      <c r="B17" s="140" t="s">
        <v>13</v>
      </c>
      <c r="C17" s="39">
        <v>150456</v>
      </c>
      <c r="D17" s="83">
        <v>150840</v>
      </c>
      <c r="E17" s="11">
        <f t="shared" si="16"/>
        <v>384</v>
      </c>
      <c r="F17" s="141">
        <v>50</v>
      </c>
      <c r="G17" s="13">
        <f t="shared" si="17"/>
        <v>13.020833333333334</v>
      </c>
      <c r="H17" s="83">
        <v>6126</v>
      </c>
      <c r="I17" s="125">
        <v>6475</v>
      </c>
      <c r="J17" s="83">
        <f t="shared" si="18"/>
        <v>349</v>
      </c>
      <c r="K17" s="83">
        <f t="shared" si="19"/>
        <v>50</v>
      </c>
      <c r="L17" s="136">
        <f t="shared" si="20"/>
        <v>14.326647564469914</v>
      </c>
      <c r="M17" s="116">
        <v>18140</v>
      </c>
      <c r="N17" s="329">
        <f t="shared" si="21"/>
        <v>907000</v>
      </c>
    </row>
    <row r="18" spans="1:14" ht="16">
      <c r="A18" s="138">
        <v>45609</v>
      </c>
      <c r="B18" s="140" t="s">
        <v>13</v>
      </c>
      <c r="C18" s="83">
        <v>150840</v>
      </c>
      <c r="D18" s="83">
        <v>151213</v>
      </c>
      <c r="E18" s="11">
        <f t="shared" si="16"/>
        <v>373</v>
      </c>
      <c r="F18" s="141">
        <v>50</v>
      </c>
      <c r="G18" s="13">
        <f t="shared" si="17"/>
        <v>13.404825737265416</v>
      </c>
      <c r="H18" s="83">
        <v>6475</v>
      </c>
      <c r="I18" s="125">
        <v>6947</v>
      </c>
      <c r="J18" s="83">
        <f t="shared" si="18"/>
        <v>472</v>
      </c>
      <c r="K18" s="83">
        <f t="shared" si="19"/>
        <v>50</v>
      </c>
      <c r="L18" s="136">
        <f t="shared" si="20"/>
        <v>10.59322033898305</v>
      </c>
      <c r="M18" s="116">
        <v>18910</v>
      </c>
      <c r="N18" s="329">
        <f t="shared" si="21"/>
        <v>945500</v>
      </c>
    </row>
    <row r="19" spans="1:14" ht="16">
      <c r="A19" s="138">
        <v>45614</v>
      </c>
      <c r="B19" s="140" t="s">
        <v>13</v>
      </c>
      <c r="C19" s="83">
        <v>151213</v>
      </c>
      <c r="D19" s="83">
        <v>151585</v>
      </c>
      <c r="E19" s="11">
        <f t="shared" si="16"/>
        <v>372</v>
      </c>
      <c r="F19" s="141">
        <v>50</v>
      </c>
      <c r="G19" s="13">
        <f t="shared" si="17"/>
        <v>13.440860215053762</v>
      </c>
      <c r="H19" s="83">
        <v>6947</v>
      </c>
      <c r="I19" s="125">
        <v>7282</v>
      </c>
      <c r="J19" s="83">
        <f t="shared" si="18"/>
        <v>335</v>
      </c>
      <c r="K19" s="83">
        <f t="shared" si="19"/>
        <v>50</v>
      </c>
      <c r="L19" s="136">
        <f t="shared" si="20"/>
        <v>14.925373134328357</v>
      </c>
      <c r="M19" s="116">
        <v>18570</v>
      </c>
      <c r="N19" s="329">
        <f t="shared" si="21"/>
        <v>928500</v>
      </c>
    </row>
    <row r="20" spans="1:14" ht="16">
      <c r="A20" s="138">
        <v>45617</v>
      </c>
      <c r="B20" s="140" t="s">
        <v>13</v>
      </c>
      <c r="C20" s="83">
        <v>151585</v>
      </c>
      <c r="D20" s="83">
        <v>151888</v>
      </c>
      <c r="E20" s="11">
        <f t="shared" si="16"/>
        <v>303</v>
      </c>
      <c r="F20" s="141">
        <v>40</v>
      </c>
      <c r="G20" s="13">
        <f t="shared" si="17"/>
        <v>13.201320132013199</v>
      </c>
      <c r="H20" s="83">
        <v>7282</v>
      </c>
      <c r="I20" s="125">
        <v>7687</v>
      </c>
      <c r="J20" s="83">
        <f t="shared" si="18"/>
        <v>405</v>
      </c>
      <c r="K20" s="83">
        <f t="shared" si="19"/>
        <v>40</v>
      </c>
      <c r="L20" s="136">
        <f t="shared" si="20"/>
        <v>9.8765432098765427</v>
      </c>
      <c r="M20" s="116">
        <v>18500</v>
      </c>
      <c r="N20" s="329">
        <f t="shared" si="21"/>
        <v>740000</v>
      </c>
    </row>
    <row r="21" spans="1:14" ht="16">
      <c r="A21" s="138">
        <v>45623</v>
      </c>
      <c r="B21" s="90" t="s">
        <v>13</v>
      </c>
      <c r="C21" s="83">
        <v>151888</v>
      </c>
      <c r="D21" s="83">
        <v>152231</v>
      </c>
      <c r="E21" s="11">
        <f t="shared" si="16"/>
        <v>343</v>
      </c>
      <c r="F21" s="141">
        <v>50</v>
      </c>
      <c r="G21" s="13">
        <f t="shared" si="17"/>
        <v>14.577259475218659</v>
      </c>
      <c r="H21" s="83">
        <v>7687</v>
      </c>
      <c r="I21" s="125">
        <v>8000</v>
      </c>
      <c r="J21" s="83">
        <f t="shared" si="18"/>
        <v>313</v>
      </c>
      <c r="K21" s="83">
        <f t="shared" si="19"/>
        <v>50</v>
      </c>
      <c r="L21" s="136">
        <f t="shared" si="20"/>
        <v>15.974440894568689</v>
      </c>
      <c r="M21" s="116">
        <v>18500</v>
      </c>
      <c r="N21" s="329">
        <f t="shared" si="21"/>
        <v>925000</v>
      </c>
    </row>
    <row r="22" spans="1:14" ht="16">
      <c r="A22" s="59"/>
      <c r="B22" s="60"/>
      <c r="C22" s="59"/>
      <c r="D22" s="59" t="s">
        <v>19</v>
      </c>
      <c r="E22" s="59">
        <f t="shared" ref="E22:F22" si="22">SUM(E16:E21)</f>
        <v>2165</v>
      </c>
      <c r="F22" s="59">
        <f t="shared" si="22"/>
        <v>240</v>
      </c>
      <c r="G22" s="61">
        <f>AVERAGE(G16:G21)</f>
        <v>11.27418314881406</v>
      </c>
      <c r="H22" s="59"/>
      <c r="I22" s="62"/>
      <c r="J22" s="59">
        <f t="shared" ref="J22:K22" si="23">SUM(J16:J21)</f>
        <v>2390</v>
      </c>
      <c r="K22" s="59">
        <f t="shared" si="23"/>
        <v>240</v>
      </c>
      <c r="L22" s="61">
        <f>AVERAGE(L16:L21)</f>
        <v>10.949370857037758</v>
      </c>
      <c r="M22" s="64"/>
      <c r="N22" s="345">
        <f>SUM(N16:N21)</f>
        <v>4446000</v>
      </c>
    </row>
    <row r="23" spans="1:14" ht="16">
      <c r="A23" s="66">
        <v>45598</v>
      </c>
      <c r="B23" s="347" t="s">
        <v>14</v>
      </c>
      <c r="C23" s="39">
        <v>151090</v>
      </c>
      <c r="D23" s="39">
        <v>151522</v>
      </c>
      <c r="E23" s="36">
        <f t="shared" ref="E23:E28" si="24">D23-C23</f>
        <v>432</v>
      </c>
      <c r="F23" s="37">
        <v>50</v>
      </c>
      <c r="G23" s="13">
        <f t="shared" ref="G23:G28" si="25">(F23/E23)*100</f>
        <v>11.574074074074074</v>
      </c>
      <c r="H23" s="39">
        <v>5437</v>
      </c>
      <c r="I23" s="126">
        <v>5951</v>
      </c>
      <c r="J23" s="39">
        <f t="shared" ref="J23:J28" si="26">I23-H23</f>
        <v>514</v>
      </c>
      <c r="K23" s="39">
        <f t="shared" ref="K23:K28" si="27">F23</f>
        <v>50</v>
      </c>
      <c r="L23" s="136">
        <f t="shared" ref="L23:L28" si="28">(K23/J23)*100</f>
        <v>9.7276264591439698</v>
      </c>
      <c r="M23" s="68">
        <v>18140</v>
      </c>
      <c r="N23" s="324">
        <f t="shared" ref="N23:N29" si="29">F23*M23</f>
        <v>907000</v>
      </c>
    </row>
    <row r="24" spans="1:14" ht="16">
      <c r="A24" s="138">
        <v>45603</v>
      </c>
      <c r="B24" s="140" t="s">
        <v>14</v>
      </c>
      <c r="C24" s="83">
        <v>151522</v>
      </c>
      <c r="D24" s="83">
        <v>151903</v>
      </c>
      <c r="E24" s="11">
        <f t="shared" si="24"/>
        <v>381</v>
      </c>
      <c r="F24" s="141">
        <v>51</v>
      </c>
      <c r="G24" s="13">
        <f t="shared" si="25"/>
        <v>13.385826771653544</v>
      </c>
      <c r="H24" s="83">
        <v>5951</v>
      </c>
      <c r="I24" s="125">
        <v>6331</v>
      </c>
      <c r="J24" s="83">
        <f t="shared" si="26"/>
        <v>380</v>
      </c>
      <c r="K24" s="83">
        <f t="shared" si="27"/>
        <v>51</v>
      </c>
      <c r="L24" s="136">
        <f t="shared" si="28"/>
        <v>13.421052631578947</v>
      </c>
      <c r="M24" s="116">
        <v>18910</v>
      </c>
      <c r="N24" s="329">
        <f t="shared" si="29"/>
        <v>964410</v>
      </c>
    </row>
    <row r="25" spans="1:14" ht="16">
      <c r="A25" s="138">
        <v>45608</v>
      </c>
      <c r="B25" s="140" t="s">
        <v>14</v>
      </c>
      <c r="C25" s="83">
        <v>151903</v>
      </c>
      <c r="D25" s="83">
        <v>152256</v>
      </c>
      <c r="E25" s="11">
        <f t="shared" si="24"/>
        <v>353</v>
      </c>
      <c r="F25" s="141">
        <v>40</v>
      </c>
      <c r="G25" s="13">
        <f t="shared" si="25"/>
        <v>11.3314447592068</v>
      </c>
      <c r="H25" s="83">
        <v>6331</v>
      </c>
      <c r="I25" s="125">
        <v>6712</v>
      </c>
      <c r="J25" s="83">
        <f t="shared" si="26"/>
        <v>381</v>
      </c>
      <c r="K25" s="83">
        <f t="shared" si="27"/>
        <v>40</v>
      </c>
      <c r="L25" s="136">
        <f t="shared" si="28"/>
        <v>10.498687664041995</v>
      </c>
      <c r="M25" s="116">
        <v>18910</v>
      </c>
      <c r="N25" s="329">
        <f t="shared" si="29"/>
        <v>756400</v>
      </c>
    </row>
    <row r="26" spans="1:14" ht="16">
      <c r="A26" s="138">
        <v>45611</v>
      </c>
      <c r="B26" s="140" t="s">
        <v>14</v>
      </c>
      <c r="C26" s="83">
        <v>152256</v>
      </c>
      <c r="D26" s="83">
        <v>152619</v>
      </c>
      <c r="E26" s="11">
        <f t="shared" si="24"/>
        <v>363</v>
      </c>
      <c r="F26" s="141">
        <v>50</v>
      </c>
      <c r="G26" s="13">
        <f t="shared" si="25"/>
        <v>13.774104683195592</v>
      </c>
      <c r="H26" s="83">
        <v>6712</v>
      </c>
      <c r="I26" s="125">
        <v>7074</v>
      </c>
      <c r="J26" s="83">
        <f t="shared" si="26"/>
        <v>362</v>
      </c>
      <c r="K26" s="83">
        <f t="shared" si="27"/>
        <v>50</v>
      </c>
      <c r="L26" s="136">
        <f t="shared" si="28"/>
        <v>13.812154696132598</v>
      </c>
      <c r="M26" s="116">
        <v>18570</v>
      </c>
      <c r="N26" s="329">
        <f t="shared" si="29"/>
        <v>928500</v>
      </c>
    </row>
    <row r="27" spans="1:14" ht="16">
      <c r="A27" s="138">
        <v>45617</v>
      </c>
      <c r="B27" s="140" t="s">
        <v>14</v>
      </c>
      <c r="C27" s="83">
        <v>152619</v>
      </c>
      <c r="D27" s="83">
        <v>153035</v>
      </c>
      <c r="E27" s="11">
        <f t="shared" si="24"/>
        <v>416</v>
      </c>
      <c r="F27" s="141">
        <v>50</v>
      </c>
      <c r="G27" s="13">
        <f t="shared" si="25"/>
        <v>12.01923076923077</v>
      </c>
      <c r="H27" s="83">
        <v>7074</v>
      </c>
      <c r="I27" s="125">
        <v>7553</v>
      </c>
      <c r="J27" s="83">
        <f t="shared" si="26"/>
        <v>479</v>
      </c>
      <c r="K27" s="83">
        <f t="shared" si="27"/>
        <v>50</v>
      </c>
      <c r="L27" s="136">
        <f t="shared" si="28"/>
        <v>10.438413361169102</v>
      </c>
      <c r="M27" s="116">
        <v>18500</v>
      </c>
      <c r="N27" s="329">
        <f t="shared" si="29"/>
        <v>925000</v>
      </c>
    </row>
    <row r="28" spans="1:14" ht="16">
      <c r="A28" s="138">
        <v>45624</v>
      </c>
      <c r="B28" s="140" t="s">
        <v>14</v>
      </c>
      <c r="C28" s="83">
        <v>153035</v>
      </c>
      <c r="D28" s="83">
        <v>153414</v>
      </c>
      <c r="E28" s="11">
        <f t="shared" si="24"/>
        <v>379</v>
      </c>
      <c r="F28" s="141">
        <v>50</v>
      </c>
      <c r="G28" s="13">
        <f t="shared" si="25"/>
        <v>13.192612137203167</v>
      </c>
      <c r="H28" s="83">
        <v>7553</v>
      </c>
      <c r="I28" s="125">
        <v>7955</v>
      </c>
      <c r="J28" s="83">
        <f t="shared" si="26"/>
        <v>402</v>
      </c>
      <c r="K28" s="83">
        <f t="shared" si="27"/>
        <v>50</v>
      </c>
      <c r="L28" s="136">
        <f t="shared" si="28"/>
        <v>12.437810945273633</v>
      </c>
      <c r="M28" s="116">
        <v>18500</v>
      </c>
      <c r="N28" s="329">
        <f t="shared" si="29"/>
        <v>925000</v>
      </c>
    </row>
    <row r="29" spans="1:14" ht="16">
      <c r="A29" s="138"/>
      <c r="B29" s="140"/>
      <c r="C29" s="83"/>
      <c r="D29" s="83"/>
      <c r="E29" s="11"/>
      <c r="F29" s="141"/>
      <c r="G29" s="13"/>
      <c r="H29" s="83"/>
      <c r="I29" s="125"/>
      <c r="J29" s="83"/>
      <c r="K29" s="83"/>
      <c r="L29" s="136"/>
      <c r="M29" s="116"/>
      <c r="N29" s="329">
        <f t="shared" si="29"/>
        <v>0</v>
      </c>
    </row>
    <row r="30" spans="1:14" ht="16">
      <c r="A30" s="59"/>
      <c r="B30" s="60"/>
      <c r="C30" s="59"/>
      <c r="D30" s="59" t="s">
        <v>19</v>
      </c>
      <c r="E30" s="59">
        <f t="shared" ref="E30:F30" si="30">SUM(E23:E29)</f>
        <v>2324</v>
      </c>
      <c r="F30" s="59">
        <f t="shared" si="30"/>
        <v>291</v>
      </c>
      <c r="G30" s="61">
        <f>AVERAGE(G23:G29)</f>
        <v>12.546215532427325</v>
      </c>
      <c r="H30" s="59"/>
      <c r="I30" s="62"/>
      <c r="J30" s="59">
        <f t="shared" ref="J30:K30" si="31">SUM(J23:J29)</f>
        <v>2518</v>
      </c>
      <c r="K30" s="59">
        <f t="shared" si="31"/>
        <v>291</v>
      </c>
      <c r="L30" s="61">
        <f>AVERAGE(L23:L29)</f>
        <v>11.722624292890041</v>
      </c>
      <c r="M30" s="64"/>
      <c r="N30" s="345">
        <f>SUM(N23:N29)</f>
        <v>5406310</v>
      </c>
    </row>
    <row r="31" spans="1:14" ht="16">
      <c r="A31" s="66">
        <v>45601</v>
      </c>
      <c r="B31" s="269" t="s">
        <v>15</v>
      </c>
      <c r="C31" s="39">
        <v>138458</v>
      </c>
      <c r="D31" s="39">
        <v>139063</v>
      </c>
      <c r="E31" s="36">
        <f t="shared" ref="E31:E36" si="32">D31-C31</f>
        <v>605</v>
      </c>
      <c r="F31" s="37">
        <v>32</v>
      </c>
      <c r="G31" s="13">
        <f t="shared" ref="G31:G36" si="33">(F31/E31)*100</f>
        <v>5.2892561983471076</v>
      </c>
      <c r="H31" s="39">
        <v>5659</v>
      </c>
      <c r="I31" s="126">
        <v>6298</v>
      </c>
      <c r="J31" s="39">
        <f t="shared" ref="J31:J36" si="34">I31-H31</f>
        <v>639</v>
      </c>
      <c r="K31" s="39">
        <f t="shared" ref="K31:K36" si="35">F31</f>
        <v>32</v>
      </c>
      <c r="L31" s="136">
        <f t="shared" ref="L31:L36" si="36">(K31/J31)*100</f>
        <v>5.0078247261345856</v>
      </c>
      <c r="M31" s="68">
        <v>18140</v>
      </c>
      <c r="N31" s="324">
        <f t="shared" ref="N31:N36" si="37">F31*M31</f>
        <v>580480</v>
      </c>
    </row>
    <row r="32" spans="1:14" ht="16">
      <c r="A32" s="138">
        <v>45604</v>
      </c>
      <c r="B32" s="140" t="s">
        <v>15</v>
      </c>
      <c r="C32" s="83">
        <v>139063</v>
      </c>
      <c r="D32" s="83">
        <v>139370</v>
      </c>
      <c r="E32" s="11">
        <f t="shared" si="32"/>
        <v>307</v>
      </c>
      <c r="F32" s="141">
        <v>40</v>
      </c>
      <c r="G32" s="13">
        <f t="shared" si="33"/>
        <v>13.029315960912053</v>
      </c>
      <c r="H32" s="126">
        <v>6298</v>
      </c>
      <c r="I32" s="125">
        <v>6624</v>
      </c>
      <c r="J32" s="83">
        <f t="shared" si="34"/>
        <v>326</v>
      </c>
      <c r="K32" s="83">
        <f t="shared" si="35"/>
        <v>40</v>
      </c>
      <c r="L32" s="136">
        <f t="shared" si="36"/>
        <v>12.269938650306749</v>
      </c>
      <c r="M32" s="116">
        <v>18910</v>
      </c>
      <c r="N32" s="329">
        <f t="shared" si="37"/>
        <v>756400</v>
      </c>
    </row>
    <row r="33" spans="1:17" ht="16">
      <c r="A33" s="138">
        <v>45608</v>
      </c>
      <c r="B33" s="140" t="s">
        <v>15</v>
      </c>
      <c r="C33" s="83">
        <v>139370</v>
      </c>
      <c r="D33" s="83">
        <v>139647</v>
      </c>
      <c r="E33" s="11">
        <f t="shared" si="32"/>
        <v>277</v>
      </c>
      <c r="F33" s="141">
        <v>33</v>
      </c>
      <c r="G33" s="13">
        <f t="shared" si="33"/>
        <v>11.913357400722022</v>
      </c>
      <c r="H33" s="83">
        <v>6624</v>
      </c>
      <c r="I33" s="125">
        <v>6937</v>
      </c>
      <c r="J33" s="83">
        <f t="shared" si="34"/>
        <v>313</v>
      </c>
      <c r="K33" s="83">
        <f t="shared" si="35"/>
        <v>33</v>
      </c>
      <c r="L33" s="136">
        <f t="shared" si="36"/>
        <v>10.543130990415335</v>
      </c>
      <c r="M33" s="116">
        <v>18910</v>
      </c>
      <c r="N33" s="329">
        <f t="shared" si="37"/>
        <v>624030</v>
      </c>
      <c r="Q33" s="76">
        <f>5180000+1258000+1406000+1202500+5050500+925000+2289940</f>
        <v>17311940</v>
      </c>
    </row>
    <row r="34" spans="1:17" ht="16">
      <c r="A34" s="138">
        <v>45614</v>
      </c>
      <c r="B34" s="140" t="s">
        <v>15</v>
      </c>
      <c r="C34" s="83">
        <v>139647</v>
      </c>
      <c r="D34" s="83">
        <v>139979</v>
      </c>
      <c r="E34" s="11">
        <f t="shared" si="32"/>
        <v>332</v>
      </c>
      <c r="F34" s="141">
        <v>46</v>
      </c>
      <c r="G34" s="13">
        <f t="shared" si="33"/>
        <v>13.855421686746988</v>
      </c>
      <c r="H34" s="83">
        <v>6937</v>
      </c>
      <c r="I34" s="125">
        <v>7280</v>
      </c>
      <c r="J34" s="83">
        <f t="shared" si="34"/>
        <v>343</v>
      </c>
      <c r="K34" s="83">
        <f t="shared" si="35"/>
        <v>46</v>
      </c>
      <c r="L34" s="136">
        <f t="shared" si="36"/>
        <v>13.411078717201166</v>
      </c>
      <c r="M34" s="116">
        <v>18570</v>
      </c>
      <c r="N34" s="329">
        <f t="shared" si="37"/>
        <v>854220</v>
      </c>
      <c r="Q34" s="76">
        <f>2079840+1857000+2525520+2618370+2228400+1717000</f>
        <v>13026130</v>
      </c>
    </row>
    <row r="35" spans="1:17" ht="16">
      <c r="A35" s="138">
        <v>45618</v>
      </c>
      <c r="B35" s="140" t="s">
        <v>15</v>
      </c>
      <c r="C35" s="83">
        <v>139979</v>
      </c>
      <c r="D35" s="83">
        <v>140304</v>
      </c>
      <c r="E35" s="11">
        <f t="shared" si="32"/>
        <v>325</v>
      </c>
      <c r="F35" s="141">
        <v>45</v>
      </c>
      <c r="G35" s="13">
        <f t="shared" si="33"/>
        <v>13.846153846153847</v>
      </c>
      <c r="H35" s="83">
        <v>7280</v>
      </c>
      <c r="I35" s="125">
        <v>7696</v>
      </c>
      <c r="J35" s="83">
        <f t="shared" si="34"/>
        <v>416</v>
      </c>
      <c r="K35" s="83">
        <f t="shared" si="35"/>
        <v>45</v>
      </c>
      <c r="L35" s="136">
        <f t="shared" si="36"/>
        <v>10.817307692307693</v>
      </c>
      <c r="M35" s="116">
        <v>18500</v>
      </c>
      <c r="N35" s="329">
        <f t="shared" si="37"/>
        <v>832500</v>
      </c>
      <c r="Q35" s="76">
        <f>756400+3876550+3403800+3630720+681000</f>
        <v>12348470</v>
      </c>
    </row>
    <row r="36" spans="1:17" ht="16">
      <c r="A36" s="276">
        <v>45623</v>
      </c>
      <c r="B36" s="140" t="s">
        <v>15</v>
      </c>
      <c r="C36" s="83">
        <v>140304</v>
      </c>
      <c r="D36" s="83">
        <v>140622</v>
      </c>
      <c r="E36" s="11">
        <f t="shared" si="32"/>
        <v>318</v>
      </c>
      <c r="F36" s="141">
        <v>40</v>
      </c>
      <c r="G36" s="13">
        <f t="shared" si="33"/>
        <v>12.578616352201259</v>
      </c>
      <c r="H36" s="83">
        <v>7696</v>
      </c>
      <c r="I36" s="125">
        <v>7969</v>
      </c>
      <c r="J36" s="83">
        <f t="shared" si="34"/>
        <v>273</v>
      </c>
      <c r="K36" s="83">
        <f t="shared" si="35"/>
        <v>40</v>
      </c>
      <c r="L36" s="136">
        <f t="shared" si="36"/>
        <v>14.652014652014653</v>
      </c>
      <c r="M36" s="116">
        <v>18500</v>
      </c>
      <c r="N36" s="329">
        <f t="shared" si="37"/>
        <v>740000</v>
      </c>
      <c r="Q36" s="76">
        <f>1360500+1723300+2412620+1668880+1814000+3661790</f>
        <v>12641090</v>
      </c>
    </row>
    <row r="37" spans="1:17" ht="16">
      <c r="A37" s="59"/>
      <c r="B37" s="60"/>
      <c r="C37" s="59"/>
      <c r="D37" s="59" t="s">
        <v>19</v>
      </c>
      <c r="E37" s="59">
        <f t="shared" ref="E37:F37" si="38">SUM(E31:E36)</f>
        <v>2164</v>
      </c>
      <c r="F37" s="59">
        <f t="shared" si="38"/>
        <v>236</v>
      </c>
      <c r="G37" s="61">
        <f>AVERAGE(G31:G36)</f>
        <v>11.752020240847211</v>
      </c>
      <c r="H37" s="59"/>
      <c r="I37" s="62"/>
      <c r="J37" s="59">
        <f t="shared" ref="J37:K37" si="39">SUM(J31:J36)</f>
        <v>2310</v>
      </c>
      <c r="K37" s="59">
        <f t="shared" si="39"/>
        <v>236</v>
      </c>
      <c r="L37" s="61">
        <f>AVERAGE(L31:L36)</f>
        <v>11.116882571396696</v>
      </c>
      <c r="M37" s="64"/>
      <c r="N37" s="345">
        <f>SUM(N31:N36)</f>
        <v>4387630</v>
      </c>
    </row>
    <row r="38" spans="1:17" ht="16">
      <c r="A38" s="346">
        <v>45618</v>
      </c>
      <c r="B38" s="269" t="s">
        <v>16</v>
      </c>
      <c r="C38" s="39">
        <v>115441</v>
      </c>
      <c r="D38" s="39">
        <v>116357</v>
      </c>
      <c r="E38" s="36">
        <f t="shared" ref="E38:E44" si="40">D38-C38</f>
        <v>916</v>
      </c>
      <c r="F38" s="37">
        <v>48</v>
      </c>
      <c r="G38" s="13">
        <f t="shared" ref="G38:G44" si="41">(F38/E38)*100</f>
        <v>5.2401746724890828</v>
      </c>
      <c r="H38" s="39">
        <v>6474</v>
      </c>
      <c r="I38" s="126">
        <v>7165</v>
      </c>
      <c r="J38" s="39">
        <f t="shared" ref="J38:J44" si="42">I38-H38</f>
        <v>691</v>
      </c>
      <c r="K38" s="39">
        <f t="shared" ref="K38:K44" si="43">F38</f>
        <v>48</v>
      </c>
      <c r="L38" s="136">
        <f t="shared" ref="L38:L44" si="44">(K38/J38)*100</f>
        <v>6.9464544138929094</v>
      </c>
      <c r="M38" s="68">
        <v>18500</v>
      </c>
      <c r="N38" s="324">
        <f t="shared" ref="N38:N41" si="45">F38*M38</f>
        <v>888000</v>
      </c>
    </row>
    <row r="39" spans="1:17" ht="16">
      <c r="A39" s="138">
        <v>45623</v>
      </c>
      <c r="B39" s="140" t="s">
        <v>16</v>
      </c>
      <c r="C39" s="83">
        <v>116357</v>
      </c>
      <c r="D39" s="83">
        <v>116719</v>
      </c>
      <c r="E39" s="11">
        <f t="shared" si="40"/>
        <v>362</v>
      </c>
      <c r="F39" s="141">
        <v>50</v>
      </c>
      <c r="G39" s="13">
        <f t="shared" si="41"/>
        <v>13.812154696132598</v>
      </c>
      <c r="H39" s="83">
        <v>7165</v>
      </c>
      <c r="I39" s="125">
        <v>7856</v>
      </c>
      <c r="J39" s="83">
        <f t="shared" si="42"/>
        <v>691</v>
      </c>
      <c r="K39" s="83">
        <f t="shared" si="43"/>
        <v>50</v>
      </c>
      <c r="L39" s="136">
        <f t="shared" si="44"/>
        <v>7.2358900144717797</v>
      </c>
      <c r="M39" s="116">
        <v>18500</v>
      </c>
      <c r="N39" s="329">
        <f t="shared" si="45"/>
        <v>925000</v>
      </c>
    </row>
    <row r="40" spans="1:17" ht="16">
      <c r="A40" s="138">
        <v>45610</v>
      </c>
      <c r="B40" s="140" t="s">
        <v>16</v>
      </c>
      <c r="C40" s="83"/>
      <c r="D40" s="83"/>
      <c r="E40" s="11">
        <f t="shared" si="40"/>
        <v>0</v>
      </c>
      <c r="F40" s="141">
        <v>36</v>
      </c>
      <c r="G40" s="13" t="e">
        <f t="shared" si="41"/>
        <v>#DIV/0!</v>
      </c>
      <c r="H40" s="83"/>
      <c r="I40" s="125"/>
      <c r="J40" s="83">
        <f t="shared" si="42"/>
        <v>0</v>
      </c>
      <c r="K40" s="83">
        <f t="shared" si="43"/>
        <v>36</v>
      </c>
      <c r="L40" s="136" t="e">
        <f t="shared" si="44"/>
        <v>#DIV/0!</v>
      </c>
      <c r="M40" s="116">
        <v>18910</v>
      </c>
      <c r="N40" s="296">
        <f t="shared" si="45"/>
        <v>680760</v>
      </c>
    </row>
    <row r="41" spans="1:17" ht="16">
      <c r="A41" s="138">
        <v>45614</v>
      </c>
      <c r="B41" s="140" t="s">
        <v>16</v>
      </c>
      <c r="C41" s="83"/>
      <c r="D41" s="83"/>
      <c r="E41" s="11">
        <f t="shared" si="40"/>
        <v>0</v>
      </c>
      <c r="F41" s="141">
        <v>51</v>
      </c>
      <c r="G41" s="13" t="e">
        <f t="shared" si="41"/>
        <v>#DIV/0!</v>
      </c>
      <c r="H41" s="83"/>
      <c r="I41" s="125"/>
      <c r="J41" s="83">
        <f t="shared" si="42"/>
        <v>0</v>
      </c>
      <c r="K41" s="83">
        <f t="shared" si="43"/>
        <v>51</v>
      </c>
      <c r="L41" s="136" t="e">
        <f t="shared" si="44"/>
        <v>#DIV/0!</v>
      </c>
      <c r="M41" s="116">
        <v>18570</v>
      </c>
      <c r="N41" s="297">
        <f t="shared" si="45"/>
        <v>947070</v>
      </c>
      <c r="P41" s="78"/>
    </row>
    <row r="42" spans="1:17" ht="16">
      <c r="A42" s="138"/>
      <c r="B42" s="140" t="s">
        <v>16</v>
      </c>
      <c r="C42" s="83"/>
      <c r="D42" s="83"/>
      <c r="E42" s="11">
        <f t="shared" si="40"/>
        <v>0</v>
      </c>
      <c r="F42" s="141">
        <v>48</v>
      </c>
      <c r="G42" s="13" t="e">
        <f t="shared" si="41"/>
        <v>#DIV/0!</v>
      </c>
      <c r="H42" s="83"/>
      <c r="I42" s="125"/>
      <c r="J42" s="83">
        <f t="shared" si="42"/>
        <v>0</v>
      </c>
      <c r="K42" s="83">
        <f t="shared" si="43"/>
        <v>48</v>
      </c>
      <c r="L42" s="136" t="e">
        <f t="shared" si="44"/>
        <v>#DIV/0!</v>
      </c>
      <c r="M42" s="116"/>
      <c r="N42" s="329"/>
    </row>
    <row r="43" spans="1:17" ht="16">
      <c r="A43" s="244"/>
      <c r="B43" s="90" t="s">
        <v>16</v>
      </c>
      <c r="C43" s="83">
        <v>1</v>
      </c>
      <c r="D43" s="83"/>
      <c r="E43" s="11">
        <f t="shared" si="40"/>
        <v>-1</v>
      </c>
      <c r="F43" s="141"/>
      <c r="G43" s="13">
        <f t="shared" si="41"/>
        <v>0</v>
      </c>
      <c r="H43" s="83"/>
      <c r="I43" s="125"/>
      <c r="J43" s="83">
        <f t="shared" si="42"/>
        <v>0</v>
      </c>
      <c r="K43" s="83">
        <f t="shared" si="43"/>
        <v>0</v>
      </c>
      <c r="L43" s="136" t="e">
        <f t="shared" si="44"/>
        <v>#DIV/0!</v>
      </c>
      <c r="M43" s="116"/>
      <c r="N43" s="201">
        <f t="shared" ref="N43:N44" si="46">F43*M43</f>
        <v>0</v>
      </c>
    </row>
    <row r="44" spans="1:17" ht="16">
      <c r="A44" s="271"/>
      <c r="B44" s="283"/>
      <c r="C44" s="134">
        <v>1</v>
      </c>
      <c r="D44" s="134"/>
      <c r="E44" s="24">
        <f t="shared" si="40"/>
        <v>-1</v>
      </c>
      <c r="F44" s="143"/>
      <c r="G44" s="54">
        <f t="shared" si="41"/>
        <v>0</v>
      </c>
      <c r="H44" s="134">
        <v>1</v>
      </c>
      <c r="I44" s="135"/>
      <c r="J44" s="134">
        <f t="shared" si="42"/>
        <v>-1</v>
      </c>
      <c r="K44" s="134">
        <f t="shared" si="43"/>
        <v>0</v>
      </c>
      <c r="L44" s="136">
        <f t="shared" si="44"/>
        <v>0</v>
      </c>
      <c r="M44" s="137"/>
      <c r="N44" s="336">
        <f t="shared" si="46"/>
        <v>0</v>
      </c>
    </row>
    <row r="45" spans="1:17" ht="16">
      <c r="A45" s="59"/>
      <c r="B45" s="60"/>
      <c r="C45" s="59"/>
      <c r="D45" s="59" t="s">
        <v>19</v>
      </c>
      <c r="E45" s="59">
        <f t="shared" ref="E45:F45" si="47">SUM(E38:E44)</f>
        <v>1276</v>
      </c>
      <c r="F45" s="59">
        <f t="shared" si="47"/>
        <v>233</v>
      </c>
      <c r="G45" s="61" t="e">
        <f>AVERAGE(G38:G44)</f>
        <v>#DIV/0!</v>
      </c>
      <c r="H45" s="59"/>
      <c r="I45" s="62"/>
      <c r="J45" s="59">
        <f t="shared" ref="J45:K45" si="48">SUM(J38:J44)</f>
        <v>1381</v>
      </c>
      <c r="K45" s="59">
        <f t="shared" si="48"/>
        <v>233</v>
      </c>
      <c r="L45" s="61" t="e">
        <f>AVERAGE(L38:L44)</f>
        <v>#DIV/0!</v>
      </c>
      <c r="M45" s="64"/>
      <c r="N45" s="345">
        <f>SUM(N38:N44)</f>
        <v>3440830</v>
      </c>
    </row>
    <row r="46" spans="1:17" ht="16">
      <c r="A46" s="66">
        <v>45611</v>
      </c>
      <c r="B46" s="269" t="s">
        <v>18</v>
      </c>
      <c r="C46" s="39">
        <v>120340</v>
      </c>
      <c r="D46" s="39">
        <v>120696</v>
      </c>
      <c r="E46" s="36">
        <f t="shared" ref="E46:E49" si="49">D46-C46</f>
        <v>356</v>
      </c>
      <c r="F46" s="37">
        <v>47</v>
      </c>
      <c r="G46" s="13">
        <f t="shared" ref="G46:G49" si="50">(F46/E46)*100</f>
        <v>13.202247191011235</v>
      </c>
      <c r="H46" s="39">
        <v>6846</v>
      </c>
      <c r="I46" s="126">
        <v>7235</v>
      </c>
      <c r="J46" s="39">
        <f t="shared" ref="J46:J49" si="51">I46-H46</f>
        <v>389</v>
      </c>
      <c r="K46" s="39">
        <f t="shared" ref="K46:K49" si="52">F46</f>
        <v>47</v>
      </c>
      <c r="L46" s="136">
        <f t="shared" ref="L46:L49" si="53">(K46/J46)*100</f>
        <v>12.082262210796916</v>
      </c>
      <c r="M46" s="68">
        <v>18570</v>
      </c>
      <c r="N46" s="348">
        <f t="shared" ref="N46:N49" si="54">F46*M46</f>
        <v>872790</v>
      </c>
    </row>
    <row r="47" spans="1:17" ht="16">
      <c r="A47" s="138">
        <v>45618</v>
      </c>
      <c r="B47" s="140" t="s">
        <v>18</v>
      </c>
      <c r="C47" s="83">
        <v>120696</v>
      </c>
      <c r="D47" s="83">
        <v>121037</v>
      </c>
      <c r="E47" s="11">
        <f t="shared" si="49"/>
        <v>341</v>
      </c>
      <c r="F47" s="141">
        <v>47</v>
      </c>
      <c r="G47" s="13">
        <f t="shared" si="50"/>
        <v>13.782991202346039</v>
      </c>
      <c r="H47" s="83">
        <v>7235</v>
      </c>
      <c r="I47" s="125">
        <v>7609</v>
      </c>
      <c r="J47" s="83">
        <f t="shared" si="51"/>
        <v>374</v>
      </c>
      <c r="K47" s="83">
        <f t="shared" si="52"/>
        <v>47</v>
      </c>
      <c r="L47" s="136">
        <f t="shared" si="53"/>
        <v>12.566844919786096</v>
      </c>
      <c r="M47" s="116">
        <v>18500</v>
      </c>
      <c r="N47" s="326">
        <f t="shared" si="54"/>
        <v>869500</v>
      </c>
    </row>
    <row r="48" spans="1:17" ht="16">
      <c r="A48" s="138">
        <v>45623</v>
      </c>
      <c r="B48" s="140" t="s">
        <v>18</v>
      </c>
      <c r="C48" s="83">
        <v>121037</v>
      </c>
      <c r="D48" s="83">
        <v>121391</v>
      </c>
      <c r="E48" s="11">
        <f t="shared" si="49"/>
        <v>354</v>
      </c>
      <c r="F48" s="141">
        <v>43</v>
      </c>
      <c r="G48" s="13">
        <f t="shared" si="50"/>
        <v>12.146892655367232</v>
      </c>
      <c r="H48" s="83">
        <v>7609</v>
      </c>
      <c r="I48" s="125">
        <v>7946</v>
      </c>
      <c r="J48" s="83">
        <f t="shared" si="51"/>
        <v>337</v>
      </c>
      <c r="K48" s="83">
        <f t="shared" si="52"/>
        <v>43</v>
      </c>
      <c r="L48" s="136">
        <f t="shared" si="53"/>
        <v>12.759643916913946</v>
      </c>
      <c r="M48" s="116">
        <v>18500</v>
      </c>
      <c r="N48" s="326">
        <f t="shared" si="54"/>
        <v>795500</v>
      </c>
    </row>
    <row r="49" spans="1:14" ht="16">
      <c r="A49" s="138">
        <v>45626</v>
      </c>
      <c r="B49" s="140" t="s">
        <v>18</v>
      </c>
      <c r="C49" s="83">
        <v>121391</v>
      </c>
      <c r="D49" s="83">
        <v>121741</v>
      </c>
      <c r="E49" s="11">
        <f t="shared" si="49"/>
        <v>350</v>
      </c>
      <c r="F49" s="141">
        <v>45</v>
      </c>
      <c r="G49" s="13">
        <f t="shared" si="50"/>
        <v>12.857142857142856</v>
      </c>
      <c r="H49" s="83">
        <v>7946</v>
      </c>
      <c r="I49" s="125">
        <v>8354</v>
      </c>
      <c r="J49" s="83">
        <f t="shared" si="51"/>
        <v>408</v>
      </c>
      <c r="K49" s="83">
        <f t="shared" si="52"/>
        <v>45</v>
      </c>
      <c r="L49" s="136">
        <f t="shared" si="53"/>
        <v>11.029411764705882</v>
      </c>
      <c r="M49" s="116">
        <v>18770</v>
      </c>
      <c r="N49" s="326">
        <f t="shared" si="54"/>
        <v>844650</v>
      </c>
    </row>
    <row r="50" spans="1:14" ht="16">
      <c r="A50" s="59"/>
      <c r="B50" s="60"/>
      <c r="C50" s="59"/>
      <c r="D50" s="59" t="s">
        <v>19</v>
      </c>
      <c r="E50" s="59">
        <f t="shared" ref="E50:F50" si="55">SUM(E46:E49)</f>
        <v>1401</v>
      </c>
      <c r="F50" s="59">
        <f t="shared" si="55"/>
        <v>182</v>
      </c>
      <c r="G50" s="61">
        <f>AVERAGE(G46:G49)</f>
        <v>12.997318476466839</v>
      </c>
      <c r="H50" s="59"/>
      <c r="I50" s="62"/>
      <c r="J50" s="59">
        <f t="shared" ref="J50:K50" si="56">SUM(J46:J49)</f>
        <v>1508</v>
      </c>
      <c r="K50" s="59">
        <f t="shared" si="56"/>
        <v>182</v>
      </c>
      <c r="L50" s="61">
        <f>AVERAGE(L46:L49)</f>
        <v>12.10954070305071</v>
      </c>
      <c r="M50" s="64"/>
      <c r="N50" s="345">
        <f>SUM(N46:N49)</f>
        <v>3382440</v>
      </c>
    </row>
    <row r="51" spans="1:14" ht="16">
      <c r="A51" s="66">
        <v>45602</v>
      </c>
      <c r="B51" s="269" t="s">
        <v>20</v>
      </c>
      <c r="C51" s="39">
        <v>363563</v>
      </c>
      <c r="D51" s="39">
        <v>364377</v>
      </c>
      <c r="E51" s="36">
        <f t="shared" ref="E51:E53" si="57">D51-C51</f>
        <v>814</v>
      </c>
      <c r="F51" s="37">
        <v>100</v>
      </c>
      <c r="G51" s="13">
        <f t="shared" ref="G51:G53" si="58">(F51/E51)*100</f>
        <v>12.285012285012286</v>
      </c>
      <c r="H51" s="39">
        <v>7024</v>
      </c>
      <c r="I51" s="126">
        <v>7812</v>
      </c>
      <c r="J51" s="39">
        <f t="shared" ref="J51:J53" si="59">I51-H51</f>
        <v>788</v>
      </c>
      <c r="K51" s="39">
        <f t="shared" ref="K51:K53" si="60">F51</f>
        <v>100</v>
      </c>
      <c r="L51" s="136">
        <f t="shared" ref="L51:L53" si="61">(K51/J51)*100</f>
        <v>12.690355329949238</v>
      </c>
      <c r="M51" s="68">
        <v>18140</v>
      </c>
      <c r="N51" s="324">
        <f t="shared" ref="N51:N53" si="62">F51*M51</f>
        <v>1814000</v>
      </c>
    </row>
    <row r="52" spans="1:14" ht="16">
      <c r="A52" s="138">
        <v>45610</v>
      </c>
      <c r="B52" s="140" t="s">
        <v>20</v>
      </c>
      <c r="C52" s="83">
        <v>364377</v>
      </c>
      <c r="D52" s="83">
        <v>365065</v>
      </c>
      <c r="E52" s="11">
        <f t="shared" si="57"/>
        <v>688</v>
      </c>
      <c r="F52" s="141">
        <v>85</v>
      </c>
      <c r="G52" s="13">
        <f t="shared" si="58"/>
        <v>12.354651162790697</v>
      </c>
      <c r="H52" s="83">
        <v>7812</v>
      </c>
      <c r="I52" s="125">
        <v>8564</v>
      </c>
      <c r="J52" s="83">
        <f t="shared" si="59"/>
        <v>752</v>
      </c>
      <c r="K52" s="83">
        <f t="shared" si="60"/>
        <v>85</v>
      </c>
      <c r="L52" s="136">
        <f t="shared" si="61"/>
        <v>11.303191489361703</v>
      </c>
      <c r="M52" s="116">
        <v>18910</v>
      </c>
      <c r="N52" s="329">
        <f t="shared" si="62"/>
        <v>1607350</v>
      </c>
    </row>
    <row r="53" spans="1:14" ht="16">
      <c r="A53" s="138">
        <v>45618</v>
      </c>
      <c r="B53" s="140" t="s">
        <v>20</v>
      </c>
      <c r="C53" s="83">
        <v>365065</v>
      </c>
      <c r="D53" s="83">
        <v>365769</v>
      </c>
      <c r="E53" s="11">
        <f t="shared" si="57"/>
        <v>704</v>
      </c>
      <c r="F53" s="141">
        <v>90</v>
      </c>
      <c r="G53" s="13">
        <f t="shared" si="58"/>
        <v>12.784090909090908</v>
      </c>
      <c r="H53" s="83">
        <v>8564</v>
      </c>
      <c r="I53" s="125">
        <v>9186</v>
      </c>
      <c r="J53" s="83">
        <f t="shared" si="59"/>
        <v>622</v>
      </c>
      <c r="K53" s="83">
        <f t="shared" si="60"/>
        <v>90</v>
      </c>
      <c r="L53" s="136">
        <f t="shared" si="61"/>
        <v>14.469453376205788</v>
      </c>
      <c r="M53" s="116">
        <v>18500</v>
      </c>
      <c r="N53" s="329">
        <f t="shared" si="62"/>
        <v>1665000</v>
      </c>
    </row>
    <row r="54" spans="1:14" ht="16">
      <c r="A54" s="59"/>
      <c r="B54" s="60"/>
      <c r="C54" s="59"/>
      <c r="D54" s="59" t="s">
        <v>19</v>
      </c>
      <c r="E54" s="59">
        <f t="shared" ref="E54:F54" si="63">SUM(E51:E53)</f>
        <v>2206</v>
      </c>
      <c r="F54" s="59">
        <f t="shared" si="63"/>
        <v>275</v>
      </c>
      <c r="G54" s="61">
        <f>AVERAGE(G51:G53)</f>
        <v>12.474584785631295</v>
      </c>
      <c r="H54" s="59"/>
      <c r="I54" s="62"/>
      <c r="J54" s="59">
        <f t="shared" ref="J54:K54" si="64">SUM(J51:J53)</f>
        <v>2162</v>
      </c>
      <c r="K54" s="59">
        <f t="shared" si="64"/>
        <v>275</v>
      </c>
      <c r="L54" s="61">
        <f>AVERAGE(L51:L53)</f>
        <v>12.821000065172242</v>
      </c>
      <c r="M54" s="64"/>
      <c r="N54" s="345">
        <f>SUM(N51:N53)</f>
        <v>5086350</v>
      </c>
    </row>
    <row r="55" spans="1:14" ht="16">
      <c r="A55" s="66">
        <v>45601</v>
      </c>
      <c r="B55" s="269" t="s">
        <v>21</v>
      </c>
      <c r="C55" s="39">
        <v>344845</v>
      </c>
      <c r="D55" s="39">
        <v>345637</v>
      </c>
      <c r="E55" s="36">
        <f t="shared" ref="E55:E59" si="65">D55-C55</f>
        <v>792</v>
      </c>
      <c r="F55" s="37">
        <v>61</v>
      </c>
      <c r="G55" s="13">
        <f t="shared" ref="G55:G59" si="66">(F55/E55)*100</f>
        <v>7.7020202020202015</v>
      </c>
      <c r="H55" s="39">
        <v>5950</v>
      </c>
      <c r="I55" s="126">
        <v>6760</v>
      </c>
      <c r="J55" s="39">
        <f t="shared" ref="J55:J59" si="67">I55-H55</f>
        <v>810</v>
      </c>
      <c r="K55" s="39">
        <f t="shared" ref="K55:K59" si="68">F55</f>
        <v>61</v>
      </c>
      <c r="L55" s="136">
        <f t="shared" ref="L55:L59" si="69">(K55/J55)*100</f>
        <v>7.5308641975308648</v>
      </c>
      <c r="M55" s="68">
        <v>18140</v>
      </c>
      <c r="N55" s="324">
        <f t="shared" ref="N55:N59" si="70">F55*M55</f>
        <v>1106540</v>
      </c>
    </row>
    <row r="56" spans="1:14" ht="16">
      <c r="A56" s="138">
        <v>45606</v>
      </c>
      <c r="B56" s="140" t="s">
        <v>21</v>
      </c>
      <c r="C56" s="83">
        <v>345637</v>
      </c>
      <c r="D56" s="83">
        <v>346098</v>
      </c>
      <c r="E56" s="11">
        <f t="shared" si="65"/>
        <v>461</v>
      </c>
      <c r="F56" s="141">
        <v>67</v>
      </c>
      <c r="G56" s="13">
        <f t="shared" si="66"/>
        <v>14.533622559652928</v>
      </c>
      <c r="H56" s="83">
        <v>6760</v>
      </c>
      <c r="I56" s="125">
        <v>7123</v>
      </c>
      <c r="J56" s="83">
        <f t="shared" si="67"/>
        <v>363</v>
      </c>
      <c r="K56" s="83">
        <f t="shared" si="68"/>
        <v>67</v>
      </c>
      <c r="L56" s="136">
        <f t="shared" si="69"/>
        <v>18.457300275482094</v>
      </c>
      <c r="M56" s="116">
        <v>18910</v>
      </c>
      <c r="N56" s="329">
        <f t="shared" si="70"/>
        <v>1266970</v>
      </c>
    </row>
    <row r="57" spans="1:14" ht="16">
      <c r="A57" s="138">
        <v>45611</v>
      </c>
      <c r="B57" s="140" t="s">
        <v>21</v>
      </c>
      <c r="C57" s="83">
        <v>346098</v>
      </c>
      <c r="D57" s="83">
        <v>346566</v>
      </c>
      <c r="E57" s="11">
        <f t="shared" si="65"/>
        <v>468</v>
      </c>
      <c r="F57" s="141">
        <v>65</v>
      </c>
      <c r="G57" s="13">
        <f t="shared" si="66"/>
        <v>13.888888888888889</v>
      </c>
      <c r="H57" s="83">
        <v>7123</v>
      </c>
      <c r="I57" s="125">
        <v>7797</v>
      </c>
      <c r="J57" s="83">
        <f t="shared" si="67"/>
        <v>674</v>
      </c>
      <c r="K57" s="83">
        <f t="shared" si="68"/>
        <v>65</v>
      </c>
      <c r="L57" s="136">
        <f t="shared" si="69"/>
        <v>9.6439169139465868</v>
      </c>
      <c r="M57" s="116">
        <v>18570</v>
      </c>
      <c r="N57" s="329">
        <f t="shared" si="70"/>
        <v>1207050</v>
      </c>
    </row>
    <row r="58" spans="1:14" ht="16">
      <c r="A58" s="138">
        <v>45617</v>
      </c>
      <c r="B58" s="140" t="s">
        <v>21</v>
      </c>
      <c r="C58" s="83">
        <v>346566</v>
      </c>
      <c r="D58" s="83">
        <v>346937</v>
      </c>
      <c r="E58" s="11">
        <f t="shared" si="65"/>
        <v>371</v>
      </c>
      <c r="F58" s="141">
        <v>60</v>
      </c>
      <c r="G58" s="13">
        <f t="shared" si="66"/>
        <v>16.172506738544474</v>
      </c>
      <c r="H58" s="83">
        <v>7797</v>
      </c>
      <c r="I58" s="125">
        <v>8086</v>
      </c>
      <c r="J58" s="83">
        <f t="shared" si="67"/>
        <v>289</v>
      </c>
      <c r="K58" s="83">
        <f t="shared" si="68"/>
        <v>60</v>
      </c>
      <c r="L58" s="136">
        <f t="shared" si="69"/>
        <v>20.761245674740483</v>
      </c>
      <c r="M58" s="116">
        <v>18570</v>
      </c>
      <c r="N58" s="329">
        <f t="shared" si="70"/>
        <v>1114200</v>
      </c>
    </row>
    <row r="59" spans="1:14" ht="16">
      <c r="A59" s="138">
        <v>45621</v>
      </c>
      <c r="B59" s="140" t="s">
        <v>21</v>
      </c>
      <c r="C59" s="83">
        <v>346937</v>
      </c>
      <c r="D59" s="83">
        <v>347392</v>
      </c>
      <c r="E59" s="11">
        <f t="shared" si="65"/>
        <v>455</v>
      </c>
      <c r="F59" s="141">
        <v>65</v>
      </c>
      <c r="G59" s="13">
        <f t="shared" si="66"/>
        <v>14.285714285714285</v>
      </c>
      <c r="H59" s="83">
        <v>8086</v>
      </c>
      <c r="I59" s="125">
        <v>8427</v>
      </c>
      <c r="J59" s="83">
        <f t="shared" si="67"/>
        <v>341</v>
      </c>
      <c r="K59" s="83">
        <f t="shared" si="68"/>
        <v>65</v>
      </c>
      <c r="L59" s="136">
        <f t="shared" si="69"/>
        <v>19.061583577712611</v>
      </c>
      <c r="M59" s="116">
        <v>18500</v>
      </c>
      <c r="N59" s="329">
        <f t="shared" si="70"/>
        <v>1202500</v>
      </c>
    </row>
    <row r="60" spans="1:14" ht="16">
      <c r="A60" s="59"/>
      <c r="B60" s="60"/>
      <c r="C60" s="59"/>
      <c r="D60" s="59" t="s">
        <v>19</v>
      </c>
      <c r="E60" s="59">
        <f t="shared" ref="E60:F60" si="71">SUM(E55:E59)</f>
        <v>2547</v>
      </c>
      <c r="F60" s="59">
        <f t="shared" si="71"/>
        <v>318</v>
      </c>
      <c r="G60" s="61">
        <f>AVERAGE(G55:G59)</f>
        <v>13.316550534964154</v>
      </c>
      <c r="H60" s="59"/>
      <c r="I60" s="62"/>
      <c r="J60" s="59">
        <f t="shared" ref="J60:K60" si="72">SUM(J55:J59)</f>
        <v>2477</v>
      </c>
      <c r="K60" s="59">
        <f t="shared" si="72"/>
        <v>318</v>
      </c>
      <c r="L60" s="61">
        <f>AVERAGE(L55:L59)</f>
        <v>15.090982127882526</v>
      </c>
      <c r="M60" s="64"/>
      <c r="N60" s="345">
        <f>SUM(N55:N59)</f>
        <v>5897260</v>
      </c>
    </row>
    <row r="61" spans="1:14" ht="16">
      <c r="A61" s="66">
        <v>45602</v>
      </c>
      <c r="B61" s="269" t="s">
        <v>98</v>
      </c>
      <c r="C61" s="12">
        <v>179684</v>
      </c>
      <c r="D61" s="39">
        <v>180185</v>
      </c>
      <c r="E61" s="36">
        <f t="shared" ref="E61:E67" si="73">D61-C61</f>
        <v>501</v>
      </c>
      <c r="F61" s="37">
        <v>60</v>
      </c>
      <c r="G61" s="13">
        <f t="shared" ref="G61:G67" si="74">(F61/E61)*100</f>
        <v>11.976047904191617</v>
      </c>
      <c r="H61" s="15">
        <v>9134</v>
      </c>
      <c r="I61" s="126">
        <v>9831</v>
      </c>
      <c r="J61" s="39">
        <f t="shared" ref="J61:J67" si="75">I61-H61</f>
        <v>697</v>
      </c>
      <c r="K61" s="39">
        <f t="shared" ref="K61:K67" si="76">F61</f>
        <v>60</v>
      </c>
      <c r="L61" s="136">
        <f t="shared" ref="L61:L67" si="77">(K61/J61)*100</f>
        <v>8.6083213773314213</v>
      </c>
      <c r="M61" s="68">
        <v>18140</v>
      </c>
      <c r="N61" s="324">
        <f t="shared" ref="N61:N67" si="78">F61*M61</f>
        <v>1088400</v>
      </c>
    </row>
    <row r="62" spans="1:14" ht="16">
      <c r="A62" s="138">
        <v>45608</v>
      </c>
      <c r="B62" s="140" t="s">
        <v>98</v>
      </c>
      <c r="C62" s="83">
        <v>180185</v>
      </c>
      <c r="D62" s="83">
        <v>180724</v>
      </c>
      <c r="E62" s="11">
        <f t="shared" si="73"/>
        <v>539</v>
      </c>
      <c r="F62" s="141">
        <v>65</v>
      </c>
      <c r="G62" s="13">
        <f t="shared" si="74"/>
        <v>12.059369202226346</v>
      </c>
      <c r="H62" s="83">
        <v>9831</v>
      </c>
      <c r="I62" s="125">
        <v>10347</v>
      </c>
      <c r="J62" s="83">
        <f t="shared" si="75"/>
        <v>516</v>
      </c>
      <c r="K62" s="83">
        <f t="shared" si="76"/>
        <v>65</v>
      </c>
      <c r="L62" s="136">
        <f t="shared" si="77"/>
        <v>12.596899224806201</v>
      </c>
      <c r="M62" s="116">
        <v>18910</v>
      </c>
      <c r="N62" s="329">
        <f t="shared" si="78"/>
        <v>1229150</v>
      </c>
    </row>
    <row r="63" spans="1:14" ht="16">
      <c r="A63" s="138">
        <v>45612</v>
      </c>
      <c r="B63" s="140" t="s">
        <v>98</v>
      </c>
      <c r="C63" s="83">
        <v>180724</v>
      </c>
      <c r="D63" s="83">
        <v>181235</v>
      </c>
      <c r="E63" s="11">
        <f t="shared" si="73"/>
        <v>511</v>
      </c>
      <c r="F63" s="141">
        <v>63</v>
      </c>
      <c r="G63" s="13">
        <f t="shared" si="74"/>
        <v>12.328767123287671</v>
      </c>
      <c r="H63" s="83">
        <v>10347</v>
      </c>
      <c r="I63" s="125">
        <v>10854</v>
      </c>
      <c r="J63" s="83">
        <f t="shared" si="75"/>
        <v>507</v>
      </c>
      <c r="K63" s="83">
        <f t="shared" si="76"/>
        <v>63</v>
      </c>
      <c r="L63" s="136">
        <f t="shared" si="77"/>
        <v>12.42603550295858</v>
      </c>
      <c r="M63" s="116">
        <v>18570</v>
      </c>
      <c r="N63" s="329">
        <f t="shared" si="78"/>
        <v>1169910</v>
      </c>
    </row>
    <row r="64" spans="1:14" ht="16">
      <c r="A64" s="138">
        <v>45619</v>
      </c>
      <c r="B64" s="140" t="s">
        <v>98</v>
      </c>
      <c r="C64" s="83">
        <v>181234</v>
      </c>
      <c r="D64" s="83">
        <v>181750</v>
      </c>
      <c r="E64" s="11">
        <f t="shared" si="73"/>
        <v>516</v>
      </c>
      <c r="F64" s="141">
        <v>68</v>
      </c>
      <c r="G64" s="13">
        <f t="shared" si="74"/>
        <v>13.178294573643413</v>
      </c>
      <c r="H64" s="83">
        <v>10854</v>
      </c>
      <c r="I64" s="125">
        <v>11363</v>
      </c>
      <c r="J64" s="83">
        <f t="shared" si="75"/>
        <v>509</v>
      </c>
      <c r="K64" s="83">
        <f t="shared" si="76"/>
        <v>68</v>
      </c>
      <c r="L64" s="136">
        <f t="shared" si="77"/>
        <v>13.359528487229863</v>
      </c>
      <c r="M64" s="116">
        <v>18500</v>
      </c>
      <c r="N64" s="329">
        <f t="shared" si="78"/>
        <v>1258000</v>
      </c>
    </row>
    <row r="65" spans="1:14" ht="16">
      <c r="A65" s="138">
        <v>45626</v>
      </c>
      <c r="B65" s="140" t="s">
        <v>98</v>
      </c>
      <c r="C65" s="83">
        <v>181750</v>
      </c>
      <c r="D65" s="83">
        <v>182379</v>
      </c>
      <c r="E65" s="11">
        <f t="shared" si="73"/>
        <v>629</v>
      </c>
      <c r="F65" s="141">
        <v>77</v>
      </c>
      <c r="G65" s="13">
        <f t="shared" si="74"/>
        <v>12.241653418124006</v>
      </c>
      <c r="H65" s="83">
        <v>11363</v>
      </c>
      <c r="I65" s="125">
        <v>11996</v>
      </c>
      <c r="J65" s="83">
        <f t="shared" si="75"/>
        <v>633</v>
      </c>
      <c r="K65" s="83">
        <f t="shared" si="76"/>
        <v>77</v>
      </c>
      <c r="L65" s="136">
        <f t="shared" si="77"/>
        <v>12.164296998420221</v>
      </c>
      <c r="M65" s="116">
        <v>18770</v>
      </c>
      <c r="N65" s="329">
        <f t="shared" si="78"/>
        <v>1445290</v>
      </c>
    </row>
    <row r="66" spans="1:14" ht="16">
      <c r="A66" s="244"/>
      <c r="B66" s="140" t="s">
        <v>98</v>
      </c>
      <c r="C66" s="83">
        <v>1</v>
      </c>
      <c r="D66" s="83"/>
      <c r="E66" s="11">
        <f t="shared" si="73"/>
        <v>-1</v>
      </c>
      <c r="F66" s="141"/>
      <c r="G66" s="13">
        <f t="shared" si="74"/>
        <v>0</v>
      </c>
      <c r="H66" s="83"/>
      <c r="I66" s="125"/>
      <c r="J66" s="83">
        <f t="shared" si="75"/>
        <v>0</v>
      </c>
      <c r="K66" s="83">
        <f t="shared" si="76"/>
        <v>0</v>
      </c>
      <c r="L66" s="136" t="e">
        <f t="shared" si="77"/>
        <v>#DIV/0!</v>
      </c>
      <c r="M66" s="116"/>
      <c r="N66" s="201">
        <f t="shared" si="78"/>
        <v>0</v>
      </c>
    </row>
    <row r="67" spans="1:14" ht="16">
      <c r="A67" s="271"/>
      <c r="B67" s="272"/>
      <c r="C67" s="134">
        <v>1</v>
      </c>
      <c r="D67" s="134"/>
      <c r="E67" s="24">
        <f t="shared" si="73"/>
        <v>-1</v>
      </c>
      <c r="F67" s="143"/>
      <c r="G67" s="54">
        <f t="shared" si="74"/>
        <v>0</v>
      </c>
      <c r="H67" s="134">
        <v>1</v>
      </c>
      <c r="I67" s="135"/>
      <c r="J67" s="134">
        <f t="shared" si="75"/>
        <v>-1</v>
      </c>
      <c r="K67" s="134">
        <f t="shared" si="76"/>
        <v>0</v>
      </c>
      <c r="L67" s="136">
        <f t="shared" si="77"/>
        <v>0</v>
      </c>
      <c r="M67" s="137"/>
      <c r="N67" s="336">
        <f t="shared" si="78"/>
        <v>0</v>
      </c>
    </row>
    <row r="68" spans="1:14" ht="16">
      <c r="A68" s="59"/>
      <c r="B68" s="60"/>
      <c r="C68" s="59"/>
      <c r="D68" s="59" t="s">
        <v>19</v>
      </c>
      <c r="E68" s="59">
        <f t="shared" ref="E68:F68" si="79">SUM(E61:E67)</f>
        <v>2694</v>
      </c>
      <c r="F68" s="59">
        <f t="shared" si="79"/>
        <v>333</v>
      </c>
      <c r="G68" s="61">
        <f>AVERAGE(G61:G67)</f>
        <v>8.8263046030675802</v>
      </c>
      <c r="H68" s="59"/>
      <c r="I68" s="62"/>
      <c r="J68" s="59">
        <f t="shared" ref="J68:K68" si="80">SUM(J61:J67)</f>
        <v>2861</v>
      </c>
      <c r="K68" s="59">
        <f t="shared" si="80"/>
        <v>333</v>
      </c>
      <c r="L68" s="61" t="e">
        <f>AVERAGE(L61:L67)</f>
        <v>#DIV/0!</v>
      </c>
      <c r="M68" s="64"/>
      <c r="N68" s="345">
        <f>SUM(N61:N67)</f>
        <v>6190750</v>
      </c>
    </row>
    <row r="69" spans="1:14" ht="16">
      <c r="A69" s="66">
        <v>45600</v>
      </c>
      <c r="B69" s="269" t="s">
        <v>107</v>
      </c>
      <c r="C69" s="39">
        <v>133835</v>
      </c>
      <c r="D69" s="39">
        <v>134435</v>
      </c>
      <c r="E69" s="36">
        <f t="shared" ref="E69:E75" si="81">D69-C69</f>
        <v>600</v>
      </c>
      <c r="F69" s="37">
        <v>72</v>
      </c>
      <c r="G69" s="13">
        <f t="shared" ref="G69:G75" si="82">(F69/E69)*100</f>
        <v>12</v>
      </c>
      <c r="H69" s="39">
        <v>7758</v>
      </c>
      <c r="I69" s="126">
        <v>8342</v>
      </c>
      <c r="J69" s="39">
        <f t="shared" ref="J69:J75" si="83">I69-H69</f>
        <v>584</v>
      </c>
      <c r="K69" s="39">
        <f t="shared" ref="K69:K75" si="84">F69</f>
        <v>72</v>
      </c>
      <c r="L69" s="136">
        <f t="shared" ref="L69:L75" si="85">(K69/J69)*100</f>
        <v>12.328767123287671</v>
      </c>
      <c r="M69" s="68">
        <v>18140</v>
      </c>
      <c r="N69" s="324">
        <f t="shared" ref="N69:N72" si="86">F69*M69</f>
        <v>1306080</v>
      </c>
    </row>
    <row r="70" spans="1:14" ht="16">
      <c r="A70" s="138">
        <v>45605</v>
      </c>
      <c r="B70" s="269" t="s">
        <v>107</v>
      </c>
      <c r="C70" s="83"/>
      <c r="D70" s="83"/>
      <c r="E70" s="11">
        <f t="shared" si="81"/>
        <v>0</v>
      </c>
      <c r="F70" s="141">
        <v>70</v>
      </c>
      <c r="G70" s="13" t="e">
        <f t="shared" si="82"/>
        <v>#DIV/0!</v>
      </c>
      <c r="H70" s="83"/>
      <c r="I70" s="125"/>
      <c r="J70" s="83">
        <f t="shared" si="83"/>
        <v>0</v>
      </c>
      <c r="K70" s="83">
        <f t="shared" si="84"/>
        <v>70</v>
      </c>
      <c r="L70" s="136" t="e">
        <f t="shared" si="85"/>
        <v>#DIV/0!</v>
      </c>
      <c r="M70" s="349">
        <v>18910</v>
      </c>
      <c r="N70" s="297">
        <f t="shared" si="86"/>
        <v>1323700</v>
      </c>
    </row>
    <row r="71" spans="1:14" ht="16">
      <c r="A71" s="138"/>
      <c r="B71" s="140"/>
      <c r="C71" s="83"/>
      <c r="D71" s="83"/>
      <c r="E71" s="11">
        <f t="shared" si="81"/>
        <v>0</v>
      </c>
      <c r="F71" s="141"/>
      <c r="G71" s="13" t="e">
        <f t="shared" si="82"/>
        <v>#DIV/0!</v>
      </c>
      <c r="H71" s="83"/>
      <c r="I71" s="125"/>
      <c r="J71" s="83">
        <f t="shared" si="83"/>
        <v>0</v>
      </c>
      <c r="K71" s="83">
        <f t="shared" si="84"/>
        <v>0</v>
      </c>
      <c r="L71" s="136" t="e">
        <f t="shared" si="85"/>
        <v>#DIV/0!</v>
      </c>
      <c r="M71" s="116"/>
      <c r="N71" s="201">
        <f t="shared" si="86"/>
        <v>0</v>
      </c>
    </row>
    <row r="72" spans="1:14" ht="16">
      <c r="A72" s="138"/>
      <c r="B72" s="140"/>
      <c r="C72" s="83"/>
      <c r="D72" s="83"/>
      <c r="E72" s="11">
        <f t="shared" si="81"/>
        <v>0</v>
      </c>
      <c r="F72" s="141"/>
      <c r="G72" s="13" t="e">
        <f t="shared" si="82"/>
        <v>#DIV/0!</v>
      </c>
      <c r="H72" s="83"/>
      <c r="I72" s="125"/>
      <c r="J72" s="83">
        <f t="shared" si="83"/>
        <v>0</v>
      </c>
      <c r="K72" s="83">
        <f t="shared" si="84"/>
        <v>0</v>
      </c>
      <c r="L72" s="136" t="e">
        <f t="shared" si="85"/>
        <v>#DIV/0!</v>
      </c>
      <c r="M72" s="116"/>
      <c r="N72" s="201">
        <f t="shared" si="86"/>
        <v>0</v>
      </c>
    </row>
    <row r="73" spans="1:14" ht="16">
      <c r="A73" s="138"/>
      <c r="B73" s="140"/>
      <c r="C73" s="83"/>
      <c r="D73" s="83"/>
      <c r="E73" s="11">
        <f t="shared" si="81"/>
        <v>0</v>
      </c>
      <c r="F73" s="141">
        <v>47</v>
      </c>
      <c r="G73" s="13" t="e">
        <f t="shared" si="82"/>
        <v>#DIV/0!</v>
      </c>
      <c r="H73" s="83"/>
      <c r="I73" s="125"/>
      <c r="J73" s="83">
        <f t="shared" si="83"/>
        <v>0</v>
      </c>
      <c r="K73" s="83">
        <f t="shared" si="84"/>
        <v>47</v>
      </c>
      <c r="L73" s="136" t="e">
        <f t="shared" si="85"/>
        <v>#DIV/0!</v>
      </c>
      <c r="M73" s="116">
        <v>18570</v>
      </c>
      <c r="N73" s="201"/>
    </row>
    <row r="74" spans="1:14" ht="16">
      <c r="A74" s="244"/>
      <c r="B74" s="90"/>
      <c r="C74" s="83"/>
      <c r="D74" s="83"/>
      <c r="E74" s="11">
        <f t="shared" si="81"/>
        <v>0</v>
      </c>
      <c r="F74" s="141">
        <v>45</v>
      </c>
      <c r="G74" s="13" t="e">
        <f t="shared" si="82"/>
        <v>#DIV/0!</v>
      </c>
      <c r="H74" s="83"/>
      <c r="I74" s="125"/>
      <c r="J74" s="83">
        <f t="shared" si="83"/>
        <v>0</v>
      </c>
      <c r="K74" s="83">
        <f t="shared" si="84"/>
        <v>45</v>
      </c>
      <c r="L74" s="136" t="e">
        <f t="shared" si="85"/>
        <v>#DIV/0!</v>
      </c>
      <c r="M74" s="116">
        <v>18500</v>
      </c>
      <c r="N74" s="201"/>
    </row>
    <row r="75" spans="1:14" ht="16">
      <c r="A75" s="279"/>
      <c r="B75" s="283"/>
      <c r="C75" s="134"/>
      <c r="D75" s="134"/>
      <c r="E75" s="24">
        <f t="shared" si="81"/>
        <v>0</v>
      </c>
      <c r="F75" s="143">
        <v>43</v>
      </c>
      <c r="G75" s="54" t="e">
        <f t="shared" si="82"/>
        <v>#DIV/0!</v>
      </c>
      <c r="H75" s="134">
        <v>1</v>
      </c>
      <c r="I75" s="135"/>
      <c r="J75" s="134">
        <f t="shared" si="83"/>
        <v>-1</v>
      </c>
      <c r="K75" s="134">
        <f t="shared" si="84"/>
        <v>43</v>
      </c>
      <c r="L75" s="136">
        <f t="shared" si="85"/>
        <v>-4300</v>
      </c>
      <c r="M75" s="137">
        <v>18500</v>
      </c>
      <c r="N75" s="336"/>
    </row>
    <row r="76" spans="1:14" ht="16">
      <c r="A76" s="59"/>
      <c r="B76" s="60"/>
      <c r="C76" s="59"/>
      <c r="D76" s="59" t="s">
        <v>19</v>
      </c>
      <c r="E76" s="59">
        <f t="shared" ref="E76:F76" si="87">SUM(E69:E75)</f>
        <v>600</v>
      </c>
      <c r="F76" s="59">
        <f t="shared" si="87"/>
        <v>277</v>
      </c>
      <c r="G76" s="61" t="e">
        <f>AVERAGE(G69:G75)</f>
        <v>#DIV/0!</v>
      </c>
      <c r="H76" s="59"/>
      <c r="I76" s="62"/>
      <c r="J76" s="59">
        <f t="shared" ref="J76:K76" si="88">SUM(J69:J75)</f>
        <v>583</v>
      </c>
      <c r="K76" s="59">
        <f t="shared" si="88"/>
        <v>277</v>
      </c>
      <c r="L76" s="61" t="e">
        <f>AVERAGE(L69:L75)</f>
        <v>#DIV/0!</v>
      </c>
      <c r="M76" s="64"/>
      <c r="N76" s="345">
        <f>SUM(N69:N75)</f>
        <v>2629780</v>
      </c>
    </row>
    <row r="77" spans="1:14" ht="16">
      <c r="A77" s="350">
        <v>45598</v>
      </c>
      <c r="B77" s="347" t="s">
        <v>106</v>
      </c>
      <c r="C77" s="39">
        <v>77250</v>
      </c>
      <c r="D77" s="12">
        <v>77940</v>
      </c>
      <c r="E77" s="36">
        <f t="shared" ref="E77:E83" si="89">D77-C77</f>
        <v>690</v>
      </c>
      <c r="F77" s="37">
        <v>75</v>
      </c>
      <c r="G77" s="13">
        <f t="shared" ref="G77:G83" si="90">(F77/E77)*100</f>
        <v>10.869565217391305</v>
      </c>
      <c r="H77" s="39">
        <v>77398</v>
      </c>
      <c r="I77" s="126">
        <v>78093</v>
      </c>
      <c r="J77" s="39">
        <f t="shared" ref="J77:J83" si="91">I77-H77</f>
        <v>695</v>
      </c>
      <c r="K77" s="39">
        <f t="shared" ref="K77:K83" si="92">F77</f>
        <v>75</v>
      </c>
      <c r="L77" s="136">
        <f t="shared" ref="L77:L83" si="93">(K77/J77)*100</f>
        <v>10.791366906474821</v>
      </c>
      <c r="M77" s="68">
        <v>18140</v>
      </c>
      <c r="N77" s="324">
        <f t="shared" ref="N77:N83" si="94">F77*M77</f>
        <v>1360500</v>
      </c>
    </row>
    <row r="78" spans="1:14" ht="16">
      <c r="A78" s="138">
        <v>45606</v>
      </c>
      <c r="B78" s="140" t="s">
        <v>106</v>
      </c>
      <c r="C78" s="83">
        <v>77940</v>
      </c>
      <c r="D78" s="83">
        <v>78533</v>
      </c>
      <c r="E78" s="11">
        <f t="shared" si="89"/>
        <v>593</v>
      </c>
      <c r="F78" s="141">
        <v>68</v>
      </c>
      <c r="G78" s="13">
        <f t="shared" si="90"/>
        <v>11.467116357504215</v>
      </c>
      <c r="H78" s="83">
        <v>78093</v>
      </c>
      <c r="I78" s="125">
        <v>78719</v>
      </c>
      <c r="J78" s="83">
        <f t="shared" si="91"/>
        <v>626</v>
      </c>
      <c r="K78" s="83">
        <f t="shared" si="92"/>
        <v>68</v>
      </c>
      <c r="L78" s="136">
        <f t="shared" si="93"/>
        <v>10.862619808306709</v>
      </c>
      <c r="M78" s="116">
        <v>18910</v>
      </c>
      <c r="N78" s="329">
        <f t="shared" si="94"/>
        <v>1285880</v>
      </c>
    </row>
    <row r="79" spans="1:14" ht="16">
      <c r="A79" s="138">
        <v>45611</v>
      </c>
      <c r="B79" s="140" t="s">
        <v>106</v>
      </c>
      <c r="C79" s="83">
        <v>78533</v>
      </c>
      <c r="D79" s="83">
        <v>79191</v>
      </c>
      <c r="E79" s="11">
        <f t="shared" si="89"/>
        <v>658</v>
      </c>
      <c r="F79" s="141">
        <v>73</v>
      </c>
      <c r="G79" s="13">
        <f t="shared" si="90"/>
        <v>11.094224924012158</v>
      </c>
      <c r="H79" s="83">
        <v>78719</v>
      </c>
      <c r="I79" s="125">
        <v>79280</v>
      </c>
      <c r="J79" s="83">
        <f t="shared" si="91"/>
        <v>561</v>
      </c>
      <c r="K79" s="83">
        <f t="shared" si="92"/>
        <v>73</v>
      </c>
      <c r="L79" s="136">
        <f t="shared" si="93"/>
        <v>13.012477718360071</v>
      </c>
      <c r="M79" s="116">
        <v>18570</v>
      </c>
      <c r="N79" s="329">
        <f t="shared" si="94"/>
        <v>1355610</v>
      </c>
    </row>
    <row r="80" spans="1:14" ht="16">
      <c r="A80" s="138">
        <v>45620</v>
      </c>
      <c r="B80" s="140" t="s">
        <v>106</v>
      </c>
      <c r="C80" s="83">
        <v>79191</v>
      </c>
      <c r="D80" s="83">
        <v>79866</v>
      </c>
      <c r="E80" s="11">
        <f t="shared" si="89"/>
        <v>675</v>
      </c>
      <c r="F80" s="141">
        <v>76</v>
      </c>
      <c r="G80" s="13">
        <f t="shared" si="90"/>
        <v>11.25925925925926</v>
      </c>
      <c r="H80" s="83">
        <v>79280</v>
      </c>
      <c r="I80" s="125">
        <v>79934</v>
      </c>
      <c r="J80" s="83">
        <f t="shared" si="91"/>
        <v>654</v>
      </c>
      <c r="K80" s="83">
        <f t="shared" si="92"/>
        <v>76</v>
      </c>
      <c r="L80" s="136">
        <f t="shared" si="93"/>
        <v>11.62079510703364</v>
      </c>
      <c r="M80" s="116">
        <v>18500</v>
      </c>
      <c r="N80" s="329">
        <f t="shared" si="94"/>
        <v>1406000</v>
      </c>
    </row>
    <row r="81" spans="1:14" ht="16">
      <c r="A81" s="138"/>
      <c r="B81" s="90" t="s">
        <v>106</v>
      </c>
      <c r="C81" s="83"/>
      <c r="D81" s="83"/>
      <c r="E81" s="11">
        <f t="shared" si="89"/>
        <v>0</v>
      </c>
      <c r="F81" s="141"/>
      <c r="G81" s="13" t="e">
        <f t="shared" si="90"/>
        <v>#DIV/0!</v>
      </c>
      <c r="H81" s="83"/>
      <c r="I81" s="125"/>
      <c r="J81" s="83">
        <f t="shared" si="91"/>
        <v>0</v>
      </c>
      <c r="K81" s="83">
        <f t="shared" si="92"/>
        <v>0</v>
      </c>
      <c r="L81" s="136" t="e">
        <f t="shared" si="93"/>
        <v>#DIV/0!</v>
      </c>
      <c r="M81" s="116"/>
      <c r="N81" s="201">
        <f t="shared" si="94"/>
        <v>0</v>
      </c>
    </row>
    <row r="82" spans="1:14" ht="16">
      <c r="A82" s="244"/>
      <c r="B82" s="113"/>
      <c r="C82" s="83">
        <v>1</v>
      </c>
      <c r="D82" s="83"/>
      <c r="E82" s="11">
        <f t="shared" si="89"/>
        <v>-1</v>
      </c>
      <c r="F82" s="141"/>
      <c r="G82" s="13">
        <f t="shared" si="90"/>
        <v>0</v>
      </c>
      <c r="H82" s="83"/>
      <c r="I82" s="125"/>
      <c r="J82" s="83">
        <f t="shared" si="91"/>
        <v>0</v>
      </c>
      <c r="K82" s="83">
        <f t="shared" si="92"/>
        <v>0</v>
      </c>
      <c r="L82" s="136" t="e">
        <f t="shared" si="93"/>
        <v>#DIV/0!</v>
      </c>
      <c r="M82" s="116"/>
      <c r="N82" s="201">
        <f t="shared" si="94"/>
        <v>0</v>
      </c>
    </row>
    <row r="83" spans="1:14" ht="16">
      <c r="A83" s="271"/>
      <c r="B83" s="283"/>
      <c r="C83" s="134">
        <v>1</v>
      </c>
      <c r="D83" s="134"/>
      <c r="E83" s="24">
        <f t="shared" si="89"/>
        <v>-1</v>
      </c>
      <c r="F83" s="143"/>
      <c r="G83" s="54">
        <f t="shared" si="90"/>
        <v>0</v>
      </c>
      <c r="H83" s="134">
        <v>1</v>
      </c>
      <c r="I83" s="135"/>
      <c r="J83" s="134">
        <f t="shared" si="91"/>
        <v>-1</v>
      </c>
      <c r="K83" s="134">
        <f t="shared" si="92"/>
        <v>0</v>
      </c>
      <c r="L83" s="136">
        <f t="shared" si="93"/>
        <v>0</v>
      </c>
      <c r="M83" s="137"/>
      <c r="N83" s="336">
        <f t="shared" si="94"/>
        <v>0</v>
      </c>
    </row>
    <row r="84" spans="1:14" ht="16">
      <c r="A84" s="59"/>
      <c r="B84" s="60"/>
      <c r="C84" s="59"/>
      <c r="D84" s="59" t="s">
        <v>19</v>
      </c>
      <c r="E84" s="59">
        <f t="shared" ref="E84:F84" si="95">SUM(E77:E83)</f>
        <v>2614</v>
      </c>
      <c r="F84" s="59">
        <f t="shared" si="95"/>
        <v>292</v>
      </c>
      <c r="G84" s="61" t="e">
        <f>AVERAGE(G77:G83)</f>
        <v>#DIV/0!</v>
      </c>
      <c r="H84" s="59"/>
      <c r="I84" s="62"/>
      <c r="J84" s="59">
        <f t="shared" ref="J84:K84" si="96">SUM(J77:J83)</f>
        <v>2535</v>
      </c>
      <c r="K84" s="59">
        <f t="shared" si="96"/>
        <v>292</v>
      </c>
      <c r="L84" s="61" t="e">
        <f>AVERAGE(L77:L83)</f>
        <v>#DIV/0!</v>
      </c>
      <c r="M84" s="64"/>
      <c r="N84" s="345">
        <f>SUM(N77:N83)</f>
        <v>5407990</v>
      </c>
    </row>
    <row r="85" spans="1:14" ht="15.75" customHeight="1">
      <c r="A85" s="354" t="s">
        <v>64</v>
      </c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7"/>
      <c r="N85" s="340">
        <f>N10+N15+N22+N30+N37+N45+N50+N54+N60+N68+N76+N84</f>
        <v>55275390</v>
      </c>
    </row>
    <row r="86" spans="1:14" ht="15.75" customHeight="1">
      <c r="G86" s="150"/>
      <c r="L86" s="150"/>
    </row>
    <row r="87" spans="1:14" ht="15.75" customHeight="1">
      <c r="G87" s="150"/>
      <c r="L87" s="150"/>
    </row>
    <row r="88" spans="1:14" ht="15.75" customHeight="1">
      <c r="G88" s="150"/>
      <c r="L88" s="150"/>
    </row>
    <row r="89" spans="1:14" ht="15.75" customHeight="1">
      <c r="G89" s="150"/>
      <c r="L89" s="150"/>
    </row>
    <row r="90" spans="1:14" ht="15.75" customHeight="1">
      <c r="G90" s="150"/>
      <c r="L90" s="150"/>
    </row>
    <row r="91" spans="1:14" ht="15.75" customHeight="1">
      <c r="G91" s="150"/>
      <c r="L91" s="150"/>
    </row>
    <row r="92" spans="1:14" ht="15.75" customHeight="1">
      <c r="G92" s="150"/>
      <c r="L92" s="150"/>
    </row>
    <row r="93" spans="1:14" ht="15.75" customHeight="1">
      <c r="G93" s="150"/>
      <c r="L93" s="150"/>
    </row>
    <row r="94" spans="1:14" ht="15.75" customHeight="1">
      <c r="G94" s="150"/>
      <c r="L94" s="150"/>
    </row>
    <row r="95" spans="1:14" ht="15.75" customHeight="1">
      <c r="G95" s="150"/>
      <c r="L95" s="150"/>
    </row>
    <row r="96" spans="1:14" ht="15.75" customHeight="1">
      <c r="G96" s="150"/>
      <c r="L96" s="150"/>
    </row>
    <row r="97" spans="7:12" ht="15.75" customHeight="1">
      <c r="G97" s="150"/>
      <c r="L97" s="150"/>
    </row>
    <row r="98" spans="7:12" ht="15.75" customHeight="1">
      <c r="G98" s="150"/>
      <c r="L98" s="150"/>
    </row>
    <row r="99" spans="7:12" ht="15.75" customHeight="1">
      <c r="G99" s="150"/>
      <c r="L99" s="150"/>
    </row>
    <row r="100" spans="7:12" ht="15.75" customHeight="1">
      <c r="G100" s="150"/>
      <c r="L100" s="150"/>
    </row>
    <row r="101" spans="7:12" ht="15.75" customHeight="1">
      <c r="G101" s="150"/>
      <c r="L101" s="150"/>
    </row>
    <row r="102" spans="7:12" ht="15.75" customHeight="1">
      <c r="G102" s="150"/>
      <c r="L102" s="150"/>
    </row>
    <row r="103" spans="7:12" ht="15.75" customHeight="1">
      <c r="G103" s="150"/>
      <c r="L103" s="150"/>
    </row>
    <row r="104" spans="7:12" ht="15.75" customHeight="1">
      <c r="G104" s="150"/>
      <c r="L104" s="150"/>
    </row>
    <row r="105" spans="7:12" ht="15.75" customHeight="1">
      <c r="G105" s="150"/>
      <c r="L105" s="150"/>
    </row>
    <row r="106" spans="7:12" ht="15.75" customHeight="1">
      <c r="G106" s="150"/>
      <c r="L106" s="150"/>
    </row>
    <row r="107" spans="7:12" ht="15.75" customHeight="1">
      <c r="G107" s="150"/>
      <c r="L107" s="150"/>
    </row>
    <row r="108" spans="7:12" ht="15.75" customHeight="1">
      <c r="G108" s="150"/>
      <c r="L108" s="150"/>
    </row>
    <row r="109" spans="7:12" ht="15.75" customHeight="1">
      <c r="G109" s="150"/>
      <c r="L109" s="150"/>
    </row>
    <row r="110" spans="7:12" ht="15.75" customHeight="1">
      <c r="G110" s="150"/>
      <c r="L110" s="150"/>
    </row>
    <row r="111" spans="7:12" ht="15.75" customHeight="1">
      <c r="G111" s="150"/>
      <c r="L111" s="150"/>
    </row>
    <row r="112" spans="7:12" ht="15.75" customHeight="1">
      <c r="G112" s="150"/>
      <c r="L112" s="150"/>
    </row>
    <row r="113" spans="7:12" ht="15.75" customHeight="1">
      <c r="G113" s="150"/>
      <c r="L113" s="150"/>
    </row>
    <row r="114" spans="7:12" ht="15.75" customHeight="1">
      <c r="G114" s="150"/>
      <c r="L114" s="150"/>
    </row>
    <row r="115" spans="7:12" ht="15.75" customHeight="1">
      <c r="G115" s="150"/>
      <c r="L115" s="150"/>
    </row>
    <row r="116" spans="7:12" ht="15.75" customHeight="1">
      <c r="G116" s="150"/>
      <c r="L116" s="150"/>
    </row>
    <row r="117" spans="7:12" ht="15.75" customHeight="1">
      <c r="G117" s="150"/>
      <c r="L117" s="150"/>
    </row>
    <row r="118" spans="7:12" ht="15.75" customHeight="1">
      <c r="G118" s="150"/>
      <c r="L118" s="150"/>
    </row>
    <row r="119" spans="7:12" ht="15.75" customHeight="1">
      <c r="G119" s="150"/>
      <c r="L119" s="150"/>
    </row>
    <row r="120" spans="7:12" ht="15.75" customHeight="1">
      <c r="G120" s="150"/>
      <c r="L120" s="150"/>
    </row>
    <row r="121" spans="7:12" ht="15.75" customHeight="1">
      <c r="G121" s="150"/>
      <c r="L121" s="150"/>
    </row>
    <row r="122" spans="7:12" ht="15.75" customHeight="1">
      <c r="G122" s="150"/>
      <c r="L122" s="150"/>
    </row>
    <row r="123" spans="7:12" ht="15.75" customHeight="1">
      <c r="G123" s="150"/>
      <c r="L123" s="150"/>
    </row>
    <row r="124" spans="7:12" ht="15.75" customHeight="1">
      <c r="G124" s="150"/>
      <c r="L124" s="150"/>
    </row>
    <row r="125" spans="7:12" ht="15.75" customHeight="1">
      <c r="G125" s="150"/>
      <c r="L125" s="150"/>
    </row>
    <row r="126" spans="7:12" ht="15.75" customHeight="1">
      <c r="G126" s="150"/>
      <c r="L126" s="150"/>
    </row>
    <row r="127" spans="7:12" ht="15.75" customHeight="1">
      <c r="G127" s="150"/>
      <c r="L127" s="150"/>
    </row>
    <row r="128" spans="7:12" ht="15.75" customHeight="1">
      <c r="G128" s="150"/>
      <c r="L128" s="150"/>
    </row>
    <row r="129" spans="7:12" ht="15.75" customHeight="1">
      <c r="G129" s="150"/>
      <c r="L129" s="150"/>
    </row>
    <row r="130" spans="7:12" ht="15.75" customHeight="1">
      <c r="G130" s="150"/>
      <c r="L130" s="150"/>
    </row>
    <row r="131" spans="7:12" ht="15.75" customHeight="1">
      <c r="G131" s="150"/>
      <c r="L131" s="150"/>
    </row>
    <row r="132" spans="7:12" ht="15.75" customHeight="1">
      <c r="G132" s="150"/>
      <c r="L132" s="150"/>
    </row>
    <row r="133" spans="7:12" ht="15.75" customHeight="1">
      <c r="G133" s="150"/>
      <c r="L133" s="150"/>
    </row>
    <row r="134" spans="7:12" ht="15.75" customHeight="1">
      <c r="G134" s="150"/>
      <c r="L134" s="150"/>
    </row>
    <row r="135" spans="7:12" ht="15.75" customHeight="1">
      <c r="G135" s="150"/>
      <c r="L135" s="150"/>
    </row>
    <row r="136" spans="7:12" ht="15.75" customHeight="1">
      <c r="G136" s="150"/>
      <c r="L136" s="150"/>
    </row>
    <row r="137" spans="7:12" ht="15.75" customHeight="1">
      <c r="G137" s="150"/>
      <c r="L137" s="150"/>
    </row>
    <row r="138" spans="7:12" ht="15.75" customHeight="1">
      <c r="G138" s="150"/>
      <c r="L138" s="150"/>
    </row>
    <row r="139" spans="7:12" ht="15.75" customHeight="1">
      <c r="G139" s="150"/>
      <c r="L139" s="150"/>
    </row>
    <row r="140" spans="7:12" ht="15.75" customHeight="1">
      <c r="G140" s="150"/>
      <c r="L140" s="150"/>
    </row>
    <row r="141" spans="7:12" ht="15.75" customHeight="1">
      <c r="G141" s="150"/>
      <c r="L141" s="150"/>
    </row>
    <row r="142" spans="7:12" ht="15.75" customHeight="1">
      <c r="G142" s="150"/>
      <c r="L142" s="150"/>
    </row>
    <row r="143" spans="7:12" ht="15.75" customHeight="1">
      <c r="G143" s="150"/>
      <c r="L143" s="150"/>
    </row>
    <row r="144" spans="7:12" ht="15.75" customHeight="1">
      <c r="G144" s="150"/>
      <c r="L144" s="150"/>
    </row>
    <row r="145" spans="7:12" ht="15.75" customHeight="1">
      <c r="G145" s="150"/>
      <c r="L145" s="150"/>
    </row>
    <row r="146" spans="7:12" ht="15.75" customHeight="1">
      <c r="G146" s="150"/>
      <c r="L146" s="150"/>
    </row>
    <row r="147" spans="7:12" ht="15.75" customHeight="1">
      <c r="G147" s="150"/>
      <c r="L147" s="150"/>
    </row>
    <row r="148" spans="7:12" ht="15.75" customHeight="1">
      <c r="G148" s="150"/>
      <c r="L148" s="150"/>
    </row>
    <row r="149" spans="7:12" ht="15.75" customHeight="1">
      <c r="G149" s="150"/>
      <c r="L149" s="150"/>
    </row>
    <row r="150" spans="7:12" ht="15.75" customHeight="1">
      <c r="G150" s="150"/>
      <c r="L150" s="150"/>
    </row>
    <row r="151" spans="7:12" ht="15.75" customHeight="1">
      <c r="G151" s="150"/>
      <c r="L151" s="150"/>
    </row>
    <row r="152" spans="7:12" ht="15.75" customHeight="1">
      <c r="G152" s="150"/>
      <c r="L152" s="150"/>
    </row>
    <row r="153" spans="7:12" ht="15.75" customHeight="1">
      <c r="G153" s="150"/>
      <c r="L153" s="150"/>
    </row>
    <row r="154" spans="7:12" ht="15.75" customHeight="1">
      <c r="G154" s="150"/>
      <c r="L154" s="150"/>
    </row>
    <row r="155" spans="7:12" ht="15.75" customHeight="1">
      <c r="G155" s="150"/>
      <c r="L155" s="150"/>
    </row>
    <row r="156" spans="7:12" ht="15.75" customHeight="1">
      <c r="G156" s="150"/>
      <c r="L156" s="150"/>
    </row>
    <row r="157" spans="7:12" ht="15.75" customHeight="1">
      <c r="G157" s="150"/>
      <c r="L157" s="150"/>
    </row>
    <row r="158" spans="7:12" ht="15.75" customHeight="1">
      <c r="G158" s="150"/>
      <c r="L158" s="150"/>
    </row>
    <row r="159" spans="7:12" ht="15.75" customHeight="1">
      <c r="G159" s="150"/>
      <c r="L159" s="150"/>
    </row>
    <row r="160" spans="7:12" ht="15.75" customHeight="1">
      <c r="G160" s="150"/>
      <c r="L160" s="150"/>
    </row>
    <row r="161" spans="7:12" ht="15.75" customHeight="1">
      <c r="G161" s="150"/>
      <c r="L161" s="150"/>
    </row>
    <row r="162" spans="7:12" ht="15.75" customHeight="1">
      <c r="G162" s="150"/>
      <c r="L162" s="150"/>
    </row>
    <row r="163" spans="7:12" ht="15.75" customHeight="1">
      <c r="G163" s="150"/>
      <c r="L163" s="150"/>
    </row>
    <row r="164" spans="7:12" ht="15.75" customHeight="1">
      <c r="G164" s="150"/>
      <c r="L164" s="150"/>
    </row>
    <row r="165" spans="7:12" ht="15.75" customHeight="1">
      <c r="G165" s="150"/>
      <c r="L165" s="150"/>
    </row>
    <row r="166" spans="7:12" ht="15.75" customHeight="1">
      <c r="G166" s="150"/>
      <c r="L166" s="150"/>
    </row>
    <row r="167" spans="7:12" ht="15.75" customHeight="1">
      <c r="G167" s="150"/>
      <c r="L167" s="150"/>
    </row>
    <row r="168" spans="7:12" ht="15.75" customHeight="1">
      <c r="G168" s="150"/>
      <c r="L168" s="150"/>
    </row>
    <row r="169" spans="7:12" ht="15.75" customHeight="1">
      <c r="G169" s="150"/>
      <c r="L169" s="150"/>
    </row>
    <row r="170" spans="7:12" ht="15.75" customHeight="1">
      <c r="G170" s="150"/>
      <c r="L170" s="150"/>
    </row>
    <row r="171" spans="7:12" ht="15.75" customHeight="1">
      <c r="G171" s="150"/>
      <c r="L171" s="150"/>
    </row>
    <row r="172" spans="7:12" ht="15.75" customHeight="1">
      <c r="G172" s="150"/>
      <c r="L172" s="150"/>
    </row>
    <row r="173" spans="7:12" ht="15.75" customHeight="1">
      <c r="G173" s="150"/>
      <c r="L173" s="150"/>
    </row>
    <row r="174" spans="7:12" ht="15.75" customHeight="1">
      <c r="G174" s="150"/>
      <c r="L174" s="150"/>
    </row>
    <row r="175" spans="7:12" ht="15.75" customHeight="1">
      <c r="G175" s="150"/>
      <c r="L175" s="150"/>
    </row>
    <row r="176" spans="7:12" ht="15.75" customHeight="1">
      <c r="G176" s="150"/>
      <c r="L176" s="150"/>
    </row>
    <row r="177" spans="7:12" ht="15.75" customHeight="1">
      <c r="G177" s="150"/>
      <c r="L177" s="150"/>
    </row>
    <row r="178" spans="7:12" ht="15.75" customHeight="1">
      <c r="G178" s="150"/>
      <c r="L178" s="150"/>
    </row>
    <row r="179" spans="7:12" ht="15.75" customHeight="1">
      <c r="G179" s="150"/>
      <c r="L179" s="150"/>
    </row>
    <row r="180" spans="7:12" ht="15.75" customHeight="1">
      <c r="G180" s="150"/>
      <c r="L180" s="150"/>
    </row>
    <row r="181" spans="7:12" ht="15.75" customHeight="1">
      <c r="G181" s="150"/>
      <c r="L181" s="150"/>
    </row>
    <row r="182" spans="7:12" ht="15.75" customHeight="1">
      <c r="G182" s="150"/>
      <c r="L182" s="150"/>
    </row>
    <row r="183" spans="7:12" ht="15.75" customHeight="1">
      <c r="G183" s="150"/>
      <c r="L183" s="150"/>
    </row>
    <row r="184" spans="7:12" ht="15.75" customHeight="1">
      <c r="G184" s="150"/>
      <c r="L184" s="150"/>
    </row>
    <row r="185" spans="7:12" ht="15.75" customHeight="1">
      <c r="G185" s="150"/>
      <c r="L185" s="150"/>
    </row>
    <row r="186" spans="7:12" ht="15.75" customHeight="1">
      <c r="G186" s="150"/>
      <c r="L186" s="150"/>
    </row>
    <row r="187" spans="7:12" ht="15.75" customHeight="1">
      <c r="G187" s="150"/>
      <c r="L187" s="150"/>
    </row>
    <row r="188" spans="7:12" ht="15.75" customHeight="1">
      <c r="G188" s="150"/>
      <c r="L188" s="150"/>
    </row>
    <row r="189" spans="7:12" ht="15.75" customHeight="1">
      <c r="G189" s="150"/>
      <c r="L189" s="150"/>
    </row>
    <row r="190" spans="7:12" ht="15.75" customHeight="1">
      <c r="G190" s="150"/>
      <c r="L190" s="150"/>
    </row>
    <row r="191" spans="7:12" ht="15.75" customHeight="1">
      <c r="G191" s="150"/>
      <c r="L191" s="150"/>
    </row>
    <row r="192" spans="7:12" ht="15.75" customHeight="1">
      <c r="G192" s="150"/>
      <c r="L192" s="150"/>
    </row>
    <row r="193" spans="7:12" ht="15.75" customHeight="1">
      <c r="G193" s="150"/>
      <c r="L193" s="150"/>
    </row>
    <row r="194" spans="7:12" ht="15.75" customHeight="1">
      <c r="G194" s="150"/>
      <c r="L194" s="150"/>
    </row>
    <row r="195" spans="7:12" ht="15.75" customHeight="1">
      <c r="G195" s="150"/>
      <c r="L195" s="150"/>
    </row>
    <row r="196" spans="7:12" ht="15.75" customHeight="1">
      <c r="G196" s="150"/>
      <c r="L196" s="150"/>
    </row>
    <row r="197" spans="7:12" ht="15.75" customHeight="1">
      <c r="G197" s="150"/>
      <c r="L197" s="150"/>
    </row>
    <row r="198" spans="7:12" ht="15.75" customHeight="1">
      <c r="G198" s="150"/>
      <c r="L198" s="150"/>
    </row>
    <row r="199" spans="7:12" ht="15.75" customHeight="1">
      <c r="G199" s="150"/>
      <c r="L199" s="150"/>
    </row>
    <row r="200" spans="7:12" ht="15.75" customHeight="1">
      <c r="G200" s="150"/>
      <c r="L200" s="150"/>
    </row>
    <row r="201" spans="7:12" ht="15.75" customHeight="1">
      <c r="G201" s="150"/>
      <c r="L201" s="150"/>
    </row>
    <row r="202" spans="7:12" ht="15.75" customHeight="1">
      <c r="G202" s="150"/>
      <c r="L202" s="150"/>
    </row>
    <row r="203" spans="7:12" ht="15.75" customHeight="1">
      <c r="G203" s="150"/>
      <c r="L203" s="150"/>
    </row>
    <row r="204" spans="7:12" ht="15.75" customHeight="1">
      <c r="G204" s="150"/>
      <c r="L204" s="150"/>
    </row>
    <row r="205" spans="7:12" ht="15.75" customHeight="1">
      <c r="G205" s="150"/>
      <c r="L205" s="150"/>
    </row>
    <row r="206" spans="7:12" ht="15.75" customHeight="1">
      <c r="G206" s="150"/>
      <c r="L206" s="150"/>
    </row>
    <row r="207" spans="7:12" ht="15.75" customHeight="1">
      <c r="G207" s="150"/>
      <c r="L207" s="150"/>
    </row>
    <row r="208" spans="7:12" ht="15.75" customHeight="1">
      <c r="G208" s="150"/>
      <c r="L208" s="150"/>
    </row>
    <row r="209" spans="7:12" ht="15.75" customHeight="1">
      <c r="G209" s="150"/>
      <c r="L209" s="150"/>
    </row>
    <row r="210" spans="7:12" ht="15.75" customHeight="1">
      <c r="G210" s="150"/>
      <c r="L210" s="150"/>
    </row>
    <row r="211" spans="7:12" ht="15.75" customHeight="1">
      <c r="G211" s="150"/>
      <c r="L211" s="150"/>
    </row>
    <row r="212" spans="7:12" ht="15.75" customHeight="1">
      <c r="G212" s="150"/>
      <c r="L212" s="150"/>
    </row>
    <row r="213" spans="7:12" ht="15.75" customHeight="1">
      <c r="G213" s="150"/>
      <c r="L213" s="150"/>
    </row>
    <row r="214" spans="7:12" ht="15.75" customHeight="1">
      <c r="G214" s="150"/>
      <c r="L214" s="150"/>
    </row>
    <row r="215" spans="7:12" ht="15.75" customHeight="1">
      <c r="G215" s="150"/>
      <c r="L215" s="150"/>
    </row>
    <row r="216" spans="7:12" ht="15.75" customHeight="1">
      <c r="G216" s="150"/>
      <c r="L216" s="150"/>
    </row>
    <row r="217" spans="7:12" ht="15.75" customHeight="1">
      <c r="G217" s="150"/>
      <c r="L217" s="150"/>
    </row>
    <row r="218" spans="7:12" ht="15.75" customHeight="1">
      <c r="G218" s="150"/>
      <c r="L218" s="150"/>
    </row>
    <row r="219" spans="7:12" ht="15.75" customHeight="1">
      <c r="G219" s="150"/>
      <c r="L219" s="150"/>
    </row>
    <row r="220" spans="7:12" ht="15.75" customHeight="1">
      <c r="G220" s="150"/>
      <c r="L220" s="150"/>
    </row>
    <row r="221" spans="7:12" ht="15.75" customHeight="1">
      <c r="G221" s="150"/>
      <c r="L221" s="150"/>
    </row>
    <row r="222" spans="7:12" ht="15.75" customHeight="1">
      <c r="G222" s="150"/>
      <c r="L222" s="150"/>
    </row>
    <row r="223" spans="7:12" ht="15.75" customHeight="1">
      <c r="G223" s="150"/>
      <c r="L223" s="150"/>
    </row>
    <row r="224" spans="7:12" ht="15.75" customHeight="1">
      <c r="G224" s="150"/>
      <c r="L224" s="150"/>
    </row>
    <row r="225" spans="7:12" ht="15.75" customHeight="1">
      <c r="G225" s="150"/>
      <c r="L225" s="150"/>
    </row>
    <row r="226" spans="7:12" ht="15.75" customHeight="1">
      <c r="G226" s="150"/>
      <c r="L226" s="150"/>
    </row>
    <row r="227" spans="7:12" ht="15.75" customHeight="1">
      <c r="G227" s="150"/>
      <c r="L227" s="150"/>
    </row>
    <row r="228" spans="7:12" ht="15.75" customHeight="1">
      <c r="G228" s="150"/>
      <c r="L228" s="150"/>
    </row>
    <row r="229" spans="7:12" ht="15.75" customHeight="1">
      <c r="G229" s="150"/>
      <c r="L229" s="150"/>
    </row>
    <row r="230" spans="7:12" ht="15.75" customHeight="1">
      <c r="G230" s="150"/>
      <c r="L230" s="150"/>
    </row>
    <row r="231" spans="7:12" ht="15.75" customHeight="1">
      <c r="G231" s="150"/>
      <c r="L231" s="150"/>
    </row>
    <row r="232" spans="7:12" ht="15.75" customHeight="1">
      <c r="G232" s="150"/>
      <c r="L232" s="150"/>
    </row>
    <row r="233" spans="7:12" ht="15.75" customHeight="1">
      <c r="G233" s="150"/>
      <c r="L233" s="150"/>
    </row>
    <row r="234" spans="7:12" ht="15.75" customHeight="1">
      <c r="G234" s="150"/>
      <c r="L234" s="150"/>
    </row>
    <row r="235" spans="7:12" ht="15.75" customHeight="1">
      <c r="G235" s="150"/>
      <c r="L235" s="150"/>
    </row>
    <row r="236" spans="7:12" ht="15.75" customHeight="1">
      <c r="G236" s="150"/>
      <c r="L236" s="150"/>
    </row>
    <row r="237" spans="7:12" ht="15.75" customHeight="1">
      <c r="G237" s="150"/>
      <c r="L237" s="150"/>
    </row>
    <row r="238" spans="7:12" ht="15.75" customHeight="1">
      <c r="G238" s="150"/>
      <c r="L238" s="150"/>
    </row>
    <row r="239" spans="7:12" ht="15.75" customHeight="1">
      <c r="G239" s="150"/>
      <c r="L239" s="150"/>
    </row>
    <row r="240" spans="7:12" ht="15.75" customHeight="1">
      <c r="G240" s="150"/>
      <c r="L240" s="150"/>
    </row>
    <row r="241" spans="7:12" ht="15.75" customHeight="1">
      <c r="G241" s="150"/>
      <c r="L241" s="150"/>
    </row>
    <row r="242" spans="7:12" ht="15.75" customHeight="1">
      <c r="G242" s="150"/>
      <c r="L242" s="150"/>
    </row>
    <row r="243" spans="7:12" ht="15.75" customHeight="1">
      <c r="G243" s="150"/>
      <c r="L243" s="150"/>
    </row>
    <row r="244" spans="7:12" ht="15.75" customHeight="1">
      <c r="G244" s="150"/>
      <c r="L244" s="150"/>
    </row>
    <row r="245" spans="7:12" ht="15.75" customHeight="1">
      <c r="G245" s="150"/>
      <c r="L245" s="150"/>
    </row>
    <row r="246" spans="7:12" ht="15.75" customHeight="1">
      <c r="G246" s="150"/>
      <c r="L246" s="150"/>
    </row>
    <row r="247" spans="7:12" ht="15.75" customHeight="1">
      <c r="G247" s="150"/>
      <c r="L247" s="150"/>
    </row>
    <row r="248" spans="7:12" ht="15.75" customHeight="1">
      <c r="G248" s="150"/>
      <c r="L248" s="150"/>
    </row>
    <row r="249" spans="7:12" ht="15.75" customHeight="1">
      <c r="G249" s="150"/>
      <c r="L249" s="150"/>
    </row>
    <row r="250" spans="7:12" ht="15.75" customHeight="1">
      <c r="G250" s="150"/>
      <c r="L250" s="150"/>
    </row>
    <row r="251" spans="7:12" ht="15.75" customHeight="1">
      <c r="G251" s="150"/>
      <c r="L251" s="150"/>
    </row>
    <row r="252" spans="7:12" ht="15.75" customHeight="1">
      <c r="G252" s="150"/>
      <c r="L252" s="150"/>
    </row>
    <row r="253" spans="7:12" ht="15.75" customHeight="1">
      <c r="G253" s="150"/>
      <c r="L253" s="150"/>
    </row>
    <row r="254" spans="7:12" ht="15.75" customHeight="1">
      <c r="G254" s="150"/>
      <c r="L254" s="150"/>
    </row>
    <row r="255" spans="7:12" ht="15.75" customHeight="1">
      <c r="G255" s="150"/>
      <c r="L255" s="150"/>
    </row>
    <row r="256" spans="7:12" ht="15.75" customHeight="1">
      <c r="G256" s="150"/>
      <c r="L256" s="150"/>
    </row>
    <row r="257" spans="7:12" ht="15.75" customHeight="1">
      <c r="G257" s="150"/>
      <c r="L257" s="150"/>
    </row>
    <row r="258" spans="7:12" ht="15.75" customHeight="1">
      <c r="G258" s="150"/>
      <c r="L258" s="150"/>
    </row>
    <row r="259" spans="7:12" ht="15.75" customHeight="1">
      <c r="G259" s="150"/>
      <c r="L259" s="150"/>
    </row>
    <row r="260" spans="7:12" ht="15.75" customHeight="1">
      <c r="G260" s="150"/>
      <c r="L260" s="150"/>
    </row>
    <row r="261" spans="7:12" ht="15.75" customHeight="1">
      <c r="G261" s="150"/>
      <c r="L261" s="150"/>
    </row>
    <row r="262" spans="7:12" ht="15.75" customHeight="1">
      <c r="G262" s="150"/>
      <c r="L262" s="150"/>
    </row>
    <row r="263" spans="7:12" ht="15.75" customHeight="1">
      <c r="G263" s="150"/>
      <c r="L263" s="150"/>
    </row>
    <row r="264" spans="7:12" ht="15.75" customHeight="1">
      <c r="G264" s="150"/>
      <c r="L264" s="150"/>
    </row>
    <row r="265" spans="7:12" ht="15.75" customHeight="1">
      <c r="G265" s="150"/>
      <c r="L265" s="150"/>
    </row>
    <row r="266" spans="7:12" ht="15.75" customHeight="1">
      <c r="G266" s="150"/>
      <c r="L266" s="150"/>
    </row>
    <row r="267" spans="7:12" ht="15.75" customHeight="1">
      <c r="G267" s="150"/>
      <c r="L267" s="150"/>
    </row>
    <row r="268" spans="7:12" ht="15.75" customHeight="1">
      <c r="G268" s="150"/>
      <c r="L268" s="150"/>
    </row>
    <row r="269" spans="7:12" ht="15.75" customHeight="1">
      <c r="G269" s="150"/>
      <c r="L269" s="150"/>
    </row>
    <row r="270" spans="7:12" ht="15.75" customHeight="1">
      <c r="G270" s="150"/>
      <c r="L270" s="150"/>
    </row>
    <row r="271" spans="7:12" ht="15.75" customHeight="1">
      <c r="G271" s="150"/>
      <c r="L271" s="150"/>
    </row>
    <row r="272" spans="7:12" ht="15.75" customHeight="1">
      <c r="G272" s="150"/>
      <c r="L272" s="150"/>
    </row>
    <row r="273" spans="7:12" ht="15.75" customHeight="1">
      <c r="G273" s="150"/>
      <c r="L273" s="150"/>
    </row>
    <row r="274" spans="7:12" ht="15.75" customHeight="1">
      <c r="G274" s="150"/>
      <c r="L274" s="150"/>
    </row>
    <row r="275" spans="7:12" ht="15.75" customHeight="1">
      <c r="G275" s="150"/>
      <c r="L275" s="150"/>
    </row>
    <row r="276" spans="7:12" ht="15.75" customHeight="1">
      <c r="G276" s="150"/>
      <c r="L276" s="150"/>
    </row>
    <row r="277" spans="7:12" ht="15.75" customHeight="1">
      <c r="G277" s="150"/>
      <c r="L277" s="150"/>
    </row>
    <row r="278" spans="7:12" ht="15.75" customHeight="1">
      <c r="G278" s="150"/>
      <c r="L278" s="150"/>
    </row>
    <row r="279" spans="7:12" ht="15.75" customHeight="1">
      <c r="G279" s="150"/>
      <c r="L279" s="150"/>
    </row>
    <row r="280" spans="7:12" ht="15.75" customHeight="1">
      <c r="G280" s="150"/>
      <c r="L280" s="150"/>
    </row>
    <row r="281" spans="7:12" ht="15.75" customHeight="1">
      <c r="G281" s="150"/>
      <c r="L281" s="150"/>
    </row>
    <row r="282" spans="7:12" ht="15.75" customHeight="1">
      <c r="G282" s="150"/>
      <c r="L282" s="150"/>
    </row>
    <row r="283" spans="7:12" ht="15.75" customHeight="1">
      <c r="G283" s="150"/>
      <c r="L283" s="150"/>
    </row>
    <row r="284" spans="7:12" ht="15.75" customHeight="1">
      <c r="G284" s="150"/>
      <c r="L284" s="150"/>
    </row>
    <row r="285" spans="7:12" ht="15.75" customHeight="1">
      <c r="G285" s="150"/>
      <c r="L285" s="150"/>
    </row>
    <row r="286" spans="7:12" ht="15.75" customHeight="1">
      <c r="G286" s="150"/>
      <c r="L286" s="150"/>
    </row>
    <row r="287" spans="7:12" ht="15.75" customHeight="1">
      <c r="G287" s="150"/>
      <c r="L287" s="150"/>
    </row>
    <row r="288" spans="7:12" ht="15.75" customHeight="1">
      <c r="G288" s="150"/>
      <c r="L288" s="150"/>
    </row>
    <row r="289" spans="7:12" ht="15.75" customHeight="1">
      <c r="G289" s="150"/>
      <c r="L289" s="150"/>
    </row>
    <row r="290" spans="7:12" ht="15.75" customHeight="1">
      <c r="G290" s="150"/>
      <c r="L290" s="150"/>
    </row>
    <row r="291" spans="7:12" ht="15.75" customHeight="1">
      <c r="G291" s="150"/>
      <c r="L291" s="150"/>
    </row>
    <row r="292" spans="7:12" ht="15.75" customHeight="1">
      <c r="G292" s="150"/>
      <c r="L292" s="150"/>
    </row>
    <row r="293" spans="7:12" ht="15.75" customHeight="1">
      <c r="G293" s="150"/>
      <c r="L293" s="150"/>
    </row>
    <row r="294" spans="7:12" ht="15.75" customHeight="1">
      <c r="G294" s="150"/>
      <c r="L294" s="150"/>
    </row>
    <row r="295" spans="7:12" ht="15.75" customHeight="1">
      <c r="G295" s="150"/>
      <c r="L295" s="150"/>
    </row>
    <row r="296" spans="7:12" ht="15.75" customHeight="1">
      <c r="G296" s="150"/>
      <c r="L296" s="150"/>
    </row>
    <row r="297" spans="7:12" ht="15.75" customHeight="1">
      <c r="G297" s="150"/>
      <c r="L297" s="150"/>
    </row>
    <row r="298" spans="7:12" ht="15.75" customHeight="1">
      <c r="G298" s="150"/>
      <c r="L298" s="150"/>
    </row>
    <row r="299" spans="7:12" ht="15.75" customHeight="1">
      <c r="G299" s="150"/>
      <c r="L299" s="150"/>
    </row>
    <row r="300" spans="7:12" ht="15.75" customHeight="1">
      <c r="G300" s="150"/>
      <c r="L300" s="150"/>
    </row>
    <row r="301" spans="7:12" ht="15.75" customHeight="1">
      <c r="G301" s="150"/>
      <c r="L301" s="150"/>
    </row>
    <row r="302" spans="7:12" ht="15.75" customHeight="1">
      <c r="G302" s="150"/>
      <c r="L302" s="150"/>
    </row>
    <row r="303" spans="7:12" ht="15.75" customHeight="1">
      <c r="G303" s="150"/>
      <c r="L303" s="150"/>
    </row>
    <row r="304" spans="7:12" ht="15.75" customHeight="1">
      <c r="G304" s="150"/>
      <c r="L304" s="150"/>
    </row>
    <row r="305" spans="7:12" ht="15.75" customHeight="1">
      <c r="G305" s="150"/>
      <c r="L305" s="150"/>
    </row>
    <row r="306" spans="7:12" ht="15.75" customHeight="1">
      <c r="G306" s="150"/>
      <c r="L306" s="150"/>
    </row>
    <row r="307" spans="7:12" ht="15.75" customHeight="1">
      <c r="G307" s="150"/>
      <c r="L307" s="150"/>
    </row>
    <row r="308" spans="7:12" ht="15.75" customHeight="1">
      <c r="G308" s="150"/>
      <c r="L308" s="150"/>
    </row>
    <row r="309" spans="7:12" ht="15.75" customHeight="1">
      <c r="G309" s="150"/>
      <c r="L309" s="150"/>
    </row>
    <row r="310" spans="7:12" ht="15.75" customHeight="1">
      <c r="G310" s="150"/>
      <c r="L310" s="150"/>
    </row>
    <row r="311" spans="7:12" ht="15.75" customHeight="1">
      <c r="G311" s="150"/>
      <c r="L311" s="150"/>
    </row>
    <row r="312" spans="7:12" ht="15.75" customHeight="1">
      <c r="G312" s="150"/>
      <c r="L312" s="150"/>
    </row>
    <row r="313" spans="7:12" ht="15.75" customHeight="1">
      <c r="G313" s="150"/>
      <c r="L313" s="150"/>
    </row>
    <row r="314" spans="7:12" ht="15.75" customHeight="1">
      <c r="G314" s="150"/>
      <c r="L314" s="150"/>
    </row>
    <row r="315" spans="7:12" ht="15.75" customHeight="1">
      <c r="G315" s="150"/>
      <c r="L315" s="150"/>
    </row>
    <row r="316" spans="7:12" ht="15.75" customHeight="1">
      <c r="G316" s="150"/>
      <c r="L316" s="150"/>
    </row>
    <row r="317" spans="7:12" ht="15.75" customHeight="1">
      <c r="G317" s="150"/>
      <c r="L317" s="150"/>
    </row>
    <row r="318" spans="7:12" ht="15.75" customHeight="1">
      <c r="G318" s="150"/>
      <c r="L318" s="150"/>
    </row>
    <row r="319" spans="7:12" ht="15.75" customHeight="1">
      <c r="G319" s="150"/>
      <c r="L319" s="150"/>
    </row>
    <row r="320" spans="7:12" ht="15.75" customHeight="1">
      <c r="G320" s="150"/>
      <c r="L320" s="150"/>
    </row>
    <row r="321" spans="7:12" ht="15.75" customHeight="1">
      <c r="G321" s="150"/>
      <c r="L321" s="150"/>
    </row>
    <row r="322" spans="7:12" ht="15.75" customHeight="1">
      <c r="G322" s="150"/>
      <c r="L322" s="150"/>
    </row>
    <row r="323" spans="7:12" ht="15.75" customHeight="1">
      <c r="G323" s="150"/>
      <c r="L323" s="150"/>
    </row>
    <row r="324" spans="7:12" ht="15.75" customHeight="1">
      <c r="G324" s="150"/>
      <c r="L324" s="150"/>
    </row>
    <row r="325" spans="7:12" ht="15.75" customHeight="1">
      <c r="G325" s="150"/>
      <c r="L325" s="150"/>
    </row>
    <row r="326" spans="7:12" ht="15.75" customHeight="1">
      <c r="G326" s="150"/>
      <c r="L326" s="150"/>
    </row>
    <row r="327" spans="7:12" ht="15.75" customHeight="1">
      <c r="G327" s="150"/>
      <c r="L327" s="150"/>
    </row>
    <row r="328" spans="7:12" ht="15.75" customHeight="1">
      <c r="G328" s="150"/>
      <c r="L328" s="150"/>
    </row>
    <row r="329" spans="7:12" ht="15.75" customHeight="1">
      <c r="G329" s="150"/>
      <c r="L329" s="150"/>
    </row>
    <row r="330" spans="7:12" ht="15.75" customHeight="1">
      <c r="G330" s="150"/>
      <c r="L330" s="150"/>
    </row>
    <row r="331" spans="7:12" ht="15.75" customHeight="1">
      <c r="G331" s="150"/>
      <c r="L331" s="150"/>
    </row>
    <row r="332" spans="7:12" ht="15.75" customHeight="1">
      <c r="G332" s="150"/>
      <c r="L332" s="150"/>
    </row>
    <row r="333" spans="7:12" ht="15.75" customHeight="1">
      <c r="G333" s="150"/>
      <c r="L333" s="150"/>
    </row>
    <row r="334" spans="7:12" ht="15.75" customHeight="1">
      <c r="G334" s="150"/>
      <c r="L334" s="150"/>
    </row>
    <row r="335" spans="7:12" ht="15.75" customHeight="1">
      <c r="G335" s="150"/>
      <c r="L335" s="150"/>
    </row>
    <row r="336" spans="7:12" ht="15.75" customHeight="1">
      <c r="G336" s="150"/>
      <c r="L336" s="150"/>
    </row>
    <row r="337" spans="7:12" ht="15.75" customHeight="1">
      <c r="G337" s="150"/>
      <c r="L337" s="150"/>
    </row>
    <row r="338" spans="7:12" ht="15.75" customHeight="1">
      <c r="G338" s="150"/>
      <c r="L338" s="150"/>
    </row>
    <row r="339" spans="7:12" ht="15.75" customHeight="1">
      <c r="G339" s="150"/>
      <c r="L339" s="150"/>
    </row>
    <row r="340" spans="7:12" ht="15.75" customHeight="1">
      <c r="G340" s="150"/>
      <c r="L340" s="150"/>
    </row>
    <row r="341" spans="7:12" ht="15.75" customHeight="1">
      <c r="G341" s="150"/>
      <c r="L341" s="150"/>
    </row>
    <row r="342" spans="7:12" ht="15.75" customHeight="1">
      <c r="G342" s="150"/>
      <c r="L342" s="150"/>
    </row>
    <row r="343" spans="7:12" ht="15.75" customHeight="1">
      <c r="G343" s="150"/>
      <c r="L343" s="150"/>
    </row>
    <row r="344" spans="7:12" ht="15.75" customHeight="1">
      <c r="G344" s="150"/>
      <c r="L344" s="150"/>
    </row>
    <row r="345" spans="7:12" ht="15.75" customHeight="1">
      <c r="G345" s="150"/>
      <c r="L345" s="150"/>
    </row>
    <row r="346" spans="7:12" ht="15.75" customHeight="1">
      <c r="G346" s="150"/>
      <c r="L346" s="150"/>
    </row>
    <row r="347" spans="7:12" ht="15.75" customHeight="1">
      <c r="G347" s="150"/>
      <c r="L347" s="150"/>
    </row>
    <row r="348" spans="7:12" ht="15.75" customHeight="1">
      <c r="G348" s="150"/>
      <c r="L348" s="150"/>
    </row>
    <row r="349" spans="7:12" ht="15.75" customHeight="1">
      <c r="G349" s="150"/>
      <c r="L349" s="150"/>
    </row>
    <row r="350" spans="7:12" ht="15.75" customHeight="1">
      <c r="G350" s="150"/>
      <c r="L350" s="150"/>
    </row>
    <row r="351" spans="7:12" ht="15.75" customHeight="1">
      <c r="G351" s="150"/>
      <c r="L351" s="150"/>
    </row>
    <row r="352" spans="7:12" ht="15.75" customHeight="1">
      <c r="G352" s="150"/>
      <c r="L352" s="150"/>
    </row>
    <row r="353" spans="7:12" ht="15.75" customHeight="1">
      <c r="G353" s="150"/>
      <c r="L353" s="150"/>
    </row>
    <row r="354" spans="7:12" ht="15.75" customHeight="1">
      <c r="G354" s="150"/>
      <c r="L354" s="150"/>
    </row>
    <row r="355" spans="7:12" ht="15.75" customHeight="1">
      <c r="G355" s="150"/>
      <c r="L355" s="150"/>
    </row>
    <row r="356" spans="7:12" ht="15.75" customHeight="1">
      <c r="G356" s="150"/>
      <c r="L356" s="150"/>
    </row>
    <row r="357" spans="7:12" ht="15.75" customHeight="1">
      <c r="G357" s="150"/>
      <c r="L357" s="150"/>
    </row>
    <row r="358" spans="7:12" ht="15.75" customHeight="1">
      <c r="G358" s="150"/>
      <c r="L358" s="150"/>
    </row>
    <row r="359" spans="7:12" ht="15.75" customHeight="1">
      <c r="G359" s="150"/>
      <c r="L359" s="150"/>
    </row>
    <row r="360" spans="7:12" ht="15.75" customHeight="1">
      <c r="G360" s="150"/>
      <c r="L360" s="150"/>
    </row>
    <row r="361" spans="7:12" ht="15.75" customHeight="1">
      <c r="G361" s="150"/>
      <c r="L361" s="150"/>
    </row>
    <row r="362" spans="7:12" ht="15.75" customHeight="1">
      <c r="G362" s="150"/>
      <c r="L362" s="150"/>
    </row>
    <row r="363" spans="7:12" ht="15.75" customHeight="1">
      <c r="G363" s="150"/>
      <c r="L363" s="150"/>
    </row>
    <row r="364" spans="7:12" ht="15.75" customHeight="1">
      <c r="G364" s="150"/>
      <c r="L364" s="150"/>
    </row>
    <row r="365" spans="7:12" ht="15.75" customHeight="1">
      <c r="G365" s="150"/>
      <c r="L365" s="150"/>
    </row>
    <row r="366" spans="7:12" ht="15.75" customHeight="1">
      <c r="G366" s="150"/>
      <c r="L366" s="150"/>
    </row>
    <row r="367" spans="7:12" ht="15.75" customHeight="1">
      <c r="G367" s="150"/>
      <c r="L367" s="150"/>
    </row>
    <row r="368" spans="7:12" ht="15.75" customHeight="1">
      <c r="G368" s="150"/>
      <c r="L368" s="150"/>
    </row>
    <row r="369" spans="7:12" ht="15.75" customHeight="1">
      <c r="G369" s="150"/>
      <c r="L369" s="150"/>
    </row>
    <row r="370" spans="7:12" ht="15.75" customHeight="1">
      <c r="G370" s="150"/>
      <c r="L370" s="150"/>
    </row>
    <row r="371" spans="7:12" ht="15.75" customHeight="1">
      <c r="G371" s="150"/>
      <c r="L371" s="150"/>
    </row>
    <row r="372" spans="7:12" ht="15.75" customHeight="1">
      <c r="G372" s="150"/>
      <c r="L372" s="150"/>
    </row>
    <row r="373" spans="7:12" ht="15.75" customHeight="1">
      <c r="G373" s="150"/>
      <c r="L373" s="150"/>
    </row>
    <row r="374" spans="7:12" ht="15.75" customHeight="1">
      <c r="G374" s="150"/>
      <c r="L374" s="150"/>
    </row>
    <row r="375" spans="7:12" ht="15.75" customHeight="1">
      <c r="G375" s="150"/>
      <c r="L375" s="150"/>
    </row>
    <row r="376" spans="7:12" ht="15.75" customHeight="1">
      <c r="G376" s="150"/>
      <c r="L376" s="150"/>
    </row>
    <row r="377" spans="7:12" ht="15.75" customHeight="1">
      <c r="G377" s="150"/>
      <c r="L377" s="150"/>
    </row>
    <row r="378" spans="7:12" ht="15.75" customHeight="1">
      <c r="G378" s="150"/>
      <c r="L378" s="150"/>
    </row>
    <row r="379" spans="7:12" ht="15.75" customHeight="1">
      <c r="G379" s="150"/>
      <c r="L379" s="150"/>
    </row>
    <row r="380" spans="7:12" ht="15.75" customHeight="1">
      <c r="G380" s="150"/>
      <c r="L380" s="150"/>
    </row>
    <row r="381" spans="7:12" ht="15.75" customHeight="1">
      <c r="G381" s="150"/>
      <c r="L381" s="150"/>
    </row>
    <row r="382" spans="7:12" ht="15.75" customHeight="1">
      <c r="G382" s="150"/>
      <c r="L382" s="150"/>
    </row>
    <row r="383" spans="7:12" ht="15.75" customHeight="1">
      <c r="G383" s="150"/>
      <c r="L383" s="150"/>
    </row>
    <row r="384" spans="7:12" ht="15.75" customHeight="1">
      <c r="G384" s="150"/>
      <c r="L384" s="150"/>
    </row>
    <row r="385" spans="7:12" ht="15.75" customHeight="1">
      <c r="G385" s="150"/>
      <c r="L385" s="150"/>
    </row>
    <row r="386" spans="7:12" ht="15.75" customHeight="1">
      <c r="G386" s="150"/>
      <c r="L386" s="150"/>
    </row>
    <row r="387" spans="7:12" ht="15.75" customHeight="1">
      <c r="G387" s="150"/>
      <c r="L387" s="150"/>
    </row>
    <row r="388" spans="7:12" ht="15.75" customHeight="1">
      <c r="G388" s="150"/>
      <c r="L388" s="150"/>
    </row>
    <row r="389" spans="7:12" ht="15.75" customHeight="1">
      <c r="G389" s="150"/>
      <c r="L389" s="150"/>
    </row>
    <row r="390" spans="7:12" ht="15.75" customHeight="1">
      <c r="G390" s="150"/>
      <c r="L390" s="150"/>
    </row>
    <row r="391" spans="7:12" ht="15.75" customHeight="1">
      <c r="G391" s="150"/>
      <c r="L391" s="150"/>
    </row>
    <row r="392" spans="7:12" ht="15.75" customHeight="1">
      <c r="G392" s="150"/>
      <c r="L392" s="150"/>
    </row>
    <row r="393" spans="7:12" ht="15.75" customHeight="1">
      <c r="G393" s="150"/>
      <c r="L393" s="150"/>
    </row>
    <row r="394" spans="7:12" ht="15.75" customHeight="1">
      <c r="G394" s="150"/>
      <c r="L394" s="150"/>
    </row>
    <row r="395" spans="7:12" ht="15.75" customHeight="1">
      <c r="G395" s="150"/>
      <c r="L395" s="150"/>
    </row>
    <row r="396" spans="7:12" ht="15.75" customHeight="1">
      <c r="G396" s="150"/>
      <c r="L396" s="150"/>
    </row>
    <row r="397" spans="7:12" ht="15.75" customHeight="1">
      <c r="G397" s="150"/>
      <c r="L397" s="150"/>
    </row>
    <row r="398" spans="7:12" ht="15.75" customHeight="1">
      <c r="G398" s="150"/>
      <c r="L398" s="150"/>
    </row>
    <row r="399" spans="7:12" ht="15.75" customHeight="1">
      <c r="G399" s="150"/>
      <c r="L399" s="150"/>
    </row>
    <row r="400" spans="7:12" ht="15.75" customHeight="1">
      <c r="G400" s="150"/>
      <c r="L400" s="150"/>
    </row>
    <row r="401" spans="7:12" ht="15.75" customHeight="1">
      <c r="G401" s="150"/>
      <c r="L401" s="150"/>
    </row>
    <row r="402" spans="7:12" ht="15.75" customHeight="1">
      <c r="G402" s="150"/>
      <c r="L402" s="150"/>
    </row>
    <row r="403" spans="7:12" ht="15.75" customHeight="1">
      <c r="G403" s="150"/>
      <c r="L403" s="150"/>
    </row>
    <row r="404" spans="7:12" ht="15.75" customHeight="1">
      <c r="G404" s="150"/>
      <c r="L404" s="150"/>
    </row>
    <row r="405" spans="7:12" ht="15.75" customHeight="1">
      <c r="G405" s="150"/>
      <c r="L405" s="150"/>
    </row>
    <row r="406" spans="7:12" ht="15.75" customHeight="1">
      <c r="G406" s="150"/>
      <c r="L406" s="150"/>
    </row>
    <row r="407" spans="7:12" ht="15.75" customHeight="1">
      <c r="G407" s="150"/>
      <c r="L407" s="150"/>
    </row>
    <row r="408" spans="7:12" ht="15.75" customHeight="1">
      <c r="G408" s="150"/>
      <c r="L408" s="150"/>
    </row>
    <row r="409" spans="7:12" ht="15.75" customHeight="1">
      <c r="G409" s="150"/>
      <c r="L409" s="150"/>
    </row>
    <row r="410" spans="7:12" ht="15.75" customHeight="1">
      <c r="G410" s="150"/>
      <c r="L410" s="150"/>
    </row>
    <row r="411" spans="7:12" ht="15.75" customHeight="1">
      <c r="G411" s="150"/>
      <c r="L411" s="150"/>
    </row>
    <row r="412" spans="7:12" ht="15.75" customHeight="1">
      <c r="G412" s="150"/>
      <c r="L412" s="150"/>
    </row>
    <row r="413" spans="7:12" ht="15.75" customHeight="1">
      <c r="G413" s="150"/>
      <c r="L413" s="150"/>
    </row>
    <row r="414" spans="7:12" ht="15.75" customHeight="1">
      <c r="G414" s="150"/>
      <c r="L414" s="150"/>
    </row>
    <row r="415" spans="7:12" ht="15.75" customHeight="1">
      <c r="G415" s="150"/>
      <c r="L415" s="150"/>
    </row>
    <row r="416" spans="7:12" ht="15.75" customHeight="1">
      <c r="G416" s="150"/>
      <c r="L416" s="150"/>
    </row>
    <row r="417" spans="7:12" ht="15.75" customHeight="1">
      <c r="G417" s="150"/>
      <c r="L417" s="150"/>
    </row>
    <row r="418" spans="7:12" ht="15.75" customHeight="1">
      <c r="G418" s="150"/>
      <c r="L418" s="150"/>
    </row>
    <row r="419" spans="7:12" ht="15.75" customHeight="1">
      <c r="G419" s="150"/>
      <c r="L419" s="150"/>
    </row>
    <row r="420" spans="7:12" ht="15.75" customHeight="1">
      <c r="G420" s="150"/>
      <c r="L420" s="150"/>
    </row>
    <row r="421" spans="7:12" ht="15.75" customHeight="1">
      <c r="G421" s="150"/>
      <c r="L421" s="150"/>
    </row>
    <row r="422" spans="7:12" ht="15.75" customHeight="1">
      <c r="G422" s="150"/>
      <c r="L422" s="150"/>
    </row>
    <row r="423" spans="7:12" ht="15.75" customHeight="1">
      <c r="G423" s="150"/>
      <c r="L423" s="150"/>
    </row>
    <row r="424" spans="7:12" ht="15.75" customHeight="1">
      <c r="G424" s="150"/>
      <c r="L424" s="150"/>
    </row>
    <row r="425" spans="7:12" ht="15.75" customHeight="1">
      <c r="G425" s="150"/>
      <c r="L425" s="150"/>
    </row>
    <row r="426" spans="7:12" ht="15.75" customHeight="1">
      <c r="G426" s="150"/>
      <c r="L426" s="150"/>
    </row>
    <row r="427" spans="7:12" ht="15.75" customHeight="1">
      <c r="G427" s="150"/>
      <c r="L427" s="150"/>
    </row>
    <row r="428" spans="7:12" ht="15.75" customHeight="1">
      <c r="G428" s="150"/>
      <c r="L428" s="150"/>
    </row>
    <row r="429" spans="7:12" ht="15.75" customHeight="1">
      <c r="G429" s="150"/>
      <c r="L429" s="150"/>
    </row>
    <row r="430" spans="7:12" ht="15.75" customHeight="1">
      <c r="G430" s="150"/>
      <c r="L430" s="150"/>
    </row>
    <row r="431" spans="7:12" ht="15.75" customHeight="1">
      <c r="G431" s="150"/>
      <c r="L431" s="150"/>
    </row>
    <row r="432" spans="7:12" ht="15.75" customHeight="1">
      <c r="G432" s="150"/>
      <c r="L432" s="150"/>
    </row>
    <row r="433" spans="7:12" ht="15.75" customHeight="1">
      <c r="G433" s="150"/>
      <c r="L433" s="150"/>
    </row>
    <row r="434" spans="7:12" ht="15.75" customHeight="1">
      <c r="G434" s="150"/>
      <c r="L434" s="150"/>
    </row>
    <row r="435" spans="7:12" ht="15.75" customHeight="1">
      <c r="G435" s="150"/>
      <c r="L435" s="150"/>
    </row>
    <row r="436" spans="7:12" ht="15.75" customHeight="1">
      <c r="G436" s="150"/>
      <c r="L436" s="150"/>
    </row>
    <row r="437" spans="7:12" ht="15.75" customHeight="1">
      <c r="G437" s="150"/>
      <c r="L437" s="150"/>
    </row>
    <row r="438" spans="7:12" ht="15.75" customHeight="1">
      <c r="G438" s="150"/>
      <c r="L438" s="150"/>
    </row>
    <row r="439" spans="7:12" ht="15.75" customHeight="1">
      <c r="G439" s="150"/>
      <c r="L439" s="150"/>
    </row>
    <row r="440" spans="7:12" ht="15.75" customHeight="1">
      <c r="G440" s="150"/>
      <c r="L440" s="150"/>
    </row>
    <row r="441" spans="7:12" ht="15.75" customHeight="1">
      <c r="G441" s="150"/>
      <c r="L441" s="150"/>
    </row>
    <row r="442" spans="7:12" ht="15.75" customHeight="1">
      <c r="G442" s="150"/>
      <c r="L442" s="150"/>
    </row>
    <row r="443" spans="7:12" ht="15.75" customHeight="1">
      <c r="G443" s="150"/>
      <c r="L443" s="150"/>
    </row>
    <row r="444" spans="7:12" ht="15.75" customHeight="1">
      <c r="G444" s="150"/>
      <c r="L444" s="150"/>
    </row>
    <row r="445" spans="7:12" ht="15.75" customHeight="1">
      <c r="G445" s="150"/>
      <c r="L445" s="150"/>
    </row>
    <row r="446" spans="7:12" ht="15.75" customHeight="1">
      <c r="G446" s="150"/>
      <c r="L446" s="150"/>
    </row>
    <row r="447" spans="7:12" ht="15.75" customHeight="1">
      <c r="G447" s="150"/>
      <c r="L447" s="150"/>
    </row>
    <row r="448" spans="7:12" ht="15.75" customHeight="1">
      <c r="G448" s="150"/>
      <c r="L448" s="150"/>
    </row>
    <row r="449" spans="7:12" ht="15.75" customHeight="1">
      <c r="G449" s="150"/>
      <c r="L449" s="150"/>
    </row>
    <row r="450" spans="7:12" ht="15.75" customHeight="1">
      <c r="G450" s="150"/>
      <c r="L450" s="150"/>
    </row>
    <row r="451" spans="7:12" ht="15.75" customHeight="1">
      <c r="G451" s="150"/>
      <c r="L451" s="150"/>
    </row>
    <row r="452" spans="7:12" ht="15.75" customHeight="1">
      <c r="G452" s="150"/>
      <c r="L452" s="150"/>
    </row>
    <row r="453" spans="7:12" ht="15.75" customHeight="1">
      <c r="G453" s="150"/>
      <c r="L453" s="150"/>
    </row>
    <row r="454" spans="7:12" ht="15.75" customHeight="1">
      <c r="G454" s="150"/>
      <c r="L454" s="150"/>
    </row>
    <row r="455" spans="7:12" ht="15.75" customHeight="1">
      <c r="G455" s="150"/>
      <c r="L455" s="150"/>
    </row>
    <row r="456" spans="7:12" ht="15.75" customHeight="1">
      <c r="G456" s="150"/>
      <c r="L456" s="150"/>
    </row>
    <row r="457" spans="7:12" ht="15.75" customHeight="1">
      <c r="G457" s="150"/>
      <c r="L457" s="150"/>
    </row>
    <row r="458" spans="7:12" ht="15.75" customHeight="1">
      <c r="G458" s="150"/>
      <c r="L458" s="150"/>
    </row>
    <row r="459" spans="7:12" ht="15.75" customHeight="1">
      <c r="G459" s="150"/>
      <c r="L459" s="150"/>
    </row>
    <row r="460" spans="7:12" ht="15.75" customHeight="1">
      <c r="G460" s="150"/>
      <c r="L460" s="150"/>
    </row>
    <row r="461" spans="7:12" ht="15.75" customHeight="1">
      <c r="G461" s="150"/>
      <c r="L461" s="150"/>
    </row>
    <row r="462" spans="7:12" ht="15.75" customHeight="1">
      <c r="G462" s="150"/>
      <c r="L462" s="150"/>
    </row>
    <row r="463" spans="7:12" ht="15.75" customHeight="1">
      <c r="G463" s="150"/>
      <c r="L463" s="150"/>
    </row>
    <row r="464" spans="7:12" ht="15.75" customHeight="1">
      <c r="G464" s="150"/>
      <c r="L464" s="150"/>
    </row>
    <row r="465" spans="7:12" ht="15.75" customHeight="1">
      <c r="G465" s="150"/>
      <c r="L465" s="150"/>
    </row>
    <row r="466" spans="7:12" ht="15.75" customHeight="1">
      <c r="G466" s="150"/>
      <c r="L466" s="150"/>
    </row>
    <row r="467" spans="7:12" ht="15.75" customHeight="1">
      <c r="G467" s="150"/>
      <c r="L467" s="150"/>
    </row>
    <row r="468" spans="7:12" ht="15.75" customHeight="1">
      <c r="G468" s="150"/>
      <c r="L468" s="150"/>
    </row>
    <row r="469" spans="7:12" ht="15.75" customHeight="1">
      <c r="G469" s="150"/>
      <c r="L469" s="150"/>
    </row>
    <row r="470" spans="7:12" ht="15.75" customHeight="1">
      <c r="G470" s="150"/>
      <c r="L470" s="150"/>
    </row>
    <row r="471" spans="7:12" ht="15.75" customHeight="1">
      <c r="G471" s="150"/>
      <c r="L471" s="150"/>
    </row>
    <row r="472" spans="7:12" ht="15.75" customHeight="1">
      <c r="G472" s="150"/>
      <c r="L472" s="150"/>
    </row>
    <row r="473" spans="7:12" ht="15.75" customHeight="1">
      <c r="G473" s="150"/>
      <c r="L473" s="150"/>
    </row>
    <row r="474" spans="7:12" ht="15.75" customHeight="1">
      <c r="G474" s="150"/>
      <c r="L474" s="150"/>
    </row>
    <row r="475" spans="7:12" ht="15.75" customHeight="1">
      <c r="G475" s="150"/>
      <c r="L475" s="150"/>
    </row>
    <row r="476" spans="7:12" ht="15.75" customHeight="1">
      <c r="G476" s="150"/>
      <c r="L476" s="150"/>
    </row>
    <row r="477" spans="7:12" ht="15.75" customHeight="1">
      <c r="G477" s="150"/>
      <c r="L477" s="150"/>
    </row>
    <row r="478" spans="7:12" ht="15.75" customHeight="1">
      <c r="G478" s="150"/>
      <c r="L478" s="150"/>
    </row>
    <row r="479" spans="7:12" ht="15.75" customHeight="1">
      <c r="G479" s="150"/>
      <c r="L479" s="150"/>
    </row>
    <row r="480" spans="7:12" ht="15.75" customHeight="1">
      <c r="G480" s="150"/>
      <c r="L480" s="150"/>
    </row>
    <row r="481" spans="7:12" ht="15.75" customHeight="1">
      <c r="G481" s="150"/>
      <c r="L481" s="150"/>
    </row>
    <row r="482" spans="7:12" ht="15.75" customHeight="1">
      <c r="G482" s="150"/>
      <c r="L482" s="150"/>
    </row>
    <row r="483" spans="7:12" ht="15.75" customHeight="1">
      <c r="G483" s="150"/>
      <c r="L483" s="150"/>
    </row>
    <row r="484" spans="7:12" ht="15.75" customHeight="1">
      <c r="G484" s="150"/>
      <c r="L484" s="150"/>
    </row>
    <row r="485" spans="7:12" ht="15.75" customHeight="1">
      <c r="G485" s="150"/>
      <c r="L485" s="150"/>
    </row>
    <row r="486" spans="7:12" ht="15.75" customHeight="1">
      <c r="G486" s="150"/>
      <c r="L486" s="150"/>
    </row>
    <row r="487" spans="7:12" ht="15.75" customHeight="1">
      <c r="G487" s="150"/>
      <c r="L487" s="150"/>
    </row>
    <row r="488" spans="7:12" ht="15.75" customHeight="1">
      <c r="G488" s="150"/>
      <c r="L488" s="150"/>
    </row>
    <row r="489" spans="7:12" ht="15.75" customHeight="1">
      <c r="G489" s="150"/>
      <c r="L489" s="150"/>
    </row>
    <row r="490" spans="7:12" ht="15.75" customHeight="1">
      <c r="G490" s="150"/>
      <c r="L490" s="150"/>
    </row>
    <row r="491" spans="7:12" ht="15.75" customHeight="1">
      <c r="G491" s="150"/>
      <c r="L491" s="150"/>
    </row>
    <row r="492" spans="7:12" ht="15.75" customHeight="1">
      <c r="G492" s="150"/>
      <c r="L492" s="150"/>
    </row>
    <row r="493" spans="7:12" ht="15.75" customHeight="1">
      <c r="G493" s="150"/>
      <c r="L493" s="150"/>
    </row>
    <row r="494" spans="7:12" ht="15.75" customHeight="1">
      <c r="G494" s="150"/>
      <c r="L494" s="150"/>
    </row>
    <row r="495" spans="7:12" ht="15.75" customHeight="1">
      <c r="G495" s="150"/>
      <c r="L495" s="150"/>
    </row>
    <row r="496" spans="7:12" ht="15.75" customHeight="1">
      <c r="G496" s="150"/>
      <c r="L496" s="150"/>
    </row>
    <row r="497" spans="7:12" ht="15.75" customHeight="1">
      <c r="G497" s="150"/>
      <c r="L497" s="150"/>
    </row>
    <row r="498" spans="7:12" ht="15.75" customHeight="1">
      <c r="G498" s="150"/>
      <c r="L498" s="150"/>
    </row>
    <row r="499" spans="7:12" ht="15.75" customHeight="1">
      <c r="G499" s="150"/>
      <c r="L499" s="150"/>
    </row>
    <row r="500" spans="7:12" ht="15.75" customHeight="1">
      <c r="G500" s="150"/>
      <c r="L500" s="150"/>
    </row>
    <row r="501" spans="7:12" ht="15.75" customHeight="1">
      <c r="G501" s="150"/>
      <c r="L501" s="150"/>
    </row>
    <row r="502" spans="7:12" ht="15.75" customHeight="1">
      <c r="G502" s="150"/>
      <c r="L502" s="150"/>
    </row>
    <row r="503" spans="7:12" ht="15.75" customHeight="1">
      <c r="G503" s="150"/>
      <c r="L503" s="150"/>
    </row>
    <row r="504" spans="7:12" ht="15.75" customHeight="1">
      <c r="G504" s="150"/>
      <c r="L504" s="150"/>
    </row>
    <row r="505" spans="7:12" ht="15.75" customHeight="1">
      <c r="G505" s="150"/>
      <c r="L505" s="150"/>
    </row>
    <row r="506" spans="7:12" ht="15.75" customHeight="1">
      <c r="G506" s="150"/>
      <c r="L506" s="150"/>
    </row>
    <row r="507" spans="7:12" ht="15.75" customHeight="1">
      <c r="G507" s="150"/>
      <c r="L507" s="150"/>
    </row>
    <row r="508" spans="7:12" ht="15.75" customHeight="1">
      <c r="G508" s="150"/>
      <c r="L508" s="150"/>
    </row>
    <row r="509" spans="7:12" ht="15.75" customHeight="1">
      <c r="G509" s="150"/>
      <c r="L509" s="150"/>
    </row>
    <row r="510" spans="7:12" ht="15.75" customHeight="1">
      <c r="G510" s="150"/>
      <c r="L510" s="150"/>
    </row>
    <row r="511" spans="7:12" ht="15.75" customHeight="1">
      <c r="G511" s="150"/>
      <c r="L511" s="150"/>
    </row>
    <row r="512" spans="7:12" ht="15.75" customHeight="1">
      <c r="G512" s="150"/>
      <c r="L512" s="150"/>
    </row>
    <row r="513" spans="7:12" ht="15.75" customHeight="1">
      <c r="G513" s="150"/>
      <c r="L513" s="150"/>
    </row>
    <row r="514" spans="7:12" ht="15.75" customHeight="1">
      <c r="G514" s="150"/>
      <c r="L514" s="150"/>
    </row>
    <row r="515" spans="7:12" ht="15.75" customHeight="1">
      <c r="G515" s="150"/>
      <c r="L515" s="150"/>
    </row>
    <row r="516" spans="7:12" ht="15.75" customHeight="1">
      <c r="G516" s="150"/>
      <c r="L516" s="150"/>
    </row>
    <row r="517" spans="7:12" ht="15.75" customHeight="1">
      <c r="G517" s="150"/>
      <c r="L517" s="150"/>
    </row>
    <row r="518" spans="7:12" ht="15.75" customHeight="1">
      <c r="G518" s="150"/>
      <c r="L518" s="150"/>
    </row>
    <row r="519" spans="7:12" ht="15.75" customHeight="1">
      <c r="G519" s="150"/>
      <c r="L519" s="150"/>
    </row>
    <row r="520" spans="7:12" ht="15.75" customHeight="1">
      <c r="G520" s="150"/>
      <c r="L520" s="150"/>
    </row>
    <row r="521" spans="7:12" ht="15.75" customHeight="1">
      <c r="G521" s="150"/>
      <c r="L521" s="150"/>
    </row>
    <row r="522" spans="7:12" ht="15.75" customHeight="1">
      <c r="G522" s="150"/>
      <c r="L522" s="150"/>
    </row>
    <row r="523" spans="7:12" ht="15.75" customHeight="1">
      <c r="G523" s="150"/>
      <c r="L523" s="150"/>
    </row>
    <row r="524" spans="7:12" ht="15.75" customHeight="1">
      <c r="G524" s="150"/>
      <c r="L524" s="150"/>
    </row>
    <row r="525" spans="7:12" ht="15.75" customHeight="1">
      <c r="G525" s="150"/>
      <c r="L525" s="150"/>
    </row>
    <row r="526" spans="7:12" ht="15.75" customHeight="1">
      <c r="G526" s="150"/>
      <c r="L526" s="150"/>
    </row>
    <row r="527" spans="7:12" ht="15.75" customHeight="1">
      <c r="G527" s="150"/>
      <c r="L527" s="150"/>
    </row>
    <row r="528" spans="7:12" ht="15.75" customHeight="1">
      <c r="G528" s="150"/>
      <c r="L528" s="150"/>
    </row>
    <row r="529" spans="7:12" ht="15.75" customHeight="1">
      <c r="G529" s="150"/>
      <c r="L529" s="150"/>
    </row>
    <row r="530" spans="7:12" ht="15.75" customHeight="1">
      <c r="G530" s="150"/>
      <c r="L530" s="150"/>
    </row>
    <row r="531" spans="7:12" ht="15.75" customHeight="1">
      <c r="G531" s="150"/>
      <c r="L531" s="150"/>
    </row>
    <row r="532" spans="7:12" ht="15.75" customHeight="1">
      <c r="G532" s="150"/>
      <c r="L532" s="150"/>
    </row>
    <row r="533" spans="7:12" ht="15.75" customHeight="1">
      <c r="G533" s="150"/>
      <c r="L533" s="150"/>
    </row>
    <row r="534" spans="7:12" ht="15.75" customHeight="1">
      <c r="G534" s="150"/>
      <c r="L534" s="150"/>
    </row>
    <row r="535" spans="7:12" ht="15.75" customHeight="1">
      <c r="G535" s="150"/>
      <c r="L535" s="150"/>
    </row>
    <row r="536" spans="7:12" ht="15.75" customHeight="1">
      <c r="G536" s="150"/>
      <c r="L536" s="150"/>
    </row>
    <row r="537" spans="7:12" ht="15.75" customHeight="1">
      <c r="G537" s="150"/>
      <c r="L537" s="150"/>
    </row>
    <row r="538" spans="7:12" ht="15.75" customHeight="1">
      <c r="G538" s="150"/>
      <c r="L538" s="150"/>
    </row>
    <row r="539" spans="7:12" ht="15.75" customHeight="1">
      <c r="G539" s="150"/>
      <c r="L539" s="150"/>
    </row>
    <row r="540" spans="7:12" ht="15.75" customHeight="1">
      <c r="G540" s="150"/>
      <c r="L540" s="150"/>
    </row>
    <row r="541" spans="7:12" ht="15.75" customHeight="1">
      <c r="G541" s="150"/>
      <c r="L541" s="150"/>
    </row>
    <row r="542" spans="7:12" ht="15.75" customHeight="1">
      <c r="G542" s="150"/>
      <c r="L542" s="150"/>
    </row>
    <row r="543" spans="7:12" ht="15.75" customHeight="1">
      <c r="G543" s="150"/>
      <c r="L543" s="150"/>
    </row>
    <row r="544" spans="7:12" ht="15.75" customHeight="1">
      <c r="G544" s="150"/>
      <c r="L544" s="150"/>
    </row>
    <row r="545" spans="7:12" ht="15.75" customHeight="1">
      <c r="G545" s="150"/>
      <c r="L545" s="150"/>
    </row>
    <row r="546" spans="7:12" ht="15.75" customHeight="1">
      <c r="G546" s="150"/>
      <c r="L546" s="150"/>
    </row>
    <row r="547" spans="7:12" ht="15.75" customHeight="1">
      <c r="G547" s="150"/>
      <c r="L547" s="150"/>
    </row>
    <row r="548" spans="7:12" ht="15.75" customHeight="1">
      <c r="G548" s="150"/>
      <c r="L548" s="150"/>
    </row>
    <row r="549" spans="7:12" ht="15.75" customHeight="1">
      <c r="G549" s="150"/>
      <c r="L549" s="150"/>
    </row>
    <row r="550" spans="7:12" ht="15.75" customHeight="1">
      <c r="G550" s="150"/>
      <c r="L550" s="150"/>
    </row>
    <row r="551" spans="7:12" ht="15.75" customHeight="1">
      <c r="G551" s="150"/>
      <c r="L551" s="150"/>
    </row>
    <row r="552" spans="7:12" ht="15.75" customHeight="1">
      <c r="G552" s="150"/>
      <c r="L552" s="150"/>
    </row>
    <row r="553" spans="7:12" ht="15.75" customHeight="1">
      <c r="G553" s="150"/>
      <c r="L553" s="150"/>
    </row>
    <row r="554" spans="7:12" ht="15.75" customHeight="1">
      <c r="G554" s="150"/>
      <c r="L554" s="150"/>
    </row>
    <row r="555" spans="7:12" ht="15.75" customHeight="1">
      <c r="G555" s="150"/>
      <c r="L555" s="150"/>
    </row>
    <row r="556" spans="7:12" ht="15.75" customHeight="1">
      <c r="G556" s="150"/>
      <c r="L556" s="150"/>
    </row>
    <row r="557" spans="7:12" ht="15.75" customHeight="1">
      <c r="G557" s="150"/>
      <c r="L557" s="150"/>
    </row>
    <row r="558" spans="7:12" ht="15.75" customHeight="1">
      <c r="G558" s="150"/>
      <c r="L558" s="150"/>
    </row>
    <row r="559" spans="7:12" ht="15.75" customHeight="1">
      <c r="G559" s="150"/>
      <c r="L559" s="150"/>
    </row>
    <row r="560" spans="7:12" ht="15.75" customHeight="1">
      <c r="G560" s="150"/>
      <c r="L560" s="150"/>
    </row>
    <row r="561" spans="7:12" ht="15.75" customHeight="1">
      <c r="G561" s="150"/>
      <c r="L561" s="150"/>
    </row>
    <row r="562" spans="7:12" ht="15.75" customHeight="1">
      <c r="G562" s="150"/>
      <c r="L562" s="150"/>
    </row>
    <row r="563" spans="7:12" ht="15.75" customHeight="1">
      <c r="G563" s="150"/>
      <c r="L563" s="150"/>
    </row>
    <row r="564" spans="7:12" ht="15.75" customHeight="1">
      <c r="G564" s="150"/>
      <c r="L564" s="150"/>
    </row>
    <row r="565" spans="7:12" ht="15.75" customHeight="1">
      <c r="G565" s="150"/>
      <c r="L565" s="150"/>
    </row>
    <row r="566" spans="7:12" ht="15.75" customHeight="1">
      <c r="G566" s="150"/>
      <c r="L566" s="150"/>
    </row>
    <row r="567" spans="7:12" ht="15.75" customHeight="1">
      <c r="G567" s="150"/>
      <c r="L567" s="150"/>
    </row>
    <row r="568" spans="7:12" ht="15.75" customHeight="1">
      <c r="G568" s="150"/>
      <c r="L568" s="150"/>
    </row>
    <row r="569" spans="7:12" ht="15.75" customHeight="1">
      <c r="G569" s="150"/>
      <c r="L569" s="150"/>
    </row>
    <row r="570" spans="7:12" ht="15.75" customHeight="1">
      <c r="G570" s="150"/>
      <c r="L570" s="150"/>
    </row>
    <row r="571" spans="7:12" ht="15.75" customHeight="1">
      <c r="G571" s="150"/>
      <c r="L571" s="150"/>
    </row>
    <row r="572" spans="7:12" ht="15.75" customHeight="1">
      <c r="G572" s="150"/>
      <c r="L572" s="150"/>
    </row>
    <row r="573" spans="7:12" ht="15.75" customHeight="1">
      <c r="G573" s="150"/>
      <c r="L573" s="150"/>
    </row>
    <row r="574" spans="7:12" ht="15.75" customHeight="1">
      <c r="G574" s="150"/>
      <c r="L574" s="150"/>
    </row>
    <row r="575" spans="7:12" ht="15.75" customHeight="1">
      <c r="G575" s="150"/>
      <c r="L575" s="150"/>
    </row>
    <row r="576" spans="7:12" ht="15.75" customHeight="1">
      <c r="G576" s="150"/>
      <c r="L576" s="150"/>
    </row>
    <row r="577" spans="7:12" ht="15.75" customHeight="1">
      <c r="G577" s="150"/>
      <c r="L577" s="150"/>
    </row>
    <row r="578" spans="7:12" ht="15.75" customHeight="1">
      <c r="G578" s="150"/>
      <c r="L578" s="150"/>
    </row>
    <row r="579" spans="7:12" ht="15.75" customHeight="1">
      <c r="G579" s="150"/>
      <c r="L579" s="150"/>
    </row>
    <row r="580" spans="7:12" ht="15.75" customHeight="1">
      <c r="G580" s="150"/>
      <c r="L580" s="150"/>
    </row>
    <row r="581" spans="7:12" ht="15.75" customHeight="1">
      <c r="G581" s="150"/>
      <c r="L581" s="150"/>
    </row>
    <row r="582" spans="7:12" ht="15.75" customHeight="1">
      <c r="G582" s="150"/>
      <c r="L582" s="150"/>
    </row>
    <row r="583" spans="7:12" ht="15.75" customHeight="1">
      <c r="G583" s="150"/>
      <c r="L583" s="150"/>
    </row>
    <row r="584" spans="7:12" ht="15.75" customHeight="1">
      <c r="G584" s="150"/>
      <c r="L584" s="150"/>
    </row>
    <row r="585" spans="7:12" ht="15.75" customHeight="1">
      <c r="G585" s="150"/>
      <c r="L585" s="150"/>
    </row>
    <row r="586" spans="7:12" ht="15.75" customHeight="1">
      <c r="G586" s="150"/>
      <c r="L586" s="150"/>
    </row>
    <row r="587" spans="7:12" ht="15.75" customHeight="1">
      <c r="G587" s="150"/>
      <c r="L587" s="150"/>
    </row>
    <row r="588" spans="7:12" ht="15.75" customHeight="1">
      <c r="G588" s="150"/>
      <c r="L588" s="150"/>
    </row>
    <row r="589" spans="7:12" ht="15.75" customHeight="1">
      <c r="G589" s="150"/>
      <c r="L589" s="150"/>
    </row>
    <row r="590" spans="7:12" ht="15.75" customHeight="1">
      <c r="G590" s="150"/>
      <c r="L590" s="150"/>
    </row>
    <row r="591" spans="7:12" ht="15.75" customHeight="1">
      <c r="G591" s="150"/>
      <c r="L591" s="150"/>
    </row>
    <row r="592" spans="7:12" ht="15.75" customHeight="1">
      <c r="G592" s="150"/>
      <c r="L592" s="150"/>
    </row>
    <row r="593" spans="7:12" ht="15.75" customHeight="1">
      <c r="G593" s="150"/>
      <c r="L593" s="150"/>
    </row>
    <row r="594" spans="7:12" ht="15.75" customHeight="1">
      <c r="G594" s="150"/>
      <c r="L594" s="150"/>
    </row>
    <row r="595" spans="7:12" ht="15.75" customHeight="1">
      <c r="G595" s="150"/>
      <c r="L595" s="150"/>
    </row>
    <row r="596" spans="7:12" ht="15.75" customHeight="1">
      <c r="G596" s="150"/>
      <c r="L596" s="150"/>
    </row>
    <row r="597" spans="7:12" ht="15.75" customHeight="1">
      <c r="G597" s="150"/>
      <c r="L597" s="150"/>
    </row>
    <row r="598" spans="7:12" ht="15.75" customHeight="1">
      <c r="G598" s="150"/>
      <c r="L598" s="150"/>
    </row>
    <row r="599" spans="7:12" ht="15.75" customHeight="1">
      <c r="G599" s="150"/>
      <c r="L599" s="150"/>
    </row>
    <row r="600" spans="7:12" ht="15.75" customHeight="1">
      <c r="G600" s="150"/>
      <c r="L600" s="150"/>
    </row>
    <row r="601" spans="7:12" ht="15.75" customHeight="1">
      <c r="G601" s="150"/>
      <c r="L601" s="150"/>
    </row>
    <row r="602" spans="7:12" ht="15.75" customHeight="1">
      <c r="G602" s="150"/>
      <c r="L602" s="150"/>
    </row>
    <row r="603" spans="7:12" ht="15.75" customHeight="1">
      <c r="G603" s="150"/>
      <c r="L603" s="150"/>
    </row>
    <row r="604" spans="7:12" ht="15.75" customHeight="1">
      <c r="G604" s="150"/>
      <c r="L604" s="150"/>
    </row>
    <row r="605" spans="7:12" ht="15.75" customHeight="1">
      <c r="G605" s="150"/>
      <c r="L605" s="150"/>
    </row>
    <row r="606" spans="7:12" ht="15.75" customHeight="1">
      <c r="G606" s="150"/>
      <c r="L606" s="150"/>
    </row>
    <row r="607" spans="7:12" ht="15.75" customHeight="1">
      <c r="G607" s="150"/>
      <c r="L607" s="150"/>
    </row>
    <row r="608" spans="7:12" ht="15.75" customHeight="1">
      <c r="G608" s="150"/>
      <c r="L608" s="150"/>
    </row>
    <row r="609" spans="7:12" ht="15.75" customHeight="1">
      <c r="G609" s="150"/>
      <c r="L609" s="150"/>
    </row>
    <row r="610" spans="7:12" ht="15.75" customHeight="1">
      <c r="G610" s="150"/>
      <c r="L610" s="150"/>
    </row>
    <row r="611" spans="7:12" ht="15.75" customHeight="1">
      <c r="G611" s="150"/>
      <c r="L611" s="150"/>
    </row>
    <row r="612" spans="7:12" ht="15.75" customHeight="1">
      <c r="G612" s="150"/>
      <c r="L612" s="150"/>
    </row>
    <row r="613" spans="7:12" ht="15.75" customHeight="1">
      <c r="G613" s="150"/>
      <c r="L613" s="150"/>
    </row>
    <row r="614" spans="7:12" ht="15.75" customHeight="1">
      <c r="G614" s="150"/>
      <c r="L614" s="150"/>
    </row>
    <row r="615" spans="7:12" ht="15.75" customHeight="1">
      <c r="G615" s="150"/>
      <c r="L615" s="150"/>
    </row>
    <row r="616" spans="7:12" ht="15.75" customHeight="1">
      <c r="G616" s="150"/>
      <c r="L616" s="150"/>
    </row>
    <row r="617" spans="7:12" ht="15.75" customHeight="1">
      <c r="G617" s="150"/>
      <c r="L617" s="150"/>
    </row>
    <row r="618" spans="7:12" ht="15.75" customHeight="1">
      <c r="G618" s="150"/>
      <c r="L618" s="150"/>
    </row>
    <row r="619" spans="7:12" ht="15.75" customHeight="1">
      <c r="G619" s="150"/>
      <c r="L619" s="150"/>
    </row>
    <row r="620" spans="7:12" ht="15.75" customHeight="1">
      <c r="G620" s="150"/>
      <c r="L620" s="150"/>
    </row>
    <row r="621" spans="7:12" ht="15.75" customHeight="1">
      <c r="G621" s="150"/>
      <c r="L621" s="150"/>
    </row>
    <row r="622" spans="7:12" ht="15.75" customHeight="1">
      <c r="G622" s="150"/>
      <c r="L622" s="150"/>
    </row>
    <row r="623" spans="7:12" ht="15.75" customHeight="1">
      <c r="G623" s="150"/>
      <c r="L623" s="150"/>
    </row>
    <row r="624" spans="7:12" ht="15.75" customHeight="1">
      <c r="G624" s="150"/>
      <c r="L624" s="150"/>
    </row>
    <row r="625" spans="7:12" ht="15.75" customHeight="1">
      <c r="G625" s="150"/>
      <c r="L625" s="150"/>
    </row>
    <row r="626" spans="7:12" ht="15.75" customHeight="1">
      <c r="G626" s="150"/>
      <c r="L626" s="150"/>
    </row>
    <row r="627" spans="7:12" ht="15.75" customHeight="1">
      <c r="G627" s="150"/>
      <c r="L627" s="150"/>
    </row>
    <row r="628" spans="7:12" ht="15.75" customHeight="1">
      <c r="G628" s="150"/>
      <c r="L628" s="150"/>
    </row>
    <row r="629" spans="7:12" ht="15.75" customHeight="1">
      <c r="G629" s="150"/>
      <c r="L629" s="150"/>
    </row>
    <row r="630" spans="7:12" ht="15.75" customHeight="1">
      <c r="G630" s="150"/>
      <c r="L630" s="150"/>
    </row>
    <row r="631" spans="7:12" ht="15.75" customHeight="1">
      <c r="G631" s="150"/>
      <c r="L631" s="150"/>
    </row>
    <row r="632" spans="7:12" ht="15.75" customHeight="1">
      <c r="G632" s="150"/>
      <c r="L632" s="150"/>
    </row>
    <row r="633" spans="7:12" ht="15.75" customHeight="1">
      <c r="G633" s="150"/>
      <c r="L633" s="150"/>
    </row>
    <row r="634" spans="7:12" ht="15.75" customHeight="1">
      <c r="G634" s="150"/>
      <c r="L634" s="150"/>
    </row>
    <row r="635" spans="7:12" ht="15.75" customHeight="1">
      <c r="G635" s="150"/>
      <c r="L635" s="150"/>
    </row>
    <row r="636" spans="7:12" ht="15.75" customHeight="1">
      <c r="G636" s="150"/>
      <c r="L636" s="150"/>
    </row>
    <row r="637" spans="7:12" ht="15.75" customHeight="1">
      <c r="G637" s="150"/>
      <c r="L637" s="150"/>
    </row>
    <row r="638" spans="7:12" ht="15.75" customHeight="1">
      <c r="G638" s="150"/>
      <c r="L638" s="150"/>
    </row>
    <row r="639" spans="7:12" ht="15.75" customHeight="1">
      <c r="G639" s="150"/>
      <c r="L639" s="150"/>
    </row>
    <row r="640" spans="7:12" ht="15.75" customHeight="1">
      <c r="G640" s="150"/>
      <c r="L640" s="150"/>
    </row>
    <row r="641" spans="7:12" ht="15.75" customHeight="1">
      <c r="G641" s="150"/>
      <c r="L641" s="150"/>
    </row>
    <row r="642" spans="7:12" ht="15.75" customHeight="1">
      <c r="G642" s="150"/>
      <c r="L642" s="150"/>
    </row>
    <row r="643" spans="7:12" ht="15.75" customHeight="1">
      <c r="G643" s="150"/>
      <c r="L643" s="150"/>
    </row>
    <row r="644" spans="7:12" ht="15.75" customHeight="1">
      <c r="G644" s="150"/>
      <c r="L644" s="150"/>
    </row>
    <row r="645" spans="7:12" ht="15.75" customHeight="1">
      <c r="G645" s="150"/>
      <c r="L645" s="150"/>
    </row>
    <row r="646" spans="7:12" ht="15.75" customHeight="1">
      <c r="G646" s="150"/>
      <c r="L646" s="150"/>
    </row>
    <row r="647" spans="7:12" ht="15.75" customHeight="1">
      <c r="G647" s="150"/>
      <c r="L647" s="150"/>
    </row>
    <row r="648" spans="7:12" ht="15.75" customHeight="1">
      <c r="G648" s="150"/>
      <c r="L648" s="150"/>
    </row>
    <row r="649" spans="7:12" ht="15.75" customHeight="1">
      <c r="G649" s="150"/>
      <c r="L649" s="150"/>
    </row>
    <row r="650" spans="7:12" ht="15.75" customHeight="1">
      <c r="G650" s="150"/>
      <c r="L650" s="150"/>
    </row>
    <row r="651" spans="7:12" ht="15.75" customHeight="1">
      <c r="G651" s="150"/>
      <c r="L651" s="150"/>
    </row>
    <row r="652" spans="7:12" ht="15.75" customHeight="1">
      <c r="G652" s="150"/>
      <c r="L652" s="150"/>
    </row>
    <row r="653" spans="7:12" ht="15.75" customHeight="1">
      <c r="G653" s="150"/>
      <c r="L653" s="150"/>
    </row>
    <row r="654" spans="7:12" ht="15.75" customHeight="1">
      <c r="G654" s="150"/>
      <c r="L654" s="150"/>
    </row>
    <row r="655" spans="7:12" ht="15.75" customHeight="1">
      <c r="G655" s="150"/>
      <c r="L655" s="150"/>
    </row>
    <row r="656" spans="7:12" ht="15.75" customHeight="1">
      <c r="G656" s="150"/>
      <c r="L656" s="150"/>
    </row>
    <row r="657" spans="7:12" ht="15.75" customHeight="1">
      <c r="G657" s="150"/>
      <c r="L657" s="150"/>
    </row>
    <row r="658" spans="7:12" ht="15.75" customHeight="1">
      <c r="G658" s="150"/>
      <c r="L658" s="150"/>
    </row>
    <row r="659" spans="7:12" ht="15.75" customHeight="1">
      <c r="G659" s="150"/>
      <c r="L659" s="150"/>
    </row>
    <row r="660" spans="7:12" ht="15.75" customHeight="1">
      <c r="G660" s="150"/>
      <c r="L660" s="150"/>
    </row>
    <row r="661" spans="7:12" ht="15.75" customHeight="1">
      <c r="G661" s="150"/>
      <c r="L661" s="150"/>
    </row>
    <row r="662" spans="7:12" ht="15.75" customHeight="1">
      <c r="G662" s="150"/>
      <c r="L662" s="150"/>
    </row>
    <row r="663" spans="7:12" ht="15.75" customHeight="1">
      <c r="G663" s="150"/>
      <c r="L663" s="150"/>
    </row>
    <row r="664" spans="7:12" ht="15.75" customHeight="1">
      <c r="G664" s="150"/>
      <c r="L664" s="150"/>
    </row>
    <row r="665" spans="7:12" ht="15.75" customHeight="1">
      <c r="G665" s="150"/>
      <c r="L665" s="150"/>
    </row>
    <row r="666" spans="7:12" ht="15.75" customHeight="1">
      <c r="G666" s="150"/>
      <c r="L666" s="150"/>
    </row>
    <row r="667" spans="7:12" ht="15.75" customHeight="1">
      <c r="G667" s="150"/>
      <c r="L667" s="150"/>
    </row>
    <row r="668" spans="7:12" ht="15.75" customHeight="1">
      <c r="G668" s="150"/>
      <c r="L668" s="150"/>
    </row>
    <row r="669" spans="7:12" ht="15.75" customHeight="1">
      <c r="G669" s="150"/>
      <c r="L669" s="150"/>
    </row>
    <row r="670" spans="7:12" ht="15.75" customHeight="1">
      <c r="G670" s="150"/>
      <c r="L670" s="150"/>
    </row>
    <row r="671" spans="7:12" ht="15.75" customHeight="1">
      <c r="G671" s="150"/>
      <c r="L671" s="150"/>
    </row>
    <row r="672" spans="7:12" ht="15.75" customHeight="1">
      <c r="G672" s="150"/>
      <c r="L672" s="150"/>
    </row>
    <row r="673" spans="7:12" ht="15.75" customHeight="1">
      <c r="G673" s="150"/>
      <c r="L673" s="150"/>
    </row>
    <row r="674" spans="7:12" ht="15.75" customHeight="1">
      <c r="G674" s="150"/>
      <c r="L674" s="150"/>
    </row>
    <row r="675" spans="7:12" ht="15.75" customHeight="1">
      <c r="G675" s="150"/>
      <c r="L675" s="150"/>
    </row>
    <row r="676" spans="7:12" ht="15.75" customHeight="1">
      <c r="G676" s="150"/>
      <c r="L676" s="150"/>
    </row>
    <row r="677" spans="7:12" ht="15.75" customHeight="1">
      <c r="G677" s="150"/>
      <c r="L677" s="150"/>
    </row>
    <row r="678" spans="7:12" ht="15.75" customHeight="1">
      <c r="G678" s="150"/>
      <c r="L678" s="150"/>
    </row>
    <row r="679" spans="7:12" ht="15.75" customHeight="1">
      <c r="G679" s="150"/>
      <c r="L679" s="150"/>
    </row>
    <row r="680" spans="7:12" ht="15.75" customHeight="1">
      <c r="G680" s="150"/>
      <c r="L680" s="150"/>
    </row>
    <row r="681" spans="7:12" ht="15.75" customHeight="1">
      <c r="G681" s="150"/>
      <c r="L681" s="150"/>
    </row>
    <row r="682" spans="7:12" ht="15.75" customHeight="1">
      <c r="G682" s="150"/>
      <c r="L682" s="150"/>
    </row>
    <row r="683" spans="7:12" ht="15.75" customHeight="1">
      <c r="G683" s="150"/>
      <c r="L683" s="150"/>
    </row>
    <row r="684" spans="7:12" ht="15.75" customHeight="1">
      <c r="G684" s="150"/>
      <c r="L684" s="150"/>
    </row>
    <row r="685" spans="7:12" ht="15.75" customHeight="1">
      <c r="G685" s="150"/>
      <c r="L685" s="150"/>
    </row>
    <row r="686" spans="7:12" ht="15.75" customHeight="1">
      <c r="G686" s="150"/>
      <c r="L686" s="150"/>
    </row>
    <row r="687" spans="7:12" ht="15.75" customHeight="1">
      <c r="G687" s="150"/>
      <c r="L687" s="150"/>
    </row>
    <row r="688" spans="7:12" ht="15.75" customHeight="1">
      <c r="G688" s="150"/>
      <c r="L688" s="150"/>
    </row>
    <row r="689" spans="7:12" ht="15.75" customHeight="1">
      <c r="G689" s="150"/>
      <c r="L689" s="150"/>
    </row>
    <row r="690" spans="7:12" ht="15.75" customHeight="1">
      <c r="G690" s="150"/>
      <c r="L690" s="150"/>
    </row>
    <row r="691" spans="7:12" ht="15.75" customHeight="1">
      <c r="G691" s="150"/>
      <c r="L691" s="150"/>
    </row>
    <row r="692" spans="7:12" ht="15.75" customHeight="1">
      <c r="G692" s="150"/>
      <c r="L692" s="150"/>
    </row>
    <row r="693" spans="7:12" ht="15.75" customHeight="1">
      <c r="G693" s="150"/>
      <c r="L693" s="150"/>
    </row>
    <row r="694" spans="7:12" ht="15.75" customHeight="1">
      <c r="G694" s="150"/>
      <c r="L694" s="150"/>
    </row>
    <row r="695" spans="7:12" ht="15.75" customHeight="1">
      <c r="G695" s="150"/>
      <c r="L695" s="150"/>
    </row>
    <row r="696" spans="7:12" ht="15.75" customHeight="1">
      <c r="G696" s="150"/>
      <c r="L696" s="150"/>
    </row>
    <row r="697" spans="7:12" ht="15.75" customHeight="1">
      <c r="G697" s="150"/>
      <c r="L697" s="150"/>
    </row>
    <row r="698" spans="7:12" ht="15.75" customHeight="1">
      <c r="G698" s="150"/>
      <c r="L698" s="150"/>
    </row>
    <row r="699" spans="7:12" ht="15.75" customHeight="1">
      <c r="G699" s="150"/>
      <c r="L699" s="150"/>
    </row>
    <row r="700" spans="7:12" ht="15.75" customHeight="1">
      <c r="G700" s="150"/>
      <c r="L700" s="150"/>
    </row>
    <row r="701" spans="7:12" ht="15.75" customHeight="1">
      <c r="G701" s="150"/>
      <c r="L701" s="150"/>
    </row>
    <row r="702" spans="7:12" ht="15.75" customHeight="1">
      <c r="G702" s="150"/>
      <c r="L702" s="150"/>
    </row>
    <row r="703" spans="7:12" ht="15.75" customHeight="1">
      <c r="G703" s="150"/>
      <c r="L703" s="150"/>
    </row>
    <row r="704" spans="7:12" ht="15.75" customHeight="1">
      <c r="G704" s="150"/>
      <c r="L704" s="150"/>
    </row>
    <row r="705" spans="7:12" ht="15.75" customHeight="1">
      <c r="G705" s="150"/>
      <c r="L705" s="150"/>
    </row>
    <row r="706" spans="7:12" ht="15.75" customHeight="1">
      <c r="G706" s="150"/>
      <c r="L706" s="150"/>
    </row>
    <row r="707" spans="7:12" ht="15.75" customHeight="1">
      <c r="G707" s="150"/>
      <c r="L707" s="150"/>
    </row>
    <row r="708" spans="7:12" ht="15.75" customHeight="1">
      <c r="G708" s="150"/>
      <c r="L708" s="150"/>
    </row>
    <row r="709" spans="7:12" ht="15.75" customHeight="1">
      <c r="G709" s="150"/>
      <c r="L709" s="150"/>
    </row>
    <row r="710" spans="7:12" ht="15.75" customHeight="1">
      <c r="G710" s="150"/>
      <c r="L710" s="150"/>
    </row>
    <row r="711" spans="7:12" ht="15.75" customHeight="1">
      <c r="G711" s="150"/>
      <c r="L711" s="150"/>
    </row>
    <row r="712" spans="7:12" ht="15.75" customHeight="1">
      <c r="G712" s="150"/>
      <c r="L712" s="150"/>
    </row>
    <row r="713" spans="7:12" ht="15.75" customHeight="1">
      <c r="G713" s="150"/>
      <c r="L713" s="150"/>
    </row>
    <row r="714" spans="7:12" ht="15.75" customHeight="1">
      <c r="G714" s="150"/>
      <c r="L714" s="150"/>
    </row>
    <row r="715" spans="7:12" ht="15.75" customHeight="1">
      <c r="G715" s="150"/>
      <c r="L715" s="150"/>
    </row>
    <row r="716" spans="7:12" ht="15.75" customHeight="1">
      <c r="G716" s="150"/>
      <c r="L716" s="150"/>
    </row>
    <row r="717" spans="7:12" ht="15.75" customHeight="1">
      <c r="G717" s="150"/>
      <c r="L717" s="150"/>
    </row>
    <row r="718" spans="7:12" ht="15.75" customHeight="1">
      <c r="G718" s="150"/>
      <c r="L718" s="150"/>
    </row>
    <row r="719" spans="7:12" ht="15.75" customHeight="1">
      <c r="G719" s="150"/>
      <c r="L719" s="150"/>
    </row>
    <row r="720" spans="7:12" ht="15.75" customHeight="1">
      <c r="G720" s="150"/>
      <c r="L720" s="150"/>
    </row>
    <row r="721" spans="7:12" ht="15.75" customHeight="1">
      <c r="G721" s="150"/>
      <c r="L721" s="150"/>
    </row>
    <row r="722" spans="7:12" ht="15.75" customHeight="1">
      <c r="G722" s="150"/>
      <c r="L722" s="150"/>
    </row>
    <row r="723" spans="7:12" ht="15.75" customHeight="1">
      <c r="G723" s="150"/>
      <c r="L723" s="150"/>
    </row>
    <row r="724" spans="7:12" ht="15.75" customHeight="1">
      <c r="G724" s="150"/>
      <c r="L724" s="150"/>
    </row>
    <row r="725" spans="7:12" ht="15.75" customHeight="1">
      <c r="G725" s="150"/>
      <c r="L725" s="150"/>
    </row>
    <row r="726" spans="7:12" ht="15.75" customHeight="1">
      <c r="G726" s="150"/>
      <c r="L726" s="150"/>
    </row>
    <row r="727" spans="7:12" ht="15.75" customHeight="1">
      <c r="G727" s="150"/>
      <c r="L727" s="150"/>
    </row>
    <row r="728" spans="7:12" ht="15.75" customHeight="1">
      <c r="G728" s="150"/>
      <c r="L728" s="150"/>
    </row>
    <row r="729" spans="7:12" ht="15.75" customHeight="1">
      <c r="G729" s="150"/>
      <c r="L729" s="150"/>
    </row>
    <row r="730" spans="7:12" ht="15.75" customHeight="1">
      <c r="G730" s="150"/>
      <c r="L730" s="150"/>
    </row>
    <row r="731" spans="7:12" ht="15.75" customHeight="1">
      <c r="G731" s="150"/>
      <c r="L731" s="150"/>
    </row>
    <row r="732" spans="7:12" ht="15.75" customHeight="1">
      <c r="G732" s="150"/>
      <c r="L732" s="150"/>
    </row>
    <row r="733" spans="7:12" ht="15.75" customHeight="1">
      <c r="G733" s="150"/>
      <c r="L733" s="150"/>
    </row>
    <row r="734" spans="7:12" ht="15.75" customHeight="1">
      <c r="G734" s="150"/>
      <c r="L734" s="150"/>
    </row>
    <row r="735" spans="7:12" ht="15.75" customHeight="1">
      <c r="G735" s="150"/>
      <c r="L735" s="150"/>
    </row>
    <row r="736" spans="7:12" ht="15.75" customHeight="1">
      <c r="G736" s="150"/>
      <c r="L736" s="150"/>
    </row>
    <row r="737" spans="7:12" ht="15.75" customHeight="1">
      <c r="G737" s="150"/>
      <c r="L737" s="150"/>
    </row>
    <row r="738" spans="7:12" ht="15.75" customHeight="1">
      <c r="G738" s="150"/>
      <c r="L738" s="150"/>
    </row>
    <row r="739" spans="7:12" ht="15.75" customHeight="1">
      <c r="G739" s="150"/>
      <c r="L739" s="150"/>
    </row>
    <row r="740" spans="7:12" ht="15.75" customHeight="1">
      <c r="G740" s="150"/>
      <c r="L740" s="150"/>
    </row>
    <row r="741" spans="7:12" ht="15.75" customHeight="1">
      <c r="G741" s="150"/>
      <c r="L741" s="150"/>
    </row>
    <row r="742" spans="7:12" ht="15.75" customHeight="1">
      <c r="G742" s="150"/>
      <c r="L742" s="150"/>
    </row>
    <row r="743" spans="7:12" ht="15.75" customHeight="1">
      <c r="G743" s="150"/>
      <c r="L743" s="150"/>
    </row>
    <row r="744" spans="7:12" ht="15.75" customHeight="1">
      <c r="G744" s="150"/>
      <c r="L744" s="150"/>
    </row>
    <row r="745" spans="7:12" ht="15.75" customHeight="1">
      <c r="G745" s="150"/>
      <c r="L745" s="150"/>
    </row>
    <row r="746" spans="7:12" ht="15.75" customHeight="1">
      <c r="G746" s="150"/>
      <c r="L746" s="150"/>
    </row>
    <row r="747" spans="7:12" ht="15.75" customHeight="1">
      <c r="G747" s="150"/>
      <c r="L747" s="150"/>
    </row>
    <row r="748" spans="7:12" ht="15.75" customHeight="1">
      <c r="G748" s="150"/>
      <c r="L748" s="150"/>
    </row>
    <row r="749" spans="7:12" ht="15.75" customHeight="1">
      <c r="G749" s="150"/>
      <c r="L749" s="150"/>
    </row>
    <row r="750" spans="7:12" ht="15.75" customHeight="1">
      <c r="G750" s="150"/>
      <c r="L750" s="150"/>
    </row>
    <row r="751" spans="7:12" ht="15.75" customHeight="1">
      <c r="G751" s="150"/>
      <c r="L751" s="150"/>
    </row>
    <row r="752" spans="7:12" ht="15.75" customHeight="1">
      <c r="G752" s="150"/>
      <c r="L752" s="150"/>
    </row>
    <row r="753" spans="7:12" ht="15.75" customHeight="1">
      <c r="G753" s="150"/>
      <c r="L753" s="150"/>
    </row>
    <row r="754" spans="7:12" ht="15.75" customHeight="1">
      <c r="G754" s="150"/>
      <c r="L754" s="150"/>
    </row>
    <row r="755" spans="7:12" ht="15.75" customHeight="1">
      <c r="G755" s="150"/>
      <c r="L755" s="150"/>
    </row>
    <row r="756" spans="7:12" ht="15.75" customHeight="1">
      <c r="G756" s="150"/>
      <c r="L756" s="150"/>
    </row>
    <row r="757" spans="7:12" ht="15.75" customHeight="1">
      <c r="G757" s="150"/>
      <c r="L757" s="150"/>
    </row>
    <row r="758" spans="7:12" ht="15.75" customHeight="1">
      <c r="G758" s="150"/>
      <c r="L758" s="150"/>
    </row>
    <row r="759" spans="7:12" ht="15.75" customHeight="1">
      <c r="G759" s="150"/>
      <c r="L759" s="150"/>
    </row>
    <row r="760" spans="7:12" ht="15.75" customHeight="1">
      <c r="G760" s="150"/>
      <c r="L760" s="150"/>
    </row>
    <row r="761" spans="7:12" ht="15.75" customHeight="1">
      <c r="G761" s="150"/>
      <c r="L761" s="150"/>
    </row>
    <row r="762" spans="7:12" ht="15.75" customHeight="1">
      <c r="G762" s="150"/>
      <c r="L762" s="150"/>
    </row>
    <row r="763" spans="7:12" ht="15.75" customHeight="1">
      <c r="G763" s="150"/>
      <c r="L763" s="150"/>
    </row>
    <row r="764" spans="7:12" ht="15.75" customHeight="1">
      <c r="G764" s="150"/>
      <c r="L764" s="150"/>
    </row>
    <row r="765" spans="7:12" ht="15.75" customHeight="1">
      <c r="G765" s="150"/>
      <c r="L765" s="150"/>
    </row>
    <row r="766" spans="7:12" ht="15.75" customHeight="1">
      <c r="G766" s="150"/>
      <c r="L766" s="150"/>
    </row>
    <row r="767" spans="7:12" ht="15.75" customHeight="1">
      <c r="G767" s="150"/>
      <c r="L767" s="150"/>
    </row>
    <row r="768" spans="7:12" ht="15.75" customHeight="1">
      <c r="G768" s="150"/>
      <c r="L768" s="150"/>
    </row>
    <row r="769" spans="7:12" ht="15.75" customHeight="1">
      <c r="G769" s="150"/>
      <c r="L769" s="150"/>
    </row>
    <row r="770" spans="7:12" ht="15.75" customHeight="1">
      <c r="G770" s="150"/>
      <c r="L770" s="150"/>
    </row>
    <row r="771" spans="7:12" ht="15.75" customHeight="1">
      <c r="G771" s="150"/>
      <c r="L771" s="150"/>
    </row>
    <row r="772" spans="7:12" ht="15.75" customHeight="1">
      <c r="G772" s="150"/>
      <c r="L772" s="150"/>
    </row>
    <row r="773" spans="7:12" ht="15.75" customHeight="1">
      <c r="G773" s="150"/>
      <c r="L773" s="150"/>
    </row>
    <row r="774" spans="7:12" ht="15.75" customHeight="1">
      <c r="G774" s="150"/>
      <c r="L774" s="150"/>
    </row>
    <row r="775" spans="7:12" ht="15.75" customHeight="1">
      <c r="G775" s="150"/>
      <c r="L775" s="150"/>
    </row>
    <row r="776" spans="7:12" ht="15.75" customHeight="1">
      <c r="G776" s="150"/>
      <c r="L776" s="150"/>
    </row>
    <row r="777" spans="7:12" ht="15.75" customHeight="1">
      <c r="G777" s="150"/>
      <c r="L777" s="150"/>
    </row>
    <row r="778" spans="7:12" ht="15.75" customHeight="1">
      <c r="G778" s="150"/>
      <c r="L778" s="150"/>
    </row>
    <row r="779" spans="7:12" ht="15.75" customHeight="1">
      <c r="G779" s="150"/>
      <c r="L779" s="150"/>
    </row>
    <row r="780" spans="7:12" ht="15.75" customHeight="1">
      <c r="G780" s="150"/>
      <c r="L780" s="150"/>
    </row>
    <row r="781" spans="7:12" ht="15.75" customHeight="1">
      <c r="G781" s="150"/>
      <c r="L781" s="150"/>
    </row>
    <row r="782" spans="7:12" ht="15.75" customHeight="1">
      <c r="G782" s="150"/>
      <c r="L782" s="150"/>
    </row>
    <row r="783" spans="7:12" ht="15.75" customHeight="1">
      <c r="G783" s="150"/>
      <c r="L783" s="150"/>
    </row>
    <row r="784" spans="7:12" ht="15.75" customHeight="1">
      <c r="G784" s="150"/>
      <c r="L784" s="150"/>
    </row>
    <row r="785" spans="7:12" ht="15.75" customHeight="1">
      <c r="G785" s="150"/>
      <c r="L785" s="150"/>
    </row>
    <row r="786" spans="7:12" ht="15.75" customHeight="1">
      <c r="G786" s="150"/>
      <c r="L786" s="150"/>
    </row>
    <row r="787" spans="7:12" ht="15.75" customHeight="1">
      <c r="G787" s="150"/>
      <c r="L787" s="150"/>
    </row>
    <row r="788" spans="7:12" ht="15.75" customHeight="1">
      <c r="G788" s="150"/>
      <c r="L788" s="150"/>
    </row>
    <row r="789" spans="7:12" ht="15.75" customHeight="1">
      <c r="G789" s="150"/>
      <c r="L789" s="150"/>
    </row>
    <row r="790" spans="7:12" ht="15.75" customHeight="1">
      <c r="G790" s="150"/>
      <c r="L790" s="150"/>
    </row>
    <row r="791" spans="7:12" ht="15.75" customHeight="1">
      <c r="G791" s="150"/>
      <c r="L791" s="150"/>
    </row>
    <row r="792" spans="7:12" ht="15.75" customHeight="1">
      <c r="G792" s="150"/>
      <c r="L792" s="150"/>
    </row>
    <row r="793" spans="7:12" ht="15.75" customHeight="1">
      <c r="G793" s="150"/>
      <c r="L793" s="150"/>
    </row>
    <row r="794" spans="7:12" ht="15.75" customHeight="1">
      <c r="G794" s="150"/>
      <c r="L794" s="150"/>
    </row>
    <row r="795" spans="7:12" ht="15.75" customHeight="1">
      <c r="G795" s="150"/>
      <c r="L795" s="150"/>
    </row>
    <row r="796" spans="7:12" ht="15.75" customHeight="1">
      <c r="G796" s="150"/>
      <c r="L796" s="150"/>
    </row>
    <row r="797" spans="7:12" ht="15.75" customHeight="1">
      <c r="G797" s="150"/>
      <c r="L797" s="150"/>
    </row>
    <row r="798" spans="7:12" ht="15.75" customHeight="1">
      <c r="G798" s="150"/>
      <c r="L798" s="150"/>
    </row>
    <row r="799" spans="7:12" ht="15.75" customHeight="1">
      <c r="G799" s="150"/>
      <c r="L799" s="150"/>
    </row>
    <row r="800" spans="7:12" ht="15.75" customHeight="1">
      <c r="G800" s="150"/>
      <c r="L800" s="150"/>
    </row>
    <row r="801" spans="7:12" ht="15.75" customHeight="1">
      <c r="G801" s="150"/>
      <c r="L801" s="150"/>
    </row>
    <row r="802" spans="7:12" ht="15.75" customHeight="1">
      <c r="G802" s="150"/>
      <c r="L802" s="150"/>
    </row>
    <row r="803" spans="7:12" ht="15.75" customHeight="1">
      <c r="G803" s="150"/>
      <c r="L803" s="150"/>
    </row>
    <row r="804" spans="7:12" ht="15.75" customHeight="1">
      <c r="G804" s="150"/>
      <c r="L804" s="150"/>
    </row>
    <row r="805" spans="7:12" ht="15.75" customHeight="1">
      <c r="G805" s="150"/>
      <c r="L805" s="150"/>
    </row>
    <row r="806" spans="7:12" ht="15.75" customHeight="1">
      <c r="G806" s="150"/>
      <c r="L806" s="150"/>
    </row>
    <row r="807" spans="7:12" ht="15.75" customHeight="1">
      <c r="G807" s="150"/>
      <c r="L807" s="150"/>
    </row>
    <row r="808" spans="7:12" ht="15.75" customHeight="1">
      <c r="G808" s="150"/>
      <c r="L808" s="150"/>
    </row>
    <row r="809" spans="7:12" ht="15.75" customHeight="1">
      <c r="G809" s="150"/>
      <c r="L809" s="150"/>
    </row>
    <row r="810" spans="7:12" ht="15.75" customHeight="1">
      <c r="G810" s="150"/>
      <c r="L810" s="150"/>
    </row>
    <row r="811" spans="7:12" ht="15.75" customHeight="1">
      <c r="G811" s="150"/>
      <c r="L811" s="150"/>
    </row>
    <row r="812" spans="7:12" ht="15.75" customHeight="1">
      <c r="G812" s="150"/>
      <c r="L812" s="150"/>
    </row>
    <row r="813" spans="7:12" ht="15.75" customHeight="1">
      <c r="G813" s="150"/>
      <c r="L813" s="150"/>
    </row>
    <row r="814" spans="7:12" ht="15.75" customHeight="1">
      <c r="G814" s="150"/>
      <c r="L814" s="150"/>
    </row>
    <row r="815" spans="7:12" ht="15.75" customHeight="1">
      <c r="G815" s="150"/>
      <c r="L815" s="150"/>
    </row>
    <row r="816" spans="7:12" ht="15.75" customHeight="1">
      <c r="G816" s="150"/>
      <c r="L816" s="150"/>
    </row>
    <row r="817" spans="7:12" ht="15.75" customHeight="1">
      <c r="G817" s="150"/>
      <c r="L817" s="150"/>
    </row>
    <row r="818" spans="7:12" ht="15.75" customHeight="1">
      <c r="G818" s="150"/>
      <c r="L818" s="150"/>
    </row>
    <row r="819" spans="7:12" ht="15.75" customHeight="1">
      <c r="G819" s="150"/>
      <c r="L819" s="150"/>
    </row>
    <row r="820" spans="7:12" ht="15.75" customHeight="1">
      <c r="G820" s="150"/>
      <c r="L820" s="150"/>
    </row>
    <row r="821" spans="7:12" ht="15.75" customHeight="1">
      <c r="G821" s="150"/>
      <c r="L821" s="150"/>
    </row>
    <row r="822" spans="7:12" ht="15.75" customHeight="1">
      <c r="G822" s="150"/>
      <c r="L822" s="150"/>
    </row>
    <row r="823" spans="7:12" ht="15.75" customHeight="1">
      <c r="G823" s="150"/>
      <c r="L823" s="150"/>
    </row>
    <row r="824" spans="7:12" ht="15.75" customHeight="1">
      <c r="G824" s="150"/>
      <c r="L824" s="150"/>
    </row>
    <row r="825" spans="7:12" ht="15.75" customHeight="1">
      <c r="G825" s="150"/>
      <c r="L825" s="150"/>
    </row>
    <row r="826" spans="7:12" ht="15.75" customHeight="1">
      <c r="G826" s="150"/>
      <c r="L826" s="150"/>
    </row>
    <row r="827" spans="7:12" ht="15.75" customHeight="1">
      <c r="G827" s="150"/>
      <c r="L827" s="150"/>
    </row>
    <row r="828" spans="7:12" ht="15.75" customHeight="1">
      <c r="G828" s="150"/>
      <c r="L828" s="150"/>
    </row>
    <row r="829" spans="7:12" ht="15.75" customHeight="1">
      <c r="G829" s="150"/>
      <c r="L829" s="150"/>
    </row>
    <row r="830" spans="7:12" ht="15.75" customHeight="1">
      <c r="G830" s="150"/>
      <c r="L830" s="150"/>
    </row>
    <row r="831" spans="7:12" ht="15.75" customHeight="1">
      <c r="G831" s="150"/>
      <c r="L831" s="150"/>
    </row>
    <row r="832" spans="7:12" ht="15.75" customHeight="1">
      <c r="G832" s="150"/>
      <c r="L832" s="150"/>
    </row>
    <row r="833" spans="7:12" ht="15.75" customHeight="1">
      <c r="G833" s="150"/>
      <c r="L833" s="150"/>
    </row>
    <row r="834" spans="7:12" ht="15.75" customHeight="1">
      <c r="G834" s="150"/>
      <c r="L834" s="150"/>
    </row>
    <row r="835" spans="7:12" ht="15.75" customHeight="1">
      <c r="G835" s="150"/>
      <c r="L835" s="150"/>
    </row>
    <row r="836" spans="7:12" ht="15.75" customHeight="1">
      <c r="G836" s="150"/>
      <c r="L836" s="150"/>
    </row>
    <row r="837" spans="7:12" ht="15.75" customHeight="1">
      <c r="G837" s="150"/>
      <c r="L837" s="150"/>
    </row>
    <row r="838" spans="7:12" ht="15.75" customHeight="1">
      <c r="G838" s="150"/>
      <c r="L838" s="150"/>
    </row>
    <row r="839" spans="7:12" ht="15.75" customHeight="1">
      <c r="G839" s="150"/>
      <c r="L839" s="150"/>
    </row>
    <row r="840" spans="7:12" ht="15.75" customHeight="1">
      <c r="G840" s="150"/>
      <c r="L840" s="150"/>
    </row>
    <row r="841" spans="7:12" ht="15.75" customHeight="1">
      <c r="G841" s="150"/>
      <c r="L841" s="150"/>
    </row>
    <row r="842" spans="7:12" ht="15.75" customHeight="1">
      <c r="G842" s="150"/>
      <c r="L842" s="150"/>
    </row>
    <row r="843" spans="7:12" ht="15.75" customHeight="1">
      <c r="G843" s="150"/>
      <c r="L843" s="150"/>
    </row>
    <row r="844" spans="7:12" ht="15.75" customHeight="1">
      <c r="G844" s="150"/>
      <c r="L844" s="150"/>
    </row>
    <row r="845" spans="7:12" ht="15.75" customHeight="1">
      <c r="G845" s="150"/>
      <c r="L845" s="150"/>
    </row>
    <row r="846" spans="7:12" ht="15.75" customHeight="1">
      <c r="G846" s="150"/>
      <c r="L846" s="150"/>
    </row>
    <row r="847" spans="7:12" ht="15.75" customHeight="1">
      <c r="G847" s="150"/>
      <c r="L847" s="150"/>
    </row>
    <row r="848" spans="7:12" ht="15.75" customHeight="1">
      <c r="G848" s="150"/>
      <c r="L848" s="150"/>
    </row>
    <row r="849" spans="7:12" ht="15.75" customHeight="1">
      <c r="G849" s="150"/>
      <c r="L849" s="150"/>
    </row>
    <row r="850" spans="7:12" ht="15.75" customHeight="1">
      <c r="G850" s="150"/>
      <c r="L850" s="150"/>
    </row>
    <row r="851" spans="7:12" ht="15.75" customHeight="1">
      <c r="G851" s="150"/>
      <c r="L851" s="150"/>
    </row>
    <row r="852" spans="7:12" ht="15.75" customHeight="1">
      <c r="G852" s="150"/>
      <c r="L852" s="150"/>
    </row>
    <row r="853" spans="7:12" ht="15.75" customHeight="1">
      <c r="G853" s="150"/>
      <c r="L853" s="150"/>
    </row>
    <row r="854" spans="7:12" ht="15.75" customHeight="1">
      <c r="G854" s="150"/>
      <c r="L854" s="150"/>
    </row>
    <row r="855" spans="7:12" ht="15.75" customHeight="1">
      <c r="G855" s="150"/>
      <c r="L855" s="150"/>
    </row>
    <row r="856" spans="7:12" ht="15.75" customHeight="1">
      <c r="G856" s="150"/>
      <c r="L856" s="150"/>
    </row>
    <row r="857" spans="7:12" ht="15.75" customHeight="1">
      <c r="G857" s="150"/>
      <c r="L857" s="150"/>
    </row>
    <row r="858" spans="7:12" ht="15.75" customHeight="1">
      <c r="G858" s="150"/>
      <c r="L858" s="150"/>
    </row>
    <row r="859" spans="7:12" ht="15.75" customHeight="1">
      <c r="G859" s="150"/>
      <c r="L859" s="150"/>
    </row>
    <row r="860" spans="7:12" ht="15.75" customHeight="1">
      <c r="G860" s="150"/>
      <c r="L860" s="150"/>
    </row>
    <row r="861" spans="7:12" ht="15.75" customHeight="1">
      <c r="G861" s="150"/>
      <c r="L861" s="150"/>
    </row>
    <row r="862" spans="7:12" ht="15.75" customHeight="1">
      <c r="G862" s="150"/>
      <c r="L862" s="150"/>
    </row>
    <row r="863" spans="7:12" ht="15.75" customHeight="1">
      <c r="G863" s="150"/>
      <c r="L863" s="150"/>
    </row>
    <row r="864" spans="7:12" ht="15.75" customHeight="1">
      <c r="G864" s="150"/>
      <c r="L864" s="150"/>
    </row>
    <row r="865" spans="7:12" ht="15.75" customHeight="1">
      <c r="G865" s="150"/>
      <c r="L865" s="150"/>
    </row>
    <row r="866" spans="7:12" ht="15.75" customHeight="1">
      <c r="G866" s="150"/>
      <c r="L866" s="150"/>
    </row>
    <row r="867" spans="7:12" ht="15.75" customHeight="1">
      <c r="G867" s="150"/>
      <c r="L867" s="150"/>
    </row>
    <row r="868" spans="7:12" ht="15.75" customHeight="1">
      <c r="G868" s="150"/>
      <c r="L868" s="150"/>
    </row>
    <row r="869" spans="7:12" ht="15.75" customHeight="1">
      <c r="G869" s="150"/>
      <c r="L869" s="150"/>
    </row>
    <row r="870" spans="7:12" ht="15.75" customHeight="1">
      <c r="G870" s="150"/>
      <c r="L870" s="150"/>
    </row>
    <row r="871" spans="7:12" ht="15.75" customHeight="1">
      <c r="G871" s="150"/>
      <c r="L871" s="150"/>
    </row>
    <row r="872" spans="7:12" ht="15.75" customHeight="1">
      <c r="G872" s="150"/>
      <c r="L872" s="150"/>
    </row>
    <row r="873" spans="7:12" ht="15.75" customHeight="1">
      <c r="G873" s="150"/>
      <c r="L873" s="150"/>
    </row>
    <row r="874" spans="7:12" ht="15.75" customHeight="1">
      <c r="G874" s="150"/>
      <c r="L874" s="150"/>
    </row>
    <row r="875" spans="7:12" ht="15.75" customHeight="1">
      <c r="G875" s="150"/>
      <c r="L875" s="150"/>
    </row>
    <row r="876" spans="7:12" ht="15.75" customHeight="1">
      <c r="G876" s="150"/>
      <c r="L876" s="150"/>
    </row>
    <row r="877" spans="7:12" ht="15.75" customHeight="1">
      <c r="G877" s="150"/>
      <c r="L877" s="150"/>
    </row>
    <row r="878" spans="7:12" ht="15.75" customHeight="1">
      <c r="G878" s="150"/>
      <c r="L878" s="150"/>
    </row>
    <row r="879" spans="7:12" ht="15.75" customHeight="1">
      <c r="G879" s="150"/>
      <c r="L879" s="150"/>
    </row>
    <row r="880" spans="7:12" ht="15.75" customHeight="1">
      <c r="G880" s="150"/>
      <c r="L880" s="150"/>
    </row>
    <row r="881" spans="7:12" ht="15.75" customHeight="1">
      <c r="G881" s="150"/>
      <c r="L881" s="150"/>
    </row>
    <row r="882" spans="7:12" ht="15.75" customHeight="1">
      <c r="G882" s="150"/>
      <c r="L882" s="150"/>
    </row>
    <row r="883" spans="7:12" ht="15.75" customHeight="1">
      <c r="G883" s="150"/>
      <c r="L883" s="150"/>
    </row>
    <row r="884" spans="7:12" ht="15.75" customHeight="1">
      <c r="G884" s="150"/>
      <c r="L884" s="150"/>
    </row>
    <row r="885" spans="7:12" ht="15.75" customHeight="1">
      <c r="G885" s="150"/>
      <c r="L885" s="150"/>
    </row>
    <row r="886" spans="7:12" ht="15.75" customHeight="1">
      <c r="G886" s="150"/>
      <c r="L886" s="150"/>
    </row>
    <row r="887" spans="7:12" ht="15.75" customHeight="1">
      <c r="G887" s="150"/>
      <c r="L887" s="150"/>
    </row>
    <row r="888" spans="7:12" ht="15.75" customHeight="1">
      <c r="G888" s="150"/>
      <c r="L888" s="150"/>
    </row>
    <row r="889" spans="7:12" ht="15.75" customHeight="1">
      <c r="G889" s="150"/>
      <c r="L889" s="150"/>
    </row>
    <row r="890" spans="7:12" ht="15.75" customHeight="1">
      <c r="G890" s="150"/>
      <c r="L890" s="150"/>
    </row>
    <row r="891" spans="7:12" ht="15.75" customHeight="1">
      <c r="G891" s="150"/>
      <c r="L891" s="150"/>
    </row>
    <row r="892" spans="7:12" ht="15.75" customHeight="1">
      <c r="G892" s="150"/>
      <c r="L892" s="150"/>
    </row>
    <row r="893" spans="7:12" ht="15.75" customHeight="1">
      <c r="G893" s="150"/>
      <c r="L893" s="150"/>
    </row>
    <row r="894" spans="7:12" ht="15.75" customHeight="1">
      <c r="G894" s="150"/>
      <c r="L894" s="150"/>
    </row>
    <row r="895" spans="7:12" ht="15.75" customHeight="1">
      <c r="G895" s="150"/>
      <c r="L895" s="150"/>
    </row>
    <row r="896" spans="7:12" ht="15.75" customHeight="1">
      <c r="G896" s="150"/>
      <c r="L896" s="150"/>
    </row>
    <row r="897" spans="7:12" ht="15.75" customHeight="1">
      <c r="G897" s="150"/>
      <c r="L897" s="150"/>
    </row>
    <row r="898" spans="7:12" ht="15.75" customHeight="1">
      <c r="G898" s="150"/>
      <c r="L898" s="150"/>
    </row>
    <row r="899" spans="7:12" ht="15.75" customHeight="1">
      <c r="G899" s="150"/>
      <c r="L899" s="150"/>
    </row>
    <row r="900" spans="7:12" ht="15.75" customHeight="1">
      <c r="G900" s="150"/>
      <c r="L900" s="150"/>
    </row>
    <row r="901" spans="7:12" ht="15.75" customHeight="1">
      <c r="G901" s="150"/>
      <c r="L901" s="150"/>
    </row>
    <row r="902" spans="7:12" ht="15.75" customHeight="1">
      <c r="G902" s="150"/>
      <c r="L902" s="150"/>
    </row>
    <row r="903" spans="7:12" ht="15.75" customHeight="1">
      <c r="G903" s="150"/>
      <c r="L903" s="150"/>
    </row>
    <row r="904" spans="7:12" ht="15.75" customHeight="1">
      <c r="G904" s="150"/>
      <c r="L904" s="150"/>
    </row>
    <row r="905" spans="7:12" ht="15.75" customHeight="1">
      <c r="G905" s="150"/>
      <c r="L905" s="150"/>
    </row>
    <row r="906" spans="7:12" ht="15.75" customHeight="1">
      <c r="G906" s="150"/>
      <c r="L906" s="150"/>
    </row>
    <row r="907" spans="7:12" ht="15.75" customHeight="1">
      <c r="G907" s="150"/>
      <c r="L907" s="150"/>
    </row>
    <row r="908" spans="7:12" ht="15.75" customHeight="1">
      <c r="G908" s="150"/>
      <c r="L908" s="150"/>
    </row>
    <row r="909" spans="7:12" ht="15.75" customHeight="1">
      <c r="G909" s="150"/>
      <c r="L909" s="150"/>
    </row>
    <row r="910" spans="7:12" ht="15.75" customHeight="1">
      <c r="G910" s="150"/>
      <c r="L910" s="150"/>
    </row>
    <row r="911" spans="7:12" ht="15.75" customHeight="1">
      <c r="G911" s="150"/>
      <c r="L911" s="150"/>
    </row>
    <row r="912" spans="7:12" ht="15.75" customHeight="1">
      <c r="G912" s="150"/>
      <c r="L912" s="150"/>
    </row>
    <row r="913" spans="7:12" ht="15.75" customHeight="1">
      <c r="G913" s="150"/>
      <c r="L913" s="150"/>
    </row>
    <row r="914" spans="7:12" ht="15.75" customHeight="1">
      <c r="G914" s="150"/>
      <c r="L914" s="150"/>
    </row>
    <row r="915" spans="7:12" ht="15.75" customHeight="1">
      <c r="G915" s="150"/>
      <c r="L915" s="150"/>
    </row>
    <row r="916" spans="7:12" ht="15.75" customHeight="1">
      <c r="G916" s="150"/>
      <c r="L916" s="150"/>
    </row>
    <row r="917" spans="7:12" ht="15.75" customHeight="1">
      <c r="G917" s="150"/>
      <c r="L917" s="150"/>
    </row>
    <row r="918" spans="7:12" ht="15.75" customHeight="1">
      <c r="G918" s="150"/>
      <c r="L918" s="150"/>
    </row>
    <row r="919" spans="7:12" ht="15.75" customHeight="1">
      <c r="G919" s="150"/>
      <c r="L919" s="150"/>
    </row>
    <row r="920" spans="7:12" ht="15.75" customHeight="1">
      <c r="G920" s="150"/>
      <c r="L920" s="150"/>
    </row>
    <row r="921" spans="7:12" ht="15.75" customHeight="1">
      <c r="G921" s="150"/>
      <c r="L921" s="150"/>
    </row>
    <row r="922" spans="7:12" ht="15.75" customHeight="1">
      <c r="G922" s="150"/>
      <c r="L922" s="150"/>
    </row>
    <row r="923" spans="7:12" ht="15.75" customHeight="1">
      <c r="G923" s="150"/>
      <c r="L923" s="150"/>
    </row>
    <row r="924" spans="7:12" ht="15.75" customHeight="1">
      <c r="G924" s="150"/>
      <c r="L924" s="150"/>
    </row>
    <row r="925" spans="7:12" ht="15.75" customHeight="1">
      <c r="G925" s="150"/>
      <c r="L925" s="150"/>
    </row>
    <row r="926" spans="7:12" ht="15.75" customHeight="1">
      <c r="G926" s="150"/>
      <c r="L926" s="150"/>
    </row>
    <row r="927" spans="7:12" ht="15.75" customHeight="1">
      <c r="G927" s="150"/>
      <c r="L927" s="150"/>
    </row>
    <row r="928" spans="7:12" ht="15.75" customHeight="1">
      <c r="G928" s="150"/>
      <c r="L928" s="150"/>
    </row>
    <row r="929" spans="7:12" ht="15.75" customHeight="1">
      <c r="G929" s="150"/>
      <c r="L929" s="150"/>
    </row>
    <row r="930" spans="7:12" ht="15.75" customHeight="1">
      <c r="G930" s="150"/>
      <c r="L930" s="150"/>
    </row>
    <row r="931" spans="7:12" ht="15.75" customHeight="1">
      <c r="G931" s="150"/>
      <c r="L931" s="150"/>
    </row>
    <row r="932" spans="7:12" ht="15.75" customHeight="1">
      <c r="G932" s="150"/>
      <c r="L932" s="150"/>
    </row>
    <row r="933" spans="7:12" ht="15.75" customHeight="1">
      <c r="G933" s="150"/>
      <c r="L933" s="150"/>
    </row>
    <row r="934" spans="7:12" ht="15.75" customHeight="1">
      <c r="G934" s="150"/>
      <c r="L934" s="150"/>
    </row>
    <row r="935" spans="7:12" ht="15.75" customHeight="1">
      <c r="G935" s="150"/>
      <c r="L935" s="150"/>
    </row>
    <row r="936" spans="7:12" ht="15.75" customHeight="1">
      <c r="G936" s="150"/>
      <c r="L936" s="150"/>
    </row>
    <row r="937" spans="7:12" ht="15.75" customHeight="1">
      <c r="G937" s="150"/>
      <c r="L937" s="150"/>
    </row>
    <row r="938" spans="7:12" ht="15.75" customHeight="1">
      <c r="G938" s="150"/>
      <c r="L938" s="150"/>
    </row>
    <row r="939" spans="7:12" ht="15.75" customHeight="1">
      <c r="G939" s="150"/>
      <c r="L939" s="150"/>
    </row>
    <row r="940" spans="7:12" ht="15.75" customHeight="1">
      <c r="G940" s="150"/>
      <c r="L940" s="150"/>
    </row>
    <row r="941" spans="7:12" ht="15.75" customHeight="1">
      <c r="G941" s="150"/>
      <c r="L941" s="150"/>
    </row>
    <row r="942" spans="7:12" ht="15.75" customHeight="1">
      <c r="G942" s="150"/>
      <c r="L942" s="150"/>
    </row>
    <row r="943" spans="7:12" ht="15.75" customHeight="1">
      <c r="G943" s="150"/>
      <c r="L943" s="150"/>
    </row>
    <row r="944" spans="7:12" ht="15.75" customHeight="1">
      <c r="G944" s="150"/>
      <c r="L944" s="150"/>
    </row>
    <row r="945" spans="7:12" ht="15.75" customHeight="1">
      <c r="G945" s="150"/>
      <c r="L945" s="150"/>
    </row>
    <row r="946" spans="7:12" ht="15.75" customHeight="1">
      <c r="G946" s="150"/>
      <c r="L946" s="150"/>
    </row>
    <row r="947" spans="7:12" ht="15.75" customHeight="1">
      <c r="G947" s="150"/>
      <c r="L947" s="150"/>
    </row>
    <row r="948" spans="7:12" ht="15.75" customHeight="1">
      <c r="G948" s="150"/>
      <c r="L948" s="150"/>
    </row>
    <row r="949" spans="7:12" ht="15.75" customHeight="1">
      <c r="G949" s="150"/>
      <c r="L949" s="150"/>
    </row>
    <row r="950" spans="7:12" ht="15.75" customHeight="1">
      <c r="G950" s="150"/>
      <c r="L950" s="150"/>
    </row>
    <row r="951" spans="7:12" ht="15.75" customHeight="1">
      <c r="G951" s="150"/>
      <c r="L951" s="150"/>
    </row>
    <row r="952" spans="7:12" ht="15.75" customHeight="1">
      <c r="G952" s="150"/>
      <c r="L952" s="150"/>
    </row>
    <row r="953" spans="7:12" ht="15.75" customHeight="1">
      <c r="G953" s="150"/>
      <c r="L953" s="150"/>
    </row>
    <row r="954" spans="7:12" ht="15.75" customHeight="1">
      <c r="G954" s="150"/>
      <c r="L954" s="150"/>
    </row>
    <row r="955" spans="7:12" ht="15.75" customHeight="1">
      <c r="G955" s="150"/>
      <c r="L955" s="150"/>
    </row>
    <row r="956" spans="7:12" ht="15.75" customHeight="1">
      <c r="G956" s="150"/>
      <c r="L956" s="150"/>
    </row>
    <row r="957" spans="7:12" ht="15.75" customHeight="1">
      <c r="G957" s="150"/>
      <c r="L957" s="150"/>
    </row>
    <row r="958" spans="7:12" ht="15.75" customHeight="1">
      <c r="G958" s="150"/>
      <c r="L958" s="150"/>
    </row>
    <row r="959" spans="7:12" ht="15.75" customHeight="1">
      <c r="G959" s="150"/>
      <c r="L959" s="150"/>
    </row>
    <row r="960" spans="7:12" ht="15.75" customHeight="1">
      <c r="G960" s="150"/>
      <c r="L960" s="150"/>
    </row>
    <row r="961" spans="7:12" ht="15.75" customHeight="1">
      <c r="G961" s="150"/>
      <c r="L961" s="150"/>
    </row>
    <row r="962" spans="7:12" ht="15.75" customHeight="1">
      <c r="G962" s="150"/>
      <c r="L962" s="150"/>
    </row>
    <row r="963" spans="7:12" ht="15.75" customHeight="1">
      <c r="G963" s="150"/>
      <c r="L963" s="150"/>
    </row>
    <row r="964" spans="7:12" ht="15.75" customHeight="1">
      <c r="G964" s="150"/>
      <c r="L964" s="150"/>
    </row>
    <row r="965" spans="7:12" ht="15.75" customHeight="1">
      <c r="G965" s="150"/>
      <c r="L965" s="150"/>
    </row>
    <row r="966" spans="7:12" ht="15.75" customHeight="1">
      <c r="G966" s="150"/>
      <c r="L966" s="150"/>
    </row>
    <row r="967" spans="7:12" ht="15.75" customHeight="1">
      <c r="G967" s="150"/>
      <c r="L967" s="150"/>
    </row>
    <row r="968" spans="7:12" ht="15.75" customHeight="1">
      <c r="G968" s="150"/>
      <c r="L968" s="150"/>
    </row>
    <row r="969" spans="7:12" ht="15.75" customHeight="1">
      <c r="G969" s="150"/>
      <c r="L969" s="150"/>
    </row>
    <row r="970" spans="7:12" ht="15.75" customHeight="1">
      <c r="G970" s="150"/>
      <c r="L970" s="150"/>
    </row>
    <row r="971" spans="7:12" ht="15.75" customHeight="1">
      <c r="G971" s="150"/>
      <c r="L971" s="150"/>
    </row>
    <row r="972" spans="7:12" ht="15.75" customHeight="1">
      <c r="G972" s="150"/>
      <c r="L972" s="150"/>
    </row>
    <row r="973" spans="7:12" ht="15.75" customHeight="1">
      <c r="G973" s="150"/>
      <c r="L973" s="150"/>
    </row>
    <row r="974" spans="7:12" ht="15.75" customHeight="1">
      <c r="G974" s="150"/>
      <c r="L974" s="150"/>
    </row>
    <row r="975" spans="7:12" ht="15.75" customHeight="1">
      <c r="G975" s="150"/>
      <c r="L975" s="150"/>
    </row>
    <row r="976" spans="7:12" ht="15.75" customHeight="1">
      <c r="G976" s="150"/>
      <c r="L976" s="150"/>
    </row>
    <row r="977" spans="7:12" ht="15.75" customHeight="1">
      <c r="G977" s="150"/>
      <c r="L977" s="150"/>
    </row>
    <row r="978" spans="7:12" ht="15.75" customHeight="1">
      <c r="G978" s="150"/>
      <c r="L978" s="150"/>
    </row>
    <row r="979" spans="7:12" ht="15.75" customHeight="1">
      <c r="G979" s="150"/>
      <c r="L979" s="150"/>
    </row>
    <row r="980" spans="7:12" ht="15.75" customHeight="1">
      <c r="G980" s="150"/>
      <c r="L980" s="150"/>
    </row>
    <row r="981" spans="7:12" ht="15.75" customHeight="1">
      <c r="G981" s="150"/>
      <c r="L981" s="150"/>
    </row>
    <row r="982" spans="7:12" ht="15.75" customHeight="1">
      <c r="G982" s="150"/>
      <c r="L982" s="150"/>
    </row>
    <row r="983" spans="7:12" ht="15.75" customHeight="1">
      <c r="G983" s="150"/>
      <c r="L983" s="150"/>
    </row>
    <row r="984" spans="7:12" ht="15.75" customHeight="1">
      <c r="G984" s="150"/>
      <c r="L984" s="150"/>
    </row>
    <row r="985" spans="7:12" ht="15.75" customHeight="1">
      <c r="G985" s="150"/>
      <c r="L985" s="150"/>
    </row>
    <row r="986" spans="7:12" ht="15.75" customHeight="1">
      <c r="G986" s="150"/>
      <c r="L986" s="150"/>
    </row>
    <row r="987" spans="7:12" ht="15.75" customHeight="1">
      <c r="G987" s="150"/>
      <c r="L987" s="150"/>
    </row>
    <row r="988" spans="7:12" ht="15.75" customHeight="1">
      <c r="G988" s="150"/>
      <c r="L988" s="150"/>
    </row>
    <row r="989" spans="7:12" ht="15.75" customHeight="1">
      <c r="G989" s="150"/>
      <c r="L989" s="150"/>
    </row>
  </sheetData>
  <mergeCells count="2">
    <mergeCell ref="A1:N1"/>
    <mergeCell ref="A85:M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52026</vt:lpstr>
      <vt:lpstr>62026</vt:lpstr>
      <vt:lpstr>42026</vt:lpstr>
      <vt:lpstr>32026</vt:lpstr>
      <vt:lpstr>022026</vt:lpstr>
      <vt:lpstr>01-2026</vt:lpstr>
      <vt:lpstr>12-2025</vt:lpstr>
      <vt:lpstr>11-2025</vt:lpstr>
      <vt:lpstr>10-2025</vt:lpstr>
      <vt:lpstr>09-2025</vt:lpstr>
      <vt:lpstr>08-2025</vt:lpstr>
      <vt:lpstr>07-2025</vt:lpstr>
      <vt:lpstr>06-2025</vt:lpstr>
      <vt:lpstr>05-2025</vt:lpstr>
      <vt:lpstr>04-2025</vt:lpstr>
      <vt:lpstr>03-2025</vt:lpstr>
      <vt:lpstr>02-2025</vt:lpstr>
      <vt:lpstr>01-2025</vt:lpstr>
      <vt:lpstr>thang 12</vt:lpstr>
      <vt:lpstr>112024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2026-06-22T14:24:06Z</dcterms:modified>
</cp:coreProperties>
</file>