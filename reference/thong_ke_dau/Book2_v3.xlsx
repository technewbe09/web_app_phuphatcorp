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gnguyen09/Downloads/"/>
    </mc:Choice>
  </mc:AlternateContent>
  <xr:revisionPtr revIDLastSave="0" documentId="13_ncr:1_{9AA7B9CB-E608-1340-9A74-156E5589FD54}" xr6:coauthVersionLast="47" xr6:coauthVersionMax="47" xr10:uidLastSave="{00000000-0000-0000-0000-000000000000}"/>
  <bookViews>
    <workbookView xWindow="32340" yWindow="2820" windowWidth="28800" windowHeight="15840" xr2:uid="{8E3E48B0-BEA3-4D2A-95F3-6F0B08B87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1" i="1" l="1"/>
  <c r="K351" i="1"/>
  <c r="L351" i="1" s="1"/>
  <c r="J351" i="1"/>
  <c r="E351" i="1"/>
  <c r="G351" i="1" s="1"/>
  <c r="N350" i="1"/>
  <c r="K350" i="1"/>
  <c r="L350" i="1" s="1"/>
  <c r="J350" i="1"/>
  <c r="E350" i="1"/>
  <c r="G350" i="1" s="1"/>
  <c r="N349" i="1"/>
  <c r="K349" i="1"/>
  <c r="L349" i="1" s="1"/>
  <c r="J349" i="1"/>
  <c r="E349" i="1"/>
  <c r="G349" i="1" s="1"/>
  <c r="N348" i="1"/>
  <c r="K348" i="1"/>
  <c r="L348" i="1" s="1"/>
  <c r="J348" i="1"/>
  <c r="E348" i="1"/>
  <c r="G348" i="1" s="1"/>
  <c r="N347" i="1"/>
  <c r="K347" i="1"/>
  <c r="L347" i="1" s="1"/>
  <c r="J347" i="1"/>
  <c r="E347" i="1"/>
  <c r="G347" i="1" s="1"/>
  <c r="N346" i="1"/>
  <c r="N352" i="1" s="1"/>
  <c r="Q251" i="1" s="1"/>
  <c r="R251" i="1" s="1"/>
  <c r="L346" i="1"/>
  <c r="L352" i="1" s="1"/>
  <c r="K346" i="1"/>
  <c r="K352" i="1" s="1"/>
  <c r="J346" i="1"/>
  <c r="J352" i="1" s="1"/>
  <c r="E346" i="1"/>
  <c r="N344" i="1"/>
  <c r="K344" i="1"/>
  <c r="L344" i="1" s="1"/>
  <c r="J344" i="1"/>
  <c r="E344" i="1"/>
  <c r="G344" i="1" s="1"/>
  <c r="N343" i="1"/>
  <c r="L343" i="1"/>
  <c r="K343" i="1"/>
  <c r="J343" i="1"/>
  <c r="E343" i="1"/>
  <c r="G343" i="1" s="1"/>
  <c r="N342" i="1"/>
  <c r="K342" i="1"/>
  <c r="L342" i="1" s="1"/>
  <c r="J342" i="1"/>
  <c r="E342" i="1"/>
  <c r="G342" i="1" s="1"/>
  <c r="N341" i="1"/>
  <c r="K341" i="1"/>
  <c r="L341" i="1" s="1"/>
  <c r="J341" i="1"/>
  <c r="E341" i="1"/>
  <c r="G341" i="1" s="1"/>
  <c r="N340" i="1"/>
  <c r="K340" i="1"/>
  <c r="L340" i="1" s="1"/>
  <c r="J340" i="1"/>
  <c r="E340" i="1"/>
  <c r="G340" i="1" s="1"/>
  <c r="N339" i="1"/>
  <c r="K339" i="1"/>
  <c r="L339" i="1" s="1"/>
  <c r="J339" i="1"/>
  <c r="E339" i="1"/>
  <c r="G339" i="1" s="1"/>
  <c r="N338" i="1"/>
  <c r="K338" i="1"/>
  <c r="L338" i="1" s="1"/>
  <c r="J338" i="1"/>
  <c r="E338" i="1"/>
  <c r="G338" i="1" s="1"/>
  <c r="N337" i="1"/>
  <c r="K337" i="1"/>
  <c r="L337" i="1" s="1"/>
  <c r="J337" i="1"/>
  <c r="E337" i="1"/>
  <c r="G337" i="1" s="1"/>
  <c r="N336" i="1"/>
  <c r="N345" i="1" s="1"/>
  <c r="Q250" i="1" s="1"/>
  <c r="R250" i="1" s="1"/>
  <c r="K336" i="1"/>
  <c r="J336" i="1"/>
  <c r="J345" i="1" s="1"/>
  <c r="E336" i="1"/>
  <c r="N334" i="1"/>
  <c r="K334" i="1"/>
  <c r="L334" i="1" s="1"/>
  <c r="J334" i="1"/>
  <c r="E334" i="1"/>
  <c r="G334" i="1" s="1"/>
  <c r="N333" i="1"/>
  <c r="K333" i="1"/>
  <c r="L333" i="1" s="1"/>
  <c r="J333" i="1"/>
  <c r="E333" i="1"/>
  <c r="G333" i="1" s="1"/>
  <c r="N332" i="1"/>
  <c r="K332" i="1"/>
  <c r="L332" i="1" s="1"/>
  <c r="J332" i="1"/>
  <c r="E332" i="1"/>
  <c r="G332" i="1" s="1"/>
  <c r="N331" i="1"/>
  <c r="N335" i="1" s="1"/>
  <c r="Q249" i="1" s="1"/>
  <c r="R249" i="1" s="1"/>
  <c r="K331" i="1"/>
  <c r="L331" i="1" s="1"/>
  <c r="J331" i="1"/>
  <c r="E331" i="1"/>
  <c r="G331" i="1" s="1"/>
  <c r="K330" i="1"/>
  <c r="L330" i="1" s="1"/>
  <c r="J330" i="1"/>
  <c r="E330" i="1"/>
  <c r="G330" i="1" s="1"/>
  <c r="K329" i="1"/>
  <c r="J329" i="1"/>
  <c r="J335" i="1" s="1"/>
  <c r="E329" i="1"/>
  <c r="N327" i="1"/>
  <c r="K327" i="1"/>
  <c r="J327" i="1"/>
  <c r="L327" i="1" s="1"/>
  <c r="E327" i="1"/>
  <c r="G327" i="1" s="1"/>
  <c r="N326" i="1"/>
  <c r="K326" i="1"/>
  <c r="L326" i="1" s="1"/>
  <c r="J326" i="1"/>
  <c r="E326" i="1"/>
  <c r="G326" i="1" s="1"/>
  <c r="N325" i="1"/>
  <c r="K325" i="1"/>
  <c r="L325" i="1" s="1"/>
  <c r="J325" i="1"/>
  <c r="E325" i="1"/>
  <c r="G325" i="1" s="1"/>
  <c r="N324" i="1"/>
  <c r="K324" i="1"/>
  <c r="L324" i="1" s="1"/>
  <c r="J324" i="1"/>
  <c r="E324" i="1"/>
  <c r="G324" i="1" s="1"/>
  <c r="N323" i="1"/>
  <c r="K323" i="1"/>
  <c r="L323" i="1" s="1"/>
  <c r="J323" i="1"/>
  <c r="E323" i="1"/>
  <c r="G323" i="1" s="1"/>
  <c r="N322" i="1"/>
  <c r="K322" i="1"/>
  <c r="L322" i="1" s="1"/>
  <c r="J322" i="1"/>
  <c r="E322" i="1"/>
  <c r="G322" i="1" s="1"/>
  <c r="N321" i="1"/>
  <c r="K321" i="1"/>
  <c r="L321" i="1" s="1"/>
  <c r="J321" i="1"/>
  <c r="E321" i="1"/>
  <c r="G321" i="1" s="1"/>
  <c r="N320" i="1"/>
  <c r="K320" i="1"/>
  <c r="L320" i="1" s="1"/>
  <c r="J320" i="1"/>
  <c r="E320" i="1"/>
  <c r="G320" i="1" s="1"/>
  <c r="N319" i="1"/>
  <c r="N328" i="1" s="1"/>
  <c r="Q248" i="1" s="1"/>
  <c r="R248" i="1" s="1"/>
  <c r="K319" i="1"/>
  <c r="J319" i="1"/>
  <c r="J328" i="1" s="1"/>
  <c r="E319" i="1"/>
  <c r="N317" i="1"/>
  <c r="K317" i="1"/>
  <c r="L317" i="1" s="1"/>
  <c r="J317" i="1"/>
  <c r="E317" i="1"/>
  <c r="G317" i="1" s="1"/>
  <c r="N316" i="1"/>
  <c r="K316" i="1"/>
  <c r="L316" i="1" s="1"/>
  <c r="J316" i="1"/>
  <c r="E316" i="1"/>
  <c r="G316" i="1" s="1"/>
  <c r="N315" i="1"/>
  <c r="K315" i="1"/>
  <c r="L315" i="1" s="1"/>
  <c r="J315" i="1"/>
  <c r="E315" i="1"/>
  <c r="G315" i="1" s="1"/>
  <c r="N314" i="1"/>
  <c r="K314" i="1"/>
  <c r="L314" i="1" s="1"/>
  <c r="J314" i="1"/>
  <c r="E314" i="1"/>
  <c r="G314" i="1" s="1"/>
  <c r="N313" i="1"/>
  <c r="K313" i="1"/>
  <c r="L313" i="1" s="1"/>
  <c r="J313" i="1"/>
  <c r="E313" i="1"/>
  <c r="G313" i="1" s="1"/>
  <c r="N312" i="1"/>
  <c r="K312" i="1"/>
  <c r="L312" i="1" s="1"/>
  <c r="J312" i="1"/>
  <c r="E312" i="1"/>
  <c r="G312" i="1" s="1"/>
  <c r="N311" i="1"/>
  <c r="K311" i="1"/>
  <c r="L311" i="1" s="1"/>
  <c r="J311" i="1"/>
  <c r="E311" i="1"/>
  <c r="G311" i="1" s="1"/>
  <c r="N310" i="1"/>
  <c r="N318" i="1" s="1"/>
  <c r="Q247" i="1" s="1"/>
  <c r="R247" i="1" s="1"/>
  <c r="K310" i="1"/>
  <c r="J310" i="1"/>
  <c r="J318" i="1" s="1"/>
  <c r="E310" i="1"/>
  <c r="N308" i="1"/>
  <c r="K308" i="1"/>
  <c r="L308" i="1" s="1"/>
  <c r="J308" i="1"/>
  <c r="E308" i="1"/>
  <c r="G308" i="1" s="1"/>
  <c r="N307" i="1"/>
  <c r="K307" i="1"/>
  <c r="L307" i="1" s="1"/>
  <c r="J307" i="1"/>
  <c r="E307" i="1"/>
  <c r="G307" i="1" s="1"/>
  <c r="N306" i="1"/>
  <c r="K306" i="1"/>
  <c r="L306" i="1" s="1"/>
  <c r="J306" i="1"/>
  <c r="E306" i="1"/>
  <c r="G306" i="1" s="1"/>
  <c r="N305" i="1"/>
  <c r="K305" i="1"/>
  <c r="L305" i="1" s="1"/>
  <c r="J305" i="1"/>
  <c r="E305" i="1"/>
  <c r="G305" i="1" s="1"/>
  <c r="N304" i="1"/>
  <c r="K304" i="1"/>
  <c r="L304" i="1" s="1"/>
  <c r="J304" i="1"/>
  <c r="E304" i="1"/>
  <c r="G304" i="1" s="1"/>
  <c r="N303" i="1"/>
  <c r="N309" i="1" s="1"/>
  <c r="Q243" i="1" s="1"/>
  <c r="R243" i="1" s="1"/>
  <c r="K303" i="1"/>
  <c r="J303" i="1"/>
  <c r="J309" i="1" s="1"/>
  <c r="E303" i="1"/>
  <c r="N302" i="1"/>
  <c r="K301" i="1"/>
  <c r="L301" i="1" s="1"/>
  <c r="J301" i="1"/>
  <c r="G301" i="1"/>
  <c r="E301" i="1"/>
  <c r="K300" i="1"/>
  <c r="L300" i="1" s="1"/>
  <c r="J300" i="1"/>
  <c r="E300" i="1"/>
  <c r="G300" i="1" s="1"/>
  <c r="K299" i="1"/>
  <c r="L299" i="1" s="1"/>
  <c r="J299" i="1"/>
  <c r="E299" i="1"/>
  <c r="G299" i="1" s="1"/>
  <c r="K298" i="1"/>
  <c r="L298" i="1" s="1"/>
  <c r="J298" i="1"/>
  <c r="E298" i="1"/>
  <c r="G298" i="1" s="1"/>
  <c r="J297" i="1"/>
  <c r="L297" i="1" s="1"/>
  <c r="E297" i="1"/>
  <c r="G297" i="1" s="1"/>
  <c r="K296" i="1"/>
  <c r="L296" i="1" s="1"/>
  <c r="J296" i="1"/>
  <c r="E296" i="1"/>
  <c r="G296" i="1" s="1"/>
  <c r="K295" i="1"/>
  <c r="L295" i="1" s="1"/>
  <c r="J295" i="1"/>
  <c r="E295" i="1"/>
  <c r="G295" i="1" s="1"/>
  <c r="K294" i="1"/>
  <c r="J294" i="1"/>
  <c r="J302" i="1" s="1"/>
  <c r="E294" i="1"/>
  <c r="N292" i="1"/>
  <c r="N293" i="1" s="1"/>
  <c r="Q244" i="1" s="1"/>
  <c r="R244" i="1" s="1"/>
  <c r="K292" i="1"/>
  <c r="L292" i="1" s="1"/>
  <c r="J292" i="1"/>
  <c r="E292" i="1"/>
  <c r="G292" i="1" s="1"/>
  <c r="K291" i="1"/>
  <c r="L291" i="1" s="1"/>
  <c r="J291" i="1"/>
  <c r="K290" i="1"/>
  <c r="L290" i="1" s="1"/>
  <c r="J290" i="1"/>
  <c r="E290" i="1"/>
  <c r="G290" i="1" s="1"/>
  <c r="K289" i="1"/>
  <c r="L289" i="1" s="1"/>
  <c r="J289" i="1"/>
  <c r="E289" i="1"/>
  <c r="G289" i="1" s="1"/>
  <c r="K288" i="1"/>
  <c r="L288" i="1" s="1"/>
  <c r="J288" i="1"/>
  <c r="E288" i="1"/>
  <c r="G288" i="1" s="1"/>
  <c r="K287" i="1"/>
  <c r="L287" i="1" s="1"/>
  <c r="J287" i="1"/>
  <c r="E287" i="1"/>
  <c r="G287" i="1" s="1"/>
  <c r="K286" i="1"/>
  <c r="J286" i="1"/>
  <c r="E286" i="1"/>
  <c r="G286" i="1" s="1"/>
  <c r="J285" i="1"/>
  <c r="E285" i="1"/>
  <c r="N284" i="1"/>
  <c r="K283" i="1"/>
  <c r="L283" i="1" s="1"/>
  <c r="J283" i="1"/>
  <c r="E283" i="1"/>
  <c r="G283" i="1" s="1"/>
  <c r="K282" i="1"/>
  <c r="L282" i="1" s="1"/>
  <c r="J282" i="1"/>
  <c r="E282" i="1"/>
  <c r="G282" i="1" s="1"/>
  <c r="K281" i="1"/>
  <c r="L281" i="1" s="1"/>
  <c r="J281" i="1"/>
  <c r="E281" i="1"/>
  <c r="G281" i="1" s="1"/>
  <c r="K280" i="1"/>
  <c r="L280" i="1" s="1"/>
  <c r="J280" i="1"/>
  <c r="E280" i="1"/>
  <c r="G280" i="1" s="1"/>
  <c r="K279" i="1"/>
  <c r="L279" i="1" s="1"/>
  <c r="J279" i="1"/>
  <c r="E279" i="1"/>
  <c r="G279" i="1" s="1"/>
  <c r="K278" i="1"/>
  <c r="L278" i="1" s="1"/>
  <c r="J278" i="1"/>
  <c r="E278" i="1"/>
  <c r="G278" i="1" s="1"/>
  <c r="K277" i="1"/>
  <c r="L277" i="1" s="1"/>
  <c r="J277" i="1"/>
  <c r="E277" i="1"/>
  <c r="G277" i="1" s="1"/>
  <c r="K276" i="1"/>
  <c r="J276" i="1"/>
  <c r="J284" i="1" s="1"/>
  <c r="E276" i="1"/>
  <c r="N274" i="1"/>
  <c r="L274" i="1"/>
  <c r="K274" i="1"/>
  <c r="J274" i="1"/>
  <c r="E274" i="1"/>
  <c r="G274" i="1" s="1"/>
  <c r="K273" i="1"/>
  <c r="J273" i="1"/>
  <c r="E273" i="1"/>
  <c r="G273" i="1" s="1"/>
  <c r="N272" i="1"/>
  <c r="K272" i="1"/>
  <c r="L272" i="1" s="1"/>
  <c r="J272" i="1"/>
  <c r="E272" i="1"/>
  <c r="G272" i="1" s="1"/>
  <c r="N271" i="1"/>
  <c r="K271" i="1"/>
  <c r="L271" i="1" s="1"/>
  <c r="J271" i="1"/>
  <c r="E271" i="1"/>
  <c r="G271" i="1" s="1"/>
  <c r="N270" i="1"/>
  <c r="K270" i="1"/>
  <c r="L270" i="1" s="1"/>
  <c r="J270" i="1"/>
  <c r="E270" i="1"/>
  <c r="G270" i="1" s="1"/>
  <c r="N269" i="1"/>
  <c r="K269" i="1"/>
  <c r="J269" i="1"/>
  <c r="J275" i="1" s="1"/>
  <c r="E269" i="1"/>
  <c r="N267" i="1"/>
  <c r="K267" i="1"/>
  <c r="L267" i="1" s="1"/>
  <c r="J267" i="1"/>
  <c r="G267" i="1"/>
  <c r="E267" i="1"/>
  <c r="N266" i="1"/>
  <c r="K266" i="1"/>
  <c r="L266" i="1" s="1"/>
  <c r="J266" i="1"/>
  <c r="E266" i="1"/>
  <c r="G266" i="1" s="1"/>
  <c r="N265" i="1"/>
  <c r="L265" i="1"/>
  <c r="K265" i="1"/>
  <c r="J265" i="1"/>
  <c r="E265" i="1"/>
  <c r="G265" i="1" s="1"/>
  <c r="K264" i="1"/>
  <c r="J264" i="1"/>
  <c r="E264" i="1"/>
  <c r="N263" i="1"/>
  <c r="K263" i="1"/>
  <c r="J263" i="1"/>
  <c r="J268" i="1" s="1"/>
  <c r="G263" i="1"/>
  <c r="G268" i="1" s="1"/>
  <c r="E262" i="1"/>
  <c r="N261" i="1"/>
  <c r="K261" i="1"/>
  <c r="L261" i="1" s="1"/>
  <c r="J261" i="1"/>
  <c r="E261" i="1"/>
  <c r="G261" i="1" s="1"/>
  <c r="K260" i="1"/>
  <c r="J260" i="1"/>
  <c r="E260" i="1"/>
  <c r="G260" i="1" s="1"/>
  <c r="K259" i="1"/>
  <c r="J259" i="1"/>
  <c r="E259" i="1"/>
  <c r="G259" i="1" s="1"/>
  <c r="K258" i="1"/>
  <c r="J258" i="1"/>
  <c r="E258" i="1"/>
  <c r="G258" i="1" s="1"/>
  <c r="K257" i="1"/>
  <c r="J257" i="1"/>
  <c r="J262" i="1" s="1"/>
  <c r="E257" i="1"/>
  <c r="G257" i="1" s="1"/>
  <c r="G262" i="1" s="1"/>
  <c r="K256" i="1"/>
  <c r="N255" i="1"/>
  <c r="J255" i="1"/>
  <c r="L255" i="1" s="1"/>
  <c r="E255" i="1"/>
  <c r="G255" i="1" s="1"/>
  <c r="N254" i="1"/>
  <c r="J254" i="1"/>
  <c r="L254" i="1" s="1"/>
  <c r="E254" i="1"/>
  <c r="G254" i="1" s="1"/>
  <c r="N253" i="1"/>
  <c r="L253" i="1"/>
  <c r="J253" i="1"/>
  <c r="E253" i="1"/>
  <c r="G253" i="1" s="1"/>
  <c r="N252" i="1"/>
  <c r="J252" i="1"/>
  <c r="L252" i="1" s="1"/>
  <c r="E252" i="1"/>
  <c r="G252" i="1" s="1"/>
  <c r="N251" i="1"/>
  <c r="N256" i="1" s="1"/>
  <c r="Q239" i="1" s="1"/>
  <c r="R239" i="1" s="1"/>
  <c r="J251" i="1"/>
  <c r="E251" i="1"/>
  <c r="K249" i="1"/>
  <c r="J249" i="1"/>
  <c r="E249" i="1"/>
  <c r="G249" i="1" s="1"/>
  <c r="N248" i="1"/>
  <c r="K248" i="1"/>
  <c r="L248" i="1" s="1"/>
  <c r="J248" i="1"/>
  <c r="E248" i="1"/>
  <c r="G248" i="1" s="1"/>
  <c r="N247" i="1"/>
  <c r="K247" i="1"/>
  <c r="L247" i="1" s="1"/>
  <c r="J247" i="1"/>
  <c r="G247" i="1"/>
  <c r="E247" i="1"/>
  <c r="Q246" i="1"/>
  <c r="R246" i="1" s="1"/>
  <c r="N246" i="1"/>
  <c r="K246" i="1"/>
  <c r="L246" i="1" s="1"/>
  <c r="J246" i="1"/>
  <c r="E246" i="1"/>
  <c r="G246" i="1" s="1"/>
  <c r="Q245" i="1"/>
  <c r="R245" i="1" s="1"/>
  <c r="N245" i="1"/>
  <c r="K245" i="1"/>
  <c r="L245" i="1" s="1"/>
  <c r="J245" i="1"/>
  <c r="G245" i="1"/>
  <c r="E245" i="1"/>
  <c r="N244" i="1"/>
  <c r="K244" i="1"/>
  <c r="J244" i="1"/>
  <c r="J250" i="1" s="1"/>
  <c r="E244" i="1"/>
  <c r="K242" i="1"/>
  <c r="J242" i="1"/>
  <c r="E242" i="1"/>
  <c r="G242" i="1" s="1"/>
  <c r="K241" i="1"/>
  <c r="J241" i="1"/>
  <c r="G241" i="1"/>
  <c r="E241" i="1"/>
  <c r="K240" i="1"/>
  <c r="J240" i="1"/>
  <c r="E240" i="1"/>
  <c r="G240" i="1" s="1"/>
  <c r="K239" i="1"/>
  <c r="N239" i="1" s="1"/>
  <c r="J239" i="1"/>
  <c r="L239" i="1" s="1"/>
  <c r="E239" i="1"/>
  <c r="G239" i="1" s="1"/>
  <c r="K238" i="1"/>
  <c r="J238" i="1"/>
  <c r="J243" i="1" s="1"/>
  <c r="E238" i="1"/>
  <c r="R234" i="1"/>
  <c r="K232" i="1"/>
  <c r="J232" i="1"/>
  <c r="E232" i="1"/>
  <c r="G232" i="1" s="1"/>
  <c r="K231" i="1"/>
  <c r="J231" i="1"/>
  <c r="E231" i="1"/>
  <c r="G231" i="1" s="1"/>
  <c r="K230" i="1"/>
  <c r="J230" i="1"/>
  <c r="E230" i="1"/>
  <c r="G230" i="1" s="1"/>
  <c r="N229" i="1"/>
  <c r="K229" i="1"/>
  <c r="L229" i="1" s="1"/>
  <c r="J229" i="1"/>
  <c r="E229" i="1"/>
  <c r="G229" i="1" s="1"/>
  <c r="N228" i="1"/>
  <c r="K228" i="1"/>
  <c r="L228" i="1" s="1"/>
  <c r="J228" i="1"/>
  <c r="G228" i="1"/>
  <c r="E228" i="1"/>
  <c r="N227" i="1"/>
  <c r="K227" i="1"/>
  <c r="L227" i="1" s="1"/>
  <c r="J227" i="1"/>
  <c r="E227" i="1"/>
  <c r="G227" i="1" s="1"/>
  <c r="N226" i="1"/>
  <c r="K226" i="1"/>
  <c r="J226" i="1"/>
  <c r="E226" i="1"/>
  <c r="G226" i="1" s="1"/>
  <c r="K224" i="1"/>
  <c r="J224" i="1"/>
  <c r="E224" i="1"/>
  <c r="G224" i="1" s="1"/>
  <c r="L223" i="1"/>
  <c r="K223" i="1"/>
  <c r="N223" i="1" s="1"/>
  <c r="J223" i="1"/>
  <c r="E223" i="1"/>
  <c r="G223" i="1" s="1"/>
  <c r="K222" i="1"/>
  <c r="J222" i="1"/>
  <c r="E222" i="1"/>
  <c r="G222" i="1" s="1"/>
  <c r="N221" i="1"/>
  <c r="K221" i="1"/>
  <c r="L221" i="1" s="1"/>
  <c r="J221" i="1"/>
  <c r="E221" i="1"/>
  <c r="G221" i="1" s="1"/>
  <c r="N220" i="1"/>
  <c r="K220" i="1"/>
  <c r="L220" i="1" s="1"/>
  <c r="J220" i="1"/>
  <c r="E220" i="1"/>
  <c r="G220" i="1" s="1"/>
  <c r="N219" i="1"/>
  <c r="K219" i="1"/>
  <c r="J219" i="1"/>
  <c r="L219" i="1" s="1"/>
  <c r="E219" i="1"/>
  <c r="G219" i="1" s="1"/>
  <c r="N218" i="1"/>
  <c r="K218" i="1"/>
  <c r="J218" i="1"/>
  <c r="E218" i="1"/>
  <c r="K216" i="1"/>
  <c r="J216" i="1"/>
  <c r="E216" i="1"/>
  <c r="G216" i="1" s="1"/>
  <c r="L215" i="1"/>
  <c r="K215" i="1"/>
  <c r="N215" i="1" s="1"/>
  <c r="J215" i="1"/>
  <c r="E215" i="1"/>
  <c r="G215" i="1" s="1"/>
  <c r="K214" i="1"/>
  <c r="J214" i="1"/>
  <c r="E214" i="1"/>
  <c r="G214" i="1" s="1"/>
  <c r="N213" i="1"/>
  <c r="K213" i="1"/>
  <c r="L213" i="1" s="1"/>
  <c r="J213" i="1"/>
  <c r="G213" i="1"/>
  <c r="E213" i="1"/>
  <c r="N212" i="1"/>
  <c r="K212" i="1"/>
  <c r="L212" i="1" s="1"/>
  <c r="J212" i="1"/>
  <c r="E212" i="1"/>
  <c r="G212" i="1" s="1"/>
  <c r="N211" i="1"/>
  <c r="K211" i="1"/>
  <c r="L211" i="1" s="1"/>
  <c r="J211" i="1"/>
  <c r="E211" i="1"/>
  <c r="G211" i="1" s="1"/>
  <c r="N210" i="1"/>
  <c r="K210" i="1"/>
  <c r="J210" i="1"/>
  <c r="E210" i="1"/>
  <c r="R208" i="1"/>
  <c r="K208" i="1"/>
  <c r="J208" i="1"/>
  <c r="E208" i="1"/>
  <c r="G208" i="1" s="1"/>
  <c r="K207" i="1"/>
  <c r="J207" i="1"/>
  <c r="E207" i="1"/>
  <c r="G207" i="1" s="1"/>
  <c r="K206" i="1"/>
  <c r="J206" i="1"/>
  <c r="E206" i="1"/>
  <c r="G206" i="1" s="1"/>
  <c r="K205" i="1"/>
  <c r="L205" i="1" s="1"/>
  <c r="J205" i="1"/>
  <c r="E205" i="1"/>
  <c r="G205" i="1" s="1"/>
  <c r="K204" i="1"/>
  <c r="J204" i="1"/>
  <c r="E204" i="1"/>
  <c r="G204" i="1" s="1"/>
  <c r="K203" i="1"/>
  <c r="J203" i="1"/>
  <c r="G203" i="1"/>
  <c r="E203" i="1"/>
  <c r="K202" i="1"/>
  <c r="J202" i="1"/>
  <c r="E202" i="1"/>
  <c r="R200" i="1"/>
  <c r="K200" i="1"/>
  <c r="J200" i="1"/>
  <c r="E200" i="1"/>
  <c r="G200" i="1" s="1"/>
  <c r="R199" i="1"/>
  <c r="K199" i="1"/>
  <c r="J199" i="1"/>
  <c r="E199" i="1"/>
  <c r="G199" i="1" s="1"/>
  <c r="R198" i="1"/>
  <c r="N198" i="1"/>
  <c r="K198" i="1"/>
  <c r="J198" i="1"/>
  <c r="L198" i="1" s="1"/>
  <c r="E198" i="1"/>
  <c r="G198" i="1" s="1"/>
  <c r="R197" i="1"/>
  <c r="K197" i="1"/>
  <c r="L197" i="1" s="1"/>
  <c r="J197" i="1"/>
  <c r="E197" i="1"/>
  <c r="G197" i="1" s="1"/>
  <c r="R196" i="1"/>
  <c r="N196" i="1"/>
  <c r="K196" i="1"/>
  <c r="L196" i="1" s="1"/>
  <c r="J196" i="1"/>
  <c r="E196" i="1"/>
  <c r="G196" i="1" s="1"/>
  <c r="R195" i="1"/>
  <c r="N195" i="1"/>
  <c r="K195" i="1"/>
  <c r="L195" i="1" s="1"/>
  <c r="J195" i="1"/>
  <c r="E195" i="1"/>
  <c r="G195" i="1" s="1"/>
  <c r="R194" i="1"/>
  <c r="N194" i="1"/>
  <c r="K194" i="1"/>
  <c r="J194" i="1"/>
  <c r="E194" i="1"/>
  <c r="K192" i="1"/>
  <c r="N192" i="1" s="1"/>
  <c r="J192" i="1"/>
  <c r="L192" i="1" s="1"/>
  <c r="E192" i="1"/>
  <c r="G192" i="1" s="1"/>
  <c r="K191" i="1"/>
  <c r="J191" i="1"/>
  <c r="E191" i="1"/>
  <c r="G191" i="1" s="1"/>
  <c r="K190" i="1"/>
  <c r="J190" i="1"/>
  <c r="E190" i="1"/>
  <c r="G190" i="1" s="1"/>
  <c r="K189" i="1"/>
  <c r="J189" i="1"/>
  <c r="E189" i="1"/>
  <c r="G189" i="1" s="1"/>
  <c r="K188" i="1"/>
  <c r="J188" i="1"/>
  <c r="E188" i="1"/>
  <c r="K187" i="1"/>
  <c r="J187" i="1"/>
  <c r="E187" i="1"/>
  <c r="G187" i="1" s="1"/>
  <c r="K186" i="1"/>
  <c r="J186" i="1"/>
  <c r="E186" i="1"/>
  <c r="G186" i="1" s="1"/>
  <c r="K185" i="1"/>
  <c r="J185" i="1"/>
  <c r="J193" i="1" s="1"/>
  <c r="E185" i="1"/>
  <c r="K183" i="1"/>
  <c r="J183" i="1"/>
  <c r="G183" i="1"/>
  <c r="E183" i="1"/>
  <c r="K182" i="1"/>
  <c r="J182" i="1"/>
  <c r="E182" i="1"/>
  <c r="G182" i="1" s="1"/>
  <c r="K181" i="1"/>
  <c r="J181" i="1"/>
  <c r="E181" i="1"/>
  <c r="G181" i="1" s="1"/>
  <c r="N180" i="1"/>
  <c r="K180" i="1"/>
  <c r="L180" i="1" s="1"/>
  <c r="J180" i="1"/>
  <c r="E180" i="1"/>
  <c r="G180" i="1" s="1"/>
  <c r="N179" i="1"/>
  <c r="K179" i="1"/>
  <c r="L179" i="1" s="1"/>
  <c r="J179" i="1"/>
  <c r="E179" i="1"/>
  <c r="G179" i="1" s="1"/>
  <c r="N178" i="1"/>
  <c r="K178" i="1"/>
  <c r="L178" i="1" s="1"/>
  <c r="J178" i="1"/>
  <c r="E178" i="1"/>
  <c r="G178" i="1" s="1"/>
  <c r="N177" i="1"/>
  <c r="K177" i="1"/>
  <c r="L177" i="1" s="1"/>
  <c r="J177" i="1"/>
  <c r="G177" i="1"/>
  <c r="E177" i="1"/>
  <c r="N176" i="1"/>
  <c r="K176" i="1"/>
  <c r="J176" i="1"/>
  <c r="J184" i="1" s="1"/>
  <c r="E176" i="1"/>
  <c r="R175" i="1"/>
  <c r="R174" i="1"/>
  <c r="K174" i="1"/>
  <c r="J174" i="1"/>
  <c r="E174" i="1"/>
  <c r="G174" i="1" s="1"/>
  <c r="R173" i="1"/>
  <c r="N173" i="1"/>
  <c r="K173" i="1"/>
  <c r="L173" i="1" s="1"/>
  <c r="J173" i="1"/>
  <c r="E173" i="1"/>
  <c r="G173" i="1" s="1"/>
  <c r="R172" i="1"/>
  <c r="N172" i="1"/>
  <c r="K172" i="1"/>
  <c r="L172" i="1" s="1"/>
  <c r="J172" i="1"/>
  <c r="E172" i="1"/>
  <c r="G172" i="1" s="1"/>
  <c r="R171" i="1"/>
  <c r="K171" i="1"/>
  <c r="L171" i="1" s="1"/>
  <c r="J171" i="1"/>
  <c r="E171" i="1"/>
  <c r="G171" i="1" s="1"/>
  <c r="R170" i="1"/>
  <c r="N170" i="1"/>
  <c r="K170" i="1"/>
  <c r="L170" i="1" s="1"/>
  <c r="J170" i="1"/>
  <c r="E170" i="1"/>
  <c r="G170" i="1" s="1"/>
  <c r="R169" i="1"/>
  <c r="N169" i="1"/>
  <c r="K169" i="1"/>
  <c r="L169" i="1" s="1"/>
  <c r="J169" i="1"/>
  <c r="E169" i="1"/>
  <c r="G169" i="1" s="1"/>
  <c r="R168" i="1"/>
  <c r="N168" i="1"/>
  <c r="K168" i="1"/>
  <c r="L168" i="1" s="1"/>
  <c r="J168" i="1"/>
  <c r="E168" i="1"/>
  <c r="G168" i="1" s="1"/>
  <c r="R167" i="1"/>
  <c r="N167" i="1"/>
  <c r="K167" i="1"/>
  <c r="J167" i="1"/>
  <c r="J175" i="1" s="1"/>
  <c r="E167" i="1"/>
  <c r="R166" i="1"/>
  <c r="R165" i="1"/>
  <c r="K165" i="1"/>
  <c r="J165" i="1"/>
  <c r="E165" i="1"/>
  <c r="G165" i="1" s="1"/>
  <c r="R164" i="1"/>
  <c r="N164" i="1"/>
  <c r="K164" i="1"/>
  <c r="L164" i="1" s="1"/>
  <c r="J164" i="1"/>
  <c r="E164" i="1"/>
  <c r="G164" i="1" s="1"/>
  <c r="R163" i="1"/>
  <c r="N163" i="1"/>
  <c r="K163" i="1"/>
  <c r="L163" i="1" s="1"/>
  <c r="J163" i="1"/>
  <c r="E163" i="1"/>
  <c r="G163" i="1" s="1"/>
  <c r="R162" i="1"/>
  <c r="J162" i="1"/>
  <c r="L162" i="1" s="1"/>
  <c r="E162" i="1"/>
  <c r="G162" i="1" s="1"/>
  <c r="R161" i="1"/>
  <c r="J161" i="1"/>
  <c r="L161" i="1" s="1"/>
  <c r="E161" i="1"/>
  <c r="G161" i="1" s="1"/>
  <c r="R160" i="1"/>
  <c r="K160" i="1"/>
  <c r="L160" i="1" s="1"/>
  <c r="J160" i="1"/>
  <c r="E160" i="1"/>
  <c r="G160" i="1" s="1"/>
  <c r="R159" i="1"/>
  <c r="K159" i="1"/>
  <c r="L159" i="1" s="1"/>
  <c r="J159" i="1"/>
  <c r="G159" i="1"/>
  <c r="E159" i="1"/>
  <c r="R158" i="1"/>
  <c r="K158" i="1"/>
  <c r="J158" i="1"/>
  <c r="J166" i="1" s="1"/>
  <c r="E158" i="1"/>
  <c r="R157" i="1"/>
  <c r="R156" i="1"/>
  <c r="K156" i="1"/>
  <c r="J156" i="1"/>
  <c r="E156" i="1"/>
  <c r="G156" i="1" s="1"/>
  <c r="R155" i="1"/>
  <c r="N155" i="1"/>
  <c r="K155" i="1"/>
  <c r="L155" i="1" s="1"/>
  <c r="J155" i="1"/>
  <c r="E155" i="1"/>
  <c r="G155" i="1" s="1"/>
  <c r="R154" i="1"/>
  <c r="N154" i="1"/>
  <c r="J154" i="1"/>
  <c r="L154" i="1" s="1"/>
  <c r="E154" i="1"/>
  <c r="G154" i="1" s="1"/>
  <c r="R153" i="1"/>
  <c r="N153" i="1"/>
  <c r="J153" i="1"/>
  <c r="L153" i="1" s="1"/>
  <c r="E153" i="1"/>
  <c r="G153" i="1" s="1"/>
  <c r="R152" i="1"/>
  <c r="K152" i="1"/>
  <c r="J152" i="1"/>
  <c r="E152" i="1"/>
  <c r="G152" i="1" s="1"/>
  <c r="R151" i="1"/>
  <c r="K151" i="1"/>
  <c r="J151" i="1"/>
  <c r="G151" i="1"/>
  <c r="E151" i="1"/>
  <c r="R150" i="1"/>
  <c r="K150" i="1"/>
  <c r="J150" i="1"/>
  <c r="E150" i="1"/>
  <c r="G150" i="1" s="1"/>
  <c r="R149" i="1"/>
  <c r="K149" i="1"/>
  <c r="J149" i="1"/>
  <c r="J157" i="1" s="1"/>
  <c r="E149" i="1"/>
  <c r="R148" i="1"/>
  <c r="J147" i="1"/>
  <c r="L147" i="1" s="1"/>
  <c r="E147" i="1"/>
  <c r="G147" i="1" s="1"/>
  <c r="L146" i="1"/>
  <c r="J146" i="1"/>
  <c r="E146" i="1"/>
  <c r="G146" i="1" s="1"/>
  <c r="J145" i="1"/>
  <c r="L145" i="1" s="1"/>
  <c r="E145" i="1"/>
  <c r="G145" i="1" s="1"/>
  <c r="R144" i="1"/>
  <c r="J144" i="1"/>
  <c r="L144" i="1" s="1"/>
  <c r="E144" i="1"/>
  <c r="G144" i="1" s="1"/>
  <c r="R143" i="1"/>
  <c r="J143" i="1"/>
  <c r="L143" i="1" s="1"/>
  <c r="E143" i="1"/>
  <c r="G143" i="1" s="1"/>
  <c r="R142" i="1"/>
  <c r="J142" i="1"/>
  <c r="L142" i="1" s="1"/>
  <c r="E142" i="1"/>
  <c r="G142" i="1" s="1"/>
  <c r="R141" i="1"/>
  <c r="K141" i="1"/>
  <c r="L141" i="1" s="1"/>
  <c r="J141" i="1"/>
  <c r="E141" i="1"/>
  <c r="G141" i="1" s="1"/>
  <c r="R140" i="1"/>
  <c r="N140" i="1"/>
  <c r="K140" i="1"/>
  <c r="L140" i="1" s="1"/>
  <c r="J140" i="1"/>
  <c r="E140" i="1"/>
  <c r="G140" i="1" s="1"/>
  <c r="R139" i="1"/>
  <c r="N139" i="1"/>
  <c r="K139" i="1"/>
  <c r="L139" i="1" s="1"/>
  <c r="J139" i="1"/>
  <c r="E139" i="1"/>
  <c r="G139" i="1" s="1"/>
  <c r="R138" i="1"/>
  <c r="N138" i="1"/>
  <c r="L138" i="1"/>
  <c r="K138" i="1"/>
  <c r="J138" i="1"/>
  <c r="E138" i="1"/>
  <c r="G138" i="1" s="1"/>
  <c r="R137" i="1"/>
  <c r="N137" i="1"/>
  <c r="N148" i="1" s="1"/>
  <c r="Q18" i="1" s="1"/>
  <c r="R18" i="1" s="1"/>
  <c r="K137" i="1"/>
  <c r="J137" i="1"/>
  <c r="J148" i="1" s="1"/>
  <c r="E137" i="1"/>
  <c r="N135" i="1"/>
  <c r="K135" i="1"/>
  <c r="L135" i="1" s="1"/>
  <c r="J135" i="1"/>
  <c r="E135" i="1"/>
  <c r="G135" i="1" s="1"/>
  <c r="N134" i="1"/>
  <c r="K134" i="1"/>
  <c r="L134" i="1" s="1"/>
  <c r="J134" i="1"/>
  <c r="E134" i="1"/>
  <c r="G134" i="1" s="1"/>
  <c r="N133" i="1"/>
  <c r="K133" i="1"/>
  <c r="L133" i="1" s="1"/>
  <c r="J133" i="1"/>
  <c r="E133" i="1"/>
  <c r="G133" i="1" s="1"/>
  <c r="N132" i="1"/>
  <c r="K132" i="1"/>
  <c r="L132" i="1" s="1"/>
  <c r="J132" i="1"/>
  <c r="E132" i="1"/>
  <c r="G132" i="1" s="1"/>
  <c r="N131" i="1"/>
  <c r="K131" i="1"/>
  <c r="L131" i="1" s="1"/>
  <c r="J131" i="1"/>
  <c r="E131" i="1"/>
  <c r="G131" i="1" s="1"/>
  <c r="N130" i="1"/>
  <c r="K130" i="1"/>
  <c r="L130" i="1" s="1"/>
  <c r="J130" i="1"/>
  <c r="E130" i="1"/>
  <c r="G130" i="1" s="1"/>
  <c r="N129" i="1"/>
  <c r="N136" i="1" s="1"/>
  <c r="Q26" i="1" s="1"/>
  <c r="R26" i="1" s="1"/>
  <c r="K129" i="1"/>
  <c r="J129" i="1"/>
  <c r="J136" i="1" s="1"/>
  <c r="E129" i="1"/>
  <c r="R128" i="1"/>
  <c r="R127" i="1"/>
  <c r="N127" i="1"/>
  <c r="K127" i="1"/>
  <c r="L127" i="1" s="1"/>
  <c r="J127" i="1"/>
  <c r="E127" i="1"/>
  <c r="G127" i="1" s="1"/>
  <c r="R126" i="1"/>
  <c r="N126" i="1"/>
  <c r="K126" i="1"/>
  <c r="L126" i="1" s="1"/>
  <c r="J126" i="1"/>
  <c r="E126" i="1"/>
  <c r="G126" i="1" s="1"/>
  <c r="R125" i="1"/>
  <c r="N125" i="1"/>
  <c r="K125" i="1"/>
  <c r="L125" i="1" s="1"/>
  <c r="J125" i="1"/>
  <c r="E125" i="1"/>
  <c r="G125" i="1" s="1"/>
  <c r="R124" i="1"/>
  <c r="N124" i="1"/>
  <c r="K124" i="1"/>
  <c r="L124" i="1" s="1"/>
  <c r="J124" i="1"/>
  <c r="E124" i="1"/>
  <c r="G124" i="1" s="1"/>
  <c r="R123" i="1"/>
  <c r="N123" i="1"/>
  <c r="K123" i="1"/>
  <c r="L123" i="1" s="1"/>
  <c r="J123" i="1"/>
  <c r="E123" i="1"/>
  <c r="G123" i="1" s="1"/>
  <c r="R122" i="1"/>
  <c r="N122" i="1"/>
  <c r="K122" i="1"/>
  <c r="J122" i="1"/>
  <c r="L122" i="1" s="1"/>
  <c r="E122" i="1"/>
  <c r="G122" i="1" s="1"/>
  <c r="R121" i="1"/>
  <c r="N121" i="1"/>
  <c r="N128" i="1" s="1"/>
  <c r="Q17" i="1" s="1"/>
  <c r="R17" i="1" s="1"/>
  <c r="K121" i="1"/>
  <c r="J121" i="1"/>
  <c r="J128" i="1" s="1"/>
  <c r="E121" i="1"/>
  <c r="R120" i="1"/>
  <c r="R119" i="1"/>
  <c r="N119" i="1"/>
  <c r="K119" i="1"/>
  <c r="L119" i="1" s="1"/>
  <c r="J119" i="1"/>
  <c r="E119" i="1"/>
  <c r="G119" i="1" s="1"/>
  <c r="R118" i="1"/>
  <c r="N118" i="1"/>
  <c r="K118" i="1"/>
  <c r="L118" i="1" s="1"/>
  <c r="J118" i="1"/>
  <c r="E118" i="1"/>
  <c r="G118" i="1" s="1"/>
  <c r="R117" i="1"/>
  <c r="N117" i="1"/>
  <c r="K117" i="1"/>
  <c r="J117" i="1"/>
  <c r="E117" i="1"/>
  <c r="G117" i="1" s="1"/>
  <c r="R116" i="1"/>
  <c r="N116" i="1"/>
  <c r="J116" i="1"/>
  <c r="L116" i="1" s="1"/>
  <c r="E116" i="1"/>
  <c r="G116" i="1" s="1"/>
  <c r="R115" i="1"/>
  <c r="N115" i="1"/>
  <c r="J115" i="1"/>
  <c r="L115" i="1" s="1"/>
  <c r="E115" i="1"/>
  <c r="G115" i="1" s="1"/>
  <c r="R114" i="1"/>
  <c r="N114" i="1"/>
  <c r="J114" i="1"/>
  <c r="L114" i="1" s="1"/>
  <c r="G114" i="1"/>
  <c r="E114" i="1"/>
  <c r="R113" i="1"/>
  <c r="N113" i="1"/>
  <c r="N120" i="1" s="1"/>
  <c r="J113" i="1"/>
  <c r="E113" i="1"/>
  <c r="R112" i="1"/>
  <c r="R111" i="1"/>
  <c r="N111" i="1"/>
  <c r="K111" i="1"/>
  <c r="J111" i="1"/>
  <c r="L111" i="1" s="1"/>
  <c r="E111" i="1"/>
  <c r="G111" i="1" s="1"/>
  <c r="R110" i="1"/>
  <c r="N110" i="1"/>
  <c r="K110" i="1"/>
  <c r="L110" i="1" s="1"/>
  <c r="J110" i="1"/>
  <c r="E110" i="1"/>
  <c r="G110" i="1" s="1"/>
  <c r="R109" i="1"/>
  <c r="N109" i="1"/>
  <c r="K109" i="1"/>
  <c r="L109" i="1" s="1"/>
  <c r="J109" i="1"/>
  <c r="G109" i="1"/>
  <c r="E109" i="1"/>
  <c r="R108" i="1"/>
  <c r="N108" i="1"/>
  <c r="K108" i="1"/>
  <c r="L108" i="1" s="1"/>
  <c r="J108" i="1"/>
  <c r="E108" i="1"/>
  <c r="G108" i="1" s="1"/>
  <c r="R107" i="1"/>
  <c r="N107" i="1"/>
  <c r="K107" i="1"/>
  <c r="L107" i="1" s="1"/>
  <c r="J107" i="1"/>
  <c r="E107" i="1"/>
  <c r="G107" i="1" s="1"/>
  <c r="R106" i="1"/>
  <c r="N106" i="1"/>
  <c r="K106" i="1"/>
  <c r="L106" i="1" s="1"/>
  <c r="J106" i="1"/>
  <c r="E106" i="1"/>
  <c r="G106" i="1" s="1"/>
  <c r="R105" i="1"/>
  <c r="N105" i="1"/>
  <c r="N112" i="1" s="1"/>
  <c r="Q15" i="1" s="1"/>
  <c r="R15" i="1" s="1"/>
  <c r="K105" i="1"/>
  <c r="L105" i="1" s="1"/>
  <c r="J105" i="1"/>
  <c r="E105" i="1"/>
  <c r="G105" i="1" s="1"/>
  <c r="R104" i="1"/>
  <c r="R103" i="1"/>
  <c r="N103" i="1"/>
  <c r="K103" i="1"/>
  <c r="L103" i="1" s="1"/>
  <c r="J103" i="1"/>
  <c r="E103" i="1"/>
  <c r="G103" i="1" s="1"/>
  <c r="R102" i="1"/>
  <c r="N102" i="1"/>
  <c r="K102" i="1"/>
  <c r="L102" i="1" s="1"/>
  <c r="J102" i="1"/>
  <c r="E102" i="1"/>
  <c r="G102" i="1" s="1"/>
  <c r="R101" i="1"/>
  <c r="N101" i="1"/>
  <c r="K101" i="1"/>
  <c r="L101" i="1" s="1"/>
  <c r="J101" i="1"/>
  <c r="E101" i="1"/>
  <c r="G101" i="1" s="1"/>
  <c r="R100" i="1"/>
  <c r="N100" i="1"/>
  <c r="K100" i="1"/>
  <c r="L100" i="1" s="1"/>
  <c r="J100" i="1"/>
  <c r="E100" i="1"/>
  <c r="G100" i="1" s="1"/>
  <c r="R99" i="1"/>
  <c r="N99" i="1"/>
  <c r="K99" i="1"/>
  <c r="L99" i="1" s="1"/>
  <c r="J99" i="1"/>
  <c r="E99" i="1"/>
  <c r="G99" i="1" s="1"/>
  <c r="R98" i="1"/>
  <c r="N98" i="1"/>
  <c r="N104" i="1" s="1"/>
  <c r="Q14" i="1" s="1"/>
  <c r="R14" i="1" s="1"/>
  <c r="K98" i="1"/>
  <c r="J98" i="1"/>
  <c r="E98" i="1"/>
  <c r="R97" i="1"/>
  <c r="R96" i="1"/>
  <c r="N96" i="1"/>
  <c r="K96" i="1"/>
  <c r="L96" i="1" s="1"/>
  <c r="J96" i="1"/>
  <c r="E96" i="1"/>
  <c r="G96" i="1" s="1"/>
  <c r="R95" i="1"/>
  <c r="N95" i="1"/>
  <c r="K95" i="1"/>
  <c r="L95" i="1" s="1"/>
  <c r="J95" i="1"/>
  <c r="E95" i="1"/>
  <c r="G95" i="1" s="1"/>
  <c r="R94" i="1"/>
  <c r="N94" i="1"/>
  <c r="K94" i="1"/>
  <c r="L94" i="1" s="1"/>
  <c r="J94" i="1"/>
  <c r="G94" i="1"/>
  <c r="E94" i="1"/>
  <c r="R93" i="1"/>
  <c r="N93" i="1"/>
  <c r="K93" i="1"/>
  <c r="L93" i="1" s="1"/>
  <c r="J93" i="1"/>
  <c r="E93" i="1"/>
  <c r="G93" i="1" s="1"/>
  <c r="R92" i="1"/>
  <c r="N92" i="1"/>
  <c r="K92" i="1"/>
  <c r="L92" i="1" s="1"/>
  <c r="J92" i="1"/>
  <c r="E92" i="1"/>
  <c r="G92" i="1" s="1"/>
  <c r="R91" i="1"/>
  <c r="N91" i="1"/>
  <c r="K91" i="1"/>
  <c r="L91" i="1" s="1"/>
  <c r="J91" i="1"/>
  <c r="E91" i="1"/>
  <c r="G91" i="1" s="1"/>
  <c r="R90" i="1"/>
  <c r="N90" i="1"/>
  <c r="K90" i="1"/>
  <c r="L90" i="1" s="1"/>
  <c r="J90" i="1"/>
  <c r="E90" i="1"/>
  <c r="G90" i="1" s="1"/>
  <c r="R89" i="1"/>
  <c r="N89" i="1"/>
  <c r="N97" i="1" s="1"/>
  <c r="Q13" i="1" s="1"/>
  <c r="R13" i="1" s="1"/>
  <c r="K89" i="1"/>
  <c r="J89" i="1"/>
  <c r="J97" i="1" s="1"/>
  <c r="E89" i="1"/>
  <c r="R88" i="1"/>
  <c r="R87" i="1"/>
  <c r="N87" i="1"/>
  <c r="K87" i="1"/>
  <c r="L87" i="1" s="1"/>
  <c r="J87" i="1"/>
  <c r="E87" i="1"/>
  <c r="G87" i="1" s="1"/>
  <c r="R86" i="1"/>
  <c r="N86" i="1"/>
  <c r="K86" i="1"/>
  <c r="L86" i="1" s="1"/>
  <c r="J86" i="1"/>
  <c r="E86" i="1"/>
  <c r="G86" i="1" s="1"/>
  <c r="R85" i="1"/>
  <c r="N85" i="1"/>
  <c r="K85" i="1"/>
  <c r="L85" i="1" s="1"/>
  <c r="J85" i="1"/>
  <c r="E85" i="1"/>
  <c r="G85" i="1" s="1"/>
  <c r="R84" i="1"/>
  <c r="N84" i="1"/>
  <c r="K84" i="1"/>
  <c r="L84" i="1" s="1"/>
  <c r="J84" i="1"/>
  <c r="E84" i="1"/>
  <c r="G84" i="1" s="1"/>
  <c r="R83" i="1"/>
  <c r="N83" i="1"/>
  <c r="K83" i="1"/>
  <c r="L83" i="1" s="1"/>
  <c r="J83" i="1"/>
  <c r="E83" i="1"/>
  <c r="G83" i="1" s="1"/>
  <c r="R82" i="1"/>
  <c r="N82" i="1"/>
  <c r="K82" i="1"/>
  <c r="L82" i="1" s="1"/>
  <c r="J82" i="1"/>
  <c r="E82" i="1"/>
  <c r="G82" i="1" s="1"/>
  <c r="R81" i="1"/>
  <c r="N81" i="1"/>
  <c r="N88" i="1" s="1"/>
  <c r="Q12" i="1" s="1"/>
  <c r="R12" i="1" s="1"/>
  <c r="K81" i="1"/>
  <c r="J81" i="1"/>
  <c r="J88" i="1" s="1"/>
  <c r="E81" i="1"/>
  <c r="R80" i="1"/>
  <c r="R79" i="1"/>
  <c r="N79" i="1"/>
  <c r="K79" i="1"/>
  <c r="L79" i="1" s="1"/>
  <c r="J79" i="1"/>
  <c r="E79" i="1"/>
  <c r="G79" i="1" s="1"/>
  <c r="R78" i="1"/>
  <c r="N78" i="1"/>
  <c r="K78" i="1"/>
  <c r="L78" i="1" s="1"/>
  <c r="J78" i="1"/>
  <c r="E78" i="1"/>
  <c r="G78" i="1" s="1"/>
  <c r="R77" i="1"/>
  <c r="N77" i="1"/>
  <c r="K77" i="1"/>
  <c r="L77" i="1" s="1"/>
  <c r="J77" i="1"/>
  <c r="E77" i="1"/>
  <c r="G77" i="1" s="1"/>
  <c r="R76" i="1"/>
  <c r="N76" i="1"/>
  <c r="K76" i="1"/>
  <c r="L76" i="1" s="1"/>
  <c r="J76" i="1"/>
  <c r="E76" i="1"/>
  <c r="G76" i="1" s="1"/>
  <c r="R75" i="1"/>
  <c r="N75" i="1"/>
  <c r="L75" i="1"/>
  <c r="K75" i="1"/>
  <c r="J75" i="1"/>
  <c r="E75" i="1"/>
  <c r="G75" i="1" s="1"/>
  <c r="R74" i="1"/>
  <c r="N74" i="1"/>
  <c r="K74" i="1"/>
  <c r="L74" i="1" s="1"/>
  <c r="J74" i="1"/>
  <c r="E74" i="1"/>
  <c r="G74" i="1" s="1"/>
  <c r="R73" i="1"/>
  <c r="N73" i="1"/>
  <c r="K73" i="1"/>
  <c r="J73" i="1"/>
  <c r="E73" i="1"/>
  <c r="G73" i="1" s="1"/>
  <c r="R72" i="1"/>
  <c r="N72" i="1"/>
  <c r="N80" i="1" s="1"/>
  <c r="Q11" i="1" s="1"/>
  <c r="R11" i="1" s="1"/>
  <c r="K72" i="1"/>
  <c r="L72" i="1" s="1"/>
  <c r="J72" i="1"/>
  <c r="J80" i="1" s="1"/>
  <c r="E72" i="1"/>
  <c r="R71" i="1"/>
  <c r="R70" i="1"/>
  <c r="N70" i="1"/>
  <c r="K70" i="1"/>
  <c r="L70" i="1" s="1"/>
  <c r="J70" i="1"/>
  <c r="E70" i="1"/>
  <c r="G70" i="1" s="1"/>
  <c r="R69" i="1"/>
  <c r="N69" i="1"/>
  <c r="K69" i="1"/>
  <c r="L69" i="1" s="1"/>
  <c r="J69" i="1"/>
  <c r="E69" i="1"/>
  <c r="G69" i="1" s="1"/>
  <c r="R68" i="1"/>
  <c r="N68" i="1"/>
  <c r="K68" i="1"/>
  <c r="L68" i="1" s="1"/>
  <c r="J68" i="1"/>
  <c r="E68" i="1"/>
  <c r="G68" i="1" s="1"/>
  <c r="R67" i="1"/>
  <c r="N67" i="1"/>
  <c r="K67" i="1"/>
  <c r="L67" i="1" s="1"/>
  <c r="J67" i="1"/>
  <c r="E67" i="1"/>
  <c r="G67" i="1" s="1"/>
  <c r="R66" i="1"/>
  <c r="N66" i="1"/>
  <c r="K66" i="1"/>
  <c r="L66" i="1" s="1"/>
  <c r="J66" i="1"/>
  <c r="E66" i="1"/>
  <c r="G66" i="1" s="1"/>
  <c r="N65" i="1"/>
  <c r="K65" i="1"/>
  <c r="L65" i="1" s="1"/>
  <c r="J65" i="1"/>
  <c r="E65" i="1"/>
  <c r="G65" i="1" s="1"/>
  <c r="R64" i="1"/>
  <c r="N64" i="1"/>
  <c r="K64" i="1"/>
  <c r="L64" i="1" s="1"/>
  <c r="J64" i="1"/>
  <c r="E64" i="1"/>
  <c r="G64" i="1" s="1"/>
  <c r="R63" i="1"/>
  <c r="N63" i="1"/>
  <c r="K63" i="1"/>
  <c r="L63" i="1" s="1"/>
  <c r="J63" i="1"/>
  <c r="E63" i="1"/>
  <c r="G63" i="1" s="1"/>
  <c r="R62" i="1"/>
  <c r="N62" i="1"/>
  <c r="N71" i="1" s="1"/>
  <c r="Q10" i="1" s="1"/>
  <c r="R10" i="1" s="1"/>
  <c r="K62" i="1"/>
  <c r="J62" i="1"/>
  <c r="J71" i="1" s="1"/>
  <c r="E62" i="1"/>
  <c r="R61" i="1"/>
  <c r="R60" i="1"/>
  <c r="N60" i="1"/>
  <c r="K60" i="1"/>
  <c r="L60" i="1" s="1"/>
  <c r="J60" i="1"/>
  <c r="E60" i="1"/>
  <c r="G60" i="1" s="1"/>
  <c r="R59" i="1"/>
  <c r="N59" i="1"/>
  <c r="K59" i="1"/>
  <c r="L59" i="1" s="1"/>
  <c r="J59" i="1"/>
  <c r="E59" i="1"/>
  <c r="G59" i="1" s="1"/>
  <c r="N58" i="1"/>
  <c r="K58" i="1"/>
  <c r="L58" i="1" s="1"/>
  <c r="J58" i="1"/>
  <c r="G58" i="1"/>
  <c r="E58" i="1"/>
  <c r="R57" i="1"/>
  <c r="N57" i="1"/>
  <c r="L57" i="1"/>
  <c r="K57" i="1"/>
  <c r="J57" i="1"/>
  <c r="E57" i="1"/>
  <c r="G57" i="1" s="1"/>
  <c r="R56" i="1"/>
  <c r="N56" i="1"/>
  <c r="K56" i="1"/>
  <c r="L56" i="1" s="1"/>
  <c r="J56" i="1"/>
  <c r="E56" i="1"/>
  <c r="G56" i="1" s="1"/>
  <c r="R55" i="1"/>
  <c r="N55" i="1"/>
  <c r="K55" i="1"/>
  <c r="L55" i="1" s="1"/>
  <c r="J55" i="1"/>
  <c r="E55" i="1"/>
  <c r="G55" i="1" s="1"/>
  <c r="R54" i="1"/>
  <c r="N54" i="1"/>
  <c r="K54" i="1"/>
  <c r="L54" i="1" s="1"/>
  <c r="J54" i="1"/>
  <c r="E54" i="1"/>
  <c r="G54" i="1" s="1"/>
  <c r="R53" i="1"/>
  <c r="N53" i="1"/>
  <c r="K53" i="1"/>
  <c r="L53" i="1" s="1"/>
  <c r="J53" i="1"/>
  <c r="E53" i="1"/>
  <c r="G53" i="1" s="1"/>
  <c r="R52" i="1"/>
  <c r="N52" i="1"/>
  <c r="K52" i="1"/>
  <c r="L52" i="1" s="1"/>
  <c r="J52" i="1"/>
  <c r="E52" i="1"/>
  <c r="G52" i="1" s="1"/>
  <c r="R51" i="1"/>
  <c r="N51" i="1"/>
  <c r="K51" i="1"/>
  <c r="L51" i="1" s="1"/>
  <c r="J51" i="1"/>
  <c r="E51" i="1"/>
  <c r="G51" i="1" s="1"/>
  <c r="R50" i="1"/>
  <c r="N50" i="1"/>
  <c r="N61" i="1" s="1"/>
  <c r="Q8" i="1" s="1"/>
  <c r="R8" i="1" s="1"/>
  <c r="K50" i="1"/>
  <c r="J50" i="1"/>
  <c r="J61" i="1" s="1"/>
  <c r="E50" i="1"/>
  <c r="R49" i="1"/>
  <c r="R48" i="1"/>
  <c r="N48" i="1"/>
  <c r="K48" i="1"/>
  <c r="J48" i="1"/>
  <c r="L48" i="1" s="1"/>
  <c r="E48" i="1"/>
  <c r="G48" i="1" s="1"/>
  <c r="R47" i="1"/>
  <c r="N47" i="1"/>
  <c r="K47" i="1"/>
  <c r="L47" i="1" s="1"/>
  <c r="J47" i="1"/>
  <c r="E47" i="1"/>
  <c r="G47" i="1" s="1"/>
  <c r="N46" i="1"/>
  <c r="K46" i="1"/>
  <c r="L46" i="1" s="1"/>
  <c r="J46" i="1"/>
  <c r="E46" i="1"/>
  <c r="G46" i="1" s="1"/>
  <c r="N45" i="1"/>
  <c r="K45" i="1"/>
  <c r="L45" i="1" s="1"/>
  <c r="J45" i="1"/>
  <c r="E45" i="1"/>
  <c r="G45" i="1" s="1"/>
  <c r="R44" i="1"/>
  <c r="N44" i="1"/>
  <c r="K44" i="1"/>
  <c r="L44" i="1" s="1"/>
  <c r="J44" i="1"/>
  <c r="E44" i="1"/>
  <c r="G44" i="1" s="1"/>
  <c r="R43" i="1"/>
  <c r="N43" i="1"/>
  <c r="K43" i="1"/>
  <c r="L43" i="1" s="1"/>
  <c r="J43" i="1"/>
  <c r="E43" i="1"/>
  <c r="G43" i="1" s="1"/>
  <c r="R42" i="1"/>
  <c r="N42" i="1"/>
  <c r="K42" i="1"/>
  <c r="L42" i="1" s="1"/>
  <c r="J42" i="1"/>
  <c r="E42" i="1"/>
  <c r="G42" i="1" s="1"/>
  <c r="R41" i="1"/>
  <c r="N41" i="1"/>
  <c r="K41" i="1"/>
  <c r="L41" i="1" s="1"/>
  <c r="J41" i="1"/>
  <c r="E41" i="1"/>
  <c r="G41" i="1" s="1"/>
  <c r="R40" i="1"/>
  <c r="N40" i="1"/>
  <c r="K40" i="1"/>
  <c r="L40" i="1" s="1"/>
  <c r="J40" i="1"/>
  <c r="E40" i="1"/>
  <c r="G40" i="1" s="1"/>
  <c r="R39" i="1"/>
  <c r="N39" i="1"/>
  <c r="N49" i="1" s="1"/>
  <c r="Q7" i="1" s="1"/>
  <c r="R7" i="1" s="1"/>
  <c r="K39" i="1"/>
  <c r="J39" i="1"/>
  <c r="J49" i="1" s="1"/>
  <c r="E39" i="1"/>
  <c r="R38" i="1"/>
  <c r="R37" i="1"/>
  <c r="N37" i="1"/>
  <c r="K37" i="1"/>
  <c r="L37" i="1" s="1"/>
  <c r="J37" i="1"/>
  <c r="E37" i="1"/>
  <c r="G37" i="1" s="1"/>
  <c r="R36" i="1"/>
  <c r="N36" i="1"/>
  <c r="K36" i="1"/>
  <c r="L36" i="1" s="1"/>
  <c r="J36" i="1"/>
  <c r="E36" i="1"/>
  <c r="G36" i="1" s="1"/>
  <c r="R35" i="1"/>
  <c r="N35" i="1"/>
  <c r="K35" i="1"/>
  <c r="L35" i="1" s="1"/>
  <c r="J35" i="1"/>
  <c r="E35" i="1"/>
  <c r="G35" i="1" s="1"/>
  <c r="R34" i="1"/>
  <c r="N34" i="1"/>
  <c r="K34" i="1"/>
  <c r="J34" i="1"/>
  <c r="L34" i="1" s="1"/>
  <c r="E34" i="1"/>
  <c r="G34" i="1" s="1"/>
  <c r="R33" i="1"/>
  <c r="N33" i="1"/>
  <c r="K33" i="1"/>
  <c r="L33" i="1" s="1"/>
  <c r="J33" i="1"/>
  <c r="E33" i="1"/>
  <c r="G33" i="1" s="1"/>
  <c r="R32" i="1"/>
  <c r="N32" i="1"/>
  <c r="K32" i="1"/>
  <c r="L32" i="1" s="1"/>
  <c r="J32" i="1"/>
  <c r="E32" i="1"/>
  <c r="G32" i="1" s="1"/>
  <c r="R31" i="1"/>
  <c r="N31" i="1"/>
  <c r="K31" i="1"/>
  <c r="L31" i="1" s="1"/>
  <c r="J31" i="1"/>
  <c r="E31" i="1"/>
  <c r="G31" i="1" s="1"/>
  <c r="N30" i="1"/>
  <c r="N38" i="1" s="1"/>
  <c r="Q6" i="1" s="1"/>
  <c r="R6" i="1" s="1"/>
  <c r="K30" i="1"/>
  <c r="J30" i="1"/>
  <c r="J38" i="1" s="1"/>
  <c r="E30" i="1"/>
  <c r="N28" i="1"/>
  <c r="K28" i="1"/>
  <c r="L28" i="1" s="1"/>
  <c r="J28" i="1"/>
  <c r="E28" i="1"/>
  <c r="G28" i="1" s="1"/>
  <c r="N27" i="1"/>
  <c r="K27" i="1"/>
  <c r="J27" i="1"/>
  <c r="L27" i="1" s="1"/>
  <c r="E27" i="1"/>
  <c r="G27" i="1" s="1"/>
  <c r="N26" i="1"/>
  <c r="K26" i="1"/>
  <c r="L26" i="1" s="1"/>
  <c r="J26" i="1"/>
  <c r="G26" i="1"/>
  <c r="E26" i="1"/>
  <c r="N25" i="1"/>
  <c r="K25" i="1"/>
  <c r="L25" i="1" s="1"/>
  <c r="J25" i="1"/>
  <c r="E25" i="1"/>
  <c r="G25" i="1" s="1"/>
  <c r="N24" i="1"/>
  <c r="K24" i="1"/>
  <c r="L24" i="1" s="1"/>
  <c r="J24" i="1"/>
  <c r="E24" i="1"/>
  <c r="G24" i="1" s="1"/>
  <c r="N23" i="1"/>
  <c r="K23" i="1"/>
  <c r="J23" i="1"/>
  <c r="L23" i="1" s="1"/>
  <c r="E23" i="1"/>
  <c r="G23" i="1" s="1"/>
  <c r="N22" i="1"/>
  <c r="K22" i="1"/>
  <c r="L22" i="1" s="1"/>
  <c r="J22" i="1"/>
  <c r="E22" i="1"/>
  <c r="G22" i="1" s="1"/>
  <c r="N21" i="1"/>
  <c r="K21" i="1"/>
  <c r="L21" i="1" s="1"/>
  <c r="J21" i="1"/>
  <c r="E21" i="1"/>
  <c r="G21" i="1" s="1"/>
  <c r="N20" i="1"/>
  <c r="N29" i="1" s="1"/>
  <c r="Q5" i="1" s="1"/>
  <c r="R5" i="1" s="1"/>
  <c r="K20" i="1"/>
  <c r="J20" i="1"/>
  <c r="J29" i="1" s="1"/>
  <c r="E20" i="1"/>
  <c r="O18" i="1"/>
  <c r="O19" i="1" s="1"/>
  <c r="O20" i="1" s="1"/>
  <c r="O21" i="1" s="1"/>
  <c r="O22" i="1" s="1"/>
  <c r="O23" i="1" s="1"/>
  <c r="O24" i="1" s="1"/>
  <c r="O25" i="1" s="1"/>
  <c r="O26" i="1" s="1"/>
  <c r="N18" i="1"/>
  <c r="K18" i="1"/>
  <c r="L18" i="1" s="1"/>
  <c r="J18" i="1"/>
  <c r="E18" i="1"/>
  <c r="G18" i="1" s="1"/>
  <c r="N17" i="1"/>
  <c r="K17" i="1"/>
  <c r="L17" i="1" s="1"/>
  <c r="J17" i="1"/>
  <c r="E17" i="1"/>
  <c r="G17" i="1" s="1"/>
  <c r="N16" i="1"/>
  <c r="K16" i="1"/>
  <c r="J16" i="1"/>
  <c r="L16" i="1" s="1"/>
  <c r="E16" i="1"/>
  <c r="G16" i="1" s="1"/>
  <c r="N15" i="1"/>
  <c r="K15" i="1"/>
  <c r="L15" i="1" s="1"/>
  <c r="J15" i="1"/>
  <c r="E15" i="1"/>
  <c r="G15" i="1" s="1"/>
  <c r="N14" i="1"/>
  <c r="K14" i="1"/>
  <c r="L14" i="1" s="1"/>
  <c r="J14" i="1"/>
  <c r="E14" i="1"/>
  <c r="G14" i="1" s="1"/>
  <c r="N13" i="1"/>
  <c r="K13" i="1"/>
  <c r="L13" i="1" s="1"/>
  <c r="J13" i="1"/>
  <c r="E13" i="1"/>
  <c r="G13" i="1" s="1"/>
  <c r="N12" i="1"/>
  <c r="N19" i="1" s="1"/>
  <c r="Q4" i="1" s="1"/>
  <c r="K12" i="1"/>
  <c r="J12" i="1"/>
  <c r="J19" i="1" s="1"/>
  <c r="E12" i="1"/>
  <c r="G11" i="1"/>
  <c r="N10" i="1"/>
  <c r="L10" i="1"/>
  <c r="K10" i="1"/>
  <c r="J10" i="1"/>
  <c r="E10" i="1"/>
  <c r="G10" i="1" s="1"/>
  <c r="N9" i="1"/>
  <c r="K9" i="1"/>
  <c r="L9" i="1" s="1"/>
  <c r="J9" i="1"/>
  <c r="E9" i="1"/>
  <c r="G9" i="1" s="1"/>
  <c r="N8" i="1"/>
  <c r="K8" i="1"/>
  <c r="L8" i="1" s="1"/>
  <c r="J8" i="1"/>
  <c r="E8" i="1"/>
  <c r="G8" i="1" s="1"/>
  <c r="N7" i="1"/>
  <c r="K7" i="1"/>
  <c r="L7" i="1" s="1"/>
  <c r="J7" i="1"/>
  <c r="E7" i="1"/>
  <c r="G7" i="1" s="1"/>
  <c r="N6" i="1"/>
  <c r="K6" i="1"/>
  <c r="L6" i="1" s="1"/>
  <c r="J6" i="1"/>
  <c r="E6" i="1"/>
  <c r="G6" i="1" s="1"/>
  <c r="N5" i="1"/>
  <c r="K5" i="1"/>
  <c r="L5" i="1" s="1"/>
  <c r="J5" i="1"/>
  <c r="E5" i="1"/>
  <c r="G5" i="1" s="1"/>
  <c r="N4" i="1"/>
  <c r="K4" i="1"/>
  <c r="L4" i="1" s="1"/>
  <c r="J4" i="1"/>
  <c r="G4" i="1"/>
  <c r="E4" i="1"/>
  <c r="N3" i="1"/>
  <c r="K3" i="1"/>
  <c r="K11" i="1" s="1"/>
  <c r="J3" i="1"/>
  <c r="E3" i="1"/>
  <c r="E352" i="1" l="1"/>
  <c r="G346" i="1"/>
  <c r="G352" i="1" s="1"/>
  <c r="K345" i="1"/>
  <c r="L336" i="1"/>
  <c r="L345" i="1" s="1"/>
  <c r="E345" i="1"/>
  <c r="G336" i="1"/>
  <c r="G345" i="1" s="1"/>
  <c r="K335" i="1"/>
  <c r="L329" i="1"/>
  <c r="L335" i="1" s="1"/>
  <c r="E335" i="1"/>
  <c r="G329" i="1"/>
  <c r="G335" i="1" s="1"/>
  <c r="L319" i="1"/>
  <c r="L328" i="1" s="1"/>
  <c r="K328" i="1"/>
  <c r="G319" i="1"/>
  <c r="G328" i="1" s="1"/>
  <c r="E328" i="1"/>
  <c r="K318" i="1"/>
  <c r="L310" i="1"/>
  <c r="L318" i="1" s="1"/>
  <c r="G310" i="1"/>
  <c r="G318" i="1" s="1"/>
  <c r="E318" i="1"/>
  <c r="L303" i="1"/>
  <c r="L309" i="1" s="1"/>
  <c r="K309" i="1"/>
  <c r="E309" i="1"/>
  <c r="G303" i="1"/>
  <c r="G309" i="1" s="1"/>
  <c r="L294" i="1"/>
  <c r="L302" i="1" s="1"/>
  <c r="K302" i="1"/>
  <c r="G294" i="1"/>
  <c r="G302" i="1" s="1"/>
  <c r="E302" i="1"/>
  <c r="K293" i="1"/>
  <c r="L286" i="1"/>
  <c r="L285" i="1"/>
  <c r="L293" i="1" s="1"/>
  <c r="J293" i="1"/>
  <c r="G285" i="1"/>
  <c r="G293" i="1" s="1"/>
  <c r="E293" i="1"/>
  <c r="L276" i="1"/>
  <c r="L284" i="1" s="1"/>
  <c r="K284" i="1"/>
  <c r="E284" i="1"/>
  <c r="G276" i="1"/>
  <c r="G284" i="1" s="1"/>
  <c r="N273" i="1"/>
  <c r="N275" i="1" s="1"/>
  <c r="Q242" i="1" s="1"/>
  <c r="R242" i="1" s="1"/>
  <c r="L273" i="1"/>
  <c r="L269" i="1"/>
  <c r="L275" i="1" s="1"/>
  <c r="K275" i="1"/>
  <c r="E275" i="1"/>
  <c r="G269" i="1"/>
  <c r="G275" i="1" s="1"/>
  <c r="L264" i="1"/>
  <c r="N264" i="1"/>
  <c r="N268" i="1" s="1"/>
  <c r="Q241" i="1" s="1"/>
  <c r="R241" i="1" s="1"/>
  <c r="E268" i="1"/>
  <c r="G264" i="1"/>
  <c r="L263" i="1"/>
  <c r="L268" i="1" s="1"/>
  <c r="K268" i="1"/>
  <c r="L260" i="1"/>
  <c r="N260" i="1"/>
  <c r="L259" i="1"/>
  <c r="N259" i="1"/>
  <c r="L258" i="1"/>
  <c r="N258" i="1"/>
  <c r="K262" i="1"/>
  <c r="L257" i="1"/>
  <c r="L262" i="1" s="1"/>
  <c r="N257" i="1"/>
  <c r="N262" i="1" s="1"/>
  <c r="Q240" i="1" s="1"/>
  <c r="R240" i="1" s="1"/>
  <c r="L251" i="1"/>
  <c r="L256" i="1" s="1"/>
  <c r="J256" i="1"/>
  <c r="E256" i="1"/>
  <c r="G251" i="1"/>
  <c r="G256" i="1" s="1"/>
  <c r="L249" i="1"/>
  <c r="N249" i="1"/>
  <c r="N250" i="1" s="1"/>
  <c r="Q238" i="1" s="1"/>
  <c r="R238" i="1" s="1"/>
  <c r="L244" i="1"/>
  <c r="L250" i="1" s="1"/>
  <c r="K250" i="1"/>
  <c r="E250" i="1"/>
  <c r="G244" i="1"/>
  <c r="G250" i="1" s="1"/>
  <c r="N242" i="1"/>
  <c r="L242" i="1"/>
  <c r="L241" i="1"/>
  <c r="N241" i="1"/>
  <c r="N240" i="1"/>
  <c r="L240" i="1"/>
  <c r="N238" i="1"/>
  <c r="K243" i="1"/>
  <c r="L238" i="1"/>
  <c r="L243" i="1" s="1"/>
  <c r="E243" i="1"/>
  <c r="G238" i="1"/>
  <c r="G243" i="1" s="1"/>
  <c r="N232" i="1"/>
  <c r="L232" i="1"/>
  <c r="L231" i="1"/>
  <c r="N231" i="1"/>
  <c r="N230" i="1"/>
  <c r="N233" i="1" s="1"/>
  <c r="Q29" i="1" s="1"/>
  <c r="R29" i="1" s="1"/>
  <c r="L230" i="1"/>
  <c r="K233" i="1"/>
  <c r="L226" i="1"/>
  <c r="N224" i="1"/>
  <c r="L224" i="1"/>
  <c r="N222" i="1"/>
  <c r="N225" i="1" s="1"/>
  <c r="Q28" i="1" s="1"/>
  <c r="R28" i="1" s="1"/>
  <c r="L222" i="1"/>
  <c r="K225" i="1"/>
  <c r="L218" i="1"/>
  <c r="L233" i="1" s="1"/>
  <c r="G218" i="1"/>
  <c r="G233" i="1" s="1"/>
  <c r="N216" i="1"/>
  <c r="L216" i="1"/>
  <c r="N214" i="1"/>
  <c r="N217" i="1" s="1"/>
  <c r="Q27" i="1" s="1"/>
  <c r="R27" i="1" s="1"/>
  <c r="L214" i="1"/>
  <c r="K217" i="1"/>
  <c r="L210" i="1"/>
  <c r="L225" i="1" s="1"/>
  <c r="G210" i="1"/>
  <c r="G225" i="1" s="1"/>
  <c r="L208" i="1"/>
  <c r="N208" i="1"/>
  <c r="L207" i="1"/>
  <c r="N207" i="1"/>
  <c r="L206" i="1"/>
  <c r="N206" i="1"/>
  <c r="L204" i="1"/>
  <c r="N204" i="1"/>
  <c r="L203" i="1"/>
  <c r="N203" i="1"/>
  <c r="L202" i="1"/>
  <c r="L217" i="1" s="1"/>
  <c r="N202" i="1"/>
  <c r="N209" i="1" s="1"/>
  <c r="Q25" i="1" s="1"/>
  <c r="R25" i="1" s="1"/>
  <c r="K209" i="1"/>
  <c r="G202" i="1"/>
  <c r="G217" i="1" s="1"/>
  <c r="N200" i="1"/>
  <c r="L200" i="1"/>
  <c r="N199" i="1"/>
  <c r="N201" i="1" s="1"/>
  <c r="Q24" i="1" s="1"/>
  <c r="R24" i="1" s="1"/>
  <c r="L199" i="1"/>
  <c r="L194" i="1"/>
  <c r="L209" i="1" s="1"/>
  <c r="K201" i="1"/>
  <c r="G194" i="1"/>
  <c r="G209" i="1" s="1"/>
  <c r="N191" i="1"/>
  <c r="L191" i="1"/>
  <c r="N190" i="1"/>
  <c r="L190" i="1"/>
  <c r="N189" i="1"/>
  <c r="L189" i="1"/>
  <c r="L188" i="1"/>
  <c r="L201" i="1" s="1"/>
  <c r="N188" i="1"/>
  <c r="G188" i="1"/>
  <c r="G201" i="1" s="1"/>
  <c r="L187" i="1"/>
  <c r="N187" i="1"/>
  <c r="L186" i="1"/>
  <c r="N186" i="1"/>
  <c r="L185" i="1"/>
  <c r="L193" i="1" s="1"/>
  <c r="K193" i="1"/>
  <c r="N185" i="1"/>
  <c r="N193" i="1" s="1"/>
  <c r="Q23" i="1" s="1"/>
  <c r="R23" i="1" s="1"/>
  <c r="G185" i="1"/>
  <c r="G193" i="1" s="1"/>
  <c r="E193" i="1"/>
  <c r="E201" i="1" s="1"/>
  <c r="E209" i="1" s="1"/>
  <c r="E217" i="1" s="1"/>
  <c r="E225" i="1" s="1"/>
  <c r="E233" i="1" s="1"/>
  <c r="L183" i="1"/>
  <c r="N183" i="1"/>
  <c r="N182" i="1"/>
  <c r="L182" i="1"/>
  <c r="L181" i="1"/>
  <c r="N181" i="1"/>
  <c r="N184" i="1" s="1"/>
  <c r="Q22" i="1" s="1"/>
  <c r="R22" i="1" s="1"/>
  <c r="L176" i="1"/>
  <c r="L184" i="1" s="1"/>
  <c r="K184" i="1"/>
  <c r="E184" i="1"/>
  <c r="G176" i="1"/>
  <c r="G184" i="1" s="1"/>
  <c r="N174" i="1"/>
  <c r="N175" i="1" s="1"/>
  <c r="Q21" i="1" s="1"/>
  <c r="R21" i="1" s="1"/>
  <c r="L174" i="1"/>
  <c r="L167" i="1"/>
  <c r="L175" i="1" s="1"/>
  <c r="K175" i="1"/>
  <c r="G167" i="1"/>
  <c r="G175" i="1" s="1"/>
  <c r="E175" i="1"/>
  <c r="L165" i="1"/>
  <c r="N165" i="1"/>
  <c r="N166" i="1" s="1"/>
  <c r="Q20" i="1" s="1"/>
  <c r="R20" i="1" s="1"/>
  <c r="L158" i="1"/>
  <c r="L166" i="1" s="1"/>
  <c r="K166" i="1"/>
  <c r="E166" i="1"/>
  <c r="G158" i="1"/>
  <c r="G166" i="1" s="1"/>
  <c r="N156" i="1"/>
  <c r="L156" i="1"/>
  <c r="N152" i="1"/>
  <c r="L152" i="1"/>
  <c r="N151" i="1"/>
  <c r="L151" i="1"/>
  <c r="L150" i="1"/>
  <c r="N150" i="1"/>
  <c r="L149" i="1"/>
  <c r="L157" i="1" s="1"/>
  <c r="K157" i="1"/>
  <c r="N149" i="1"/>
  <c r="N157" i="1" s="1"/>
  <c r="Q19" i="1" s="1"/>
  <c r="R19" i="1" s="1"/>
  <c r="E157" i="1"/>
  <c r="G149" i="1"/>
  <c r="G157" i="1" s="1"/>
  <c r="L137" i="1"/>
  <c r="L148" i="1" s="1"/>
  <c r="K148" i="1"/>
  <c r="E148" i="1"/>
  <c r="G137" i="1"/>
  <c r="G148" i="1" s="1"/>
  <c r="L129" i="1"/>
  <c r="L136" i="1" s="1"/>
  <c r="K136" i="1"/>
  <c r="E136" i="1"/>
  <c r="G129" i="1"/>
  <c r="G136" i="1" s="1"/>
  <c r="L121" i="1"/>
  <c r="L128" i="1" s="1"/>
  <c r="K128" i="1"/>
  <c r="G121" i="1"/>
  <c r="G128" i="1" s="1"/>
  <c r="E128" i="1"/>
  <c r="L117" i="1"/>
  <c r="K120" i="1"/>
  <c r="R16" i="1"/>
  <c r="Q16" i="1"/>
  <c r="J120" i="1"/>
  <c r="L113" i="1"/>
  <c r="L120" i="1" s="1"/>
  <c r="E120" i="1"/>
  <c r="G113" i="1"/>
  <c r="G120" i="1" s="1"/>
  <c r="L98" i="1"/>
  <c r="K104" i="1"/>
  <c r="K112" i="1"/>
  <c r="J104" i="1"/>
  <c r="J112" i="1" s="1"/>
  <c r="E104" i="1"/>
  <c r="G98" i="1"/>
  <c r="E112" i="1"/>
  <c r="K97" i="1"/>
  <c r="L89" i="1"/>
  <c r="L97" i="1" s="1"/>
  <c r="G89" i="1"/>
  <c r="G97" i="1" s="1"/>
  <c r="E97" i="1"/>
  <c r="K88" i="1"/>
  <c r="L81" i="1"/>
  <c r="L88" i="1" s="1"/>
  <c r="E88" i="1"/>
  <c r="G81" i="1"/>
  <c r="G88" i="1" s="1"/>
  <c r="K80" i="1"/>
  <c r="L73" i="1"/>
  <c r="L80" i="1" s="1"/>
  <c r="E80" i="1"/>
  <c r="G72" i="1"/>
  <c r="G80" i="1" s="1"/>
  <c r="L62" i="1"/>
  <c r="L71" i="1" s="1"/>
  <c r="K71" i="1"/>
  <c r="E71" i="1"/>
  <c r="G62" i="1"/>
  <c r="G71" i="1" s="1"/>
  <c r="K61" i="1"/>
  <c r="L50" i="1"/>
  <c r="L61" i="1" s="1"/>
  <c r="E61" i="1"/>
  <c r="G50" i="1"/>
  <c r="G61" i="1" s="1"/>
  <c r="L39" i="1"/>
  <c r="L49" i="1" s="1"/>
  <c r="K49" i="1"/>
  <c r="G39" i="1"/>
  <c r="G49" i="1" s="1"/>
  <c r="E49" i="1"/>
  <c r="K38" i="1"/>
  <c r="L30" i="1"/>
  <c r="L38" i="1" s="1"/>
  <c r="G30" i="1"/>
  <c r="G38" i="1" s="1"/>
  <c r="E38" i="1"/>
  <c r="L20" i="1"/>
  <c r="L29" i="1" s="1"/>
  <c r="K29" i="1"/>
  <c r="E29" i="1"/>
  <c r="G20" i="1"/>
  <c r="G29" i="1" s="1"/>
  <c r="O28" i="1"/>
  <c r="O27" i="1"/>
  <c r="R4" i="1"/>
  <c r="L12" i="1"/>
  <c r="L19" i="1" s="1"/>
  <c r="K19" i="1"/>
  <c r="G12" i="1"/>
  <c r="G19" i="1" s="1"/>
  <c r="E19" i="1"/>
  <c r="N234" i="1"/>
  <c r="N11" i="1"/>
  <c r="Q9" i="1" s="1"/>
  <c r="L3" i="1"/>
  <c r="L11" i="1" s="1"/>
  <c r="J11" i="1"/>
  <c r="G3" i="1"/>
  <c r="E11" i="1"/>
  <c r="J201" i="1"/>
  <c r="J209" i="1" s="1"/>
  <c r="J217" i="1" s="1"/>
  <c r="J225" i="1" s="1"/>
  <c r="J233" i="1" s="1"/>
  <c r="N243" i="1" l="1"/>
  <c r="Q237" i="1" s="1"/>
  <c r="N353" i="1"/>
  <c r="L112" i="1"/>
  <c r="L104" i="1"/>
  <c r="G104" i="1"/>
  <c r="G112" i="1"/>
  <c r="R9" i="1"/>
  <c r="R30" i="1" s="1"/>
  <c r="Q30" i="1"/>
  <c r="R237" i="1" l="1"/>
  <c r="Q253" i="1"/>
</calcChain>
</file>

<file path=xl/sharedStrings.xml><?xml version="1.0" encoding="utf-8"?>
<sst xmlns="http://schemas.openxmlformats.org/spreadsheetml/2006/main" count="409" uniqueCount="67">
  <si>
    <t>THỐNG KÊ DẦU / 100 KM tháng 06/2026</t>
  </si>
  <si>
    <t>NGÀY</t>
  </si>
  <si>
    <t>SỐ XE</t>
  </si>
  <si>
    <t>SỐ KM ĐỔ</t>
  </si>
  <si>
    <t>T.CỘNG</t>
  </si>
  <si>
    <t>LÍT</t>
  </si>
  <si>
    <t>L/100 KM</t>
  </si>
  <si>
    <t>định vị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</si>
  <si>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</si>
  <si>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</si>
  <si>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</si>
  <si>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</si>
  <si>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</si>
  <si>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</si>
  <si>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</si>
  <si>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</si>
  <si>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</si>
  <si>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</si>
  <si>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</si>
  <si>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</si>
  <si>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</si>
  <si>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</si>
  <si>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</si>
  <si>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</si>
  <si>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</si>
  <si>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47H-02023</t>
  </si>
  <si>
    <t>50H-92136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</si>
  <si>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</si>
  <si>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</si>
  <si>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</si>
  <si>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</si>
  <si>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</si>
  <si>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</si>
  <si>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</si>
  <si>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71H-03356</t>
  </si>
  <si>
    <t>50E-565,21</t>
  </si>
  <si>
    <t>50H 50999</t>
  </si>
  <si>
    <t>50H 69501</t>
  </si>
  <si>
    <t>50H 746.19</t>
  </si>
  <si>
    <t>50H 70216</t>
  </si>
  <si>
    <t>50H 87442</t>
  </si>
  <si>
    <t>62H-01887</t>
  </si>
  <si>
    <t>51D 55829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</si>
  <si>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</si>
  <si>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</si>
  <si>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</si>
  <si>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</si>
  <si>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</si>
  <si>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</si>
  <si>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</si>
  <si>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</si>
  <si>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</si>
  <si>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>50E 66082</t>
  </si>
  <si>
    <t>50E-407,46</t>
  </si>
  <si>
    <t>50E-64873</t>
  </si>
  <si>
    <t>50H 17010</t>
  </si>
  <si>
    <t>50E 75774</t>
  </si>
  <si>
    <t>50E 75873</t>
  </si>
  <si>
    <t>50E-407.46</t>
  </si>
  <si>
    <t>50E-32401</t>
  </si>
  <si>
    <t>TỔNG CỘNG</t>
  </si>
  <si>
    <t>62H  01887</t>
  </si>
  <si>
    <t xml:space="preserve"> 50E 16461</t>
  </si>
  <si>
    <t xml:space="preserve"> 50H-44328</t>
  </si>
  <si>
    <t>XE LỚN  CÂY XĂNG HIỆP TÂN</t>
  </si>
  <si>
    <t xml:space="preserve"> 50E 66082</t>
  </si>
  <si>
    <t xml:space="preserve"> 50E-654.34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</si>
</sst>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7" formatCode="d/m/yyyy"/>
    <numFmt numFmtId="168" formatCode="yyyy/m"/>
    <numFmt numFmtId="169" formatCode="dd\-mm"/>
  </numFmts>
  <fonts count="18" x14ac:knownFonts="1">
    <font>
      <sz val="12"/>
      <color theme="1"/>
      <name val="Times New Roman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81B3A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7" fillId="2" borderId="0" xfId="0" applyFont="1" applyFill="1" applyAlignment="1">
      <alignment horizontal="center"/>
    </xf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4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7" fontId="9" fillId="2" borderId="5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" fontId="9" fillId="2" borderId="5" xfId="0" applyNumberFormat="1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167" fontId="9" fillId="2" borderId="6" xfId="0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" fontId="3" fillId="2" borderId="6" xfId="0" applyNumberFormat="1" applyFont="1" applyFill="1" applyBorder="1" applyAlignment="1">
      <alignment horizontal="center"/>
    </xf>
    <xf numFmtId="4" fontId="9" fillId="2" borderId="6" xfId="0" applyNumberFormat="1" applyFont="1" applyFill="1" applyBorder="1" applyAlignment="1">
      <alignment horizontal="center"/>
    </xf>
    <xf numFmtId="3" fontId="9" fillId="2" borderId="6" xfId="0" applyNumberFormat="1" applyFont="1" applyFill="1" applyBorder="1" applyAlignment="1">
      <alignment horizontal="center"/>
    </xf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3" fontId="9" fillId="3" borderId="6" xfId="0" applyNumberFormat="1" applyFont="1" applyFill="1" applyBorder="1" applyAlignment="1">
      <alignment horizontal="center"/>
    </xf>
    <xf numFmtId="167" fontId="9" fillId="2" borderId="7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4" fontId="9" fillId="2" borderId="7" xfId="0" applyNumberFormat="1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center"/>
    </xf>
    <xf numFmtId="3" fontId="9" fillId="2" borderId="7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4" fontId="8" fillId="2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3" fontId="8" fillId="2" borderId="8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4" fontId="10" fillId="2" borderId="5" xfId="0" applyNumberFormat="1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center"/>
    </xf>
    <xf numFmtId="3" fontId="10" fillId="2" borderId="5" xfId="0" applyNumberFormat="1" applyFont="1" applyFill="1" applyBorder="1" applyAlignment="1">
      <alignment horizontal="center"/>
    </xf>
    <xf numFmtId="167" fontId="10" fillId="3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4" fontId="10" fillId="2" borderId="6" xfId="0" applyNumberFormat="1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3" fontId="10" fillId="2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7" fontId="10" fillId="3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4" fontId="10" fillId="2" borderId="7" xfId="0" applyNumberFormat="1" applyFont="1" applyFill="1" applyBorder="1" applyAlignment="1">
      <alignment horizontal="center"/>
    </xf>
    <xf numFmtId="3" fontId="10" fillId="2" borderId="7" xfId="0" applyNumberFormat="1" applyFont="1" applyFill="1" applyBorder="1" applyAlignment="1">
      <alignment horizontal="center"/>
    </xf>
    <xf numFmtId="0" fontId="3" fillId="4" borderId="0" xfId="0" applyFont="1" applyFill="1"/>
    <xf numFmtId="0" fontId="8" fillId="2" borderId="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4" fontId="8" fillId="2" borderId="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3" fontId="8" fillId="2" borderId="9" xfId="0" applyNumberFormat="1" applyFont="1" applyFill="1" applyBorder="1" applyAlignment="1">
      <alignment horizontal="center"/>
    </xf>
    <xf numFmtId="167" fontId="10" fillId="2" borderId="10" xfId="0" applyNumberFormat="1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4" fontId="10" fillId="2" borderId="14" xfId="0" applyNumberFormat="1" applyFont="1" applyFill="1" applyBorder="1" applyAlignment="1">
      <alignment horizontal="center"/>
    </xf>
    <xf numFmtId="3" fontId="10" fillId="2" borderId="11" xfId="0" applyNumberFormat="1" applyFont="1" applyFill="1" applyBorder="1" applyAlignment="1">
      <alignment horizontal="center"/>
    </xf>
    <xf numFmtId="3" fontId="10" fillId="2" borderId="15" xfId="0" applyNumberFormat="1" applyFont="1" applyFill="1" applyBorder="1" applyAlignment="1">
      <alignment horizontal="center"/>
    </xf>
    <xf numFmtId="167" fontId="10" fillId="2" borderId="16" xfId="0" applyNumberFormat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4" fontId="10" fillId="2" borderId="12" xfId="0" applyNumberFormat="1" applyFont="1" applyFill="1" applyBorder="1" applyAlignment="1">
      <alignment horizontal="center"/>
    </xf>
    <xf numFmtId="3" fontId="10" fillId="2" borderId="18" xfId="0" applyNumberFormat="1" applyFont="1" applyFill="1" applyBorder="1" applyAlignment="1">
      <alignment horizontal="center"/>
    </xf>
    <xf numFmtId="3" fontId="10" fillId="2" borderId="19" xfId="0" applyNumberFormat="1" applyFont="1" applyFill="1" applyBorder="1" applyAlignment="1">
      <alignment horizontal="center"/>
    </xf>
    <xf numFmtId="167" fontId="10" fillId="2" borderId="20" xfId="0" applyNumberFormat="1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3" fontId="10" fillId="2" borderId="12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11" fillId="2" borderId="22" xfId="0" applyNumberFormat="1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4" fontId="4" fillId="2" borderId="24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4" fontId="10" fillId="2" borderId="26" xfId="0" applyNumberFormat="1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3" fontId="10" fillId="2" borderId="27" xfId="0" applyNumberFormat="1" applyFont="1" applyFill="1" applyBorder="1" applyAlignment="1">
      <alignment horizontal="center"/>
    </xf>
    <xf numFmtId="0" fontId="9" fillId="4" borderId="28" xfId="0" applyFont="1" applyFill="1" applyBorder="1" applyAlignment="1">
      <alignment horizontal="left"/>
    </xf>
    <xf numFmtId="0" fontId="11" fillId="2" borderId="29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4" fontId="11" fillId="2" borderId="29" xfId="0" applyNumberFormat="1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3" fontId="11" fillId="2" borderId="29" xfId="0" applyNumberFormat="1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3" fontId="2" fillId="0" borderId="0" xfId="0" applyNumberFormat="1" applyFont="1"/>
    <xf numFmtId="0" fontId="12" fillId="0" borderId="0" xfId="0" applyFont="1"/>
    <xf numFmtId="0" fontId="10" fillId="3" borderId="11" xfId="0" applyFont="1" applyFill="1" applyBorder="1" applyAlignment="1">
      <alignment horizontal="center"/>
    </xf>
    <xf numFmtId="168" fontId="12" fillId="0" borderId="0" xfId="0" applyNumberFormat="1" applyFont="1"/>
    <xf numFmtId="0" fontId="9" fillId="2" borderId="26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164" fontId="10" fillId="3" borderId="20" xfId="0" applyNumberFormat="1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167" fontId="10" fillId="3" borderId="20" xfId="0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3" fontId="10" fillId="2" borderId="25" xfId="0" applyNumberFormat="1" applyFont="1" applyFill="1" applyBorder="1" applyAlignment="1">
      <alignment horizontal="center"/>
    </xf>
    <xf numFmtId="164" fontId="10" fillId="2" borderId="10" xfId="0" applyNumberFormat="1" applyFont="1" applyFill="1" applyBorder="1" applyAlignment="1">
      <alignment horizontal="center"/>
    </xf>
    <xf numFmtId="164" fontId="10" fillId="2" borderId="20" xfId="0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164" fontId="10" fillId="2" borderId="22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2" borderId="32" xfId="0" applyNumberFormat="1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5" fillId="2" borderId="7" xfId="0" applyFont="1" applyFill="1" applyBorder="1"/>
    <xf numFmtId="0" fontId="5" fillId="2" borderId="6" xfId="0" applyFont="1" applyFill="1" applyBorder="1"/>
    <xf numFmtId="0" fontId="10" fillId="2" borderId="33" xfId="0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4" fontId="10" fillId="2" borderId="33" xfId="0" applyNumberFormat="1" applyFont="1" applyFill="1" applyBorder="1" applyAlignment="1">
      <alignment horizontal="center"/>
    </xf>
    <xf numFmtId="3" fontId="10" fillId="2" borderId="33" xfId="0" applyNumberFormat="1" applyFont="1" applyFill="1" applyBorder="1" applyAlignment="1">
      <alignment horizontal="center"/>
    </xf>
    <xf numFmtId="3" fontId="10" fillId="2" borderId="34" xfId="0" applyNumberFormat="1" applyFont="1" applyFill="1" applyBorder="1" applyAlignment="1">
      <alignment horizontal="center"/>
    </xf>
    <xf numFmtId="167" fontId="10" fillId="2" borderId="35" xfId="0" applyNumberFormat="1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4" fontId="6" fillId="2" borderId="35" xfId="0" applyNumberFormat="1" applyFont="1" applyFill="1" applyBorder="1" applyAlignment="1">
      <alignment horizontal="center"/>
    </xf>
    <xf numFmtId="0" fontId="10" fillId="0" borderId="35" xfId="0" applyFont="1" applyBorder="1" applyAlignment="1">
      <alignment horizontal="center"/>
    </xf>
    <xf numFmtId="4" fontId="11" fillId="2" borderId="35" xfId="0" applyNumberFormat="1" applyFont="1" applyFill="1" applyBorder="1" applyAlignment="1">
      <alignment horizontal="center"/>
    </xf>
    <xf numFmtId="3" fontId="10" fillId="2" borderId="35" xfId="0" applyNumberFormat="1" applyFont="1" applyFill="1" applyBorder="1" applyAlignment="1">
      <alignment horizontal="center"/>
    </xf>
    <xf numFmtId="3" fontId="11" fillId="2" borderId="36" xfId="0" applyNumberFormat="1" applyFont="1" applyFill="1" applyBorder="1" applyAlignment="1">
      <alignment horizontal="center"/>
    </xf>
    <xf numFmtId="167" fontId="10" fillId="2" borderId="18" xfId="0" applyNumberFormat="1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4" fontId="4" fillId="2" borderId="30" xfId="0" applyNumberFormat="1" applyFont="1" applyFill="1" applyBorder="1" applyAlignment="1">
      <alignment horizontal="center"/>
    </xf>
    <xf numFmtId="4" fontId="10" fillId="2" borderId="18" xfId="0" applyNumberFormat="1" applyFont="1" applyFill="1" applyBorder="1" applyAlignment="1">
      <alignment horizontal="center"/>
    </xf>
    <xf numFmtId="167" fontId="10" fillId="2" borderId="12" xfId="0" applyNumberFormat="1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3" fontId="5" fillId="2" borderId="17" xfId="0" applyNumberFormat="1" applyFont="1" applyFill="1" applyBorder="1" applyAlignment="1">
      <alignment horizontal="center"/>
    </xf>
    <xf numFmtId="167" fontId="4" fillId="3" borderId="20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3" fontId="10" fillId="2" borderId="37" xfId="0" applyNumberFormat="1" applyFont="1" applyFill="1" applyBorder="1" applyAlignment="1">
      <alignment horizontal="center"/>
    </xf>
    <xf numFmtId="169" fontId="10" fillId="2" borderId="20" xfId="0" applyNumberFormat="1" applyFont="1" applyFill="1" applyBorder="1" applyAlignment="1">
      <alignment horizontal="center"/>
    </xf>
    <xf numFmtId="3" fontId="10" fillId="2" borderId="38" xfId="0" applyNumberFormat="1" applyFont="1" applyFill="1" applyBorder="1" applyAlignment="1">
      <alignment horizontal="center"/>
    </xf>
    <xf numFmtId="169" fontId="10" fillId="3" borderId="20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7" fontId="10" fillId="2" borderId="6" xfId="0" applyNumberFormat="1" applyFont="1" applyFill="1" applyBorder="1" applyAlignment="1">
      <alignment horizontal="center"/>
    </xf>
    <xf numFmtId="4" fontId="11" fillId="2" borderId="9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3" fontId="11" fillId="2" borderId="8" xfId="0" applyNumberFormat="1" applyFont="1" applyFill="1" applyBorder="1" applyAlignment="1">
      <alignment horizontal="center"/>
    </xf>
    <xf numFmtId="3" fontId="11" fillId="2" borderId="31" xfId="0" applyNumberFormat="1" applyFont="1" applyFill="1" applyBorder="1" applyAlignment="1">
      <alignment horizontal="center"/>
    </xf>
    <xf numFmtId="164" fontId="10" fillId="2" borderId="39" xfId="0" applyNumberFormat="1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4" fontId="10" fillId="2" borderId="28" xfId="0" applyNumberFormat="1" applyFont="1" applyFill="1" applyBorder="1" applyAlignment="1">
      <alignment horizontal="center"/>
    </xf>
    <xf numFmtId="3" fontId="10" fillId="2" borderId="40" xfId="0" applyNumberFormat="1" applyFont="1" applyFill="1" applyBorder="1" applyAlignment="1">
      <alignment horizontal="center"/>
    </xf>
    <xf numFmtId="164" fontId="10" fillId="2" borderId="16" xfId="0" applyNumberFormat="1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167" fontId="10" fillId="2" borderId="41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2" borderId="42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4" fontId="10" fillId="2" borderId="42" xfId="0" applyNumberFormat="1" applyFont="1" applyFill="1" applyBorder="1" applyAlignment="1">
      <alignment horizontal="center"/>
    </xf>
    <xf numFmtId="167" fontId="1" fillId="2" borderId="16" xfId="0" applyNumberFormat="1" applyFont="1" applyFill="1" applyBorder="1"/>
    <xf numFmtId="0" fontId="3" fillId="2" borderId="28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30" xfId="0" applyFont="1" applyFill="1" applyBorder="1"/>
    <xf numFmtId="0" fontId="1" fillId="2" borderId="13" xfId="0" applyFont="1" applyFill="1" applyBorder="1"/>
    <xf numFmtId="0" fontId="1" fillId="0" borderId="18" xfId="0" applyFont="1" applyBorder="1"/>
    <xf numFmtId="0" fontId="1" fillId="0" borderId="11" xfId="0" applyFont="1" applyBorder="1"/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/>
    <xf numFmtId="4" fontId="4" fillId="2" borderId="42" xfId="0" applyNumberFormat="1" applyFont="1" applyFill="1" applyBorder="1" applyAlignment="1">
      <alignment horizontal="center"/>
    </xf>
    <xf numFmtId="3" fontId="1" fillId="2" borderId="11" xfId="0" applyNumberFormat="1" applyFont="1" applyFill="1" applyBorder="1"/>
    <xf numFmtId="3" fontId="4" fillId="2" borderId="19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1" fillId="2" borderId="21" xfId="0" applyFont="1" applyFill="1" applyBorder="1"/>
    <xf numFmtId="0" fontId="1" fillId="0" borderId="12" xfId="0" applyFont="1" applyBorder="1"/>
    <xf numFmtId="0" fontId="4" fillId="2" borderId="12" xfId="0" applyFont="1" applyFill="1" applyBorder="1" applyAlignment="1">
      <alignment horizontal="center"/>
    </xf>
    <xf numFmtId="4" fontId="4" fillId="2" borderId="28" xfId="0" applyNumberFormat="1" applyFont="1" applyFill="1" applyBorder="1" applyAlignment="1">
      <alignment horizontal="center"/>
    </xf>
    <xf numFmtId="3" fontId="1" fillId="2" borderId="18" xfId="0" applyNumberFormat="1" applyFont="1" applyFill="1" applyBorder="1"/>
    <xf numFmtId="0" fontId="1" fillId="2" borderId="17" xfId="0" applyFont="1" applyFill="1" applyBorder="1"/>
    <xf numFmtId="3" fontId="4" fillId="2" borderId="37" xfId="0" applyNumberFormat="1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" fillId="2" borderId="29" xfId="0" applyFont="1" applyFill="1" applyBorder="1"/>
    <xf numFmtId="0" fontId="6" fillId="2" borderId="29" xfId="0" applyFont="1" applyFill="1" applyBorder="1" applyAlignment="1">
      <alignment horizontal="center"/>
    </xf>
    <xf numFmtId="4" fontId="6" fillId="2" borderId="29" xfId="0" applyNumberFormat="1" applyFont="1" applyFill="1" applyBorder="1" applyAlignment="1">
      <alignment horizontal="center"/>
    </xf>
    <xf numFmtId="0" fontId="1" fillId="0" borderId="29" xfId="0" applyFont="1" applyBorder="1"/>
    <xf numFmtId="0" fontId="11" fillId="2" borderId="43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3" fontId="13" fillId="2" borderId="45" xfId="0" applyNumberFormat="1" applyFont="1" applyFill="1" applyBorder="1"/>
    <xf numFmtId="4" fontId="12" fillId="0" borderId="0" xfId="0" applyNumberFormat="1" applyFont="1"/>
    <xf numFmtId="0" fontId="14" fillId="2" borderId="0" xfId="0" applyFont="1" applyFill="1"/>
    <xf numFmtId="0" fontId="15" fillId="0" borderId="0" xfId="0" applyFont="1"/>
    <xf numFmtId="0" fontId="16" fillId="0" borderId="0" xfId="0" applyFont="1"/>
    <xf numFmtId="0" fontId="9" fillId="2" borderId="44" xfId="0" applyFont="1" applyFill="1" applyBorder="1" applyAlignment="1">
      <alignment horizontal="center"/>
    </xf>
    <xf numFmtId="4" fontId="11" fillId="2" borderId="44" xfId="0" applyNumberFormat="1" applyFont="1" applyFill="1" applyBorder="1" applyAlignment="1">
      <alignment horizontal="center"/>
    </xf>
    <xf numFmtId="0" fontId="10" fillId="2" borderId="46" xfId="0" applyFont="1" applyFill="1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1" fillId="2" borderId="45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/>
    </xf>
    <xf numFmtId="0" fontId="9" fillId="4" borderId="14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11" fontId="3" fillId="2" borderId="0" xfId="0" applyNumberFormat="1" applyFont="1" applyFill="1" applyAlignment="1">
      <alignment horizontal="left"/>
    </xf>
    <xf numFmtId="0" fontId="9" fillId="4" borderId="28" xfId="0" applyFont="1" applyFill="1" applyBorder="1" applyAlignment="1">
      <alignment horizontal="center"/>
    </xf>
    <xf numFmtId="11" fontId="3" fillId="4" borderId="0" xfId="0" applyNumberFormat="1" applyFont="1" applyFill="1" applyAlignment="1">
      <alignment horizontal="left"/>
    </xf>
    <xf numFmtId="49" fontId="9" fillId="2" borderId="0" xfId="0" applyNumberFormat="1" applyFont="1" applyFill="1" applyAlignment="1">
      <alignment horizontal="left"/>
    </xf>
    <xf numFmtId="3" fontId="3" fillId="0" borderId="0" xfId="0" applyNumberFormat="1" applyFont="1" applyAlignment="1">
      <alignment horizontal="right"/>
    </xf>
    <xf numFmtId="49" fontId="9" fillId="4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1" fontId="9" fillId="2" borderId="28" xfId="0" applyNumberFormat="1" applyFont="1" applyFill="1" applyBorder="1" applyAlignment="1">
      <alignment horizontal="center"/>
    </xf>
    <xf numFmtId="49" fontId="9" fillId="4" borderId="14" xfId="0" applyNumberFormat="1" applyFont="1" applyFill="1" applyBorder="1" applyAlignment="1">
      <alignment horizontal="center"/>
    </xf>
    <xf numFmtId="49" fontId="9" fillId="2" borderId="14" xfId="0" applyNumberFormat="1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0" fontId="11" fillId="2" borderId="47" xfId="0" applyFont="1" applyFill="1" applyBorder="1" applyAlignment="1">
      <alignment horizontal="center"/>
    </xf>
    <xf numFmtId="0" fontId="17" fillId="0" borderId="43" xfId="0" applyFont="1" applyBorder="1"/>
    <xf numFmtId="0" fontId="17" fillId="0" borderId="4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EB2-BB75-4152-85C4-0A43BDB84417}">
  <dimension ref="A1:R1171"/>
  <sheetViews>
    <sheetView tabSelected="1" topLeftCell="A11" workbookViewId="0">
      <selection activeCell="D35" sqref="D35"/>
    </sheetView>
  </sheetViews>
  <sheetFormatPr baseColWidth="10" defaultColWidth="12.6640625" defaultRowHeight="16" x14ac:dyDescent="0.2"/>
  <cols>
    <col min="14" max="14" width="14.6640625" customWidth="1"/>
  </cols>
  <sheetData>
    <row r="1" spans="1:18" ht="19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 ht="17" thickBot="1" x14ac:dyDescent="0.25">
      <c r="A2" s="3" t="s">
        <v>1</v>
      </c>
      <c r="B2" s="4" t="s">
        <v>2</v>
      </c>
      <c r="C2" s="4"/>
      <c r="D2" s="4" t="s">
        <v>3</v>
      </c>
      <c r="E2" s="4" t="s">
        <v>4</v>
      </c>
      <c r="F2" s="4"/>
      <c r="G2" s="5" t="s">
        <v>6</v>
      </c>
      <c r="H2" s="6"/>
      <c r="I2" s="7" t="s">
        <v>7</v>
      </c>
      <c r="J2" s="4" t="s">
        <v>4</v>
      </c>
      <c r="K2" s="4" t="s">
        <v>5</v>
      </c>
      <c r="L2" s="5" t="s">
        <v>6</v>
      </c>
      <c r="M2" s="4"/>
      <c r="N2" s="8" t="s">
        <v>8</v>
      </c>
    </row>
    <row r="3" spans="1:18" x14ac:dyDescent="0.2">
      <c r="A3" s="9">
        <v>46219</v>
      </c>
      <c r="B3" s="10" t="s">
        <v>9</v>
      </c>
      <c r="C3" s="11">
        <v>210012</v>
      </c>
      <c r="D3" s="12">
        <v>210277</v>
      </c>
      <c r="E3" s="13">
        <f t="shared" ref="E3:E10" si="0">D3-C3</f>
        <v>265</v>
      </c>
      <c r="F3" s="10">
        <v>40</v>
      </c>
      <c r="G3" s="14">
        <f t="shared" ref="G3:G10" si="1">(F3/E3)*100</f>
        <v>15.09433962264151</v>
      </c>
      <c r="H3" s="15">
        <v>40333</v>
      </c>
      <c r="I3" s="16">
        <v>40657</v>
      </c>
      <c r="J3" s="10">
        <f t="shared" ref="J3:J10" si="2">I3-H3</f>
        <v>324</v>
      </c>
      <c r="K3" s="12">
        <f t="shared" ref="K3:K10" si="3">F3</f>
        <v>40</v>
      </c>
      <c r="L3" s="17">
        <f t="shared" ref="L3:L10" si="4">(K3/J3)*100</f>
        <v>12.345679012345679</v>
      </c>
      <c r="M3" s="18">
        <v>21740</v>
      </c>
      <c r="N3" s="18">
        <f t="shared" ref="N3:N10" si="5">F3*M3</f>
        <v>869600</v>
      </c>
    </row>
    <row r="4" spans="1:18" x14ac:dyDescent="0.2">
      <c r="A4" s="19"/>
      <c r="B4" s="20" t="s">
        <v>9</v>
      </c>
      <c r="C4" s="11"/>
      <c r="D4" s="11"/>
      <c r="E4" s="21">
        <f t="shared" si="0"/>
        <v>0</v>
      </c>
      <c r="F4" s="20"/>
      <c r="G4" s="22" t="e">
        <f t="shared" si="1"/>
        <v>#DIV/0!</v>
      </c>
      <c r="H4" s="15"/>
      <c r="I4" s="15"/>
      <c r="J4" s="20">
        <f t="shared" si="2"/>
        <v>0</v>
      </c>
      <c r="K4" s="11">
        <f t="shared" si="3"/>
        <v>0</v>
      </c>
      <c r="L4" s="23" t="e">
        <f t="shared" si="4"/>
        <v>#DIV/0!</v>
      </c>
      <c r="M4" s="24"/>
      <c r="N4" s="24">
        <f t="shared" si="5"/>
        <v>0</v>
      </c>
      <c r="O4" s="25">
        <v>1</v>
      </c>
      <c r="P4" s="26" t="s">
        <v>10</v>
      </c>
      <c r="Q4" s="27">
        <f>N19</f>
        <v>3190730</v>
      </c>
      <c r="R4" s="27">
        <f t="shared" ref="R4:R15" si="6">Q4</f>
        <v>3190730</v>
      </c>
    </row>
    <row r="5" spans="1:18" x14ac:dyDescent="0.2">
      <c r="A5" s="19"/>
      <c r="B5" s="20" t="s">
        <v>9</v>
      </c>
      <c r="C5" s="11"/>
      <c r="D5" s="11"/>
      <c r="E5" s="21">
        <f t="shared" si="0"/>
        <v>0</v>
      </c>
      <c r="F5" s="11"/>
      <c r="G5" s="22" t="e">
        <f t="shared" si="1"/>
        <v>#DIV/0!</v>
      </c>
      <c r="H5" s="15"/>
      <c r="I5" s="15"/>
      <c r="J5" s="20">
        <f t="shared" si="2"/>
        <v>0</v>
      </c>
      <c r="K5" s="11">
        <f t="shared" si="3"/>
        <v>0</v>
      </c>
      <c r="L5" s="23" t="e">
        <f t="shared" si="4"/>
        <v>#DIV/0!</v>
      </c>
      <c r="M5" s="24"/>
      <c r="N5" s="24">
        <f t="shared" si="5"/>
        <v>0</v>
      </c>
      <c r="O5" s="25">
        <v>2</v>
      </c>
      <c r="P5" s="26" t="s">
        <v>11</v>
      </c>
      <c r="Q5" s="27">
        <f>N29</f>
        <v>760900</v>
      </c>
      <c r="R5" s="27">
        <f t="shared" si="6"/>
        <v>760900</v>
      </c>
    </row>
    <row r="6" spans="1:18" x14ac:dyDescent="0.2">
      <c r="A6" s="19"/>
      <c r="B6" s="20" t="s">
        <v>9</v>
      </c>
      <c r="C6" s="11"/>
      <c r="D6" s="11"/>
      <c r="E6" s="21">
        <f t="shared" si="0"/>
        <v>0</v>
      </c>
      <c r="F6" s="11"/>
      <c r="G6" s="22" t="e">
        <f t="shared" si="1"/>
        <v>#DIV/0!</v>
      </c>
      <c r="H6" s="15"/>
      <c r="I6" s="15"/>
      <c r="J6" s="20">
        <f t="shared" si="2"/>
        <v>0</v>
      </c>
      <c r="K6" s="11">
        <f t="shared" si="3"/>
        <v>0</v>
      </c>
      <c r="L6" s="23" t="e">
        <f t="shared" si="4"/>
        <v>#DIV/0!</v>
      </c>
      <c r="M6" s="24"/>
      <c r="N6" s="24">
        <f t="shared" si="5"/>
        <v>0</v>
      </c>
      <c r="O6" s="25">
        <v>3</v>
      </c>
      <c r="P6" s="26" t="s">
        <v>12</v>
      </c>
      <c r="Q6" s="27">
        <f>N38</f>
        <v>3437600</v>
      </c>
      <c r="R6" s="27">
        <f t="shared" si="6"/>
        <v>3437600</v>
      </c>
    </row>
    <row r="7" spans="1:18" x14ac:dyDescent="0.2">
      <c r="A7" s="19"/>
      <c r="B7" s="20" t="s">
        <v>9</v>
      </c>
      <c r="C7" s="11"/>
      <c r="D7" s="11"/>
      <c r="E7" s="21">
        <f t="shared" si="0"/>
        <v>0</v>
      </c>
      <c r="F7" s="11"/>
      <c r="G7" s="22" t="e">
        <f t="shared" si="1"/>
        <v>#DIV/0!</v>
      </c>
      <c r="H7" s="15"/>
      <c r="I7" s="15"/>
      <c r="J7" s="20">
        <f t="shared" si="2"/>
        <v>0</v>
      </c>
      <c r="K7" s="11">
        <f t="shared" si="3"/>
        <v>0</v>
      </c>
      <c r="L7" s="23" t="e">
        <f t="shared" si="4"/>
        <v>#DIV/0!</v>
      </c>
      <c r="M7" s="24"/>
      <c r="N7" s="24">
        <f t="shared" si="5"/>
        <v>0</v>
      </c>
      <c r="O7" s="25">
        <v>4</v>
      </c>
      <c r="P7" s="26" t="s">
        <v>13</v>
      </c>
      <c r="Q7" s="27">
        <f>N49</f>
        <v>3060860</v>
      </c>
      <c r="R7" s="27">
        <f t="shared" si="6"/>
        <v>3060860</v>
      </c>
    </row>
    <row r="8" spans="1:18" x14ac:dyDescent="0.2">
      <c r="A8" s="19"/>
      <c r="B8" s="20" t="s">
        <v>9</v>
      </c>
      <c r="C8" s="11"/>
      <c r="D8" s="11"/>
      <c r="E8" s="21">
        <f t="shared" si="0"/>
        <v>0</v>
      </c>
      <c r="F8" s="11"/>
      <c r="G8" s="22" t="e">
        <f t="shared" si="1"/>
        <v>#DIV/0!</v>
      </c>
      <c r="H8" s="15"/>
      <c r="I8" s="15"/>
      <c r="J8" s="20">
        <f t="shared" si="2"/>
        <v>0</v>
      </c>
      <c r="K8" s="11">
        <f t="shared" si="3"/>
        <v>0</v>
      </c>
      <c r="L8" s="23" t="e">
        <f t="shared" si="4"/>
        <v>#DIV/0!</v>
      </c>
      <c r="M8" s="28"/>
      <c r="N8" s="24">
        <f t="shared" si="5"/>
        <v>0</v>
      </c>
      <c r="O8" s="25">
        <v>5</v>
      </c>
      <c r="P8" s="26" t="s">
        <v>14</v>
      </c>
      <c r="Q8" s="27">
        <f>N61</f>
        <v>3793750</v>
      </c>
      <c r="R8" s="27">
        <f t="shared" si="6"/>
        <v>3793750</v>
      </c>
    </row>
    <row r="9" spans="1:18" x14ac:dyDescent="0.2">
      <c r="A9" s="19"/>
      <c r="B9" s="20" t="s">
        <v>9</v>
      </c>
      <c r="C9" s="11"/>
      <c r="D9" s="11"/>
      <c r="E9" s="21">
        <f t="shared" si="0"/>
        <v>0</v>
      </c>
      <c r="F9" s="11"/>
      <c r="G9" s="22" t="e">
        <f t="shared" si="1"/>
        <v>#DIV/0!</v>
      </c>
      <c r="H9" s="15"/>
      <c r="I9" s="15"/>
      <c r="J9" s="20">
        <f t="shared" si="2"/>
        <v>0</v>
      </c>
      <c r="K9" s="11">
        <f t="shared" si="3"/>
        <v>0</v>
      </c>
      <c r="L9" s="23" t="e">
        <f t="shared" si="4"/>
        <v>#DIV/0!</v>
      </c>
      <c r="M9" s="28"/>
      <c r="N9" s="24">
        <f t="shared" si="5"/>
        <v>0</v>
      </c>
      <c r="O9" s="25">
        <v>6</v>
      </c>
      <c r="P9" s="26" t="s">
        <v>15</v>
      </c>
      <c r="Q9" s="27">
        <f>N11</f>
        <v>869600</v>
      </c>
      <c r="R9" s="27">
        <f t="shared" si="6"/>
        <v>869600</v>
      </c>
    </row>
    <row r="10" spans="1:18" ht="17" thickBot="1" x14ac:dyDescent="0.25">
      <c r="A10" s="29"/>
      <c r="B10" s="30" t="s">
        <v>9</v>
      </c>
      <c r="C10" s="31"/>
      <c r="D10" s="31"/>
      <c r="E10" s="32">
        <f t="shared" si="0"/>
        <v>0</v>
      </c>
      <c r="F10" s="31"/>
      <c r="G10" s="22" t="e">
        <f t="shared" si="1"/>
        <v>#DIV/0!</v>
      </c>
      <c r="H10" s="33"/>
      <c r="I10" s="33"/>
      <c r="J10" s="30">
        <f t="shared" si="2"/>
        <v>0</v>
      </c>
      <c r="K10" s="31">
        <f t="shared" si="3"/>
        <v>0</v>
      </c>
      <c r="L10" s="34" t="e">
        <f t="shared" si="4"/>
        <v>#DIV/0!</v>
      </c>
      <c r="M10" s="35"/>
      <c r="N10" s="36">
        <f t="shared" si="5"/>
        <v>0</v>
      </c>
      <c r="O10" s="25">
        <v>7</v>
      </c>
      <c r="P10" s="26" t="s">
        <v>16</v>
      </c>
      <c r="Q10" s="27">
        <f>N71</f>
        <v>3327770</v>
      </c>
      <c r="R10" s="27">
        <f t="shared" si="6"/>
        <v>3327770</v>
      </c>
    </row>
    <row r="11" spans="1:18" ht="17" thickBot="1" x14ac:dyDescent="0.25">
      <c r="A11" s="37"/>
      <c r="B11" s="37"/>
      <c r="C11" s="37"/>
      <c r="D11" s="37" t="s">
        <v>17</v>
      </c>
      <c r="E11" s="37">
        <f>SUM(E3:E10)</f>
        <v>265</v>
      </c>
      <c r="F11" s="37"/>
      <c r="G11" s="38" t="e">
        <f>G3:G10</f>
        <v>#VALUE!</v>
      </c>
      <c r="H11" s="37"/>
      <c r="I11" s="39"/>
      <c r="J11" s="37">
        <f t="shared" ref="J11:K11" si="7">SUM(J3:J10)</f>
        <v>324</v>
      </c>
      <c r="K11" s="37">
        <f t="shared" si="7"/>
        <v>40</v>
      </c>
      <c r="L11" s="38" t="e">
        <f>AVERAGE(L3:L10)</f>
        <v>#DIV/0!</v>
      </c>
      <c r="M11" s="37"/>
      <c r="N11" s="40">
        <f>SUM(N3:N10)</f>
        <v>869600</v>
      </c>
      <c r="O11" s="25">
        <v>8</v>
      </c>
      <c r="P11" s="26" t="s">
        <v>18</v>
      </c>
      <c r="Q11" s="27">
        <f>N80</f>
        <v>3808650</v>
      </c>
      <c r="R11" s="27">
        <f t="shared" si="6"/>
        <v>3808650</v>
      </c>
    </row>
    <row r="12" spans="1:18" ht="17" thickBot="1" x14ac:dyDescent="0.25">
      <c r="A12" s="41">
        <v>46211</v>
      </c>
      <c r="B12" s="10" t="s">
        <v>10</v>
      </c>
      <c r="C12" s="42">
        <v>172488</v>
      </c>
      <c r="D12" s="43">
        <v>172871</v>
      </c>
      <c r="E12" s="44">
        <f t="shared" ref="E12:E18" si="8">D12-C12</f>
        <v>383</v>
      </c>
      <c r="F12" s="43">
        <v>47</v>
      </c>
      <c r="G12" s="45">
        <f t="shared" ref="G12:G18" si="9">(F12/E12)*100</f>
        <v>12.271540469973891</v>
      </c>
      <c r="H12" s="46">
        <v>40426</v>
      </c>
      <c r="I12" s="47">
        <v>40842</v>
      </c>
      <c r="J12" s="43">
        <f t="shared" ref="J12:J18" si="10">I12-H12</f>
        <v>416</v>
      </c>
      <c r="K12" s="48">
        <f t="shared" ref="K12:K18" si="11">F12</f>
        <v>47</v>
      </c>
      <c r="L12" s="49">
        <f t="shared" ref="L12:L18" si="12">(K12/J12)*100</f>
        <v>11.298076923076923</v>
      </c>
      <c r="M12" s="50">
        <v>21170</v>
      </c>
      <c r="N12" s="51">
        <f t="shared" ref="N12:N18" si="13">F12*M12</f>
        <v>994990</v>
      </c>
      <c r="O12" s="25">
        <v>9</v>
      </c>
      <c r="P12" s="26" t="s">
        <v>19</v>
      </c>
      <c r="Q12" s="27">
        <f>N88</f>
        <v>0</v>
      </c>
      <c r="R12" s="27">
        <f t="shared" si="6"/>
        <v>0</v>
      </c>
    </row>
    <row r="13" spans="1:18" x14ac:dyDescent="0.2">
      <c r="A13" s="52">
        <v>46214</v>
      </c>
      <c r="B13" s="20" t="s">
        <v>10</v>
      </c>
      <c r="C13" s="43">
        <v>172871</v>
      </c>
      <c r="D13" s="53">
        <v>173277</v>
      </c>
      <c r="E13" s="54">
        <f t="shared" si="8"/>
        <v>406</v>
      </c>
      <c r="F13" s="53">
        <v>51</v>
      </c>
      <c r="G13" s="55">
        <f t="shared" si="9"/>
        <v>12.561576354679804</v>
      </c>
      <c r="H13" s="47">
        <v>40842</v>
      </c>
      <c r="I13" s="56">
        <v>41311</v>
      </c>
      <c r="J13" s="53">
        <f t="shared" si="10"/>
        <v>469</v>
      </c>
      <c r="K13" s="57">
        <f t="shared" si="11"/>
        <v>51</v>
      </c>
      <c r="L13" s="58">
        <f t="shared" si="12"/>
        <v>10.874200426439232</v>
      </c>
      <c r="M13" s="59">
        <v>21740</v>
      </c>
      <c r="N13" s="60">
        <f t="shared" si="13"/>
        <v>1108740</v>
      </c>
      <c r="O13" s="25">
        <v>10</v>
      </c>
      <c r="P13" s="26" t="s">
        <v>20</v>
      </c>
      <c r="Q13" s="27">
        <f>N97</f>
        <v>4588270</v>
      </c>
      <c r="R13" s="27">
        <f t="shared" si="6"/>
        <v>4588270</v>
      </c>
    </row>
    <row r="14" spans="1:18" x14ac:dyDescent="0.2">
      <c r="A14" s="52">
        <v>46219</v>
      </c>
      <c r="B14" s="20" t="s">
        <v>10</v>
      </c>
      <c r="C14" s="53">
        <v>173277</v>
      </c>
      <c r="D14" s="53">
        <v>173669</v>
      </c>
      <c r="E14" s="54">
        <f t="shared" si="8"/>
        <v>392</v>
      </c>
      <c r="F14" s="53">
        <v>50</v>
      </c>
      <c r="G14" s="55">
        <f t="shared" si="9"/>
        <v>12.755102040816327</v>
      </c>
      <c r="H14" s="56">
        <v>41311</v>
      </c>
      <c r="I14" s="56">
        <v>41746</v>
      </c>
      <c r="J14" s="53">
        <f t="shared" si="10"/>
        <v>435</v>
      </c>
      <c r="K14" s="57">
        <f t="shared" si="11"/>
        <v>50</v>
      </c>
      <c r="L14" s="58">
        <f t="shared" si="12"/>
        <v>11.494252873563218</v>
      </c>
      <c r="M14" s="59">
        <v>21740</v>
      </c>
      <c r="N14" s="60">
        <f t="shared" si="13"/>
        <v>1087000</v>
      </c>
      <c r="O14" s="25">
        <v>11</v>
      </c>
      <c r="P14" s="26" t="s">
        <v>21</v>
      </c>
      <c r="Q14" s="27">
        <f>N104</f>
        <v>4231820</v>
      </c>
      <c r="R14" s="27">
        <f t="shared" si="6"/>
        <v>4231820</v>
      </c>
    </row>
    <row r="15" spans="1:18" x14ac:dyDescent="0.2">
      <c r="A15" s="52"/>
      <c r="B15" s="11" t="s">
        <v>10</v>
      </c>
      <c r="C15" s="53"/>
      <c r="D15" s="57"/>
      <c r="E15" s="61">
        <f t="shared" si="8"/>
        <v>0</v>
      </c>
      <c r="F15" s="57"/>
      <c r="G15" s="55" t="e">
        <f t="shared" si="9"/>
        <v>#DIV/0!</v>
      </c>
      <c r="H15" s="56"/>
      <c r="I15" s="56"/>
      <c r="J15" s="53">
        <f t="shared" si="10"/>
        <v>0</v>
      </c>
      <c r="K15" s="57">
        <f t="shared" si="11"/>
        <v>0</v>
      </c>
      <c r="L15" s="58" t="e">
        <f t="shared" si="12"/>
        <v>#DIV/0!</v>
      </c>
      <c r="M15" s="60"/>
      <c r="N15" s="60">
        <f t="shared" si="13"/>
        <v>0</v>
      </c>
      <c r="O15" s="25">
        <v>12</v>
      </c>
      <c r="P15" s="26" t="s">
        <v>22</v>
      </c>
      <c r="Q15" s="27">
        <f>N112</f>
        <v>2359480</v>
      </c>
      <c r="R15" s="27">
        <f t="shared" si="6"/>
        <v>2359480</v>
      </c>
    </row>
    <row r="16" spans="1:18" x14ac:dyDescent="0.2">
      <c r="A16" s="52"/>
      <c r="B16" s="20" t="s">
        <v>10</v>
      </c>
      <c r="C16" s="57"/>
      <c r="D16" s="53"/>
      <c r="E16" s="54">
        <f t="shared" si="8"/>
        <v>0</v>
      </c>
      <c r="F16" s="53"/>
      <c r="G16" s="55" t="e">
        <f t="shared" si="9"/>
        <v>#DIV/0!</v>
      </c>
      <c r="H16" s="56"/>
      <c r="I16" s="56"/>
      <c r="J16" s="53">
        <f t="shared" si="10"/>
        <v>0</v>
      </c>
      <c r="K16" s="57">
        <f t="shared" si="11"/>
        <v>0</v>
      </c>
      <c r="L16" s="58" t="e">
        <f t="shared" si="12"/>
        <v>#DIV/0!</v>
      </c>
      <c r="M16" s="60"/>
      <c r="N16" s="60">
        <f t="shared" si="13"/>
        <v>0</v>
      </c>
      <c r="O16" s="25">
        <v>13</v>
      </c>
      <c r="P16" s="26" t="s">
        <v>23</v>
      </c>
      <c r="Q16" s="27">
        <f>N120</f>
        <v>3302360</v>
      </c>
      <c r="R16" s="27">
        <f>N120</f>
        <v>3302360</v>
      </c>
    </row>
    <row r="17" spans="1:18" x14ac:dyDescent="0.2">
      <c r="A17" s="52"/>
      <c r="B17" s="20" t="s">
        <v>10</v>
      </c>
      <c r="C17" s="53"/>
      <c r="D17" s="53"/>
      <c r="E17" s="54">
        <f t="shared" si="8"/>
        <v>0</v>
      </c>
      <c r="F17" s="53"/>
      <c r="G17" s="55" t="e">
        <f t="shared" si="9"/>
        <v>#DIV/0!</v>
      </c>
      <c r="H17" s="56"/>
      <c r="I17" s="56"/>
      <c r="J17" s="53">
        <f t="shared" si="10"/>
        <v>0</v>
      </c>
      <c r="K17" s="57">
        <f t="shared" si="11"/>
        <v>0</v>
      </c>
      <c r="L17" s="58" t="e">
        <f t="shared" si="12"/>
        <v>#DIV/0!</v>
      </c>
      <c r="M17" s="60"/>
      <c r="N17" s="60">
        <f t="shared" si="13"/>
        <v>0</v>
      </c>
      <c r="O17" s="25">
        <v>14</v>
      </c>
      <c r="P17" s="26" t="s">
        <v>24</v>
      </c>
      <c r="Q17" s="27">
        <f>N128</f>
        <v>3161300</v>
      </c>
      <c r="R17" s="27">
        <f t="shared" ref="R17:R29" si="14">Q17</f>
        <v>3161300</v>
      </c>
    </row>
    <row r="18" spans="1:18" ht="17" thickBot="1" x14ac:dyDescent="0.25">
      <c r="A18" s="62"/>
      <c r="B18" s="30" t="s">
        <v>10</v>
      </c>
      <c r="C18" s="42"/>
      <c r="D18" s="42"/>
      <c r="E18" s="63">
        <f t="shared" si="8"/>
        <v>0</v>
      </c>
      <c r="F18" s="42"/>
      <c r="G18" s="64" t="e">
        <f t="shared" si="9"/>
        <v>#DIV/0!</v>
      </c>
      <c r="H18" s="46"/>
      <c r="I18" s="46"/>
      <c r="J18" s="42">
        <f t="shared" si="10"/>
        <v>0</v>
      </c>
      <c r="K18" s="65">
        <f t="shared" si="11"/>
        <v>0</v>
      </c>
      <c r="L18" s="66" t="e">
        <f t="shared" si="12"/>
        <v>#DIV/0!</v>
      </c>
      <c r="M18" s="67"/>
      <c r="N18" s="67">
        <f t="shared" si="13"/>
        <v>0</v>
      </c>
      <c r="O18" s="25">
        <f t="shared" ref="O18:O27" si="15">O17+1</f>
        <v>15</v>
      </c>
      <c r="P18" s="68" t="s">
        <v>25</v>
      </c>
      <c r="Q18" s="27">
        <f>N148</f>
        <v>0</v>
      </c>
      <c r="R18" s="27">
        <f t="shared" si="14"/>
        <v>0</v>
      </c>
    </row>
    <row r="19" spans="1:18" ht="17" thickBot="1" x14ac:dyDescent="0.25">
      <c r="A19" s="69"/>
      <c r="B19" s="70"/>
      <c r="C19" s="69"/>
      <c r="D19" s="69" t="s">
        <v>17</v>
      </c>
      <c r="E19" s="69">
        <f>SUM(E12:E18)</f>
        <v>1181</v>
      </c>
      <c r="F19" s="69"/>
      <c r="G19" s="71" t="e">
        <f>AVERAGE(G12:G18)</f>
        <v>#DIV/0!</v>
      </c>
      <c r="H19" s="69"/>
      <c r="I19" s="72"/>
      <c r="J19" s="69">
        <f t="shared" ref="J19:K19" si="16">SUM(J12:J18)</f>
        <v>1320</v>
      </c>
      <c r="K19" s="69">
        <f t="shared" si="16"/>
        <v>148</v>
      </c>
      <c r="L19" s="71" t="e">
        <f>AVERAGE(L12:L18)</f>
        <v>#DIV/0!</v>
      </c>
      <c r="M19" s="70"/>
      <c r="N19" s="73">
        <f>SUM(N12:N18)</f>
        <v>3190730</v>
      </c>
      <c r="O19" s="25">
        <f t="shared" si="15"/>
        <v>16</v>
      </c>
      <c r="P19" s="68" t="s">
        <v>26</v>
      </c>
      <c r="Q19" s="27">
        <f>N157</f>
        <v>0</v>
      </c>
      <c r="R19" s="27">
        <f t="shared" si="14"/>
        <v>0</v>
      </c>
    </row>
    <row r="20" spans="1:18" x14ac:dyDescent="0.2">
      <c r="A20" s="74">
        <v>46218</v>
      </c>
      <c r="B20" s="75" t="s">
        <v>11</v>
      </c>
      <c r="C20" s="76">
        <v>189214</v>
      </c>
      <c r="D20" s="76">
        <v>189427</v>
      </c>
      <c r="E20" s="54">
        <f t="shared" ref="E20:E28" si="17">D20-C20</f>
        <v>213</v>
      </c>
      <c r="F20" s="77">
        <v>35</v>
      </c>
      <c r="G20" s="55">
        <f t="shared" ref="G20:G28" si="18">(F20/E20)*100</f>
        <v>16.431924882629108</v>
      </c>
      <c r="H20" s="76">
        <v>41575</v>
      </c>
      <c r="I20" s="76">
        <v>41814</v>
      </c>
      <c r="J20" s="78">
        <f t="shared" ref="J20:J28" si="19">I20-H20</f>
        <v>239</v>
      </c>
      <c r="K20" s="78">
        <f t="shared" ref="K20:K28" si="20">F20</f>
        <v>35</v>
      </c>
      <c r="L20" s="79">
        <f t="shared" ref="L20:L28" si="21">(K20/J20)*100</f>
        <v>14.644351464435147</v>
      </c>
      <c r="M20" s="80">
        <v>21740</v>
      </c>
      <c r="N20" s="81">
        <f t="shared" ref="N20:N28" si="22">F20*M20</f>
        <v>760900</v>
      </c>
      <c r="O20" s="25">
        <f t="shared" si="15"/>
        <v>17</v>
      </c>
      <c r="P20" s="68" t="s">
        <v>61</v>
      </c>
      <c r="Q20" s="27">
        <f>N166</f>
        <v>0</v>
      </c>
      <c r="R20" s="27">
        <f t="shared" si="14"/>
        <v>0</v>
      </c>
    </row>
    <row r="21" spans="1:18" x14ac:dyDescent="0.2">
      <c r="A21" s="82"/>
      <c r="B21" s="83" t="s">
        <v>11</v>
      </c>
      <c r="C21" s="76"/>
      <c r="D21" s="76"/>
      <c r="E21" s="54">
        <f t="shared" si="17"/>
        <v>0</v>
      </c>
      <c r="F21" s="84"/>
      <c r="G21" s="55" t="e">
        <f t="shared" si="18"/>
        <v>#DIV/0!</v>
      </c>
      <c r="H21" s="76"/>
      <c r="I21" s="76"/>
      <c r="J21" s="76">
        <f t="shared" si="19"/>
        <v>0</v>
      </c>
      <c r="K21" s="76">
        <f t="shared" si="20"/>
        <v>0</v>
      </c>
      <c r="L21" s="85" t="e">
        <f t="shared" si="21"/>
        <v>#DIV/0!</v>
      </c>
      <c r="M21" s="86"/>
      <c r="N21" s="87">
        <f t="shared" si="22"/>
        <v>0</v>
      </c>
      <c r="O21" s="25">
        <f t="shared" si="15"/>
        <v>18</v>
      </c>
      <c r="P21" s="68" t="s">
        <v>27</v>
      </c>
      <c r="Q21" s="27">
        <f>N175</f>
        <v>0</v>
      </c>
      <c r="R21" s="27">
        <f t="shared" si="14"/>
        <v>0</v>
      </c>
    </row>
    <row r="22" spans="1:18" x14ac:dyDescent="0.2">
      <c r="A22" s="88"/>
      <c r="B22" s="83" t="s">
        <v>11</v>
      </c>
      <c r="C22" s="76"/>
      <c r="D22" s="76"/>
      <c r="E22" s="54">
        <f t="shared" si="17"/>
        <v>0</v>
      </c>
      <c r="F22" s="89"/>
      <c r="G22" s="55" t="e">
        <f t="shared" si="18"/>
        <v>#DIV/0!</v>
      </c>
      <c r="H22" s="76"/>
      <c r="I22" s="76"/>
      <c r="J22" s="76">
        <f t="shared" si="19"/>
        <v>0</v>
      </c>
      <c r="K22" s="76">
        <f t="shared" si="20"/>
        <v>0</v>
      </c>
      <c r="L22" s="85" t="e">
        <f t="shared" si="21"/>
        <v>#DIV/0!</v>
      </c>
      <c r="M22" s="86"/>
      <c r="N22" s="87">
        <f t="shared" si="22"/>
        <v>0</v>
      </c>
      <c r="O22" s="25">
        <f t="shared" si="15"/>
        <v>19</v>
      </c>
      <c r="P22" s="68" t="s">
        <v>28</v>
      </c>
      <c r="Q22" s="27">
        <f>N184</f>
        <v>0</v>
      </c>
      <c r="R22" s="27">
        <f t="shared" si="14"/>
        <v>0</v>
      </c>
    </row>
    <row r="23" spans="1:18" x14ac:dyDescent="0.2">
      <c r="A23" s="88"/>
      <c r="B23" s="83" t="s">
        <v>11</v>
      </c>
      <c r="C23" s="76"/>
      <c r="D23" s="76"/>
      <c r="E23" s="54">
        <f t="shared" si="17"/>
        <v>0</v>
      </c>
      <c r="F23" s="89"/>
      <c r="G23" s="55" t="e">
        <f t="shared" si="18"/>
        <v>#DIV/0!</v>
      </c>
      <c r="H23" s="76"/>
      <c r="I23" s="76"/>
      <c r="J23" s="76">
        <f t="shared" si="19"/>
        <v>0</v>
      </c>
      <c r="K23" s="90">
        <f t="shared" si="20"/>
        <v>0</v>
      </c>
      <c r="L23" s="85" t="e">
        <f t="shared" si="21"/>
        <v>#DIV/0!</v>
      </c>
      <c r="M23" s="91"/>
      <c r="N23" s="87">
        <f t="shared" si="22"/>
        <v>0</v>
      </c>
      <c r="O23" s="25">
        <f t="shared" si="15"/>
        <v>20</v>
      </c>
      <c r="P23" s="68" t="s">
        <v>29</v>
      </c>
      <c r="Q23" s="27">
        <f>N193</f>
        <v>0</v>
      </c>
      <c r="R23" s="27">
        <f t="shared" si="14"/>
        <v>0</v>
      </c>
    </row>
    <row r="24" spans="1:18" x14ac:dyDescent="0.2">
      <c r="A24" s="88"/>
      <c r="B24" s="83" t="s">
        <v>11</v>
      </c>
      <c r="C24" s="76"/>
      <c r="D24" s="76"/>
      <c r="E24" s="54">
        <f t="shared" si="17"/>
        <v>0</v>
      </c>
      <c r="F24" s="89"/>
      <c r="G24" s="55" t="e">
        <f t="shared" si="18"/>
        <v>#DIV/0!</v>
      </c>
      <c r="H24" s="76"/>
      <c r="I24" s="76"/>
      <c r="J24" s="76">
        <f t="shared" si="19"/>
        <v>0</v>
      </c>
      <c r="K24" s="90">
        <f t="shared" si="20"/>
        <v>0</v>
      </c>
      <c r="L24" s="85" t="e">
        <f t="shared" si="21"/>
        <v>#DIV/0!</v>
      </c>
      <c r="M24" s="91"/>
      <c r="N24" s="87">
        <f t="shared" si="22"/>
        <v>0</v>
      </c>
      <c r="O24" s="25">
        <f t="shared" si="15"/>
        <v>21</v>
      </c>
      <c r="P24" s="68" t="s">
        <v>30</v>
      </c>
      <c r="Q24" s="27">
        <f>N201</f>
        <v>0</v>
      </c>
      <c r="R24" s="27">
        <f t="shared" si="14"/>
        <v>0</v>
      </c>
    </row>
    <row r="25" spans="1:18" x14ac:dyDescent="0.2">
      <c r="A25" s="88"/>
      <c r="B25" s="83" t="s">
        <v>11</v>
      </c>
      <c r="C25" s="76"/>
      <c r="D25" s="76"/>
      <c r="E25" s="54">
        <f t="shared" si="17"/>
        <v>0</v>
      </c>
      <c r="F25" s="89"/>
      <c r="G25" s="55" t="e">
        <f t="shared" si="18"/>
        <v>#DIV/0!</v>
      </c>
      <c r="H25" s="76"/>
      <c r="I25" s="76"/>
      <c r="J25" s="76">
        <f t="shared" si="19"/>
        <v>0</v>
      </c>
      <c r="K25" s="90">
        <f t="shared" si="20"/>
        <v>0</v>
      </c>
      <c r="L25" s="85" t="e">
        <f t="shared" si="21"/>
        <v>#DIV/0!</v>
      </c>
      <c r="M25" s="91"/>
      <c r="N25" s="87">
        <f t="shared" si="22"/>
        <v>0</v>
      </c>
      <c r="O25" s="25">
        <f t="shared" si="15"/>
        <v>22</v>
      </c>
      <c r="P25" s="68" t="s">
        <v>31</v>
      </c>
      <c r="Q25" s="27">
        <f>N209</f>
        <v>0</v>
      </c>
      <c r="R25" s="27">
        <f t="shared" si="14"/>
        <v>0</v>
      </c>
    </row>
    <row r="26" spans="1:18" x14ac:dyDescent="0.2">
      <c r="A26" s="88"/>
      <c r="B26" s="83" t="s">
        <v>11</v>
      </c>
      <c r="C26" s="76"/>
      <c r="D26" s="76"/>
      <c r="E26" s="54">
        <f t="shared" si="17"/>
        <v>0</v>
      </c>
      <c r="F26" s="89"/>
      <c r="G26" s="55" t="e">
        <f t="shared" si="18"/>
        <v>#DIV/0!</v>
      </c>
      <c r="H26" s="76"/>
      <c r="I26" s="76"/>
      <c r="J26" s="76">
        <f t="shared" si="19"/>
        <v>0</v>
      </c>
      <c r="K26" s="90">
        <f t="shared" si="20"/>
        <v>0</v>
      </c>
      <c r="L26" s="85" t="e">
        <f t="shared" si="21"/>
        <v>#DIV/0!</v>
      </c>
      <c r="M26" s="91"/>
      <c r="N26" s="87">
        <f t="shared" si="22"/>
        <v>0</v>
      </c>
      <c r="O26" s="25">
        <f t="shared" si="15"/>
        <v>23</v>
      </c>
      <c r="P26" s="92" t="s">
        <v>32</v>
      </c>
      <c r="Q26" s="27">
        <f>N136</f>
        <v>3095960</v>
      </c>
      <c r="R26" s="27">
        <f t="shared" si="14"/>
        <v>3095960</v>
      </c>
    </row>
    <row r="27" spans="1:18" x14ac:dyDescent="0.2">
      <c r="A27" s="88"/>
      <c r="B27" s="83" t="s">
        <v>11</v>
      </c>
      <c r="C27" s="76"/>
      <c r="D27" s="76"/>
      <c r="E27" s="54">
        <f t="shared" si="17"/>
        <v>0</v>
      </c>
      <c r="F27" s="89"/>
      <c r="G27" s="55" t="e">
        <f t="shared" si="18"/>
        <v>#DIV/0!</v>
      </c>
      <c r="H27" s="76"/>
      <c r="I27" s="76"/>
      <c r="J27" s="76">
        <f t="shared" si="19"/>
        <v>0</v>
      </c>
      <c r="K27" s="90">
        <f t="shared" si="20"/>
        <v>0</v>
      </c>
      <c r="L27" s="85" t="e">
        <f t="shared" si="21"/>
        <v>#DIV/0!</v>
      </c>
      <c r="M27" s="91"/>
      <c r="N27" s="87">
        <f t="shared" si="22"/>
        <v>0</v>
      </c>
      <c r="O27" s="25">
        <f t="shared" si="15"/>
        <v>24</v>
      </c>
      <c r="P27" s="93" t="s">
        <v>33</v>
      </c>
      <c r="Q27" s="27">
        <f>N217</f>
        <v>0</v>
      </c>
      <c r="R27" s="27">
        <f t="shared" si="14"/>
        <v>0</v>
      </c>
    </row>
    <row r="28" spans="1:18" ht="17" thickBot="1" x14ac:dyDescent="0.25">
      <c r="A28" s="94"/>
      <c r="B28" s="83" t="s">
        <v>11</v>
      </c>
      <c r="C28" s="76"/>
      <c r="D28" s="95"/>
      <c r="E28" s="54">
        <f t="shared" si="17"/>
        <v>0</v>
      </c>
      <c r="F28" s="89"/>
      <c r="G28" s="96" t="e">
        <f t="shared" si="18"/>
        <v>#DIV/0!</v>
      </c>
      <c r="H28" s="97"/>
      <c r="I28" s="98"/>
      <c r="J28" s="99">
        <f t="shared" si="19"/>
        <v>0</v>
      </c>
      <c r="K28" s="90">
        <f t="shared" si="20"/>
        <v>0</v>
      </c>
      <c r="L28" s="100" t="e">
        <f t="shared" si="21"/>
        <v>#DIV/0!</v>
      </c>
      <c r="M28" s="101"/>
      <c r="N28" s="102">
        <f t="shared" si="22"/>
        <v>0</v>
      </c>
      <c r="O28" s="25">
        <f>O26+1</f>
        <v>24</v>
      </c>
      <c r="P28" s="103" t="s">
        <v>34</v>
      </c>
      <c r="Q28" s="27">
        <f>N225</f>
        <v>0</v>
      </c>
      <c r="R28" s="27">
        <f t="shared" si="14"/>
        <v>0</v>
      </c>
    </row>
    <row r="29" spans="1:18" ht="17" thickBot="1" x14ac:dyDescent="0.25">
      <c r="A29" s="104"/>
      <c r="B29" s="105"/>
      <c r="C29" s="104"/>
      <c r="D29" s="104" t="s">
        <v>17</v>
      </c>
      <c r="E29" s="104">
        <f>SUM(E20:E26)</f>
        <v>213</v>
      </c>
      <c r="F29" s="104"/>
      <c r="G29" s="106" t="e">
        <f>AVERAGE(G20:G26)</f>
        <v>#DIV/0!</v>
      </c>
      <c r="H29" s="104"/>
      <c r="I29" s="107"/>
      <c r="J29" s="104">
        <f t="shared" ref="J29:K29" si="23">SUM(J20:J26)</f>
        <v>239</v>
      </c>
      <c r="K29" s="104">
        <f t="shared" si="23"/>
        <v>35</v>
      </c>
      <c r="L29" s="106" t="e">
        <f>AVERAGE(L20:L26)</f>
        <v>#DIV/0!</v>
      </c>
      <c r="M29" s="108"/>
      <c r="N29" s="109">
        <f>SUM(N20:N28)</f>
        <v>760900</v>
      </c>
      <c r="O29" s="25">
        <v>25</v>
      </c>
      <c r="P29" s="93" t="s">
        <v>35</v>
      </c>
      <c r="Q29" s="27">
        <f>N233</f>
        <v>0</v>
      </c>
      <c r="R29" s="27">
        <f t="shared" si="14"/>
        <v>0</v>
      </c>
    </row>
    <row r="30" spans="1:18" ht="17" thickBot="1" x14ac:dyDescent="0.25">
      <c r="A30" s="74">
        <v>46204</v>
      </c>
      <c r="B30" s="75" t="s">
        <v>12</v>
      </c>
      <c r="C30" s="76">
        <v>193657</v>
      </c>
      <c r="D30" s="99">
        <v>193978</v>
      </c>
      <c r="E30" s="110">
        <f t="shared" ref="E30:E37" si="24">D30-C30</f>
        <v>321</v>
      </c>
      <c r="F30" s="77">
        <v>40</v>
      </c>
      <c r="G30" s="55">
        <f t="shared" ref="G30:G37" si="25">(F30/E30)*100</f>
        <v>12.461059190031152</v>
      </c>
      <c r="H30" s="97">
        <v>35065</v>
      </c>
      <c r="I30" s="111">
        <v>35495</v>
      </c>
      <c r="J30" s="78">
        <f t="shared" ref="J30:J37" si="26">I30-H30</f>
        <v>430</v>
      </c>
      <c r="K30" s="90">
        <f t="shared" ref="K30:K37" si="27">F30</f>
        <v>40</v>
      </c>
      <c r="L30" s="79">
        <f t="shared" ref="L30:L37" si="28">(K30/J30)*100</f>
        <v>9.3023255813953494</v>
      </c>
      <c r="M30" s="80">
        <v>21860</v>
      </c>
      <c r="N30" s="81">
        <f t="shared" ref="N30:N37" si="29">F30*M30</f>
        <v>874400</v>
      </c>
      <c r="Q30" s="112">
        <f t="shared" ref="Q30:R30" si="30">SUM(Q4:Q29)</f>
        <v>42989050</v>
      </c>
      <c r="R30" s="112">
        <f t="shared" si="30"/>
        <v>42989050</v>
      </c>
    </row>
    <row r="31" spans="1:18" ht="17" thickBot="1" x14ac:dyDescent="0.25">
      <c r="A31" s="88">
        <v>46209</v>
      </c>
      <c r="B31" s="83" t="s">
        <v>12</v>
      </c>
      <c r="C31" s="99">
        <v>193978</v>
      </c>
      <c r="D31" s="76">
        <v>194301</v>
      </c>
      <c r="E31" s="54">
        <f t="shared" si="24"/>
        <v>323</v>
      </c>
      <c r="F31" s="89">
        <v>40</v>
      </c>
      <c r="G31" s="55">
        <f t="shared" si="25"/>
        <v>12.383900928792571</v>
      </c>
      <c r="H31" s="111">
        <v>35495</v>
      </c>
      <c r="I31" s="97">
        <v>35749</v>
      </c>
      <c r="J31" s="76">
        <f t="shared" si="26"/>
        <v>254</v>
      </c>
      <c r="K31" s="90">
        <f t="shared" si="27"/>
        <v>40</v>
      </c>
      <c r="L31" s="85">
        <f t="shared" si="28"/>
        <v>15.748031496062993</v>
      </c>
      <c r="M31" s="80">
        <v>21170</v>
      </c>
      <c r="N31" s="87">
        <f t="shared" si="29"/>
        <v>846800</v>
      </c>
      <c r="R31" s="113">
        <f t="shared" ref="R31:R44" si="31">Q31</f>
        <v>0</v>
      </c>
    </row>
    <row r="32" spans="1:18" ht="17" thickBot="1" x14ac:dyDescent="0.25">
      <c r="A32" s="88">
        <v>46212</v>
      </c>
      <c r="B32" s="75" t="s">
        <v>12</v>
      </c>
      <c r="C32" s="76">
        <v>194301</v>
      </c>
      <c r="D32" s="76">
        <v>194655</v>
      </c>
      <c r="E32" s="54">
        <f t="shared" si="24"/>
        <v>354</v>
      </c>
      <c r="F32" s="89">
        <v>40</v>
      </c>
      <c r="G32" s="55">
        <f t="shared" si="25"/>
        <v>11.299435028248588</v>
      </c>
      <c r="H32" s="97">
        <v>35749</v>
      </c>
      <c r="I32" s="97">
        <v>36132</v>
      </c>
      <c r="J32" s="76">
        <f t="shared" si="26"/>
        <v>383</v>
      </c>
      <c r="K32" s="90">
        <f t="shared" si="27"/>
        <v>40</v>
      </c>
      <c r="L32" s="85">
        <f t="shared" si="28"/>
        <v>10.443864229765012</v>
      </c>
      <c r="M32" s="80">
        <v>21170</v>
      </c>
      <c r="N32" s="87">
        <f t="shared" si="29"/>
        <v>846800</v>
      </c>
      <c r="R32" s="113">
        <f t="shared" si="31"/>
        <v>0</v>
      </c>
    </row>
    <row r="33" spans="1:18" ht="17" thickBot="1" x14ac:dyDescent="0.25">
      <c r="A33" s="88">
        <v>46217</v>
      </c>
      <c r="B33" s="83" t="s">
        <v>12</v>
      </c>
      <c r="C33" s="76">
        <v>194655</v>
      </c>
      <c r="D33" s="76">
        <v>194968</v>
      </c>
      <c r="E33" s="54">
        <f t="shared" si="24"/>
        <v>313</v>
      </c>
      <c r="F33" s="89">
        <v>40</v>
      </c>
      <c r="G33" s="55">
        <f t="shared" si="25"/>
        <v>12.779552715654951</v>
      </c>
      <c r="H33" s="97">
        <v>36132</v>
      </c>
      <c r="I33" s="97">
        <v>36481</v>
      </c>
      <c r="J33" s="76">
        <f t="shared" si="26"/>
        <v>349</v>
      </c>
      <c r="K33" s="90">
        <f t="shared" si="27"/>
        <v>40</v>
      </c>
      <c r="L33" s="85">
        <f t="shared" si="28"/>
        <v>11.461318051575931</v>
      </c>
      <c r="M33" s="80">
        <v>21740</v>
      </c>
      <c r="N33" s="87">
        <f t="shared" si="29"/>
        <v>869600</v>
      </c>
      <c r="R33" s="113">
        <f t="shared" si="31"/>
        <v>0</v>
      </c>
    </row>
    <row r="34" spans="1:18" ht="17" thickBot="1" x14ac:dyDescent="0.25">
      <c r="A34" s="88"/>
      <c r="B34" s="83" t="s">
        <v>12</v>
      </c>
      <c r="C34" s="76"/>
      <c r="D34" s="76"/>
      <c r="E34" s="54">
        <f t="shared" si="24"/>
        <v>0</v>
      </c>
      <c r="F34" s="89"/>
      <c r="G34" s="55" t="e">
        <f t="shared" si="25"/>
        <v>#DIV/0!</v>
      </c>
      <c r="H34" s="97"/>
      <c r="I34" s="97"/>
      <c r="J34" s="76">
        <f t="shared" si="26"/>
        <v>0</v>
      </c>
      <c r="K34" s="90">
        <f t="shared" si="27"/>
        <v>0</v>
      </c>
      <c r="L34" s="85" t="e">
        <f t="shared" si="28"/>
        <v>#DIV/0!</v>
      </c>
      <c r="M34" s="80"/>
      <c r="N34" s="87">
        <f t="shared" si="29"/>
        <v>0</v>
      </c>
      <c r="R34" s="113">
        <f t="shared" si="31"/>
        <v>0</v>
      </c>
    </row>
    <row r="35" spans="1:18" x14ac:dyDescent="0.2">
      <c r="A35" s="88"/>
      <c r="B35" s="83" t="s">
        <v>12</v>
      </c>
      <c r="C35" s="76"/>
      <c r="D35" s="76"/>
      <c r="E35" s="54">
        <f t="shared" si="24"/>
        <v>0</v>
      </c>
      <c r="F35" s="89"/>
      <c r="G35" s="55" t="e">
        <f t="shared" si="25"/>
        <v>#DIV/0!</v>
      </c>
      <c r="H35" s="97"/>
      <c r="I35" s="97"/>
      <c r="J35" s="76">
        <f t="shared" si="26"/>
        <v>0</v>
      </c>
      <c r="K35" s="90">
        <f t="shared" si="27"/>
        <v>0</v>
      </c>
      <c r="L35" s="85" t="e">
        <f t="shared" si="28"/>
        <v>#DIV/0!</v>
      </c>
      <c r="M35" s="80"/>
      <c r="N35" s="87">
        <f t="shared" si="29"/>
        <v>0</v>
      </c>
      <c r="R35" s="113">
        <f t="shared" si="31"/>
        <v>0</v>
      </c>
    </row>
    <row r="36" spans="1:18" x14ac:dyDescent="0.2">
      <c r="A36" s="88"/>
      <c r="B36" s="83" t="s">
        <v>12</v>
      </c>
      <c r="C36" s="76"/>
      <c r="D36" s="76"/>
      <c r="E36" s="54">
        <f t="shared" si="24"/>
        <v>0</v>
      </c>
      <c r="F36" s="89"/>
      <c r="G36" s="55" t="e">
        <f t="shared" si="25"/>
        <v>#DIV/0!</v>
      </c>
      <c r="H36" s="97"/>
      <c r="I36" s="97"/>
      <c r="J36" s="76">
        <f t="shared" si="26"/>
        <v>0</v>
      </c>
      <c r="K36" s="90">
        <f t="shared" si="27"/>
        <v>0</v>
      </c>
      <c r="L36" s="85" t="e">
        <f t="shared" si="28"/>
        <v>#DIV/0!</v>
      </c>
      <c r="M36" s="91"/>
      <c r="N36" s="87">
        <f t="shared" si="29"/>
        <v>0</v>
      </c>
      <c r="R36" s="113">
        <f t="shared" si="31"/>
        <v>0</v>
      </c>
    </row>
    <row r="37" spans="1:18" ht="17" thickBot="1" x14ac:dyDescent="0.25">
      <c r="A37" s="88"/>
      <c r="B37" s="83" t="s">
        <v>12</v>
      </c>
      <c r="C37" s="76"/>
      <c r="D37" s="99"/>
      <c r="E37" s="54">
        <f t="shared" si="24"/>
        <v>0</v>
      </c>
      <c r="F37" s="89"/>
      <c r="G37" s="96" t="e">
        <f t="shared" si="25"/>
        <v>#DIV/0!</v>
      </c>
      <c r="H37" s="97"/>
      <c r="I37" s="111"/>
      <c r="J37" s="99">
        <f t="shared" si="26"/>
        <v>0</v>
      </c>
      <c r="K37" s="90">
        <f t="shared" si="27"/>
        <v>0</v>
      </c>
      <c r="L37" s="100" t="e">
        <f t="shared" si="28"/>
        <v>#DIV/0!</v>
      </c>
      <c r="M37" s="91"/>
      <c r="N37" s="102">
        <f t="shared" si="29"/>
        <v>0</v>
      </c>
      <c r="R37" s="113">
        <f t="shared" si="31"/>
        <v>0</v>
      </c>
    </row>
    <row r="38" spans="1:18" ht="17" thickBot="1" x14ac:dyDescent="0.25">
      <c r="A38" s="104"/>
      <c r="B38" s="105"/>
      <c r="C38" s="104"/>
      <c r="D38" s="104" t="s">
        <v>17</v>
      </c>
      <c r="E38" s="104">
        <f>SUM(E30:E37)</f>
        <v>1311</v>
      </c>
      <c r="F38" s="77"/>
      <c r="G38" s="106" t="e">
        <f>AVERAGE(G30:G37)</f>
        <v>#DIV/0!</v>
      </c>
      <c r="H38" s="104"/>
      <c r="I38" s="107"/>
      <c r="J38" s="104">
        <f t="shared" ref="J38:K38" si="32">SUM(J30:J37)</f>
        <v>1416</v>
      </c>
      <c r="K38" s="104">
        <f t="shared" si="32"/>
        <v>160</v>
      </c>
      <c r="L38" s="106" t="e">
        <f>AVERAGE(L30:L37)</f>
        <v>#DIV/0!</v>
      </c>
      <c r="M38" s="108"/>
      <c r="N38" s="109">
        <f>SUM(N30:N37)</f>
        <v>3437600</v>
      </c>
      <c r="R38" s="113">
        <f t="shared" si="31"/>
        <v>0</v>
      </c>
    </row>
    <row r="39" spans="1:18" x14ac:dyDescent="0.2">
      <c r="A39" s="74">
        <v>46210</v>
      </c>
      <c r="B39" s="75" t="s">
        <v>13</v>
      </c>
      <c r="C39" s="76">
        <v>183024</v>
      </c>
      <c r="D39" s="76">
        <v>183409</v>
      </c>
      <c r="E39" s="110">
        <f t="shared" ref="E39:E48" si="33">D39-C39</f>
        <v>385</v>
      </c>
      <c r="F39" s="77">
        <v>46</v>
      </c>
      <c r="G39" s="55">
        <f t="shared" ref="G39:G48" si="34">(F39/E39)*100</f>
        <v>11.948051948051948</v>
      </c>
      <c r="H39" s="97">
        <v>42158</v>
      </c>
      <c r="I39" s="97">
        <v>42542</v>
      </c>
      <c r="J39" s="78">
        <f t="shared" ref="J39:J48" si="35">I39-H39</f>
        <v>384</v>
      </c>
      <c r="K39" s="114">
        <f t="shared" ref="K39:K48" si="36">F39</f>
        <v>46</v>
      </c>
      <c r="L39" s="79">
        <f t="shared" ref="L39:L48" si="37">(K39/J39)*100</f>
        <v>11.979166666666668</v>
      </c>
      <c r="M39" s="99">
        <v>21170</v>
      </c>
      <c r="N39" s="81">
        <f t="shared" ref="N39:N48" si="38">F39*M39</f>
        <v>973820</v>
      </c>
      <c r="R39" s="113">
        <f t="shared" si="31"/>
        <v>0</v>
      </c>
    </row>
    <row r="40" spans="1:18" x14ac:dyDescent="0.2">
      <c r="A40" s="88">
        <v>46213</v>
      </c>
      <c r="B40" s="83" t="s">
        <v>13</v>
      </c>
      <c r="C40" s="76">
        <v>183409</v>
      </c>
      <c r="D40" s="76">
        <v>183810</v>
      </c>
      <c r="E40" s="54">
        <f t="shared" si="33"/>
        <v>401</v>
      </c>
      <c r="F40" s="89">
        <v>44</v>
      </c>
      <c r="G40" s="55">
        <f t="shared" si="34"/>
        <v>10.972568578553615</v>
      </c>
      <c r="H40" s="97">
        <v>42542</v>
      </c>
      <c r="I40" s="76">
        <v>42983</v>
      </c>
      <c r="J40" s="76">
        <f t="shared" si="35"/>
        <v>441</v>
      </c>
      <c r="K40" s="90">
        <f t="shared" si="36"/>
        <v>44</v>
      </c>
      <c r="L40" s="85">
        <f t="shared" si="37"/>
        <v>9.9773242630385486</v>
      </c>
      <c r="M40" s="99">
        <v>21740</v>
      </c>
      <c r="N40" s="87">
        <f t="shared" si="38"/>
        <v>956560</v>
      </c>
      <c r="P40" s="115"/>
      <c r="R40" s="113">
        <f t="shared" si="31"/>
        <v>0</v>
      </c>
    </row>
    <row r="41" spans="1:18" x14ac:dyDescent="0.2">
      <c r="A41" s="88">
        <v>46219</v>
      </c>
      <c r="B41" s="83" t="s">
        <v>13</v>
      </c>
      <c r="C41" s="76">
        <v>183810</v>
      </c>
      <c r="D41" s="76">
        <v>184218</v>
      </c>
      <c r="E41" s="54">
        <f t="shared" si="33"/>
        <v>408</v>
      </c>
      <c r="F41" s="89">
        <v>52</v>
      </c>
      <c r="G41" s="55">
        <f t="shared" si="34"/>
        <v>12.745098039215685</v>
      </c>
      <c r="H41" s="76">
        <v>42983</v>
      </c>
      <c r="I41" s="76">
        <v>43401</v>
      </c>
      <c r="J41" s="76">
        <f t="shared" si="35"/>
        <v>418</v>
      </c>
      <c r="K41" s="76">
        <f t="shared" si="36"/>
        <v>52</v>
      </c>
      <c r="L41" s="85">
        <f t="shared" si="37"/>
        <v>12.440191387559809</v>
      </c>
      <c r="M41" s="99">
        <v>21740</v>
      </c>
      <c r="N41" s="87">
        <f t="shared" si="38"/>
        <v>1130480</v>
      </c>
      <c r="R41" s="113">
        <f t="shared" si="31"/>
        <v>0</v>
      </c>
    </row>
    <row r="42" spans="1:18" x14ac:dyDescent="0.2">
      <c r="A42" s="88"/>
      <c r="B42" s="83" t="s">
        <v>13</v>
      </c>
      <c r="C42" s="76"/>
      <c r="D42" s="76"/>
      <c r="E42" s="54">
        <f t="shared" si="33"/>
        <v>0</v>
      </c>
      <c r="F42" s="89"/>
      <c r="G42" s="55" t="e">
        <f t="shared" si="34"/>
        <v>#DIV/0!</v>
      </c>
      <c r="H42" s="76"/>
      <c r="I42" s="97"/>
      <c r="J42" s="76">
        <f t="shared" si="35"/>
        <v>0</v>
      </c>
      <c r="K42" s="90">
        <f t="shared" si="36"/>
        <v>0</v>
      </c>
      <c r="L42" s="85" t="e">
        <f t="shared" si="37"/>
        <v>#DIV/0!</v>
      </c>
      <c r="M42" s="99"/>
      <c r="N42" s="87">
        <f t="shared" si="38"/>
        <v>0</v>
      </c>
      <c r="R42" s="113">
        <f t="shared" si="31"/>
        <v>0</v>
      </c>
    </row>
    <row r="43" spans="1:18" x14ac:dyDescent="0.2">
      <c r="A43" s="88"/>
      <c r="B43" s="83" t="s">
        <v>13</v>
      </c>
      <c r="C43" s="76"/>
      <c r="D43" s="76"/>
      <c r="E43" s="54">
        <f t="shared" si="33"/>
        <v>0</v>
      </c>
      <c r="F43" s="89"/>
      <c r="G43" s="55" t="e">
        <f t="shared" si="34"/>
        <v>#DIV/0!</v>
      </c>
      <c r="H43" s="97"/>
      <c r="I43" s="97"/>
      <c r="J43" s="76">
        <f t="shared" si="35"/>
        <v>0</v>
      </c>
      <c r="K43" s="90">
        <f t="shared" si="36"/>
        <v>0</v>
      </c>
      <c r="L43" s="85" t="e">
        <f t="shared" si="37"/>
        <v>#DIV/0!</v>
      </c>
      <c r="M43" s="99"/>
      <c r="N43" s="87">
        <f t="shared" si="38"/>
        <v>0</v>
      </c>
      <c r="R43" s="113">
        <f t="shared" si="31"/>
        <v>0</v>
      </c>
    </row>
    <row r="44" spans="1:18" x14ac:dyDescent="0.2">
      <c r="A44" s="88"/>
      <c r="B44" s="83" t="s">
        <v>13</v>
      </c>
      <c r="C44" s="76"/>
      <c r="D44" s="76"/>
      <c r="E44" s="54">
        <f t="shared" si="33"/>
        <v>0</v>
      </c>
      <c r="F44" s="89"/>
      <c r="G44" s="55" t="e">
        <f t="shared" si="34"/>
        <v>#DIV/0!</v>
      </c>
      <c r="H44" s="97"/>
      <c r="I44" s="97"/>
      <c r="J44" s="76">
        <f t="shared" si="35"/>
        <v>0</v>
      </c>
      <c r="K44" s="90">
        <f t="shared" si="36"/>
        <v>0</v>
      </c>
      <c r="L44" s="85" t="e">
        <f t="shared" si="37"/>
        <v>#DIV/0!</v>
      </c>
      <c r="M44" s="99"/>
      <c r="N44" s="87">
        <f t="shared" si="38"/>
        <v>0</v>
      </c>
      <c r="R44" s="113">
        <f t="shared" si="31"/>
        <v>0</v>
      </c>
    </row>
    <row r="45" spans="1:18" x14ac:dyDescent="0.2">
      <c r="A45" s="88"/>
      <c r="B45" s="83" t="s">
        <v>13</v>
      </c>
      <c r="C45" s="76"/>
      <c r="D45" s="76"/>
      <c r="E45" s="54">
        <f t="shared" si="33"/>
        <v>0</v>
      </c>
      <c r="F45" s="89"/>
      <c r="G45" s="55" t="e">
        <f t="shared" si="34"/>
        <v>#DIV/0!</v>
      </c>
      <c r="H45" s="97"/>
      <c r="I45" s="97"/>
      <c r="J45" s="76">
        <f t="shared" si="35"/>
        <v>0</v>
      </c>
      <c r="K45" s="90">
        <f t="shared" si="36"/>
        <v>0</v>
      </c>
      <c r="L45" s="85" t="e">
        <f t="shared" si="37"/>
        <v>#DIV/0!</v>
      </c>
      <c r="M45" s="99"/>
      <c r="N45" s="87">
        <f t="shared" si="38"/>
        <v>0</v>
      </c>
    </row>
    <row r="46" spans="1:18" x14ac:dyDescent="0.2">
      <c r="A46" s="88"/>
      <c r="B46" s="83" t="s">
        <v>13</v>
      </c>
      <c r="C46" s="76"/>
      <c r="D46" s="76"/>
      <c r="E46" s="54">
        <f t="shared" si="33"/>
        <v>0</v>
      </c>
      <c r="F46" s="89"/>
      <c r="G46" s="55" t="e">
        <f t="shared" si="34"/>
        <v>#DIV/0!</v>
      </c>
      <c r="H46" s="97"/>
      <c r="I46" s="97"/>
      <c r="J46" s="76">
        <f t="shared" si="35"/>
        <v>0</v>
      </c>
      <c r="K46" s="90">
        <f t="shared" si="36"/>
        <v>0</v>
      </c>
      <c r="L46" s="85" t="e">
        <f t="shared" si="37"/>
        <v>#DIV/0!</v>
      </c>
      <c r="M46" s="91"/>
      <c r="N46" s="87">
        <f t="shared" si="38"/>
        <v>0</v>
      </c>
    </row>
    <row r="47" spans="1:18" x14ac:dyDescent="0.2">
      <c r="A47" s="88"/>
      <c r="B47" s="116" t="s">
        <v>13</v>
      </c>
      <c r="C47" s="76"/>
      <c r="D47" s="99"/>
      <c r="E47" s="117">
        <f t="shared" si="33"/>
        <v>0</v>
      </c>
      <c r="F47" s="89"/>
      <c r="G47" s="96" t="e">
        <f t="shared" si="34"/>
        <v>#DIV/0!</v>
      </c>
      <c r="H47" s="97"/>
      <c r="I47" s="111"/>
      <c r="J47" s="99">
        <f t="shared" si="35"/>
        <v>0</v>
      </c>
      <c r="K47" s="90">
        <f t="shared" si="36"/>
        <v>0</v>
      </c>
      <c r="L47" s="100" t="e">
        <f t="shared" si="37"/>
        <v>#DIV/0!</v>
      </c>
      <c r="M47" s="91"/>
      <c r="N47" s="102">
        <f t="shared" si="38"/>
        <v>0</v>
      </c>
      <c r="R47" s="113">
        <f t="shared" ref="R47:R57" si="39">Q47</f>
        <v>0</v>
      </c>
    </row>
    <row r="48" spans="1:18" ht="17" thickBot="1" x14ac:dyDescent="0.25">
      <c r="A48" s="88"/>
      <c r="B48" s="116" t="s">
        <v>13</v>
      </c>
      <c r="C48" s="99"/>
      <c r="D48" s="99"/>
      <c r="E48" s="117">
        <f t="shared" si="33"/>
        <v>0</v>
      </c>
      <c r="F48" s="89"/>
      <c r="G48" s="96" t="e">
        <f t="shared" si="34"/>
        <v>#DIV/0!</v>
      </c>
      <c r="H48" s="111"/>
      <c r="I48" s="111"/>
      <c r="J48" s="99">
        <f t="shared" si="35"/>
        <v>0</v>
      </c>
      <c r="K48" s="90">
        <f t="shared" si="36"/>
        <v>0</v>
      </c>
      <c r="L48" s="100" t="e">
        <f t="shared" si="37"/>
        <v>#DIV/0!</v>
      </c>
      <c r="M48" s="91"/>
      <c r="N48" s="102">
        <f t="shared" si="38"/>
        <v>0</v>
      </c>
      <c r="R48" s="113">
        <f t="shared" si="39"/>
        <v>0</v>
      </c>
    </row>
    <row r="49" spans="1:18" ht="17" thickBot="1" x14ac:dyDescent="0.25">
      <c r="A49" s="104"/>
      <c r="B49" s="105"/>
      <c r="C49" s="104"/>
      <c r="D49" s="104" t="s">
        <v>17</v>
      </c>
      <c r="E49" s="104">
        <f>SUM(E39:E47)</f>
        <v>1194</v>
      </c>
      <c r="F49" s="104"/>
      <c r="G49" s="106" t="e">
        <f>AVERAGE(G39:G47)</f>
        <v>#DIV/0!</v>
      </c>
      <c r="H49" s="104"/>
      <c r="I49" s="107"/>
      <c r="J49" s="104">
        <f t="shared" ref="J49:K49" si="40">SUM(J39:J47)</f>
        <v>1243</v>
      </c>
      <c r="K49" s="104">
        <f t="shared" si="40"/>
        <v>142</v>
      </c>
      <c r="L49" s="106" t="e">
        <f>AVERAGE(L39:L47)</f>
        <v>#DIV/0!</v>
      </c>
      <c r="M49" s="108"/>
      <c r="N49" s="109">
        <f>SUM(N39:N48)</f>
        <v>3060860</v>
      </c>
      <c r="R49" s="113">
        <f t="shared" si="39"/>
        <v>0</v>
      </c>
    </row>
    <row r="50" spans="1:18" ht="17" thickBot="1" x14ac:dyDescent="0.25">
      <c r="A50" s="74">
        <v>46209</v>
      </c>
      <c r="B50" s="75" t="s">
        <v>14</v>
      </c>
      <c r="C50" s="76">
        <v>160389</v>
      </c>
      <c r="D50" s="76">
        <v>160766</v>
      </c>
      <c r="E50" s="110">
        <f t="shared" ref="E50:E60" si="41">D50-C50</f>
        <v>377</v>
      </c>
      <c r="F50" s="77">
        <v>57</v>
      </c>
      <c r="G50" s="55">
        <f t="shared" ref="G50:G60" si="42">(F50/E50)*100</f>
        <v>15.119363395225463</v>
      </c>
      <c r="H50" s="97">
        <v>46402</v>
      </c>
      <c r="I50" s="97">
        <v>46755</v>
      </c>
      <c r="J50" s="78">
        <f t="shared" ref="J50:J60" si="43">I50-H50</f>
        <v>353</v>
      </c>
      <c r="K50" s="114">
        <f t="shared" ref="K50:K60" si="44">F50</f>
        <v>57</v>
      </c>
      <c r="L50" s="79">
        <f t="shared" ref="L50:L60" si="45">(K50/J50)*100</f>
        <v>16.147308781869686</v>
      </c>
      <c r="M50" s="80">
        <v>21170</v>
      </c>
      <c r="N50" s="81">
        <f t="shared" ref="N50:N60" si="46">F50*M50</f>
        <v>1206690</v>
      </c>
      <c r="R50" s="113">
        <f t="shared" si="39"/>
        <v>0</v>
      </c>
    </row>
    <row r="51" spans="1:18" x14ac:dyDescent="0.2">
      <c r="A51" s="74">
        <v>46213</v>
      </c>
      <c r="B51" s="83" t="s">
        <v>14</v>
      </c>
      <c r="C51" s="76">
        <v>160766</v>
      </c>
      <c r="D51" s="76">
        <v>161192</v>
      </c>
      <c r="E51" s="54">
        <f t="shared" si="41"/>
        <v>426</v>
      </c>
      <c r="F51" s="89">
        <v>60</v>
      </c>
      <c r="G51" s="55">
        <f t="shared" si="42"/>
        <v>14.084507042253522</v>
      </c>
      <c r="H51" s="97">
        <v>46755</v>
      </c>
      <c r="I51" s="97">
        <v>47266</v>
      </c>
      <c r="J51" s="76">
        <f t="shared" si="43"/>
        <v>511</v>
      </c>
      <c r="K51" s="90">
        <f t="shared" si="44"/>
        <v>60</v>
      </c>
      <c r="L51" s="85">
        <f t="shared" si="45"/>
        <v>11.741682974559687</v>
      </c>
      <c r="M51" s="91">
        <v>21740</v>
      </c>
      <c r="N51" s="87">
        <f t="shared" si="46"/>
        <v>1304400</v>
      </c>
      <c r="R51" s="113">
        <f t="shared" si="39"/>
        <v>0</v>
      </c>
    </row>
    <row r="52" spans="1:18" x14ac:dyDescent="0.2">
      <c r="A52" s="118">
        <v>46218</v>
      </c>
      <c r="B52" s="83" t="s">
        <v>14</v>
      </c>
      <c r="C52" s="76">
        <v>161192</v>
      </c>
      <c r="D52" s="76">
        <v>161587</v>
      </c>
      <c r="E52" s="54">
        <f t="shared" si="41"/>
        <v>395</v>
      </c>
      <c r="F52" s="89">
        <v>59</v>
      </c>
      <c r="G52" s="55">
        <f t="shared" si="42"/>
        <v>14.936708860759493</v>
      </c>
      <c r="H52" s="97">
        <v>47266</v>
      </c>
      <c r="I52" s="97">
        <v>47703</v>
      </c>
      <c r="J52" s="76">
        <f t="shared" si="43"/>
        <v>437</v>
      </c>
      <c r="K52" s="90">
        <f t="shared" si="44"/>
        <v>59</v>
      </c>
      <c r="L52" s="85">
        <f t="shared" si="45"/>
        <v>13.501144164759726</v>
      </c>
      <c r="M52" s="91">
        <v>21740</v>
      </c>
      <c r="N52" s="87">
        <f t="shared" si="46"/>
        <v>1282660</v>
      </c>
      <c r="R52" s="113">
        <f t="shared" si="39"/>
        <v>0</v>
      </c>
    </row>
    <row r="53" spans="1:18" x14ac:dyDescent="0.2">
      <c r="A53" s="118"/>
      <c r="B53" s="83" t="s">
        <v>14</v>
      </c>
      <c r="C53" s="76"/>
      <c r="D53" s="76"/>
      <c r="E53" s="54">
        <f t="shared" si="41"/>
        <v>0</v>
      </c>
      <c r="F53" s="89"/>
      <c r="G53" s="55" t="e">
        <f t="shared" si="42"/>
        <v>#DIV/0!</v>
      </c>
      <c r="H53" s="97"/>
      <c r="I53" s="97"/>
      <c r="J53" s="76">
        <f t="shared" si="43"/>
        <v>0</v>
      </c>
      <c r="K53" s="90">
        <f t="shared" si="44"/>
        <v>0</v>
      </c>
      <c r="L53" s="85" t="e">
        <f t="shared" si="45"/>
        <v>#DIV/0!</v>
      </c>
      <c r="M53" s="91"/>
      <c r="N53" s="87">
        <f t="shared" si="46"/>
        <v>0</v>
      </c>
      <c r="R53" s="113">
        <f t="shared" si="39"/>
        <v>0</v>
      </c>
    </row>
    <row r="54" spans="1:18" x14ac:dyDescent="0.2">
      <c r="A54" s="118"/>
      <c r="B54" s="83" t="s">
        <v>14</v>
      </c>
      <c r="C54" s="76"/>
      <c r="D54" s="76"/>
      <c r="E54" s="54">
        <f t="shared" si="41"/>
        <v>0</v>
      </c>
      <c r="F54" s="89"/>
      <c r="G54" s="55" t="e">
        <f t="shared" si="42"/>
        <v>#DIV/0!</v>
      </c>
      <c r="H54" s="97"/>
      <c r="I54" s="97"/>
      <c r="J54" s="76">
        <f t="shared" si="43"/>
        <v>0</v>
      </c>
      <c r="K54" s="90">
        <f t="shared" si="44"/>
        <v>0</v>
      </c>
      <c r="L54" s="85" t="e">
        <f t="shared" si="45"/>
        <v>#DIV/0!</v>
      </c>
      <c r="M54" s="91"/>
      <c r="N54" s="87">
        <f t="shared" si="46"/>
        <v>0</v>
      </c>
      <c r="P54" s="115"/>
      <c r="R54" s="113">
        <f t="shared" si="39"/>
        <v>0</v>
      </c>
    </row>
    <row r="55" spans="1:18" x14ac:dyDescent="0.2">
      <c r="A55" s="118"/>
      <c r="B55" s="83" t="s">
        <v>14</v>
      </c>
      <c r="C55" s="76"/>
      <c r="D55" s="76"/>
      <c r="E55" s="54">
        <f t="shared" si="41"/>
        <v>0</v>
      </c>
      <c r="F55" s="89"/>
      <c r="G55" s="55" t="e">
        <f t="shared" si="42"/>
        <v>#DIV/0!</v>
      </c>
      <c r="H55" s="97"/>
      <c r="I55" s="97"/>
      <c r="J55" s="76">
        <f t="shared" si="43"/>
        <v>0</v>
      </c>
      <c r="K55" s="90">
        <f t="shared" si="44"/>
        <v>0</v>
      </c>
      <c r="L55" s="85" t="e">
        <f t="shared" si="45"/>
        <v>#DIV/0!</v>
      </c>
      <c r="M55" s="91"/>
      <c r="N55" s="87">
        <f t="shared" si="46"/>
        <v>0</v>
      </c>
      <c r="R55" s="113">
        <f t="shared" si="39"/>
        <v>0</v>
      </c>
    </row>
    <row r="56" spans="1:18" x14ac:dyDescent="0.2">
      <c r="A56" s="118"/>
      <c r="B56" s="83" t="s">
        <v>14</v>
      </c>
      <c r="C56" s="76"/>
      <c r="D56" s="76"/>
      <c r="E56" s="54">
        <f t="shared" si="41"/>
        <v>0</v>
      </c>
      <c r="F56" s="89"/>
      <c r="G56" s="55" t="e">
        <f t="shared" si="42"/>
        <v>#DIV/0!</v>
      </c>
      <c r="H56" s="97"/>
      <c r="I56" s="97"/>
      <c r="J56" s="76">
        <f t="shared" si="43"/>
        <v>0</v>
      </c>
      <c r="K56" s="90">
        <f t="shared" si="44"/>
        <v>0</v>
      </c>
      <c r="L56" s="85" t="e">
        <f t="shared" si="45"/>
        <v>#DIV/0!</v>
      </c>
      <c r="M56" s="91"/>
      <c r="N56" s="87">
        <f t="shared" si="46"/>
        <v>0</v>
      </c>
      <c r="R56" s="113">
        <f t="shared" si="39"/>
        <v>0</v>
      </c>
    </row>
    <row r="57" spans="1:18" x14ac:dyDescent="0.2">
      <c r="A57" s="118"/>
      <c r="B57" s="83" t="s">
        <v>14</v>
      </c>
      <c r="C57" s="76"/>
      <c r="D57" s="76"/>
      <c r="E57" s="54">
        <f t="shared" si="41"/>
        <v>0</v>
      </c>
      <c r="F57" s="89"/>
      <c r="G57" s="55" t="e">
        <f t="shared" si="42"/>
        <v>#DIV/0!</v>
      </c>
      <c r="H57" s="97"/>
      <c r="I57" s="97"/>
      <c r="J57" s="76">
        <f t="shared" si="43"/>
        <v>0</v>
      </c>
      <c r="K57" s="90">
        <f t="shared" si="44"/>
        <v>0</v>
      </c>
      <c r="L57" s="85" t="e">
        <f t="shared" si="45"/>
        <v>#DIV/0!</v>
      </c>
      <c r="M57" s="91"/>
      <c r="N57" s="87">
        <f t="shared" si="46"/>
        <v>0</v>
      </c>
      <c r="R57" s="113">
        <f t="shared" si="39"/>
        <v>0</v>
      </c>
    </row>
    <row r="58" spans="1:18" x14ac:dyDescent="0.2">
      <c r="A58" s="118"/>
      <c r="B58" s="83" t="s">
        <v>14</v>
      </c>
      <c r="C58" s="76"/>
      <c r="D58" s="76"/>
      <c r="E58" s="54">
        <f t="shared" si="41"/>
        <v>0</v>
      </c>
      <c r="F58" s="89"/>
      <c r="G58" s="55" t="e">
        <f t="shared" si="42"/>
        <v>#DIV/0!</v>
      </c>
      <c r="H58" s="97"/>
      <c r="I58" s="97"/>
      <c r="J58" s="76">
        <f t="shared" si="43"/>
        <v>0</v>
      </c>
      <c r="K58" s="90">
        <f t="shared" si="44"/>
        <v>0</v>
      </c>
      <c r="L58" s="85" t="e">
        <f t="shared" si="45"/>
        <v>#DIV/0!</v>
      </c>
      <c r="M58" s="91"/>
      <c r="N58" s="87">
        <f t="shared" si="46"/>
        <v>0</v>
      </c>
    </row>
    <row r="59" spans="1:18" x14ac:dyDescent="0.2">
      <c r="A59" s="118"/>
      <c r="B59" s="83" t="s">
        <v>14</v>
      </c>
      <c r="C59" s="76"/>
      <c r="D59" s="76"/>
      <c r="E59" s="54">
        <f t="shared" si="41"/>
        <v>0</v>
      </c>
      <c r="F59" s="89"/>
      <c r="G59" s="55" t="e">
        <f t="shared" si="42"/>
        <v>#DIV/0!</v>
      </c>
      <c r="H59" s="97"/>
      <c r="I59" s="97"/>
      <c r="J59" s="76">
        <f t="shared" si="43"/>
        <v>0</v>
      </c>
      <c r="K59" s="90">
        <f t="shared" si="44"/>
        <v>0</v>
      </c>
      <c r="L59" s="85" t="e">
        <f t="shared" si="45"/>
        <v>#DIV/0!</v>
      </c>
      <c r="M59" s="91"/>
      <c r="N59" s="87">
        <f t="shared" si="46"/>
        <v>0</v>
      </c>
      <c r="R59" s="113">
        <f t="shared" ref="R59:R64" si="47">Q59</f>
        <v>0</v>
      </c>
    </row>
    <row r="60" spans="1:18" ht="17" thickBot="1" x14ac:dyDescent="0.25">
      <c r="A60" s="118"/>
      <c r="B60" s="83" t="s">
        <v>14</v>
      </c>
      <c r="C60" s="99"/>
      <c r="D60" s="99"/>
      <c r="E60" s="117">
        <f t="shared" si="41"/>
        <v>0</v>
      </c>
      <c r="F60" s="89"/>
      <c r="G60" s="96" t="e">
        <f t="shared" si="42"/>
        <v>#DIV/0!</v>
      </c>
      <c r="H60" s="99"/>
      <c r="I60" s="111"/>
      <c r="J60" s="99">
        <f t="shared" si="43"/>
        <v>0</v>
      </c>
      <c r="K60" s="90">
        <f t="shared" si="44"/>
        <v>0</v>
      </c>
      <c r="L60" s="100" t="e">
        <f t="shared" si="45"/>
        <v>#DIV/0!</v>
      </c>
      <c r="M60" s="91"/>
      <c r="N60" s="102">
        <f t="shared" si="46"/>
        <v>0</v>
      </c>
      <c r="R60" s="113">
        <f t="shared" si="47"/>
        <v>0</v>
      </c>
    </row>
    <row r="61" spans="1:18" ht="17" thickBot="1" x14ac:dyDescent="0.25">
      <c r="A61" s="104"/>
      <c r="B61" s="105"/>
      <c r="C61" s="119"/>
      <c r="D61" s="104" t="s">
        <v>17</v>
      </c>
      <c r="E61" s="104">
        <f>SUM(E50:E60)</f>
        <v>1198</v>
      </c>
      <c r="F61" s="77"/>
      <c r="G61" s="106" t="e">
        <f>AVERAGE(G50:G60)</f>
        <v>#DIV/0!</v>
      </c>
      <c r="H61" s="104"/>
      <c r="I61" s="107"/>
      <c r="J61" s="104">
        <f t="shared" ref="J61:K61" si="48">SUM(J50:J60)</f>
        <v>1301</v>
      </c>
      <c r="K61" s="104">
        <f t="shared" si="48"/>
        <v>176</v>
      </c>
      <c r="L61" s="106" t="e">
        <f>AVERAGE(L50:L60)</f>
        <v>#DIV/0!</v>
      </c>
      <c r="M61" s="108"/>
      <c r="N61" s="109">
        <f>SUM(N50:N60)</f>
        <v>3793750</v>
      </c>
      <c r="R61" s="113">
        <f t="shared" si="47"/>
        <v>0</v>
      </c>
    </row>
    <row r="62" spans="1:18" x14ac:dyDescent="0.2">
      <c r="A62" s="74">
        <v>46204</v>
      </c>
      <c r="B62" s="120" t="s">
        <v>16</v>
      </c>
      <c r="C62" s="76">
        <v>162882</v>
      </c>
      <c r="D62" s="90">
        <v>163331</v>
      </c>
      <c r="E62" s="110">
        <f t="shared" ref="E62:E70" si="49">D62-C62</f>
        <v>449</v>
      </c>
      <c r="F62" s="77">
        <v>55</v>
      </c>
      <c r="G62" s="55">
        <f t="shared" ref="G62:G70" si="50">(F62/E62)*100</f>
        <v>12.24944320712695</v>
      </c>
      <c r="H62" s="97">
        <v>36237</v>
      </c>
      <c r="I62" s="97">
        <v>36722</v>
      </c>
      <c r="J62" s="78">
        <f t="shared" ref="J62:J70" si="51">I62-H62</f>
        <v>485</v>
      </c>
      <c r="K62" s="114">
        <f t="shared" ref="K62:K70" si="52">F62</f>
        <v>55</v>
      </c>
      <c r="L62" s="79">
        <f t="shared" ref="L62:L70" si="53">(K62/J62)*100</f>
        <v>11.340206185567011</v>
      </c>
      <c r="M62" s="80">
        <v>21860</v>
      </c>
      <c r="N62" s="81">
        <f t="shared" ref="N62:N70" si="54">F62*M62</f>
        <v>1202300</v>
      </c>
      <c r="R62" s="113">
        <f t="shared" si="47"/>
        <v>0</v>
      </c>
    </row>
    <row r="63" spans="1:18" x14ac:dyDescent="0.2">
      <c r="A63" s="88">
        <v>46210</v>
      </c>
      <c r="B63" s="83" t="s">
        <v>16</v>
      </c>
      <c r="C63" s="90">
        <v>163331</v>
      </c>
      <c r="D63" s="76">
        <v>163683</v>
      </c>
      <c r="E63" s="54">
        <f t="shared" si="49"/>
        <v>352</v>
      </c>
      <c r="F63" s="89">
        <v>47</v>
      </c>
      <c r="G63" s="55">
        <f t="shared" si="50"/>
        <v>13.352272727272727</v>
      </c>
      <c r="H63" s="97">
        <v>36722</v>
      </c>
      <c r="I63" s="97">
        <v>37062</v>
      </c>
      <c r="J63" s="76">
        <f t="shared" si="51"/>
        <v>340</v>
      </c>
      <c r="K63" s="90">
        <f t="shared" si="52"/>
        <v>47</v>
      </c>
      <c r="L63" s="85">
        <f t="shared" si="53"/>
        <v>13.823529411764707</v>
      </c>
      <c r="M63" s="91">
        <v>21170</v>
      </c>
      <c r="N63" s="87">
        <f t="shared" si="54"/>
        <v>994990</v>
      </c>
      <c r="R63" s="113">
        <f t="shared" si="47"/>
        <v>0</v>
      </c>
    </row>
    <row r="64" spans="1:18" x14ac:dyDescent="0.2">
      <c r="A64" s="88">
        <v>46216</v>
      </c>
      <c r="B64" s="83" t="s">
        <v>16</v>
      </c>
      <c r="C64" s="76">
        <v>163683</v>
      </c>
      <c r="D64" s="76">
        <v>164038</v>
      </c>
      <c r="E64" s="54">
        <f t="shared" si="49"/>
        <v>355</v>
      </c>
      <c r="F64" s="89">
        <v>52</v>
      </c>
      <c r="G64" s="55">
        <f t="shared" si="50"/>
        <v>14.647887323943662</v>
      </c>
      <c r="H64" s="97">
        <v>37062</v>
      </c>
      <c r="I64" s="97">
        <v>37535</v>
      </c>
      <c r="J64" s="76">
        <f t="shared" si="51"/>
        <v>473</v>
      </c>
      <c r="K64" s="90">
        <f t="shared" si="52"/>
        <v>52</v>
      </c>
      <c r="L64" s="85">
        <f t="shared" si="53"/>
        <v>10.993657505285412</v>
      </c>
      <c r="M64" s="91">
        <v>21740</v>
      </c>
      <c r="N64" s="87">
        <f t="shared" si="54"/>
        <v>1130480</v>
      </c>
      <c r="R64" s="113">
        <f t="shared" si="47"/>
        <v>0</v>
      </c>
    </row>
    <row r="65" spans="1:18" x14ac:dyDescent="0.2">
      <c r="A65" s="88"/>
      <c r="B65" s="83" t="s">
        <v>16</v>
      </c>
      <c r="C65" s="76"/>
      <c r="D65" s="76"/>
      <c r="E65" s="54">
        <f t="shared" si="49"/>
        <v>0</v>
      </c>
      <c r="F65" s="89"/>
      <c r="G65" s="55" t="e">
        <f t="shared" si="50"/>
        <v>#DIV/0!</v>
      </c>
      <c r="H65" s="97"/>
      <c r="I65" s="97"/>
      <c r="J65" s="76">
        <f t="shared" si="51"/>
        <v>0</v>
      </c>
      <c r="K65" s="90">
        <f t="shared" si="52"/>
        <v>0</v>
      </c>
      <c r="L65" s="85" t="e">
        <f t="shared" si="53"/>
        <v>#DIV/0!</v>
      </c>
      <c r="M65" s="91"/>
      <c r="N65" s="87">
        <f t="shared" si="54"/>
        <v>0</v>
      </c>
    </row>
    <row r="66" spans="1:18" x14ac:dyDescent="0.2">
      <c r="A66" s="88"/>
      <c r="B66" s="83" t="s">
        <v>16</v>
      </c>
      <c r="C66" s="76"/>
      <c r="D66" s="76"/>
      <c r="E66" s="54">
        <f t="shared" si="49"/>
        <v>0</v>
      </c>
      <c r="F66" s="89"/>
      <c r="G66" s="55" t="e">
        <f t="shared" si="50"/>
        <v>#DIV/0!</v>
      </c>
      <c r="H66" s="97"/>
      <c r="I66" s="97"/>
      <c r="J66" s="76">
        <f t="shared" si="51"/>
        <v>0</v>
      </c>
      <c r="K66" s="90">
        <f t="shared" si="52"/>
        <v>0</v>
      </c>
      <c r="L66" s="85" t="e">
        <f t="shared" si="53"/>
        <v>#DIV/0!</v>
      </c>
      <c r="M66" s="91"/>
      <c r="N66" s="87">
        <f t="shared" si="54"/>
        <v>0</v>
      </c>
      <c r="R66" s="113">
        <f t="shared" ref="R66:R128" si="55">Q66</f>
        <v>0</v>
      </c>
    </row>
    <row r="67" spans="1:18" x14ac:dyDescent="0.2">
      <c r="A67" s="88"/>
      <c r="B67" s="83" t="s">
        <v>16</v>
      </c>
      <c r="C67" s="76"/>
      <c r="D67" s="76"/>
      <c r="E67" s="54">
        <f t="shared" si="49"/>
        <v>0</v>
      </c>
      <c r="F67" s="89"/>
      <c r="G67" s="55" t="e">
        <f t="shared" si="50"/>
        <v>#DIV/0!</v>
      </c>
      <c r="H67" s="97"/>
      <c r="I67" s="97"/>
      <c r="J67" s="76">
        <f t="shared" si="51"/>
        <v>0</v>
      </c>
      <c r="K67" s="90">
        <f t="shared" si="52"/>
        <v>0</v>
      </c>
      <c r="L67" s="85" t="e">
        <f t="shared" si="53"/>
        <v>#DIV/0!</v>
      </c>
      <c r="M67" s="91"/>
      <c r="N67" s="87">
        <f t="shared" si="54"/>
        <v>0</v>
      </c>
      <c r="R67" s="113">
        <f t="shared" si="55"/>
        <v>0</v>
      </c>
    </row>
    <row r="68" spans="1:18" x14ac:dyDescent="0.2">
      <c r="A68" s="88"/>
      <c r="B68" s="83" t="s">
        <v>16</v>
      </c>
      <c r="C68" s="76"/>
      <c r="D68" s="76"/>
      <c r="E68" s="61">
        <f t="shared" si="49"/>
        <v>0</v>
      </c>
      <c r="F68" s="89"/>
      <c r="G68" s="55" t="e">
        <f t="shared" si="50"/>
        <v>#DIV/0!</v>
      </c>
      <c r="H68" s="97"/>
      <c r="I68" s="97"/>
      <c r="J68" s="76">
        <f t="shared" si="51"/>
        <v>0</v>
      </c>
      <c r="K68" s="90">
        <f t="shared" si="52"/>
        <v>0</v>
      </c>
      <c r="L68" s="85" t="e">
        <f t="shared" si="53"/>
        <v>#DIV/0!</v>
      </c>
      <c r="M68" s="91"/>
      <c r="N68" s="87">
        <f t="shared" si="54"/>
        <v>0</v>
      </c>
      <c r="R68" s="113">
        <f t="shared" si="55"/>
        <v>0</v>
      </c>
    </row>
    <row r="69" spans="1:18" x14ac:dyDescent="0.2">
      <c r="A69" s="121"/>
      <c r="B69" s="122" t="s">
        <v>16</v>
      </c>
      <c r="C69" s="76"/>
      <c r="D69" s="90"/>
      <c r="E69" s="61">
        <f t="shared" si="49"/>
        <v>0</v>
      </c>
      <c r="F69" s="89"/>
      <c r="G69" s="55" t="e">
        <f t="shared" si="50"/>
        <v>#DIV/0!</v>
      </c>
      <c r="H69" s="97"/>
      <c r="I69" s="97"/>
      <c r="J69" s="76">
        <f t="shared" si="51"/>
        <v>0</v>
      </c>
      <c r="K69" s="90">
        <f t="shared" si="52"/>
        <v>0</v>
      </c>
      <c r="L69" s="85" t="e">
        <f t="shared" si="53"/>
        <v>#DIV/0!</v>
      </c>
      <c r="M69" s="91"/>
      <c r="N69" s="87">
        <f t="shared" si="54"/>
        <v>0</v>
      </c>
      <c r="R69" s="113">
        <f t="shared" si="55"/>
        <v>0</v>
      </c>
    </row>
    <row r="70" spans="1:18" ht="17" thickBot="1" x14ac:dyDescent="0.25">
      <c r="A70" s="88"/>
      <c r="B70" s="83" t="s">
        <v>16</v>
      </c>
      <c r="C70" s="53"/>
      <c r="D70" s="99"/>
      <c r="E70" s="117">
        <f t="shared" si="49"/>
        <v>0</v>
      </c>
      <c r="F70" s="89"/>
      <c r="G70" s="96" t="e">
        <f t="shared" si="50"/>
        <v>#DIV/0!</v>
      </c>
      <c r="H70" s="99"/>
      <c r="I70" s="111"/>
      <c r="J70" s="99">
        <f t="shared" si="51"/>
        <v>0</v>
      </c>
      <c r="K70" s="90">
        <f t="shared" si="52"/>
        <v>0</v>
      </c>
      <c r="L70" s="100" t="e">
        <f t="shared" si="53"/>
        <v>#DIV/0!</v>
      </c>
      <c r="M70" s="91"/>
      <c r="N70" s="102">
        <f t="shared" si="54"/>
        <v>0</v>
      </c>
      <c r="R70" s="113">
        <f t="shared" si="55"/>
        <v>0</v>
      </c>
    </row>
    <row r="71" spans="1:18" ht="17" thickBot="1" x14ac:dyDescent="0.25">
      <c r="A71" s="104"/>
      <c r="B71" s="105"/>
      <c r="C71" s="123"/>
      <c r="D71" s="104" t="s">
        <v>17</v>
      </c>
      <c r="E71" s="104">
        <f>SUM(E62:E70)</f>
        <v>1156</v>
      </c>
      <c r="F71" s="104"/>
      <c r="G71" s="106" t="e">
        <f>AVERAGE(G62:G70)</f>
        <v>#DIV/0!</v>
      </c>
      <c r="H71" s="104"/>
      <c r="I71" s="107"/>
      <c r="J71" s="104">
        <f t="shared" ref="J71:K71" si="56">SUM(J62:J70)</f>
        <v>1298</v>
      </c>
      <c r="K71" s="104">
        <f t="shared" si="56"/>
        <v>154</v>
      </c>
      <c r="L71" s="106" t="e">
        <f>AVERAGE(L62:L70)</f>
        <v>#DIV/0!</v>
      </c>
      <c r="M71" s="108"/>
      <c r="N71" s="109">
        <f>SUM(N62:N70)</f>
        <v>3327770</v>
      </c>
      <c r="R71" s="113">
        <f t="shared" si="55"/>
        <v>0</v>
      </c>
    </row>
    <row r="72" spans="1:18" x14ac:dyDescent="0.2">
      <c r="A72" s="74">
        <v>46207</v>
      </c>
      <c r="B72" s="75" t="s">
        <v>18</v>
      </c>
      <c r="C72" s="76">
        <v>410351</v>
      </c>
      <c r="D72" s="76">
        <v>410912</v>
      </c>
      <c r="E72" s="110">
        <f t="shared" ref="E72:E79" si="57">D72-C72</f>
        <v>561</v>
      </c>
      <c r="F72" s="77">
        <v>69</v>
      </c>
      <c r="G72" s="55">
        <f t="shared" ref="G72:G79" si="58">(F72/E72)*100</f>
        <v>12.299465240641712</v>
      </c>
      <c r="H72" s="97">
        <v>42216</v>
      </c>
      <c r="I72" s="97">
        <v>42762</v>
      </c>
      <c r="J72" s="78">
        <f t="shared" ref="J72:J79" si="59">I72-H72</f>
        <v>546</v>
      </c>
      <c r="K72" s="114">
        <f t="shared" ref="K72:K79" si="60">F72</f>
        <v>69</v>
      </c>
      <c r="L72" s="79">
        <f t="shared" ref="L72:L79" si="61">(K72/J72)*100</f>
        <v>12.637362637362637</v>
      </c>
      <c r="M72" s="80">
        <v>21170</v>
      </c>
      <c r="N72" s="81">
        <f t="shared" ref="N72:N79" si="62">F72*M72</f>
        <v>1460730</v>
      </c>
      <c r="R72" s="113">
        <f t="shared" si="55"/>
        <v>0</v>
      </c>
    </row>
    <row r="73" spans="1:18" x14ac:dyDescent="0.2">
      <c r="A73" s="88">
        <v>46214</v>
      </c>
      <c r="B73" s="83" t="s">
        <v>18</v>
      </c>
      <c r="C73" s="76">
        <v>410912</v>
      </c>
      <c r="D73" s="76">
        <v>411435</v>
      </c>
      <c r="E73" s="54">
        <f t="shared" si="57"/>
        <v>523</v>
      </c>
      <c r="F73" s="89">
        <v>58</v>
      </c>
      <c r="G73" s="55">
        <f t="shared" si="58"/>
        <v>11.089866156787762</v>
      </c>
      <c r="H73" s="97">
        <v>42762</v>
      </c>
      <c r="I73" s="124">
        <v>43407</v>
      </c>
      <c r="J73" s="76">
        <f t="shared" si="59"/>
        <v>645</v>
      </c>
      <c r="K73" s="90">
        <f t="shared" si="60"/>
        <v>58</v>
      </c>
      <c r="L73" s="85">
        <f t="shared" si="61"/>
        <v>8.9922480620155039</v>
      </c>
      <c r="M73" s="91">
        <v>21740</v>
      </c>
      <c r="N73" s="87">
        <f t="shared" si="62"/>
        <v>1260920</v>
      </c>
      <c r="R73" s="113">
        <f t="shared" si="55"/>
        <v>0</v>
      </c>
    </row>
    <row r="74" spans="1:18" x14ac:dyDescent="0.2">
      <c r="A74" s="88">
        <v>46218</v>
      </c>
      <c r="B74" s="83" t="s">
        <v>18</v>
      </c>
      <c r="C74" s="76">
        <v>411435</v>
      </c>
      <c r="D74" s="76">
        <v>411862</v>
      </c>
      <c r="E74" s="54">
        <f t="shared" si="57"/>
        <v>427</v>
      </c>
      <c r="F74" s="89">
        <v>50</v>
      </c>
      <c r="G74" s="55">
        <f t="shared" si="58"/>
        <v>11.7096018735363</v>
      </c>
      <c r="H74" s="124">
        <v>43407</v>
      </c>
      <c r="I74" s="97">
        <v>43696</v>
      </c>
      <c r="J74" s="76">
        <f t="shared" si="59"/>
        <v>289</v>
      </c>
      <c r="K74" s="90">
        <f t="shared" si="60"/>
        <v>50</v>
      </c>
      <c r="L74" s="85">
        <f t="shared" si="61"/>
        <v>17.301038062283737</v>
      </c>
      <c r="M74" s="91">
        <v>21740</v>
      </c>
      <c r="N74" s="87">
        <f t="shared" si="62"/>
        <v>1087000</v>
      </c>
      <c r="R74" s="113">
        <f t="shared" si="55"/>
        <v>0</v>
      </c>
    </row>
    <row r="75" spans="1:18" x14ac:dyDescent="0.2">
      <c r="A75" s="88"/>
      <c r="B75" s="83" t="s">
        <v>18</v>
      </c>
      <c r="C75" s="76"/>
      <c r="D75" s="76"/>
      <c r="E75" s="54">
        <f t="shared" si="57"/>
        <v>0</v>
      </c>
      <c r="F75" s="89"/>
      <c r="G75" s="55" t="e">
        <f t="shared" si="58"/>
        <v>#DIV/0!</v>
      </c>
      <c r="H75" s="97"/>
      <c r="I75" s="97"/>
      <c r="J75" s="76">
        <f t="shared" si="59"/>
        <v>0</v>
      </c>
      <c r="K75" s="90">
        <f t="shared" si="60"/>
        <v>0</v>
      </c>
      <c r="L75" s="85" t="e">
        <f t="shared" si="61"/>
        <v>#DIV/0!</v>
      </c>
      <c r="M75" s="91"/>
      <c r="N75" s="87">
        <f t="shared" si="62"/>
        <v>0</v>
      </c>
      <c r="R75" s="113">
        <f t="shared" si="55"/>
        <v>0</v>
      </c>
    </row>
    <row r="76" spans="1:18" x14ac:dyDescent="0.2">
      <c r="A76" s="88"/>
      <c r="B76" s="83" t="s">
        <v>18</v>
      </c>
      <c r="C76" s="76"/>
      <c r="D76" s="76"/>
      <c r="E76" s="54">
        <f t="shared" si="57"/>
        <v>0</v>
      </c>
      <c r="F76" s="89"/>
      <c r="G76" s="55" t="e">
        <f t="shared" si="58"/>
        <v>#DIV/0!</v>
      </c>
      <c r="H76" s="97"/>
      <c r="I76" s="97"/>
      <c r="J76" s="76">
        <f t="shared" si="59"/>
        <v>0</v>
      </c>
      <c r="K76" s="90">
        <f t="shared" si="60"/>
        <v>0</v>
      </c>
      <c r="L76" s="85" t="e">
        <f t="shared" si="61"/>
        <v>#DIV/0!</v>
      </c>
      <c r="M76" s="91"/>
      <c r="N76" s="87">
        <f t="shared" si="62"/>
        <v>0</v>
      </c>
      <c r="R76" s="113">
        <f t="shared" si="55"/>
        <v>0</v>
      </c>
    </row>
    <row r="77" spans="1:18" x14ac:dyDescent="0.2">
      <c r="A77" s="88"/>
      <c r="B77" s="83" t="s">
        <v>18</v>
      </c>
      <c r="C77" s="76"/>
      <c r="D77" s="76"/>
      <c r="E77" s="54">
        <f t="shared" si="57"/>
        <v>0</v>
      </c>
      <c r="F77" s="125"/>
      <c r="G77" s="55" t="e">
        <f t="shared" si="58"/>
        <v>#DIV/0!</v>
      </c>
      <c r="H77" s="97"/>
      <c r="I77" s="97"/>
      <c r="J77" s="76">
        <f t="shared" si="59"/>
        <v>0</v>
      </c>
      <c r="K77" s="90">
        <f t="shared" si="60"/>
        <v>0</v>
      </c>
      <c r="L77" s="85" t="e">
        <f t="shared" si="61"/>
        <v>#DIV/0!</v>
      </c>
      <c r="M77" s="91"/>
      <c r="N77" s="87">
        <f t="shared" si="62"/>
        <v>0</v>
      </c>
      <c r="R77" s="113">
        <f t="shared" si="55"/>
        <v>0</v>
      </c>
    </row>
    <row r="78" spans="1:18" x14ac:dyDescent="0.2">
      <c r="A78" s="88"/>
      <c r="B78" s="83" t="s">
        <v>18</v>
      </c>
      <c r="C78" s="76"/>
      <c r="D78" s="99"/>
      <c r="E78" s="117">
        <f t="shared" si="57"/>
        <v>0</v>
      </c>
      <c r="F78" s="89"/>
      <c r="G78" s="96" t="e">
        <f t="shared" si="58"/>
        <v>#DIV/0!</v>
      </c>
      <c r="H78" s="97"/>
      <c r="I78" s="111"/>
      <c r="J78" s="99">
        <f t="shared" si="59"/>
        <v>0</v>
      </c>
      <c r="K78" s="90">
        <f t="shared" si="60"/>
        <v>0</v>
      </c>
      <c r="L78" s="100" t="e">
        <f t="shared" si="61"/>
        <v>#DIV/0!</v>
      </c>
      <c r="M78" s="126"/>
      <c r="N78" s="102">
        <f t="shared" si="62"/>
        <v>0</v>
      </c>
      <c r="R78" s="113">
        <f t="shared" si="55"/>
        <v>0</v>
      </c>
    </row>
    <row r="79" spans="1:18" ht="17" thickBot="1" x14ac:dyDescent="0.25">
      <c r="A79" s="88"/>
      <c r="B79" s="83" t="s">
        <v>18</v>
      </c>
      <c r="C79" s="99"/>
      <c r="D79" s="99"/>
      <c r="E79" s="117">
        <f t="shared" si="57"/>
        <v>0</v>
      </c>
      <c r="F79" s="89"/>
      <c r="G79" s="96" t="e">
        <f t="shared" si="58"/>
        <v>#DIV/0!</v>
      </c>
      <c r="H79" s="111"/>
      <c r="I79" s="111"/>
      <c r="J79" s="99">
        <f t="shared" si="59"/>
        <v>0</v>
      </c>
      <c r="K79" s="90">
        <f t="shared" si="60"/>
        <v>0</v>
      </c>
      <c r="L79" s="100" t="e">
        <f t="shared" si="61"/>
        <v>#DIV/0!</v>
      </c>
      <c r="M79" s="126"/>
      <c r="N79" s="102">
        <f t="shared" si="62"/>
        <v>0</v>
      </c>
      <c r="R79" s="113">
        <f t="shared" si="55"/>
        <v>0</v>
      </c>
    </row>
    <row r="80" spans="1:18" ht="17" thickBot="1" x14ac:dyDescent="0.25">
      <c r="A80" s="104"/>
      <c r="B80" s="105"/>
      <c r="C80" s="104"/>
      <c r="D80" s="104" t="s">
        <v>17</v>
      </c>
      <c r="E80" s="104">
        <f>SUM(E72:E78)</f>
        <v>1511</v>
      </c>
      <c r="F80" s="77"/>
      <c r="G80" s="106" t="e">
        <f>AVERAGE(G72:G78)</f>
        <v>#DIV/0!</v>
      </c>
      <c r="H80" s="104"/>
      <c r="I80" s="107"/>
      <c r="J80" s="104">
        <f>SUM(J72:J78)</f>
        <v>1480</v>
      </c>
      <c r="K80" s="104">
        <f>SUM(K73:K78)</f>
        <v>108</v>
      </c>
      <c r="L80" s="106" t="e">
        <f>AVERAGE(L72:L78)</f>
        <v>#DIV/0!</v>
      </c>
      <c r="M80" s="108"/>
      <c r="N80" s="109">
        <f>SUM(N72:N79)</f>
        <v>3808650</v>
      </c>
      <c r="R80" s="113">
        <f t="shared" si="55"/>
        <v>0</v>
      </c>
    </row>
    <row r="81" spans="1:18" ht="17" thickBot="1" x14ac:dyDescent="0.25">
      <c r="A81" s="127"/>
      <c r="B81" s="75" t="s">
        <v>19</v>
      </c>
      <c r="C81" s="76"/>
      <c r="D81" s="76"/>
      <c r="E81" s="110">
        <f t="shared" ref="E81:E87" si="63">D81-C81</f>
        <v>0</v>
      </c>
      <c r="F81" s="77"/>
      <c r="G81" s="55" t="e">
        <f t="shared" ref="G81:G87" si="64">(F81/E81)*100</f>
        <v>#DIV/0!</v>
      </c>
      <c r="H81" s="97"/>
      <c r="I81" s="97"/>
      <c r="J81" s="78">
        <f t="shared" ref="J81:J87" si="65">I81-H81</f>
        <v>0</v>
      </c>
      <c r="K81" s="114">
        <f t="shared" ref="K81:K87" si="66">F81</f>
        <v>0</v>
      </c>
      <c r="L81" s="79" t="e">
        <f t="shared" ref="L81:L87" si="67">(K81/J81)*100</f>
        <v>#DIV/0!</v>
      </c>
      <c r="M81" s="80"/>
      <c r="N81" s="81">
        <f t="shared" ref="N81:N87" si="68">F81*M81</f>
        <v>0</v>
      </c>
      <c r="R81" s="113">
        <f t="shared" si="55"/>
        <v>0</v>
      </c>
    </row>
    <row r="82" spans="1:18" ht="17" thickBot="1" x14ac:dyDescent="0.25">
      <c r="A82" s="127"/>
      <c r="B82" s="83" t="s">
        <v>19</v>
      </c>
      <c r="C82" s="76"/>
      <c r="D82" s="76"/>
      <c r="E82" s="54">
        <f t="shared" si="63"/>
        <v>0</v>
      </c>
      <c r="F82" s="89"/>
      <c r="G82" s="55" t="e">
        <f t="shared" si="64"/>
        <v>#DIV/0!</v>
      </c>
      <c r="H82" s="97"/>
      <c r="I82" s="97"/>
      <c r="J82" s="76">
        <f t="shared" si="65"/>
        <v>0</v>
      </c>
      <c r="K82" s="90">
        <f t="shared" si="66"/>
        <v>0</v>
      </c>
      <c r="L82" s="85" t="e">
        <f t="shared" si="67"/>
        <v>#DIV/0!</v>
      </c>
      <c r="M82" s="80"/>
      <c r="N82" s="87">
        <f t="shared" si="68"/>
        <v>0</v>
      </c>
      <c r="R82" s="113">
        <f t="shared" si="55"/>
        <v>0</v>
      </c>
    </row>
    <row r="83" spans="1:18" x14ac:dyDescent="0.2">
      <c r="A83" s="128"/>
      <c r="B83" s="83" t="s">
        <v>19</v>
      </c>
      <c r="C83" s="76"/>
      <c r="D83" s="76"/>
      <c r="E83" s="54">
        <f t="shared" si="63"/>
        <v>0</v>
      </c>
      <c r="F83" s="89"/>
      <c r="G83" s="55" t="e">
        <f t="shared" si="64"/>
        <v>#DIV/0!</v>
      </c>
      <c r="H83" s="97"/>
      <c r="I83" s="97"/>
      <c r="J83" s="76">
        <f t="shared" si="65"/>
        <v>0</v>
      </c>
      <c r="K83" s="90">
        <f t="shared" si="66"/>
        <v>0</v>
      </c>
      <c r="L83" s="85" t="e">
        <f t="shared" si="67"/>
        <v>#DIV/0!</v>
      </c>
      <c r="M83" s="80"/>
      <c r="N83" s="87">
        <f t="shared" si="68"/>
        <v>0</v>
      </c>
      <c r="R83" s="113">
        <f t="shared" si="55"/>
        <v>0</v>
      </c>
    </row>
    <row r="84" spans="1:18" x14ac:dyDescent="0.2">
      <c r="A84" s="128"/>
      <c r="B84" s="83" t="s">
        <v>19</v>
      </c>
      <c r="C84" s="76"/>
      <c r="D84" s="76"/>
      <c r="E84" s="54">
        <f t="shared" si="63"/>
        <v>0</v>
      </c>
      <c r="F84" s="89"/>
      <c r="G84" s="55" t="e">
        <f t="shared" si="64"/>
        <v>#DIV/0!</v>
      </c>
      <c r="H84" s="97"/>
      <c r="I84" s="97"/>
      <c r="J84" s="76">
        <f t="shared" si="65"/>
        <v>0</v>
      </c>
      <c r="K84" s="90">
        <f t="shared" si="66"/>
        <v>0</v>
      </c>
      <c r="L84" s="85" t="e">
        <f t="shared" si="67"/>
        <v>#DIV/0!</v>
      </c>
      <c r="M84" s="91"/>
      <c r="N84" s="87">
        <f t="shared" si="68"/>
        <v>0</v>
      </c>
      <c r="R84" s="113">
        <f t="shared" si="55"/>
        <v>0</v>
      </c>
    </row>
    <row r="85" spans="1:18" x14ac:dyDescent="0.2">
      <c r="A85" s="88"/>
      <c r="B85" s="83" t="s">
        <v>19</v>
      </c>
      <c r="C85" s="76"/>
      <c r="D85" s="76"/>
      <c r="E85" s="54">
        <f t="shared" si="63"/>
        <v>0</v>
      </c>
      <c r="F85" s="89"/>
      <c r="G85" s="55" t="e">
        <f t="shared" si="64"/>
        <v>#DIV/0!</v>
      </c>
      <c r="H85" s="97"/>
      <c r="I85" s="97"/>
      <c r="J85" s="76">
        <f t="shared" si="65"/>
        <v>0</v>
      </c>
      <c r="K85" s="90">
        <f t="shared" si="66"/>
        <v>0</v>
      </c>
      <c r="L85" s="85" t="e">
        <f t="shared" si="67"/>
        <v>#DIV/0!</v>
      </c>
      <c r="M85" s="91"/>
      <c r="N85" s="87">
        <f t="shared" si="68"/>
        <v>0</v>
      </c>
      <c r="R85" s="113">
        <f t="shared" si="55"/>
        <v>0</v>
      </c>
    </row>
    <row r="86" spans="1:18" x14ac:dyDescent="0.2">
      <c r="A86" s="128"/>
      <c r="B86" s="83" t="s">
        <v>36</v>
      </c>
      <c r="C86" s="76"/>
      <c r="D86" s="76">
        <v>391982</v>
      </c>
      <c r="E86" s="54">
        <f t="shared" si="63"/>
        <v>391982</v>
      </c>
      <c r="F86" s="89"/>
      <c r="G86" s="55">
        <f t="shared" si="64"/>
        <v>0</v>
      </c>
      <c r="H86" s="97"/>
      <c r="I86" s="97">
        <v>35036</v>
      </c>
      <c r="J86" s="76">
        <f t="shared" si="65"/>
        <v>35036</v>
      </c>
      <c r="K86" s="90">
        <f t="shared" si="66"/>
        <v>0</v>
      </c>
      <c r="L86" s="85">
        <f t="shared" si="67"/>
        <v>0</v>
      </c>
      <c r="M86" s="91"/>
      <c r="N86" s="87">
        <f t="shared" si="68"/>
        <v>0</v>
      </c>
      <c r="R86" s="113">
        <f t="shared" si="55"/>
        <v>0</v>
      </c>
    </row>
    <row r="87" spans="1:18" ht="17" thickBot="1" x14ac:dyDescent="0.25">
      <c r="A87" s="129"/>
      <c r="B87" s="83" t="s">
        <v>36</v>
      </c>
      <c r="C87" s="99"/>
      <c r="D87" s="99"/>
      <c r="E87" s="117">
        <f t="shared" si="63"/>
        <v>0</v>
      </c>
      <c r="F87" s="89"/>
      <c r="G87" s="96" t="e">
        <f t="shared" si="64"/>
        <v>#DIV/0!</v>
      </c>
      <c r="H87" s="99"/>
      <c r="I87" s="111"/>
      <c r="J87" s="99">
        <f t="shared" si="65"/>
        <v>0</v>
      </c>
      <c r="K87" s="90">
        <f t="shared" si="66"/>
        <v>0</v>
      </c>
      <c r="L87" s="100" t="e">
        <f t="shared" si="67"/>
        <v>#DIV/0!</v>
      </c>
      <c r="M87" s="126"/>
      <c r="N87" s="102">
        <f t="shared" si="68"/>
        <v>0</v>
      </c>
      <c r="R87" s="113">
        <f t="shared" si="55"/>
        <v>0</v>
      </c>
    </row>
    <row r="88" spans="1:18" ht="17" thickBot="1" x14ac:dyDescent="0.25">
      <c r="A88" s="104"/>
      <c r="B88" s="105"/>
      <c r="C88" s="104"/>
      <c r="D88" s="104" t="s">
        <v>17</v>
      </c>
      <c r="E88" s="104">
        <f>SUM(E81:E87)</f>
        <v>391982</v>
      </c>
      <c r="F88" s="77"/>
      <c r="G88" s="106" t="e">
        <f>AVERAGE(G81:G87)</f>
        <v>#DIV/0!</v>
      </c>
      <c r="H88" s="104"/>
      <c r="I88" s="107"/>
      <c r="J88" s="104">
        <f t="shared" ref="J88:K88" si="69">SUM(J81:J87)</f>
        <v>35036</v>
      </c>
      <c r="K88" s="104">
        <f t="shared" si="69"/>
        <v>0</v>
      </c>
      <c r="L88" s="106" t="e">
        <f>AVERAGE(L81:L87)</f>
        <v>#DIV/0!</v>
      </c>
      <c r="M88" s="108"/>
      <c r="N88" s="109">
        <f>SUM(N81:N87)</f>
        <v>0</v>
      </c>
      <c r="R88" s="113">
        <f t="shared" si="55"/>
        <v>0</v>
      </c>
    </row>
    <row r="89" spans="1:18" ht="17" thickBot="1" x14ac:dyDescent="0.25">
      <c r="A89" s="88">
        <v>46204</v>
      </c>
      <c r="B89" s="120" t="s">
        <v>20</v>
      </c>
      <c r="C89" s="76">
        <v>226209</v>
      </c>
      <c r="D89" s="76">
        <v>226681</v>
      </c>
      <c r="E89" s="110">
        <f t="shared" ref="E89:E96" si="70">D89-C89</f>
        <v>472</v>
      </c>
      <c r="F89" s="77">
        <v>61</v>
      </c>
      <c r="G89" s="55">
        <f t="shared" ref="G89:G96" si="71">(F89/E89)*100</f>
        <v>12.923728813559322</v>
      </c>
      <c r="H89" s="97">
        <v>35198</v>
      </c>
      <c r="I89" s="97">
        <v>35624</v>
      </c>
      <c r="J89" s="78">
        <f t="shared" ref="J89:J96" si="72">I89-H89</f>
        <v>426</v>
      </c>
      <c r="K89" s="114">
        <f t="shared" ref="K89:K96" si="73">F89</f>
        <v>61</v>
      </c>
      <c r="L89" s="79">
        <f t="shared" ref="L89:L96" si="74">(K89/J89)*100</f>
        <v>14.319248826291082</v>
      </c>
      <c r="M89" s="80">
        <v>21860</v>
      </c>
      <c r="N89" s="81">
        <f t="shared" ref="N89:N96" si="75">F89*M89</f>
        <v>1333460</v>
      </c>
      <c r="R89" s="113">
        <f t="shared" si="55"/>
        <v>0</v>
      </c>
    </row>
    <row r="90" spans="1:18" x14ac:dyDescent="0.2">
      <c r="A90" s="88">
        <v>46210</v>
      </c>
      <c r="B90" s="83" t="s">
        <v>20</v>
      </c>
      <c r="C90" s="76">
        <v>226681</v>
      </c>
      <c r="D90" s="76">
        <v>227039</v>
      </c>
      <c r="E90" s="54">
        <f t="shared" si="70"/>
        <v>358</v>
      </c>
      <c r="F90" s="89">
        <v>49</v>
      </c>
      <c r="G90" s="55">
        <f t="shared" si="71"/>
        <v>13.687150837988826</v>
      </c>
      <c r="H90" s="97">
        <v>35624</v>
      </c>
      <c r="I90" s="97">
        <v>35951</v>
      </c>
      <c r="J90" s="76">
        <f t="shared" si="72"/>
        <v>327</v>
      </c>
      <c r="K90" s="90">
        <f t="shared" si="73"/>
        <v>49</v>
      </c>
      <c r="L90" s="85">
        <f t="shared" si="74"/>
        <v>14.984709480122325</v>
      </c>
      <c r="M90" s="80">
        <v>21170</v>
      </c>
      <c r="N90" s="87">
        <f t="shared" si="75"/>
        <v>1037330</v>
      </c>
      <c r="R90" s="113">
        <f t="shared" si="55"/>
        <v>0</v>
      </c>
    </row>
    <row r="91" spans="1:18" x14ac:dyDescent="0.2">
      <c r="A91" s="88">
        <v>46213</v>
      </c>
      <c r="B91" s="83" t="s">
        <v>20</v>
      </c>
      <c r="C91" s="76">
        <v>227039</v>
      </c>
      <c r="D91" s="76">
        <v>227488</v>
      </c>
      <c r="E91" s="54">
        <f t="shared" si="70"/>
        <v>449</v>
      </c>
      <c r="F91" s="89">
        <v>58</v>
      </c>
      <c r="G91" s="55">
        <f t="shared" si="71"/>
        <v>12.91759465478842</v>
      </c>
      <c r="H91" s="97">
        <v>35951</v>
      </c>
      <c r="I91" s="97">
        <v>36390</v>
      </c>
      <c r="J91" s="76">
        <f t="shared" si="72"/>
        <v>439</v>
      </c>
      <c r="K91" s="90">
        <f t="shared" si="73"/>
        <v>58</v>
      </c>
      <c r="L91" s="85">
        <f t="shared" si="74"/>
        <v>13.211845102505695</v>
      </c>
      <c r="M91" s="91">
        <v>21740</v>
      </c>
      <c r="N91" s="87">
        <f t="shared" si="75"/>
        <v>1260920</v>
      </c>
      <c r="R91" s="113">
        <f t="shared" si="55"/>
        <v>0</v>
      </c>
    </row>
    <row r="92" spans="1:18" x14ac:dyDescent="0.2">
      <c r="A92" s="88">
        <v>46218</v>
      </c>
      <c r="B92" s="83" t="s">
        <v>20</v>
      </c>
      <c r="C92" s="76">
        <v>227488</v>
      </c>
      <c r="D92" s="76">
        <v>227795</v>
      </c>
      <c r="E92" s="54">
        <f t="shared" si="70"/>
        <v>307</v>
      </c>
      <c r="F92" s="89">
        <v>44</v>
      </c>
      <c r="G92" s="55">
        <f t="shared" si="71"/>
        <v>14.332247557003258</v>
      </c>
      <c r="H92" s="97">
        <v>36390</v>
      </c>
      <c r="I92" s="97">
        <v>36684</v>
      </c>
      <c r="J92" s="76">
        <f t="shared" si="72"/>
        <v>294</v>
      </c>
      <c r="K92" s="90">
        <f t="shared" si="73"/>
        <v>44</v>
      </c>
      <c r="L92" s="85">
        <f t="shared" si="74"/>
        <v>14.965986394557824</v>
      </c>
      <c r="M92" s="91">
        <v>21740</v>
      </c>
      <c r="N92" s="87">
        <f t="shared" si="75"/>
        <v>956560</v>
      </c>
      <c r="R92" s="113">
        <f t="shared" si="55"/>
        <v>0</v>
      </c>
    </row>
    <row r="93" spans="1:18" x14ac:dyDescent="0.2">
      <c r="A93" s="88"/>
      <c r="B93" s="83" t="s">
        <v>20</v>
      </c>
      <c r="C93" s="76"/>
      <c r="D93" s="76"/>
      <c r="E93" s="54">
        <f t="shared" si="70"/>
        <v>0</v>
      </c>
      <c r="F93" s="89"/>
      <c r="G93" s="55" t="e">
        <f t="shared" si="71"/>
        <v>#DIV/0!</v>
      </c>
      <c r="H93" s="97"/>
      <c r="I93" s="97"/>
      <c r="J93" s="76">
        <f t="shared" si="72"/>
        <v>0</v>
      </c>
      <c r="K93" s="90">
        <f t="shared" si="73"/>
        <v>0</v>
      </c>
      <c r="L93" s="85" t="e">
        <f t="shared" si="74"/>
        <v>#DIV/0!</v>
      </c>
      <c r="M93" s="91"/>
      <c r="N93" s="87">
        <f t="shared" si="75"/>
        <v>0</v>
      </c>
      <c r="R93" s="113">
        <f t="shared" si="55"/>
        <v>0</v>
      </c>
    </row>
    <row r="94" spans="1:18" x14ac:dyDescent="0.2">
      <c r="A94" s="128"/>
      <c r="B94" s="83" t="s">
        <v>20</v>
      </c>
      <c r="C94" s="76"/>
      <c r="D94" s="76"/>
      <c r="E94" s="54">
        <f t="shared" si="70"/>
        <v>0</v>
      </c>
      <c r="F94" s="89"/>
      <c r="G94" s="55" t="e">
        <f t="shared" si="71"/>
        <v>#DIV/0!</v>
      </c>
      <c r="H94" s="97"/>
      <c r="I94" s="97"/>
      <c r="J94" s="76">
        <f t="shared" si="72"/>
        <v>0</v>
      </c>
      <c r="K94" s="90">
        <f t="shared" si="73"/>
        <v>0</v>
      </c>
      <c r="L94" s="85" t="e">
        <f t="shared" si="74"/>
        <v>#DIV/0!</v>
      </c>
      <c r="M94" s="91"/>
      <c r="N94" s="87">
        <f t="shared" si="75"/>
        <v>0</v>
      </c>
      <c r="R94" s="113">
        <f t="shared" si="55"/>
        <v>0</v>
      </c>
    </row>
    <row r="95" spans="1:18" x14ac:dyDescent="0.2">
      <c r="A95" s="130"/>
      <c r="B95" s="83" t="s">
        <v>20</v>
      </c>
      <c r="C95" s="76"/>
      <c r="D95" s="99"/>
      <c r="E95" s="117">
        <f t="shared" si="70"/>
        <v>0</v>
      </c>
      <c r="F95" s="89"/>
      <c r="G95" s="96" t="e">
        <f t="shared" si="71"/>
        <v>#DIV/0!</v>
      </c>
      <c r="H95" s="97"/>
      <c r="I95" s="111"/>
      <c r="J95" s="99">
        <f t="shared" si="72"/>
        <v>0</v>
      </c>
      <c r="K95" s="90">
        <f t="shared" si="73"/>
        <v>0</v>
      </c>
      <c r="L95" s="100" t="e">
        <f t="shared" si="74"/>
        <v>#DIV/0!</v>
      </c>
      <c r="M95" s="126"/>
      <c r="N95" s="102">
        <f t="shared" si="75"/>
        <v>0</v>
      </c>
      <c r="R95" s="113">
        <f t="shared" si="55"/>
        <v>0</v>
      </c>
    </row>
    <row r="96" spans="1:18" ht="17" thickBot="1" x14ac:dyDescent="0.25">
      <c r="A96" s="130"/>
      <c r="B96" s="83" t="s">
        <v>20</v>
      </c>
      <c r="C96" s="99"/>
      <c r="D96" s="99"/>
      <c r="E96" s="117">
        <f t="shared" si="70"/>
        <v>0</v>
      </c>
      <c r="F96" s="89"/>
      <c r="G96" s="96" t="e">
        <f t="shared" si="71"/>
        <v>#DIV/0!</v>
      </c>
      <c r="H96" s="111"/>
      <c r="I96" s="111"/>
      <c r="J96" s="99">
        <f t="shared" si="72"/>
        <v>0</v>
      </c>
      <c r="K96" s="90">
        <f t="shared" si="73"/>
        <v>0</v>
      </c>
      <c r="L96" s="100" t="e">
        <f t="shared" si="74"/>
        <v>#DIV/0!</v>
      </c>
      <c r="M96" s="126"/>
      <c r="N96" s="102">
        <f t="shared" si="75"/>
        <v>0</v>
      </c>
      <c r="R96" s="113">
        <f t="shared" si="55"/>
        <v>0</v>
      </c>
    </row>
    <row r="97" spans="1:18" ht="17" thickBot="1" x14ac:dyDescent="0.25">
      <c r="A97" s="104"/>
      <c r="B97" s="105"/>
      <c r="C97" s="104"/>
      <c r="D97" s="104" t="s">
        <v>17</v>
      </c>
      <c r="E97" s="104">
        <f>SUM(E89:E95)</f>
        <v>1586</v>
      </c>
      <c r="F97" s="104"/>
      <c r="G97" s="106" t="e">
        <f>AVERAGE(G89:G95)</f>
        <v>#DIV/0!</v>
      </c>
      <c r="H97" s="104"/>
      <c r="I97" s="107"/>
      <c r="J97" s="104">
        <f t="shared" ref="J97:K97" si="76">SUM(J89:J95)</f>
        <v>1486</v>
      </c>
      <c r="K97" s="104">
        <f t="shared" si="76"/>
        <v>212</v>
      </c>
      <c r="L97" s="106" t="e">
        <f>AVERAGE(L89:L95)</f>
        <v>#DIV/0!</v>
      </c>
      <c r="M97" s="108"/>
      <c r="N97" s="109">
        <f>SUM(N89:N96)</f>
        <v>4588270</v>
      </c>
      <c r="R97" s="113">
        <f t="shared" si="55"/>
        <v>0</v>
      </c>
    </row>
    <row r="98" spans="1:18" ht="17" thickBot="1" x14ac:dyDescent="0.25">
      <c r="A98" s="131">
        <v>46204</v>
      </c>
      <c r="B98" s="132" t="s">
        <v>37</v>
      </c>
      <c r="C98" s="133">
        <v>182068</v>
      </c>
      <c r="D98" s="76">
        <v>182644</v>
      </c>
      <c r="E98" s="110">
        <f t="shared" ref="E98:E103" si="77">D98-C98</f>
        <v>576</v>
      </c>
      <c r="F98" s="77">
        <v>70</v>
      </c>
      <c r="G98" s="55">
        <f t="shared" ref="G98:G103" si="78">(F98/E98)*100</f>
        <v>12.152777777777777</v>
      </c>
      <c r="H98" s="97">
        <v>37441</v>
      </c>
      <c r="I98" s="97">
        <v>38076</v>
      </c>
      <c r="J98" s="78">
        <f t="shared" ref="J98:J103" si="79">I98-H98</f>
        <v>635</v>
      </c>
      <c r="K98" s="114">
        <f t="shared" ref="K98:K103" si="80">F98</f>
        <v>70</v>
      </c>
      <c r="L98" s="79">
        <f t="shared" ref="L98:L103" si="81">(K98/J98)*100</f>
        <v>11.023622047244094</v>
      </c>
      <c r="M98" s="80">
        <v>21860</v>
      </c>
      <c r="N98" s="81">
        <f t="shared" ref="N98:N103" si="82">F98*M98</f>
        <v>1530200</v>
      </c>
      <c r="R98" s="113">
        <f t="shared" si="55"/>
        <v>0</v>
      </c>
    </row>
    <row r="99" spans="1:18" x14ac:dyDescent="0.2">
      <c r="A99" s="118">
        <v>46212</v>
      </c>
      <c r="B99" s="83" t="s">
        <v>37</v>
      </c>
      <c r="C99" s="76">
        <v>182644</v>
      </c>
      <c r="D99" s="76">
        <v>183187</v>
      </c>
      <c r="E99" s="54">
        <f t="shared" si="77"/>
        <v>543</v>
      </c>
      <c r="F99" s="89">
        <v>66</v>
      </c>
      <c r="G99" s="55">
        <f t="shared" si="78"/>
        <v>12.154696132596685</v>
      </c>
      <c r="H99" s="97">
        <v>38076</v>
      </c>
      <c r="I99" s="97">
        <v>38476</v>
      </c>
      <c r="J99" s="76">
        <f t="shared" si="79"/>
        <v>400</v>
      </c>
      <c r="K99" s="90">
        <f t="shared" si="80"/>
        <v>66</v>
      </c>
      <c r="L99" s="85">
        <f t="shared" si="81"/>
        <v>16.5</v>
      </c>
      <c r="M99" s="80">
        <v>21170</v>
      </c>
      <c r="N99" s="87">
        <f t="shared" si="82"/>
        <v>1397220</v>
      </c>
      <c r="R99" s="113">
        <f t="shared" si="55"/>
        <v>0</v>
      </c>
    </row>
    <row r="100" spans="1:18" x14ac:dyDescent="0.2">
      <c r="A100" s="118">
        <v>46218</v>
      </c>
      <c r="B100" s="83" t="s">
        <v>37</v>
      </c>
      <c r="C100" s="76">
        <v>183187</v>
      </c>
      <c r="D100" s="76">
        <v>183673</v>
      </c>
      <c r="E100" s="54">
        <f t="shared" si="77"/>
        <v>486</v>
      </c>
      <c r="F100" s="89">
        <v>60</v>
      </c>
      <c r="G100" s="55">
        <f t="shared" si="78"/>
        <v>12.345679012345679</v>
      </c>
      <c r="H100" s="97">
        <v>38476</v>
      </c>
      <c r="I100" s="97">
        <v>38982</v>
      </c>
      <c r="J100" s="76">
        <f t="shared" si="79"/>
        <v>506</v>
      </c>
      <c r="K100" s="90">
        <f t="shared" si="80"/>
        <v>60</v>
      </c>
      <c r="L100" s="85">
        <f t="shared" si="81"/>
        <v>11.857707509881422</v>
      </c>
      <c r="M100" s="91">
        <v>21740</v>
      </c>
      <c r="N100" s="87">
        <f t="shared" si="82"/>
        <v>1304400</v>
      </c>
      <c r="R100" s="113">
        <f t="shared" si="55"/>
        <v>0</v>
      </c>
    </row>
    <row r="101" spans="1:18" x14ac:dyDescent="0.2">
      <c r="A101" s="118"/>
      <c r="B101" s="83" t="s">
        <v>37</v>
      </c>
      <c r="C101" s="76"/>
      <c r="D101" s="76"/>
      <c r="E101" s="54">
        <f t="shared" si="77"/>
        <v>0</v>
      </c>
      <c r="F101" s="89"/>
      <c r="G101" s="55" t="e">
        <f t="shared" si="78"/>
        <v>#DIV/0!</v>
      </c>
      <c r="H101" s="97"/>
      <c r="I101" s="97"/>
      <c r="J101" s="76">
        <f t="shared" si="79"/>
        <v>0</v>
      </c>
      <c r="K101" s="90">
        <f t="shared" si="80"/>
        <v>0</v>
      </c>
      <c r="L101" s="85" t="e">
        <f t="shared" si="81"/>
        <v>#DIV/0!</v>
      </c>
      <c r="M101" s="91"/>
      <c r="N101" s="87">
        <f t="shared" si="82"/>
        <v>0</v>
      </c>
      <c r="R101" s="113">
        <f t="shared" si="55"/>
        <v>0</v>
      </c>
    </row>
    <row r="102" spans="1:18" x14ac:dyDescent="0.2">
      <c r="A102" s="118"/>
      <c r="B102" s="83" t="s">
        <v>37</v>
      </c>
      <c r="C102" s="76"/>
      <c r="D102" s="133"/>
      <c r="E102" s="54">
        <f t="shared" si="77"/>
        <v>0</v>
      </c>
      <c r="F102" s="89"/>
      <c r="G102" s="55" t="e">
        <f t="shared" si="78"/>
        <v>#DIV/0!</v>
      </c>
      <c r="H102" s="97"/>
      <c r="I102" s="97"/>
      <c r="J102" s="76">
        <f t="shared" si="79"/>
        <v>0</v>
      </c>
      <c r="K102" s="90">
        <f t="shared" si="80"/>
        <v>0</v>
      </c>
      <c r="L102" s="85" t="e">
        <f t="shared" si="81"/>
        <v>#DIV/0!</v>
      </c>
      <c r="M102" s="91"/>
      <c r="N102" s="87">
        <f t="shared" si="82"/>
        <v>0</v>
      </c>
      <c r="R102" s="113">
        <f t="shared" si="55"/>
        <v>0</v>
      </c>
    </row>
    <row r="103" spans="1:18" ht="17" thickBot="1" x14ac:dyDescent="0.25">
      <c r="A103" s="134"/>
      <c r="B103" s="135" t="s">
        <v>37</v>
      </c>
      <c r="C103" s="136"/>
      <c r="D103" s="137"/>
      <c r="E103" s="54">
        <f t="shared" si="77"/>
        <v>0</v>
      </c>
      <c r="F103" s="89"/>
      <c r="G103" s="64" t="e">
        <f t="shared" si="78"/>
        <v>#DIV/0!</v>
      </c>
      <c r="H103" s="138"/>
      <c r="I103" s="139"/>
      <c r="J103" s="138">
        <f t="shared" si="79"/>
        <v>0</v>
      </c>
      <c r="K103" s="90">
        <f t="shared" si="80"/>
        <v>0</v>
      </c>
      <c r="L103" s="140" t="e">
        <f t="shared" si="81"/>
        <v>#DIV/0!</v>
      </c>
      <c r="M103" s="141"/>
      <c r="N103" s="142">
        <f t="shared" si="82"/>
        <v>0</v>
      </c>
      <c r="R103" s="113">
        <f t="shared" si="55"/>
        <v>0</v>
      </c>
    </row>
    <row r="104" spans="1:18" ht="17" thickBot="1" x14ac:dyDescent="0.25">
      <c r="A104" s="143"/>
      <c r="B104" s="144"/>
      <c r="C104" s="145"/>
      <c r="D104" s="146" t="s">
        <v>17</v>
      </c>
      <c r="E104" s="147">
        <f>SUM(E98:E103)</f>
        <v>1605</v>
      </c>
      <c r="F104" s="104"/>
      <c r="G104" s="148" t="e">
        <f>AVERAGE(G98:G103)</f>
        <v>#DIV/0!</v>
      </c>
      <c r="H104" s="145"/>
      <c r="I104" s="149"/>
      <c r="J104" s="146">
        <f t="shared" ref="J104:K104" si="83">SUM(J98:J103)</f>
        <v>1541</v>
      </c>
      <c r="K104" s="146">
        <f t="shared" si="83"/>
        <v>196</v>
      </c>
      <c r="L104" s="150" t="e">
        <f>AVERAGE(L98:L103)</f>
        <v>#DIV/0!</v>
      </c>
      <c r="M104" s="151"/>
      <c r="N104" s="152">
        <f>SUM(N98:N103)</f>
        <v>4231820</v>
      </c>
      <c r="R104" s="113">
        <f t="shared" si="55"/>
        <v>0</v>
      </c>
    </row>
    <row r="105" spans="1:18" ht="17" thickBot="1" x14ac:dyDescent="0.25">
      <c r="A105" s="153">
        <v>46209</v>
      </c>
      <c r="B105" s="154" t="s">
        <v>38</v>
      </c>
      <c r="C105" s="76">
        <v>136058</v>
      </c>
      <c r="D105" s="76">
        <v>136560</v>
      </c>
      <c r="E105" s="110">
        <f t="shared" ref="E105:E111" si="84">D105-C105</f>
        <v>502</v>
      </c>
      <c r="F105" s="77">
        <v>56</v>
      </c>
      <c r="G105" s="155">
        <f t="shared" ref="G105:G111" si="85">(F105/E105)*100</f>
        <v>11.155378486055776</v>
      </c>
      <c r="H105" s="97">
        <v>40157</v>
      </c>
      <c r="I105" s="76">
        <v>40648</v>
      </c>
      <c r="J105" s="124">
        <f t="shared" ref="J105:J111" si="86">I105-H105</f>
        <v>491</v>
      </c>
      <c r="K105" s="114">
        <f t="shared" ref="K105:K111" si="87">F105</f>
        <v>56</v>
      </c>
      <c r="L105" s="156">
        <f t="shared" ref="L105:L111" si="88">(K105/J105)*100</f>
        <v>11.405295315682281</v>
      </c>
      <c r="M105" s="86">
        <v>21170</v>
      </c>
      <c r="N105" s="87">
        <f t="shared" ref="N105:N111" si="89">F105*M105</f>
        <v>1185520</v>
      </c>
      <c r="R105" s="113">
        <f t="shared" si="55"/>
        <v>0</v>
      </c>
    </row>
    <row r="106" spans="1:18" ht="17" thickBot="1" x14ac:dyDescent="0.25">
      <c r="A106" s="157">
        <v>46213</v>
      </c>
      <c r="B106" s="83" t="s">
        <v>38</v>
      </c>
      <c r="C106" s="76">
        <v>136560</v>
      </c>
      <c r="D106" s="76">
        <v>137061</v>
      </c>
      <c r="E106" s="54">
        <f t="shared" si="84"/>
        <v>501</v>
      </c>
      <c r="F106" s="89">
        <v>54</v>
      </c>
      <c r="G106" s="55">
        <f t="shared" si="85"/>
        <v>10.778443113772456</v>
      </c>
      <c r="H106" s="76">
        <v>40648</v>
      </c>
      <c r="I106" s="53">
        <v>41164</v>
      </c>
      <c r="J106" s="76">
        <f t="shared" si="86"/>
        <v>516</v>
      </c>
      <c r="K106" s="114">
        <f t="shared" si="87"/>
        <v>54</v>
      </c>
      <c r="L106" s="85">
        <f t="shared" si="88"/>
        <v>10.465116279069768</v>
      </c>
      <c r="M106" s="91">
        <v>21740</v>
      </c>
      <c r="N106" s="87">
        <f t="shared" si="89"/>
        <v>1173960</v>
      </c>
      <c r="R106" s="113">
        <f t="shared" si="55"/>
        <v>0</v>
      </c>
    </row>
    <row r="107" spans="1:18" x14ac:dyDescent="0.2">
      <c r="A107" s="157"/>
      <c r="B107" s="83" t="s">
        <v>38</v>
      </c>
      <c r="C107" s="76"/>
      <c r="D107" s="76"/>
      <c r="E107" s="54">
        <f t="shared" si="84"/>
        <v>0</v>
      </c>
      <c r="F107" s="89"/>
      <c r="G107" s="55" t="e">
        <f t="shared" si="85"/>
        <v>#DIV/0!</v>
      </c>
      <c r="H107" s="53"/>
      <c r="I107" s="76"/>
      <c r="J107" s="76">
        <f t="shared" si="86"/>
        <v>0</v>
      </c>
      <c r="K107" s="114">
        <f t="shared" si="87"/>
        <v>0</v>
      </c>
      <c r="L107" s="85" t="e">
        <f t="shared" si="88"/>
        <v>#DIV/0!</v>
      </c>
      <c r="M107" s="91"/>
      <c r="N107" s="87">
        <f t="shared" si="89"/>
        <v>0</v>
      </c>
      <c r="P107" s="115"/>
      <c r="R107" s="113">
        <f t="shared" si="55"/>
        <v>0</v>
      </c>
    </row>
    <row r="108" spans="1:18" x14ac:dyDescent="0.2">
      <c r="A108" s="157"/>
      <c r="B108" s="83" t="s">
        <v>38</v>
      </c>
      <c r="C108" s="76"/>
      <c r="D108" s="76"/>
      <c r="E108" s="54">
        <f t="shared" si="84"/>
        <v>0</v>
      </c>
      <c r="F108" s="89"/>
      <c r="G108" s="55" t="e">
        <f t="shared" si="85"/>
        <v>#DIV/0!</v>
      </c>
      <c r="H108" s="76"/>
      <c r="I108" s="76"/>
      <c r="J108" s="76">
        <f t="shared" si="86"/>
        <v>0</v>
      </c>
      <c r="K108" s="90">
        <f t="shared" si="87"/>
        <v>0</v>
      </c>
      <c r="L108" s="85" t="e">
        <f t="shared" si="88"/>
        <v>#DIV/0!</v>
      </c>
      <c r="M108" s="91"/>
      <c r="N108" s="87">
        <f t="shared" si="89"/>
        <v>0</v>
      </c>
      <c r="R108" s="113">
        <f t="shared" si="55"/>
        <v>0</v>
      </c>
    </row>
    <row r="109" spans="1:18" x14ac:dyDescent="0.2">
      <c r="A109" s="88"/>
      <c r="B109" s="83" t="s">
        <v>38</v>
      </c>
      <c r="C109" s="76"/>
      <c r="D109" s="76"/>
      <c r="E109" s="54">
        <f t="shared" si="84"/>
        <v>0</v>
      </c>
      <c r="F109" s="89"/>
      <c r="G109" s="55" t="e">
        <f t="shared" si="85"/>
        <v>#DIV/0!</v>
      </c>
      <c r="H109" s="76"/>
      <c r="I109" s="97"/>
      <c r="J109" s="76">
        <f t="shared" si="86"/>
        <v>0</v>
      </c>
      <c r="K109" s="90">
        <f t="shared" si="87"/>
        <v>0</v>
      </c>
      <c r="L109" s="85" t="e">
        <f t="shared" si="88"/>
        <v>#DIV/0!</v>
      </c>
      <c r="M109" s="91"/>
      <c r="N109" s="87">
        <f t="shared" si="89"/>
        <v>0</v>
      </c>
      <c r="R109" s="113">
        <f t="shared" si="55"/>
        <v>0</v>
      </c>
    </row>
    <row r="110" spans="1:18" x14ac:dyDescent="0.2">
      <c r="A110" s="88"/>
      <c r="B110" s="83" t="s">
        <v>38</v>
      </c>
      <c r="C110" s="76"/>
      <c r="D110" s="76"/>
      <c r="E110" s="54">
        <f t="shared" si="84"/>
        <v>0</v>
      </c>
      <c r="F110" s="89"/>
      <c r="G110" s="55" t="e">
        <f t="shared" si="85"/>
        <v>#DIV/0!</v>
      </c>
      <c r="H110" s="97"/>
      <c r="I110" s="97"/>
      <c r="J110" s="76">
        <f t="shared" si="86"/>
        <v>0</v>
      </c>
      <c r="K110" s="90">
        <f t="shared" si="87"/>
        <v>0</v>
      </c>
      <c r="L110" s="85" t="e">
        <f t="shared" si="88"/>
        <v>#DIV/0!</v>
      </c>
      <c r="M110" s="91"/>
      <c r="N110" s="87">
        <f t="shared" si="89"/>
        <v>0</v>
      </c>
      <c r="R110" s="113">
        <f t="shared" si="55"/>
        <v>0</v>
      </c>
    </row>
    <row r="111" spans="1:18" ht="17" thickBot="1" x14ac:dyDescent="0.25">
      <c r="A111" s="88"/>
      <c r="B111" s="83" t="s">
        <v>38</v>
      </c>
      <c r="C111" s="76"/>
      <c r="D111" s="99"/>
      <c r="E111" s="117">
        <f t="shared" si="84"/>
        <v>0</v>
      </c>
      <c r="F111" s="89"/>
      <c r="G111" s="96" t="e">
        <f t="shared" si="85"/>
        <v>#DIV/0!</v>
      </c>
      <c r="H111" s="97"/>
      <c r="I111" s="111"/>
      <c r="J111" s="99">
        <f t="shared" si="86"/>
        <v>0</v>
      </c>
      <c r="K111" s="90">
        <f t="shared" si="87"/>
        <v>0</v>
      </c>
      <c r="L111" s="100" t="e">
        <f t="shared" si="88"/>
        <v>#DIV/0!</v>
      </c>
      <c r="M111" s="126"/>
      <c r="N111" s="87">
        <f t="shared" si="89"/>
        <v>0</v>
      </c>
      <c r="R111" s="113">
        <f t="shared" si="55"/>
        <v>0</v>
      </c>
    </row>
    <row r="112" spans="1:18" ht="17" thickBot="1" x14ac:dyDescent="0.25">
      <c r="A112" s="104"/>
      <c r="B112" s="105"/>
      <c r="C112" s="104"/>
      <c r="D112" s="104" t="s">
        <v>17</v>
      </c>
      <c r="E112" s="104">
        <f>SUM(E98:E111)</f>
        <v>4213</v>
      </c>
      <c r="F112" s="104"/>
      <c r="G112" s="106" t="e">
        <f>AVERAGE(G98:G111)</f>
        <v>#DIV/0!</v>
      </c>
      <c r="H112" s="104"/>
      <c r="I112" s="107"/>
      <c r="J112" s="104">
        <f t="shared" ref="J112:K112" si="90">SUM(J98:J111)</f>
        <v>4089</v>
      </c>
      <c r="K112" s="104">
        <f t="shared" si="90"/>
        <v>502</v>
      </c>
      <c r="L112" s="106" t="e">
        <f>AVERAGE(L98:L111)</f>
        <v>#DIV/0!</v>
      </c>
      <c r="M112" s="108"/>
      <c r="N112" s="109">
        <f>SUM(N105:N111)</f>
        <v>2359480</v>
      </c>
      <c r="R112" s="113">
        <f t="shared" si="55"/>
        <v>0</v>
      </c>
    </row>
    <row r="113" spans="1:18" ht="17" thickBot="1" x14ac:dyDescent="0.25">
      <c r="A113" s="74">
        <v>46206</v>
      </c>
      <c r="B113" s="132" t="s">
        <v>39</v>
      </c>
      <c r="C113" s="76">
        <v>132591</v>
      </c>
      <c r="D113" s="53">
        <v>133247</v>
      </c>
      <c r="E113" s="110">
        <f t="shared" ref="E113:E119" si="91">D113-C113</f>
        <v>656</v>
      </c>
      <c r="F113" s="77">
        <v>80</v>
      </c>
      <c r="G113" s="55">
        <f t="shared" ref="G113:G119" si="92">(F113/E113)*100</f>
        <v>12.195121951219512</v>
      </c>
      <c r="H113" s="97">
        <v>130366</v>
      </c>
      <c r="I113" s="97">
        <v>131000</v>
      </c>
      <c r="J113" s="78">
        <f t="shared" ref="J113:J119" si="93">I113-H113</f>
        <v>634</v>
      </c>
      <c r="K113" s="114"/>
      <c r="L113" s="79">
        <f t="shared" ref="L113:L119" si="94">(K113/J113)*100</f>
        <v>0</v>
      </c>
      <c r="M113" s="80">
        <v>21170</v>
      </c>
      <c r="N113" s="81">
        <f t="shared" ref="N113:N119" si="95">F113*M113</f>
        <v>1693600</v>
      </c>
      <c r="R113" s="113">
        <f t="shared" si="55"/>
        <v>0</v>
      </c>
    </row>
    <row r="114" spans="1:18" x14ac:dyDescent="0.2">
      <c r="A114" s="74">
        <v>46213</v>
      </c>
      <c r="B114" s="122" t="s">
        <v>39</v>
      </c>
      <c r="C114" s="53">
        <v>133247</v>
      </c>
      <c r="D114" s="57">
        <v>133867</v>
      </c>
      <c r="E114" s="61">
        <f t="shared" si="91"/>
        <v>620</v>
      </c>
      <c r="F114" s="158">
        <v>74</v>
      </c>
      <c r="G114" s="55">
        <f t="shared" si="92"/>
        <v>11.935483870967742</v>
      </c>
      <c r="H114" s="97">
        <v>131000</v>
      </c>
      <c r="I114" s="57">
        <v>131647</v>
      </c>
      <c r="J114" s="76">
        <f t="shared" si="93"/>
        <v>647</v>
      </c>
      <c r="K114" s="90"/>
      <c r="L114" s="85">
        <f t="shared" si="94"/>
        <v>0</v>
      </c>
      <c r="M114" s="80">
        <v>21740</v>
      </c>
      <c r="N114" s="87">
        <f t="shared" si="95"/>
        <v>1608760</v>
      </c>
      <c r="R114" s="113">
        <f t="shared" si="55"/>
        <v>0</v>
      </c>
    </row>
    <row r="115" spans="1:18" x14ac:dyDescent="0.2">
      <c r="A115" s="88"/>
      <c r="B115" s="83" t="s">
        <v>39</v>
      </c>
      <c r="C115" s="57"/>
      <c r="D115" s="53"/>
      <c r="E115" s="54">
        <f t="shared" si="91"/>
        <v>0</v>
      </c>
      <c r="F115" s="89"/>
      <c r="G115" s="55" t="e">
        <f t="shared" si="92"/>
        <v>#DIV/0!</v>
      </c>
      <c r="H115" s="57"/>
      <c r="I115" s="97"/>
      <c r="J115" s="76">
        <f t="shared" si="93"/>
        <v>0</v>
      </c>
      <c r="K115" s="90"/>
      <c r="L115" s="85" t="e">
        <f t="shared" si="94"/>
        <v>#DIV/0!</v>
      </c>
      <c r="M115" s="91"/>
      <c r="N115" s="87">
        <f t="shared" si="95"/>
        <v>0</v>
      </c>
      <c r="R115" s="113">
        <f t="shared" si="55"/>
        <v>0</v>
      </c>
    </row>
    <row r="116" spans="1:18" x14ac:dyDescent="0.2">
      <c r="A116" s="88"/>
      <c r="B116" s="83" t="s">
        <v>39</v>
      </c>
      <c r="C116" s="53"/>
      <c r="D116" s="53"/>
      <c r="E116" s="54">
        <f t="shared" si="91"/>
        <v>0</v>
      </c>
      <c r="F116" s="89"/>
      <c r="G116" s="55" t="e">
        <f t="shared" si="92"/>
        <v>#DIV/0!</v>
      </c>
      <c r="H116" s="97"/>
      <c r="I116" s="97"/>
      <c r="J116" s="76">
        <f t="shared" si="93"/>
        <v>0</v>
      </c>
      <c r="K116" s="90"/>
      <c r="L116" s="85" t="e">
        <f t="shared" si="94"/>
        <v>#DIV/0!</v>
      </c>
      <c r="M116" s="91"/>
      <c r="N116" s="87">
        <f t="shared" si="95"/>
        <v>0</v>
      </c>
      <c r="R116" s="113">
        <f t="shared" si="55"/>
        <v>0</v>
      </c>
    </row>
    <row r="117" spans="1:18" x14ac:dyDescent="0.2">
      <c r="A117" s="88"/>
      <c r="B117" s="83" t="s">
        <v>39</v>
      </c>
      <c r="C117" s="53"/>
      <c r="D117" s="76"/>
      <c r="E117" s="54">
        <f t="shared" si="91"/>
        <v>0</v>
      </c>
      <c r="F117" s="89"/>
      <c r="G117" s="55" t="e">
        <f t="shared" si="92"/>
        <v>#DIV/0!</v>
      </c>
      <c r="H117" s="97"/>
      <c r="I117" s="97"/>
      <c r="J117" s="76">
        <f t="shared" si="93"/>
        <v>0</v>
      </c>
      <c r="K117" s="90">
        <f t="shared" ref="K117:K119" si="96">F117</f>
        <v>0</v>
      </c>
      <c r="L117" s="85" t="e">
        <f t="shared" si="94"/>
        <v>#DIV/0!</v>
      </c>
      <c r="M117" s="91"/>
      <c r="N117" s="87">
        <f t="shared" si="95"/>
        <v>0</v>
      </c>
      <c r="R117" s="113">
        <f t="shared" si="55"/>
        <v>0</v>
      </c>
    </row>
    <row r="118" spans="1:18" x14ac:dyDescent="0.2">
      <c r="A118" s="88"/>
      <c r="B118" s="83" t="s">
        <v>39</v>
      </c>
      <c r="C118" s="76"/>
      <c r="D118" s="76"/>
      <c r="E118" s="54">
        <f t="shared" si="91"/>
        <v>0</v>
      </c>
      <c r="F118" s="89"/>
      <c r="G118" s="55" t="e">
        <f t="shared" si="92"/>
        <v>#DIV/0!</v>
      </c>
      <c r="H118" s="97"/>
      <c r="I118" s="97"/>
      <c r="J118" s="76">
        <f t="shared" si="93"/>
        <v>0</v>
      </c>
      <c r="K118" s="90">
        <f t="shared" si="96"/>
        <v>0</v>
      </c>
      <c r="L118" s="85" t="e">
        <f t="shared" si="94"/>
        <v>#DIV/0!</v>
      </c>
      <c r="M118" s="91"/>
      <c r="N118" s="87">
        <f t="shared" si="95"/>
        <v>0</v>
      </c>
      <c r="R118" s="113">
        <f t="shared" si="55"/>
        <v>0</v>
      </c>
    </row>
    <row r="119" spans="1:18" ht="17" thickBot="1" x14ac:dyDescent="0.25">
      <c r="A119" s="129"/>
      <c r="B119" s="83" t="s">
        <v>39</v>
      </c>
      <c r="C119" s="99"/>
      <c r="D119" s="99"/>
      <c r="E119" s="117">
        <f t="shared" si="91"/>
        <v>0</v>
      </c>
      <c r="F119" s="89"/>
      <c r="G119" s="96" t="e">
        <f t="shared" si="92"/>
        <v>#DIV/0!</v>
      </c>
      <c r="H119" s="99"/>
      <c r="I119" s="111"/>
      <c r="J119" s="99">
        <f t="shared" si="93"/>
        <v>0</v>
      </c>
      <c r="K119" s="90">
        <f t="shared" si="96"/>
        <v>0</v>
      </c>
      <c r="L119" s="100" t="e">
        <f t="shared" si="94"/>
        <v>#DIV/0!</v>
      </c>
      <c r="M119" s="126"/>
      <c r="N119" s="102">
        <f t="shared" si="95"/>
        <v>0</v>
      </c>
      <c r="R119" s="113">
        <f t="shared" si="55"/>
        <v>0</v>
      </c>
    </row>
    <row r="120" spans="1:18" ht="17" thickBot="1" x14ac:dyDescent="0.25">
      <c r="A120" s="104"/>
      <c r="B120" s="105"/>
      <c r="C120" s="104"/>
      <c r="D120" s="104" t="s">
        <v>17</v>
      </c>
      <c r="E120" s="104">
        <f>SUM(E113:E119)</f>
        <v>1276</v>
      </c>
      <c r="F120" s="77"/>
      <c r="G120" s="106" t="e">
        <f>AVERAGE(G113:G119)</f>
        <v>#DIV/0!</v>
      </c>
      <c r="H120" s="104"/>
      <c r="I120" s="107"/>
      <c r="J120" s="104">
        <f t="shared" ref="J120:K120" si="97">SUM(J113:J119)</f>
        <v>1281</v>
      </c>
      <c r="K120" s="104">
        <f t="shared" si="97"/>
        <v>0</v>
      </c>
      <c r="L120" s="106" t="e">
        <f>AVERAGE(L113:L119)</f>
        <v>#DIV/0!</v>
      </c>
      <c r="M120" s="108"/>
      <c r="N120" s="109">
        <f>SUM(N113:N119)</f>
        <v>3302360</v>
      </c>
      <c r="R120" s="113">
        <f t="shared" si="55"/>
        <v>0</v>
      </c>
    </row>
    <row r="121" spans="1:18" x14ac:dyDescent="0.2">
      <c r="A121" s="74">
        <v>46204</v>
      </c>
      <c r="B121" s="132" t="s">
        <v>40</v>
      </c>
      <c r="C121" s="61">
        <v>184242</v>
      </c>
      <c r="D121" s="76">
        <v>184874</v>
      </c>
      <c r="E121" s="110">
        <f t="shared" ref="E121:E127" si="98">D121-C121</f>
        <v>632</v>
      </c>
      <c r="F121" s="77">
        <v>75</v>
      </c>
      <c r="G121" s="55">
        <f t="shared" ref="G121:G127" si="99">(F121/E121)*100</f>
        <v>11.867088607594937</v>
      </c>
      <c r="H121" s="76">
        <v>27803</v>
      </c>
      <c r="I121" s="97">
        <v>28480</v>
      </c>
      <c r="J121" s="78">
        <f t="shared" ref="J121:J127" si="100">I121-H121</f>
        <v>677</v>
      </c>
      <c r="K121" s="114">
        <f t="shared" ref="K121:K127" si="101">F121</f>
        <v>75</v>
      </c>
      <c r="L121" s="79">
        <f t="shared" ref="L121:L127" si="102">(K121/J121)*100</f>
        <v>11.078286558345644</v>
      </c>
      <c r="M121" s="159">
        <v>21860</v>
      </c>
      <c r="N121" s="81">
        <f t="shared" ref="N121:N127" si="103">F121*M121</f>
        <v>1639500</v>
      </c>
      <c r="R121" s="113">
        <f t="shared" si="55"/>
        <v>0</v>
      </c>
    </row>
    <row r="122" spans="1:18" x14ac:dyDescent="0.2">
      <c r="A122" s="160">
        <v>46213</v>
      </c>
      <c r="B122" s="161" t="s">
        <v>40</v>
      </c>
      <c r="C122" s="76">
        <v>184874</v>
      </c>
      <c r="D122" s="61">
        <v>185493</v>
      </c>
      <c r="E122" s="61">
        <f t="shared" si="98"/>
        <v>619</v>
      </c>
      <c r="F122" s="162">
        <v>70</v>
      </c>
      <c r="G122" s="55">
        <f t="shared" si="99"/>
        <v>11.308562197092083</v>
      </c>
      <c r="H122" s="97">
        <v>28480</v>
      </c>
      <c r="I122" s="97">
        <v>29067</v>
      </c>
      <c r="J122" s="76">
        <f t="shared" si="100"/>
        <v>587</v>
      </c>
      <c r="K122" s="90">
        <f t="shared" si="101"/>
        <v>70</v>
      </c>
      <c r="L122" s="85">
        <f t="shared" si="102"/>
        <v>11.925042589437819</v>
      </c>
      <c r="M122" s="91">
        <v>21740</v>
      </c>
      <c r="N122" s="163">
        <f t="shared" si="103"/>
        <v>1521800</v>
      </c>
      <c r="R122" s="113">
        <f t="shared" si="55"/>
        <v>0</v>
      </c>
    </row>
    <row r="123" spans="1:18" x14ac:dyDescent="0.2">
      <c r="A123" s="160"/>
      <c r="B123" s="161" t="s">
        <v>40</v>
      </c>
      <c r="C123" s="61"/>
      <c r="D123" s="61"/>
      <c r="E123" s="61">
        <f t="shared" si="98"/>
        <v>0</v>
      </c>
      <c r="F123" s="162"/>
      <c r="G123" s="55" t="e">
        <f t="shared" si="99"/>
        <v>#DIV/0!</v>
      </c>
      <c r="H123" s="97"/>
      <c r="I123" s="76"/>
      <c r="J123" s="76">
        <f t="shared" si="100"/>
        <v>0</v>
      </c>
      <c r="K123" s="90">
        <f t="shared" si="101"/>
        <v>0</v>
      </c>
      <c r="L123" s="85" t="e">
        <f t="shared" si="102"/>
        <v>#DIV/0!</v>
      </c>
      <c r="M123" s="91"/>
      <c r="N123" s="163">
        <f t="shared" si="103"/>
        <v>0</v>
      </c>
      <c r="R123" s="113">
        <f t="shared" si="55"/>
        <v>0</v>
      </c>
    </row>
    <row r="124" spans="1:18" x14ac:dyDescent="0.2">
      <c r="A124" s="88"/>
      <c r="B124" s="83" t="s">
        <v>40</v>
      </c>
      <c r="C124" s="61"/>
      <c r="D124" s="76"/>
      <c r="E124" s="54">
        <f t="shared" si="98"/>
        <v>0</v>
      </c>
      <c r="F124" s="89"/>
      <c r="G124" s="55" t="e">
        <f t="shared" si="99"/>
        <v>#DIV/0!</v>
      </c>
      <c r="H124" s="76"/>
      <c r="I124" s="97"/>
      <c r="J124" s="76">
        <f t="shared" si="100"/>
        <v>0</v>
      </c>
      <c r="K124" s="90">
        <f t="shared" si="101"/>
        <v>0</v>
      </c>
      <c r="L124" s="85" t="e">
        <f t="shared" si="102"/>
        <v>#DIV/0!</v>
      </c>
      <c r="M124" s="91"/>
      <c r="N124" s="163">
        <f t="shared" si="103"/>
        <v>0</v>
      </c>
      <c r="R124" s="113">
        <f t="shared" si="55"/>
        <v>0</v>
      </c>
    </row>
    <row r="125" spans="1:18" x14ac:dyDescent="0.2">
      <c r="A125" s="88"/>
      <c r="B125" s="122" t="s">
        <v>40</v>
      </c>
      <c r="C125" s="76"/>
      <c r="D125" s="90"/>
      <c r="E125" s="54">
        <f t="shared" si="98"/>
        <v>0</v>
      </c>
      <c r="F125" s="89"/>
      <c r="G125" s="55" t="e">
        <f t="shared" si="99"/>
        <v>#DIV/0!</v>
      </c>
      <c r="H125" s="97"/>
      <c r="I125" s="97"/>
      <c r="J125" s="76">
        <f t="shared" si="100"/>
        <v>0</v>
      </c>
      <c r="K125" s="90">
        <f t="shared" si="101"/>
        <v>0</v>
      </c>
      <c r="L125" s="85" t="e">
        <f t="shared" si="102"/>
        <v>#DIV/0!</v>
      </c>
      <c r="M125" s="91"/>
      <c r="N125" s="163">
        <f t="shared" si="103"/>
        <v>0</v>
      </c>
      <c r="R125" s="113">
        <f t="shared" si="55"/>
        <v>0</v>
      </c>
    </row>
    <row r="126" spans="1:18" x14ac:dyDescent="0.2">
      <c r="A126" s="164"/>
      <c r="B126" s="83" t="s">
        <v>40</v>
      </c>
      <c r="C126" s="76"/>
      <c r="D126" s="76"/>
      <c r="E126" s="54">
        <f t="shared" si="98"/>
        <v>0</v>
      </c>
      <c r="F126" s="89"/>
      <c r="G126" s="55" t="e">
        <f t="shared" si="99"/>
        <v>#DIV/0!</v>
      </c>
      <c r="H126" s="76"/>
      <c r="I126" s="97"/>
      <c r="J126" s="76">
        <f t="shared" si="100"/>
        <v>0</v>
      </c>
      <c r="K126" s="90">
        <f t="shared" si="101"/>
        <v>0</v>
      </c>
      <c r="L126" s="85" t="e">
        <f t="shared" si="102"/>
        <v>#DIV/0!</v>
      </c>
      <c r="M126" s="91"/>
      <c r="N126" s="163">
        <f t="shared" si="103"/>
        <v>0</v>
      </c>
      <c r="R126" s="113">
        <f t="shared" si="55"/>
        <v>0</v>
      </c>
    </row>
    <row r="127" spans="1:18" ht="17" thickBot="1" x14ac:dyDescent="0.25">
      <c r="A127" s="129"/>
      <c r="B127" s="83" t="s">
        <v>40</v>
      </c>
      <c r="C127" s="99"/>
      <c r="D127" s="99"/>
      <c r="E127" s="117">
        <f t="shared" si="98"/>
        <v>0</v>
      </c>
      <c r="F127" s="89"/>
      <c r="G127" s="96" t="e">
        <f t="shared" si="99"/>
        <v>#DIV/0!</v>
      </c>
      <c r="H127" s="99"/>
      <c r="I127" s="111"/>
      <c r="J127" s="99">
        <f t="shared" si="100"/>
        <v>0</v>
      </c>
      <c r="K127" s="90">
        <f t="shared" si="101"/>
        <v>0</v>
      </c>
      <c r="L127" s="100" t="e">
        <f t="shared" si="102"/>
        <v>#DIV/0!</v>
      </c>
      <c r="M127" s="126"/>
      <c r="N127" s="165">
        <f t="shared" si="103"/>
        <v>0</v>
      </c>
      <c r="R127" s="113">
        <f t="shared" si="55"/>
        <v>0</v>
      </c>
    </row>
    <row r="128" spans="1:18" ht="17" thickBot="1" x14ac:dyDescent="0.25">
      <c r="A128" s="104"/>
      <c r="B128" s="105"/>
      <c r="C128" s="104"/>
      <c r="D128" s="104" t="s">
        <v>17</v>
      </c>
      <c r="E128" s="104">
        <f>SUM(E121:E127)</f>
        <v>1251</v>
      </c>
      <c r="F128" s="104"/>
      <c r="G128" s="106" t="e">
        <f>AVERAGE(G121:G127)</f>
        <v>#DIV/0!</v>
      </c>
      <c r="H128" s="104"/>
      <c r="I128" s="107"/>
      <c r="J128" s="104">
        <f t="shared" ref="J128:K128" si="104">SUM(J121:J127)</f>
        <v>1264</v>
      </c>
      <c r="K128" s="104">
        <f t="shared" si="104"/>
        <v>145</v>
      </c>
      <c r="L128" s="106" t="e">
        <f>AVERAGE(L121:L127)</f>
        <v>#DIV/0!</v>
      </c>
      <c r="M128" s="108"/>
      <c r="N128" s="109">
        <f>SUM(N121:N127)</f>
        <v>3161300</v>
      </c>
      <c r="R128" s="113">
        <f t="shared" si="55"/>
        <v>0</v>
      </c>
    </row>
    <row r="129" spans="1:18" ht="17" thickBot="1" x14ac:dyDescent="0.25">
      <c r="A129" s="74">
        <v>46204</v>
      </c>
      <c r="B129" s="132" t="s">
        <v>62</v>
      </c>
      <c r="C129" s="76">
        <v>154101</v>
      </c>
      <c r="D129" s="76">
        <v>154724</v>
      </c>
      <c r="E129" s="110">
        <f t="shared" ref="E129:E135" si="105">D129-C129</f>
        <v>623</v>
      </c>
      <c r="F129" s="77">
        <v>74</v>
      </c>
      <c r="G129" s="55">
        <f t="shared" ref="G129:G135" si="106">(F129/E129)*100</f>
        <v>11.878009630818621</v>
      </c>
      <c r="H129" s="76"/>
      <c r="I129" s="97"/>
      <c r="J129" s="78">
        <f t="shared" ref="J129:J135" si="107">I129-H129</f>
        <v>0</v>
      </c>
      <c r="K129" s="114">
        <f t="shared" ref="K129:K135" si="108">F129</f>
        <v>74</v>
      </c>
      <c r="L129" s="79" t="e">
        <f t="shared" ref="L129:L135" si="109">(K129/J129)*100</f>
        <v>#DIV/0!</v>
      </c>
      <c r="M129" s="159">
        <v>21860</v>
      </c>
      <c r="N129" s="81">
        <f t="shared" ref="N129:N135" si="110">F129*M129</f>
        <v>1617640</v>
      </c>
    </row>
    <row r="130" spans="1:18" x14ac:dyDescent="0.2">
      <c r="A130" s="74">
        <v>46213</v>
      </c>
      <c r="B130" s="132" t="s">
        <v>62</v>
      </c>
      <c r="C130" s="76">
        <v>154724</v>
      </c>
      <c r="D130" s="61">
        <v>155304</v>
      </c>
      <c r="E130" s="61">
        <f t="shared" si="105"/>
        <v>580</v>
      </c>
      <c r="F130" s="162">
        <v>68</v>
      </c>
      <c r="G130" s="55">
        <f t="shared" si="106"/>
        <v>11.724137931034482</v>
      </c>
      <c r="H130" s="97"/>
      <c r="I130" s="97"/>
      <c r="J130" s="76">
        <f t="shared" si="107"/>
        <v>0</v>
      </c>
      <c r="K130" s="90">
        <f t="shared" si="108"/>
        <v>68</v>
      </c>
      <c r="L130" s="85" t="e">
        <f t="shared" si="109"/>
        <v>#DIV/0!</v>
      </c>
      <c r="M130" s="91">
        <v>21740</v>
      </c>
      <c r="N130" s="163">
        <f t="shared" si="110"/>
        <v>1478320</v>
      </c>
    </row>
    <row r="131" spans="1:18" x14ac:dyDescent="0.2">
      <c r="A131" s="160"/>
      <c r="B131" s="132" t="s">
        <v>62</v>
      </c>
      <c r="C131" s="61"/>
      <c r="D131" s="61"/>
      <c r="E131" s="61">
        <f t="shared" si="105"/>
        <v>0</v>
      </c>
      <c r="F131" s="162"/>
      <c r="G131" s="55" t="e">
        <f t="shared" si="106"/>
        <v>#DIV/0!</v>
      </c>
      <c r="H131" s="97"/>
      <c r="I131" s="76"/>
      <c r="J131" s="76">
        <f t="shared" si="107"/>
        <v>0</v>
      </c>
      <c r="K131" s="90">
        <f t="shared" si="108"/>
        <v>0</v>
      </c>
      <c r="L131" s="85" t="e">
        <f t="shared" si="109"/>
        <v>#DIV/0!</v>
      </c>
      <c r="M131" s="91"/>
      <c r="N131" s="163">
        <f t="shared" si="110"/>
        <v>0</v>
      </c>
    </row>
    <row r="132" spans="1:18" x14ac:dyDescent="0.2">
      <c r="A132" s="88"/>
      <c r="B132" s="132" t="s">
        <v>62</v>
      </c>
      <c r="C132" s="61"/>
      <c r="D132" s="76"/>
      <c r="E132" s="54">
        <f t="shared" si="105"/>
        <v>0</v>
      </c>
      <c r="F132" s="89"/>
      <c r="G132" s="55" t="e">
        <f t="shared" si="106"/>
        <v>#DIV/0!</v>
      </c>
      <c r="H132" s="76"/>
      <c r="I132" s="97"/>
      <c r="J132" s="76">
        <f t="shared" si="107"/>
        <v>0</v>
      </c>
      <c r="K132" s="90">
        <f t="shared" si="108"/>
        <v>0</v>
      </c>
      <c r="L132" s="85" t="e">
        <f t="shared" si="109"/>
        <v>#DIV/0!</v>
      </c>
      <c r="M132" s="91"/>
      <c r="N132" s="163">
        <f t="shared" si="110"/>
        <v>0</v>
      </c>
    </row>
    <row r="133" spans="1:18" x14ac:dyDescent="0.2">
      <c r="A133" s="166"/>
      <c r="B133" s="132" t="s">
        <v>62</v>
      </c>
      <c r="C133" s="90"/>
      <c r="D133" s="90"/>
      <c r="E133" s="54">
        <f t="shared" si="105"/>
        <v>0</v>
      </c>
      <c r="F133" s="89"/>
      <c r="G133" s="55" t="e">
        <f t="shared" si="106"/>
        <v>#DIV/0!</v>
      </c>
      <c r="H133" s="76"/>
      <c r="I133" s="97"/>
      <c r="J133" s="76">
        <f t="shared" si="107"/>
        <v>0</v>
      </c>
      <c r="K133" s="90">
        <f t="shared" si="108"/>
        <v>0</v>
      </c>
      <c r="L133" s="85" t="e">
        <f t="shared" si="109"/>
        <v>#DIV/0!</v>
      </c>
      <c r="M133" s="91"/>
      <c r="N133" s="163">
        <f t="shared" si="110"/>
        <v>0</v>
      </c>
    </row>
    <row r="134" spans="1:18" x14ac:dyDescent="0.2">
      <c r="A134" s="164"/>
      <c r="B134" s="132" t="s">
        <v>62</v>
      </c>
      <c r="C134" s="76"/>
      <c r="D134" s="76"/>
      <c r="E134" s="54">
        <f t="shared" si="105"/>
        <v>0</v>
      </c>
      <c r="F134" s="89"/>
      <c r="G134" s="55" t="e">
        <f t="shared" si="106"/>
        <v>#DIV/0!</v>
      </c>
      <c r="H134" s="76"/>
      <c r="I134" s="97"/>
      <c r="J134" s="76">
        <f t="shared" si="107"/>
        <v>0</v>
      </c>
      <c r="K134" s="90">
        <f t="shared" si="108"/>
        <v>0</v>
      </c>
      <c r="L134" s="85" t="e">
        <f t="shared" si="109"/>
        <v>#DIV/0!</v>
      </c>
      <c r="M134" s="91"/>
      <c r="N134" s="163">
        <f t="shared" si="110"/>
        <v>0</v>
      </c>
    </row>
    <row r="135" spans="1:18" ht="17" thickBot="1" x14ac:dyDescent="0.25">
      <c r="A135" s="129"/>
      <c r="B135" s="132" t="s">
        <v>62</v>
      </c>
      <c r="C135" s="99"/>
      <c r="D135" s="99"/>
      <c r="E135" s="117">
        <f t="shared" si="105"/>
        <v>0</v>
      </c>
      <c r="F135" s="89"/>
      <c r="G135" s="96" t="e">
        <f t="shared" si="106"/>
        <v>#DIV/0!</v>
      </c>
      <c r="H135" s="99"/>
      <c r="I135" s="111"/>
      <c r="J135" s="99">
        <f t="shared" si="107"/>
        <v>0</v>
      </c>
      <c r="K135" s="90">
        <f t="shared" si="108"/>
        <v>0</v>
      </c>
      <c r="L135" s="100" t="e">
        <f t="shared" si="109"/>
        <v>#DIV/0!</v>
      </c>
      <c r="M135" s="126"/>
      <c r="N135" s="165">
        <f t="shared" si="110"/>
        <v>0</v>
      </c>
    </row>
    <row r="136" spans="1:18" ht="17" thickBot="1" x14ac:dyDescent="0.25">
      <c r="A136" s="104"/>
      <c r="B136" s="105"/>
      <c r="C136" s="104"/>
      <c r="D136" s="104" t="s">
        <v>17</v>
      </c>
      <c r="E136" s="104">
        <f>SUM(E129:E135)</f>
        <v>1203</v>
      </c>
      <c r="F136" s="104"/>
      <c r="G136" s="106" t="e">
        <f>AVERAGE(G129:G135)</f>
        <v>#DIV/0!</v>
      </c>
      <c r="H136" s="104"/>
      <c r="I136" s="107"/>
      <c r="J136" s="104">
        <f t="shared" ref="J136:K136" si="111">SUM(J129:J135)</f>
        <v>0</v>
      </c>
      <c r="K136" s="104">
        <f t="shared" si="111"/>
        <v>142</v>
      </c>
      <c r="L136" s="106" t="e">
        <f>AVERAGE(L129:L135)</f>
        <v>#DIV/0!</v>
      </c>
      <c r="M136" s="108"/>
      <c r="N136" s="109">
        <f>SUM(N129:N135)</f>
        <v>3095960</v>
      </c>
    </row>
    <row r="137" spans="1:18" x14ac:dyDescent="0.2">
      <c r="A137" s="74"/>
      <c r="B137" s="132" t="s">
        <v>25</v>
      </c>
      <c r="C137" s="124"/>
      <c r="D137" s="53"/>
      <c r="E137" s="110">
        <f t="shared" ref="E137:E147" si="112">D137-C137</f>
        <v>0</v>
      </c>
      <c r="F137" s="77"/>
      <c r="G137" s="55" t="e">
        <f t="shared" ref="G137:G147" si="113">(F137/E137)*100</f>
        <v>#DIV/0!</v>
      </c>
      <c r="H137" s="167"/>
      <c r="I137" s="168"/>
      <c r="J137" s="78">
        <f t="shared" ref="J137:J147" si="114">I137-H137</f>
        <v>0</v>
      </c>
      <c r="K137" s="90">
        <f t="shared" ref="K137:K141" si="115">F137</f>
        <v>0</v>
      </c>
      <c r="L137" s="79" t="e">
        <f t="shared" ref="L137:L147" si="116">(K137/J137)*100</f>
        <v>#DIV/0!</v>
      </c>
      <c r="M137" s="80"/>
      <c r="N137" s="163">
        <f t="shared" ref="N137:N140" si="117">F137*M137</f>
        <v>0</v>
      </c>
      <c r="R137" s="113">
        <f t="shared" ref="R137:R144" si="118">Q137</f>
        <v>0</v>
      </c>
    </row>
    <row r="138" spans="1:18" x14ac:dyDescent="0.2">
      <c r="A138" s="88"/>
      <c r="B138" s="83" t="s">
        <v>25</v>
      </c>
      <c r="C138" s="76"/>
      <c r="D138" s="53"/>
      <c r="E138" s="54">
        <f t="shared" si="112"/>
        <v>0</v>
      </c>
      <c r="F138" s="89"/>
      <c r="G138" s="55" t="e">
        <f t="shared" si="113"/>
        <v>#DIV/0!</v>
      </c>
      <c r="H138" s="97"/>
      <c r="I138" s="97"/>
      <c r="J138" s="76">
        <f t="shared" si="114"/>
        <v>0</v>
      </c>
      <c r="K138" s="90">
        <f t="shared" si="115"/>
        <v>0</v>
      </c>
      <c r="L138" s="85" t="e">
        <f t="shared" si="116"/>
        <v>#DIV/0!</v>
      </c>
      <c r="M138" s="91"/>
      <c r="N138" s="163">
        <f t="shared" si="117"/>
        <v>0</v>
      </c>
      <c r="R138" s="113">
        <f t="shared" si="118"/>
        <v>0</v>
      </c>
    </row>
    <row r="139" spans="1:18" x14ac:dyDescent="0.2">
      <c r="A139" s="88"/>
      <c r="B139" s="83" t="s">
        <v>25</v>
      </c>
      <c r="C139" s="76"/>
      <c r="D139" s="76"/>
      <c r="E139" s="54">
        <f t="shared" si="112"/>
        <v>0</v>
      </c>
      <c r="F139" s="89"/>
      <c r="G139" s="55" t="e">
        <f t="shared" si="113"/>
        <v>#DIV/0!</v>
      </c>
      <c r="H139" s="76"/>
      <c r="I139" s="97"/>
      <c r="J139" s="76">
        <f t="shared" si="114"/>
        <v>0</v>
      </c>
      <c r="K139" s="90">
        <f t="shared" si="115"/>
        <v>0</v>
      </c>
      <c r="L139" s="85" t="e">
        <f t="shared" si="116"/>
        <v>#DIV/0!</v>
      </c>
      <c r="M139" s="91"/>
      <c r="N139" s="163">
        <f t="shared" si="117"/>
        <v>0</v>
      </c>
      <c r="R139" s="113">
        <f t="shared" si="118"/>
        <v>0</v>
      </c>
    </row>
    <row r="140" spans="1:18" x14ac:dyDescent="0.2">
      <c r="A140" s="88"/>
      <c r="B140" s="83" t="s">
        <v>25</v>
      </c>
      <c r="C140" s="76"/>
      <c r="D140" s="76"/>
      <c r="E140" s="54">
        <f t="shared" si="112"/>
        <v>0</v>
      </c>
      <c r="F140" s="89"/>
      <c r="G140" s="55" t="e">
        <f t="shared" si="113"/>
        <v>#DIV/0!</v>
      </c>
      <c r="H140" s="76"/>
      <c r="I140" s="97"/>
      <c r="J140" s="76">
        <f t="shared" si="114"/>
        <v>0</v>
      </c>
      <c r="K140" s="90">
        <f t="shared" si="115"/>
        <v>0</v>
      </c>
      <c r="L140" s="85" t="e">
        <f t="shared" si="116"/>
        <v>#DIV/0!</v>
      </c>
      <c r="M140" s="91"/>
      <c r="N140" s="163">
        <f t="shared" si="117"/>
        <v>0</v>
      </c>
      <c r="R140" s="113">
        <f t="shared" si="118"/>
        <v>0</v>
      </c>
    </row>
    <row r="141" spans="1:18" x14ac:dyDescent="0.2">
      <c r="A141" s="88"/>
      <c r="B141" s="83" t="s">
        <v>25</v>
      </c>
      <c r="C141" s="76"/>
      <c r="D141" s="76"/>
      <c r="E141" s="54">
        <f t="shared" si="112"/>
        <v>0</v>
      </c>
      <c r="F141" s="89"/>
      <c r="G141" s="55" t="e">
        <f t="shared" si="113"/>
        <v>#DIV/0!</v>
      </c>
      <c r="H141" s="76"/>
      <c r="I141" s="97"/>
      <c r="J141" s="76">
        <f t="shared" si="114"/>
        <v>0</v>
      </c>
      <c r="K141" s="90">
        <f t="shared" si="115"/>
        <v>0</v>
      </c>
      <c r="L141" s="85" t="e">
        <f t="shared" si="116"/>
        <v>#DIV/0!</v>
      </c>
      <c r="M141" s="91"/>
      <c r="N141" s="87"/>
      <c r="R141" s="113">
        <f t="shared" si="118"/>
        <v>0</v>
      </c>
    </row>
    <row r="142" spans="1:18" x14ac:dyDescent="0.2">
      <c r="A142" s="88"/>
      <c r="B142" s="83" t="s">
        <v>25</v>
      </c>
      <c r="C142" s="76"/>
      <c r="D142" s="76"/>
      <c r="E142" s="54">
        <f t="shared" si="112"/>
        <v>0</v>
      </c>
      <c r="F142" s="89"/>
      <c r="G142" s="55" t="e">
        <f t="shared" si="113"/>
        <v>#DIV/0!</v>
      </c>
      <c r="H142" s="76"/>
      <c r="I142" s="97"/>
      <c r="J142" s="76">
        <f t="shared" si="114"/>
        <v>0</v>
      </c>
      <c r="K142" s="90"/>
      <c r="L142" s="85" t="e">
        <f t="shared" si="116"/>
        <v>#DIV/0!</v>
      </c>
      <c r="M142" s="91"/>
      <c r="N142" s="87"/>
      <c r="R142" s="113">
        <f t="shared" si="118"/>
        <v>0</v>
      </c>
    </row>
    <row r="143" spans="1:18" x14ac:dyDescent="0.2">
      <c r="A143" s="169"/>
      <c r="B143" s="20" t="s">
        <v>25</v>
      </c>
      <c r="C143" s="53"/>
      <c r="D143" s="53"/>
      <c r="E143" s="54">
        <f t="shared" si="112"/>
        <v>0</v>
      </c>
      <c r="F143" s="53"/>
      <c r="G143" s="55" t="e">
        <f t="shared" si="113"/>
        <v>#DIV/0!</v>
      </c>
      <c r="H143" s="53"/>
      <c r="I143" s="56"/>
      <c r="J143" s="53">
        <f t="shared" si="114"/>
        <v>0</v>
      </c>
      <c r="K143" s="57"/>
      <c r="L143" s="58" t="e">
        <f t="shared" si="116"/>
        <v>#DIV/0!</v>
      </c>
      <c r="M143" s="60"/>
      <c r="N143" s="60"/>
      <c r="R143" s="113">
        <f t="shared" si="118"/>
        <v>0</v>
      </c>
    </row>
    <row r="144" spans="1:18" x14ac:dyDescent="0.2">
      <c r="A144" s="169"/>
      <c r="B144" s="20" t="s">
        <v>25</v>
      </c>
      <c r="C144" s="53"/>
      <c r="D144" s="53"/>
      <c r="E144" s="54">
        <f t="shared" si="112"/>
        <v>0</v>
      </c>
      <c r="F144" s="53"/>
      <c r="G144" s="55" t="e">
        <f t="shared" si="113"/>
        <v>#DIV/0!</v>
      </c>
      <c r="H144" s="53"/>
      <c r="I144" s="56"/>
      <c r="J144" s="53">
        <f t="shared" si="114"/>
        <v>0</v>
      </c>
      <c r="K144" s="57"/>
      <c r="L144" s="58" t="e">
        <f t="shared" si="116"/>
        <v>#DIV/0!</v>
      </c>
      <c r="M144" s="60"/>
      <c r="N144" s="60"/>
      <c r="R144" s="113">
        <f t="shared" si="118"/>
        <v>0</v>
      </c>
    </row>
    <row r="145" spans="1:18" x14ac:dyDescent="0.2">
      <c r="A145" s="169"/>
      <c r="B145" s="20" t="s">
        <v>25</v>
      </c>
      <c r="C145" s="53"/>
      <c r="D145" s="53"/>
      <c r="E145" s="54">
        <f t="shared" si="112"/>
        <v>0</v>
      </c>
      <c r="F145" s="53"/>
      <c r="G145" s="55" t="e">
        <f t="shared" si="113"/>
        <v>#DIV/0!</v>
      </c>
      <c r="H145" s="53"/>
      <c r="I145" s="56"/>
      <c r="J145" s="53">
        <f t="shared" si="114"/>
        <v>0</v>
      </c>
      <c r="K145" s="57"/>
      <c r="L145" s="58" t="e">
        <f t="shared" si="116"/>
        <v>#DIV/0!</v>
      </c>
      <c r="M145" s="60"/>
      <c r="N145" s="60"/>
    </row>
    <row r="146" spans="1:18" x14ac:dyDescent="0.2">
      <c r="A146" s="169"/>
      <c r="B146" s="20" t="s">
        <v>25</v>
      </c>
      <c r="C146" s="53"/>
      <c r="D146" s="53"/>
      <c r="E146" s="54">
        <f t="shared" si="112"/>
        <v>0</v>
      </c>
      <c r="F146" s="53"/>
      <c r="G146" s="55" t="e">
        <f t="shared" si="113"/>
        <v>#DIV/0!</v>
      </c>
      <c r="H146" s="53"/>
      <c r="I146" s="56"/>
      <c r="J146" s="53">
        <f t="shared" si="114"/>
        <v>0</v>
      </c>
      <c r="K146" s="57"/>
      <c r="L146" s="58" t="e">
        <f t="shared" si="116"/>
        <v>#DIV/0!</v>
      </c>
      <c r="M146" s="60"/>
      <c r="N146" s="60"/>
    </row>
    <row r="147" spans="1:18" x14ac:dyDescent="0.2">
      <c r="A147" s="169"/>
      <c r="B147" s="20" t="s">
        <v>25</v>
      </c>
      <c r="C147" s="53"/>
      <c r="D147" s="53"/>
      <c r="E147" s="54">
        <f t="shared" si="112"/>
        <v>0</v>
      </c>
      <c r="F147" s="53"/>
      <c r="G147" s="55" t="e">
        <f t="shared" si="113"/>
        <v>#DIV/0!</v>
      </c>
      <c r="H147" s="53"/>
      <c r="I147" s="56"/>
      <c r="J147" s="53">
        <f t="shared" si="114"/>
        <v>0</v>
      </c>
      <c r="K147" s="57"/>
      <c r="L147" s="58" t="e">
        <f t="shared" si="116"/>
        <v>#DIV/0!</v>
      </c>
      <c r="M147" s="60"/>
      <c r="N147" s="60"/>
    </row>
    <row r="148" spans="1:18" ht="17" thickBot="1" x14ac:dyDescent="0.25">
      <c r="A148" s="123"/>
      <c r="B148" s="70"/>
      <c r="C148" s="123"/>
      <c r="D148" s="123" t="s">
        <v>17</v>
      </c>
      <c r="E148" s="123">
        <f>SUM(E137:E144)</f>
        <v>0</v>
      </c>
      <c r="F148" s="123"/>
      <c r="G148" s="170" t="e">
        <f>AVERAGE(G137:G144)</f>
        <v>#DIV/0!</v>
      </c>
      <c r="H148" s="123"/>
      <c r="I148" s="171"/>
      <c r="J148" s="123">
        <f t="shared" ref="J148:K148" si="119">SUM(J137:J144)</f>
        <v>0</v>
      </c>
      <c r="K148" s="123">
        <f t="shared" si="119"/>
        <v>0</v>
      </c>
      <c r="L148" s="170" t="e">
        <f>AVERAGE(L137:L144)</f>
        <v>#DIV/0!</v>
      </c>
      <c r="M148" s="172"/>
      <c r="N148" s="173">
        <f>SUM(N137:N147)</f>
        <v>0</v>
      </c>
      <c r="R148" s="113">
        <f t="shared" ref="R148:R175" si="120">Q148</f>
        <v>0</v>
      </c>
    </row>
    <row r="149" spans="1:18" ht="17" thickBot="1" x14ac:dyDescent="0.25">
      <c r="A149" s="74"/>
      <c r="B149" s="132" t="s">
        <v>26</v>
      </c>
      <c r="C149" s="124"/>
      <c r="D149" s="53"/>
      <c r="E149" s="110">
        <f t="shared" ref="E149:E156" si="121">D149-C149</f>
        <v>0</v>
      </c>
      <c r="F149" s="77"/>
      <c r="G149" s="55" t="e">
        <f t="shared" ref="G149:G156" si="122">(F149/E149)*100</f>
        <v>#DIV/0!</v>
      </c>
      <c r="H149" s="167"/>
      <c r="I149" s="168"/>
      <c r="J149" s="78">
        <f t="shared" ref="J149:J156" si="123">I149-H149</f>
        <v>0</v>
      </c>
      <c r="K149" s="114">
        <f t="shared" ref="K149:K152" si="124">F149</f>
        <v>0</v>
      </c>
      <c r="L149" s="79" t="e">
        <f t="shared" ref="L149:L156" si="125">(K149/J149)*100</f>
        <v>#DIV/0!</v>
      </c>
      <c r="M149" s="80"/>
      <c r="N149" s="87">
        <f t="shared" ref="N149:N154" si="126">M149*K149</f>
        <v>0</v>
      </c>
      <c r="R149" s="113">
        <f t="shared" si="120"/>
        <v>0</v>
      </c>
    </row>
    <row r="150" spans="1:18" ht="17" thickBot="1" x14ac:dyDescent="0.25">
      <c r="A150" s="88"/>
      <c r="B150" s="132" t="s">
        <v>26</v>
      </c>
      <c r="C150" s="76"/>
      <c r="D150" s="53"/>
      <c r="E150" s="54">
        <f t="shared" si="121"/>
        <v>0</v>
      </c>
      <c r="F150" s="89"/>
      <c r="G150" s="55" t="e">
        <f t="shared" si="122"/>
        <v>#DIV/0!</v>
      </c>
      <c r="H150" s="97"/>
      <c r="I150" s="97"/>
      <c r="J150" s="76">
        <f t="shared" si="123"/>
        <v>0</v>
      </c>
      <c r="K150" s="114">
        <f t="shared" si="124"/>
        <v>0</v>
      </c>
      <c r="L150" s="79" t="e">
        <f t="shared" si="125"/>
        <v>#DIV/0!</v>
      </c>
      <c r="M150" s="91"/>
      <c r="N150" s="87">
        <f t="shared" si="126"/>
        <v>0</v>
      </c>
      <c r="R150" s="113">
        <f t="shared" si="120"/>
        <v>0</v>
      </c>
    </row>
    <row r="151" spans="1:18" ht="17" thickBot="1" x14ac:dyDescent="0.25">
      <c r="A151" s="88"/>
      <c r="B151" s="132" t="s">
        <v>26</v>
      </c>
      <c r="C151" s="76"/>
      <c r="D151" s="76"/>
      <c r="E151" s="54">
        <f t="shared" si="121"/>
        <v>0</v>
      </c>
      <c r="F151" s="89"/>
      <c r="G151" s="55" t="e">
        <f t="shared" si="122"/>
        <v>#DIV/0!</v>
      </c>
      <c r="H151" s="76"/>
      <c r="I151" s="97"/>
      <c r="J151" s="76">
        <f t="shared" si="123"/>
        <v>0</v>
      </c>
      <c r="K151" s="114">
        <f t="shared" si="124"/>
        <v>0</v>
      </c>
      <c r="L151" s="85" t="e">
        <f t="shared" si="125"/>
        <v>#DIV/0!</v>
      </c>
      <c r="M151" s="91"/>
      <c r="N151" s="87">
        <f t="shared" si="126"/>
        <v>0</v>
      </c>
      <c r="R151" s="113">
        <f t="shared" si="120"/>
        <v>0</v>
      </c>
    </row>
    <row r="152" spans="1:18" x14ac:dyDescent="0.2">
      <c r="A152" s="88"/>
      <c r="B152" s="132" t="s">
        <v>26</v>
      </c>
      <c r="C152" s="76"/>
      <c r="D152" s="76"/>
      <c r="E152" s="54">
        <f t="shared" si="121"/>
        <v>0</v>
      </c>
      <c r="F152" s="89"/>
      <c r="G152" s="55" t="e">
        <f t="shared" si="122"/>
        <v>#DIV/0!</v>
      </c>
      <c r="H152" s="76"/>
      <c r="I152" s="97"/>
      <c r="J152" s="76">
        <f t="shared" si="123"/>
        <v>0</v>
      </c>
      <c r="K152" s="114">
        <f t="shared" si="124"/>
        <v>0</v>
      </c>
      <c r="L152" s="85" t="e">
        <f t="shared" si="125"/>
        <v>#DIV/0!</v>
      </c>
      <c r="M152" s="91"/>
      <c r="N152" s="87">
        <f t="shared" si="126"/>
        <v>0</v>
      </c>
      <c r="R152" s="113">
        <f t="shared" si="120"/>
        <v>0</v>
      </c>
    </row>
    <row r="153" spans="1:18" x14ac:dyDescent="0.2">
      <c r="A153" s="88"/>
      <c r="B153" s="132" t="s">
        <v>26</v>
      </c>
      <c r="C153" s="76"/>
      <c r="D153" s="76"/>
      <c r="E153" s="54">
        <f t="shared" si="121"/>
        <v>0</v>
      </c>
      <c r="F153" s="89"/>
      <c r="G153" s="55" t="e">
        <f t="shared" si="122"/>
        <v>#DIV/0!</v>
      </c>
      <c r="H153" s="76"/>
      <c r="I153" s="97"/>
      <c r="J153" s="76">
        <f t="shared" si="123"/>
        <v>0</v>
      </c>
      <c r="K153" s="90"/>
      <c r="L153" s="85" t="e">
        <f t="shared" si="125"/>
        <v>#DIV/0!</v>
      </c>
      <c r="M153" s="91"/>
      <c r="N153" s="87">
        <f t="shared" si="126"/>
        <v>0</v>
      </c>
      <c r="R153" s="113">
        <f t="shared" si="120"/>
        <v>0</v>
      </c>
    </row>
    <row r="154" spans="1:18" x14ac:dyDescent="0.2">
      <c r="A154" s="88"/>
      <c r="B154" s="132" t="s">
        <v>26</v>
      </c>
      <c r="C154" s="76"/>
      <c r="D154" s="76"/>
      <c r="E154" s="54">
        <f t="shared" si="121"/>
        <v>0</v>
      </c>
      <c r="F154" s="89"/>
      <c r="G154" s="55" t="e">
        <f t="shared" si="122"/>
        <v>#DIV/0!</v>
      </c>
      <c r="H154" s="76"/>
      <c r="I154" s="97"/>
      <c r="J154" s="76">
        <f t="shared" si="123"/>
        <v>0</v>
      </c>
      <c r="K154" s="90"/>
      <c r="L154" s="85" t="e">
        <f t="shared" si="125"/>
        <v>#DIV/0!</v>
      </c>
      <c r="M154" s="91"/>
      <c r="N154" s="87">
        <f t="shared" si="126"/>
        <v>0</v>
      </c>
      <c r="R154" s="113">
        <f t="shared" si="120"/>
        <v>0</v>
      </c>
    </row>
    <row r="155" spans="1:18" x14ac:dyDescent="0.2">
      <c r="A155" s="88"/>
      <c r="B155" s="132" t="s">
        <v>26</v>
      </c>
      <c r="C155" s="76"/>
      <c r="D155" s="76"/>
      <c r="E155" s="54">
        <f t="shared" si="121"/>
        <v>0</v>
      </c>
      <c r="F155" s="89"/>
      <c r="G155" s="55" t="e">
        <f t="shared" si="122"/>
        <v>#DIV/0!</v>
      </c>
      <c r="H155" s="76"/>
      <c r="I155" s="97"/>
      <c r="J155" s="76">
        <f t="shared" si="123"/>
        <v>0</v>
      </c>
      <c r="K155" s="90">
        <f t="shared" ref="K155:K156" si="127">F155</f>
        <v>0</v>
      </c>
      <c r="L155" s="85" t="e">
        <f t="shared" si="125"/>
        <v>#DIV/0!</v>
      </c>
      <c r="M155" s="91"/>
      <c r="N155" s="87">
        <f>F155*M155</f>
        <v>0</v>
      </c>
      <c r="R155" s="113">
        <f t="shared" si="120"/>
        <v>0</v>
      </c>
    </row>
    <row r="156" spans="1:18" ht="17" thickBot="1" x14ac:dyDescent="0.25">
      <c r="A156" s="130"/>
      <c r="B156" s="132" t="s">
        <v>26</v>
      </c>
      <c r="C156" s="99"/>
      <c r="D156" s="99"/>
      <c r="E156" s="117">
        <f t="shared" si="121"/>
        <v>0</v>
      </c>
      <c r="F156" s="89"/>
      <c r="G156" s="96" t="e">
        <f t="shared" si="122"/>
        <v>#DIV/0!</v>
      </c>
      <c r="H156" s="99"/>
      <c r="I156" s="111"/>
      <c r="J156" s="99">
        <f t="shared" si="123"/>
        <v>0</v>
      </c>
      <c r="K156" s="90">
        <f t="shared" si="127"/>
        <v>0</v>
      </c>
      <c r="L156" s="100" t="e">
        <f t="shared" si="125"/>
        <v>#DIV/0!</v>
      </c>
      <c r="M156" s="126"/>
      <c r="N156" s="87">
        <f>M156*K156</f>
        <v>0</v>
      </c>
      <c r="R156" s="113">
        <f t="shared" si="120"/>
        <v>0</v>
      </c>
    </row>
    <row r="157" spans="1:18" ht="17" thickBot="1" x14ac:dyDescent="0.25">
      <c r="A157" s="104"/>
      <c r="B157" s="105"/>
      <c r="C157" s="104"/>
      <c r="D157" s="104" t="s">
        <v>17</v>
      </c>
      <c r="E157" s="104">
        <f>SUM(E149:E156)</f>
        <v>0</v>
      </c>
      <c r="F157" s="104"/>
      <c r="G157" s="106" t="e">
        <f>AVERAGE(G149:G156)</f>
        <v>#DIV/0!</v>
      </c>
      <c r="H157" s="104"/>
      <c r="I157" s="107"/>
      <c r="J157" s="104">
        <f t="shared" ref="J157:K157" si="128">SUM(J149:J156)</f>
        <v>0</v>
      </c>
      <c r="K157" s="104">
        <f t="shared" si="128"/>
        <v>0</v>
      </c>
      <c r="L157" s="106" t="e">
        <f>AVERAGE(L149:L156)</f>
        <v>#DIV/0!</v>
      </c>
      <c r="M157" s="108"/>
      <c r="N157" s="174">
        <f>SUM(N149:N156)</f>
        <v>0</v>
      </c>
      <c r="R157" s="113">
        <f t="shared" si="120"/>
        <v>0</v>
      </c>
    </row>
    <row r="158" spans="1:18" x14ac:dyDescent="0.2">
      <c r="A158" s="127"/>
      <c r="B158" s="132" t="s">
        <v>41</v>
      </c>
      <c r="C158" s="124"/>
      <c r="D158" s="53"/>
      <c r="E158" s="110">
        <f t="shared" ref="E158:E165" si="129">D158-C158</f>
        <v>0</v>
      </c>
      <c r="F158" s="77"/>
      <c r="G158" s="55" t="e">
        <f t="shared" ref="G158:G165" si="130">(F158/E158)*100</f>
        <v>#DIV/0!</v>
      </c>
      <c r="H158" s="167"/>
      <c r="I158" s="168"/>
      <c r="J158" s="78">
        <f t="shared" ref="J158:J165" si="131">I158-H158</f>
        <v>0</v>
      </c>
      <c r="K158" s="90">
        <f t="shared" ref="K158:K160" si="132">F158</f>
        <v>0</v>
      </c>
      <c r="L158" s="79" t="e">
        <f t="shared" ref="L158:L165" si="133">(K158/J158)*100</f>
        <v>#DIV/0!</v>
      </c>
      <c r="M158" s="80"/>
      <c r="N158" s="87"/>
      <c r="R158" s="113">
        <f t="shared" si="120"/>
        <v>0</v>
      </c>
    </row>
    <row r="159" spans="1:18" x14ac:dyDescent="0.2">
      <c r="A159" s="88"/>
      <c r="B159" s="83" t="s">
        <v>41</v>
      </c>
      <c r="C159" s="76"/>
      <c r="D159" s="53"/>
      <c r="E159" s="54">
        <f t="shared" si="129"/>
        <v>0</v>
      </c>
      <c r="F159" s="89"/>
      <c r="G159" s="55" t="e">
        <f t="shared" si="130"/>
        <v>#DIV/0!</v>
      </c>
      <c r="H159" s="97"/>
      <c r="I159" s="97"/>
      <c r="J159" s="76">
        <f t="shared" si="131"/>
        <v>0</v>
      </c>
      <c r="K159" s="90">
        <f t="shared" si="132"/>
        <v>0</v>
      </c>
      <c r="L159" s="85" t="e">
        <f t="shared" si="133"/>
        <v>#DIV/0!</v>
      </c>
      <c r="M159" s="91"/>
      <c r="N159" s="87"/>
      <c r="R159" s="113">
        <f t="shared" si="120"/>
        <v>0</v>
      </c>
    </row>
    <row r="160" spans="1:18" x14ac:dyDescent="0.2">
      <c r="A160" s="88"/>
      <c r="B160" s="83" t="s">
        <v>41</v>
      </c>
      <c r="C160" s="76"/>
      <c r="D160" s="76"/>
      <c r="E160" s="54">
        <f t="shared" si="129"/>
        <v>0</v>
      </c>
      <c r="F160" s="89"/>
      <c r="G160" s="55" t="e">
        <f t="shared" si="130"/>
        <v>#DIV/0!</v>
      </c>
      <c r="H160" s="76"/>
      <c r="I160" s="97"/>
      <c r="J160" s="76">
        <f t="shared" si="131"/>
        <v>0</v>
      </c>
      <c r="K160" s="90">
        <f t="shared" si="132"/>
        <v>0</v>
      </c>
      <c r="L160" s="85" t="e">
        <f t="shared" si="133"/>
        <v>#DIV/0!</v>
      </c>
      <c r="M160" s="91"/>
      <c r="N160" s="87"/>
      <c r="R160" s="113">
        <f t="shared" si="120"/>
        <v>0</v>
      </c>
    </row>
    <row r="161" spans="1:18" x14ac:dyDescent="0.2">
      <c r="A161" s="88"/>
      <c r="B161" s="83" t="s">
        <v>41</v>
      </c>
      <c r="C161" s="76"/>
      <c r="D161" s="76"/>
      <c r="E161" s="54">
        <f t="shared" si="129"/>
        <v>0</v>
      </c>
      <c r="F161" s="89"/>
      <c r="G161" s="55" t="e">
        <f t="shared" si="130"/>
        <v>#DIV/0!</v>
      </c>
      <c r="H161" s="76"/>
      <c r="I161" s="97"/>
      <c r="J161" s="76">
        <f t="shared" si="131"/>
        <v>0</v>
      </c>
      <c r="K161" s="90"/>
      <c r="L161" s="85" t="e">
        <f t="shared" si="133"/>
        <v>#DIV/0!</v>
      </c>
      <c r="M161" s="91"/>
      <c r="N161" s="87"/>
      <c r="R161" s="113">
        <f t="shared" si="120"/>
        <v>0</v>
      </c>
    </row>
    <row r="162" spans="1:18" x14ac:dyDescent="0.2">
      <c r="A162" s="88"/>
      <c r="B162" s="83" t="s">
        <v>41</v>
      </c>
      <c r="C162" s="76"/>
      <c r="D162" s="76"/>
      <c r="E162" s="54">
        <f t="shared" si="129"/>
        <v>0</v>
      </c>
      <c r="F162" s="89"/>
      <c r="G162" s="55" t="e">
        <f t="shared" si="130"/>
        <v>#DIV/0!</v>
      </c>
      <c r="H162" s="76"/>
      <c r="I162" s="97"/>
      <c r="J162" s="76">
        <f t="shared" si="131"/>
        <v>0</v>
      </c>
      <c r="K162" s="90"/>
      <c r="L162" s="85" t="e">
        <f t="shared" si="133"/>
        <v>#DIV/0!</v>
      </c>
      <c r="M162" s="91"/>
      <c r="N162" s="87"/>
      <c r="R162" s="113">
        <f t="shared" si="120"/>
        <v>0</v>
      </c>
    </row>
    <row r="163" spans="1:18" x14ac:dyDescent="0.2">
      <c r="A163" s="88"/>
      <c r="B163" s="83" t="s">
        <v>41</v>
      </c>
      <c r="C163" s="76"/>
      <c r="D163" s="76"/>
      <c r="E163" s="54">
        <f t="shared" si="129"/>
        <v>0</v>
      </c>
      <c r="F163" s="89"/>
      <c r="G163" s="55" t="e">
        <f t="shared" si="130"/>
        <v>#DIV/0!</v>
      </c>
      <c r="H163" s="76"/>
      <c r="I163" s="97"/>
      <c r="J163" s="76">
        <f t="shared" si="131"/>
        <v>0</v>
      </c>
      <c r="K163" s="90">
        <f t="shared" ref="K163:K165" si="134">F163</f>
        <v>0</v>
      </c>
      <c r="L163" s="85" t="e">
        <f t="shared" si="133"/>
        <v>#DIV/0!</v>
      </c>
      <c r="M163" s="91"/>
      <c r="N163" s="87">
        <f t="shared" ref="N163:N164" si="135">F163*M163</f>
        <v>0</v>
      </c>
      <c r="R163" s="113">
        <f t="shared" si="120"/>
        <v>0</v>
      </c>
    </row>
    <row r="164" spans="1:18" x14ac:dyDescent="0.2">
      <c r="A164" s="88"/>
      <c r="B164" s="83" t="s">
        <v>41</v>
      </c>
      <c r="C164" s="76"/>
      <c r="D164" s="76"/>
      <c r="E164" s="54">
        <f t="shared" si="129"/>
        <v>0</v>
      </c>
      <c r="F164" s="89"/>
      <c r="G164" s="55" t="e">
        <f t="shared" si="130"/>
        <v>#DIV/0!</v>
      </c>
      <c r="H164" s="76"/>
      <c r="I164" s="97"/>
      <c r="J164" s="76">
        <f t="shared" si="131"/>
        <v>0</v>
      </c>
      <c r="K164" s="90">
        <f t="shared" si="134"/>
        <v>0</v>
      </c>
      <c r="L164" s="85" t="e">
        <f t="shared" si="133"/>
        <v>#DIV/0!</v>
      </c>
      <c r="M164" s="91"/>
      <c r="N164" s="87">
        <f t="shared" si="135"/>
        <v>0</v>
      </c>
      <c r="R164" s="113">
        <f t="shared" si="120"/>
        <v>0</v>
      </c>
    </row>
    <row r="165" spans="1:18" ht="17" thickBot="1" x14ac:dyDescent="0.25">
      <c r="A165" s="130"/>
      <c r="B165" s="83" t="s">
        <v>41</v>
      </c>
      <c r="C165" s="99"/>
      <c r="D165" s="99"/>
      <c r="E165" s="117">
        <f t="shared" si="129"/>
        <v>0</v>
      </c>
      <c r="F165" s="89"/>
      <c r="G165" s="96" t="e">
        <f t="shared" si="130"/>
        <v>#DIV/0!</v>
      </c>
      <c r="H165" s="99"/>
      <c r="I165" s="111"/>
      <c r="J165" s="99">
        <f t="shared" si="131"/>
        <v>0</v>
      </c>
      <c r="K165" s="90">
        <f t="shared" si="134"/>
        <v>0</v>
      </c>
      <c r="L165" s="100" t="e">
        <f t="shared" si="133"/>
        <v>#DIV/0!</v>
      </c>
      <c r="M165" s="91"/>
      <c r="N165" s="87">
        <f>M165*K165</f>
        <v>0</v>
      </c>
      <c r="R165" s="113">
        <f t="shared" si="120"/>
        <v>0</v>
      </c>
    </row>
    <row r="166" spans="1:18" ht="17" thickBot="1" x14ac:dyDescent="0.25">
      <c r="A166" s="104"/>
      <c r="B166" s="105"/>
      <c r="C166" s="104"/>
      <c r="D166" s="104" t="s">
        <v>17</v>
      </c>
      <c r="E166" s="104">
        <f>SUM(E158:E165)</f>
        <v>0</v>
      </c>
      <c r="F166" s="77"/>
      <c r="G166" s="106" t="e">
        <f>AVERAGE(G158:G165)</f>
        <v>#DIV/0!</v>
      </c>
      <c r="H166" s="104"/>
      <c r="I166" s="107"/>
      <c r="J166" s="104">
        <f t="shared" ref="J166:K166" si="136">SUM(J158:J165)</f>
        <v>0</v>
      </c>
      <c r="K166" s="104">
        <f t="shared" si="136"/>
        <v>0</v>
      </c>
      <c r="L166" s="106" t="e">
        <f>AVERAGE(L158:L165)</f>
        <v>#DIV/0!</v>
      </c>
      <c r="M166" s="80"/>
      <c r="N166" s="174">
        <f>SUM(N158:N165)</f>
        <v>0</v>
      </c>
      <c r="R166" s="113">
        <f t="shared" si="120"/>
        <v>0</v>
      </c>
    </row>
    <row r="167" spans="1:18" ht="17" thickBot="1" x14ac:dyDescent="0.25">
      <c r="A167" s="74"/>
      <c r="B167" s="132" t="s">
        <v>27</v>
      </c>
      <c r="C167" s="124"/>
      <c r="D167" s="53"/>
      <c r="E167" s="110">
        <f t="shared" ref="E167:E174" si="137">D167-C167</f>
        <v>0</v>
      </c>
      <c r="F167" s="77"/>
      <c r="G167" s="55" t="e">
        <f t="shared" ref="G167:G174" si="138">(F167/E167)*100</f>
        <v>#DIV/0!</v>
      </c>
      <c r="H167" s="167"/>
      <c r="I167" s="168"/>
      <c r="J167" s="78">
        <f t="shared" ref="J167:J174" si="139">I167-H167</f>
        <v>0</v>
      </c>
      <c r="K167" s="90">
        <f t="shared" ref="K167:K174" si="140">F167</f>
        <v>0</v>
      </c>
      <c r="L167" s="79" t="e">
        <f t="shared" ref="L167:L174" si="141">(K167/J167)*100</f>
        <v>#DIV/0!</v>
      </c>
      <c r="M167" s="80"/>
      <c r="N167" s="87">
        <f t="shared" ref="N167:N170" si="142">F167*M167</f>
        <v>0</v>
      </c>
      <c r="R167" s="113">
        <f t="shared" si="120"/>
        <v>0</v>
      </c>
    </row>
    <row r="168" spans="1:18" x14ac:dyDescent="0.2">
      <c r="A168" s="74"/>
      <c r="B168" s="83" t="s">
        <v>27</v>
      </c>
      <c r="C168" s="76"/>
      <c r="D168" s="53"/>
      <c r="E168" s="54">
        <f t="shared" si="137"/>
        <v>0</v>
      </c>
      <c r="F168" s="89"/>
      <c r="G168" s="55" t="e">
        <f t="shared" si="138"/>
        <v>#DIV/0!</v>
      </c>
      <c r="H168" s="97"/>
      <c r="I168" s="97"/>
      <c r="J168" s="76">
        <f t="shared" si="139"/>
        <v>0</v>
      </c>
      <c r="K168" s="90">
        <f t="shared" si="140"/>
        <v>0</v>
      </c>
      <c r="L168" s="85" t="e">
        <f t="shared" si="141"/>
        <v>#DIV/0!</v>
      </c>
      <c r="M168" s="91"/>
      <c r="N168" s="87">
        <f t="shared" si="142"/>
        <v>0</v>
      </c>
      <c r="R168" s="113">
        <f t="shared" si="120"/>
        <v>0</v>
      </c>
    </row>
    <row r="169" spans="1:18" x14ac:dyDescent="0.2">
      <c r="A169" s="88"/>
      <c r="B169" s="83" t="s">
        <v>27</v>
      </c>
      <c r="C169" s="76"/>
      <c r="D169" s="76"/>
      <c r="E169" s="54">
        <f t="shared" si="137"/>
        <v>0</v>
      </c>
      <c r="F169" s="89"/>
      <c r="G169" s="55" t="e">
        <f t="shared" si="138"/>
        <v>#DIV/0!</v>
      </c>
      <c r="H169" s="76"/>
      <c r="I169" s="97"/>
      <c r="J169" s="76">
        <f t="shared" si="139"/>
        <v>0</v>
      </c>
      <c r="K169" s="90">
        <f t="shared" si="140"/>
        <v>0</v>
      </c>
      <c r="L169" s="85" t="e">
        <f t="shared" si="141"/>
        <v>#DIV/0!</v>
      </c>
      <c r="M169" s="91"/>
      <c r="N169" s="87">
        <f t="shared" si="142"/>
        <v>0</v>
      </c>
      <c r="R169" s="113">
        <f t="shared" si="120"/>
        <v>0</v>
      </c>
    </row>
    <row r="170" spans="1:18" x14ac:dyDescent="0.2">
      <c r="A170" s="88"/>
      <c r="B170" s="83" t="s">
        <v>27</v>
      </c>
      <c r="C170" s="76"/>
      <c r="D170" s="76"/>
      <c r="E170" s="54">
        <f t="shared" si="137"/>
        <v>0</v>
      </c>
      <c r="F170" s="89"/>
      <c r="G170" s="55" t="e">
        <f t="shared" si="138"/>
        <v>#DIV/0!</v>
      </c>
      <c r="H170" s="76"/>
      <c r="I170" s="97"/>
      <c r="J170" s="76">
        <f t="shared" si="139"/>
        <v>0</v>
      </c>
      <c r="K170" s="90">
        <f t="shared" si="140"/>
        <v>0</v>
      </c>
      <c r="L170" s="85" t="e">
        <f t="shared" si="141"/>
        <v>#DIV/0!</v>
      </c>
      <c r="M170" s="91"/>
      <c r="N170" s="87">
        <f t="shared" si="142"/>
        <v>0</v>
      </c>
      <c r="R170" s="113">
        <f t="shared" si="120"/>
        <v>0</v>
      </c>
    </row>
    <row r="171" spans="1:18" x14ac:dyDescent="0.2">
      <c r="A171" s="88"/>
      <c r="B171" s="83" t="s">
        <v>27</v>
      </c>
      <c r="C171" s="76"/>
      <c r="D171" s="76"/>
      <c r="E171" s="54">
        <f t="shared" si="137"/>
        <v>0</v>
      </c>
      <c r="F171" s="89"/>
      <c r="G171" s="55" t="e">
        <f t="shared" si="138"/>
        <v>#DIV/0!</v>
      </c>
      <c r="H171" s="76"/>
      <c r="I171" s="97"/>
      <c r="J171" s="76">
        <f t="shared" si="139"/>
        <v>0</v>
      </c>
      <c r="K171" s="90">
        <f t="shared" si="140"/>
        <v>0</v>
      </c>
      <c r="L171" s="85" t="e">
        <f t="shared" si="141"/>
        <v>#DIV/0!</v>
      </c>
      <c r="M171" s="91"/>
      <c r="N171" s="87"/>
      <c r="R171" s="113">
        <f t="shared" si="120"/>
        <v>0</v>
      </c>
    </row>
    <row r="172" spans="1:18" x14ac:dyDescent="0.2">
      <c r="A172" s="88"/>
      <c r="B172" s="83" t="s">
        <v>27</v>
      </c>
      <c r="C172" s="76"/>
      <c r="D172" s="76"/>
      <c r="E172" s="54">
        <f t="shared" si="137"/>
        <v>0</v>
      </c>
      <c r="F172" s="89"/>
      <c r="G172" s="55" t="e">
        <f t="shared" si="138"/>
        <v>#DIV/0!</v>
      </c>
      <c r="H172" s="76"/>
      <c r="I172" s="97"/>
      <c r="J172" s="76">
        <f t="shared" si="139"/>
        <v>0</v>
      </c>
      <c r="K172" s="90">
        <f t="shared" si="140"/>
        <v>0</v>
      </c>
      <c r="L172" s="85" t="e">
        <f t="shared" si="141"/>
        <v>#DIV/0!</v>
      </c>
      <c r="M172" s="91"/>
      <c r="N172" s="87">
        <f t="shared" ref="N172:N173" si="143">F172*M172</f>
        <v>0</v>
      </c>
      <c r="R172" s="113">
        <f t="shared" si="120"/>
        <v>0</v>
      </c>
    </row>
    <row r="173" spans="1:18" ht="17" thickBot="1" x14ac:dyDescent="0.25">
      <c r="A173" s="88"/>
      <c r="B173" s="83" t="s">
        <v>27</v>
      </c>
      <c r="C173" s="76"/>
      <c r="D173" s="76"/>
      <c r="E173" s="54">
        <f t="shared" si="137"/>
        <v>0</v>
      </c>
      <c r="F173" s="89"/>
      <c r="G173" s="55" t="e">
        <f t="shared" si="138"/>
        <v>#DIV/0!</v>
      </c>
      <c r="H173" s="76"/>
      <c r="I173" s="97"/>
      <c r="J173" s="76">
        <f t="shared" si="139"/>
        <v>0</v>
      </c>
      <c r="K173" s="90">
        <f t="shared" si="140"/>
        <v>0</v>
      </c>
      <c r="L173" s="100" t="e">
        <f t="shared" si="141"/>
        <v>#DIV/0!</v>
      </c>
      <c r="M173" s="91"/>
      <c r="N173" s="87">
        <f t="shared" si="143"/>
        <v>0</v>
      </c>
      <c r="R173" s="113">
        <f t="shared" si="120"/>
        <v>0</v>
      </c>
    </row>
    <row r="174" spans="1:18" ht="17" thickBot="1" x14ac:dyDescent="0.25">
      <c r="A174" s="175"/>
      <c r="B174" s="83" t="s">
        <v>27</v>
      </c>
      <c r="C174" s="176"/>
      <c r="D174" s="176"/>
      <c r="E174" s="117">
        <f t="shared" si="137"/>
        <v>0</v>
      </c>
      <c r="F174" s="77"/>
      <c r="G174" s="96" t="e">
        <f t="shared" si="138"/>
        <v>#DIV/0!</v>
      </c>
      <c r="H174" s="176"/>
      <c r="I174" s="177"/>
      <c r="J174" s="176">
        <f t="shared" si="139"/>
        <v>0</v>
      </c>
      <c r="K174" s="90">
        <f t="shared" si="140"/>
        <v>0</v>
      </c>
      <c r="L174" s="178" t="e">
        <f t="shared" si="141"/>
        <v>#DIV/0!</v>
      </c>
      <c r="M174" s="179"/>
      <c r="N174" s="87">
        <f>M174*K174</f>
        <v>0</v>
      </c>
      <c r="R174" s="113">
        <f t="shared" si="120"/>
        <v>0</v>
      </c>
    </row>
    <row r="175" spans="1:18" ht="17" thickBot="1" x14ac:dyDescent="0.25">
      <c r="A175" s="104"/>
      <c r="B175" s="105"/>
      <c r="C175" s="104"/>
      <c r="D175" s="104" t="s">
        <v>17</v>
      </c>
      <c r="E175" s="104">
        <f>SUM(E167:E174)</f>
        <v>0</v>
      </c>
      <c r="F175" s="104"/>
      <c r="G175" s="106" t="e">
        <f>AVERAGE(G167:G174)</f>
        <v>#DIV/0!</v>
      </c>
      <c r="H175" s="104"/>
      <c r="I175" s="107"/>
      <c r="J175" s="104">
        <f t="shared" ref="J175:K175" si="144">SUM(J167:J174)</f>
        <v>0</v>
      </c>
      <c r="K175" s="104">
        <f t="shared" si="144"/>
        <v>0</v>
      </c>
      <c r="L175" s="106" t="e">
        <f>AVERAGE(L167:L174)</f>
        <v>#DIV/0!</v>
      </c>
      <c r="M175" s="108"/>
      <c r="N175" s="109">
        <f>SUM(N167:N174)</f>
        <v>0</v>
      </c>
      <c r="R175" s="113">
        <f t="shared" si="120"/>
        <v>0</v>
      </c>
    </row>
    <row r="176" spans="1:18" ht="17" thickBot="1" x14ac:dyDescent="0.25">
      <c r="A176" s="82"/>
      <c r="B176" s="132" t="s">
        <v>42</v>
      </c>
      <c r="C176" s="124"/>
      <c r="D176" s="53"/>
      <c r="E176" s="54">
        <f t="shared" ref="E176:E183" si="145">D176-C176</f>
        <v>0</v>
      </c>
      <c r="F176" s="77"/>
      <c r="G176" s="55" t="e">
        <f t="shared" ref="G176:G183" si="146">(F176/E176)*100</f>
        <v>#DIV/0!</v>
      </c>
      <c r="H176" s="167"/>
      <c r="I176" s="168"/>
      <c r="J176" s="78">
        <f t="shared" ref="J176:J183" si="147">I176-H176</f>
        <v>0</v>
      </c>
      <c r="K176" s="90">
        <f t="shared" ref="K176:K183" si="148">F176</f>
        <v>0</v>
      </c>
      <c r="L176" s="79" t="e">
        <f t="shared" ref="L176:L183" si="149">(K176/J176)*100</f>
        <v>#DIV/0!</v>
      </c>
      <c r="M176" s="80"/>
      <c r="N176" s="87">
        <f t="shared" ref="N176:N180" si="150">F176*M176</f>
        <v>0</v>
      </c>
    </row>
    <row r="177" spans="1:14" ht="17" thickBot="1" x14ac:dyDescent="0.25">
      <c r="A177" s="88"/>
      <c r="B177" s="132" t="s">
        <v>42</v>
      </c>
      <c r="C177" s="76"/>
      <c r="D177" s="53"/>
      <c r="E177" s="54">
        <f t="shared" si="145"/>
        <v>0</v>
      </c>
      <c r="F177" s="89"/>
      <c r="G177" s="55" t="e">
        <f t="shared" si="146"/>
        <v>#DIV/0!</v>
      </c>
      <c r="H177" s="97"/>
      <c r="I177" s="97"/>
      <c r="J177" s="76">
        <f t="shared" si="147"/>
        <v>0</v>
      </c>
      <c r="K177" s="90">
        <f t="shared" si="148"/>
        <v>0</v>
      </c>
      <c r="L177" s="85" t="e">
        <f t="shared" si="149"/>
        <v>#DIV/0!</v>
      </c>
      <c r="M177" s="80"/>
      <c r="N177" s="87">
        <f t="shared" si="150"/>
        <v>0</v>
      </c>
    </row>
    <row r="178" spans="1:14" ht="17" thickBot="1" x14ac:dyDescent="0.25">
      <c r="A178" s="88"/>
      <c r="B178" s="132" t="s">
        <v>42</v>
      </c>
      <c r="C178" s="76"/>
      <c r="D178" s="76"/>
      <c r="E178" s="54">
        <f t="shared" si="145"/>
        <v>0</v>
      </c>
      <c r="F178" s="89"/>
      <c r="G178" s="55" t="e">
        <f t="shared" si="146"/>
        <v>#DIV/0!</v>
      </c>
      <c r="H178" s="76"/>
      <c r="I178" s="97"/>
      <c r="J178" s="76">
        <f t="shared" si="147"/>
        <v>0</v>
      </c>
      <c r="K178" s="90">
        <f t="shared" si="148"/>
        <v>0</v>
      </c>
      <c r="L178" s="85" t="e">
        <f t="shared" si="149"/>
        <v>#DIV/0!</v>
      </c>
      <c r="M178" s="80"/>
      <c r="N178" s="87">
        <f t="shared" si="150"/>
        <v>0</v>
      </c>
    </row>
    <row r="179" spans="1:14" ht="17" thickBot="1" x14ac:dyDescent="0.25">
      <c r="A179" s="88"/>
      <c r="B179" s="132" t="s">
        <v>42</v>
      </c>
      <c r="C179" s="76"/>
      <c r="D179" s="76"/>
      <c r="E179" s="54">
        <f t="shared" si="145"/>
        <v>0</v>
      </c>
      <c r="F179" s="89"/>
      <c r="G179" s="55" t="e">
        <f t="shared" si="146"/>
        <v>#DIV/0!</v>
      </c>
      <c r="H179" s="76"/>
      <c r="I179" s="97"/>
      <c r="J179" s="76">
        <f t="shared" si="147"/>
        <v>0</v>
      </c>
      <c r="K179" s="90">
        <f t="shared" si="148"/>
        <v>0</v>
      </c>
      <c r="L179" s="85" t="e">
        <f t="shared" si="149"/>
        <v>#DIV/0!</v>
      </c>
      <c r="M179" s="80"/>
      <c r="N179" s="87">
        <f t="shared" si="150"/>
        <v>0</v>
      </c>
    </row>
    <row r="180" spans="1:14" ht="17" thickBot="1" x14ac:dyDescent="0.25">
      <c r="A180" s="88"/>
      <c r="B180" s="132" t="s">
        <v>42</v>
      </c>
      <c r="C180" s="76"/>
      <c r="D180" s="76"/>
      <c r="E180" s="54">
        <f t="shared" si="145"/>
        <v>0</v>
      </c>
      <c r="F180" s="89"/>
      <c r="G180" s="55" t="e">
        <f t="shared" si="146"/>
        <v>#DIV/0!</v>
      </c>
      <c r="H180" s="76"/>
      <c r="I180" s="97"/>
      <c r="J180" s="76">
        <f t="shared" si="147"/>
        <v>0</v>
      </c>
      <c r="K180" s="90">
        <f t="shared" si="148"/>
        <v>0</v>
      </c>
      <c r="L180" s="85" t="e">
        <f t="shared" si="149"/>
        <v>#DIV/0!</v>
      </c>
      <c r="M180" s="80"/>
      <c r="N180" s="87">
        <f t="shared" si="150"/>
        <v>0</v>
      </c>
    </row>
    <row r="181" spans="1:14" x14ac:dyDescent="0.2">
      <c r="A181" s="88"/>
      <c r="B181" s="132" t="s">
        <v>42</v>
      </c>
      <c r="C181" s="76"/>
      <c r="D181" s="76"/>
      <c r="E181" s="54">
        <f t="shared" si="145"/>
        <v>0</v>
      </c>
      <c r="F181" s="89"/>
      <c r="G181" s="55" t="e">
        <f t="shared" si="146"/>
        <v>#DIV/0!</v>
      </c>
      <c r="H181" s="76"/>
      <c r="I181" s="97"/>
      <c r="J181" s="76">
        <f t="shared" si="147"/>
        <v>0</v>
      </c>
      <c r="K181" s="90">
        <f t="shared" si="148"/>
        <v>0</v>
      </c>
      <c r="L181" s="85" t="e">
        <f t="shared" si="149"/>
        <v>#DIV/0!</v>
      </c>
      <c r="M181" s="80"/>
      <c r="N181" s="163">
        <f t="shared" ref="N181:N183" si="151">M181*K181</f>
        <v>0</v>
      </c>
    </row>
    <row r="182" spans="1:14" x14ac:dyDescent="0.2">
      <c r="A182" s="88"/>
      <c r="B182" s="132" t="s">
        <v>42</v>
      </c>
      <c r="C182" s="76"/>
      <c r="D182" s="76"/>
      <c r="E182" s="54">
        <f t="shared" si="145"/>
        <v>0</v>
      </c>
      <c r="F182" s="89"/>
      <c r="G182" s="55" t="e">
        <f t="shared" si="146"/>
        <v>#DIV/0!</v>
      </c>
      <c r="H182" s="76"/>
      <c r="I182" s="97"/>
      <c r="J182" s="76">
        <f t="shared" si="147"/>
        <v>0</v>
      </c>
      <c r="K182" s="90">
        <f t="shared" si="148"/>
        <v>0</v>
      </c>
      <c r="L182" s="85" t="e">
        <f t="shared" si="149"/>
        <v>#DIV/0!</v>
      </c>
      <c r="M182" s="91"/>
      <c r="N182" s="163">
        <f t="shared" si="151"/>
        <v>0</v>
      </c>
    </row>
    <row r="183" spans="1:14" ht="17" thickBot="1" x14ac:dyDescent="0.25">
      <c r="A183" s="130"/>
      <c r="B183" s="132" t="s">
        <v>42</v>
      </c>
      <c r="C183" s="99"/>
      <c r="D183" s="99"/>
      <c r="E183" s="117">
        <f t="shared" si="145"/>
        <v>0</v>
      </c>
      <c r="F183" s="89"/>
      <c r="G183" s="96" t="e">
        <f t="shared" si="146"/>
        <v>#DIV/0!</v>
      </c>
      <c r="H183" s="99"/>
      <c r="I183" s="111"/>
      <c r="J183" s="99">
        <f t="shared" si="147"/>
        <v>0</v>
      </c>
      <c r="K183" s="90">
        <f t="shared" si="148"/>
        <v>0</v>
      </c>
      <c r="L183" s="100" t="e">
        <f t="shared" si="149"/>
        <v>#DIV/0!</v>
      </c>
      <c r="M183" s="126"/>
      <c r="N183" s="87">
        <f t="shared" si="151"/>
        <v>0</v>
      </c>
    </row>
    <row r="184" spans="1:14" ht="17" thickBot="1" x14ac:dyDescent="0.25">
      <c r="A184" s="104"/>
      <c r="B184" s="105"/>
      <c r="C184" s="104"/>
      <c r="D184" s="104" t="s">
        <v>17</v>
      </c>
      <c r="E184" s="104">
        <f>SUM(E176:E183)</f>
        <v>0</v>
      </c>
      <c r="F184" s="104"/>
      <c r="G184" s="106" t="e">
        <f>AVERAGE(G176:G183)</f>
        <v>#DIV/0!</v>
      </c>
      <c r="H184" s="104"/>
      <c r="I184" s="107"/>
      <c r="J184" s="104">
        <f t="shared" ref="J184:K184" si="152">SUM(J176:J183)</f>
        <v>0</v>
      </c>
      <c r="K184" s="104">
        <f t="shared" si="152"/>
        <v>0</v>
      </c>
      <c r="L184" s="106" t="e">
        <f>AVERAGE(L176:L183)</f>
        <v>#DIV/0!</v>
      </c>
      <c r="M184" s="108"/>
      <c r="N184" s="109">
        <f>SUM(N176:N183)</f>
        <v>0</v>
      </c>
    </row>
    <row r="185" spans="1:14" x14ac:dyDescent="0.2">
      <c r="A185" s="180"/>
      <c r="B185" s="181" t="s">
        <v>29</v>
      </c>
      <c r="C185" s="124"/>
      <c r="D185" s="53"/>
      <c r="E185" s="110">
        <f t="shared" ref="E185:E192" si="153">D185-C185</f>
        <v>0</v>
      </c>
      <c r="F185" s="77"/>
      <c r="G185" s="55" t="e">
        <f t="shared" ref="G185:G192" si="154">(F185/E185)*100</f>
        <v>#DIV/0!</v>
      </c>
      <c r="H185" s="167"/>
      <c r="I185" s="168"/>
      <c r="J185" s="78">
        <f t="shared" ref="J185:J192" si="155">I185-H185</f>
        <v>0</v>
      </c>
      <c r="K185" s="90">
        <f t="shared" ref="K185:K192" si="156">F185</f>
        <v>0</v>
      </c>
      <c r="L185" s="178" t="e">
        <f t="shared" ref="L185:L192" si="157">(K185/J185)*100</f>
        <v>#DIV/0!</v>
      </c>
      <c r="M185" s="80"/>
      <c r="N185" s="163">
        <f t="shared" ref="N185:N192" si="158">M185*K185</f>
        <v>0</v>
      </c>
    </row>
    <row r="186" spans="1:14" x14ac:dyDescent="0.2">
      <c r="A186" s="82"/>
      <c r="B186" s="181" t="s">
        <v>29</v>
      </c>
      <c r="C186" s="124"/>
      <c r="D186" s="53"/>
      <c r="E186" s="110">
        <f t="shared" si="153"/>
        <v>0</v>
      </c>
      <c r="F186" s="89"/>
      <c r="G186" s="55" t="e">
        <f t="shared" si="154"/>
        <v>#DIV/0!</v>
      </c>
      <c r="H186" s="97"/>
      <c r="I186" s="97"/>
      <c r="J186" s="76">
        <f t="shared" si="155"/>
        <v>0</v>
      </c>
      <c r="K186" s="90">
        <f t="shared" si="156"/>
        <v>0</v>
      </c>
      <c r="L186" s="178" t="e">
        <f t="shared" si="157"/>
        <v>#DIV/0!</v>
      </c>
      <c r="M186" s="86"/>
      <c r="N186" s="163">
        <f t="shared" si="158"/>
        <v>0</v>
      </c>
    </row>
    <row r="187" spans="1:14" x14ac:dyDescent="0.2">
      <c r="A187" s="82"/>
      <c r="B187" s="181" t="s">
        <v>29</v>
      </c>
      <c r="C187" s="124"/>
      <c r="D187" s="124"/>
      <c r="E187" s="54">
        <f t="shared" si="153"/>
        <v>0</v>
      </c>
      <c r="F187" s="84"/>
      <c r="G187" s="55" t="e">
        <f t="shared" si="154"/>
        <v>#DIV/0!</v>
      </c>
      <c r="H187" s="76"/>
      <c r="I187" s="97"/>
      <c r="J187" s="76">
        <f t="shared" si="155"/>
        <v>0</v>
      </c>
      <c r="K187" s="90">
        <f t="shared" si="156"/>
        <v>0</v>
      </c>
      <c r="L187" s="178" t="e">
        <f t="shared" si="157"/>
        <v>#DIV/0!</v>
      </c>
      <c r="M187" s="86"/>
      <c r="N187" s="163">
        <f t="shared" si="158"/>
        <v>0</v>
      </c>
    </row>
    <row r="188" spans="1:14" x14ac:dyDescent="0.2">
      <c r="A188" s="82"/>
      <c r="B188" s="181" t="s">
        <v>29</v>
      </c>
      <c r="C188" s="124"/>
      <c r="D188" s="124"/>
      <c r="E188" s="54">
        <f t="shared" si="153"/>
        <v>0</v>
      </c>
      <c r="F188" s="84"/>
      <c r="G188" s="55" t="e">
        <f t="shared" si="154"/>
        <v>#DIV/0!</v>
      </c>
      <c r="H188" s="76"/>
      <c r="I188" s="97"/>
      <c r="J188" s="76">
        <f t="shared" si="155"/>
        <v>0</v>
      </c>
      <c r="K188" s="90">
        <f t="shared" si="156"/>
        <v>0</v>
      </c>
      <c r="L188" s="178" t="e">
        <f t="shared" si="157"/>
        <v>#DIV/0!</v>
      </c>
      <c r="M188" s="86"/>
      <c r="N188" s="163">
        <f t="shared" si="158"/>
        <v>0</v>
      </c>
    </row>
    <row r="189" spans="1:14" x14ac:dyDescent="0.2">
      <c r="A189" s="82"/>
      <c r="B189" s="181" t="s">
        <v>29</v>
      </c>
      <c r="C189" s="124"/>
      <c r="D189" s="124"/>
      <c r="E189" s="54">
        <f t="shared" si="153"/>
        <v>0</v>
      </c>
      <c r="F189" s="84"/>
      <c r="G189" s="55" t="e">
        <f t="shared" si="154"/>
        <v>#DIV/0!</v>
      </c>
      <c r="H189" s="76"/>
      <c r="I189" s="97"/>
      <c r="J189" s="76">
        <f t="shared" si="155"/>
        <v>0</v>
      </c>
      <c r="K189" s="90">
        <f t="shared" si="156"/>
        <v>0</v>
      </c>
      <c r="L189" s="178" t="e">
        <f t="shared" si="157"/>
        <v>#DIV/0!</v>
      </c>
      <c r="M189" s="86"/>
      <c r="N189" s="163">
        <f t="shared" si="158"/>
        <v>0</v>
      </c>
    </row>
    <row r="190" spans="1:14" x14ac:dyDescent="0.2">
      <c r="A190" s="82"/>
      <c r="B190" s="181" t="s">
        <v>29</v>
      </c>
      <c r="C190" s="124"/>
      <c r="D190" s="124"/>
      <c r="E190" s="54">
        <f t="shared" si="153"/>
        <v>0</v>
      </c>
      <c r="F190" s="84"/>
      <c r="G190" s="55" t="e">
        <f t="shared" si="154"/>
        <v>#DIV/0!</v>
      </c>
      <c r="H190" s="76"/>
      <c r="I190" s="97"/>
      <c r="J190" s="76">
        <f t="shared" si="155"/>
        <v>0</v>
      </c>
      <c r="K190" s="90">
        <f t="shared" si="156"/>
        <v>0</v>
      </c>
      <c r="L190" s="178" t="e">
        <f t="shared" si="157"/>
        <v>#DIV/0!</v>
      </c>
      <c r="M190" s="86"/>
      <c r="N190" s="163">
        <f t="shared" si="158"/>
        <v>0</v>
      </c>
    </row>
    <row r="191" spans="1:14" x14ac:dyDescent="0.2">
      <c r="A191" s="82"/>
      <c r="B191" s="181" t="s">
        <v>29</v>
      </c>
      <c r="C191" s="124"/>
      <c r="D191" s="124"/>
      <c r="E191" s="54">
        <f t="shared" si="153"/>
        <v>0</v>
      </c>
      <c r="F191" s="84"/>
      <c r="G191" s="55" t="e">
        <f t="shared" si="154"/>
        <v>#DIV/0!</v>
      </c>
      <c r="H191" s="124"/>
      <c r="I191" s="167"/>
      <c r="J191" s="124">
        <f t="shared" si="155"/>
        <v>0</v>
      </c>
      <c r="K191" s="90">
        <f t="shared" si="156"/>
        <v>0</v>
      </c>
      <c r="L191" s="178" t="e">
        <f t="shared" si="157"/>
        <v>#DIV/0!</v>
      </c>
      <c r="M191" s="86"/>
      <c r="N191" s="163">
        <f t="shared" si="158"/>
        <v>0</v>
      </c>
    </row>
    <row r="192" spans="1:14" ht="17" thickBot="1" x14ac:dyDescent="0.25">
      <c r="A192" s="182"/>
      <c r="B192" s="181" t="s">
        <v>29</v>
      </c>
      <c r="C192" s="176"/>
      <c r="D192" s="176"/>
      <c r="E192" s="117">
        <f t="shared" si="153"/>
        <v>0</v>
      </c>
      <c r="F192" s="183"/>
      <c r="G192" s="96" t="e">
        <f t="shared" si="154"/>
        <v>#DIV/0!</v>
      </c>
      <c r="H192" s="176"/>
      <c r="I192" s="177"/>
      <c r="J192" s="176">
        <f t="shared" si="155"/>
        <v>0</v>
      </c>
      <c r="K192" s="90">
        <f t="shared" si="156"/>
        <v>0</v>
      </c>
      <c r="L192" s="178" t="e">
        <f t="shared" si="157"/>
        <v>#DIV/0!</v>
      </c>
      <c r="M192" s="179"/>
      <c r="N192" s="87">
        <f t="shared" si="158"/>
        <v>0</v>
      </c>
    </row>
    <row r="193" spans="1:18" ht="17" thickBot="1" x14ac:dyDescent="0.25">
      <c r="A193" s="182"/>
      <c r="B193" s="105"/>
      <c r="C193" s="104"/>
      <c r="D193" s="104" t="s">
        <v>17</v>
      </c>
      <c r="E193" s="104">
        <f>SUM(E185:E192)</f>
        <v>0</v>
      </c>
      <c r="F193" s="104"/>
      <c r="G193" s="106" t="e">
        <f>AVERAGE(G185:G192)</f>
        <v>#DIV/0!</v>
      </c>
      <c r="H193" s="104"/>
      <c r="I193" s="107"/>
      <c r="J193" s="104">
        <f t="shared" ref="J193:K193" si="159">SUM(J185:J192)</f>
        <v>0</v>
      </c>
      <c r="K193" s="104">
        <f t="shared" si="159"/>
        <v>0</v>
      </c>
      <c r="L193" s="106" t="e">
        <f>AVERAGE(L185:L192)</f>
        <v>#DIV/0!</v>
      </c>
      <c r="M193" s="108"/>
      <c r="N193" s="109">
        <f>SUM(N185:N192)</f>
        <v>0</v>
      </c>
    </row>
    <row r="194" spans="1:18" x14ac:dyDescent="0.2">
      <c r="A194" s="180"/>
      <c r="B194" s="184" t="s">
        <v>30</v>
      </c>
      <c r="C194" s="124"/>
      <c r="D194" s="185"/>
      <c r="E194" s="110">
        <f t="shared" ref="E194:E200" si="160">D194-C194</f>
        <v>0</v>
      </c>
      <c r="F194" s="77"/>
      <c r="G194" s="155" t="e">
        <f t="shared" ref="G194:G200" si="161">(F194/E194)*100</f>
        <v>#DIV/0!</v>
      </c>
      <c r="H194" s="167"/>
      <c r="I194" s="168"/>
      <c r="J194" s="78">
        <f t="shared" ref="J194:J200" si="162">I194-H194</f>
        <v>0</v>
      </c>
      <c r="K194" s="90">
        <f t="shared" ref="K194:K200" si="163">F194</f>
        <v>0</v>
      </c>
      <c r="L194" s="186" t="e">
        <f t="shared" ref="L194:L200" si="164">(K194/J194)*100</f>
        <v>#DIV/0!</v>
      </c>
      <c r="M194" s="80"/>
      <c r="N194" s="87">
        <f t="shared" ref="N194:N196" si="165">F194*M194</f>
        <v>0</v>
      </c>
      <c r="R194" s="113">
        <f t="shared" ref="R194:R200" si="166">Q194</f>
        <v>0</v>
      </c>
    </row>
    <row r="195" spans="1:18" x14ac:dyDescent="0.2">
      <c r="A195" s="82"/>
      <c r="B195" s="181" t="s">
        <v>30</v>
      </c>
      <c r="C195" s="124"/>
      <c r="D195" s="53"/>
      <c r="E195" s="110">
        <f t="shared" si="160"/>
        <v>0</v>
      </c>
      <c r="F195" s="89"/>
      <c r="G195" s="55" t="e">
        <f t="shared" si="161"/>
        <v>#DIV/0!</v>
      </c>
      <c r="H195" s="97"/>
      <c r="I195" s="97"/>
      <c r="J195" s="76">
        <f t="shared" si="162"/>
        <v>0</v>
      </c>
      <c r="K195" s="90">
        <f t="shared" si="163"/>
        <v>0</v>
      </c>
      <c r="L195" s="178" t="e">
        <f t="shared" si="164"/>
        <v>#DIV/0!</v>
      </c>
      <c r="M195" s="86"/>
      <c r="N195" s="87">
        <f t="shared" si="165"/>
        <v>0</v>
      </c>
      <c r="R195" s="113">
        <f t="shared" si="166"/>
        <v>0</v>
      </c>
    </row>
    <row r="196" spans="1:18" x14ac:dyDescent="0.2">
      <c r="A196" s="82"/>
      <c r="B196" s="181" t="s">
        <v>30</v>
      </c>
      <c r="C196" s="124"/>
      <c r="D196" s="124"/>
      <c r="E196" s="54">
        <f t="shared" si="160"/>
        <v>0</v>
      </c>
      <c r="F196" s="84"/>
      <c r="G196" s="55" t="e">
        <f t="shared" si="161"/>
        <v>#DIV/0!</v>
      </c>
      <c r="H196" s="76"/>
      <c r="I196" s="97"/>
      <c r="J196" s="76">
        <f t="shared" si="162"/>
        <v>0</v>
      </c>
      <c r="K196" s="90">
        <f t="shared" si="163"/>
        <v>0</v>
      </c>
      <c r="L196" s="178" t="e">
        <f t="shared" si="164"/>
        <v>#DIV/0!</v>
      </c>
      <c r="M196" s="86"/>
      <c r="N196" s="87">
        <f t="shared" si="165"/>
        <v>0</v>
      </c>
      <c r="R196" s="113">
        <f t="shared" si="166"/>
        <v>0</v>
      </c>
    </row>
    <row r="197" spans="1:18" x14ac:dyDescent="0.2">
      <c r="A197" s="82"/>
      <c r="B197" s="181" t="s">
        <v>30</v>
      </c>
      <c r="C197" s="124"/>
      <c r="D197" s="124"/>
      <c r="E197" s="54">
        <f t="shared" si="160"/>
        <v>0</v>
      </c>
      <c r="F197" s="84"/>
      <c r="G197" s="55" t="e">
        <f t="shared" si="161"/>
        <v>#DIV/0!</v>
      </c>
      <c r="H197" s="76"/>
      <c r="I197" s="97"/>
      <c r="J197" s="76">
        <f t="shared" si="162"/>
        <v>0</v>
      </c>
      <c r="K197" s="90">
        <f t="shared" si="163"/>
        <v>0</v>
      </c>
      <c r="L197" s="178" t="e">
        <f t="shared" si="164"/>
        <v>#DIV/0!</v>
      </c>
      <c r="M197" s="86"/>
      <c r="N197" s="163"/>
      <c r="R197" s="113">
        <f t="shared" si="166"/>
        <v>0</v>
      </c>
    </row>
    <row r="198" spans="1:18" x14ac:dyDescent="0.2">
      <c r="A198" s="82"/>
      <c r="B198" s="181" t="s">
        <v>30</v>
      </c>
      <c r="C198" s="124"/>
      <c r="D198" s="124"/>
      <c r="E198" s="54">
        <f t="shared" si="160"/>
        <v>0</v>
      </c>
      <c r="F198" s="84"/>
      <c r="G198" s="55" t="e">
        <f t="shared" si="161"/>
        <v>#DIV/0!</v>
      </c>
      <c r="H198" s="76"/>
      <c r="I198" s="97"/>
      <c r="J198" s="76">
        <f t="shared" si="162"/>
        <v>0</v>
      </c>
      <c r="K198" s="90">
        <f t="shared" si="163"/>
        <v>0</v>
      </c>
      <c r="L198" s="178" t="e">
        <f t="shared" si="164"/>
        <v>#DIV/0!</v>
      </c>
      <c r="M198" s="86"/>
      <c r="N198" s="163">
        <f t="shared" ref="N198:N200" si="167">M198*K198</f>
        <v>0</v>
      </c>
      <c r="R198" s="113">
        <f t="shared" si="166"/>
        <v>0</v>
      </c>
    </row>
    <row r="199" spans="1:18" x14ac:dyDescent="0.2">
      <c r="A199" s="82"/>
      <c r="B199" s="181" t="s">
        <v>30</v>
      </c>
      <c r="C199" s="124"/>
      <c r="D199" s="124"/>
      <c r="E199" s="54">
        <f t="shared" si="160"/>
        <v>0</v>
      </c>
      <c r="F199" s="84"/>
      <c r="G199" s="55" t="e">
        <f t="shared" si="161"/>
        <v>#DIV/0!</v>
      </c>
      <c r="H199" s="76"/>
      <c r="I199" s="97"/>
      <c r="J199" s="76">
        <f t="shared" si="162"/>
        <v>0</v>
      </c>
      <c r="K199" s="90">
        <f t="shared" si="163"/>
        <v>0</v>
      </c>
      <c r="L199" s="178" t="e">
        <f t="shared" si="164"/>
        <v>#DIV/0!</v>
      </c>
      <c r="M199" s="86"/>
      <c r="N199" s="163">
        <f t="shared" si="167"/>
        <v>0</v>
      </c>
      <c r="R199" s="113">
        <f t="shared" si="166"/>
        <v>0</v>
      </c>
    </row>
    <row r="200" spans="1:18" ht="17" thickBot="1" x14ac:dyDescent="0.25">
      <c r="A200" s="82"/>
      <c r="B200" s="181" t="s">
        <v>30</v>
      </c>
      <c r="C200" s="124"/>
      <c r="D200" s="124"/>
      <c r="E200" s="54">
        <f t="shared" si="160"/>
        <v>0</v>
      </c>
      <c r="F200" s="84"/>
      <c r="G200" s="55" t="e">
        <f t="shared" si="161"/>
        <v>#DIV/0!</v>
      </c>
      <c r="H200" s="124"/>
      <c r="I200" s="167"/>
      <c r="J200" s="124">
        <f t="shared" si="162"/>
        <v>0</v>
      </c>
      <c r="K200" s="90">
        <f t="shared" si="163"/>
        <v>0</v>
      </c>
      <c r="L200" s="178" t="e">
        <f t="shared" si="164"/>
        <v>#DIV/0!</v>
      </c>
      <c r="M200" s="86"/>
      <c r="N200" s="163">
        <f t="shared" si="167"/>
        <v>0</v>
      </c>
      <c r="R200" s="113">
        <f t="shared" si="166"/>
        <v>0</v>
      </c>
    </row>
    <row r="201" spans="1:18" ht="17" thickBot="1" x14ac:dyDescent="0.25">
      <c r="A201" s="82"/>
      <c r="B201" s="105"/>
      <c r="C201" s="104"/>
      <c r="D201" s="104" t="s">
        <v>17</v>
      </c>
      <c r="E201" s="104">
        <f>SUM(E188:E200)</f>
        <v>0</v>
      </c>
      <c r="F201" s="104"/>
      <c r="G201" s="106" t="e">
        <f>AVERAGE(G188:G200)</f>
        <v>#DIV/0!</v>
      </c>
      <c r="H201" s="104"/>
      <c r="I201" s="107"/>
      <c r="J201" s="104">
        <f>SUM(J188:J200)</f>
        <v>0</v>
      </c>
      <c r="K201" s="104">
        <f>SUM(K194:K200)</f>
        <v>0</v>
      </c>
      <c r="L201" s="106" t="e">
        <f>AVERAGE(L188:L200)</f>
        <v>#DIV/0!</v>
      </c>
      <c r="M201" s="108"/>
      <c r="N201" s="174">
        <f>SUM(N194:N200)</f>
        <v>0</v>
      </c>
    </row>
    <row r="202" spans="1:18" x14ac:dyDescent="0.2">
      <c r="A202" s="180"/>
      <c r="B202" s="181" t="s">
        <v>31</v>
      </c>
      <c r="C202" s="124"/>
      <c r="D202" s="185"/>
      <c r="E202" s="110">
        <f t="shared" ref="E202:E208" si="168">D202-C202</f>
        <v>0</v>
      </c>
      <c r="F202" s="77"/>
      <c r="G202" s="155" t="e">
        <f t="shared" ref="G202:G208" si="169">(F202/E202)*100</f>
        <v>#DIV/0!</v>
      </c>
      <c r="H202" s="167"/>
      <c r="I202" s="168"/>
      <c r="J202" s="78">
        <f t="shared" ref="J202:J208" si="170">I202-H202</f>
        <v>0</v>
      </c>
      <c r="K202" s="90">
        <f t="shared" ref="K202:K208" si="171">F202</f>
        <v>0</v>
      </c>
      <c r="L202" s="186" t="e">
        <f t="shared" ref="L202:L208" si="172">(K202/J202)*100</f>
        <v>#DIV/0!</v>
      </c>
      <c r="M202" s="80"/>
      <c r="N202" s="163">
        <f t="shared" ref="N202:N204" si="173">M202*K202</f>
        <v>0</v>
      </c>
    </row>
    <row r="203" spans="1:18" x14ac:dyDescent="0.2">
      <c r="A203" s="82"/>
      <c r="B203" s="181" t="s">
        <v>31</v>
      </c>
      <c r="C203" s="124"/>
      <c r="D203" s="53"/>
      <c r="E203" s="110">
        <f t="shared" si="168"/>
        <v>0</v>
      </c>
      <c r="F203" s="89"/>
      <c r="G203" s="55" t="e">
        <f t="shared" si="169"/>
        <v>#DIV/0!</v>
      </c>
      <c r="H203" s="97"/>
      <c r="I203" s="97"/>
      <c r="J203" s="76">
        <f t="shared" si="170"/>
        <v>0</v>
      </c>
      <c r="K203" s="90">
        <f t="shared" si="171"/>
        <v>0</v>
      </c>
      <c r="L203" s="178" t="e">
        <f t="shared" si="172"/>
        <v>#DIV/0!</v>
      </c>
      <c r="M203" s="86"/>
      <c r="N203" s="163">
        <f t="shared" si="173"/>
        <v>0</v>
      </c>
    </row>
    <row r="204" spans="1:18" x14ac:dyDescent="0.2">
      <c r="A204" s="82"/>
      <c r="B204" s="181" t="s">
        <v>31</v>
      </c>
      <c r="C204" s="124"/>
      <c r="D204" s="124"/>
      <c r="E204" s="54">
        <f t="shared" si="168"/>
        <v>0</v>
      </c>
      <c r="F204" s="84"/>
      <c r="G204" s="55" t="e">
        <f t="shared" si="169"/>
        <v>#DIV/0!</v>
      </c>
      <c r="H204" s="76"/>
      <c r="I204" s="97"/>
      <c r="J204" s="76">
        <f t="shared" si="170"/>
        <v>0</v>
      </c>
      <c r="K204" s="90">
        <f t="shared" si="171"/>
        <v>0</v>
      </c>
      <c r="L204" s="178" t="e">
        <f t="shared" si="172"/>
        <v>#DIV/0!</v>
      </c>
      <c r="M204" s="86"/>
      <c r="N204" s="163">
        <f t="shared" si="173"/>
        <v>0</v>
      </c>
    </row>
    <row r="205" spans="1:18" x14ac:dyDescent="0.2">
      <c r="A205" s="82"/>
      <c r="B205" s="181" t="s">
        <v>31</v>
      </c>
      <c r="C205" s="124"/>
      <c r="D205" s="124"/>
      <c r="E205" s="54">
        <f t="shared" si="168"/>
        <v>0</v>
      </c>
      <c r="F205" s="84"/>
      <c r="G205" s="55" t="e">
        <f t="shared" si="169"/>
        <v>#DIV/0!</v>
      </c>
      <c r="H205" s="76"/>
      <c r="I205" s="97"/>
      <c r="J205" s="76">
        <f t="shared" si="170"/>
        <v>0</v>
      </c>
      <c r="K205" s="90">
        <f t="shared" si="171"/>
        <v>0</v>
      </c>
      <c r="L205" s="178" t="e">
        <f t="shared" si="172"/>
        <v>#DIV/0!</v>
      </c>
      <c r="M205" s="86"/>
      <c r="N205" s="163"/>
    </row>
    <row r="206" spans="1:18" x14ac:dyDescent="0.2">
      <c r="A206" s="82"/>
      <c r="B206" s="181" t="s">
        <v>31</v>
      </c>
      <c r="C206" s="124"/>
      <c r="D206" s="124"/>
      <c r="E206" s="54">
        <f t="shared" si="168"/>
        <v>0</v>
      </c>
      <c r="F206" s="84"/>
      <c r="G206" s="55" t="e">
        <f t="shared" si="169"/>
        <v>#DIV/0!</v>
      </c>
      <c r="H206" s="76"/>
      <c r="I206" s="97"/>
      <c r="J206" s="76">
        <f t="shared" si="170"/>
        <v>0</v>
      </c>
      <c r="K206" s="90">
        <f t="shared" si="171"/>
        <v>0</v>
      </c>
      <c r="L206" s="178" t="e">
        <f t="shared" si="172"/>
        <v>#DIV/0!</v>
      </c>
      <c r="M206" s="86"/>
      <c r="N206" s="163">
        <f t="shared" ref="N206:N208" si="174">M206*K206</f>
        <v>0</v>
      </c>
    </row>
    <row r="207" spans="1:18" x14ac:dyDescent="0.2">
      <c r="A207" s="82"/>
      <c r="B207" s="181" t="s">
        <v>31</v>
      </c>
      <c r="C207" s="124"/>
      <c r="D207" s="124"/>
      <c r="E207" s="54">
        <f t="shared" si="168"/>
        <v>0</v>
      </c>
      <c r="F207" s="84"/>
      <c r="G207" s="55" t="e">
        <f t="shared" si="169"/>
        <v>#DIV/0!</v>
      </c>
      <c r="H207" s="76"/>
      <c r="I207" s="97"/>
      <c r="J207" s="76">
        <f t="shared" si="170"/>
        <v>0</v>
      </c>
      <c r="K207" s="90">
        <f t="shared" si="171"/>
        <v>0</v>
      </c>
      <c r="L207" s="178" t="e">
        <f t="shared" si="172"/>
        <v>#DIV/0!</v>
      </c>
      <c r="M207" s="86"/>
      <c r="N207" s="163">
        <f t="shared" si="174"/>
        <v>0</v>
      </c>
    </row>
    <row r="208" spans="1:18" ht="17" thickBot="1" x14ac:dyDescent="0.25">
      <c r="A208" s="82"/>
      <c r="B208" s="181" t="s">
        <v>31</v>
      </c>
      <c r="C208" s="124"/>
      <c r="D208" s="124"/>
      <c r="E208" s="54">
        <f t="shared" si="168"/>
        <v>0</v>
      </c>
      <c r="F208" s="84"/>
      <c r="G208" s="55" t="e">
        <f t="shared" si="169"/>
        <v>#DIV/0!</v>
      </c>
      <c r="H208" s="124"/>
      <c r="I208" s="167"/>
      <c r="J208" s="124">
        <f t="shared" si="170"/>
        <v>0</v>
      </c>
      <c r="K208" s="90">
        <f t="shared" si="171"/>
        <v>0</v>
      </c>
      <c r="L208" s="178" t="e">
        <f t="shared" si="172"/>
        <v>#DIV/0!</v>
      </c>
      <c r="M208" s="86"/>
      <c r="N208" s="163">
        <f t="shared" si="174"/>
        <v>0</v>
      </c>
      <c r="R208" s="113">
        <f>Q208</f>
        <v>0</v>
      </c>
    </row>
    <row r="209" spans="1:14" ht="17" thickBot="1" x14ac:dyDescent="0.25">
      <c r="A209" s="82"/>
      <c r="B209" s="105"/>
      <c r="C209" s="104"/>
      <c r="D209" s="104" t="s">
        <v>17</v>
      </c>
      <c r="E209" s="104">
        <f>SUM(E194:E208)</f>
        <v>0</v>
      </c>
      <c r="F209" s="104"/>
      <c r="G209" s="106" t="e">
        <f>AVERAGE(G194:G208)</f>
        <v>#DIV/0!</v>
      </c>
      <c r="H209" s="104"/>
      <c r="I209" s="107"/>
      <c r="J209" s="104">
        <f>SUM(J194:J208)</f>
        <v>0</v>
      </c>
      <c r="K209" s="104">
        <f>SUM(K202:K208)</f>
        <v>0</v>
      </c>
      <c r="L209" s="106" t="e">
        <f>AVERAGE(L194:L208)</f>
        <v>#DIV/0!</v>
      </c>
      <c r="M209" s="108"/>
      <c r="N209" s="174">
        <f>SUM(N202:N208)</f>
        <v>0</v>
      </c>
    </row>
    <row r="210" spans="1:14" x14ac:dyDescent="0.2">
      <c r="A210" s="82"/>
      <c r="B210" s="181" t="s">
        <v>63</v>
      </c>
      <c r="C210" s="124"/>
      <c r="D210" s="185"/>
      <c r="E210" s="110">
        <f t="shared" ref="E210:E216" si="175">D210-C210</f>
        <v>0</v>
      </c>
      <c r="F210" s="77"/>
      <c r="G210" s="155" t="e">
        <f t="shared" ref="G210:G216" si="176">(F210/E210)*100</f>
        <v>#DIV/0!</v>
      </c>
      <c r="H210" s="167"/>
      <c r="I210" s="168"/>
      <c r="J210" s="78">
        <f t="shared" ref="J210:J216" si="177">I210-H210</f>
        <v>0</v>
      </c>
      <c r="K210" s="90">
        <f t="shared" ref="K210:K216" si="178">F210</f>
        <v>0</v>
      </c>
      <c r="L210" s="186" t="e">
        <f t="shared" ref="L210:L216" si="179">(K210/J210)*100</f>
        <v>#DIV/0!</v>
      </c>
      <c r="M210" s="80"/>
      <c r="N210" s="87">
        <f t="shared" ref="N210:N213" si="180">F210*M210</f>
        <v>0</v>
      </c>
    </row>
    <row r="211" spans="1:14" x14ac:dyDescent="0.2">
      <c r="A211" s="82"/>
      <c r="B211" s="181" t="s">
        <v>63</v>
      </c>
      <c r="C211" s="124"/>
      <c r="D211" s="53"/>
      <c r="E211" s="110">
        <f t="shared" si="175"/>
        <v>0</v>
      </c>
      <c r="F211" s="89"/>
      <c r="G211" s="55" t="e">
        <f t="shared" si="176"/>
        <v>#DIV/0!</v>
      </c>
      <c r="H211" s="97"/>
      <c r="I211" s="97"/>
      <c r="J211" s="76">
        <f t="shared" si="177"/>
        <v>0</v>
      </c>
      <c r="K211" s="90">
        <f t="shared" si="178"/>
        <v>0</v>
      </c>
      <c r="L211" s="178" t="e">
        <f t="shared" si="179"/>
        <v>#DIV/0!</v>
      </c>
      <c r="M211" s="86"/>
      <c r="N211" s="87">
        <f t="shared" si="180"/>
        <v>0</v>
      </c>
    </row>
    <row r="212" spans="1:14" x14ac:dyDescent="0.2">
      <c r="A212" s="82"/>
      <c r="B212" s="181" t="s">
        <v>63</v>
      </c>
      <c r="C212" s="124"/>
      <c r="D212" s="124"/>
      <c r="E212" s="54">
        <f t="shared" si="175"/>
        <v>0</v>
      </c>
      <c r="F212" s="84"/>
      <c r="G212" s="55" t="e">
        <f t="shared" si="176"/>
        <v>#DIV/0!</v>
      </c>
      <c r="H212" s="76"/>
      <c r="I212" s="97"/>
      <c r="J212" s="76">
        <f t="shared" si="177"/>
        <v>0</v>
      </c>
      <c r="K212" s="90">
        <f t="shared" si="178"/>
        <v>0</v>
      </c>
      <c r="L212" s="178" t="e">
        <f t="shared" si="179"/>
        <v>#DIV/0!</v>
      </c>
      <c r="M212" s="86"/>
      <c r="N212" s="87">
        <f t="shared" si="180"/>
        <v>0</v>
      </c>
    </row>
    <row r="213" spans="1:14" x14ac:dyDescent="0.2">
      <c r="A213" s="82"/>
      <c r="B213" s="181" t="s">
        <v>63</v>
      </c>
      <c r="C213" s="124"/>
      <c r="D213" s="124"/>
      <c r="E213" s="54">
        <f t="shared" si="175"/>
        <v>0</v>
      </c>
      <c r="F213" s="84"/>
      <c r="G213" s="55" t="e">
        <f t="shared" si="176"/>
        <v>#DIV/0!</v>
      </c>
      <c r="H213" s="76"/>
      <c r="I213" s="97"/>
      <c r="J213" s="76">
        <f t="shared" si="177"/>
        <v>0</v>
      </c>
      <c r="K213" s="90">
        <f t="shared" si="178"/>
        <v>0</v>
      </c>
      <c r="L213" s="178" t="e">
        <f t="shared" si="179"/>
        <v>#DIV/0!</v>
      </c>
      <c r="M213" s="86"/>
      <c r="N213" s="87">
        <f t="shared" si="180"/>
        <v>0</v>
      </c>
    </row>
    <row r="214" spans="1:14" x14ac:dyDescent="0.2">
      <c r="A214" s="82"/>
      <c r="B214" s="181" t="s">
        <v>63</v>
      </c>
      <c r="C214" s="124"/>
      <c r="D214" s="124"/>
      <c r="E214" s="54">
        <f t="shared" si="175"/>
        <v>0</v>
      </c>
      <c r="F214" s="84"/>
      <c r="G214" s="55" t="e">
        <f t="shared" si="176"/>
        <v>#DIV/0!</v>
      </c>
      <c r="H214" s="76"/>
      <c r="I214" s="97"/>
      <c r="J214" s="76">
        <f t="shared" si="177"/>
        <v>0</v>
      </c>
      <c r="K214" s="90">
        <f t="shared" si="178"/>
        <v>0</v>
      </c>
      <c r="L214" s="178" t="e">
        <f t="shared" si="179"/>
        <v>#DIV/0!</v>
      </c>
      <c r="M214" s="86"/>
      <c r="N214" s="163">
        <f t="shared" ref="N214:N216" si="181">M214*K214</f>
        <v>0</v>
      </c>
    </row>
    <row r="215" spans="1:14" x14ac:dyDescent="0.2">
      <c r="A215" s="82"/>
      <c r="B215" s="181" t="s">
        <v>63</v>
      </c>
      <c r="C215" s="124"/>
      <c r="D215" s="124"/>
      <c r="E215" s="54">
        <f t="shared" si="175"/>
        <v>0</v>
      </c>
      <c r="F215" s="84"/>
      <c r="G215" s="55" t="e">
        <f t="shared" si="176"/>
        <v>#DIV/0!</v>
      </c>
      <c r="H215" s="76"/>
      <c r="I215" s="97"/>
      <c r="J215" s="76">
        <f t="shared" si="177"/>
        <v>0</v>
      </c>
      <c r="K215" s="90">
        <f t="shared" si="178"/>
        <v>0</v>
      </c>
      <c r="L215" s="178" t="e">
        <f t="shared" si="179"/>
        <v>#DIV/0!</v>
      </c>
      <c r="M215" s="86"/>
      <c r="N215" s="163">
        <f t="shared" si="181"/>
        <v>0</v>
      </c>
    </row>
    <row r="216" spans="1:14" ht="17" thickBot="1" x14ac:dyDescent="0.25">
      <c r="A216" s="82"/>
      <c r="B216" s="181" t="s">
        <v>63</v>
      </c>
      <c r="C216" s="124"/>
      <c r="D216" s="124"/>
      <c r="E216" s="54">
        <f t="shared" si="175"/>
        <v>0</v>
      </c>
      <c r="F216" s="84"/>
      <c r="G216" s="55" t="e">
        <f t="shared" si="176"/>
        <v>#DIV/0!</v>
      </c>
      <c r="H216" s="124"/>
      <c r="I216" s="167"/>
      <c r="J216" s="124">
        <f t="shared" si="177"/>
        <v>0</v>
      </c>
      <c r="K216" s="90">
        <f t="shared" si="178"/>
        <v>0</v>
      </c>
      <c r="L216" s="178" t="e">
        <f t="shared" si="179"/>
        <v>#DIV/0!</v>
      </c>
      <c r="M216" s="86"/>
      <c r="N216" s="163">
        <f t="shared" si="181"/>
        <v>0</v>
      </c>
    </row>
    <row r="217" spans="1:14" ht="17" thickBot="1" x14ac:dyDescent="0.25">
      <c r="A217" s="82"/>
      <c r="B217" s="105"/>
      <c r="C217" s="104"/>
      <c r="D217" s="104" t="s">
        <v>17</v>
      </c>
      <c r="E217" s="104">
        <f>SUM(E202:E216)</f>
        <v>0</v>
      </c>
      <c r="F217" s="104"/>
      <c r="G217" s="106" t="e">
        <f>AVERAGE(G202:G216)</f>
        <v>#DIV/0!</v>
      </c>
      <c r="H217" s="104"/>
      <c r="I217" s="107"/>
      <c r="J217" s="104">
        <f>SUM(J202:J216)</f>
        <v>0</v>
      </c>
      <c r="K217" s="104">
        <f>SUM(K210:K216)</f>
        <v>0</v>
      </c>
      <c r="L217" s="106" t="e">
        <f>AVERAGE(L202:L216)</f>
        <v>#DIV/0!</v>
      </c>
      <c r="M217" s="108"/>
      <c r="N217" s="174">
        <f>SUM(N210:N216)</f>
        <v>0</v>
      </c>
    </row>
    <row r="218" spans="1:14" x14ac:dyDescent="0.2">
      <c r="A218" s="82"/>
      <c r="B218" s="181" t="s">
        <v>34</v>
      </c>
      <c r="C218" s="124"/>
      <c r="D218" s="185"/>
      <c r="E218" s="110">
        <f t="shared" ref="E218:E224" si="182">D218-C218</f>
        <v>0</v>
      </c>
      <c r="F218" s="77"/>
      <c r="G218" s="155" t="e">
        <f t="shared" ref="G218:G224" si="183">(F218/E218)*100</f>
        <v>#DIV/0!</v>
      </c>
      <c r="H218" s="167"/>
      <c r="I218" s="168"/>
      <c r="J218" s="78">
        <f t="shared" ref="J218:J224" si="184">I218-H218</f>
        <v>0</v>
      </c>
      <c r="K218" s="90">
        <f t="shared" ref="K218:K224" si="185">F218</f>
        <v>0</v>
      </c>
      <c r="L218" s="186" t="e">
        <f t="shared" ref="L218:L224" si="186">(K218/J218)*100</f>
        <v>#DIV/0!</v>
      </c>
      <c r="M218" s="80"/>
      <c r="N218" s="87">
        <f t="shared" ref="N218:N221" si="187">F218*M218</f>
        <v>0</v>
      </c>
    </row>
    <row r="219" spans="1:14" x14ac:dyDescent="0.2">
      <c r="A219" s="82"/>
      <c r="B219" s="181" t="s">
        <v>34</v>
      </c>
      <c r="C219" s="124"/>
      <c r="D219" s="53"/>
      <c r="E219" s="110">
        <f t="shared" si="182"/>
        <v>0</v>
      </c>
      <c r="F219" s="89"/>
      <c r="G219" s="55" t="e">
        <f t="shared" si="183"/>
        <v>#DIV/0!</v>
      </c>
      <c r="H219" s="97"/>
      <c r="I219" s="97"/>
      <c r="J219" s="76">
        <f t="shared" si="184"/>
        <v>0</v>
      </c>
      <c r="K219" s="90">
        <f t="shared" si="185"/>
        <v>0</v>
      </c>
      <c r="L219" s="178" t="e">
        <f t="shared" si="186"/>
        <v>#DIV/0!</v>
      </c>
      <c r="M219" s="86"/>
      <c r="N219" s="87">
        <f t="shared" si="187"/>
        <v>0</v>
      </c>
    </row>
    <row r="220" spans="1:14" x14ac:dyDescent="0.2">
      <c r="A220" s="82"/>
      <c r="B220" s="181" t="s">
        <v>34</v>
      </c>
      <c r="C220" s="124"/>
      <c r="D220" s="124"/>
      <c r="E220" s="54">
        <f t="shared" si="182"/>
        <v>0</v>
      </c>
      <c r="F220" s="84"/>
      <c r="G220" s="55" t="e">
        <f t="shared" si="183"/>
        <v>#DIV/0!</v>
      </c>
      <c r="H220" s="76"/>
      <c r="I220" s="97"/>
      <c r="J220" s="76">
        <f t="shared" si="184"/>
        <v>0</v>
      </c>
      <c r="K220" s="90">
        <f t="shared" si="185"/>
        <v>0</v>
      </c>
      <c r="L220" s="178" t="e">
        <f t="shared" si="186"/>
        <v>#DIV/0!</v>
      </c>
      <c r="M220" s="86"/>
      <c r="N220" s="87">
        <f t="shared" si="187"/>
        <v>0</v>
      </c>
    </row>
    <row r="221" spans="1:14" x14ac:dyDescent="0.2">
      <c r="A221" s="82"/>
      <c r="B221" s="181" t="s">
        <v>34</v>
      </c>
      <c r="C221" s="124"/>
      <c r="D221" s="124"/>
      <c r="E221" s="54">
        <f t="shared" si="182"/>
        <v>0</v>
      </c>
      <c r="F221" s="84"/>
      <c r="G221" s="55" t="e">
        <f t="shared" si="183"/>
        <v>#DIV/0!</v>
      </c>
      <c r="H221" s="76"/>
      <c r="I221" s="97"/>
      <c r="J221" s="76">
        <f t="shared" si="184"/>
        <v>0</v>
      </c>
      <c r="K221" s="90">
        <f t="shared" si="185"/>
        <v>0</v>
      </c>
      <c r="L221" s="178" t="e">
        <f t="shared" si="186"/>
        <v>#DIV/0!</v>
      </c>
      <c r="M221" s="86"/>
      <c r="N221" s="87">
        <f t="shared" si="187"/>
        <v>0</v>
      </c>
    </row>
    <row r="222" spans="1:14" x14ac:dyDescent="0.2">
      <c r="A222" s="82"/>
      <c r="B222" s="181" t="s">
        <v>34</v>
      </c>
      <c r="C222" s="124"/>
      <c r="D222" s="124"/>
      <c r="E222" s="54">
        <f t="shared" si="182"/>
        <v>0</v>
      </c>
      <c r="F222" s="84"/>
      <c r="G222" s="55" t="e">
        <f t="shared" si="183"/>
        <v>#DIV/0!</v>
      </c>
      <c r="H222" s="76"/>
      <c r="I222" s="97"/>
      <c r="J222" s="76">
        <f t="shared" si="184"/>
        <v>0</v>
      </c>
      <c r="K222" s="90">
        <f t="shared" si="185"/>
        <v>0</v>
      </c>
      <c r="L222" s="178" t="e">
        <f t="shared" si="186"/>
        <v>#DIV/0!</v>
      </c>
      <c r="M222" s="86"/>
      <c r="N222" s="163">
        <f t="shared" ref="N222:N224" si="188">M222*K222</f>
        <v>0</v>
      </c>
    </row>
    <row r="223" spans="1:14" x14ac:dyDescent="0.2">
      <c r="A223" s="82"/>
      <c r="B223" s="181" t="s">
        <v>34</v>
      </c>
      <c r="C223" s="124"/>
      <c r="D223" s="124"/>
      <c r="E223" s="54">
        <f t="shared" si="182"/>
        <v>0</v>
      </c>
      <c r="F223" s="84"/>
      <c r="G223" s="55" t="e">
        <f t="shared" si="183"/>
        <v>#DIV/0!</v>
      </c>
      <c r="H223" s="76"/>
      <c r="I223" s="97"/>
      <c r="J223" s="76">
        <f t="shared" si="184"/>
        <v>0</v>
      </c>
      <c r="K223" s="90">
        <f t="shared" si="185"/>
        <v>0</v>
      </c>
      <c r="L223" s="178" t="e">
        <f t="shared" si="186"/>
        <v>#DIV/0!</v>
      </c>
      <c r="M223" s="86"/>
      <c r="N223" s="163">
        <f t="shared" si="188"/>
        <v>0</v>
      </c>
    </row>
    <row r="224" spans="1:14" ht="17" thickBot="1" x14ac:dyDescent="0.25">
      <c r="A224" s="82"/>
      <c r="B224" s="181" t="s">
        <v>34</v>
      </c>
      <c r="C224" s="124"/>
      <c r="D224" s="124"/>
      <c r="E224" s="54">
        <f t="shared" si="182"/>
        <v>0</v>
      </c>
      <c r="F224" s="84"/>
      <c r="G224" s="55" t="e">
        <f t="shared" si="183"/>
        <v>#DIV/0!</v>
      </c>
      <c r="H224" s="124"/>
      <c r="I224" s="167"/>
      <c r="J224" s="124">
        <f t="shared" si="184"/>
        <v>0</v>
      </c>
      <c r="K224" s="90">
        <f t="shared" si="185"/>
        <v>0</v>
      </c>
      <c r="L224" s="178" t="e">
        <f t="shared" si="186"/>
        <v>#DIV/0!</v>
      </c>
      <c r="M224" s="86"/>
      <c r="N224" s="163">
        <f t="shared" si="188"/>
        <v>0</v>
      </c>
    </row>
    <row r="225" spans="1:18" ht="17" thickBot="1" x14ac:dyDescent="0.25">
      <c r="A225" s="82"/>
      <c r="B225" s="105"/>
      <c r="C225" s="104"/>
      <c r="D225" s="104" t="s">
        <v>17</v>
      </c>
      <c r="E225" s="104">
        <f>SUM(E210:E224)</f>
        <v>0</v>
      </c>
      <c r="F225" s="104"/>
      <c r="G225" s="106" t="e">
        <f>AVERAGE(G210:G224)</f>
        <v>#DIV/0!</v>
      </c>
      <c r="H225" s="104"/>
      <c r="I225" s="107"/>
      <c r="J225" s="104">
        <f>SUM(J210:J224)</f>
        <v>0</v>
      </c>
      <c r="K225" s="104">
        <f>SUM(K218:K224)</f>
        <v>0</v>
      </c>
      <c r="L225" s="106" t="e">
        <f>AVERAGE(L210:L224)</f>
        <v>#DIV/0!</v>
      </c>
      <c r="M225" s="108"/>
      <c r="N225" s="174">
        <f>SUM(N218:N224)</f>
        <v>0</v>
      </c>
    </row>
    <row r="226" spans="1:18" x14ac:dyDescent="0.2">
      <c r="A226" s="187"/>
      <c r="B226" s="188" t="s">
        <v>35</v>
      </c>
      <c r="C226" s="189"/>
      <c r="D226" s="190"/>
      <c r="E226" s="110">
        <f t="shared" ref="E226:E232" si="189">D226-C226</f>
        <v>0</v>
      </c>
      <c r="F226" s="191"/>
      <c r="G226" s="155" t="e">
        <f t="shared" ref="G226:G232" si="190">(F226/E226)*100</f>
        <v>#DIV/0!</v>
      </c>
      <c r="H226" s="192"/>
      <c r="I226" s="193"/>
      <c r="J226" s="194">
        <f t="shared" ref="J226:J232" si="191">I226-H226</f>
        <v>0</v>
      </c>
      <c r="K226" s="195">
        <f t="shared" ref="K226:K232" si="192">F226</f>
        <v>0</v>
      </c>
      <c r="L226" s="196" t="e">
        <f t="shared" ref="L226:L232" si="193">(K226/J226)*100</f>
        <v>#DIV/0!</v>
      </c>
      <c r="M226" s="197"/>
      <c r="N226" s="198">
        <f t="shared" ref="N226:N229" si="194">F226*M226</f>
        <v>0</v>
      </c>
    </row>
    <row r="227" spans="1:18" x14ac:dyDescent="0.2">
      <c r="A227" s="187"/>
      <c r="B227" s="188" t="s">
        <v>35</v>
      </c>
      <c r="C227" s="189"/>
      <c r="D227" s="199"/>
      <c r="E227" s="110">
        <f t="shared" si="189"/>
        <v>0</v>
      </c>
      <c r="F227" s="200"/>
      <c r="G227" s="55" t="e">
        <f t="shared" si="190"/>
        <v>#DIV/0!</v>
      </c>
      <c r="H227" s="201"/>
      <c r="I227" s="201"/>
      <c r="J227" s="202">
        <f t="shared" si="191"/>
        <v>0</v>
      </c>
      <c r="K227" s="195">
        <f t="shared" si="192"/>
        <v>0</v>
      </c>
      <c r="L227" s="203" t="e">
        <f t="shared" si="193"/>
        <v>#DIV/0!</v>
      </c>
      <c r="M227" s="204"/>
      <c r="N227" s="198">
        <f t="shared" si="194"/>
        <v>0</v>
      </c>
    </row>
    <row r="228" spans="1:18" x14ac:dyDescent="0.2">
      <c r="A228" s="187"/>
      <c r="B228" s="188" t="s">
        <v>35</v>
      </c>
      <c r="C228" s="189"/>
      <c r="D228" s="189"/>
      <c r="E228" s="54">
        <f t="shared" si="189"/>
        <v>0</v>
      </c>
      <c r="F228" s="205"/>
      <c r="G228" s="55" t="e">
        <f t="shared" si="190"/>
        <v>#DIV/0!</v>
      </c>
      <c r="H228" s="195"/>
      <c r="I228" s="201"/>
      <c r="J228" s="202">
        <f t="shared" si="191"/>
        <v>0</v>
      </c>
      <c r="K228" s="195">
        <f t="shared" si="192"/>
        <v>0</v>
      </c>
      <c r="L228" s="203" t="e">
        <f t="shared" si="193"/>
        <v>#DIV/0!</v>
      </c>
      <c r="M228" s="204"/>
      <c r="N228" s="198">
        <f t="shared" si="194"/>
        <v>0</v>
      </c>
    </row>
    <row r="229" spans="1:18" x14ac:dyDescent="0.2">
      <c r="A229" s="187"/>
      <c r="B229" s="188" t="s">
        <v>35</v>
      </c>
      <c r="C229" s="189"/>
      <c r="D229" s="189"/>
      <c r="E229" s="54">
        <f t="shared" si="189"/>
        <v>0</v>
      </c>
      <c r="F229" s="205"/>
      <c r="G229" s="55" t="e">
        <f t="shared" si="190"/>
        <v>#DIV/0!</v>
      </c>
      <c r="H229" s="195"/>
      <c r="I229" s="201"/>
      <c r="J229" s="202">
        <f t="shared" si="191"/>
        <v>0</v>
      </c>
      <c r="K229" s="195">
        <f t="shared" si="192"/>
        <v>0</v>
      </c>
      <c r="L229" s="203" t="e">
        <f t="shared" si="193"/>
        <v>#DIV/0!</v>
      </c>
      <c r="M229" s="204"/>
      <c r="N229" s="198">
        <f t="shared" si="194"/>
        <v>0</v>
      </c>
    </row>
    <row r="230" spans="1:18" x14ac:dyDescent="0.2">
      <c r="A230" s="187"/>
      <c r="B230" s="188" t="s">
        <v>35</v>
      </c>
      <c r="C230" s="189"/>
      <c r="D230" s="189"/>
      <c r="E230" s="54">
        <f t="shared" si="189"/>
        <v>0</v>
      </c>
      <c r="F230" s="205"/>
      <c r="G230" s="55" t="e">
        <f t="shared" si="190"/>
        <v>#DIV/0!</v>
      </c>
      <c r="H230" s="195"/>
      <c r="I230" s="201"/>
      <c r="J230" s="202">
        <f t="shared" si="191"/>
        <v>0</v>
      </c>
      <c r="K230" s="195">
        <f t="shared" si="192"/>
        <v>0</v>
      </c>
      <c r="L230" s="203" t="e">
        <f t="shared" si="193"/>
        <v>#DIV/0!</v>
      </c>
      <c r="M230" s="204"/>
      <c r="N230" s="206">
        <f t="shared" ref="N230:N232" si="195">M230*K230</f>
        <v>0</v>
      </c>
    </row>
    <row r="231" spans="1:18" x14ac:dyDescent="0.2">
      <c r="A231" s="187"/>
      <c r="B231" s="188" t="s">
        <v>35</v>
      </c>
      <c r="C231" s="189"/>
      <c r="D231" s="189"/>
      <c r="E231" s="54">
        <f t="shared" si="189"/>
        <v>0</v>
      </c>
      <c r="F231" s="205"/>
      <c r="G231" s="55" t="e">
        <f t="shared" si="190"/>
        <v>#DIV/0!</v>
      </c>
      <c r="H231" s="195"/>
      <c r="I231" s="201"/>
      <c r="J231" s="202">
        <f t="shared" si="191"/>
        <v>0</v>
      </c>
      <c r="K231" s="195">
        <f t="shared" si="192"/>
        <v>0</v>
      </c>
      <c r="L231" s="203" t="e">
        <f t="shared" si="193"/>
        <v>#DIV/0!</v>
      </c>
      <c r="M231" s="204"/>
      <c r="N231" s="206">
        <f t="shared" si="195"/>
        <v>0</v>
      </c>
    </row>
    <row r="232" spans="1:18" ht="17" thickBot="1" x14ac:dyDescent="0.25">
      <c r="A232" s="187"/>
      <c r="B232" s="188" t="s">
        <v>35</v>
      </c>
      <c r="C232" s="189"/>
      <c r="D232" s="189"/>
      <c r="E232" s="54">
        <f t="shared" si="189"/>
        <v>0</v>
      </c>
      <c r="F232" s="205"/>
      <c r="G232" s="55" t="e">
        <f t="shared" si="190"/>
        <v>#DIV/0!</v>
      </c>
      <c r="H232" s="189"/>
      <c r="I232" s="192"/>
      <c r="J232" s="207">
        <f t="shared" si="191"/>
        <v>0</v>
      </c>
      <c r="K232" s="195">
        <f t="shared" si="192"/>
        <v>0</v>
      </c>
      <c r="L232" s="203" t="e">
        <f t="shared" si="193"/>
        <v>#DIV/0!</v>
      </c>
      <c r="M232" s="204"/>
      <c r="N232" s="206">
        <f t="shared" si="195"/>
        <v>0</v>
      </c>
    </row>
    <row r="233" spans="1:18" ht="17" thickBot="1" x14ac:dyDescent="0.25">
      <c r="A233" s="187"/>
      <c r="B233" s="208"/>
      <c r="C233" s="208"/>
      <c r="D233" s="209" t="s">
        <v>17</v>
      </c>
      <c r="E233" s="209">
        <f>SUM(E218:E232)</f>
        <v>0</v>
      </c>
      <c r="F233" s="209"/>
      <c r="G233" s="210" t="e">
        <f>AVERAGE(G218:G232)</f>
        <v>#DIV/0!</v>
      </c>
      <c r="H233" s="208"/>
      <c r="I233" s="211"/>
      <c r="J233" s="209">
        <f>SUM(J218:J232)</f>
        <v>0</v>
      </c>
      <c r="K233" s="209">
        <f>SUM(K226:K232)</f>
        <v>0</v>
      </c>
      <c r="L233" s="210" t="e">
        <f>AVERAGE(L218:L232)</f>
        <v>#DIV/0!</v>
      </c>
      <c r="M233" s="208"/>
      <c r="N233" s="174">
        <f>SUM(N226:N232)</f>
        <v>0</v>
      </c>
    </row>
    <row r="234" spans="1:18" ht="20" thickBot="1" x14ac:dyDescent="0.3">
      <c r="A234" s="8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3"/>
      <c r="N234" s="214">
        <f>SUM(N3:N233)/2</f>
        <v>42989050</v>
      </c>
      <c r="R234" s="113">
        <f>Q234</f>
        <v>0</v>
      </c>
    </row>
    <row r="235" spans="1:18" x14ac:dyDescent="0.2">
      <c r="A235" s="82"/>
      <c r="G235" s="215"/>
      <c r="L235" s="215"/>
      <c r="N235" s="216"/>
    </row>
    <row r="236" spans="1:18" ht="31.5" customHeight="1" thickBot="1" x14ac:dyDescent="0.3">
      <c r="A236" s="82"/>
      <c r="D236" s="217" t="s">
        <v>64</v>
      </c>
      <c r="E236" s="218"/>
      <c r="G236" s="215"/>
      <c r="L236" s="215"/>
      <c r="N236" s="216"/>
    </row>
    <row r="237" spans="1:18" ht="17" thickBot="1" x14ac:dyDescent="0.25">
      <c r="A237" s="82"/>
      <c r="B237" s="219" t="s">
        <v>2</v>
      </c>
      <c r="C237" s="213"/>
      <c r="D237" s="213" t="s">
        <v>3</v>
      </c>
      <c r="E237" s="213" t="s">
        <v>4</v>
      </c>
      <c r="F237" s="213"/>
      <c r="G237" s="220" t="s">
        <v>6</v>
      </c>
      <c r="H237" s="221"/>
      <c r="I237" s="222" t="s">
        <v>7</v>
      </c>
      <c r="J237" s="213" t="s">
        <v>4</v>
      </c>
      <c r="K237" s="213" t="s">
        <v>5</v>
      </c>
      <c r="L237" s="220" t="s">
        <v>6</v>
      </c>
      <c r="M237" s="213"/>
      <c r="N237" s="223" t="s">
        <v>8</v>
      </c>
      <c r="O237" s="25">
        <v>1</v>
      </c>
      <c r="P237" s="224" t="s">
        <v>43</v>
      </c>
      <c r="Q237" s="225">
        <f>N243</f>
        <v>15000205.6</v>
      </c>
      <c r="R237" s="27">
        <f t="shared" ref="R237:R251" si="196">Q237</f>
        <v>15000205.6</v>
      </c>
    </row>
    <row r="238" spans="1:18" ht="17" thickBot="1" x14ac:dyDescent="0.25">
      <c r="A238" s="82">
        <v>46209</v>
      </c>
      <c r="B238" s="226" t="s">
        <v>43</v>
      </c>
      <c r="C238" s="53"/>
      <c r="D238" s="53"/>
      <c r="E238" s="54">
        <f t="shared" ref="E238:E242" si="197">D238-C238</f>
        <v>0</v>
      </c>
      <c r="F238" s="76">
        <v>377.9</v>
      </c>
      <c r="G238" s="55" t="e">
        <f t="shared" ref="G238:G242" si="198">(F238/E238)*100</f>
        <v>#DIV/0!</v>
      </c>
      <c r="H238" s="168">
        <v>421489</v>
      </c>
      <c r="I238" s="168">
        <v>422494</v>
      </c>
      <c r="J238" s="78">
        <f t="shared" ref="J238:J242" si="199">I238-H238</f>
        <v>1005</v>
      </c>
      <c r="K238" s="76">
        <f t="shared" ref="K238:K242" si="200">F238</f>
        <v>377.9</v>
      </c>
      <c r="L238" s="79">
        <f t="shared" ref="L238:L242" si="201">(K238/J238)*100</f>
        <v>37.601990049751244</v>
      </c>
      <c r="M238" s="80">
        <v>21170</v>
      </c>
      <c r="N238" s="87">
        <f t="shared" ref="N238:N242" si="202">M238*K238</f>
        <v>8000142.9999999991</v>
      </c>
      <c r="O238" s="25">
        <v>2</v>
      </c>
      <c r="P238" s="224" t="s">
        <v>44</v>
      </c>
      <c r="Q238" s="225">
        <f>N250</f>
        <v>8799898.3000000007</v>
      </c>
      <c r="R238" s="27">
        <f t="shared" si="196"/>
        <v>8799898.3000000007</v>
      </c>
    </row>
    <row r="239" spans="1:18" x14ac:dyDescent="0.2">
      <c r="A239" s="82">
        <v>46219</v>
      </c>
      <c r="B239" s="227" t="s">
        <v>43</v>
      </c>
      <c r="C239" s="53"/>
      <c r="D239" s="53"/>
      <c r="E239" s="54">
        <f t="shared" si="197"/>
        <v>0</v>
      </c>
      <c r="F239" s="89">
        <v>321.99</v>
      </c>
      <c r="G239" s="55" t="e">
        <f t="shared" si="198"/>
        <v>#DIV/0!</v>
      </c>
      <c r="H239" s="168">
        <v>422494</v>
      </c>
      <c r="I239" s="168">
        <v>423378</v>
      </c>
      <c r="J239" s="76">
        <f t="shared" si="199"/>
        <v>884</v>
      </c>
      <c r="K239" s="76">
        <f t="shared" si="200"/>
        <v>321.99</v>
      </c>
      <c r="L239" s="85">
        <f t="shared" si="201"/>
        <v>36.424208144796381</v>
      </c>
      <c r="M239" s="80">
        <v>21740</v>
      </c>
      <c r="N239" s="87">
        <f t="shared" si="202"/>
        <v>7000062.6000000006</v>
      </c>
      <c r="O239" s="25">
        <v>3</v>
      </c>
      <c r="P239" s="224" t="s">
        <v>45</v>
      </c>
      <c r="Q239" s="225">
        <f>N256</f>
        <v>10999679.4</v>
      </c>
      <c r="R239" s="27">
        <f t="shared" si="196"/>
        <v>10999679.4</v>
      </c>
    </row>
    <row r="240" spans="1:18" x14ac:dyDescent="0.2">
      <c r="A240" s="82"/>
      <c r="B240" s="227" t="s">
        <v>43</v>
      </c>
      <c r="C240" s="53"/>
      <c r="D240" s="76"/>
      <c r="E240" s="54">
        <f t="shared" si="197"/>
        <v>0</v>
      </c>
      <c r="F240" s="89"/>
      <c r="G240" s="55" t="e">
        <f t="shared" si="198"/>
        <v>#DIV/0!</v>
      </c>
      <c r="H240" s="76"/>
      <c r="I240" s="97"/>
      <c r="J240" s="76">
        <f t="shared" si="199"/>
        <v>0</v>
      </c>
      <c r="K240" s="76">
        <f t="shared" si="200"/>
        <v>0</v>
      </c>
      <c r="L240" s="85" t="e">
        <f t="shared" si="201"/>
        <v>#DIV/0!</v>
      </c>
      <c r="M240" s="91"/>
      <c r="N240" s="87">
        <f t="shared" si="202"/>
        <v>0</v>
      </c>
      <c r="O240" s="25">
        <v>4</v>
      </c>
      <c r="P240" s="224" t="s">
        <v>46</v>
      </c>
      <c r="Q240" s="225">
        <f>N262</f>
        <v>3999942.6</v>
      </c>
      <c r="R240" s="27">
        <f t="shared" si="196"/>
        <v>3999942.6</v>
      </c>
    </row>
    <row r="241" spans="1:18" x14ac:dyDescent="0.2">
      <c r="A241" s="82"/>
      <c r="B241" s="227" t="s">
        <v>43</v>
      </c>
      <c r="C241" s="76"/>
      <c r="D241" s="76"/>
      <c r="E241" s="54">
        <f t="shared" si="197"/>
        <v>0</v>
      </c>
      <c r="F241" s="89"/>
      <c r="G241" s="55" t="e">
        <f t="shared" si="198"/>
        <v>#DIV/0!</v>
      </c>
      <c r="H241" s="76"/>
      <c r="I241" s="97"/>
      <c r="J241" s="76">
        <f t="shared" si="199"/>
        <v>0</v>
      </c>
      <c r="K241" s="76">
        <f t="shared" si="200"/>
        <v>0</v>
      </c>
      <c r="L241" s="85" t="e">
        <f t="shared" si="201"/>
        <v>#DIV/0!</v>
      </c>
      <c r="M241" s="91"/>
      <c r="N241" s="87">
        <f t="shared" si="202"/>
        <v>0</v>
      </c>
      <c r="O241" s="25">
        <v>5</v>
      </c>
      <c r="P241" s="224" t="s">
        <v>47</v>
      </c>
      <c r="Q241" s="225">
        <f>N268</f>
        <v>9199929.6999999993</v>
      </c>
      <c r="R241" s="27">
        <f t="shared" si="196"/>
        <v>9199929.6999999993</v>
      </c>
    </row>
    <row r="242" spans="1:18" ht="17" thickBot="1" x14ac:dyDescent="0.25">
      <c r="A242" s="82"/>
      <c r="B242" s="227" t="s">
        <v>43</v>
      </c>
      <c r="C242" s="76"/>
      <c r="D242" s="76"/>
      <c r="E242" s="54">
        <f t="shared" si="197"/>
        <v>0</v>
      </c>
      <c r="F242" s="89"/>
      <c r="G242" s="55" t="e">
        <f t="shared" si="198"/>
        <v>#DIV/0!</v>
      </c>
      <c r="H242" s="76"/>
      <c r="I242" s="97"/>
      <c r="J242" s="76">
        <f t="shared" si="199"/>
        <v>0</v>
      </c>
      <c r="K242" s="76">
        <f t="shared" si="200"/>
        <v>0</v>
      </c>
      <c r="L242" s="100" t="e">
        <f t="shared" si="201"/>
        <v>#DIV/0!</v>
      </c>
      <c r="M242" s="91"/>
      <c r="N242" s="87">
        <f t="shared" si="202"/>
        <v>0</v>
      </c>
      <c r="O242" s="25">
        <v>6</v>
      </c>
      <c r="P242" s="224" t="s">
        <v>48</v>
      </c>
      <c r="Q242" s="225">
        <f>N275</f>
        <v>8879854.1999999993</v>
      </c>
      <c r="R242" s="27">
        <f t="shared" si="196"/>
        <v>8879854.1999999993</v>
      </c>
    </row>
    <row r="243" spans="1:18" ht="17" thickBot="1" x14ac:dyDescent="0.25">
      <c r="A243" s="82"/>
      <c r="B243" s="105"/>
      <c r="C243" s="104"/>
      <c r="D243" s="104" t="s">
        <v>17</v>
      </c>
      <c r="E243" s="104">
        <f>SUM(E238:E242)</f>
        <v>0</v>
      </c>
      <c r="F243" s="104"/>
      <c r="G243" s="106" t="e">
        <f>AVERAGE(G238:G242)</f>
        <v>#DIV/0!</v>
      </c>
      <c r="H243" s="104"/>
      <c r="I243" s="107"/>
      <c r="J243" s="104">
        <f t="shared" ref="J243:K243" si="203">SUM(J238:J242)</f>
        <v>1889</v>
      </c>
      <c r="K243" s="104">
        <f t="shared" si="203"/>
        <v>699.89</v>
      </c>
      <c r="L243" s="106" t="e">
        <f>AVERAGE(L238:L242)</f>
        <v>#DIV/0!</v>
      </c>
      <c r="M243" s="108"/>
      <c r="N243" s="109">
        <f>SUM(N238:N242)</f>
        <v>15000205.6</v>
      </c>
      <c r="O243" s="25">
        <v>7</v>
      </c>
      <c r="P243" s="228" t="s">
        <v>49</v>
      </c>
      <c r="Q243" s="225">
        <f>N309</f>
        <v>13229908.699999999</v>
      </c>
      <c r="R243" s="27">
        <f t="shared" si="196"/>
        <v>13229908.699999999</v>
      </c>
    </row>
    <row r="244" spans="1:18" x14ac:dyDescent="0.2">
      <c r="A244" s="82">
        <v>46209</v>
      </c>
      <c r="B244" s="229" t="s">
        <v>50</v>
      </c>
      <c r="C244" s="124">
        <v>518138</v>
      </c>
      <c r="D244" s="124">
        <v>518754</v>
      </c>
      <c r="E244" s="54">
        <f t="shared" ref="E244:E249" si="204">D244-C244</f>
        <v>616</v>
      </c>
      <c r="F244" s="84">
        <v>222.01</v>
      </c>
      <c r="G244" s="55">
        <f t="shared" ref="G244:G249" si="205">(F244/E244)*100</f>
        <v>36.040584415584412</v>
      </c>
      <c r="H244" s="167">
        <v>517508</v>
      </c>
      <c r="I244" s="167">
        <v>518114</v>
      </c>
      <c r="J244" s="124">
        <f t="shared" ref="J244:J249" si="206">I244-H244</f>
        <v>606</v>
      </c>
      <c r="K244" s="124">
        <f t="shared" ref="K244:K249" si="207">F244</f>
        <v>222.01</v>
      </c>
      <c r="L244" s="178">
        <f t="shared" ref="L244:L249" si="208">(K244/J244)*100</f>
        <v>36.635313531353134</v>
      </c>
      <c r="M244" s="86">
        <v>21170</v>
      </c>
      <c r="N244" s="81">
        <f t="shared" ref="N244:N247" si="209">F244*M244</f>
        <v>4699951.7</v>
      </c>
      <c r="O244" s="25">
        <v>8</v>
      </c>
      <c r="P244" s="93" t="s">
        <v>51</v>
      </c>
      <c r="Q244" s="225">
        <f>N293</f>
        <v>0</v>
      </c>
      <c r="R244" s="27">
        <f t="shared" si="196"/>
        <v>0</v>
      </c>
    </row>
    <row r="245" spans="1:18" x14ac:dyDescent="0.2">
      <c r="A245" s="82">
        <v>46216</v>
      </c>
      <c r="B245" s="229" t="s">
        <v>50</v>
      </c>
      <c r="C245" s="124">
        <v>518754</v>
      </c>
      <c r="D245" s="124">
        <v>519298</v>
      </c>
      <c r="E245" s="54">
        <f t="shared" si="204"/>
        <v>544</v>
      </c>
      <c r="F245" s="84">
        <v>188.59</v>
      </c>
      <c r="G245" s="55">
        <f t="shared" si="205"/>
        <v>34.66727941176471</v>
      </c>
      <c r="H245" s="167">
        <v>518114</v>
      </c>
      <c r="I245" s="167">
        <v>518671</v>
      </c>
      <c r="J245" s="124">
        <f t="shared" si="206"/>
        <v>557</v>
      </c>
      <c r="K245" s="124">
        <f t="shared" si="207"/>
        <v>188.59</v>
      </c>
      <c r="L245" s="178">
        <f t="shared" si="208"/>
        <v>33.858168761220824</v>
      </c>
      <c r="M245" s="86">
        <v>21740</v>
      </c>
      <c r="N245" s="87">
        <f t="shared" si="209"/>
        <v>4099946.6</v>
      </c>
      <c r="O245" s="25">
        <v>9</v>
      </c>
      <c r="P245" s="93" t="s">
        <v>65</v>
      </c>
      <c r="Q245" s="225">
        <f>N302</f>
        <v>0</v>
      </c>
      <c r="R245" s="27">
        <f t="shared" si="196"/>
        <v>0</v>
      </c>
    </row>
    <row r="246" spans="1:18" x14ac:dyDescent="0.2">
      <c r="A246" s="82"/>
      <c r="B246" s="229" t="s">
        <v>50</v>
      </c>
      <c r="C246" s="124"/>
      <c r="D246" s="124"/>
      <c r="E246" s="54">
        <f t="shared" si="204"/>
        <v>0</v>
      </c>
      <c r="F246" s="84"/>
      <c r="G246" s="55" t="e">
        <f t="shared" si="205"/>
        <v>#DIV/0!</v>
      </c>
      <c r="H246" s="167"/>
      <c r="I246" s="167"/>
      <c r="J246" s="124">
        <f t="shared" si="206"/>
        <v>0</v>
      </c>
      <c r="K246" s="124">
        <f t="shared" si="207"/>
        <v>0</v>
      </c>
      <c r="L246" s="178" t="e">
        <f t="shared" si="208"/>
        <v>#DIV/0!</v>
      </c>
      <c r="M246" s="86"/>
      <c r="N246" s="87">
        <f t="shared" si="209"/>
        <v>0</v>
      </c>
      <c r="O246" s="25">
        <v>10</v>
      </c>
      <c r="P246" s="230" t="s">
        <v>53</v>
      </c>
      <c r="Q246" s="225">
        <f>N284</f>
        <v>0</v>
      </c>
      <c r="R246" s="27">
        <f t="shared" si="196"/>
        <v>0</v>
      </c>
    </row>
    <row r="247" spans="1:18" x14ac:dyDescent="0.2">
      <c r="A247" s="82"/>
      <c r="B247" s="229" t="s">
        <v>50</v>
      </c>
      <c r="C247" s="124"/>
      <c r="D247" s="124"/>
      <c r="E247" s="54">
        <f t="shared" si="204"/>
        <v>0</v>
      </c>
      <c r="F247" s="84"/>
      <c r="G247" s="55" t="e">
        <f t="shared" si="205"/>
        <v>#DIV/0!</v>
      </c>
      <c r="H247" s="167"/>
      <c r="I247" s="167"/>
      <c r="J247" s="124">
        <f t="shared" si="206"/>
        <v>0</v>
      </c>
      <c r="K247" s="124">
        <f t="shared" si="207"/>
        <v>0</v>
      </c>
      <c r="L247" s="178" t="e">
        <f t="shared" si="208"/>
        <v>#DIV/0!</v>
      </c>
      <c r="M247" s="86"/>
      <c r="N247" s="87">
        <f t="shared" si="209"/>
        <v>0</v>
      </c>
      <c r="O247" s="25">
        <v>11</v>
      </c>
      <c r="P247" s="231" t="s">
        <v>54</v>
      </c>
      <c r="Q247" s="232">
        <f>N318</f>
        <v>8322472</v>
      </c>
      <c r="R247" s="27">
        <f t="shared" si="196"/>
        <v>8322472</v>
      </c>
    </row>
    <row r="248" spans="1:18" x14ac:dyDescent="0.2">
      <c r="A248" s="82"/>
      <c r="B248" s="229" t="s">
        <v>50</v>
      </c>
      <c r="C248" s="124"/>
      <c r="D248" s="124"/>
      <c r="E248" s="54">
        <f t="shared" si="204"/>
        <v>0</v>
      </c>
      <c r="F248" s="84"/>
      <c r="G248" s="55" t="e">
        <f t="shared" si="205"/>
        <v>#DIV/0!</v>
      </c>
      <c r="H248" s="167"/>
      <c r="I248" s="167"/>
      <c r="J248" s="124">
        <f t="shared" si="206"/>
        <v>0</v>
      </c>
      <c r="K248" s="124">
        <f t="shared" si="207"/>
        <v>0</v>
      </c>
      <c r="L248" s="178" t="e">
        <f t="shared" si="208"/>
        <v>#DIV/0!</v>
      </c>
      <c r="M248" s="86"/>
      <c r="N248" s="87">
        <f t="shared" ref="N248:N249" si="210">M248*K248</f>
        <v>0</v>
      </c>
      <c r="O248" s="25">
        <v>12</v>
      </c>
      <c r="P248" s="231" t="s">
        <v>66</v>
      </c>
      <c r="Q248" s="232">
        <f>N328</f>
        <v>10200358.300000001</v>
      </c>
      <c r="R248" s="27">
        <f t="shared" si="196"/>
        <v>10200358.300000001</v>
      </c>
    </row>
    <row r="249" spans="1:18" ht="17" thickBot="1" x14ac:dyDescent="0.25">
      <c r="A249" s="82"/>
      <c r="B249" s="229" t="s">
        <v>50</v>
      </c>
      <c r="C249" s="124"/>
      <c r="D249" s="124"/>
      <c r="E249" s="54">
        <f t="shared" si="204"/>
        <v>0</v>
      </c>
      <c r="F249" s="84"/>
      <c r="G249" s="55" t="e">
        <f t="shared" si="205"/>
        <v>#DIV/0!</v>
      </c>
      <c r="H249" s="167"/>
      <c r="I249" s="167"/>
      <c r="J249" s="124">
        <f t="shared" si="206"/>
        <v>0</v>
      </c>
      <c r="K249" s="124">
        <f t="shared" si="207"/>
        <v>0</v>
      </c>
      <c r="L249" s="178" t="e">
        <f t="shared" si="208"/>
        <v>#DIV/0!</v>
      </c>
      <c r="M249" s="86"/>
      <c r="N249" s="87">
        <f t="shared" si="210"/>
        <v>0</v>
      </c>
      <c r="O249" s="25">
        <v>13</v>
      </c>
      <c r="P249" s="233" t="s">
        <v>55</v>
      </c>
      <c r="Q249" s="232">
        <f>N335</f>
        <v>0</v>
      </c>
      <c r="R249" s="27">
        <f t="shared" si="196"/>
        <v>0</v>
      </c>
    </row>
    <row r="250" spans="1:18" ht="17" thickBot="1" x14ac:dyDescent="0.25">
      <c r="A250" s="82"/>
      <c r="B250" s="105"/>
      <c r="C250" s="104"/>
      <c r="D250" s="104" t="s">
        <v>17</v>
      </c>
      <c r="E250" s="104">
        <f>SUM(E244:E248)</f>
        <v>1160</v>
      </c>
      <c r="F250" s="104"/>
      <c r="G250" s="106" t="e">
        <f>AVERAGE(G244:G248)</f>
        <v>#DIV/0!</v>
      </c>
      <c r="H250" s="104"/>
      <c r="I250" s="107"/>
      <c r="J250" s="104">
        <f t="shared" ref="J250:K250" si="211">SUM(J244:J248)</f>
        <v>1163</v>
      </c>
      <c r="K250" s="104">
        <f t="shared" si="211"/>
        <v>410.6</v>
      </c>
      <c r="L250" s="106" t="e">
        <f>AVERAGE(L244:L248)</f>
        <v>#DIV/0!</v>
      </c>
      <c r="M250" s="108"/>
      <c r="N250" s="109">
        <f>SUM(N244:N249)</f>
        <v>8799898.3000000007</v>
      </c>
      <c r="O250" s="25">
        <v>14</v>
      </c>
      <c r="P250" s="224" t="s">
        <v>56</v>
      </c>
      <c r="Q250" s="27">
        <f>N345</f>
        <v>11550248.5</v>
      </c>
      <c r="R250" s="27">
        <f t="shared" si="196"/>
        <v>11550248.5</v>
      </c>
    </row>
    <row r="251" spans="1:18" ht="17" thickBot="1" x14ac:dyDescent="0.25">
      <c r="A251" s="82">
        <v>46204</v>
      </c>
      <c r="B251" s="229" t="s">
        <v>45</v>
      </c>
      <c r="C251" s="53"/>
      <c r="D251" s="53"/>
      <c r="E251" s="110">
        <f t="shared" ref="E251:E255" si="212">D251-C251</f>
        <v>0</v>
      </c>
      <c r="F251" s="84">
        <v>274.47000000000003</v>
      </c>
      <c r="G251" s="55" t="e">
        <f t="shared" ref="G251:G255" si="213">(F251/E251)*100</f>
        <v>#DIV/0!</v>
      </c>
      <c r="H251" s="168">
        <v>9101</v>
      </c>
      <c r="I251" s="168">
        <v>9392</v>
      </c>
      <c r="J251" s="78">
        <f t="shared" ref="J251:J255" si="214">I251-H251</f>
        <v>291</v>
      </c>
      <c r="K251" s="78"/>
      <c r="L251" s="178">
        <f t="shared" ref="L251:L255" si="215">(K251/J251)*100</f>
        <v>0</v>
      </c>
      <c r="M251" s="80">
        <v>21860</v>
      </c>
      <c r="N251" s="163">
        <f t="shared" ref="N251:N255" si="216">F251*M251</f>
        <v>5999914.2000000002</v>
      </c>
      <c r="O251" s="25">
        <v>15</v>
      </c>
      <c r="P251" s="224" t="s">
        <v>57</v>
      </c>
      <c r="Q251" s="27">
        <f>N352</f>
        <v>9299992.3999999985</v>
      </c>
      <c r="R251" s="27">
        <f t="shared" si="196"/>
        <v>9299992.3999999985</v>
      </c>
    </row>
    <row r="252" spans="1:18" x14ac:dyDescent="0.2">
      <c r="A252" s="82">
        <v>46218</v>
      </c>
      <c r="B252" s="229" t="s">
        <v>45</v>
      </c>
      <c r="C252" s="53"/>
      <c r="D252" s="53"/>
      <c r="E252" s="54">
        <f t="shared" si="212"/>
        <v>0</v>
      </c>
      <c r="F252" s="84">
        <v>229.98</v>
      </c>
      <c r="G252" s="55" t="e">
        <f t="shared" si="213"/>
        <v>#DIV/0!</v>
      </c>
      <c r="H252" s="168">
        <v>9392</v>
      </c>
      <c r="I252" s="167">
        <v>9615</v>
      </c>
      <c r="J252" s="124">
        <f t="shared" si="214"/>
        <v>223</v>
      </c>
      <c r="K252" s="76"/>
      <c r="L252" s="178">
        <f t="shared" si="215"/>
        <v>0</v>
      </c>
      <c r="M252" s="86">
        <v>21740</v>
      </c>
      <c r="N252" s="163">
        <f t="shared" si="216"/>
        <v>4999765.2</v>
      </c>
      <c r="O252" s="25"/>
      <c r="P252" s="234"/>
      <c r="Q252" s="25"/>
      <c r="R252" s="25"/>
    </row>
    <row r="253" spans="1:18" x14ac:dyDescent="0.2">
      <c r="A253" s="82"/>
      <c r="B253" s="229" t="s">
        <v>45</v>
      </c>
      <c r="C253" s="124"/>
      <c r="D253" s="124"/>
      <c r="E253" s="54">
        <f t="shared" si="212"/>
        <v>0</v>
      </c>
      <c r="F253" s="84"/>
      <c r="G253" s="55" t="e">
        <f t="shared" si="213"/>
        <v>#DIV/0!</v>
      </c>
      <c r="H253" s="167"/>
      <c r="I253" s="167"/>
      <c r="J253" s="124">
        <f t="shared" si="214"/>
        <v>0</v>
      </c>
      <c r="K253" s="76"/>
      <c r="L253" s="178" t="e">
        <f t="shared" si="215"/>
        <v>#DIV/0!</v>
      </c>
      <c r="M253" s="86"/>
      <c r="N253" s="163">
        <f t="shared" si="216"/>
        <v>0</v>
      </c>
      <c r="P253" s="235" t="s">
        <v>17</v>
      </c>
      <c r="Q253" s="27">
        <f>SUM(Q237:Q252)</f>
        <v>109482489.69999999</v>
      </c>
    </row>
    <row r="254" spans="1:18" x14ac:dyDescent="0.2">
      <c r="A254" s="82"/>
      <c r="B254" s="229" t="s">
        <v>45</v>
      </c>
      <c r="C254" s="124"/>
      <c r="D254" s="124"/>
      <c r="E254" s="54">
        <f t="shared" si="212"/>
        <v>0</v>
      </c>
      <c r="F254" s="84"/>
      <c r="G254" s="55" t="e">
        <f t="shared" si="213"/>
        <v>#DIV/0!</v>
      </c>
      <c r="H254" s="124"/>
      <c r="I254" s="167"/>
      <c r="J254" s="124">
        <f t="shared" si="214"/>
        <v>0</v>
      </c>
      <c r="K254" s="76"/>
      <c r="L254" s="178" t="e">
        <f t="shared" si="215"/>
        <v>#DIV/0!</v>
      </c>
      <c r="M254" s="86"/>
      <c r="N254" s="163">
        <f t="shared" si="216"/>
        <v>0</v>
      </c>
    </row>
    <row r="255" spans="1:18" ht="17" thickBot="1" x14ac:dyDescent="0.25">
      <c r="A255" s="82"/>
      <c r="B255" s="229" t="s">
        <v>45</v>
      </c>
      <c r="C255" s="124"/>
      <c r="D255" s="124"/>
      <c r="E255" s="54">
        <f t="shared" si="212"/>
        <v>0</v>
      </c>
      <c r="F255" s="84"/>
      <c r="G255" s="55" t="e">
        <f t="shared" si="213"/>
        <v>#DIV/0!</v>
      </c>
      <c r="H255" s="124"/>
      <c r="I255" s="167"/>
      <c r="J255" s="124">
        <f t="shared" si="214"/>
        <v>0</v>
      </c>
      <c r="K255" s="76"/>
      <c r="L255" s="178" t="e">
        <f t="shared" si="215"/>
        <v>#DIV/0!</v>
      </c>
      <c r="M255" s="86"/>
      <c r="N255" s="163">
        <f t="shared" si="216"/>
        <v>0</v>
      </c>
    </row>
    <row r="256" spans="1:18" ht="17" thickBot="1" x14ac:dyDescent="0.25">
      <c r="A256" s="82"/>
      <c r="B256" s="105"/>
      <c r="C256" s="104"/>
      <c r="D256" s="104" t="s">
        <v>17</v>
      </c>
      <c r="E256" s="104">
        <f>SUM(E251:E255)</f>
        <v>0</v>
      </c>
      <c r="F256" s="104"/>
      <c r="G256" s="106" t="e">
        <f>AVERAGE(G251:G255)</f>
        <v>#DIV/0!</v>
      </c>
      <c r="H256" s="104"/>
      <c r="I256" s="107"/>
      <c r="J256" s="104">
        <f t="shared" ref="J256:K256" si="217">SUM(J251:J255)</f>
        <v>514</v>
      </c>
      <c r="K256" s="104">
        <f t="shared" si="217"/>
        <v>0</v>
      </c>
      <c r="L256" s="106" t="e">
        <f>AVERAGE(L251:L255)</f>
        <v>#DIV/0!</v>
      </c>
      <c r="M256" s="108"/>
      <c r="N256" s="109">
        <f>SUM(N251:N255)</f>
        <v>10999679.4</v>
      </c>
    </row>
    <row r="257" spans="1:14" x14ac:dyDescent="0.2">
      <c r="A257" s="82">
        <v>46218</v>
      </c>
      <c r="B257" s="181" t="s">
        <v>46</v>
      </c>
      <c r="C257" s="124"/>
      <c r="D257" s="53"/>
      <c r="E257" s="110">
        <f t="shared" ref="E257:E261" si="218">D257-C257</f>
        <v>0</v>
      </c>
      <c r="F257" s="77">
        <v>183.99</v>
      </c>
      <c r="G257" s="55" t="e">
        <f t="shared" ref="G257:G261" si="219">(F257/E257)*100</f>
        <v>#DIV/0!</v>
      </c>
      <c r="H257" s="124"/>
      <c r="I257" s="168"/>
      <c r="J257" s="78">
        <f t="shared" ref="J257:J261" si="220">I257-H257</f>
        <v>0</v>
      </c>
      <c r="K257" s="78">
        <f t="shared" ref="K257:K261" si="221">F257</f>
        <v>183.99</v>
      </c>
      <c r="L257" s="85" t="e">
        <f t="shared" ref="L257:L261" si="222">(K257/J257)*100</f>
        <v>#DIV/0!</v>
      </c>
      <c r="M257" s="80">
        <v>21740</v>
      </c>
      <c r="N257" s="163">
        <f t="shared" ref="N257:N260" si="223">M257*K257</f>
        <v>3999942.6</v>
      </c>
    </row>
    <row r="258" spans="1:14" x14ac:dyDescent="0.2">
      <c r="A258" s="82"/>
      <c r="B258" s="181" t="s">
        <v>46</v>
      </c>
      <c r="C258" s="53"/>
      <c r="D258" s="124"/>
      <c r="E258" s="54">
        <f t="shared" si="218"/>
        <v>0</v>
      </c>
      <c r="F258" s="84"/>
      <c r="G258" s="55" t="e">
        <f t="shared" si="219"/>
        <v>#DIV/0!</v>
      </c>
      <c r="H258" s="124"/>
      <c r="I258" s="167"/>
      <c r="J258" s="124">
        <f t="shared" si="220"/>
        <v>0</v>
      </c>
      <c r="K258" s="124">
        <f t="shared" si="221"/>
        <v>0</v>
      </c>
      <c r="L258" s="178" t="e">
        <f t="shared" si="222"/>
        <v>#DIV/0!</v>
      </c>
      <c r="M258" s="86"/>
      <c r="N258" s="163">
        <f t="shared" si="223"/>
        <v>0</v>
      </c>
    </row>
    <row r="259" spans="1:14" x14ac:dyDescent="0.2">
      <c r="A259" s="82"/>
      <c r="B259" s="181" t="s">
        <v>46</v>
      </c>
      <c r="C259" s="124"/>
      <c r="D259" s="124"/>
      <c r="E259" s="54">
        <f t="shared" si="218"/>
        <v>0</v>
      </c>
      <c r="F259" s="84"/>
      <c r="G259" s="55" t="e">
        <f t="shared" si="219"/>
        <v>#DIV/0!</v>
      </c>
      <c r="H259" s="124"/>
      <c r="I259" s="167"/>
      <c r="J259" s="124">
        <f t="shared" si="220"/>
        <v>0</v>
      </c>
      <c r="K259" s="124">
        <f t="shared" si="221"/>
        <v>0</v>
      </c>
      <c r="L259" s="178" t="e">
        <f t="shared" si="222"/>
        <v>#DIV/0!</v>
      </c>
      <c r="M259" s="86"/>
      <c r="N259" s="163">
        <f t="shared" si="223"/>
        <v>0</v>
      </c>
    </row>
    <row r="260" spans="1:14" x14ac:dyDescent="0.2">
      <c r="A260" s="82"/>
      <c r="B260" s="181" t="s">
        <v>46</v>
      </c>
      <c r="C260" s="124"/>
      <c r="D260" s="124"/>
      <c r="E260" s="54">
        <f t="shared" si="218"/>
        <v>0</v>
      </c>
      <c r="F260" s="84"/>
      <c r="G260" s="55" t="e">
        <f t="shared" si="219"/>
        <v>#DIV/0!</v>
      </c>
      <c r="H260" s="124"/>
      <c r="I260" s="167"/>
      <c r="J260" s="124">
        <f t="shared" si="220"/>
        <v>0</v>
      </c>
      <c r="K260" s="124">
        <f t="shared" si="221"/>
        <v>0</v>
      </c>
      <c r="L260" s="178" t="e">
        <f t="shared" si="222"/>
        <v>#DIV/0!</v>
      </c>
      <c r="M260" s="86"/>
      <c r="N260" s="163">
        <f t="shared" si="223"/>
        <v>0</v>
      </c>
    </row>
    <row r="261" spans="1:14" ht="17" thickBot="1" x14ac:dyDescent="0.25">
      <c r="A261" s="82"/>
      <c r="B261" s="181" t="s">
        <v>46</v>
      </c>
      <c r="C261" s="124"/>
      <c r="D261" s="124"/>
      <c r="E261" s="54">
        <f t="shared" si="218"/>
        <v>0</v>
      </c>
      <c r="F261" s="84"/>
      <c r="G261" s="55" t="e">
        <f t="shared" si="219"/>
        <v>#DIV/0!</v>
      </c>
      <c r="H261" s="124"/>
      <c r="I261" s="167"/>
      <c r="J261" s="124">
        <f t="shared" si="220"/>
        <v>0</v>
      </c>
      <c r="K261" s="124">
        <f t="shared" si="221"/>
        <v>0</v>
      </c>
      <c r="L261" s="178" t="e">
        <f t="shared" si="222"/>
        <v>#DIV/0!</v>
      </c>
      <c r="M261" s="86"/>
      <c r="N261" s="163">
        <f>F261*M261</f>
        <v>0</v>
      </c>
    </row>
    <row r="262" spans="1:14" ht="17" thickBot="1" x14ac:dyDescent="0.25">
      <c r="A262" s="82"/>
      <c r="B262" s="105"/>
      <c r="C262" s="104"/>
      <c r="D262" s="104" t="s">
        <v>17</v>
      </c>
      <c r="E262" s="104">
        <f>SUM(E257:E261)</f>
        <v>0</v>
      </c>
      <c r="F262" s="104"/>
      <c r="G262" s="106" t="e">
        <f>AVERAGE(G257:G261)</f>
        <v>#DIV/0!</v>
      </c>
      <c r="H262" s="104"/>
      <c r="I262" s="107"/>
      <c r="J262" s="104">
        <f t="shared" ref="J262:K262" si="224">SUM(J257:J261)</f>
        <v>0</v>
      </c>
      <c r="K262" s="104">
        <f t="shared" si="224"/>
        <v>183.99</v>
      </c>
      <c r="L262" s="106" t="e">
        <f>AVERAGE(L257:L261)</f>
        <v>#DIV/0!</v>
      </c>
      <c r="M262" s="108"/>
      <c r="N262" s="109">
        <f>SUM(N257:N261)</f>
        <v>3999942.6</v>
      </c>
    </row>
    <row r="263" spans="1:14" x14ac:dyDescent="0.2">
      <c r="A263" s="82">
        <v>46206</v>
      </c>
      <c r="B263" s="181" t="s">
        <v>47</v>
      </c>
      <c r="C263" s="124"/>
      <c r="D263" s="53"/>
      <c r="E263" s="110"/>
      <c r="F263" s="77">
        <v>245.63</v>
      </c>
      <c r="G263" s="55" t="e">
        <f t="shared" ref="G263:G267" si="225">(F263/E263)*100</f>
        <v>#DIV/0!</v>
      </c>
      <c r="H263" s="124"/>
      <c r="I263" s="168"/>
      <c r="J263" s="124">
        <f t="shared" ref="J263:J267" si="226">I263-H263</f>
        <v>0</v>
      </c>
      <c r="K263" s="124">
        <f t="shared" ref="K263:K267" si="227">F263</f>
        <v>245.63</v>
      </c>
      <c r="L263" s="178" t="e">
        <f t="shared" ref="L263:L267" si="228">(K263/J263)*100</f>
        <v>#DIV/0!</v>
      </c>
      <c r="M263" s="80">
        <v>21170</v>
      </c>
      <c r="N263" s="87">
        <f>F263*M263</f>
        <v>5199987.0999999996</v>
      </c>
    </row>
    <row r="264" spans="1:14" x14ac:dyDescent="0.2">
      <c r="A264" s="82">
        <v>46218</v>
      </c>
      <c r="B264" s="181" t="s">
        <v>47</v>
      </c>
      <c r="C264" s="124"/>
      <c r="D264" s="124"/>
      <c r="E264" s="54">
        <f t="shared" ref="E264:E267" si="229">D264-C264</f>
        <v>0</v>
      </c>
      <c r="F264" s="84">
        <v>183.99</v>
      </c>
      <c r="G264" s="55" t="e">
        <f t="shared" si="225"/>
        <v>#DIV/0!</v>
      </c>
      <c r="H264" s="124"/>
      <c r="I264" s="167"/>
      <c r="J264" s="124">
        <f t="shared" si="226"/>
        <v>0</v>
      </c>
      <c r="K264" s="124">
        <f t="shared" si="227"/>
        <v>183.99</v>
      </c>
      <c r="L264" s="178" t="e">
        <f t="shared" si="228"/>
        <v>#DIV/0!</v>
      </c>
      <c r="M264" s="86">
        <v>21740</v>
      </c>
      <c r="N264" s="87">
        <f>M264*K264</f>
        <v>3999942.6</v>
      </c>
    </row>
    <row r="265" spans="1:14" x14ac:dyDescent="0.2">
      <c r="A265" s="82"/>
      <c r="B265" s="181" t="s">
        <v>47</v>
      </c>
      <c r="C265" s="124"/>
      <c r="D265" s="124"/>
      <c r="E265" s="54">
        <f t="shared" si="229"/>
        <v>0</v>
      </c>
      <c r="F265" s="84"/>
      <c r="G265" s="55" t="e">
        <f t="shared" si="225"/>
        <v>#DIV/0!</v>
      </c>
      <c r="H265" s="124"/>
      <c r="I265" s="167"/>
      <c r="J265" s="124">
        <f t="shared" si="226"/>
        <v>0</v>
      </c>
      <c r="K265" s="124">
        <f t="shared" si="227"/>
        <v>0</v>
      </c>
      <c r="L265" s="178" t="e">
        <f t="shared" si="228"/>
        <v>#DIV/0!</v>
      </c>
      <c r="M265" s="86"/>
      <c r="N265" s="87">
        <f t="shared" ref="N265:N267" si="230">F265*M265</f>
        <v>0</v>
      </c>
    </row>
    <row r="266" spans="1:14" x14ac:dyDescent="0.2">
      <c r="A266" s="82"/>
      <c r="B266" s="181" t="s">
        <v>47</v>
      </c>
      <c r="C266" s="124"/>
      <c r="D266" s="124"/>
      <c r="E266" s="54">
        <f t="shared" si="229"/>
        <v>0</v>
      </c>
      <c r="F266" s="84"/>
      <c r="G266" s="55" t="e">
        <f t="shared" si="225"/>
        <v>#DIV/0!</v>
      </c>
      <c r="H266" s="124"/>
      <c r="I266" s="167"/>
      <c r="J266" s="124">
        <f t="shared" si="226"/>
        <v>0</v>
      </c>
      <c r="K266" s="124">
        <f t="shared" si="227"/>
        <v>0</v>
      </c>
      <c r="L266" s="178" t="e">
        <f t="shared" si="228"/>
        <v>#DIV/0!</v>
      </c>
      <c r="M266" s="86"/>
      <c r="N266" s="87">
        <f t="shared" si="230"/>
        <v>0</v>
      </c>
    </row>
    <row r="267" spans="1:14" ht="17" thickBot="1" x14ac:dyDescent="0.25">
      <c r="A267" s="82"/>
      <c r="B267" s="181" t="s">
        <v>47</v>
      </c>
      <c r="C267" s="124"/>
      <c r="D267" s="124"/>
      <c r="E267" s="54">
        <f t="shared" si="229"/>
        <v>0</v>
      </c>
      <c r="F267" s="84"/>
      <c r="G267" s="55" t="e">
        <f t="shared" si="225"/>
        <v>#DIV/0!</v>
      </c>
      <c r="H267" s="124"/>
      <c r="I267" s="167"/>
      <c r="J267" s="124">
        <f t="shared" si="226"/>
        <v>0</v>
      </c>
      <c r="K267" s="124">
        <f t="shared" si="227"/>
        <v>0</v>
      </c>
      <c r="L267" s="178" t="e">
        <f t="shared" si="228"/>
        <v>#DIV/0!</v>
      </c>
      <c r="M267" s="86"/>
      <c r="N267" s="87">
        <f t="shared" si="230"/>
        <v>0</v>
      </c>
    </row>
    <row r="268" spans="1:14" ht="17" thickBot="1" x14ac:dyDescent="0.25">
      <c r="A268" s="82"/>
      <c r="B268" s="105"/>
      <c r="C268" s="104"/>
      <c r="D268" s="104" t="s">
        <v>17</v>
      </c>
      <c r="E268" s="104">
        <f>SUM(E263:E267)</f>
        <v>0</v>
      </c>
      <c r="F268" s="104"/>
      <c r="G268" s="106" t="e">
        <f>AVERAGE(G263:G267)</f>
        <v>#DIV/0!</v>
      </c>
      <c r="H268" s="104"/>
      <c r="I268" s="107"/>
      <c r="J268" s="104">
        <f t="shared" ref="J268:K268" si="231">SUM(J263:J267)</f>
        <v>0</v>
      </c>
      <c r="K268" s="104">
        <f t="shared" si="231"/>
        <v>429.62</v>
      </c>
      <c r="L268" s="106" t="e">
        <f>AVERAGE(L263:L267)</f>
        <v>#DIV/0!</v>
      </c>
      <c r="M268" s="108"/>
      <c r="N268" s="109">
        <f>SUM(N263:N267)</f>
        <v>9199929.6999999993</v>
      </c>
    </row>
    <row r="269" spans="1:14" x14ac:dyDescent="0.2">
      <c r="A269" s="82">
        <v>46205</v>
      </c>
      <c r="B269" s="229" t="s">
        <v>48</v>
      </c>
      <c r="C269" s="124">
        <v>313798</v>
      </c>
      <c r="D269" s="124">
        <v>314223</v>
      </c>
      <c r="E269" s="54">
        <f t="shared" ref="E269:E274" si="232">D269-C269</f>
        <v>425</v>
      </c>
      <c r="F269" s="77">
        <v>137.24</v>
      </c>
      <c r="G269" s="55">
        <f t="shared" ref="G269:G274" si="233">(F269/E269)*100</f>
        <v>32.29176470588235</v>
      </c>
      <c r="H269" s="167">
        <v>27679</v>
      </c>
      <c r="I269" s="167">
        <v>28058</v>
      </c>
      <c r="J269" s="78">
        <f t="shared" ref="J269:J274" si="234">I269-H269</f>
        <v>379</v>
      </c>
      <c r="K269" s="78">
        <f t="shared" ref="K269:K274" si="235">F269</f>
        <v>137.24</v>
      </c>
      <c r="L269" s="178">
        <f t="shared" ref="L269:L274" si="236">(K269/J269)*100</f>
        <v>36.211081794195252</v>
      </c>
      <c r="M269" s="80">
        <v>21860</v>
      </c>
      <c r="N269" s="87">
        <f t="shared" ref="N269:N272" si="237">F269*M269</f>
        <v>3000066.4000000004</v>
      </c>
    </row>
    <row r="270" spans="1:14" x14ac:dyDescent="0.2">
      <c r="A270" s="82">
        <v>46211</v>
      </c>
      <c r="B270" s="229" t="s">
        <v>48</v>
      </c>
      <c r="C270" s="124">
        <v>314223</v>
      </c>
      <c r="D270" s="124">
        <v>314726</v>
      </c>
      <c r="E270" s="54">
        <f t="shared" si="232"/>
        <v>503</v>
      </c>
      <c r="F270" s="84">
        <v>140.76</v>
      </c>
      <c r="G270" s="55">
        <f t="shared" si="233"/>
        <v>27.984095427435385</v>
      </c>
      <c r="H270" s="167">
        <v>28058</v>
      </c>
      <c r="I270" s="124">
        <v>28471</v>
      </c>
      <c r="J270" s="124">
        <f t="shared" si="234"/>
        <v>413</v>
      </c>
      <c r="K270" s="124">
        <f t="shared" si="235"/>
        <v>140.76</v>
      </c>
      <c r="L270" s="178">
        <f t="shared" si="236"/>
        <v>34.082324455205807</v>
      </c>
      <c r="M270" s="86">
        <v>21170</v>
      </c>
      <c r="N270" s="87">
        <f t="shared" si="237"/>
        <v>2979889.1999999997</v>
      </c>
    </row>
    <row r="271" spans="1:14" x14ac:dyDescent="0.2">
      <c r="A271" s="82">
        <v>46216</v>
      </c>
      <c r="B271" s="229" t="s">
        <v>48</v>
      </c>
      <c r="C271" s="124">
        <v>314726</v>
      </c>
      <c r="D271" s="124">
        <v>315197</v>
      </c>
      <c r="E271" s="54">
        <f t="shared" si="232"/>
        <v>471</v>
      </c>
      <c r="F271" s="84">
        <v>133.38999999999999</v>
      </c>
      <c r="G271" s="55">
        <f t="shared" si="233"/>
        <v>28.320594479830145</v>
      </c>
      <c r="H271" s="124">
        <v>28471</v>
      </c>
      <c r="I271" s="167">
        <v>28921</v>
      </c>
      <c r="J271" s="124">
        <f t="shared" si="234"/>
        <v>450</v>
      </c>
      <c r="K271" s="124">
        <f t="shared" si="235"/>
        <v>133.38999999999999</v>
      </c>
      <c r="L271" s="178">
        <f t="shared" si="236"/>
        <v>29.64222222222222</v>
      </c>
      <c r="M271" s="86">
        <v>21740</v>
      </c>
      <c r="N271" s="87">
        <f t="shared" si="237"/>
        <v>2899898.5999999996</v>
      </c>
    </row>
    <row r="272" spans="1:14" x14ac:dyDescent="0.2">
      <c r="A272" s="82"/>
      <c r="B272" s="229" t="s">
        <v>48</v>
      </c>
      <c r="C272" s="124"/>
      <c r="D272" s="124"/>
      <c r="E272" s="54">
        <f t="shared" si="232"/>
        <v>0</v>
      </c>
      <c r="F272" s="84"/>
      <c r="G272" s="55" t="e">
        <f t="shared" si="233"/>
        <v>#DIV/0!</v>
      </c>
      <c r="H272" s="167"/>
      <c r="I272" s="167"/>
      <c r="J272" s="124">
        <f t="shared" si="234"/>
        <v>0</v>
      </c>
      <c r="K272" s="124">
        <f t="shared" si="235"/>
        <v>0</v>
      </c>
      <c r="L272" s="178" t="e">
        <f t="shared" si="236"/>
        <v>#DIV/0!</v>
      </c>
      <c r="M272" s="86"/>
      <c r="N272" s="87">
        <f t="shared" si="237"/>
        <v>0</v>
      </c>
    </row>
    <row r="273" spans="1:14" x14ac:dyDescent="0.2">
      <c r="A273" s="82"/>
      <c r="B273" s="229" t="s">
        <v>48</v>
      </c>
      <c r="C273" s="124"/>
      <c r="D273" s="124"/>
      <c r="E273" s="54">
        <f t="shared" si="232"/>
        <v>0</v>
      </c>
      <c r="F273" s="84"/>
      <c r="G273" s="55" t="e">
        <f t="shared" si="233"/>
        <v>#DIV/0!</v>
      </c>
      <c r="H273" s="167"/>
      <c r="I273" s="167"/>
      <c r="J273" s="124">
        <f t="shared" si="234"/>
        <v>0</v>
      </c>
      <c r="K273" s="124">
        <f t="shared" si="235"/>
        <v>0</v>
      </c>
      <c r="L273" s="178" t="e">
        <f t="shared" si="236"/>
        <v>#DIV/0!</v>
      </c>
      <c r="M273" s="86"/>
      <c r="N273" s="87">
        <f t="shared" ref="N273:N274" si="238">M273*K273</f>
        <v>0</v>
      </c>
    </row>
    <row r="274" spans="1:14" ht="17" thickBot="1" x14ac:dyDescent="0.25">
      <c r="A274" s="82"/>
      <c r="B274" s="229" t="s">
        <v>48</v>
      </c>
      <c r="C274" s="124"/>
      <c r="D274" s="124"/>
      <c r="E274" s="54">
        <f t="shared" si="232"/>
        <v>0</v>
      </c>
      <c r="F274" s="84"/>
      <c r="G274" s="55" t="e">
        <f t="shared" si="233"/>
        <v>#DIV/0!</v>
      </c>
      <c r="H274" s="167"/>
      <c r="I274" s="167"/>
      <c r="J274" s="124">
        <f t="shared" si="234"/>
        <v>0</v>
      </c>
      <c r="K274" s="124">
        <f t="shared" si="235"/>
        <v>0</v>
      </c>
      <c r="L274" s="178" t="e">
        <f t="shared" si="236"/>
        <v>#DIV/0!</v>
      </c>
      <c r="M274" s="86"/>
      <c r="N274" s="87">
        <f t="shared" si="238"/>
        <v>0</v>
      </c>
    </row>
    <row r="275" spans="1:14" ht="17" thickBot="1" x14ac:dyDescent="0.25">
      <c r="A275" s="82"/>
      <c r="B275" s="105"/>
      <c r="C275" s="104"/>
      <c r="D275" s="104" t="s">
        <v>17</v>
      </c>
      <c r="E275" s="104">
        <f>SUM(E269:E273)</f>
        <v>1399</v>
      </c>
      <c r="F275" s="104"/>
      <c r="G275" s="106" t="e">
        <f>AVERAGE(G269:G273)</f>
        <v>#DIV/0!</v>
      </c>
      <c r="H275" s="104"/>
      <c r="I275" s="107"/>
      <c r="J275" s="104">
        <f t="shared" ref="J275:K275" si="239">SUM(J269:J273)</f>
        <v>1242</v>
      </c>
      <c r="K275" s="104">
        <f t="shared" si="239"/>
        <v>411.39</v>
      </c>
      <c r="L275" s="106" t="e">
        <f>AVERAGE(L269:L273)</f>
        <v>#DIV/0!</v>
      </c>
      <c r="M275" s="108"/>
      <c r="N275" s="109">
        <f>SUM(N269:N274)</f>
        <v>8879854.1999999993</v>
      </c>
    </row>
    <row r="276" spans="1:14" x14ac:dyDescent="0.2">
      <c r="A276" s="82"/>
      <c r="B276" s="236" t="s">
        <v>58</v>
      </c>
      <c r="C276" s="124"/>
      <c r="D276" s="53"/>
      <c r="E276" s="110">
        <f t="shared" ref="E276:E283" si="240">D276-C276</f>
        <v>0</v>
      </c>
      <c r="F276" s="77"/>
      <c r="G276" s="55" t="e">
        <f t="shared" ref="G276:G283" si="241">(F276/E276)*100</f>
        <v>#DIV/0!</v>
      </c>
      <c r="H276" s="124"/>
      <c r="I276" s="168"/>
      <c r="J276" s="78">
        <f t="shared" ref="J276:J283" si="242">I276-H276</f>
        <v>0</v>
      </c>
      <c r="K276" s="78">
        <f t="shared" ref="K276:K283" si="243">F276</f>
        <v>0</v>
      </c>
      <c r="L276" s="178" t="e">
        <f t="shared" ref="L276:L283" si="244">(K276/J276)*100</f>
        <v>#DIV/0!</v>
      </c>
      <c r="M276" s="80"/>
      <c r="N276" s="163"/>
    </row>
    <row r="277" spans="1:14" x14ac:dyDescent="0.2">
      <c r="A277" s="82"/>
      <c r="B277" s="236" t="s">
        <v>58</v>
      </c>
      <c r="C277" s="124"/>
      <c r="D277" s="124"/>
      <c r="E277" s="54">
        <f t="shared" si="240"/>
        <v>0</v>
      </c>
      <c r="F277" s="84"/>
      <c r="G277" s="55" t="e">
        <f t="shared" si="241"/>
        <v>#DIV/0!</v>
      </c>
      <c r="H277" s="124"/>
      <c r="I277" s="167"/>
      <c r="J277" s="124">
        <f t="shared" si="242"/>
        <v>0</v>
      </c>
      <c r="K277" s="124">
        <f t="shared" si="243"/>
        <v>0</v>
      </c>
      <c r="L277" s="178" t="e">
        <f t="shared" si="244"/>
        <v>#DIV/0!</v>
      </c>
      <c r="M277" s="86"/>
      <c r="N277" s="163"/>
    </row>
    <row r="278" spans="1:14" x14ac:dyDescent="0.2">
      <c r="A278" s="82"/>
      <c r="B278" s="236" t="s">
        <v>58</v>
      </c>
      <c r="C278" s="124"/>
      <c r="D278" s="124"/>
      <c r="E278" s="54">
        <f t="shared" si="240"/>
        <v>0</v>
      </c>
      <c r="F278" s="84"/>
      <c r="G278" s="55" t="e">
        <f t="shared" si="241"/>
        <v>#DIV/0!</v>
      </c>
      <c r="H278" s="124"/>
      <c r="I278" s="167"/>
      <c r="J278" s="124">
        <f t="shared" si="242"/>
        <v>0</v>
      </c>
      <c r="K278" s="124">
        <f t="shared" si="243"/>
        <v>0</v>
      </c>
      <c r="L278" s="178" t="e">
        <f t="shared" si="244"/>
        <v>#DIV/0!</v>
      </c>
      <c r="M278" s="86"/>
      <c r="N278" s="163"/>
    </row>
    <row r="279" spans="1:14" x14ac:dyDescent="0.2">
      <c r="A279" s="82"/>
      <c r="B279" s="236" t="s">
        <v>58</v>
      </c>
      <c r="C279" s="124"/>
      <c r="D279" s="124"/>
      <c r="E279" s="54">
        <f t="shared" si="240"/>
        <v>0</v>
      </c>
      <c r="F279" s="84"/>
      <c r="G279" s="55" t="e">
        <f t="shared" si="241"/>
        <v>#DIV/0!</v>
      </c>
      <c r="H279" s="124"/>
      <c r="I279" s="167"/>
      <c r="J279" s="124">
        <f t="shared" si="242"/>
        <v>0</v>
      </c>
      <c r="K279" s="124">
        <f t="shared" si="243"/>
        <v>0</v>
      </c>
      <c r="L279" s="178" t="e">
        <f t="shared" si="244"/>
        <v>#DIV/0!</v>
      </c>
      <c r="M279" s="86"/>
      <c r="N279" s="163"/>
    </row>
    <row r="280" spans="1:14" x14ac:dyDescent="0.2">
      <c r="A280" s="82"/>
      <c r="B280" s="236" t="s">
        <v>58</v>
      </c>
      <c r="C280" s="124"/>
      <c r="D280" s="124"/>
      <c r="E280" s="54">
        <f t="shared" si="240"/>
        <v>0</v>
      </c>
      <c r="F280" s="84"/>
      <c r="G280" s="55" t="e">
        <f t="shared" si="241"/>
        <v>#DIV/0!</v>
      </c>
      <c r="H280" s="124"/>
      <c r="I280" s="167"/>
      <c r="J280" s="124">
        <f t="shared" si="242"/>
        <v>0</v>
      </c>
      <c r="K280" s="124">
        <f t="shared" si="243"/>
        <v>0</v>
      </c>
      <c r="L280" s="178" t="e">
        <f t="shared" si="244"/>
        <v>#DIV/0!</v>
      </c>
      <c r="M280" s="86"/>
      <c r="N280" s="163"/>
    </row>
    <row r="281" spans="1:14" x14ac:dyDescent="0.2">
      <c r="A281" s="82"/>
      <c r="B281" s="236" t="s">
        <v>58</v>
      </c>
      <c r="C281" s="124"/>
      <c r="D281" s="124"/>
      <c r="E281" s="54">
        <f t="shared" si="240"/>
        <v>0</v>
      </c>
      <c r="F281" s="84"/>
      <c r="G281" s="55" t="e">
        <f t="shared" si="241"/>
        <v>#DIV/0!</v>
      </c>
      <c r="H281" s="124"/>
      <c r="I281" s="167"/>
      <c r="J281" s="124">
        <f t="shared" si="242"/>
        <v>0</v>
      </c>
      <c r="K281" s="124">
        <f t="shared" si="243"/>
        <v>0</v>
      </c>
      <c r="L281" s="178" t="e">
        <f t="shared" si="244"/>
        <v>#DIV/0!</v>
      </c>
      <c r="M281" s="86"/>
      <c r="N281" s="163"/>
    </row>
    <row r="282" spans="1:14" x14ac:dyDescent="0.2">
      <c r="A282" s="82"/>
      <c r="B282" s="236" t="s">
        <v>58</v>
      </c>
      <c r="C282" s="124"/>
      <c r="D282" s="124"/>
      <c r="E282" s="54">
        <f t="shared" si="240"/>
        <v>0</v>
      </c>
      <c r="F282" s="84"/>
      <c r="G282" s="55" t="e">
        <f t="shared" si="241"/>
        <v>#DIV/0!</v>
      </c>
      <c r="H282" s="124"/>
      <c r="I282" s="167"/>
      <c r="J282" s="124">
        <f t="shared" si="242"/>
        <v>0</v>
      </c>
      <c r="K282" s="124">
        <f t="shared" si="243"/>
        <v>0</v>
      </c>
      <c r="L282" s="178" t="e">
        <f t="shared" si="244"/>
        <v>#DIV/0!</v>
      </c>
      <c r="M282" s="86"/>
      <c r="N282" s="163"/>
    </row>
    <row r="283" spans="1:14" ht="17" thickBot="1" x14ac:dyDescent="0.25">
      <c r="A283" s="82"/>
      <c r="B283" s="236" t="s">
        <v>58</v>
      </c>
      <c r="C283" s="124"/>
      <c r="D283" s="124"/>
      <c r="E283" s="54">
        <f t="shared" si="240"/>
        <v>0</v>
      </c>
      <c r="F283" s="84"/>
      <c r="G283" s="55" t="e">
        <f t="shared" si="241"/>
        <v>#DIV/0!</v>
      </c>
      <c r="H283" s="124"/>
      <c r="I283" s="167"/>
      <c r="J283" s="124">
        <f t="shared" si="242"/>
        <v>0</v>
      </c>
      <c r="K283" s="124">
        <f t="shared" si="243"/>
        <v>0</v>
      </c>
      <c r="L283" s="178" t="e">
        <f t="shared" si="244"/>
        <v>#DIV/0!</v>
      </c>
      <c r="M283" s="86"/>
      <c r="N283" s="163"/>
    </row>
    <row r="284" spans="1:14" ht="17" thickBot="1" x14ac:dyDescent="0.25">
      <c r="A284" s="104"/>
      <c r="B284" s="105"/>
      <c r="C284" s="104"/>
      <c r="D284" s="104"/>
      <c r="E284" s="104">
        <f>SUM(E276:E280)</f>
        <v>0</v>
      </c>
      <c r="F284" s="104"/>
      <c r="G284" s="106" t="e">
        <f>AVERAGE(G276:G280)</f>
        <v>#DIV/0!</v>
      </c>
      <c r="H284" s="104"/>
      <c r="I284" s="107"/>
      <c r="J284" s="104">
        <f t="shared" ref="J284:K284" si="245">SUM(J276:J280)</f>
        <v>0</v>
      </c>
      <c r="K284" s="104">
        <f t="shared" si="245"/>
        <v>0</v>
      </c>
      <c r="L284" s="106" t="e">
        <f>AVERAGE(L276:L280)</f>
        <v>#DIV/0!</v>
      </c>
      <c r="M284" s="108"/>
      <c r="N284" s="109">
        <f>SUM(N276:N283)</f>
        <v>0</v>
      </c>
    </row>
    <row r="285" spans="1:14" x14ac:dyDescent="0.2">
      <c r="A285" s="74"/>
      <c r="B285" s="181" t="s">
        <v>51</v>
      </c>
      <c r="C285" s="124"/>
      <c r="D285" s="53"/>
      <c r="E285" s="110">
        <f t="shared" ref="E285:E290" si="246">D285-C285</f>
        <v>0</v>
      </c>
      <c r="F285" s="77"/>
      <c r="G285" s="55" t="e">
        <f t="shared" ref="G285:G290" si="247">(F285/E285)*100</f>
        <v>#DIV/0!</v>
      </c>
      <c r="H285" s="124"/>
      <c r="I285" s="168"/>
      <c r="J285" s="78">
        <f t="shared" ref="J285:J292" si="248">I285-H285</f>
        <v>0</v>
      </c>
      <c r="K285" s="78"/>
      <c r="L285" s="178" t="e">
        <f t="shared" ref="L285:L292" si="249">(K285/J285)*100</f>
        <v>#DIV/0!</v>
      </c>
      <c r="M285" s="80"/>
      <c r="N285" s="87"/>
    </row>
    <row r="286" spans="1:14" x14ac:dyDescent="0.2">
      <c r="A286" s="88"/>
      <c r="B286" s="181" t="s">
        <v>51</v>
      </c>
      <c r="C286" s="124"/>
      <c r="D286" s="124"/>
      <c r="E286" s="54">
        <f t="shared" si="246"/>
        <v>0</v>
      </c>
      <c r="F286" s="84"/>
      <c r="G286" s="55" t="e">
        <f t="shared" si="247"/>
        <v>#DIV/0!</v>
      </c>
      <c r="H286" s="124"/>
      <c r="I286" s="167"/>
      <c r="J286" s="124">
        <f t="shared" si="248"/>
        <v>0</v>
      </c>
      <c r="K286" s="124">
        <f t="shared" ref="K286:K292" si="250">F286</f>
        <v>0</v>
      </c>
      <c r="L286" s="178" t="e">
        <f t="shared" si="249"/>
        <v>#DIV/0!</v>
      </c>
      <c r="M286" s="86"/>
      <c r="N286" s="87"/>
    </row>
    <row r="287" spans="1:14" x14ac:dyDescent="0.2">
      <c r="A287" s="88"/>
      <c r="B287" s="181" t="s">
        <v>51</v>
      </c>
      <c r="C287" s="124"/>
      <c r="D287" s="124"/>
      <c r="E287" s="54">
        <f t="shared" si="246"/>
        <v>0</v>
      </c>
      <c r="F287" s="84"/>
      <c r="G287" s="55" t="e">
        <f t="shared" si="247"/>
        <v>#DIV/0!</v>
      </c>
      <c r="H287" s="124"/>
      <c r="I287" s="167"/>
      <c r="J287" s="124">
        <f t="shared" si="248"/>
        <v>0</v>
      </c>
      <c r="K287" s="124">
        <f t="shared" si="250"/>
        <v>0</v>
      </c>
      <c r="L287" s="178" t="e">
        <f t="shared" si="249"/>
        <v>#DIV/0!</v>
      </c>
      <c r="M287" s="86"/>
      <c r="N287" s="87"/>
    </row>
    <row r="288" spans="1:14" x14ac:dyDescent="0.2">
      <c r="A288" s="88"/>
      <c r="B288" s="181" t="s">
        <v>51</v>
      </c>
      <c r="C288" s="124"/>
      <c r="D288" s="124"/>
      <c r="E288" s="54">
        <f t="shared" si="246"/>
        <v>0</v>
      </c>
      <c r="F288" s="84"/>
      <c r="G288" s="55" t="e">
        <f t="shared" si="247"/>
        <v>#DIV/0!</v>
      </c>
      <c r="H288" s="124"/>
      <c r="I288" s="167"/>
      <c r="J288" s="124">
        <f t="shared" si="248"/>
        <v>0</v>
      </c>
      <c r="K288" s="124">
        <f t="shared" si="250"/>
        <v>0</v>
      </c>
      <c r="L288" s="178" t="e">
        <f t="shared" si="249"/>
        <v>#DIV/0!</v>
      </c>
      <c r="M288" s="86"/>
      <c r="N288" s="87"/>
    </row>
    <row r="289" spans="1:14" x14ac:dyDescent="0.2">
      <c r="A289" s="88"/>
      <c r="B289" s="181" t="s">
        <v>51</v>
      </c>
      <c r="C289" s="124"/>
      <c r="D289" s="124"/>
      <c r="E289" s="54">
        <f t="shared" si="246"/>
        <v>0</v>
      </c>
      <c r="F289" s="84"/>
      <c r="G289" s="55" t="e">
        <f t="shared" si="247"/>
        <v>#DIV/0!</v>
      </c>
      <c r="H289" s="124"/>
      <c r="I289" s="167"/>
      <c r="J289" s="124">
        <f t="shared" si="248"/>
        <v>0</v>
      </c>
      <c r="K289" s="124">
        <f t="shared" si="250"/>
        <v>0</v>
      </c>
      <c r="L289" s="178" t="e">
        <f t="shared" si="249"/>
        <v>#DIV/0!</v>
      </c>
      <c r="M289" s="86"/>
      <c r="N289" s="87"/>
    </row>
    <row r="290" spans="1:14" x14ac:dyDescent="0.2">
      <c r="A290" s="88"/>
      <c r="B290" s="181" t="s">
        <v>51</v>
      </c>
      <c r="C290" s="124"/>
      <c r="D290" s="124"/>
      <c r="E290" s="54">
        <f t="shared" si="246"/>
        <v>0</v>
      </c>
      <c r="F290" s="84"/>
      <c r="G290" s="55" t="e">
        <f t="shared" si="247"/>
        <v>#DIV/0!</v>
      </c>
      <c r="H290" s="124"/>
      <c r="I290" s="167"/>
      <c r="J290" s="124">
        <f t="shared" si="248"/>
        <v>0</v>
      </c>
      <c r="K290" s="124">
        <f t="shared" si="250"/>
        <v>0</v>
      </c>
      <c r="L290" s="178" t="e">
        <f t="shared" si="249"/>
        <v>#DIV/0!</v>
      </c>
      <c r="M290" s="86"/>
      <c r="N290" s="87"/>
    </row>
    <row r="291" spans="1:14" x14ac:dyDescent="0.2">
      <c r="A291" s="88"/>
      <c r="B291" s="181" t="s">
        <v>51</v>
      </c>
      <c r="C291" s="124"/>
      <c r="D291" s="124"/>
      <c r="E291" s="54"/>
      <c r="F291" s="84"/>
      <c r="G291" s="55"/>
      <c r="H291" s="124"/>
      <c r="I291" s="167"/>
      <c r="J291" s="124">
        <f t="shared" si="248"/>
        <v>0</v>
      </c>
      <c r="K291" s="124">
        <f t="shared" si="250"/>
        <v>0</v>
      </c>
      <c r="L291" s="178" t="e">
        <f t="shared" si="249"/>
        <v>#DIV/0!</v>
      </c>
      <c r="M291" s="86"/>
      <c r="N291" s="87"/>
    </row>
    <row r="292" spans="1:14" ht="17" thickBot="1" x14ac:dyDescent="0.25">
      <c r="A292" s="88"/>
      <c r="B292" s="181" t="s">
        <v>51</v>
      </c>
      <c r="C292" s="124"/>
      <c r="D292" s="124"/>
      <c r="E292" s="54">
        <f>D292-C292</f>
        <v>0</v>
      </c>
      <c r="F292" s="84"/>
      <c r="G292" s="55" t="e">
        <f>(F292/E292)*100</f>
        <v>#DIV/0!</v>
      </c>
      <c r="H292" s="124"/>
      <c r="I292" s="167"/>
      <c r="J292" s="124">
        <f t="shared" si="248"/>
        <v>0</v>
      </c>
      <c r="K292" s="124">
        <f t="shared" si="250"/>
        <v>0</v>
      </c>
      <c r="L292" s="178" t="e">
        <f t="shared" si="249"/>
        <v>#DIV/0!</v>
      </c>
      <c r="M292" s="86"/>
      <c r="N292" s="87">
        <f>M292*F292</f>
        <v>0</v>
      </c>
    </row>
    <row r="293" spans="1:14" ht="17" thickBot="1" x14ac:dyDescent="0.25">
      <c r="A293" s="74"/>
      <c r="B293" s="105"/>
      <c r="C293" s="104"/>
      <c r="D293" s="104" t="s">
        <v>17</v>
      </c>
      <c r="E293" s="104">
        <f>SUM(E285:E292)</f>
        <v>0</v>
      </c>
      <c r="F293" s="104"/>
      <c r="G293" s="106" t="e">
        <f>AVERAGE(G285:G292)</f>
        <v>#DIV/0!</v>
      </c>
      <c r="H293" s="104"/>
      <c r="I293" s="107"/>
      <c r="J293" s="104">
        <f t="shared" ref="J293:K293" si="251">SUM(J285:J292)</f>
        <v>0</v>
      </c>
      <c r="K293" s="104">
        <f t="shared" si="251"/>
        <v>0</v>
      </c>
      <c r="L293" s="106" t="e">
        <f>AVERAGE(L285:L292)</f>
        <v>#DIV/0!</v>
      </c>
      <c r="M293" s="108"/>
      <c r="N293" s="109">
        <f>SUM(N285:N292)</f>
        <v>0</v>
      </c>
    </row>
    <row r="294" spans="1:14" x14ac:dyDescent="0.2">
      <c r="A294" s="74"/>
      <c r="B294" s="181" t="s">
        <v>52</v>
      </c>
      <c r="C294" s="124"/>
      <c r="D294" s="53"/>
      <c r="E294" s="110">
        <f t="shared" ref="E294:E301" si="252">D294-C294</f>
        <v>0</v>
      </c>
      <c r="F294" s="77"/>
      <c r="G294" s="55" t="e">
        <f t="shared" ref="G294:G301" si="253">(F294/E294)*100</f>
        <v>#DIV/0!</v>
      </c>
      <c r="H294" s="124"/>
      <c r="I294" s="168"/>
      <c r="J294" s="78">
        <f t="shared" ref="J294:J301" si="254">I294-H294</f>
        <v>0</v>
      </c>
      <c r="K294" s="78">
        <f t="shared" ref="K294:K296" si="255">F294</f>
        <v>0</v>
      </c>
      <c r="L294" s="79" t="e">
        <f t="shared" ref="L294:L301" si="256">(K294/J294)*100</f>
        <v>#DIV/0!</v>
      </c>
      <c r="M294" s="80"/>
      <c r="N294" s="87"/>
    </row>
    <row r="295" spans="1:14" ht="17" thickBot="1" x14ac:dyDescent="0.25">
      <c r="A295" s="88"/>
      <c r="B295" s="181" t="s">
        <v>52</v>
      </c>
      <c r="C295" s="124"/>
      <c r="D295" s="124"/>
      <c r="E295" s="54">
        <f t="shared" si="252"/>
        <v>0</v>
      </c>
      <c r="F295" s="84"/>
      <c r="G295" s="55" t="e">
        <f t="shared" si="253"/>
        <v>#DIV/0!</v>
      </c>
      <c r="H295" s="124"/>
      <c r="I295" s="167"/>
      <c r="J295" s="76">
        <f t="shared" si="254"/>
        <v>0</v>
      </c>
      <c r="K295" s="76">
        <f t="shared" si="255"/>
        <v>0</v>
      </c>
      <c r="L295" s="85" t="e">
        <f t="shared" si="256"/>
        <v>#DIV/0!</v>
      </c>
      <c r="M295" s="86"/>
      <c r="N295" s="87"/>
    </row>
    <row r="296" spans="1:14" x14ac:dyDescent="0.2">
      <c r="A296" s="88"/>
      <c r="B296" s="181" t="s">
        <v>52</v>
      </c>
      <c r="C296" s="124"/>
      <c r="D296" s="53"/>
      <c r="E296" s="110">
        <f t="shared" si="252"/>
        <v>0</v>
      </c>
      <c r="F296" s="77"/>
      <c r="G296" s="55" t="e">
        <f t="shared" si="253"/>
        <v>#DIV/0!</v>
      </c>
      <c r="H296" s="124"/>
      <c r="I296" s="168"/>
      <c r="J296" s="78">
        <f t="shared" si="254"/>
        <v>0</v>
      </c>
      <c r="K296" s="78">
        <f t="shared" si="255"/>
        <v>0</v>
      </c>
      <c r="L296" s="79" t="e">
        <f t="shared" si="256"/>
        <v>#DIV/0!</v>
      </c>
      <c r="M296" s="80"/>
      <c r="N296" s="87"/>
    </row>
    <row r="297" spans="1:14" x14ac:dyDescent="0.2">
      <c r="A297" s="88"/>
      <c r="B297" s="181" t="s">
        <v>52</v>
      </c>
      <c r="C297" s="124"/>
      <c r="D297" s="124"/>
      <c r="E297" s="54">
        <f t="shared" si="252"/>
        <v>0</v>
      </c>
      <c r="F297" s="84"/>
      <c r="G297" s="55" t="e">
        <f t="shared" si="253"/>
        <v>#DIV/0!</v>
      </c>
      <c r="H297" s="124"/>
      <c r="I297" s="167"/>
      <c r="J297" s="76">
        <f t="shared" si="254"/>
        <v>0</v>
      </c>
      <c r="K297" s="76"/>
      <c r="L297" s="85" t="e">
        <f t="shared" si="256"/>
        <v>#DIV/0!</v>
      </c>
      <c r="M297" s="86"/>
      <c r="N297" s="87"/>
    </row>
    <row r="298" spans="1:14" ht="18.75" customHeight="1" x14ac:dyDescent="0.2">
      <c r="A298" s="88"/>
      <c r="B298" s="181" t="s">
        <v>52</v>
      </c>
      <c r="C298" s="124"/>
      <c r="D298" s="124"/>
      <c r="E298" s="54">
        <f t="shared" si="252"/>
        <v>0</v>
      </c>
      <c r="F298" s="84"/>
      <c r="G298" s="55" t="e">
        <f t="shared" si="253"/>
        <v>#DIV/0!</v>
      </c>
      <c r="H298" s="124"/>
      <c r="I298" s="167"/>
      <c r="J298" s="76">
        <f t="shared" si="254"/>
        <v>0</v>
      </c>
      <c r="K298" s="76">
        <f t="shared" ref="K298:K301" si="257">F298</f>
        <v>0</v>
      </c>
      <c r="L298" s="100" t="e">
        <f t="shared" si="256"/>
        <v>#DIV/0!</v>
      </c>
      <c r="M298" s="86"/>
      <c r="N298" s="87"/>
    </row>
    <row r="299" spans="1:14" x14ac:dyDescent="0.2">
      <c r="A299" s="88"/>
      <c r="B299" s="181" t="s">
        <v>52</v>
      </c>
      <c r="C299" s="124"/>
      <c r="D299" s="124"/>
      <c r="E299" s="54">
        <f t="shared" si="252"/>
        <v>0</v>
      </c>
      <c r="F299" s="84"/>
      <c r="G299" s="55" t="e">
        <f t="shared" si="253"/>
        <v>#DIV/0!</v>
      </c>
      <c r="H299" s="124"/>
      <c r="I299" s="167"/>
      <c r="J299" s="124">
        <f t="shared" si="254"/>
        <v>0</v>
      </c>
      <c r="K299" s="124">
        <f t="shared" si="257"/>
        <v>0</v>
      </c>
      <c r="L299" s="178" t="e">
        <f t="shared" si="256"/>
        <v>#DIV/0!</v>
      </c>
      <c r="M299" s="86"/>
      <c r="N299" s="87"/>
    </row>
    <row r="300" spans="1:14" x14ac:dyDescent="0.2">
      <c r="A300" s="88"/>
      <c r="B300" s="181" t="s">
        <v>52</v>
      </c>
      <c r="C300" s="124"/>
      <c r="D300" s="124"/>
      <c r="E300" s="54">
        <f t="shared" si="252"/>
        <v>0</v>
      </c>
      <c r="F300" s="84"/>
      <c r="G300" s="55" t="e">
        <f t="shared" si="253"/>
        <v>#DIV/0!</v>
      </c>
      <c r="H300" s="124"/>
      <c r="I300" s="167"/>
      <c r="J300" s="124">
        <f t="shared" si="254"/>
        <v>0</v>
      </c>
      <c r="K300" s="124">
        <f t="shared" si="257"/>
        <v>0</v>
      </c>
      <c r="L300" s="178" t="e">
        <f t="shared" si="256"/>
        <v>#DIV/0!</v>
      </c>
      <c r="M300" s="86"/>
      <c r="N300" s="87"/>
    </row>
    <row r="301" spans="1:14" ht="17" thickBot="1" x14ac:dyDescent="0.25">
      <c r="A301" s="88"/>
      <c r="B301" s="181" t="s">
        <v>52</v>
      </c>
      <c r="C301" s="124"/>
      <c r="D301" s="124"/>
      <c r="E301" s="54">
        <f t="shared" si="252"/>
        <v>0</v>
      </c>
      <c r="F301" s="84"/>
      <c r="G301" s="55" t="e">
        <f t="shared" si="253"/>
        <v>#DIV/0!</v>
      </c>
      <c r="H301" s="124"/>
      <c r="I301" s="167"/>
      <c r="J301" s="124">
        <f t="shared" si="254"/>
        <v>0</v>
      </c>
      <c r="K301" s="124">
        <f t="shared" si="257"/>
        <v>0</v>
      </c>
      <c r="L301" s="178" t="e">
        <f t="shared" si="256"/>
        <v>#DIV/0!</v>
      </c>
      <c r="M301" s="86"/>
      <c r="N301" s="87"/>
    </row>
    <row r="302" spans="1:14" ht="17" thickBot="1" x14ac:dyDescent="0.25">
      <c r="A302" s="74"/>
      <c r="B302" s="105"/>
      <c r="C302" s="104"/>
      <c r="D302" s="104" t="s">
        <v>17</v>
      </c>
      <c r="E302" s="104">
        <f>SUM(E294:E299)</f>
        <v>0</v>
      </c>
      <c r="F302" s="104"/>
      <c r="G302" s="106" t="e">
        <f>AVERAGE(G294:G299)</f>
        <v>#DIV/0!</v>
      </c>
      <c r="H302" s="104"/>
      <c r="I302" s="107"/>
      <c r="J302" s="104">
        <f t="shared" ref="J302:K302" si="258">SUM(J294:J299)</f>
        <v>0</v>
      </c>
      <c r="K302" s="104">
        <f t="shared" si="258"/>
        <v>0</v>
      </c>
      <c r="L302" s="106" t="e">
        <f>AVERAGE(L294:L299)</f>
        <v>#DIV/0!</v>
      </c>
      <c r="M302" s="108"/>
      <c r="N302" s="109">
        <f>SUM(N294:N301)</f>
        <v>0</v>
      </c>
    </row>
    <row r="303" spans="1:14" ht="17" thickBot="1" x14ac:dyDescent="0.25">
      <c r="A303" s="74">
        <v>46209</v>
      </c>
      <c r="B303" s="237" t="s">
        <v>59</v>
      </c>
      <c r="C303" s="124">
        <v>159996</v>
      </c>
      <c r="D303" s="124">
        <v>161659</v>
      </c>
      <c r="E303" s="110">
        <f t="shared" ref="E303:E308" si="259">D303-C303</f>
        <v>1663</v>
      </c>
      <c r="F303" s="77">
        <v>275.39</v>
      </c>
      <c r="G303" s="55">
        <f t="shared" ref="G303:G308" si="260">(F303/E303)*100</f>
        <v>16.559831629585087</v>
      </c>
      <c r="H303" s="124">
        <v>159750</v>
      </c>
      <c r="I303" s="124">
        <v>161280</v>
      </c>
      <c r="J303" s="78">
        <f t="shared" ref="J303:J308" si="261">I303-H303</f>
        <v>1530</v>
      </c>
      <c r="K303" s="78">
        <f t="shared" ref="K303:K308" si="262">F303</f>
        <v>275.39</v>
      </c>
      <c r="L303" s="178">
        <f t="shared" ref="L303:L308" si="263">(K303/J303)*100</f>
        <v>17.99934640522876</v>
      </c>
      <c r="M303" s="80">
        <v>21170</v>
      </c>
      <c r="N303" s="87">
        <f t="shared" ref="N303:N308" si="264">M303*F303</f>
        <v>5830006.2999999998</v>
      </c>
    </row>
    <row r="304" spans="1:14" x14ac:dyDescent="0.2">
      <c r="A304" s="74">
        <v>46219</v>
      </c>
      <c r="B304" s="237" t="s">
        <v>59</v>
      </c>
      <c r="C304" s="124">
        <v>161659</v>
      </c>
      <c r="D304" s="53">
        <v>162659</v>
      </c>
      <c r="E304" s="54">
        <f t="shared" si="259"/>
        <v>1000</v>
      </c>
      <c r="F304" s="84">
        <v>317.32</v>
      </c>
      <c r="G304" s="55">
        <f t="shared" si="260"/>
        <v>31.731999999999999</v>
      </c>
      <c r="H304" s="124">
        <v>161280</v>
      </c>
      <c r="I304" s="124">
        <v>162238</v>
      </c>
      <c r="J304" s="78">
        <f t="shared" si="261"/>
        <v>958</v>
      </c>
      <c r="K304" s="76">
        <f t="shared" si="262"/>
        <v>317.32</v>
      </c>
      <c r="L304" s="178">
        <f t="shared" si="263"/>
        <v>33.123173277661792</v>
      </c>
      <c r="M304" s="80">
        <v>23320</v>
      </c>
      <c r="N304" s="87">
        <f t="shared" si="264"/>
        <v>7399902.3999999994</v>
      </c>
    </row>
    <row r="305" spans="1:14" x14ac:dyDescent="0.2">
      <c r="A305" s="88"/>
      <c r="B305" s="237" t="s">
        <v>59</v>
      </c>
      <c r="C305" s="53"/>
      <c r="D305" s="124"/>
      <c r="E305" s="54">
        <f t="shared" si="259"/>
        <v>0</v>
      </c>
      <c r="F305" s="84"/>
      <c r="G305" s="55" t="e">
        <f t="shared" si="260"/>
        <v>#DIV/0!</v>
      </c>
      <c r="H305" s="124"/>
      <c r="I305" s="124"/>
      <c r="J305" s="124">
        <f t="shared" si="261"/>
        <v>0</v>
      </c>
      <c r="K305" s="76">
        <f t="shared" si="262"/>
        <v>0</v>
      </c>
      <c r="L305" s="178" t="e">
        <f t="shared" si="263"/>
        <v>#DIV/0!</v>
      </c>
      <c r="M305" s="86"/>
      <c r="N305" s="87">
        <f t="shared" si="264"/>
        <v>0</v>
      </c>
    </row>
    <row r="306" spans="1:14" x14ac:dyDescent="0.2">
      <c r="A306" s="88"/>
      <c r="B306" s="237" t="s">
        <v>59</v>
      </c>
      <c r="C306" s="124"/>
      <c r="D306" s="124"/>
      <c r="E306" s="54">
        <f t="shared" si="259"/>
        <v>0</v>
      </c>
      <c r="F306" s="84"/>
      <c r="G306" s="55" t="e">
        <f t="shared" si="260"/>
        <v>#DIV/0!</v>
      </c>
      <c r="H306" s="124"/>
      <c r="I306" s="124"/>
      <c r="J306" s="124">
        <f t="shared" si="261"/>
        <v>0</v>
      </c>
      <c r="K306" s="76">
        <f t="shared" si="262"/>
        <v>0</v>
      </c>
      <c r="L306" s="178" t="e">
        <f t="shared" si="263"/>
        <v>#DIV/0!</v>
      </c>
      <c r="M306" s="86"/>
      <c r="N306" s="87">
        <f t="shared" si="264"/>
        <v>0</v>
      </c>
    </row>
    <row r="307" spans="1:14" x14ac:dyDescent="0.2">
      <c r="A307" s="88"/>
      <c r="B307" s="237" t="s">
        <v>59</v>
      </c>
      <c r="C307" s="76"/>
      <c r="D307" s="124"/>
      <c r="E307" s="54">
        <f t="shared" si="259"/>
        <v>0</v>
      </c>
      <c r="F307" s="84"/>
      <c r="G307" s="55" t="e">
        <f t="shared" si="260"/>
        <v>#DIV/0!</v>
      </c>
      <c r="H307" s="124"/>
      <c r="I307" s="167"/>
      <c r="J307" s="124">
        <f t="shared" si="261"/>
        <v>0</v>
      </c>
      <c r="K307" s="76">
        <f t="shared" si="262"/>
        <v>0</v>
      </c>
      <c r="L307" s="178" t="e">
        <f t="shared" si="263"/>
        <v>#DIV/0!</v>
      </c>
      <c r="M307" s="86"/>
      <c r="N307" s="87">
        <f t="shared" si="264"/>
        <v>0</v>
      </c>
    </row>
    <row r="308" spans="1:14" ht="17" thickBot="1" x14ac:dyDescent="0.25">
      <c r="A308" s="82"/>
      <c r="B308" s="237" t="s">
        <v>59</v>
      </c>
      <c r="C308" s="124"/>
      <c r="D308" s="124"/>
      <c r="E308" s="54">
        <f t="shared" si="259"/>
        <v>0</v>
      </c>
      <c r="F308" s="84"/>
      <c r="G308" s="55" t="e">
        <f t="shared" si="260"/>
        <v>#DIV/0!</v>
      </c>
      <c r="H308" s="124"/>
      <c r="I308" s="167"/>
      <c r="J308" s="124">
        <f t="shared" si="261"/>
        <v>0</v>
      </c>
      <c r="K308" s="76">
        <f t="shared" si="262"/>
        <v>0</v>
      </c>
      <c r="L308" s="178" t="e">
        <f t="shared" si="263"/>
        <v>#DIV/0!</v>
      </c>
      <c r="M308" s="86"/>
      <c r="N308" s="87">
        <f t="shared" si="264"/>
        <v>0</v>
      </c>
    </row>
    <row r="309" spans="1:14" ht="17" thickBot="1" x14ac:dyDescent="0.25">
      <c r="A309" s="104"/>
      <c r="B309" s="105"/>
      <c r="C309" s="104"/>
      <c r="D309" s="104" t="s">
        <v>17</v>
      </c>
      <c r="E309" s="104">
        <f>SUM(E303:E308)</f>
        <v>2663</v>
      </c>
      <c r="F309" s="104"/>
      <c r="G309" s="106" t="e">
        <f>AVERAGE(G303:G308)</f>
        <v>#DIV/0!</v>
      </c>
      <c r="H309" s="104"/>
      <c r="I309" s="107"/>
      <c r="J309" s="104">
        <f t="shared" ref="J309:K309" si="265">SUM(J303:J308)</f>
        <v>2488</v>
      </c>
      <c r="K309" s="104">
        <f t="shared" si="265"/>
        <v>592.71</v>
      </c>
      <c r="L309" s="106" t="e">
        <f>AVERAGE(L303:L308)</f>
        <v>#DIV/0!</v>
      </c>
      <c r="M309" s="108"/>
      <c r="N309" s="109">
        <f>SUM(N303:N308)</f>
        <v>13229908.699999999</v>
      </c>
    </row>
    <row r="310" spans="1:14" ht="17" thickBot="1" x14ac:dyDescent="0.25">
      <c r="A310" s="74">
        <v>46211</v>
      </c>
      <c r="B310" s="237" t="s">
        <v>54</v>
      </c>
      <c r="C310" s="124">
        <v>16987</v>
      </c>
      <c r="D310" s="124">
        <v>17606</v>
      </c>
      <c r="E310" s="54">
        <f t="shared" ref="E310:E317" si="266">D310-C310</f>
        <v>619</v>
      </c>
      <c r="F310" s="77">
        <v>190</v>
      </c>
      <c r="G310" s="55">
        <f t="shared" ref="G310:G317" si="267">(F310/E310)*100</f>
        <v>30.694668820678512</v>
      </c>
      <c r="H310" s="167">
        <v>2163</v>
      </c>
      <c r="I310" s="167">
        <v>2813</v>
      </c>
      <c r="J310" s="78">
        <f t="shared" ref="J310:J317" si="268">I310-H310</f>
        <v>650</v>
      </c>
      <c r="K310" s="77">
        <f t="shared" ref="K310:K317" si="269">F310</f>
        <v>190</v>
      </c>
      <c r="L310" s="178">
        <f t="shared" ref="L310:L317" si="270">(K310/J310)*100</f>
        <v>29.230769230769234</v>
      </c>
      <c r="M310" s="80">
        <v>21170</v>
      </c>
      <c r="N310" s="87">
        <f t="shared" ref="N310:N317" si="271">M310*F310</f>
        <v>4022300</v>
      </c>
    </row>
    <row r="311" spans="1:14" ht="17" thickBot="1" x14ac:dyDescent="0.25">
      <c r="A311" s="88">
        <v>46217</v>
      </c>
      <c r="B311" s="237" t="s">
        <v>54</v>
      </c>
      <c r="C311" s="124">
        <v>17606</v>
      </c>
      <c r="D311" s="53">
        <v>18312</v>
      </c>
      <c r="E311" s="54">
        <f t="shared" si="266"/>
        <v>706</v>
      </c>
      <c r="F311" s="84">
        <v>197.8</v>
      </c>
      <c r="G311" s="55">
        <f t="shared" si="267"/>
        <v>28.016997167138811</v>
      </c>
      <c r="H311" s="167">
        <v>2813</v>
      </c>
      <c r="I311" s="167">
        <v>3535</v>
      </c>
      <c r="J311" s="124">
        <f t="shared" si="268"/>
        <v>722</v>
      </c>
      <c r="K311" s="77">
        <f t="shared" si="269"/>
        <v>197.8</v>
      </c>
      <c r="L311" s="178">
        <f t="shared" si="270"/>
        <v>27.396121883656509</v>
      </c>
      <c r="M311" s="80">
        <v>21740</v>
      </c>
      <c r="N311" s="87">
        <f t="shared" si="271"/>
        <v>4300172</v>
      </c>
    </row>
    <row r="312" spans="1:14" ht="17" thickBot="1" x14ac:dyDescent="0.25">
      <c r="A312" s="88"/>
      <c r="B312" s="237" t="s">
        <v>54</v>
      </c>
      <c r="C312" s="53"/>
      <c r="D312" s="124"/>
      <c r="E312" s="54">
        <f t="shared" si="266"/>
        <v>0</v>
      </c>
      <c r="F312" s="84"/>
      <c r="G312" s="55" t="e">
        <f t="shared" si="267"/>
        <v>#DIV/0!</v>
      </c>
      <c r="H312" s="167"/>
      <c r="I312" s="167"/>
      <c r="J312" s="124">
        <f t="shared" si="268"/>
        <v>0</v>
      </c>
      <c r="K312" s="77">
        <f t="shared" si="269"/>
        <v>0</v>
      </c>
      <c r="L312" s="178" t="e">
        <f t="shared" si="270"/>
        <v>#DIV/0!</v>
      </c>
      <c r="M312" s="80"/>
      <c r="N312" s="87">
        <f t="shared" si="271"/>
        <v>0</v>
      </c>
    </row>
    <row r="313" spans="1:14" ht="17" thickBot="1" x14ac:dyDescent="0.25">
      <c r="A313" s="88"/>
      <c r="B313" s="237" t="s">
        <v>54</v>
      </c>
      <c r="C313" s="124"/>
      <c r="D313" s="124"/>
      <c r="E313" s="54">
        <f t="shared" si="266"/>
        <v>0</v>
      </c>
      <c r="F313" s="84"/>
      <c r="G313" s="55" t="e">
        <f t="shared" si="267"/>
        <v>#DIV/0!</v>
      </c>
      <c r="H313" s="167"/>
      <c r="I313" s="167"/>
      <c r="J313" s="124">
        <f t="shared" si="268"/>
        <v>0</v>
      </c>
      <c r="K313" s="77">
        <f t="shared" si="269"/>
        <v>0</v>
      </c>
      <c r="L313" s="178" t="e">
        <f t="shared" si="270"/>
        <v>#DIV/0!</v>
      </c>
      <c r="M313" s="86"/>
      <c r="N313" s="87">
        <f t="shared" si="271"/>
        <v>0</v>
      </c>
    </row>
    <row r="314" spans="1:14" ht="17" thickBot="1" x14ac:dyDescent="0.25">
      <c r="A314" s="88"/>
      <c r="B314" s="237" t="s">
        <v>54</v>
      </c>
      <c r="C314" s="124"/>
      <c r="D314" s="124"/>
      <c r="E314" s="54">
        <f t="shared" si="266"/>
        <v>0</v>
      </c>
      <c r="F314" s="84"/>
      <c r="G314" s="55" t="e">
        <f t="shared" si="267"/>
        <v>#DIV/0!</v>
      </c>
      <c r="H314" s="167"/>
      <c r="I314" s="167"/>
      <c r="J314" s="124">
        <f t="shared" si="268"/>
        <v>0</v>
      </c>
      <c r="K314" s="77">
        <f t="shared" si="269"/>
        <v>0</v>
      </c>
      <c r="L314" s="178" t="e">
        <f t="shared" si="270"/>
        <v>#DIV/0!</v>
      </c>
      <c r="M314" s="86"/>
      <c r="N314" s="87">
        <f t="shared" si="271"/>
        <v>0</v>
      </c>
    </row>
    <row r="315" spans="1:14" ht="17" thickBot="1" x14ac:dyDescent="0.25">
      <c r="A315" s="82"/>
      <c r="B315" s="237" t="s">
        <v>54</v>
      </c>
      <c r="C315" s="124"/>
      <c r="D315" s="124"/>
      <c r="E315" s="54">
        <f t="shared" si="266"/>
        <v>0</v>
      </c>
      <c r="F315" s="84"/>
      <c r="G315" s="55" t="e">
        <f t="shared" si="267"/>
        <v>#DIV/0!</v>
      </c>
      <c r="H315" s="167"/>
      <c r="I315" s="167"/>
      <c r="J315" s="124">
        <f t="shared" si="268"/>
        <v>0</v>
      </c>
      <c r="K315" s="77">
        <f t="shared" si="269"/>
        <v>0</v>
      </c>
      <c r="L315" s="178" t="e">
        <f t="shared" si="270"/>
        <v>#DIV/0!</v>
      </c>
      <c r="M315" s="86"/>
      <c r="N315" s="87">
        <f t="shared" si="271"/>
        <v>0</v>
      </c>
    </row>
    <row r="316" spans="1:14" ht="17" thickBot="1" x14ac:dyDescent="0.25">
      <c r="A316" s="82"/>
      <c r="B316" s="237" t="s">
        <v>54</v>
      </c>
      <c r="C316" s="124"/>
      <c r="D316" s="124"/>
      <c r="E316" s="54">
        <f t="shared" si="266"/>
        <v>0</v>
      </c>
      <c r="F316" s="84"/>
      <c r="G316" s="55" t="e">
        <f t="shared" si="267"/>
        <v>#DIV/0!</v>
      </c>
      <c r="H316" s="167"/>
      <c r="I316" s="167"/>
      <c r="J316" s="124">
        <f t="shared" si="268"/>
        <v>0</v>
      </c>
      <c r="K316" s="77">
        <f t="shared" si="269"/>
        <v>0</v>
      </c>
      <c r="L316" s="178" t="e">
        <f t="shared" si="270"/>
        <v>#DIV/0!</v>
      </c>
      <c r="M316" s="86"/>
      <c r="N316" s="87">
        <f t="shared" si="271"/>
        <v>0</v>
      </c>
    </row>
    <row r="317" spans="1:14" ht="17" thickBot="1" x14ac:dyDescent="0.25">
      <c r="A317" s="82"/>
      <c r="B317" s="237" t="s">
        <v>54</v>
      </c>
      <c r="C317" s="124"/>
      <c r="D317" s="124"/>
      <c r="E317" s="54">
        <f t="shared" si="266"/>
        <v>0</v>
      </c>
      <c r="F317" s="84"/>
      <c r="G317" s="55" t="e">
        <f t="shared" si="267"/>
        <v>#DIV/0!</v>
      </c>
      <c r="H317" s="167"/>
      <c r="I317" s="167"/>
      <c r="J317" s="124">
        <f t="shared" si="268"/>
        <v>0</v>
      </c>
      <c r="K317" s="77">
        <f t="shared" si="269"/>
        <v>0</v>
      </c>
      <c r="L317" s="178" t="e">
        <f t="shared" si="270"/>
        <v>#DIV/0!</v>
      </c>
      <c r="M317" s="86"/>
      <c r="N317" s="87">
        <f t="shared" si="271"/>
        <v>0</v>
      </c>
    </row>
    <row r="318" spans="1:14" ht="17" thickBot="1" x14ac:dyDescent="0.25">
      <c r="A318" s="104"/>
      <c r="B318" s="105"/>
      <c r="C318" s="104"/>
      <c r="D318" s="104" t="s">
        <v>17</v>
      </c>
      <c r="E318" s="104">
        <f>SUM(E310:E315)</f>
        <v>1325</v>
      </c>
      <c r="F318" s="104"/>
      <c r="G318" s="106" t="e">
        <f>AVERAGE(G310:G315)</f>
        <v>#DIV/0!</v>
      </c>
      <c r="H318" s="104"/>
      <c r="I318" s="107"/>
      <c r="J318" s="104">
        <f t="shared" ref="J318:K318" si="272">SUM(J310:J315)</f>
        <v>1372</v>
      </c>
      <c r="K318" s="104">
        <f t="shared" si="272"/>
        <v>387.8</v>
      </c>
      <c r="L318" s="106" t="e">
        <f>AVERAGE(L310:L315)</f>
        <v>#DIV/0!</v>
      </c>
      <c r="M318" s="108"/>
      <c r="N318" s="109">
        <f>SUM(N310:N317)</f>
        <v>8322472</v>
      </c>
    </row>
    <row r="319" spans="1:14" ht="17" thickBot="1" x14ac:dyDescent="0.25">
      <c r="A319" s="74">
        <v>46207</v>
      </c>
      <c r="B319" s="237" t="s">
        <v>66</v>
      </c>
      <c r="C319" s="124">
        <v>16165</v>
      </c>
      <c r="D319" s="124">
        <v>16751</v>
      </c>
      <c r="E319" s="54">
        <f t="shared" ref="E319:E327" si="273">D319-C319</f>
        <v>586</v>
      </c>
      <c r="F319" s="77">
        <v>174.77</v>
      </c>
      <c r="G319" s="55">
        <f t="shared" ref="G319:G327" si="274">(F319/E319)*100</f>
        <v>29.824232081911266</v>
      </c>
      <c r="H319" s="167">
        <v>15951</v>
      </c>
      <c r="I319" s="167">
        <v>16537</v>
      </c>
      <c r="J319" s="124">
        <f t="shared" ref="J319:J327" si="275">I319-H319</f>
        <v>586</v>
      </c>
      <c r="K319" s="78">
        <f t="shared" ref="K319:K327" si="276">F319</f>
        <v>174.77</v>
      </c>
      <c r="L319" s="178">
        <f t="shared" ref="L319:L327" si="277">(K319/J319)*100</f>
        <v>29.824232081911266</v>
      </c>
      <c r="M319" s="80">
        <v>21170</v>
      </c>
      <c r="N319" s="87">
        <f t="shared" ref="N319:N327" si="278">M319*F319</f>
        <v>3699880.9000000004</v>
      </c>
    </row>
    <row r="320" spans="1:14" ht="17" thickBot="1" x14ac:dyDescent="0.25">
      <c r="A320" s="88">
        <v>46214</v>
      </c>
      <c r="B320" s="237" t="s">
        <v>66</v>
      </c>
      <c r="C320" s="124">
        <v>16751</v>
      </c>
      <c r="D320" s="53">
        <v>17275</v>
      </c>
      <c r="E320" s="54">
        <f t="shared" si="273"/>
        <v>524</v>
      </c>
      <c r="F320" s="84">
        <v>179.4</v>
      </c>
      <c r="G320" s="55">
        <f t="shared" si="274"/>
        <v>34.23664122137405</v>
      </c>
      <c r="H320" s="167">
        <v>16537</v>
      </c>
      <c r="I320" s="167">
        <v>17174</v>
      </c>
      <c r="J320" s="124">
        <f t="shared" si="275"/>
        <v>637</v>
      </c>
      <c r="K320" s="76">
        <f t="shared" si="276"/>
        <v>179.4</v>
      </c>
      <c r="L320" s="178">
        <f t="shared" si="277"/>
        <v>28.163265306122447</v>
      </c>
      <c r="M320" s="80">
        <v>21740</v>
      </c>
      <c r="N320" s="87">
        <f t="shared" si="278"/>
        <v>3900156</v>
      </c>
    </row>
    <row r="321" spans="1:14" x14ac:dyDescent="0.2">
      <c r="A321" s="88">
        <v>46219</v>
      </c>
      <c r="B321" s="237" t="s">
        <v>66</v>
      </c>
      <c r="C321" s="53">
        <v>17275</v>
      </c>
      <c r="D321" s="124">
        <v>17675</v>
      </c>
      <c r="E321" s="54">
        <f t="shared" si="273"/>
        <v>400</v>
      </c>
      <c r="F321" s="84">
        <v>119.61</v>
      </c>
      <c r="G321" s="55">
        <f t="shared" si="274"/>
        <v>29.9025</v>
      </c>
      <c r="H321" s="167">
        <v>17174</v>
      </c>
      <c r="I321" s="167">
        <v>17510</v>
      </c>
      <c r="J321" s="124">
        <f t="shared" si="275"/>
        <v>336</v>
      </c>
      <c r="K321" s="76">
        <f t="shared" si="276"/>
        <v>119.61</v>
      </c>
      <c r="L321" s="178">
        <f t="shared" si="277"/>
        <v>35.598214285714285</v>
      </c>
      <c r="M321" s="80">
        <v>21740</v>
      </c>
      <c r="N321" s="87">
        <f t="shared" si="278"/>
        <v>2600321.4</v>
      </c>
    </row>
    <row r="322" spans="1:14" x14ac:dyDescent="0.2">
      <c r="A322" s="88"/>
      <c r="B322" s="237" t="s">
        <v>66</v>
      </c>
      <c r="C322" s="124"/>
      <c r="D322" s="124"/>
      <c r="E322" s="54">
        <f t="shared" si="273"/>
        <v>0</v>
      </c>
      <c r="F322" s="84"/>
      <c r="G322" s="55" t="e">
        <f t="shared" si="274"/>
        <v>#DIV/0!</v>
      </c>
      <c r="H322" s="167"/>
      <c r="I322" s="167"/>
      <c r="J322" s="124">
        <f t="shared" si="275"/>
        <v>0</v>
      </c>
      <c r="K322" s="76">
        <f t="shared" si="276"/>
        <v>0</v>
      </c>
      <c r="L322" s="178" t="e">
        <f t="shared" si="277"/>
        <v>#DIV/0!</v>
      </c>
      <c r="M322" s="86"/>
      <c r="N322" s="87">
        <f t="shared" si="278"/>
        <v>0</v>
      </c>
    </row>
    <row r="323" spans="1:14" x14ac:dyDescent="0.2">
      <c r="A323" s="88"/>
      <c r="B323" s="237" t="s">
        <v>66</v>
      </c>
      <c r="C323" s="124"/>
      <c r="D323" s="124"/>
      <c r="E323" s="54">
        <f t="shared" si="273"/>
        <v>0</v>
      </c>
      <c r="F323" s="84"/>
      <c r="G323" s="55" t="e">
        <f t="shared" si="274"/>
        <v>#DIV/0!</v>
      </c>
      <c r="H323" s="167"/>
      <c r="I323" s="167"/>
      <c r="J323" s="124">
        <f t="shared" si="275"/>
        <v>0</v>
      </c>
      <c r="K323" s="76">
        <f t="shared" si="276"/>
        <v>0</v>
      </c>
      <c r="L323" s="178" t="e">
        <f t="shared" si="277"/>
        <v>#DIV/0!</v>
      </c>
      <c r="M323" s="86"/>
      <c r="N323" s="87">
        <f t="shared" si="278"/>
        <v>0</v>
      </c>
    </row>
    <row r="324" spans="1:14" x14ac:dyDescent="0.2">
      <c r="A324" s="82"/>
      <c r="B324" s="237" t="s">
        <v>66</v>
      </c>
      <c r="C324" s="124"/>
      <c r="D324" s="124"/>
      <c r="E324" s="54">
        <f t="shared" si="273"/>
        <v>0</v>
      </c>
      <c r="F324" s="84"/>
      <c r="G324" s="55" t="e">
        <f t="shared" si="274"/>
        <v>#DIV/0!</v>
      </c>
      <c r="H324" s="167"/>
      <c r="I324" s="167"/>
      <c r="J324" s="124">
        <f t="shared" si="275"/>
        <v>0</v>
      </c>
      <c r="K324" s="76">
        <f t="shared" si="276"/>
        <v>0</v>
      </c>
      <c r="L324" s="178" t="e">
        <f t="shared" si="277"/>
        <v>#DIV/0!</v>
      </c>
      <c r="M324" s="86"/>
      <c r="N324" s="87">
        <f t="shared" si="278"/>
        <v>0</v>
      </c>
    </row>
    <row r="325" spans="1:14" x14ac:dyDescent="0.2">
      <c r="A325" s="82"/>
      <c r="B325" s="237" t="s">
        <v>66</v>
      </c>
      <c r="C325" s="124"/>
      <c r="D325" s="124"/>
      <c r="E325" s="54">
        <f t="shared" si="273"/>
        <v>0</v>
      </c>
      <c r="F325" s="84"/>
      <c r="G325" s="55" t="e">
        <f t="shared" si="274"/>
        <v>#DIV/0!</v>
      </c>
      <c r="H325" s="167"/>
      <c r="I325" s="167"/>
      <c r="J325" s="124">
        <f t="shared" si="275"/>
        <v>0</v>
      </c>
      <c r="K325" s="76">
        <f t="shared" si="276"/>
        <v>0</v>
      </c>
      <c r="L325" s="178" t="e">
        <f t="shared" si="277"/>
        <v>#DIV/0!</v>
      </c>
      <c r="M325" s="86"/>
      <c r="N325" s="87">
        <f t="shared" si="278"/>
        <v>0</v>
      </c>
    </row>
    <row r="326" spans="1:14" x14ac:dyDescent="0.2">
      <c r="A326" s="82"/>
      <c r="B326" s="237" t="s">
        <v>66</v>
      </c>
      <c r="C326" s="124"/>
      <c r="D326" s="124"/>
      <c r="E326" s="54">
        <f t="shared" si="273"/>
        <v>0</v>
      </c>
      <c r="F326" s="84"/>
      <c r="G326" s="55" t="e">
        <f t="shared" si="274"/>
        <v>#DIV/0!</v>
      </c>
      <c r="H326" s="167"/>
      <c r="I326" s="167"/>
      <c r="J326" s="124">
        <f t="shared" si="275"/>
        <v>0</v>
      </c>
      <c r="K326" s="76">
        <f t="shared" si="276"/>
        <v>0</v>
      </c>
      <c r="L326" s="178" t="e">
        <f t="shared" si="277"/>
        <v>#DIV/0!</v>
      </c>
      <c r="M326" s="86"/>
      <c r="N326" s="87">
        <f t="shared" si="278"/>
        <v>0</v>
      </c>
    </row>
    <row r="327" spans="1:14" ht="17" thickBot="1" x14ac:dyDescent="0.25">
      <c r="A327" s="82"/>
      <c r="B327" s="237" t="s">
        <v>66</v>
      </c>
      <c r="C327" s="124"/>
      <c r="D327" s="124"/>
      <c r="E327" s="54">
        <f t="shared" si="273"/>
        <v>0</v>
      </c>
      <c r="F327" s="84"/>
      <c r="G327" s="55" t="e">
        <f t="shared" si="274"/>
        <v>#DIV/0!</v>
      </c>
      <c r="H327" s="167"/>
      <c r="I327" s="167"/>
      <c r="J327" s="124">
        <f t="shared" si="275"/>
        <v>0</v>
      </c>
      <c r="K327" s="76">
        <f t="shared" si="276"/>
        <v>0</v>
      </c>
      <c r="L327" s="178" t="e">
        <f t="shared" si="277"/>
        <v>#DIV/0!</v>
      </c>
      <c r="M327" s="86"/>
      <c r="N327" s="87">
        <f t="shared" si="278"/>
        <v>0</v>
      </c>
    </row>
    <row r="328" spans="1:14" ht="17" thickBot="1" x14ac:dyDescent="0.25">
      <c r="A328" s="104"/>
      <c r="B328" s="105"/>
      <c r="C328" s="104"/>
      <c r="D328" s="104" t="s">
        <v>17</v>
      </c>
      <c r="E328" s="104">
        <f>SUM(E319:E324)</f>
        <v>1510</v>
      </c>
      <c r="F328" s="104"/>
      <c r="G328" s="106" t="e">
        <f>AVERAGE(G319:G324)</f>
        <v>#DIV/0!</v>
      </c>
      <c r="H328" s="104"/>
      <c r="I328" s="107"/>
      <c r="J328" s="104">
        <f t="shared" ref="J328:K328" si="279">SUM(J319:J324)</f>
        <v>1559</v>
      </c>
      <c r="K328" s="104">
        <f t="shared" si="279"/>
        <v>473.78000000000003</v>
      </c>
      <c r="L328" s="106" t="e">
        <f>AVERAGE(L319:L324)</f>
        <v>#DIV/0!</v>
      </c>
      <c r="M328" s="108"/>
      <c r="N328" s="109">
        <f>SUM(N319:N327)</f>
        <v>10200358.300000001</v>
      </c>
    </row>
    <row r="329" spans="1:14" ht="17" thickBot="1" x14ac:dyDescent="0.25">
      <c r="A329" s="74"/>
      <c r="B329" s="238" t="s">
        <v>55</v>
      </c>
      <c r="C329" s="124"/>
      <c r="D329" s="124"/>
      <c r="E329" s="54">
        <f t="shared" ref="E329:E334" si="280">D329-C329</f>
        <v>0</v>
      </c>
      <c r="F329" s="77"/>
      <c r="G329" s="55" t="e">
        <f t="shared" ref="G329:G334" si="281">(F329/E329)*100</f>
        <v>#DIV/0!</v>
      </c>
      <c r="H329" s="167"/>
      <c r="I329" s="167"/>
      <c r="J329" s="78">
        <f t="shared" ref="J329:J334" si="282">I329-H329</f>
        <v>0</v>
      </c>
      <c r="K329" s="78">
        <f t="shared" ref="K329:K334" si="283">F329</f>
        <v>0</v>
      </c>
      <c r="L329" s="178" t="e">
        <f t="shared" ref="L329:L334" si="284">(K329/J329)*100</f>
        <v>#DIV/0!</v>
      </c>
      <c r="M329" s="80"/>
      <c r="N329" s="87"/>
    </row>
    <row r="330" spans="1:14" x14ac:dyDescent="0.2">
      <c r="A330" s="88"/>
      <c r="B330" s="238" t="s">
        <v>55</v>
      </c>
      <c r="C330" s="124"/>
      <c r="D330" s="53"/>
      <c r="E330" s="54">
        <f t="shared" si="280"/>
        <v>0</v>
      </c>
      <c r="F330" s="84"/>
      <c r="G330" s="55" t="e">
        <f t="shared" si="281"/>
        <v>#DIV/0!</v>
      </c>
      <c r="H330" s="167"/>
      <c r="I330" s="167"/>
      <c r="J330" s="124">
        <f t="shared" si="282"/>
        <v>0</v>
      </c>
      <c r="K330" s="76">
        <f t="shared" si="283"/>
        <v>0</v>
      </c>
      <c r="L330" s="178" t="e">
        <f t="shared" si="284"/>
        <v>#DIV/0!</v>
      </c>
      <c r="M330" s="80"/>
      <c r="N330" s="87"/>
    </row>
    <row r="331" spans="1:14" x14ac:dyDescent="0.2">
      <c r="A331" s="88"/>
      <c r="B331" s="238" t="s">
        <v>55</v>
      </c>
      <c r="C331" s="53"/>
      <c r="D331" s="124"/>
      <c r="E331" s="54">
        <f t="shared" si="280"/>
        <v>0</v>
      </c>
      <c r="F331" s="84"/>
      <c r="G331" s="55" t="e">
        <f t="shared" si="281"/>
        <v>#DIV/0!</v>
      </c>
      <c r="H331" s="167"/>
      <c r="I331" s="167"/>
      <c r="J331" s="124">
        <f t="shared" si="282"/>
        <v>0</v>
      </c>
      <c r="K331" s="76">
        <f t="shared" si="283"/>
        <v>0</v>
      </c>
      <c r="L331" s="178" t="e">
        <f t="shared" si="284"/>
        <v>#DIV/0!</v>
      </c>
      <c r="M331" s="86"/>
      <c r="N331" s="87">
        <f t="shared" ref="N331:N334" si="285">M331*F331</f>
        <v>0</v>
      </c>
    </row>
    <row r="332" spans="1:14" x14ac:dyDescent="0.2">
      <c r="A332" s="88"/>
      <c r="B332" s="238" t="s">
        <v>55</v>
      </c>
      <c r="C332" s="124"/>
      <c r="D332" s="124"/>
      <c r="E332" s="54">
        <f t="shared" si="280"/>
        <v>0</v>
      </c>
      <c r="F332" s="84"/>
      <c r="G332" s="55" t="e">
        <f t="shared" si="281"/>
        <v>#DIV/0!</v>
      </c>
      <c r="H332" s="167"/>
      <c r="I332" s="167"/>
      <c r="J332" s="124">
        <f t="shared" si="282"/>
        <v>0</v>
      </c>
      <c r="K332" s="76">
        <f t="shared" si="283"/>
        <v>0</v>
      </c>
      <c r="L332" s="178" t="e">
        <f t="shared" si="284"/>
        <v>#DIV/0!</v>
      </c>
      <c r="M332" s="86"/>
      <c r="N332" s="87">
        <f t="shared" si="285"/>
        <v>0</v>
      </c>
    </row>
    <row r="333" spans="1:14" x14ac:dyDescent="0.2">
      <c r="A333" s="88"/>
      <c r="B333" s="238" t="s">
        <v>55</v>
      </c>
      <c r="C333" s="76"/>
      <c r="D333" s="124"/>
      <c r="E333" s="54">
        <f t="shared" si="280"/>
        <v>0</v>
      </c>
      <c r="F333" s="84"/>
      <c r="G333" s="55" t="e">
        <f t="shared" si="281"/>
        <v>#DIV/0!</v>
      </c>
      <c r="H333" s="124"/>
      <c r="I333" s="167"/>
      <c r="J333" s="124">
        <f t="shared" si="282"/>
        <v>0</v>
      </c>
      <c r="K333" s="76">
        <f t="shared" si="283"/>
        <v>0</v>
      </c>
      <c r="L333" s="178" t="e">
        <f t="shared" si="284"/>
        <v>#DIV/0!</v>
      </c>
      <c r="M333" s="86"/>
      <c r="N333" s="87">
        <f t="shared" si="285"/>
        <v>0</v>
      </c>
    </row>
    <row r="334" spans="1:14" ht="17" thickBot="1" x14ac:dyDescent="0.25">
      <c r="A334" s="82"/>
      <c r="B334" s="238" t="s">
        <v>55</v>
      </c>
      <c r="C334" s="124"/>
      <c r="D334" s="124"/>
      <c r="E334" s="54">
        <f t="shared" si="280"/>
        <v>0</v>
      </c>
      <c r="F334" s="84"/>
      <c r="G334" s="55" t="e">
        <f t="shared" si="281"/>
        <v>#DIV/0!</v>
      </c>
      <c r="H334" s="124"/>
      <c r="I334" s="167"/>
      <c r="J334" s="124">
        <f t="shared" si="282"/>
        <v>0</v>
      </c>
      <c r="K334" s="76">
        <f t="shared" si="283"/>
        <v>0</v>
      </c>
      <c r="L334" s="178" t="e">
        <f t="shared" si="284"/>
        <v>#DIV/0!</v>
      </c>
      <c r="M334" s="86"/>
      <c r="N334" s="87">
        <f t="shared" si="285"/>
        <v>0</v>
      </c>
    </row>
    <row r="335" spans="1:14" ht="17" thickBot="1" x14ac:dyDescent="0.25">
      <c r="A335" s="104"/>
      <c r="B335" s="105"/>
      <c r="C335" s="104"/>
      <c r="D335" s="104" t="s">
        <v>17</v>
      </c>
      <c r="E335" s="104">
        <f>SUM(E329:E334)</f>
        <v>0</v>
      </c>
      <c r="F335" s="104"/>
      <c r="G335" s="106" t="e">
        <f>AVERAGE(G329:G334)</f>
        <v>#DIV/0!</v>
      </c>
      <c r="H335" s="104"/>
      <c r="I335" s="107"/>
      <c r="J335" s="104">
        <f t="shared" ref="J335:K335" si="286">SUM(J329:J334)</f>
        <v>0</v>
      </c>
      <c r="K335" s="104">
        <f t="shared" si="286"/>
        <v>0</v>
      </c>
      <c r="L335" s="106" t="e">
        <f>AVERAGE(L329:L334)</f>
        <v>#DIV/0!</v>
      </c>
      <c r="M335" s="108"/>
      <c r="N335" s="109">
        <f>SUM(N329:N334)</f>
        <v>0</v>
      </c>
    </row>
    <row r="336" spans="1:14" ht="17" thickBot="1" x14ac:dyDescent="0.25">
      <c r="A336" s="74">
        <v>46206</v>
      </c>
      <c r="B336" s="237" t="s">
        <v>56</v>
      </c>
      <c r="C336" s="124">
        <v>19614</v>
      </c>
      <c r="D336" s="124">
        <v>20459</v>
      </c>
      <c r="E336" s="54">
        <f t="shared" ref="E336:E344" si="287">D336-C336</f>
        <v>845</v>
      </c>
      <c r="F336" s="77">
        <v>212.57</v>
      </c>
      <c r="G336" s="55">
        <f t="shared" ref="G336:G344" si="288">(F336/E336)*100</f>
        <v>25.156213017751476</v>
      </c>
      <c r="H336" s="167"/>
      <c r="I336" s="167"/>
      <c r="J336" s="78">
        <f t="shared" ref="J336:J344" si="289">I336-H336</f>
        <v>0</v>
      </c>
      <c r="K336" s="78">
        <f t="shared" ref="K336:K344" si="290">F336</f>
        <v>212.57</v>
      </c>
      <c r="L336" s="178" t="e">
        <f t="shared" ref="L336:L344" si="291">(K336/J336)*100</f>
        <v>#DIV/0!</v>
      </c>
      <c r="M336" s="80">
        <v>21170</v>
      </c>
      <c r="N336" s="87">
        <f t="shared" ref="N336:N344" si="292">M336*F336</f>
        <v>4500106.8999999994</v>
      </c>
    </row>
    <row r="337" spans="1:18" x14ac:dyDescent="0.2">
      <c r="A337" s="88">
        <v>46212</v>
      </c>
      <c r="B337" s="237" t="s">
        <v>56</v>
      </c>
      <c r="C337" s="124">
        <v>20459</v>
      </c>
      <c r="D337" s="53">
        <v>20863</v>
      </c>
      <c r="E337" s="54">
        <f t="shared" si="287"/>
        <v>404</v>
      </c>
      <c r="F337" s="84">
        <v>118.1</v>
      </c>
      <c r="G337" s="55">
        <f t="shared" si="288"/>
        <v>29.232673267326732</v>
      </c>
      <c r="H337" s="167"/>
      <c r="I337" s="167"/>
      <c r="J337" s="124">
        <f t="shared" si="289"/>
        <v>0</v>
      </c>
      <c r="K337" s="76">
        <f t="shared" si="290"/>
        <v>118.1</v>
      </c>
      <c r="L337" s="178" t="e">
        <f t="shared" si="291"/>
        <v>#DIV/0!</v>
      </c>
      <c r="M337" s="80">
        <v>21170</v>
      </c>
      <c r="N337" s="87">
        <f t="shared" si="292"/>
        <v>2500177</v>
      </c>
    </row>
    <row r="338" spans="1:18" x14ac:dyDescent="0.2">
      <c r="A338" s="88">
        <v>46217</v>
      </c>
      <c r="B338" s="237" t="s">
        <v>56</v>
      </c>
      <c r="C338" s="53">
        <v>20863</v>
      </c>
      <c r="D338" s="124">
        <v>21700</v>
      </c>
      <c r="E338" s="54">
        <f t="shared" si="287"/>
        <v>837</v>
      </c>
      <c r="F338" s="84">
        <v>209.29</v>
      </c>
      <c r="G338" s="55">
        <f t="shared" si="288"/>
        <v>25.004778972520906</v>
      </c>
      <c r="H338" s="167"/>
      <c r="I338" s="167"/>
      <c r="J338" s="124">
        <f t="shared" si="289"/>
        <v>0</v>
      </c>
      <c r="K338" s="76">
        <f t="shared" si="290"/>
        <v>209.29</v>
      </c>
      <c r="L338" s="178" t="e">
        <f t="shared" si="291"/>
        <v>#DIV/0!</v>
      </c>
      <c r="M338" s="86">
        <v>21740</v>
      </c>
      <c r="N338" s="87">
        <f t="shared" si="292"/>
        <v>4549964.5999999996</v>
      </c>
    </row>
    <row r="339" spans="1:18" x14ac:dyDescent="0.2">
      <c r="A339" s="88"/>
      <c r="B339" s="237" t="s">
        <v>56</v>
      </c>
      <c r="C339" s="124"/>
      <c r="D339" s="124"/>
      <c r="E339" s="54">
        <f t="shared" si="287"/>
        <v>0</v>
      </c>
      <c r="F339" s="84"/>
      <c r="G339" s="239" t="e">
        <f t="shared" si="288"/>
        <v>#DIV/0!</v>
      </c>
      <c r="H339" s="167"/>
      <c r="I339" s="167"/>
      <c r="J339" s="124">
        <f t="shared" si="289"/>
        <v>0</v>
      </c>
      <c r="K339" s="76">
        <f t="shared" si="290"/>
        <v>0</v>
      </c>
      <c r="L339" s="178" t="e">
        <f t="shared" si="291"/>
        <v>#DIV/0!</v>
      </c>
      <c r="M339" s="86"/>
      <c r="N339" s="87">
        <f t="shared" si="292"/>
        <v>0</v>
      </c>
    </row>
    <row r="340" spans="1:18" x14ac:dyDescent="0.2">
      <c r="A340" s="88"/>
      <c r="B340" s="237" t="s">
        <v>56</v>
      </c>
      <c r="C340" s="124"/>
      <c r="D340" s="124"/>
      <c r="E340" s="54">
        <f t="shared" si="287"/>
        <v>0</v>
      </c>
      <c r="F340" s="84"/>
      <c r="G340" s="55" t="e">
        <f t="shared" si="288"/>
        <v>#DIV/0!</v>
      </c>
      <c r="H340" s="124"/>
      <c r="I340" s="167"/>
      <c r="J340" s="124">
        <f t="shared" si="289"/>
        <v>0</v>
      </c>
      <c r="K340" s="76">
        <f t="shared" si="290"/>
        <v>0</v>
      </c>
      <c r="L340" s="178" t="e">
        <f t="shared" si="291"/>
        <v>#DIV/0!</v>
      </c>
      <c r="M340" s="86"/>
      <c r="N340" s="87">
        <f t="shared" si="292"/>
        <v>0</v>
      </c>
    </row>
    <row r="341" spans="1:18" x14ac:dyDescent="0.2">
      <c r="A341" s="82"/>
      <c r="B341" s="237" t="s">
        <v>56</v>
      </c>
      <c r="C341" s="124"/>
      <c r="D341" s="124"/>
      <c r="E341" s="54">
        <f t="shared" si="287"/>
        <v>0</v>
      </c>
      <c r="F341" s="84"/>
      <c r="G341" s="55" t="e">
        <f t="shared" si="288"/>
        <v>#DIV/0!</v>
      </c>
      <c r="H341" s="124"/>
      <c r="I341" s="167"/>
      <c r="J341" s="124">
        <f t="shared" si="289"/>
        <v>0</v>
      </c>
      <c r="K341" s="76">
        <f t="shared" si="290"/>
        <v>0</v>
      </c>
      <c r="L341" s="178" t="e">
        <f t="shared" si="291"/>
        <v>#DIV/0!</v>
      </c>
      <c r="M341" s="86"/>
      <c r="N341" s="87">
        <f t="shared" si="292"/>
        <v>0</v>
      </c>
      <c r="R341" s="113">
        <v>75</v>
      </c>
    </row>
    <row r="342" spans="1:18" x14ac:dyDescent="0.2">
      <c r="A342" s="82"/>
      <c r="B342" s="237" t="s">
        <v>56</v>
      </c>
      <c r="C342" s="124"/>
      <c r="D342" s="124"/>
      <c r="E342" s="54">
        <f t="shared" si="287"/>
        <v>0</v>
      </c>
      <c r="F342" s="84"/>
      <c r="G342" s="55" t="e">
        <f t="shared" si="288"/>
        <v>#DIV/0!</v>
      </c>
      <c r="H342" s="124"/>
      <c r="I342" s="167"/>
      <c r="J342" s="124">
        <f t="shared" si="289"/>
        <v>0</v>
      </c>
      <c r="K342" s="76">
        <f t="shared" si="290"/>
        <v>0</v>
      </c>
      <c r="L342" s="178" t="e">
        <f t="shared" si="291"/>
        <v>#DIV/0!</v>
      </c>
      <c r="M342" s="86"/>
      <c r="N342" s="87">
        <f t="shared" si="292"/>
        <v>0</v>
      </c>
    </row>
    <row r="343" spans="1:18" x14ac:dyDescent="0.2">
      <c r="A343" s="82"/>
      <c r="B343" s="237" t="s">
        <v>56</v>
      </c>
      <c r="C343" s="124"/>
      <c r="D343" s="124"/>
      <c r="E343" s="54">
        <f t="shared" si="287"/>
        <v>0</v>
      </c>
      <c r="F343" s="84"/>
      <c r="G343" s="55" t="e">
        <f t="shared" si="288"/>
        <v>#DIV/0!</v>
      </c>
      <c r="H343" s="124"/>
      <c r="I343" s="167"/>
      <c r="J343" s="124">
        <f t="shared" si="289"/>
        <v>0</v>
      </c>
      <c r="K343" s="76">
        <f t="shared" si="290"/>
        <v>0</v>
      </c>
      <c r="L343" s="178" t="e">
        <f t="shared" si="291"/>
        <v>#DIV/0!</v>
      </c>
      <c r="M343" s="86"/>
      <c r="N343" s="87">
        <f t="shared" si="292"/>
        <v>0</v>
      </c>
    </row>
    <row r="344" spans="1:18" ht="17" thickBot="1" x14ac:dyDescent="0.25">
      <c r="A344" s="82"/>
      <c r="B344" s="237" t="s">
        <v>56</v>
      </c>
      <c r="C344" s="124"/>
      <c r="D344" s="124"/>
      <c r="E344" s="54">
        <f t="shared" si="287"/>
        <v>0</v>
      </c>
      <c r="F344" s="84"/>
      <c r="G344" s="55" t="e">
        <f t="shared" si="288"/>
        <v>#DIV/0!</v>
      </c>
      <c r="H344" s="124"/>
      <c r="I344" s="167"/>
      <c r="J344" s="124">
        <f t="shared" si="289"/>
        <v>0</v>
      </c>
      <c r="K344" s="76">
        <f t="shared" si="290"/>
        <v>0</v>
      </c>
      <c r="L344" s="178" t="e">
        <f t="shared" si="291"/>
        <v>#DIV/0!</v>
      </c>
      <c r="M344" s="86"/>
      <c r="N344" s="87">
        <f t="shared" si="292"/>
        <v>0</v>
      </c>
    </row>
    <row r="345" spans="1:18" ht="17" thickBot="1" x14ac:dyDescent="0.25">
      <c r="A345" s="104"/>
      <c r="B345" s="105"/>
      <c r="C345" s="104"/>
      <c r="D345" s="104" t="s">
        <v>17</v>
      </c>
      <c r="E345" s="104">
        <f>SUM(E336:E341)</f>
        <v>2086</v>
      </c>
      <c r="F345" s="104"/>
      <c r="G345" s="106" t="e">
        <f>AVERAGE(G336:G341)</f>
        <v>#DIV/0!</v>
      </c>
      <c r="H345" s="104"/>
      <c r="I345" s="107"/>
      <c r="J345" s="104">
        <f t="shared" ref="J345:K345" si="293">SUM(J336:J341)</f>
        <v>0</v>
      </c>
      <c r="K345" s="104">
        <f t="shared" si="293"/>
        <v>539.95999999999992</v>
      </c>
      <c r="L345" s="106" t="e">
        <f>AVERAGE(L336:L341)</f>
        <v>#DIV/0!</v>
      </c>
      <c r="M345" s="108"/>
      <c r="N345" s="109">
        <f>SUM(N336:N344)</f>
        <v>11550248.5</v>
      </c>
    </row>
    <row r="346" spans="1:18" ht="17" thickBot="1" x14ac:dyDescent="0.25">
      <c r="A346" s="74">
        <v>46205</v>
      </c>
      <c r="B346" s="237" t="s">
        <v>57</v>
      </c>
      <c r="C346" s="124"/>
      <c r="D346" s="124"/>
      <c r="E346" s="54">
        <f t="shared" ref="E346:E351" si="294">D346-C346</f>
        <v>0</v>
      </c>
      <c r="F346" s="77">
        <v>228.73</v>
      </c>
      <c r="G346" s="55" t="e">
        <f t="shared" ref="G346:G351" si="295">(F346/E346)*100</f>
        <v>#DIV/0!</v>
      </c>
      <c r="H346" s="167"/>
      <c r="I346" s="167"/>
      <c r="J346" s="78">
        <f t="shared" ref="J346:J351" si="296">I346-H346</f>
        <v>0</v>
      </c>
      <c r="K346" s="78">
        <f t="shared" ref="K346:K351" si="297">F346</f>
        <v>228.73</v>
      </c>
      <c r="L346" s="178" t="e">
        <f t="shared" ref="L346:L351" si="298">(K346/J346)*100</f>
        <v>#DIV/0!</v>
      </c>
      <c r="M346" s="80">
        <v>21860</v>
      </c>
      <c r="N346" s="87">
        <f t="shared" ref="N346:N351" si="299">M346*F346</f>
        <v>5000037.8</v>
      </c>
    </row>
    <row r="347" spans="1:18" x14ac:dyDescent="0.2">
      <c r="A347" s="88">
        <v>46218</v>
      </c>
      <c r="B347" s="237" t="s">
        <v>57</v>
      </c>
      <c r="C347" s="124"/>
      <c r="D347" s="53"/>
      <c r="E347" s="54">
        <f t="shared" si="294"/>
        <v>0</v>
      </c>
      <c r="F347" s="84">
        <v>197.79</v>
      </c>
      <c r="G347" s="55" t="e">
        <f t="shared" si="295"/>
        <v>#DIV/0!</v>
      </c>
      <c r="H347" s="167"/>
      <c r="I347" s="167"/>
      <c r="J347" s="124">
        <f t="shared" si="296"/>
        <v>0</v>
      </c>
      <c r="K347" s="76">
        <f t="shared" si="297"/>
        <v>197.79</v>
      </c>
      <c r="L347" s="178" t="e">
        <f t="shared" si="298"/>
        <v>#DIV/0!</v>
      </c>
      <c r="M347" s="80">
        <v>21740</v>
      </c>
      <c r="N347" s="87">
        <f t="shared" si="299"/>
        <v>4299954.5999999996</v>
      </c>
    </row>
    <row r="348" spans="1:18" x14ac:dyDescent="0.2">
      <c r="A348" s="88"/>
      <c r="B348" s="237" t="s">
        <v>57</v>
      </c>
      <c r="C348" s="53"/>
      <c r="D348" s="124"/>
      <c r="E348" s="54">
        <f t="shared" si="294"/>
        <v>0</v>
      </c>
      <c r="F348" s="84"/>
      <c r="G348" s="55" t="e">
        <f t="shared" si="295"/>
        <v>#DIV/0!</v>
      </c>
      <c r="H348" s="167"/>
      <c r="I348" s="167"/>
      <c r="J348" s="124">
        <f t="shared" si="296"/>
        <v>0</v>
      </c>
      <c r="K348" s="76">
        <f t="shared" si="297"/>
        <v>0</v>
      </c>
      <c r="L348" s="178" t="e">
        <f t="shared" si="298"/>
        <v>#DIV/0!</v>
      </c>
      <c r="M348" s="86"/>
      <c r="N348" s="87">
        <f t="shared" si="299"/>
        <v>0</v>
      </c>
    </row>
    <row r="349" spans="1:18" x14ac:dyDescent="0.2">
      <c r="A349" s="88"/>
      <c r="B349" s="237" t="s">
        <v>57</v>
      </c>
      <c r="C349" s="124"/>
      <c r="D349" s="124"/>
      <c r="E349" s="54">
        <f t="shared" si="294"/>
        <v>0</v>
      </c>
      <c r="F349" s="84"/>
      <c r="G349" s="55" t="e">
        <f t="shared" si="295"/>
        <v>#DIV/0!</v>
      </c>
      <c r="H349" s="167"/>
      <c r="I349" s="167"/>
      <c r="J349" s="124">
        <f t="shared" si="296"/>
        <v>0</v>
      </c>
      <c r="K349" s="76">
        <f t="shared" si="297"/>
        <v>0</v>
      </c>
      <c r="L349" s="178" t="e">
        <f t="shared" si="298"/>
        <v>#DIV/0!</v>
      </c>
      <c r="M349" s="86"/>
      <c r="N349" s="87">
        <f t="shared" si="299"/>
        <v>0</v>
      </c>
    </row>
    <row r="350" spans="1:18" x14ac:dyDescent="0.2">
      <c r="A350" s="88"/>
      <c r="B350" s="237" t="s">
        <v>57</v>
      </c>
      <c r="C350" s="76"/>
      <c r="D350" s="124"/>
      <c r="E350" s="54">
        <f t="shared" si="294"/>
        <v>0</v>
      </c>
      <c r="F350" s="84"/>
      <c r="G350" s="55" t="e">
        <f t="shared" si="295"/>
        <v>#DIV/0!</v>
      </c>
      <c r="H350" s="124"/>
      <c r="I350" s="167"/>
      <c r="J350" s="124">
        <f t="shared" si="296"/>
        <v>0</v>
      </c>
      <c r="K350" s="76">
        <f t="shared" si="297"/>
        <v>0</v>
      </c>
      <c r="L350" s="178" t="e">
        <f t="shared" si="298"/>
        <v>#DIV/0!</v>
      </c>
      <c r="M350" s="86"/>
      <c r="N350" s="87">
        <f t="shared" si="299"/>
        <v>0</v>
      </c>
    </row>
    <row r="351" spans="1:18" ht="17" thickBot="1" x14ac:dyDescent="0.25">
      <c r="A351" s="82"/>
      <c r="B351" s="237" t="s">
        <v>57</v>
      </c>
      <c r="C351" s="124"/>
      <c r="D351" s="124"/>
      <c r="E351" s="54">
        <f t="shared" si="294"/>
        <v>0</v>
      </c>
      <c r="F351" s="84"/>
      <c r="G351" s="55" t="e">
        <f t="shared" si="295"/>
        <v>#DIV/0!</v>
      </c>
      <c r="H351" s="124"/>
      <c r="I351" s="167"/>
      <c r="J351" s="124">
        <f t="shared" si="296"/>
        <v>0</v>
      </c>
      <c r="K351" s="76">
        <f t="shared" si="297"/>
        <v>0</v>
      </c>
      <c r="L351" s="178" t="e">
        <f t="shared" si="298"/>
        <v>#DIV/0!</v>
      </c>
      <c r="M351" s="86"/>
      <c r="N351" s="87">
        <f t="shared" si="299"/>
        <v>0</v>
      </c>
    </row>
    <row r="352" spans="1:18" ht="17" thickBot="1" x14ac:dyDescent="0.25">
      <c r="A352" s="104"/>
      <c r="B352" s="105"/>
      <c r="C352" s="104"/>
      <c r="D352" s="104" t="s">
        <v>17</v>
      </c>
      <c r="E352" s="104">
        <f>SUM(E346:E351)</f>
        <v>0</v>
      </c>
      <c r="F352" s="104"/>
      <c r="G352" s="106" t="e">
        <f>AVERAGE(G346:G351)</f>
        <v>#DIV/0!</v>
      </c>
      <c r="H352" s="104"/>
      <c r="I352" s="107"/>
      <c r="J352" s="104">
        <f t="shared" ref="J352:K352" si="300">SUM(J346:J351)</f>
        <v>0</v>
      </c>
      <c r="K352" s="104">
        <f t="shared" si="300"/>
        <v>426.52</v>
      </c>
      <c r="L352" s="106" t="e">
        <f>AVERAGE(L346:L351)</f>
        <v>#DIV/0!</v>
      </c>
      <c r="M352" s="108"/>
      <c r="N352" s="109">
        <f>SUM(N346:N351)</f>
        <v>9299992.3999999985</v>
      </c>
    </row>
    <row r="353" spans="1:14" ht="17" thickBot="1" x14ac:dyDescent="0.25">
      <c r="A353" s="240" t="s">
        <v>60</v>
      </c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108"/>
      <c r="N353" s="109">
        <f>SUM(N238:N352)/2</f>
        <v>109482489.70000002</v>
      </c>
    </row>
    <row r="354" spans="1:14" x14ac:dyDescent="0.2">
      <c r="G354" s="215"/>
      <c r="L354" s="215"/>
      <c r="N354" s="216"/>
    </row>
    <row r="355" spans="1:14" x14ac:dyDescent="0.2">
      <c r="G355" s="215"/>
      <c r="L355" s="215"/>
      <c r="N355" s="216"/>
    </row>
    <row r="356" spans="1:14" x14ac:dyDescent="0.2">
      <c r="G356" s="215"/>
      <c r="L356" s="215"/>
      <c r="N356" s="216"/>
    </row>
    <row r="357" spans="1:14" x14ac:dyDescent="0.2">
      <c r="G357" s="215"/>
      <c r="L357" s="215"/>
      <c r="N357" s="216"/>
    </row>
    <row r="358" spans="1:14" x14ac:dyDescent="0.2">
      <c r="G358" s="215"/>
      <c r="L358" s="215"/>
      <c r="N358" s="216"/>
    </row>
    <row r="359" spans="1:14" x14ac:dyDescent="0.2">
      <c r="G359" s="215"/>
      <c r="L359" s="215"/>
      <c r="N359" s="216"/>
    </row>
    <row r="360" spans="1:14" x14ac:dyDescent="0.2">
      <c r="G360" s="215"/>
      <c r="L360" s="215"/>
      <c r="N360" s="216"/>
    </row>
    <row r="361" spans="1:14" x14ac:dyDescent="0.2">
      <c r="G361" s="215"/>
      <c r="L361" s="215"/>
      <c r="N361" s="216"/>
    </row>
    <row r="362" spans="1:14" x14ac:dyDescent="0.2">
      <c r="G362" s="215"/>
      <c r="L362" s="215"/>
      <c r="N362" s="216"/>
    </row>
    <row r="363" spans="1:14" x14ac:dyDescent="0.2">
      <c r="G363" s="215"/>
      <c r="L363" s="215"/>
      <c r="N363" s="216"/>
    </row>
    <row r="364" spans="1:14" x14ac:dyDescent="0.2">
      <c r="G364" s="215"/>
      <c r="L364" s="215"/>
      <c r="N364" s="216"/>
    </row>
    <row r="365" spans="1:14" x14ac:dyDescent="0.2">
      <c r="G365" s="215"/>
      <c r="L365" s="215"/>
      <c r="N365" s="216"/>
    </row>
    <row r="366" spans="1:14" x14ac:dyDescent="0.2">
      <c r="G366" s="215"/>
      <c r="L366" s="215"/>
      <c r="N366" s="216"/>
    </row>
    <row r="367" spans="1:14" x14ac:dyDescent="0.2">
      <c r="G367" s="215"/>
      <c r="L367" s="215"/>
      <c r="N367" s="216"/>
    </row>
    <row r="368" spans="1:14" x14ac:dyDescent="0.2">
      <c r="G368" s="215"/>
      <c r="L368" s="215"/>
      <c r="N368" s="216"/>
    </row>
    <row r="369" spans="7:14" x14ac:dyDescent="0.2">
      <c r="G369" s="215"/>
      <c r="L369" s="215"/>
      <c r="N369" s="216"/>
    </row>
    <row r="370" spans="7:14" x14ac:dyDescent="0.2">
      <c r="G370" s="215"/>
      <c r="L370" s="215"/>
      <c r="N370" s="216"/>
    </row>
    <row r="371" spans="7:14" x14ac:dyDescent="0.2">
      <c r="G371" s="215"/>
      <c r="L371" s="215"/>
      <c r="N371" s="216"/>
    </row>
    <row r="372" spans="7:14" x14ac:dyDescent="0.2">
      <c r="G372" s="215"/>
      <c r="L372" s="215"/>
      <c r="N372" s="216"/>
    </row>
    <row r="373" spans="7:14" x14ac:dyDescent="0.2">
      <c r="G373" s="215"/>
      <c r="L373" s="215"/>
      <c r="N373" s="216"/>
    </row>
    <row r="374" spans="7:14" x14ac:dyDescent="0.2">
      <c r="G374" s="215"/>
      <c r="L374" s="215"/>
      <c r="N374" s="216"/>
    </row>
    <row r="375" spans="7:14" x14ac:dyDescent="0.2">
      <c r="G375" s="215"/>
      <c r="L375" s="215"/>
      <c r="N375" s="216"/>
    </row>
    <row r="376" spans="7:14" x14ac:dyDescent="0.2">
      <c r="G376" s="215"/>
      <c r="L376" s="215"/>
      <c r="N376" s="216"/>
    </row>
    <row r="377" spans="7:14" x14ac:dyDescent="0.2">
      <c r="G377" s="215"/>
      <c r="L377" s="215"/>
      <c r="N377" s="216"/>
    </row>
    <row r="378" spans="7:14" x14ac:dyDescent="0.2">
      <c r="G378" s="215"/>
      <c r="L378" s="215"/>
      <c r="N378" s="216"/>
    </row>
    <row r="379" spans="7:14" x14ac:dyDescent="0.2">
      <c r="G379" s="215"/>
      <c r="L379" s="215"/>
      <c r="N379" s="216"/>
    </row>
    <row r="380" spans="7:14" x14ac:dyDescent="0.2">
      <c r="G380" s="215"/>
      <c r="L380" s="215"/>
      <c r="N380" s="216"/>
    </row>
    <row r="381" spans="7:14" x14ac:dyDescent="0.2">
      <c r="G381" s="215"/>
      <c r="L381" s="215"/>
      <c r="N381" s="216"/>
    </row>
    <row r="382" spans="7:14" x14ac:dyDescent="0.2">
      <c r="G382" s="215"/>
      <c r="L382" s="215"/>
      <c r="N382" s="216"/>
    </row>
    <row r="383" spans="7:14" x14ac:dyDescent="0.2">
      <c r="G383" s="215"/>
      <c r="L383" s="215"/>
      <c r="N383" s="216"/>
    </row>
    <row r="384" spans="7:14" x14ac:dyDescent="0.2">
      <c r="G384" s="215"/>
      <c r="L384" s="215"/>
      <c r="N384" s="216"/>
    </row>
    <row r="385" spans="7:14" x14ac:dyDescent="0.2">
      <c r="G385" s="215"/>
      <c r="L385" s="215"/>
      <c r="N385" s="216"/>
    </row>
    <row r="386" spans="7:14" x14ac:dyDescent="0.2">
      <c r="G386" s="215"/>
      <c r="L386" s="215"/>
      <c r="N386" s="216"/>
    </row>
    <row r="387" spans="7:14" x14ac:dyDescent="0.2">
      <c r="G387" s="215"/>
      <c r="L387" s="215"/>
      <c r="N387" s="216"/>
    </row>
    <row r="388" spans="7:14" x14ac:dyDescent="0.2">
      <c r="G388" s="215"/>
      <c r="L388" s="215"/>
      <c r="N388" s="216"/>
    </row>
    <row r="389" spans="7:14" x14ac:dyDescent="0.2">
      <c r="G389" s="215"/>
      <c r="L389" s="215"/>
      <c r="N389" s="216"/>
    </row>
    <row r="390" spans="7:14" x14ac:dyDescent="0.2">
      <c r="G390" s="215"/>
      <c r="L390" s="215"/>
      <c r="N390" s="216"/>
    </row>
    <row r="391" spans="7:14" x14ac:dyDescent="0.2">
      <c r="G391" s="215"/>
      <c r="L391" s="215"/>
      <c r="N391" s="216"/>
    </row>
    <row r="392" spans="7:14" x14ac:dyDescent="0.2">
      <c r="G392" s="215"/>
      <c r="L392" s="215"/>
      <c r="N392" s="216"/>
    </row>
    <row r="393" spans="7:14" x14ac:dyDescent="0.2">
      <c r="G393" s="215"/>
      <c r="L393" s="215"/>
      <c r="N393" s="216"/>
    </row>
    <row r="394" spans="7:14" x14ac:dyDescent="0.2">
      <c r="G394" s="215"/>
      <c r="L394" s="215"/>
      <c r="N394" s="216"/>
    </row>
    <row r="395" spans="7:14" x14ac:dyDescent="0.2">
      <c r="G395" s="215"/>
      <c r="L395" s="215"/>
      <c r="N395" s="216"/>
    </row>
    <row r="396" spans="7:14" x14ac:dyDescent="0.2">
      <c r="G396" s="215"/>
      <c r="L396" s="215"/>
      <c r="N396" s="216"/>
    </row>
    <row r="397" spans="7:14" x14ac:dyDescent="0.2">
      <c r="G397" s="215"/>
      <c r="L397" s="215"/>
      <c r="N397" s="216"/>
    </row>
    <row r="398" spans="7:14" x14ac:dyDescent="0.2">
      <c r="G398" s="215"/>
      <c r="L398" s="215"/>
      <c r="N398" s="216"/>
    </row>
    <row r="399" spans="7:14" x14ac:dyDescent="0.2">
      <c r="G399" s="215"/>
      <c r="L399" s="215"/>
      <c r="N399" s="216"/>
    </row>
    <row r="400" spans="7:14" x14ac:dyDescent="0.2">
      <c r="G400" s="215"/>
      <c r="L400" s="215"/>
      <c r="N400" s="216"/>
    </row>
    <row r="401" spans="7:14" x14ac:dyDescent="0.2">
      <c r="G401" s="215"/>
      <c r="L401" s="215"/>
      <c r="N401" s="216"/>
    </row>
    <row r="402" spans="7:14" x14ac:dyDescent="0.2">
      <c r="G402" s="215"/>
      <c r="L402" s="215"/>
      <c r="N402" s="216"/>
    </row>
    <row r="403" spans="7:14" x14ac:dyDescent="0.2">
      <c r="G403" s="215"/>
      <c r="L403" s="215"/>
      <c r="N403" s="216"/>
    </row>
    <row r="404" spans="7:14" x14ac:dyDescent="0.2">
      <c r="G404" s="215"/>
      <c r="L404" s="215"/>
      <c r="N404" s="216"/>
    </row>
    <row r="405" spans="7:14" x14ac:dyDescent="0.2">
      <c r="G405" s="215"/>
      <c r="L405" s="215"/>
      <c r="N405" s="216"/>
    </row>
    <row r="406" spans="7:14" x14ac:dyDescent="0.2">
      <c r="G406" s="215"/>
      <c r="L406" s="215"/>
      <c r="N406" s="216"/>
    </row>
    <row r="407" spans="7:14" x14ac:dyDescent="0.2">
      <c r="G407" s="215"/>
      <c r="L407" s="215"/>
      <c r="N407" s="216"/>
    </row>
    <row r="408" spans="7:14" x14ac:dyDescent="0.2">
      <c r="G408" s="215"/>
      <c r="L408" s="215"/>
      <c r="N408" s="216"/>
    </row>
    <row r="409" spans="7:14" x14ac:dyDescent="0.2">
      <c r="G409" s="215"/>
      <c r="L409" s="215"/>
      <c r="N409" s="216"/>
    </row>
    <row r="410" spans="7:14" x14ac:dyDescent="0.2">
      <c r="G410" s="215"/>
      <c r="L410" s="215"/>
      <c r="N410" s="216"/>
    </row>
    <row r="411" spans="7:14" x14ac:dyDescent="0.2">
      <c r="G411" s="215"/>
      <c r="L411" s="215"/>
      <c r="N411" s="216"/>
    </row>
    <row r="412" spans="7:14" x14ac:dyDescent="0.2">
      <c r="G412" s="215"/>
      <c r="L412" s="215"/>
      <c r="N412" s="216"/>
    </row>
    <row r="413" spans="7:14" x14ac:dyDescent="0.2">
      <c r="G413" s="215"/>
      <c r="L413" s="215"/>
      <c r="N413" s="216"/>
    </row>
    <row r="414" spans="7:14" x14ac:dyDescent="0.2">
      <c r="G414" s="215"/>
      <c r="L414" s="215"/>
      <c r="N414" s="216"/>
    </row>
    <row r="415" spans="7:14" x14ac:dyDescent="0.2">
      <c r="G415" s="215"/>
      <c r="L415" s="215"/>
      <c r="N415" s="216"/>
    </row>
    <row r="416" spans="7:14" x14ac:dyDescent="0.2">
      <c r="G416" s="215"/>
      <c r="L416" s="215"/>
      <c r="N416" s="216"/>
    </row>
    <row r="417" spans="7:14" x14ac:dyDescent="0.2">
      <c r="G417" s="215"/>
      <c r="L417" s="215"/>
      <c r="N417" s="216"/>
    </row>
    <row r="418" spans="7:14" x14ac:dyDescent="0.2">
      <c r="G418" s="215"/>
      <c r="L418" s="215"/>
      <c r="N418" s="216"/>
    </row>
    <row r="419" spans="7:14" x14ac:dyDescent="0.2">
      <c r="G419" s="215"/>
      <c r="L419" s="215"/>
      <c r="N419" s="216"/>
    </row>
    <row r="420" spans="7:14" x14ac:dyDescent="0.2">
      <c r="G420" s="215"/>
      <c r="L420" s="215"/>
      <c r="N420" s="216"/>
    </row>
    <row r="421" spans="7:14" x14ac:dyDescent="0.2">
      <c r="G421" s="215"/>
      <c r="L421" s="215"/>
      <c r="N421" s="216"/>
    </row>
    <row r="422" spans="7:14" x14ac:dyDescent="0.2">
      <c r="G422" s="215"/>
      <c r="L422" s="215"/>
      <c r="N422" s="216"/>
    </row>
    <row r="423" spans="7:14" x14ac:dyDescent="0.2">
      <c r="G423" s="215"/>
      <c r="L423" s="215"/>
      <c r="N423" s="216"/>
    </row>
    <row r="424" spans="7:14" x14ac:dyDescent="0.2">
      <c r="G424" s="215"/>
      <c r="L424" s="215"/>
      <c r="N424" s="216"/>
    </row>
    <row r="425" spans="7:14" x14ac:dyDescent="0.2">
      <c r="G425" s="215"/>
      <c r="L425" s="215"/>
      <c r="N425" s="216"/>
    </row>
    <row r="426" spans="7:14" x14ac:dyDescent="0.2">
      <c r="G426" s="215"/>
      <c r="L426" s="215"/>
      <c r="N426" s="216"/>
    </row>
    <row r="427" spans="7:14" x14ac:dyDescent="0.2">
      <c r="G427" s="215"/>
      <c r="L427" s="215"/>
      <c r="N427" s="216"/>
    </row>
    <row r="428" spans="7:14" x14ac:dyDescent="0.2">
      <c r="G428" s="215"/>
      <c r="L428" s="215"/>
      <c r="N428" s="216"/>
    </row>
    <row r="429" spans="7:14" x14ac:dyDescent="0.2">
      <c r="G429" s="215"/>
      <c r="L429" s="215"/>
      <c r="N429" s="216"/>
    </row>
    <row r="430" spans="7:14" x14ac:dyDescent="0.2">
      <c r="G430" s="215"/>
      <c r="L430" s="215"/>
      <c r="N430" s="216"/>
    </row>
    <row r="431" spans="7:14" x14ac:dyDescent="0.2">
      <c r="G431" s="215"/>
      <c r="L431" s="215"/>
      <c r="N431" s="216"/>
    </row>
    <row r="432" spans="7:14" x14ac:dyDescent="0.2">
      <c r="G432" s="215"/>
      <c r="L432" s="215"/>
      <c r="N432" s="216"/>
    </row>
    <row r="433" spans="7:14" x14ac:dyDescent="0.2">
      <c r="G433" s="215"/>
      <c r="L433" s="215"/>
      <c r="N433" s="216"/>
    </row>
    <row r="434" spans="7:14" x14ac:dyDescent="0.2">
      <c r="G434" s="215"/>
      <c r="L434" s="215"/>
      <c r="N434" s="216"/>
    </row>
    <row r="435" spans="7:14" x14ac:dyDescent="0.2">
      <c r="G435" s="215"/>
      <c r="L435" s="215"/>
      <c r="N435" s="216"/>
    </row>
    <row r="436" spans="7:14" x14ac:dyDescent="0.2">
      <c r="G436" s="215"/>
      <c r="L436" s="215"/>
      <c r="N436" s="216"/>
    </row>
    <row r="437" spans="7:14" x14ac:dyDescent="0.2">
      <c r="G437" s="215"/>
      <c r="L437" s="215"/>
      <c r="N437" s="216"/>
    </row>
    <row r="438" spans="7:14" x14ac:dyDescent="0.2">
      <c r="G438" s="215"/>
      <c r="L438" s="215"/>
      <c r="N438" s="216"/>
    </row>
    <row r="439" spans="7:14" x14ac:dyDescent="0.2">
      <c r="G439" s="215"/>
      <c r="L439" s="215"/>
      <c r="N439" s="216"/>
    </row>
    <row r="440" spans="7:14" x14ac:dyDescent="0.2">
      <c r="G440" s="215"/>
      <c r="L440" s="215"/>
      <c r="N440" s="216"/>
    </row>
    <row r="441" spans="7:14" x14ac:dyDescent="0.2">
      <c r="G441" s="215"/>
      <c r="L441" s="215"/>
      <c r="N441" s="216"/>
    </row>
    <row r="442" spans="7:14" x14ac:dyDescent="0.2">
      <c r="G442" s="215"/>
      <c r="L442" s="215"/>
      <c r="N442" s="216"/>
    </row>
    <row r="443" spans="7:14" x14ac:dyDescent="0.2">
      <c r="G443" s="215"/>
      <c r="L443" s="215"/>
      <c r="N443" s="216"/>
    </row>
    <row r="444" spans="7:14" x14ac:dyDescent="0.2">
      <c r="G444" s="215"/>
      <c r="L444" s="215"/>
      <c r="N444" s="216"/>
    </row>
    <row r="445" spans="7:14" x14ac:dyDescent="0.2">
      <c r="G445" s="215"/>
      <c r="L445" s="215"/>
      <c r="N445" s="216"/>
    </row>
    <row r="446" spans="7:14" x14ac:dyDescent="0.2">
      <c r="G446" s="215"/>
      <c r="L446" s="215"/>
      <c r="N446" s="216"/>
    </row>
    <row r="447" spans="7:14" x14ac:dyDescent="0.2">
      <c r="G447" s="215"/>
      <c r="L447" s="215"/>
      <c r="N447" s="216"/>
    </row>
    <row r="448" spans="7:14" x14ac:dyDescent="0.2">
      <c r="G448" s="215"/>
      <c r="L448" s="215"/>
      <c r="N448" s="216"/>
    </row>
    <row r="449" spans="7:14" x14ac:dyDescent="0.2">
      <c r="G449" s="215"/>
      <c r="L449" s="215"/>
      <c r="N449" s="216"/>
    </row>
    <row r="450" spans="7:14" x14ac:dyDescent="0.2">
      <c r="G450" s="215"/>
      <c r="L450" s="215"/>
      <c r="N450" s="216"/>
    </row>
    <row r="451" spans="7:14" x14ac:dyDescent="0.2">
      <c r="G451" s="215"/>
      <c r="L451" s="215"/>
      <c r="N451" s="216"/>
    </row>
    <row r="452" spans="7:14" x14ac:dyDescent="0.2">
      <c r="G452" s="215"/>
      <c r="L452" s="215"/>
      <c r="N452" s="216"/>
    </row>
    <row r="453" spans="7:14" x14ac:dyDescent="0.2">
      <c r="G453" s="215"/>
      <c r="L453" s="215"/>
      <c r="N453" s="216"/>
    </row>
    <row r="454" spans="7:14" x14ac:dyDescent="0.2">
      <c r="G454" s="215"/>
      <c r="L454" s="215"/>
      <c r="N454" s="216"/>
    </row>
    <row r="455" spans="7:14" x14ac:dyDescent="0.2">
      <c r="G455" s="215"/>
      <c r="L455" s="215"/>
      <c r="N455" s="216"/>
    </row>
    <row r="456" spans="7:14" x14ac:dyDescent="0.2">
      <c r="G456" s="215"/>
      <c r="L456" s="215"/>
      <c r="N456" s="216"/>
    </row>
    <row r="457" spans="7:14" x14ac:dyDescent="0.2">
      <c r="G457" s="215"/>
      <c r="L457" s="215"/>
      <c r="N457" s="216"/>
    </row>
    <row r="458" spans="7:14" x14ac:dyDescent="0.2">
      <c r="G458" s="215"/>
      <c r="L458" s="215"/>
      <c r="N458" s="216"/>
    </row>
    <row r="459" spans="7:14" x14ac:dyDescent="0.2">
      <c r="G459" s="215"/>
      <c r="L459" s="215"/>
      <c r="N459" s="216"/>
    </row>
    <row r="460" spans="7:14" x14ac:dyDescent="0.2">
      <c r="G460" s="215"/>
      <c r="L460" s="215"/>
      <c r="N460" s="216"/>
    </row>
    <row r="461" spans="7:14" x14ac:dyDescent="0.2">
      <c r="G461" s="215"/>
      <c r="L461" s="215"/>
      <c r="N461" s="216"/>
    </row>
    <row r="462" spans="7:14" x14ac:dyDescent="0.2">
      <c r="G462" s="215"/>
      <c r="L462" s="215"/>
      <c r="N462" s="216"/>
    </row>
    <row r="463" spans="7:14" x14ac:dyDescent="0.2">
      <c r="G463" s="215"/>
      <c r="L463" s="215"/>
      <c r="N463" s="216"/>
    </row>
    <row r="464" spans="7:14" x14ac:dyDescent="0.2">
      <c r="G464" s="215"/>
      <c r="L464" s="215"/>
      <c r="N464" s="216"/>
    </row>
    <row r="465" spans="7:14" x14ac:dyDescent="0.2">
      <c r="G465" s="215"/>
      <c r="L465" s="215"/>
      <c r="N465" s="216"/>
    </row>
    <row r="466" spans="7:14" x14ac:dyDescent="0.2">
      <c r="G466" s="215"/>
      <c r="L466" s="215"/>
      <c r="N466" s="216"/>
    </row>
    <row r="467" spans="7:14" x14ac:dyDescent="0.2">
      <c r="G467" s="215"/>
      <c r="L467" s="215"/>
      <c r="N467" s="216"/>
    </row>
    <row r="468" spans="7:14" x14ac:dyDescent="0.2">
      <c r="G468" s="215"/>
      <c r="L468" s="215"/>
      <c r="N468" s="216"/>
    </row>
    <row r="469" spans="7:14" x14ac:dyDescent="0.2">
      <c r="G469" s="215"/>
      <c r="L469" s="215"/>
      <c r="N469" s="216"/>
    </row>
    <row r="470" spans="7:14" x14ac:dyDescent="0.2">
      <c r="G470" s="215"/>
      <c r="L470" s="215"/>
      <c r="N470" s="216"/>
    </row>
    <row r="471" spans="7:14" x14ac:dyDescent="0.2">
      <c r="G471" s="215"/>
      <c r="L471" s="215"/>
      <c r="N471" s="216"/>
    </row>
    <row r="472" spans="7:14" x14ac:dyDescent="0.2">
      <c r="G472" s="215"/>
      <c r="L472" s="215"/>
      <c r="N472" s="216"/>
    </row>
    <row r="473" spans="7:14" x14ac:dyDescent="0.2">
      <c r="G473" s="215"/>
      <c r="L473" s="215"/>
      <c r="N473" s="216"/>
    </row>
    <row r="474" spans="7:14" x14ac:dyDescent="0.2">
      <c r="G474" s="215"/>
      <c r="L474" s="215"/>
      <c r="N474" s="216"/>
    </row>
    <row r="475" spans="7:14" x14ac:dyDescent="0.2">
      <c r="G475" s="215"/>
      <c r="L475" s="215"/>
      <c r="N475" s="216"/>
    </row>
    <row r="476" spans="7:14" x14ac:dyDescent="0.2">
      <c r="G476" s="215"/>
      <c r="L476" s="215"/>
      <c r="N476" s="216"/>
    </row>
    <row r="477" spans="7:14" x14ac:dyDescent="0.2">
      <c r="G477" s="215"/>
      <c r="L477" s="215"/>
      <c r="N477" s="216"/>
    </row>
    <row r="478" spans="7:14" x14ac:dyDescent="0.2">
      <c r="G478" s="215"/>
      <c r="L478" s="215"/>
      <c r="N478" s="216"/>
    </row>
    <row r="479" spans="7:14" x14ac:dyDescent="0.2">
      <c r="G479" s="215"/>
      <c r="L479" s="215"/>
      <c r="N479" s="216"/>
    </row>
    <row r="480" spans="7:14" x14ac:dyDescent="0.2">
      <c r="G480" s="215"/>
      <c r="L480" s="215"/>
      <c r="N480" s="216"/>
    </row>
    <row r="481" spans="7:14" x14ac:dyDescent="0.2">
      <c r="G481" s="215"/>
      <c r="L481" s="215"/>
      <c r="N481" s="216"/>
    </row>
    <row r="482" spans="7:14" x14ac:dyDescent="0.2">
      <c r="G482" s="215"/>
      <c r="L482" s="215"/>
      <c r="N482" s="216"/>
    </row>
    <row r="483" spans="7:14" x14ac:dyDescent="0.2">
      <c r="G483" s="215"/>
      <c r="L483" s="215"/>
      <c r="N483" s="216"/>
    </row>
    <row r="484" spans="7:14" x14ac:dyDescent="0.2">
      <c r="G484" s="215"/>
      <c r="L484" s="215"/>
      <c r="N484" s="216"/>
    </row>
    <row r="485" spans="7:14" x14ac:dyDescent="0.2">
      <c r="G485" s="215"/>
      <c r="L485" s="215"/>
      <c r="N485" s="216"/>
    </row>
    <row r="486" spans="7:14" x14ac:dyDescent="0.2">
      <c r="G486" s="215"/>
      <c r="L486" s="215"/>
      <c r="N486" s="216"/>
    </row>
    <row r="487" spans="7:14" x14ac:dyDescent="0.2">
      <c r="G487" s="215"/>
      <c r="L487" s="215"/>
      <c r="N487" s="216"/>
    </row>
    <row r="488" spans="7:14" x14ac:dyDescent="0.2">
      <c r="G488" s="215"/>
      <c r="L488" s="215"/>
      <c r="N488" s="216"/>
    </row>
    <row r="489" spans="7:14" x14ac:dyDescent="0.2">
      <c r="G489" s="215"/>
      <c r="L489" s="215"/>
      <c r="N489" s="216"/>
    </row>
    <row r="490" spans="7:14" x14ac:dyDescent="0.2">
      <c r="G490" s="215"/>
      <c r="L490" s="215"/>
      <c r="N490" s="216"/>
    </row>
    <row r="491" spans="7:14" x14ac:dyDescent="0.2">
      <c r="G491" s="215"/>
      <c r="L491" s="215"/>
      <c r="N491" s="216"/>
    </row>
    <row r="492" spans="7:14" x14ac:dyDescent="0.2">
      <c r="G492" s="215"/>
      <c r="L492" s="215"/>
      <c r="N492" s="216"/>
    </row>
    <row r="493" spans="7:14" x14ac:dyDescent="0.2">
      <c r="G493" s="215"/>
      <c r="L493" s="215"/>
      <c r="N493" s="216"/>
    </row>
    <row r="494" spans="7:14" x14ac:dyDescent="0.2">
      <c r="G494" s="215"/>
      <c r="L494" s="215"/>
      <c r="N494" s="216"/>
    </row>
    <row r="495" spans="7:14" x14ac:dyDescent="0.2">
      <c r="G495" s="215"/>
      <c r="L495" s="215"/>
      <c r="N495" s="216"/>
    </row>
    <row r="496" spans="7:14" x14ac:dyDescent="0.2">
      <c r="G496" s="215"/>
      <c r="L496" s="215"/>
      <c r="N496" s="216"/>
    </row>
    <row r="497" spans="7:14" x14ac:dyDescent="0.2">
      <c r="G497" s="215"/>
      <c r="L497" s="215"/>
      <c r="N497" s="216"/>
    </row>
    <row r="498" spans="7:14" x14ac:dyDescent="0.2">
      <c r="G498" s="215"/>
      <c r="L498" s="215"/>
      <c r="N498" s="216"/>
    </row>
    <row r="499" spans="7:14" x14ac:dyDescent="0.2">
      <c r="G499" s="215"/>
      <c r="L499" s="215"/>
      <c r="N499" s="216"/>
    </row>
    <row r="500" spans="7:14" x14ac:dyDescent="0.2">
      <c r="G500" s="215"/>
      <c r="L500" s="215"/>
      <c r="N500" s="216"/>
    </row>
    <row r="501" spans="7:14" x14ac:dyDescent="0.2">
      <c r="G501" s="215"/>
      <c r="L501" s="215"/>
      <c r="N501" s="216"/>
    </row>
    <row r="502" spans="7:14" x14ac:dyDescent="0.2">
      <c r="G502" s="215"/>
      <c r="L502" s="215"/>
      <c r="N502" s="216"/>
    </row>
    <row r="503" spans="7:14" x14ac:dyDescent="0.2">
      <c r="G503" s="215"/>
      <c r="L503" s="215"/>
      <c r="N503" s="216"/>
    </row>
    <row r="504" spans="7:14" x14ac:dyDescent="0.2">
      <c r="G504" s="215"/>
      <c r="L504" s="215"/>
      <c r="N504" s="216"/>
    </row>
    <row r="505" spans="7:14" x14ac:dyDescent="0.2">
      <c r="G505" s="215"/>
      <c r="L505" s="215"/>
      <c r="N505" s="216"/>
    </row>
    <row r="506" spans="7:14" x14ac:dyDescent="0.2">
      <c r="G506" s="215"/>
      <c r="L506" s="215"/>
      <c r="N506" s="216"/>
    </row>
    <row r="507" spans="7:14" x14ac:dyDescent="0.2">
      <c r="G507" s="215"/>
      <c r="L507" s="215"/>
      <c r="N507" s="216"/>
    </row>
    <row r="508" spans="7:14" x14ac:dyDescent="0.2">
      <c r="G508" s="215"/>
      <c r="L508" s="215"/>
      <c r="N508" s="216"/>
    </row>
    <row r="509" spans="7:14" x14ac:dyDescent="0.2">
      <c r="G509" s="215"/>
      <c r="L509" s="215"/>
      <c r="N509" s="216"/>
    </row>
    <row r="510" spans="7:14" x14ac:dyDescent="0.2">
      <c r="G510" s="215"/>
      <c r="L510" s="215"/>
      <c r="N510" s="216"/>
    </row>
    <row r="511" spans="7:14" x14ac:dyDescent="0.2">
      <c r="G511" s="215"/>
      <c r="L511" s="215"/>
      <c r="N511" s="216"/>
    </row>
    <row r="512" spans="7:14" x14ac:dyDescent="0.2">
      <c r="G512" s="215"/>
      <c r="L512" s="215"/>
      <c r="N512" s="216"/>
    </row>
    <row r="513" spans="7:14" x14ac:dyDescent="0.2">
      <c r="G513" s="215"/>
      <c r="L513" s="215"/>
      <c r="N513" s="216"/>
    </row>
    <row r="514" spans="7:14" x14ac:dyDescent="0.2">
      <c r="G514" s="215"/>
      <c r="L514" s="215"/>
      <c r="N514" s="216"/>
    </row>
    <row r="515" spans="7:14" x14ac:dyDescent="0.2">
      <c r="G515" s="215"/>
      <c r="L515" s="215"/>
      <c r="N515" s="216"/>
    </row>
    <row r="516" spans="7:14" x14ac:dyDescent="0.2">
      <c r="G516" s="215"/>
      <c r="L516" s="215"/>
      <c r="N516" s="216"/>
    </row>
    <row r="517" spans="7:14" x14ac:dyDescent="0.2">
      <c r="G517" s="215"/>
      <c r="L517" s="215"/>
      <c r="N517" s="216"/>
    </row>
    <row r="518" spans="7:14" x14ac:dyDescent="0.2">
      <c r="G518" s="215"/>
      <c r="L518" s="215"/>
      <c r="N518" s="216"/>
    </row>
    <row r="519" spans="7:14" x14ac:dyDescent="0.2">
      <c r="G519" s="215"/>
      <c r="L519" s="215"/>
      <c r="N519" s="216"/>
    </row>
    <row r="520" spans="7:14" x14ac:dyDescent="0.2">
      <c r="G520" s="215"/>
      <c r="L520" s="215"/>
      <c r="N520" s="216"/>
    </row>
    <row r="521" spans="7:14" x14ac:dyDescent="0.2">
      <c r="G521" s="215"/>
      <c r="L521" s="215"/>
      <c r="N521" s="216"/>
    </row>
    <row r="522" spans="7:14" x14ac:dyDescent="0.2">
      <c r="G522" s="215"/>
      <c r="L522" s="215"/>
      <c r="N522" s="216"/>
    </row>
    <row r="523" spans="7:14" x14ac:dyDescent="0.2">
      <c r="G523" s="215"/>
      <c r="L523" s="215"/>
      <c r="N523" s="216"/>
    </row>
    <row r="524" spans="7:14" x14ac:dyDescent="0.2">
      <c r="G524" s="215"/>
      <c r="L524" s="215"/>
      <c r="N524" s="216"/>
    </row>
    <row r="525" spans="7:14" x14ac:dyDescent="0.2">
      <c r="G525" s="215"/>
      <c r="L525" s="215"/>
      <c r="N525" s="216"/>
    </row>
    <row r="526" spans="7:14" x14ac:dyDescent="0.2">
      <c r="G526" s="215"/>
      <c r="L526" s="215"/>
      <c r="N526" s="216"/>
    </row>
    <row r="527" spans="7:14" x14ac:dyDescent="0.2">
      <c r="G527" s="215"/>
      <c r="L527" s="215"/>
      <c r="N527" s="216"/>
    </row>
    <row r="528" spans="7:14" x14ac:dyDescent="0.2">
      <c r="G528" s="215"/>
      <c r="L528" s="215"/>
      <c r="N528" s="216"/>
    </row>
    <row r="529" spans="7:14" x14ac:dyDescent="0.2">
      <c r="G529" s="215"/>
      <c r="L529" s="215"/>
      <c r="N529" s="216"/>
    </row>
    <row r="530" spans="7:14" x14ac:dyDescent="0.2">
      <c r="G530" s="215"/>
      <c r="L530" s="215"/>
      <c r="N530" s="216"/>
    </row>
    <row r="531" spans="7:14" x14ac:dyDescent="0.2">
      <c r="G531" s="215"/>
      <c r="L531" s="215"/>
      <c r="N531" s="216"/>
    </row>
    <row r="532" spans="7:14" x14ac:dyDescent="0.2">
      <c r="G532" s="215"/>
      <c r="L532" s="215"/>
      <c r="N532" s="216"/>
    </row>
    <row r="533" spans="7:14" x14ac:dyDescent="0.2">
      <c r="G533" s="215"/>
      <c r="L533" s="215"/>
      <c r="N533" s="216"/>
    </row>
    <row r="534" spans="7:14" x14ac:dyDescent="0.2">
      <c r="G534" s="215"/>
      <c r="L534" s="215"/>
      <c r="N534" s="216"/>
    </row>
    <row r="535" spans="7:14" x14ac:dyDescent="0.2">
      <c r="G535" s="215"/>
      <c r="L535" s="215"/>
      <c r="N535" s="216"/>
    </row>
    <row r="536" spans="7:14" x14ac:dyDescent="0.2">
      <c r="G536" s="215"/>
      <c r="L536" s="215"/>
      <c r="N536" s="216"/>
    </row>
    <row r="537" spans="7:14" x14ac:dyDescent="0.2">
      <c r="G537" s="215"/>
      <c r="L537" s="215"/>
      <c r="N537" s="216"/>
    </row>
    <row r="538" spans="7:14" x14ac:dyDescent="0.2">
      <c r="G538" s="215"/>
      <c r="L538" s="215"/>
      <c r="N538" s="216"/>
    </row>
    <row r="539" spans="7:14" x14ac:dyDescent="0.2">
      <c r="G539" s="215"/>
      <c r="L539" s="215"/>
      <c r="N539" s="216"/>
    </row>
    <row r="540" spans="7:14" x14ac:dyDescent="0.2">
      <c r="G540" s="215"/>
      <c r="L540" s="215"/>
      <c r="N540" s="216"/>
    </row>
    <row r="541" spans="7:14" x14ac:dyDescent="0.2">
      <c r="G541" s="215"/>
      <c r="L541" s="215"/>
      <c r="N541" s="216"/>
    </row>
    <row r="542" spans="7:14" x14ac:dyDescent="0.2">
      <c r="G542" s="215"/>
      <c r="L542" s="215"/>
      <c r="N542" s="216"/>
    </row>
    <row r="543" spans="7:14" x14ac:dyDescent="0.2">
      <c r="G543" s="215"/>
      <c r="L543" s="215"/>
      <c r="N543" s="216"/>
    </row>
    <row r="544" spans="7:14" x14ac:dyDescent="0.2">
      <c r="G544" s="215"/>
      <c r="L544" s="215"/>
      <c r="N544" s="216"/>
    </row>
    <row r="545" spans="7:14" x14ac:dyDescent="0.2">
      <c r="G545" s="215"/>
      <c r="L545" s="215"/>
      <c r="N545" s="216"/>
    </row>
    <row r="546" spans="7:14" x14ac:dyDescent="0.2">
      <c r="G546" s="215"/>
      <c r="L546" s="215"/>
      <c r="N546" s="216"/>
    </row>
    <row r="547" spans="7:14" x14ac:dyDescent="0.2">
      <c r="G547" s="215"/>
      <c r="L547" s="215"/>
      <c r="N547" s="216"/>
    </row>
    <row r="548" spans="7:14" x14ac:dyDescent="0.2">
      <c r="G548" s="215"/>
      <c r="L548" s="215"/>
      <c r="N548" s="216"/>
    </row>
    <row r="549" spans="7:14" x14ac:dyDescent="0.2">
      <c r="G549" s="215"/>
      <c r="L549" s="215"/>
      <c r="N549" s="216"/>
    </row>
    <row r="550" spans="7:14" x14ac:dyDescent="0.2">
      <c r="G550" s="215"/>
      <c r="L550" s="215"/>
      <c r="N550" s="216"/>
    </row>
    <row r="551" spans="7:14" x14ac:dyDescent="0.2">
      <c r="G551" s="215"/>
      <c r="L551" s="215"/>
      <c r="N551" s="216"/>
    </row>
    <row r="552" spans="7:14" x14ac:dyDescent="0.2">
      <c r="G552" s="215"/>
      <c r="L552" s="215"/>
      <c r="N552" s="216"/>
    </row>
    <row r="553" spans="7:14" x14ac:dyDescent="0.2">
      <c r="G553" s="215"/>
      <c r="L553" s="215"/>
      <c r="N553" s="216"/>
    </row>
    <row r="554" spans="7:14" x14ac:dyDescent="0.2">
      <c r="G554" s="215"/>
      <c r="L554" s="215"/>
      <c r="N554" s="216"/>
    </row>
    <row r="555" spans="7:14" x14ac:dyDescent="0.2">
      <c r="G555" s="215"/>
      <c r="L555" s="215"/>
      <c r="N555" s="216"/>
    </row>
    <row r="556" spans="7:14" x14ac:dyDescent="0.2">
      <c r="G556" s="215"/>
      <c r="L556" s="215"/>
      <c r="N556" s="216"/>
    </row>
    <row r="557" spans="7:14" x14ac:dyDescent="0.2">
      <c r="G557" s="215"/>
      <c r="L557" s="215"/>
      <c r="N557" s="216"/>
    </row>
    <row r="558" spans="7:14" x14ac:dyDescent="0.2">
      <c r="G558" s="215"/>
      <c r="L558" s="215"/>
      <c r="N558" s="216"/>
    </row>
    <row r="559" spans="7:14" x14ac:dyDescent="0.2">
      <c r="G559" s="215"/>
      <c r="L559" s="215"/>
      <c r="N559" s="216"/>
    </row>
    <row r="560" spans="7:14" x14ac:dyDescent="0.2">
      <c r="G560" s="215"/>
      <c r="L560" s="215"/>
      <c r="N560" s="216"/>
    </row>
    <row r="561" spans="7:14" x14ac:dyDescent="0.2">
      <c r="G561" s="215"/>
      <c r="L561" s="215"/>
      <c r="N561" s="216"/>
    </row>
    <row r="562" spans="7:14" x14ac:dyDescent="0.2">
      <c r="G562" s="215"/>
      <c r="L562" s="215"/>
      <c r="N562" s="216"/>
    </row>
    <row r="563" spans="7:14" x14ac:dyDescent="0.2">
      <c r="G563" s="215"/>
      <c r="L563" s="215"/>
      <c r="N563" s="216"/>
    </row>
    <row r="564" spans="7:14" x14ac:dyDescent="0.2">
      <c r="G564" s="215"/>
      <c r="L564" s="215"/>
      <c r="N564" s="216"/>
    </row>
    <row r="565" spans="7:14" x14ac:dyDescent="0.2">
      <c r="G565" s="215"/>
      <c r="L565" s="215"/>
      <c r="N565" s="216"/>
    </row>
    <row r="566" spans="7:14" x14ac:dyDescent="0.2">
      <c r="G566" s="215"/>
      <c r="L566" s="215"/>
      <c r="N566" s="216"/>
    </row>
    <row r="567" spans="7:14" x14ac:dyDescent="0.2">
      <c r="G567" s="215"/>
      <c r="L567" s="215"/>
      <c r="N567" s="216"/>
    </row>
    <row r="568" spans="7:14" x14ac:dyDescent="0.2">
      <c r="G568" s="215"/>
      <c r="L568" s="215"/>
      <c r="N568" s="216"/>
    </row>
    <row r="569" spans="7:14" x14ac:dyDescent="0.2">
      <c r="G569" s="215"/>
      <c r="L569" s="215"/>
      <c r="N569" s="216"/>
    </row>
    <row r="570" spans="7:14" x14ac:dyDescent="0.2">
      <c r="G570" s="215"/>
      <c r="L570" s="215"/>
      <c r="N570" s="216"/>
    </row>
    <row r="571" spans="7:14" x14ac:dyDescent="0.2">
      <c r="G571" s="215"/>
      <c r="L571" s="215"/>
      <c r="N571" s="216"/>
    </row>
    <row r="572" spans="7:14" x14ac:dyDescent="0.2">
      <c r="G572" s="215"/>
      <c r="L572" s="215"/>
      <c r="N572" s="216"/>
    </row>
    <row r="573" spans="7:14" x14ac:dyDescent="0.2">
      <c r="G573" s="215"/>
      <c r="L573" s="215"/>
      <c r="N573" s="216"/>
    </row>
    <row r="574" spans="7:14" x14ac:dyDescent="0.2">
      <c r="G574" s="215"/>
      <c r="L574" s="215"/>
      <c r="N574" s="216"/>
    </row>
    <row r="575" spans="7:14" x14ac:dyDescent="0.2">
      <c r="G575" s="215"/>
      <c r="L575" s="215"/>
      <c r="N575" s="216"/>
    </row>
    <row r="576" spans="7:14" x14ac:dyDescent="0.2">
      <c r="G576" s="215"/>
      <c r="L576" s="215"/>
      <c r="N576" s="216"/>
    </row>
    <row r="577" spans="7:14" x14ac:dyDescent="0.2">
      <c r="G577" s="215"/>
      <c r="L577" s="215"/>
      <c r="N577" s="216"/>
    </row>
    <row r="578" spans="7:14" x14ac:dyDescent="0.2">
      <c r="G578" s="215"/>
      <c r="L578" s="215"/>
      <c r="N578" s="216"/>
    </row>
    <row r="579" spans="7:14" x14ac:dyDescent="0.2">
      <c r="G579" s="215"/>
      <c r="L579" s="215"/>
      <c r="N579" s="216"/>
    </row>
    <row r="580" spans="7:14" x14ac:dyDescent="0.2">
      <c r="G580" s="215"/>
      <c r="L580" s="215"/>
      <c r="N580" s="216"/>
    </row>
    <row r="581" spans="7:14" x14ac:dyDescent="0.2">
      <c r="G581" s="215"/>
      <c r="L581" s="215"/>
      <c r="N581" s="216"/>
    </row>
    <row r="582" spans="7:14" x14ac:dyDescent="0.2">
      <c r="G582" s="215"/>
      <c r="L582" s="215"/>
      <c r="N582" s="216"/>
    </row>
    <row r="583" spans="7:14" x14ac:dyDescent="0.2">
      <c r="G583" s="215"/>
      <c r="L583" s="215"/>
      <c r="N583" s="216"/>
    </row>
    <row r="584" spans="7:14" x14ac:dyDescent="0.2">
      <c r="G584" s="215"/>
      <c r="L584" s="215"/>
      <c r="N584" s="216"/>
    </row>
    <row r="585" spans="7:14" x14ac:dyDescent="0.2">
      <c r="G585" s="215"/>
      <c r="L585" s="215"/>
      <c r="N585" s="216"/>
    </row>
    <row r="586" spans="7:14" x14ac:dyDescent="0.2">
      <c r="G586" s="215"/>
      <c r="L586" s="215"/>
      <c r="N586" s="216"/>
    </row>
    <row r="587" spans="7:14" x14ac:dyDescent="0.2">
      <c r="G587" s="215"/>
      <c r="L587" s="215"/>
      <c r="N587" s="216"/>
    </row>
    <row r="588" spans="7:14" x14ac:dyDescent="0.2">
      <c r="G588" s="215"/>
      <c r="L588" s="215"/>
      <c r="N588" s="216"/>
    </row>
    <row r="589" spans="7:14" x14ac:dyDescent="0.2">
      <c r="G589" s="215"/>
      <c r="L589" s="215"/>
      <c r="N589" s="216"/>
    </row>
    <row r="590" spans="7:14" x14ac:dyDescent="0.2">
      <c r="G590" s="215"/>
      <c r="L590" s="215"/>
      <c r="N590" s="216"/>
    </row>
    <row r="591" spans="7:14" x14ac:dyDescent="0.2">
      <c r="G591" s="215"/>
      <c r="L591" s="215"/>
      <c r="N591" s="216"/>
    </row>
    <row r="592" spans="7:14" x14ac:dyDescent="0.2">
      <c r="G592" s="215"/>
      <c r="L592" s="215"/>
      <c r="N592" s="216"/>
    </row>
    <row r="593" spans="7:14" x14ac:dyDescent="0.2">
      <c r="G593" s="215"/>
      <c r="L593" s="215"/>
      <c r="N593" s="216"/>
    </row>
    <row r="594" spans="7:14" x14ac:dyDescent="0.2">
      <c r="G594" s="215"/>
      <c r="L594" s="215"/>
      <c r="N594" s="216"/>
    </row>
    <row r="595" spans="7:14" x14ac:dyDescent="0.2">
      <c r="G595" s="215"/>
      <c r="L595" s="215"/>
      <c r="N595" s="216"/>
    </row>
    <row r="596" spans="7:14" x14ac:dyDescent="0.2">
      <c r="G596" s="215"/>
      <c r="L596" s="215"/>
      <c r="N596" s="216"/>
    </row>
    <row r="597" spans="7:14" x14ac:dyDescent="0.2">
      <c r="G597" s="215"/>
      <c r="L597" s="215"/>
      <c r="N597" s="216"/>
    </row>
    <row r="598" spans="7:14" x14ac:dyDescent="0.2">
      <c r="G598" s="215"/>
      <c r="L598" s="215"/>
      <c r="N598" s="216"/>
    </row>
    <row r="599" spans="7:14" x14ac:dyDescent="0.2">
      <c r="G599" s="215"/>
      <c r="L599" s="215"/>
      <c r="N599" s="216"/>
    </row>
    <row r="600" spans="7:14" x14ac:dyDescent="0.2">
      <c r="G600" s="215"/>
      <c r="L600" s="215"/>
      <c r="N600" s="216"/>
    </row>
    <row r="601" spans="7:14" x14ac:dyDescent="0.2">
      <c r="G601" s="215"/>
      <c r="L601" s="215"/>
      <c r="N601" s="216"/>
    </row>
    <row r="602" spans="7:14" x14ac:dyDescent="0.2">
      <c r="G602" s="215"/>
      <c r="L602" s="215"/>
      <c r="N602" s="216"/>
    </row>
    <row r="603" spans="7:14" x14ac:dyDescent="0.2">
      <c r="G603" s="215"/>
      <c r="L603" s="215"/>
      <c r="N603" s="216"/>
    </row>
    <row r="604" spans="7:14" x14ac:dyDescent="0.2">
      <c r="G604" s="215"/>
      <c r="L604" s="215"/>
      <c r="N604" s="216"/>
    </row>
    <row r="605" spans="7:14" x14ac:dyDescent="0.2">
      <c r="G605" s="215"/>
      <c r="L605" s="215"/>
      <c r="N605" s="216"/>
    </row>
    <row r="606" spans="7:14" x14ac:dyDescent="0.2">
      <c r="G606" s="215"/>
      <c r="L606" s="215"/>
      <c r="N606" s="216"/>
    </row>
    <row r="607" spans="7:14" x14ac:dyDescent="0.2">
      <c r="G607" s="215"/>
      <c r="L607" s="215"/>
      <c r="N607" s="216"/>
    </row>
    <row r="608" spans="7:14" x14ac:dyDescent="0.2">
      <c r="G608" s="215"/>
      <c r="L608" s="215"/>
      <c r="N608" s="216"/>
    </row>
    <row r="609" spans="7:14" x14ac:dyDescent="0.2">
      <c r="G609" s="215"/>
      <c r="L609" s="215"/>
      <c r="N609" s="216"/>
    </row>
    <row r="610" spans="7:14" x14ac:dyDescent="0.2">
      <c r="G610" s="215"/>
      <c r="L610" s="215"/>
      <c r="N610" s="216"/>
    </row>
    <row r="611" spans="7:14" x14ac:dyDescent="0.2">
      <c r="G611" s="215"/>
      <c r="L611" s="215"/>
      <c r="N611" s="216"/>
    </row>
    <row r="612" spans="7:14" x14ac:dyDescent="0.2">
      <c r="G612" s="215"/>
      <c r="L612" s="215"/>
      <c r="N612" s="216"/>
    </row>
    <row r="613" spans="7:14" x14ac:dyDescent="0.2">
      <c r="G613" s="215"/>
      <c r="L613" s="215"/>
      <c r="N613" s="216"/>
    </row>
    <row r="614" spans="7:14" x14ac:dyDescent="0.2">
      <c r="G614" s="215"/>
      <c r="L614" s="215"/>
      <c r="N614" s="216"/>
    </row>
    <row r="615" spans="7:14" x14ac:dyDescent="0.2">
      <c r="G615" s="215"/>
      <c r="L615" s="215"/>
      <c r="N615" s="216"/>
    </row>
    <row r="616" spans="7:14" x14ac:dyDescent="0.2">
      <c r="G616" s="215"/>
      <c r="L616" s="215"/>
      <c r="N616" s="216"/>
    </row>
    <row r="617" spans="7:14" x14ac:dyDescent="0.2">
      <c r="G617" s="215"/>
      <c r="L617" s="215"/>
      <c r="N617" s="216"/>
    </row>
    <row r="618" spans="7:14" x14ac:dyDescent="0.2">
      <c r="G618" s="215"/>
      <c r="L618" s="215"/>
      <c r="N618" s="216"/>
    </row>
    <row r="619" spans="7:14" x14ac:dyDescent="0.2">
      <c r="G619" s="215"/>
      <c r="L619" s="215"/>
      <c r="N619" s="216"/>
    </row>
    <row r="620" spans="7:14" x14ac:dyDescent="0.2">
      <c r="G620" s="215"/>
      <c r="L620" s="215"/>
      <c r="N620" s="216"/>
    </row>
    <row r="621" spans="7:14" x14ac:dyDescent="0.2">
      <c r="G621" s="215"/>
      <c r="L621" s="215"/>
      <c r="N621" s="216"/>
    </row>
    <row r="622" spans="7:14" x14ac:dyDescent="0.2">
      <c r="G622" s="215"/>
      <c r="L622" s="215"/>
      <c r="N622" s="216"/>
    </row>
    <row r="623" spans="7:14" x14ac:dyDescent="0.2">
      <c r="G623" s="215"/>
      <c r="L623" s="215"/>
      <c r="N623" s="216"/>
    </row>
    <row r="624" spans="7:14" x14ac:dyDescent="0.2">
      <c r="G624" s="215"/>
      <c r="L624" s="215"/>
      <c r="N624" s="216"/>
    </row>
    <row r="625" spans="7:14" x14ac:dyDescent="0.2">
      <c r="G625" s="215"/>
      <c r="L625" s="215"/>
      <c r="N625" s="216"/>
    </row>
    <row r="626" spans="7:14" x14ac:dyDescent="0.2">
      <c r="G626" s="215"/>
      <c r="L626" s="215"/>
      <c r="N626" s="216"/>
    </row>
    <row r="627" spans="7:14" x14ac:dyDescent="0.2">
      <c r="G627" s="215"/>
      <c r="L627" s="215"/>
      <c r="N627" s="216"/>
    </row>
    <row r="628" spans="7:14" x14ac:dyDescent="0.2">
      <c r="G628" s="215"/>
      <c r="L628" s="215"/>
      <c r="N628" s="216"/>
    </row>
    <row r="629" spans="7:14" x14ac:dyDescent="0.2">
      <c r="G629" s="215"/>
      <c r="L629" s="215"/>
      <c r="N629" s="216"/>
    </row>
    <row r="630" spans="7:14" x14ac:dyDescent="0.2">
      <c r="G630" s="215"/>
      <c r="L630" s="215"/>
      <c r="N630" s="216"/>
    </row>
    <row r="631" spans="7:14" x14ac:dyDescent="0.2">
      <c r="G631" s="215"/>
      <c r="L631" s="215"/>
      <c r="N631" s="216"/>
    </row>
    <row r="632" spans="7:14" x14ac:dyDescent="0.2">
      <c r="G632" s="215"/>
      <c r="L632" s="215"/>
      <c r="N632" s="216"/>
    </row>
    <row r="633" spans="7:14" x14ac:dyDescent="0.2">
      <c r="G633" s="215"/>
      <c r="L633" s="215"/>
      <c r="N633" s="216"/>
    </row>
    <row r="634" spans="7:14" x14ac:dyDescent="0.2">
      <c r="G634" s="215"/>
      <c r="L634" s="215"/>
      <c r="N634" s="216"/>
    </row>
    <row r="635" spans="7:14" x14ac:dyDescent="0.2">
      <c r="G635" s="215"/>
      <c r="L635" s="215"/>
      <c r="N635" s="216"/>
    </row>
    <row r="636" spans="7:14" x14ac:dyDescent="0.2">
      <c r="G636" s="215"/>
      <c r="L636" s="215"/>
      <c r="N636" s="216"/>
    </row>
    <row r="637" spans="7:14" x14ac:dyDescent="0.2">
      <c r="G637" s="215"/>
      <c r="L637" s="215"/>
      <c r="N637" s="216"/>
    </row>
    <row r="638" spans="7:14" x14ac:dyDescent="0.2">
      <c r="G638" s="215"/>
      <c r="L638" s="215"/>
      <c r="N638" s="216"/>
    </row>
    <row r="639" spans="7:14" x14ac:dyDescent="0.2">
      <c r="G639" s="215"/>
      <c r="L639" s="215"/>
      <c r="N639" s="216"/>
    </row>
    <row r="640" spans="7:14" x14ac:dyDescent="0.2">
      <c r="G640" s="215"/>
      <c r="L640" s="215"/>
      <c r="N640" s="216"/>
    </row>
    <row r="641" spans="7:14" x14ac:dyDescent="0.2">
      <c r="G641" s="215"/>
      <c r="L641" s="215"/>
      <c r="N641" s="216"/>
    </row>
    <row r="642" spans="7:14" x14ac:dyDescent="0.2">
      <c r="G642" s="215"/>
      <c r="L642" s="215"/>
      <c r="N642" s="216"/>
    </row>
    <row r="643" spans="7:14" x14ac:dyDescent="0.2">
      <c r="G643" s="215"/>
      <c r="L643" s="215"/>
      <c r="N643" s="216"/>
    </row>
    <row r="644" spans="7:14" x14ac:dyDescent="0.2">
      <c r="G644" s="215"/>
      <c r="L644" s="215"/>
      <c r="N644" s="216"/>
    </row>
    <row r="645" spans="7:14" x14ac:dyDescent="0.2">
      <c r="G645" s="215"/>
      <c r="L645" s="215"/>
      <c r="N645" s="216"/>
    </row>
    <row r="646" spans="7:14" x14ac:dyDescent="0.2">
      <c r="G646" s="215"/>
      <c r="L646" s="215"/>
      <c r="N646" s="216"/>
    </row>
    <row r="647" spans="7:14" x14ac:dyDescent="0.2">
      <c r="G647" s="215"/>
      <c r="L647" s="215"/>
      <c r="N647" s="216"/>
    </row>
    <row r="648" spans="7:14" x14ac:dyDescent="0.2">
      <c r="G648" s="215"/>
      <c r="L648" s="215"/>
      <c r="N648" s="216"/>
    </row>
    <row r="649" spans="7:14" x14ac:dyDescent="0.2">
      <c r="G649" s="215"/>
      <c r="L649" s="215"/>
      <c r="N649" s="216"/>
    </row>
    <row r="650" spans="7:14" x14ac:dyDescent="0.2">
      <c r="G650" s="215"/>
      <c r="L650" s="215"/>
      <c r="N650" s="216"/>
    </row>
    <row r="651" spans="7:14" x14ac:dyDescent="0.2">
      <c r="G651" s="215"/>
      <c r="L651" s="215"/>
      <c r="N651" s="216"/>
    </row>
    <row r="652" spans="7:14" x14ac:dyDescent="0.2">
      <c r="G652" s="215"/>
      <c r="L652" s="215"/>
      <c r="N652" s="216"/>
    </row>
    <row r="653" spans="7:14" x14ac:dyDescent="0.2">
      <c r="G653" s="215"/>
      <c r="L653" s="215"/>
      <c r="N653" s="216"/>
    </row>
    <row r="654" spans="7:14" x14ac:dyDescent="0.2">
      <c r="G654" s="215"/>
      <c r="L654" s="215"/>
      <c r="N654" s="216"/>
    </row>
    <row r="655" spans="7:14" x14ac:dyDescent="0.2">
      <c r="G655" s="215"/>
      <c r="L655" s="215"/>
      <c r="N655" s="216"/>
    </row>
    <row r="656" spans="7:14" x14ac:dyDescent="0.2">
      <c r="G656" s="215"/>
      <c r="L656" s="215"/>
      <c r="N656" s="216"/>
    </row>
    <row r="657" spans="7:14" x14ac:dyDescent="0.2">
      <c r="G657" s="215"/>
      <c r="L657" s="215"/>
      <c r="N657" s="216"/>
    </row>
    <row r="658" spans="7:14" x14ac:dyDescent="0.2">
      <c r="G658" s="215"/>
      <c r="L658" s="215"/>
      <c r="N658" s="216"/>
    </row>
    <row r="659" spans="7:14" x14ac:dyDescent="0.2">
      <c r="G659" s="215"/>
      <c r="L659" s="215"/>
      <c r="N659" s="216"/>
    </row>
    <row r="660" spans="7:14" x14ac:dyDescent="0.2">
      <c r="G660" s="215"/>
      <c r="L660" s="215"/>
      <c r="N660" s="216"/>
    </row>
    <row r="661" spans="7:14" x14ac:dyDescent="0.2">
      <c r="G661" s="215"/>
      <c r="L661" s="215"/>
      <c r="N661" s="216"/>
    </row>
    <row r="662" spans="7:14" x14ac:dyDescent="0.2">
      <c r="G662" s="215"/>
      <c r="L662" s="215"/>
      <c r="N662" s="216"/>
    </row>
    <row r="663" spans="7:14" x14ac:dyDescent="0.2">
      <c r="G663" s="215"/>
      <c r="L663" s="215"/>
      <c r="N663" s="216"/>
    </row>
    <row r="664" spans="7:14" x14ac:dyDescent="0.2">
      <c r="G664" s="215"/>
      <c r="L664" s="215"/>
      <c r="N664" s="216"/>
    </row>
    <row r="665" spans="7:14" x14ac:dyDescent="0.2">
      <c r="G665" s="215"/>
      <c r="L665" s="215"/>
      <c r="N665" s="216"/>
    </row>
    <row r="666" spans="7:14" x14ac:dyDescent="0.2">
      <c r="G666" s="215"/>
      <c r="L666" s="215"/>
      <c r="N666" s="216"/>
    </row>
    <row r="667" spans="7:14" x14ac:dyDescent="0.2">
      <c r="G667" s="215"/>
      <c r="L667" s="215"/>
      <c r="N667" s="216"/>
    </row>
    <row r="668" spans="7:14" x14ac:dyDescent="0.2">
      <c r="G668" s="215"/>
      <c r="L668" s="215"/>
      <c r="N668" s="216"/>
    </row>
    <row r="669" spans="7:14" x14ac:dyDescent="0.2">
      <c r="G669" s="215"/>
      <c r="L669" s="215"/>
      <c r="N669" s="216"/>
    </row>
    <row r="670" spans="7:14" x14ac:dyDescent="0.2">
      <c r="G670" s="215"/>
      <c r="L670" s="215"/>
      <c r="N670" s="216"/>
    </row>
    <row r="671" spans="7:14" x14ac:dyDescent="0.2">
      <c r="G671" s="215"/>
      <c r="L671" s="215"/>
      <c r="N671" s="216"/>
    </row>
    <row r="672" spans="7:14" x14ac:dyDescent="0.2">
      <c r="G672" s="215"/>
      <c r="L672" s="215"/>
      <c r="N672" s="216"/>
    </row>
    <row r="673" spans="7:14" x14ac:dyDescent="0.2">
      <c r="G673" s="215"/>
      <c r="L673" s="215"/>
      <c r="N673" s="216"/>
    </row>
    <row r="674" spans="7:14" x14ac:dyDescent="0.2">
      <c r="G674" s="215"/>
      <c r="L674" s="215"/>
      <c r="N674" s="216"/>
    </row>
    <row r="675" spans="7:14" x14ac:dyDescent="0.2">
      <c r="G675" s="215"/>
      <c r="L675" s="215"/>
      <c r="N675" s="216"/>
    </row>
    <row r="676" spans="7:14" x14ac:dyDescent="0.2">
      <c r="G676" s="215"/>
      <c r="L676" s="215"/>
      <c r="N676" s="216"/>
    </row>
    <row r="677" spans="7:14" x14ac:dyDescent="0.2">
      <c r="G677" s="215"/>
      <c r="L677" s="215"/>
      <c r="N677" s="216"/>
    </row>
    <row r="678" spans="7:14" x14ac:dyDescent="0.2">
      <c r="G678" s="215"/>
      <c r="L678" s="215"/>
      <c r="N678" s="216"/>
    </row>
    <row r="679" spans="7:14" x14ac:dyDescent="0.2">
      <c r="G679" s="215"/>
      <c r="L679" s="215"/>
      <c r="N679" s="216"/>
    </row>
    <row r="680" spans="7:14" x14ac:dyDescent="0.2">
      <c r="G680" s="215"/>
      <c r="L680" s="215"/>
      <c r="N680" s="216"/>
    </row>
    <row r="681" spans="7:14" x14ac:dyDescent="0.2">
      <c r="G681" s="215"/>
      <c r="L681" s="215"/>
      <c r="N681" s="216"/>
    </row>
    <row r="682" spans="7:14" x14ac:dyDescent="0.2">
      <c r="G682" s="215"/>
      <c r="L682" s="215"/>
      <c r="N682" s="216"/>
    </row>
    <row r="683" spans="7:14" x14ac:dyDescent="0.2">
      <c r="G683" s="215"/>
      <c r="L683" s="215"/>
      <c r="N683" s="216"/>
    </row>
    <row r="684" spans="7:14" x14ac:dyDescent="0.2">
      <c r="G684" s="215"/>
      <c r="L684" s="215"/>
      <c r="N684" s="216"/>
    </row>
    <row r="685" spans="7:14" x14ac:dyDescent="0.2">
      <c r="G685" s="215"/>
      <c r="L685" s="215"/>
      <c r="N685" s="216"/>
    </row>
    <row r="686" spans="7:14" x14ac:dyDescent="0.2">
      <c r="G686" s="215"/>
      <c r="L686" s="215"/>
      <c r="N686" s="216"/>
    </row>
    <row r="687" spans="7:14" x14ac:dyDescent="0.2">
      <c r="G687" s="215"/>
      <c r="L687" s="215"/>
      <c r="N687" s="216"/>
    </row>
    <row r="688" spans="7:14" x14ac:dyDescent="0.2">
      <c r="G688" s="215"/>
      <c r="L688" s="215"/>
      <c r="N688" s="216"/>
    </row>
    <row r="689" spans="7:14" x14ac:dyDescent="0.2">
      <c r="G689" s="215"/>
      <c r="L689" s="215"/>
      <c r="N689" s="216"/>
    </row>
    <row r="690" spans="7:14" x14ac:dyDescent="0.2">
      <c r="G690" s="215"/>
      <c r="L690" s="215"/>
      <c r="N690" s="216"/>
    </row>
    <row r="691" spans="7:14" x14ac:dyDescent="0.2">
      <c r="G691" s="215"/>
      <c r="L691" s="215"/>
      <c r="N691" s="216"/>
    </row>
    <row r="692" spans="7:14" x14ac:dyDescent="0.2">
      <c r="G692" s="215"/>
      <c r="L692" s="215"/>
      <c r="N692" s="216"/>
    </row>
    <row r="693" spans="7:14" x14ac:dyDescent="0.2">
      <c r="G693" s="215"/>
      <c r="L693" s="215"/>
      <c r="N693" s="216"/>
    </row>
    <row r="694" spans="7:14" x14ac:dyDescent="0.2">
      <c r="G694" s="215"/>
      <c r="L694" s="215"/>
      <c r="N694" s="216"/>
    </row>
    <row r="695" spans="7:14" x14ac:dyDescent="0.2">
      <c r="G695" s="215"/>
      <c r="L695" s="215"/>
      <c r="N695" s="216"/>
    </row>
    <row r="696" spans="7:14" x14ac:dyDescent="0.2">
      <c r="G696" s="215"/>
      <c r="L696" s="215"/>
      <c r="N696" s="216"/>
    </row>
    <row r="697" spans="7:14" x14ac:dyDescent="0.2">
      <c r="G697" s="215"/>
      <c r="L697" s="215"/>
      <c r="N697" s="216"/>
    </row>
    <row r="698" spans="7:14" x14ac:dyDescent="0.2">
      <c r="G698" s="215"/>
      <c r="L698" s="215"/>
      <c r="N698" s="216"/>
    </row>
    <row r="699" spans="7:14" x14ac:dyDescent="0.2">
      <c r="G699" s="215"/>
      <c r="L699" s="215"/>
      <c r="N699" s="216"/>
    </row>
    <row r="700" spans="7:14" x14ac:dyDescent="0.2">
      <c r="G700" s="215"/>
      <c r="L700" s="215"/>
      <c r="N700" s="216"/>
    </row>
    <row r="701" spans="7:14" x14ac:dyDescent="0.2">
      <c r="G701" s="215"/>
      <c r="L701" s="215"/>
      <c r="N701" s="216"/>
    </row>
    <row r="702" spans="7:14" x14ac:dyDescent="0.2">
      <c r="G702" s="215"/>
      <c r="L702" s="215"/>
      <c r="N702" s="216"/>
    </row>
    <row r="703" spans="7:14" x14ac:dyDescent="0.2">
      <c r="G703" s="215"/>
      <c r="L703" s="215"/>
      <c r="N703" s="216"/>
    </row>
    <row r="704" spans="7:14" x14ac:dyDescent="0.2">
      <c r="G704" s="215"/>
      <c r="L704" s="215"/>
      <c r="N704" s="216"/>
    </row>
    <row r="705" spans="7:14" x14ac:dyDescent="0.2">
      <c r="G705" s="215"/>
      <c r="L705" s="215"/>
      <c r="N705" s="216"/>
    </row>
    <row r="706" spans="7:14" x14ac:dyDescent="0.2">
      <c r="G706" s="215"/>
      <c r="L706" s="215"/>
      <c r="N706" s="216"/>
    </row>
    <row r="707" spans="7:14" x14ac:dyDescent="0.2">
      <c r="G707" s="215"/>
      <c r="L707" s="215"/>
      <c r="N707" s="216"/>
    </row>
    <row r="708" spans="7:14" x14ac:dyDescent="0.2">
      <c r="G708" s="215"/>
      <c r="L708" s="215"/>
      <c r="N708" s="216"/>
    </row>
    <row r="709" spans="7:14" x14ac:dyDescent="0.2">
      <c r="G709" s="215"/>
      <c r="L709" s="215"/>
      <c r="N709" s="216"/>
    </row>
    <row r="710" spans="7:14" x14ac:dyDescent="0.2">
      <c r="G710" s="215"/>
      <c r="L710" s="215"/>
      <c r="N710" s="216"/>
    </row>
    <row r="711" spans="7:14" x14ac:dyDescent="0.2">
      <c r="G711" s="215"/>
      <c r="L711" s="215"/>
      <c r="N711" s="216"/>
    </row>
    <row r="712" spans="7:14" x14ac:dyDescent="0.2">
      <c r="G712" s="215"/>
      <c r="L712" s="215"/>
      <c r="N712" s="216"/>
    </row>
    <row r="713" spans="7:14" x14ac:dyDescent="0.2">
      <c r="G713" s="215"/>
      <c r="L713" s="215"/>
      <c r="N713" s="216"/>
    </row>
    <row r="714" spans="7:14" x14ac:dyDescent="0.2">
      <c r="G714" s="215"/>
      <c r="L714" s="215"/>
      <c r="N714" s="216"/>
    </row>
    <row r="715" spans="7:14" x14ac:dyDescent="0.2">
      <c r="G715" s="215"/>
      <c r="L715" s="215"/>
      <c r="N715" s="216"/>
    </row>
    <row r="716" spans="7:14" x14ac:dyDescent="0.2">
      <c r="G716" s="215"/>
      <c r="L716" s="215"/>
      <c r="N716" s="216"/>
    </row>
    <row r="717" spans="7:14" x14ac:dyDescent="0.2">
      <c r="G717" s="215"/>
      <c r="L717" s="215"/>
      <c r="N717" s="216"/>
    </row>
    <row r="718" spans="7:14" x14ac:dyDescent="0.2">
      <c r="G718" s="215"/>
      <c r="L718" s="215"/>
      <c r="N718" s="216"/>
    </row>
    <row r="719" spans="7:14" x14ac:dyDescent="0.2">
      <c r="G719" s="215"/>
      <c r="L719" s="215"/>
      <c r="N719" s="216"/>
    </row>
    <row r="720" spans="7:14" x14ac:dyDescent="0.2">
      <c r="G720" s="215"/>
      <c r="L720" s="215"/>
      <c r="N720" s="216"/>
    </row>
    <row r="721" spans="7:14" x14ac:dyDescent="0.2">
      <c r="G721" s="215"/>
      <c r="L721" s="215"/>
      <c r="N721" s="216"/>
    </row>
    <row r="722" spans="7:14" x14ac:dyDescent="0.2">
      <c r="G722" s="215"/>
      <c r="L722" s="215"/>
      <c r="N722" s="216"/>
    </row>
    <row r="723" spans="7:14" x14ac:dyDescent="0.2">
      <c r="G723" s="215"/>
      <c r="L723" s="215"/>
      <c r="N723" s="216"/>
    </row>
    <row r="724" spans="7:14" x14ac:dyDescent="0.2">
      <c r="G724" s="215"/>
      <c r="L724" s="215"/>
      <c r="N724" s="216"/>
    </row>
    <row r="725" spans="7:14" x14ac:dyDescent="0.2">
      <c r="G725" s="215"/>
      <c r="L725" s="215"/>
      <c r="N725" s="216"/>
    </row>
    <row r="726" spans="7:14" x14ac:dyDescent="0.2">
      <c r="G726" s="215"/>
      <c r="L726" s="215"/>
      <c r="N726" s="216"/>
    </row>
    <row r="727" spans="7:14" x14ac:dyDescent="0.2">
      <c r="G727" s="215"/>
      <c r="L727" s="215"/>
      <c r="N727" s="216"/>
    </row>
    <row r="728" spans="7:14" x14ac:dyDescent="0.2">
      <c r="G728" s="215"/>
      <c r="L728" s="215"/>
      <c r="N728" s="216"/>
    </row>
    <row r="729" spans="7:14" x14ac:dyDescent="0.2">
      <c r="G729" s="215"/>
      <c r="L729" s="215"/>
      <c r="N729" s="216"/>
    </row>
    <row r="730" spans="7:14" x14ac:dyDescent="0.2">
      <c r="G730" s="215"/>
      <c r="L730" s="215"/>
      <c r="N730" s="216"/>
    </row>
    <row r="731" spans="7:14" x14ac:dyDescent="0.2">
      <c r="G731" s="215"/>
      <c r="L731" s="215"/>
      <c r="N731" s="216"/>
    </row>
    <row r="732" spans="7:14" x14ac:dyDescent="0.2">
      <c r="G732" s="215"/>
      <c r="L732" s="215"/>
      <c r="N732" s="216"/>
    </row>
    <row r="733" spans="7:14" x14ac:dyDescent="0.2">
      <c r="G733" s="215"/>
      <c r="L733" s="215"/>
      <c r="N733" s="216"/>
    </row>
    <row r="734" spans="7:14" x14ac:dyDescent="0.2">
      <c r="G734" s="215"/>
      <c r="L734" s="215"/>
      <c r="N734" s="216"/>
    </row>
    <row r="735" spans="7:14" x14ac:dyDescent="0.2">
      <c r="G735" s="215"/>
      <c r="L735" s="215"/>
      <c r="N735" s="216"/>
    </row>
    <row r="736" spans="7:14" x14ac:dyDescent="0.2">
      <c r="G736" s="215"/>
      <c r="L736" s="215"/>
      <c r="N736" s="216"/>
    </row>
    <row r="737" spans="7:14" x14ac:dyDescent="0.2">
      <c r="G737" s="215"/>
      <c r="L737" s="215"/>
      <c r="N737" s="216"/>
    </row>
    <row r="738" spans="7:14" x14ac:dyDescent="0.2">
      <c r="G738" s="215"/>
      <c r="L738" s="215"/>
      <c r="N738" s="216"/>
    </row>
    <row r="739" spans="7:14" x14ac:dyDescent="0.2">
      <c r="G739" s="215"/>
      <c r="L739" s="215"/>
      <c r="N739" s="216"/>
    </row>
    <row r="740" spans="7:14" x14ac:dyDescent="0.2">
      <c r="G740" s="215"/>
      <c r="L740" s="215"/>
      <c r="N740" s="216"/>
    </row>
    <row r="741" spans="7:14" x14ac:dyDescent="0.2">
      <c r="G741" s="215"/>
      <c r="L741" s="215"/>
      <c r="N741" s="216"/>
    </row>
    <row r="742" spans="7:14" x14ac:dyDescent="0.2">
      <c r="G742" s="215"/>
      <c r="L742" s="215"/>
      <c r="N742" s="216"/>
    </row>
    <row r="743" spans="7:14" x14ac:dyDescent="0.2">
      <c r="G743" s="215"/>
      <c r="L743" s="215"/>
      <c r="N743" s="216"/>
    </row>
    <row r="744" spans="7:14" x14ac:dyDescent="0.2">
      <c r="G744" s="215"/>
      <c r="L744" s="215"/>
      <c r="N744" s="216"/>
    </row>
    <row r="745" spans="7:14" x14ac:dyDescent="0.2">
      <c r="G745" s="215"/>
      <c r="L745" s="215"/>
      <c r="N745" s="216"/>
    </row>
    <row r="746" spans="7:14" x14ac:dyDescent="0.2">
      <c r="G746" s="215"/>
      <c r="L746" s="215"/>
      <c r="N746" s="216"/>
    </row>
    <row r="747" spans="7:14" x14ac:dyDescent="0.2">
      <c r="G747" s="215"/>
      <c r="L747" s="215"/>
      <c r="N747" s="216"/>
    </row>
    <row r="748" spans="7:14" x14ac:dyDescent="0.2">
      <c r="G748" s="215"/>
      <c r="L748" s="215"/>
      <c r="N748" s="216"/>
    </row>
    <row r="749" spans="7:14" x14ac:dyDescent="0.2">
      <c r="G749" s="215"/>
      <c r="L749" s="215"/>
      <c r="N749" s="216"/>
    </row>
    <row r="750" spans="7:14" x14ac:dyDescent="0.2">
      <c r="G750" s="215"/>
      <c r="L750" s="215"/>
      <c r="N750" s="216"/>
    </row>
    <row r="751" spans="7:14" x14ac:dyDescent="0.2">
      <c r="G751" s="215"/>
      <c r="L751" s="215"/>
      <c r="N751" s="216"/>
    </row>
    <row r="752" spans="7:14" x14ac:dyDescent="0.2">
      <c r="G752" s="215"/>
      <c r="L752" s="215"/>
      <c r="N752" s="216"/>
    </row>
    <row r="753" spans="7:14" x14ac:dyDescent="0.2">
      <c r="G753" s="215"/>
      <c r="L753" s="215"/>
      <c r="N753" s="216"/>
    </row>
    <row r="754" spans="7:14" x14ac:dyDescent="0.2">
      <c r="G754" s="215"/>
      <c r="L754" s="215"/>
      <c r="N754" s="216"/>
    </row>
    <row r="755" spans="7:14" x14ac:dyDescent="0.2">
      <c r="G755" s="215"/>
      <c r="L755" s="215"/>
      <c r="N755" s="216"/>
    </row>
    <row r="756" spans="7:14" x14ac:dyDescent="0.2">
      <c r="G756" s="215"/>
      <c r="L756" s="215"/>
      <c r="N756" s="216"/>
    </row>
    <row r="757" spans="7:14" x14ac:dyDescent="0.2">
      <c r="G757" s="215"/>
      <c r="L757" s="215"/>
      <c r="N757" s="216"/>
    </row>
    <row r="758" spans="7:14" x14ac:dyDescent="0.2">
      <c r="G758" s="215"/>
      <c r="L758" s="215"/>
      <c r="N758" s="216"/>
    </row>
    <row r="759" spans="7:14" x14ac:dyDescent="0.2">
      <c r="G759" s="215"/>
      <c r="L759" s="215"/>
      <c r="N759" s="216"/>
    </row>
    <row r="760" spans="7:14" x14ac:dyDescent="0.2">
      <c r="G760" s="215"/>
      <c r="L760" s="215"/>
      <c r="N760" s="216"/>
    </row>
    <row r="761" spans="7:14" x14ac:dyDescent="0.2">
      <c r="G761" s="215"/>
      <c r="L761" s="215"/>
      <c r="N761" s="216"/>
    </row>
    <row r="762" spans="7:14" x14ac:dyDescent="0.2">
      <c r="G762" s="215"/>
      <c r="L762" s="215"/>
      <c r="N762" s="216"/>
    </row>
    <row r="763" spans="7:14" x14ac:dyDescent="0.2">
      <c r="G763" s="215"/>
      <c r="L763" s="215"/>
      <c r="N763" s="216"/>
    </row>
    <row r="764" spans="7:14" x14ac:dyDescent="0.2">
      <c r="G764" s="215"/>
      <c r="L764" s="215"/>
      <c r="N764" s="216"/>
    </row>
    <row r="765" spans="7:14" x14ac:dyDescent="0.2">
      <c r="G765" s="215"/>
      <c r="L765" s="215"/>
      <c r="N765" s="216"/>
    </row>
    <row r="766" spans="7:14" x14ac:dyDescent="0.2">
      <c r="G766" s="215"/>
      <c r="L766" s="215"/>
      <c r="N766" s="216"/>
    </row>
    <row r="767" spans="7:14" x14ac:dyDescent="0.2">
      <c r="G767" s="215"/>
      <c r="L767" s="215"/>
      <c r="N767" s="216"/>
    </row>
    <row r="768" spans="7:14" x14ac:dyDescent="0.2">
      <c r="G768" s="215"/>
      <c r="L768" s="215"/>
      <c r="N768" s="216"/>
    </row>
    <row r="769" spans="7:14" x14ac:dyDescent="0.2">
      <c r="G769" s="215"/>
      <c r="L769" s="215"/>
      <c r="N769" s="216"/>
    </row>
    <row r="770" spans="7:14" x14ac:dyDescent="0.2">
      <c r="G770" s="215"/>
      <c r="L770" s="215"/>
      <c r="N770" s="216"/>
    </row>
    <row r="771" spans="7:14" x14ac:dyDescent="0.2">
      <c r="G771" s="215"/>
      <c r="L771" s="215"/>
      <c r="N771" s="216"/>
    </row>
    <row r="772" spans="7:14" x14ac:dyDescent="0.2">
      <c r="G772" s="215"/>
      <c r="L772" s="215"/>
      <c r="N772" s="216"/>
    </row>
    <row r="773" spans="7:14" x14ac:dyDescent="0.2">
      <c r="G773" s="215"/>
      <c r="L773" s="215"/>
      <c r="N773" s="216"/>
    </row>
    <row r="774" spans="7:14" x14ac:dyDescent="0.2">
      <c r="G774" s="215"/>
      <c r="L774" s="215"/>
      <c r="N774" s="216"/>
    </row>
    <row r="775" spans="7:14" x14ac:dyDescent="0.2">
      <c r="G775" s="215"/>
      <c r="L775" s="215"/>
      <c r="N775" s="216"/>
    </row>
    <row r="776" spans="7:14" x14ac:dyDescent="0.2">
      <c r="G776" s="215"/>
      <c r="L776" s="215"/>
      <c r="N776" s="216"/>
    </row>
    <row r="777" spans="7:14" x14ac:dyDescent="0.2">
      <c r="G777" s="215"/>
      <c r="L777" s="215"/>
      <c r="N777" s="216"/>
    </row>
    <row r="778" spans="7:14" x14ac:dyDescent="0.2">
      <c r="G778" s="215"/>
      <c r="L778" s="215"/>
      <c r="N778" s="216"/>
    </row>
    <row r="779" spans="7:14" x14ac:dyDescent="0.2">
      <c r="G779" s="215"/>
      <c r="L779" s="215"/>
      <c r="N779" s="216"/>
    </row>
    <row r="780" spans="7:14" x14ac:dyDescent="0.2">
      <c r="G780" s="215"/>
      <c r="L780" s="215"/>
      <c r="N780" s="216"/>
    </row>
    <row r="781" spans="7:14" x14ac:dyDescent="0.2">
      <c r="G781" s="215"/>
      <c r="L781" s="215"/>
      <c r="N781" s="216"/>
    </row>
    <row r="782" spans="7:14" x14ac:dyDescent="0.2">
      <c r="G782" s="215"/>
      <c r="L782" s="215"/>
      <c r="N782" s="216"/>
    </row>
    <row r="783" spans="7:14" x14ac:dyDescent="0.2">
      <c r="G783" s="215"/>
      <c r="L783" s="215"/>
      <c r="N783" s="216"/>
    </row>
    <row r="784" spans="7:14" x14ac:dyDescent="0.2">
      <c r="G784" s="215"/>
      <c r="L784" s="215"/>
      <c r="N784" s="216"/>
    </row>
    <row r="785" spans="7:14" x14ac:dyDescent="0.2">
      <c r="G785" s="215"/>
      <c r="L785" s="215"/>
      <c r="N785" s="216"/>
    </row>
    <row r="786" spans="7:14" x14ac:dyDescent="0.2">
      <c r="G786" s="215"/>
      <c r="L786" s="215"/>
      <c r="N786" s="216"/>
    </row>
    <row r="787" spans="7:14" x14ac:dyDescent="0.2">
      <c r="G787" s="215"/>
      <c r="L787" s="215"/>
      <c r="N787" s="216"/>
    </row>
    <row r="788" spans="7:14" x14ac:dyDescent="0.2">
      <c r="G788" s="215"/>
      <c r="L788" s="215"/>
      <c r="N788" s="216"/>
    </row>
    <row r="789" spans="7:14" x14ac:dyDescent="0.2">
      <c r="G789" s="215"/>
      <c r="L789" s="215"/>
      <c r="N789" s="216"/>
    </row>
    <row r="790" spans="7:14" x14ac:dyDescent="0.2">
      <c r="G790" s="215"/>
      <c r="L790" s="215"/>
      <c r="N790" s="216"/>
    </row>
    <row r="791" spans="7:14" x14ac:dyDescent="0.2">
      <c r="G791" s="215"/>
      <c r="L791" s="215"/>
      <c r="N791" s="216"/>
    </row>
    <row r="792" spans="7:14" x14ac:dyDescent="0.2">
      <c r="G792" s="215"/>
      <c r="L792" s="215"/>
      <c r="N792" s="216"/>
    </row>
    <row r="793" spans="7:14" x14ac:dyDescent="0.2">
      <c r="G793" s="215"/>
      <c r="L793" s="215"/>
      <c r="N793" s="216"/>
    </row>
    <row r="794" spans="7:14" x14ac:dyDescent="0.2">
      <c r="G794" s="215"/>
      <c r="L794" s="215"/>
      <c r="N794" s="216"/>
    </row>
    <row r="795" spans="7:14" x14ac:dyDescent="0.2">
      <c r="G795" s="215"/>
      <c r="L795" s="215"/>
      <c r="N795" s="216"/>
    </row>
    <row r="796" spans="7:14" x14ac:dyDescent="0.2">
      <c r="G796" s="215"/>
      <c r="L796" s="215"/>
      <c r="N796" s="216"/>
    </row>
    <row r="797" spans="7:14" x14ac:dyDescent="0.2">
      <c r="G797" s="215"/>
      <c r="L797" s="215"/>
      <c r="N797" s="216"/>
    </row>
    <row r="798" spans="7:14" x14ac:dyDescent="0.2">
      <c r="G798" s="215"/>
      <c r="L798" s="215"/>
      <c r="N798" s="216"/>
    </row>
    <row r="799" spans="7:14" x14ac:dyDescent="0.2">
      <c r="G799" s="215"/>
      <c r="L799" s="215"/>
      <c r="N799" s="216"/>
    </row>
    <row r="800" spans="7:14" x14ac:dyDescent="0.2">
      <c r="G800" s="215"/>
      <c r="L800" s="215"/>
      <c r="N800" s="216"/>
    </row>
    <row r="801" spans="7:14" x14ac:dyDescent="0.2">
      <c r="G801" s="215"/>
      <c r="L801" s="215"/>
      <c r="N801" s="216"/>
    </row>
    <row r="802" spans="7:14" x14ac:dyDescent="0.2">
      <c r="G802" s="215"/>
      <c r="L802" s="215"/>
      <c r="N802" s="216"/>
    </row>
    <row r="803" spans="7:14" x14ac:dyDescent="0.2">
      <c r="G803" s="215"/>
      <c r="L803" s="215"/>
      <c r="N803" s="216"/>
    </row>
    <row r="804" spans="7:14" x14ac:dyDescent="0.2">
      <c r="G804" s="215"/>
      <c r="L804" s="215"/>
      <c r="N804" s="216"/>
    </row>
    <row r="805" spans="7:14" x14ac:dyDescent="0.2">
      <c r="G805" s="215"/>
      <c r="L805" s="215"/>
      <c r="N805" s="216"/>
    </row>
    <row r="806" spans="7:14" x14ac:dyDescent="0.2">
      <c r="G806" s="215"/>
      <c r="L806" s="215"/>
      <c r="N806" s="216"/>
    </row>
    <row r="807" spans="7:14" x14ac:dyDescent="0.2">
      <c r="G807" s="215"/>
      <c r="L807" s="215"/>
      <c r="N807" s="216"/>
    </row>
    <row r="808" spans="7:14" x14ac:dyDescent="0.2">
      <c r="G808" s="215"/>
      <c r="L808" s="215"/>
      <c r="N808" s="216"/>
    </row>
    <row r="809" spans="7:14" x14ac:dyDescent="0.2">
      <c r="G809" s="215"/>
      <c r="L809" s="215"/>
      <c r="N809" s="216"/>
    </row>
    <row r="810" spans="7:14" x14ac:dyDescent="0.2">
      <c r="G810" s="215"/>
      <c r="L810" s="215"/>
      <c r="N810" s="216"/>
    </row>
    <row r="811" spans="7:14" x14ac:dyDescent="0.2">
      <c r="G811" s="215"/>
      <c r="L811" s="215"/>
      <c r="N811" s="216"/>
    </row>
    <row r="812" spans="7:14" x14ac:dyDescent="0.2">
      <c r="G812" s="215"/>
      <c r="L812" s="215"/>
      <c r="N812" s="216"/>
    </row>
    <row r="813" spans="7:14" x14ac:dyDescent="0.2">
      <c r="G813" s="215"/>
      <c r="L813" s="215"/>
      <c r="N813" s="216"/>
    </row>
    <row r="814" spans="7:14" x14ac:dyDescent="0.2">
      <c r="G814" s="215"/>
      <c r="L814" s="215"/>
      <c r="N814" s="216"/>
    </row>
    <row r="815" spans="7:14" x14ac:dyDescent="0.2">
      <c r="G815" s="215"/>
      <c r="L815" s="215"/>
      <c r="N815" s="216"/>
    </row>
    <row r="816" spans="7:14" x14ac:dyDescent="0.2">
      <c r="G816" s="215"/>
      <c r="L816" s="215"/>
      <c r="N816" s="216"/>
    </row>
    <row r="817" spans="7:14" x14ac:dyDescent="0.2">
      <c r="G817" s="215"/>
      <c r="L817" s="215"/>
      <c r="N817" s="216"/>
    </row>
    <row r="818" spans="7:14" x14ac:dyDescent="0.2">
      <c r="G818" s="215"/>
      <c r="L818" s="215"/>
      <c r="N818" s="216"/>
    </row>
    <row r="819" spans="7:14" x14ac:dyDescent="0.2">
      <c r="G819" s="215"/>
      <c r="L819" s="215"/>
      <c r="N819" s="216"/>
    </row>
    <row r="820" spans="7:14" x14ac:dyDescent="0.2">
      <c r="G820" s="215"/>
      <c r="L820" s="215"/>
      <c r="N820" s="216"/>
    </row>
    <row r="821" spans="7:14" x14ac:dyDescent="0.2">
      <c r="G821" s="215"/>
      <c r="L821" s="215"/>
      <c r="N821" s="216"/>
    </row>
    <row r="822" spans="7:14" x14ac:dyDescent="0.2">
      <c r="G822" s="215"/>
      <c r="L822" s="215"/>
      <c r="N822" s="216"/>
    </row>
    <row r="823" spans="7:14" x14ac:dyDescent="0.2">
      <c r="G823" s="215"/>
      <c r="L823" s="215"/>
      <c r="N823" s="216"/>
    </row>
    <row r="824" spans="7:14" x14ac:dyDescent="0.2">
      <c r="G824" s="215"/>
      <c r="L824" s="215"/>
      <c r="N824" s="216"/>
    </row>
    <row r="825" spans="7:14" x14ac:dyDescent="0.2">
      <c r="G825" s="215"/>
      <c r="L825" s="215"/>
      <c r="N825" s="216"/>
    </row>
    <row r="826" spans="7:14" x14ac:dyDescent="0.2">
      <c r="G826" s="215"/>
      <c r="L826" s="215"/>
      <c r="N826" s="216"/>
    </row>
    <row r="827" spans="7:14" x14ac:dyDescent="0.2">
      <c r="G827" s="215"/>
      <c r="L827" s="215"/>
      <c r="N827" s="216"/>
    </row>
    <row r="828" spans="7:14" x14ac:dyDescent="0.2">
      <c r="G828" s="215"/>
      <c r="L828" s="215"/>
      <c r="N828" s="216"/>
    </row>
    <row r="829" spans="7:14" x14ac:dyDescent="0.2">
      <c r="G829" s="215"/>
      <c r="L829" s="215"/>
      <c r="N829" s="216"/>
    </row>
    <row r="830" spans="7:14" x14ac:dyDescent="0.2">
      <c r="G830" s="215"/>
      <c r="L830" s="215"/>
      <c r="N830" s="216"/>
    </row>
    <row r="831" spans="7:14" x14ac:dyDescent="0.2">
      <c r="G831" s="215"/>
      <c r="L831" s="215"/>
      <c r="N831" s="216"/>
    </row>
    <row r="832" spans="7:14" x14ac:dyDescent="0.2">
      <c r="G832" s="215"/>
      <c r="L832" s="215"/>
      <c r="N832" s="216"/>
    </row>
    <row r="833" spans="7:14" x14ac:dyDescent="0.2">
      <c r="G833" s="215"/>
      <c r="L833" s="215"/>
      <c r="N833" s="216"/>
    </row>
    <row r="834" spans="7:14" x14ac:dyDescent="0.2">
      <c r="G834" s="215"/>
      <c r="L834" s="215"/>
      <c r="N834" s="216"/>
    </row>
    <row r="835" spans="7:14" x14ac:dyDescent="0.2">
      <c r="G835" s="215"/>
      <c r="L835" s="215"/>
      <c r="N835" s="216"/>
    </row>
    <row r="836" spans="7:14" x14ac:dyDescent="0.2">
      <c r="G836" s="215"/>
      <c r="L836" s="215"/>
      <c r="N836" s="216"/>
    </row>
    <row r="837" spans="7:14" x14ac:dyDescent="0.2">
      <c r="G837" s="215"/>
      <c r="L837" s="215"/>
      <c r="N837" s="216"/>
    </row>
    <row r="838" spans="7:14" x14ac:dyDescent="0.2">
      <c r="G838" s="215"/>
      <c r="L838" s="215"/>
      <c r="N838" s="216"/>
    </row>
    <row r="839" spans="7:14" x14ac:dyDescent="0.2">
      <c r="G839" s="215"/>
      <c r="L839" s="215"/>
      <c r="N839" s="216"/>
    </row>
    <row r="840" spans="7:14" x14ac:dyDescent="0.2">
      <c r="G840" s="215"/>
      <c r="L840" s="215"/>
      <c r="N840" s="216"/>
    </row>
    <row r="841" spans="7:14" x14ac:dyDescent="0.2">
      <c r="G841" s="215"/>
      <c r="L841" s="215"/>
      <c r="N841" s="216"/>
    </row>
    <row r="842" spans="7:14" x14ac:dyDescent="0.2">
      <c r="G842" s="215"/>
      <c r="L842" s="215"/>
      <c r="N842" s="216"/>
    </row>
    <row r="843" spans="7:14" x14ac:dyDescent="0.2">
      <c r="G843" s="215"/>
      <c r="L843" s="215"/>
      <c r="N843" s="216"/>
    </row>
    <row r="844" spans="7:14" x14ac:dyDescent="0.2">
      <c r="G844" s="215"/>
      <c r="L844" s="215"/>
      <c r="N844" s="216"/>
    </row>
    <row r="845" spans="7:14" x14ac:dyDescent="0.2">
      <c r="G845" s="215"/>
      <c r="L845" s="215"/>
      <c r="N845" s="216"/>
    </row>
    <row r="846" spans="7:14" x14ac:dyDescent="0.2">
      <c r="G846" s="215"/>
      <c r="L846" s="215"/>
      <c r="N846" s="216"/>
    </row>
    <row r="847" spans="7:14" x14ac:dyDescent="0.2">
      <c r="G847" s="215"/>
      <c r="L847" s="215"/>
      <c r="N847" s="216"/>
    </row>
    <row r="848" spans="7:14" x14ac:dyDescent="0.2">
      <c r="G848" s="215"/>
      <c r="L848" s="215"/>
      <c r="N848" s="216"/>
    </row>
    <row r="849" spans="7:14" x14ac:dyDescent="0.2">
      <c r="G849" s="215"/>
      <c r="L849" s="215"/>
      <c r="N849" s="216"/>
    </row>
    <row r="850" spans="7:14" x14ac:dyDescent="0.2">
      <c r="G850" s="215"/>
      <c r="L850" s="215"/>
      <c r="N850" s="216"/>
    </row>
    <row r="851" spans="7:14" x14ac:dyDescent="0.2">
      <c r="G851" s="215"/>
      <c r="L851" s="215"/>
      <c r="N851" s="216"/>
    </row>
    <row r="852" spans="7:14" x14ac:dyDescent="0.2">
      <c r="G852" s="215"/>
      <c r="L852" s="215"/>
      <c r="N852" s="216"/>
    </row>
    <row r="853" spans="7:14" x14ac:dyDescent="0.2">
      <c r="G853" s="215"/>
      <c r="L853" s="215"/>
      <c r="N853" s="216"/>
    </row>
    <row r="854" spans="7:14" x14ac:dyDescent="0.2">
      <c r="G854" s="215"/>
      <c r="L854" s="215"/>
      <c r="N854" s="216"/>
    </row>
    <row r="855" spans="7:14" x14ac:dyDescent="0.2">
      <c r="G855" s="215"/>
      <c r="L855" s="215"/>
      <c r="N855" s="216"/>
    </row>
    <row r="856" spans="7:14" x14ac:dyDescent="0.2">
      <c r="G856" s="215"/>
      <c r="L856" s="215"/>
      <c r="N856" s="216"/>
    </row>
    <row r="857" spans="7:14" x14ac:dyDescent="0.2">
      <c r="G857" s="215"/>
      <c r="L857" s="215"/>
      <c r="N857" s="216"/>
    </row>
    <row r="858" spans="7:14" x14ac:dyDescent="0.2">
      <c r="G858" s="215"/>
      <c r="L858" s="215"/>
      <c r="N858" s="216"/>
    </row>
    <row r="859" spans="7:14" x14ac:dyDescent="0.2">
      <c r="G859" s="215"/>
      <c r="L859" s="215"/>
      <c r="N859" s="216"/>
    </row>
    <row r="860" spans="7:14" x14ac:dyDescent="0.2">
      <c r="G860" s="215"/>
      <c r="L860" s="215"/>
      <c r="N860" s="216"/>
    </row>
    <row r="861" spans="7:14" x14ac:dyDescent="0.2">
      <c r="G861" s="215"/>
      <c r="L861" s="215"/>
      <c r="N861" s="216"/>
    </row>
    <row r="862" spans="7:14" x14ac:dyDescent="0.2">
      <c r="G862" s="215"/>
      <c r="L862" s="215"/>
      <c r="N862" s="216"/>
    </row>
    <row r="863" spans="7:14" x14ac:dyDescent="0.2">
      <c r="G863" s="215"/>
      <c r="L863" s="215"/>
      <c r="N863" s="216"/>
    </row>
    <row r="864" spans="7:14" x14ac:dyDescent="0.2">
      <c r="G864" s="215"/>
      <c r="L864" s="215"/>
      <c r="N864" s="216"/>
    </row>
    <row r="865" spans="7:14" x14ac:dyDescent="0.2">
      <c r="G865" s="215"/>
      <c r="L865" s="215"/>
      <c r="N865" s="216"/>
    </row>
    <row r="866" spans="7:14" x14ac:dyDescent="0.2">
      <c r="G866" s="215"/>
      <c r="L866" s="215"/>
      <c r="N866" s="216"/>
    </row>
    <row r="867" spans="7:14" x14ac:dyDescent="0.2">
      <c r="G867" s="215"/>
      <c r="L867" s="215"/>
      <c r="N867" s="216"/>
    </row>
    <row r="868" spans="7:14" x14ac:dyDescent="0.2">
      <c r="G868" s="215"/>
      <c r="L868" s="215"/>
      <c r="N868" s="216"/>
    </row>
    <row r="869" spans="7:14" x14ac:dyDescent="0.2">
      <c r="G869" s="215"/>
      <c r="L869" s="215"/>
      <c r="N869" s="216"/>
    </row>
    <row r="870" spans="7:14" x14ac:dyDescent="0.2">
      <c r="G870" s="215"/>
      <c r="L870" s="215"/>
      <c r="N870" s="216"/>
    </row>
    <row r="871" spans="7:14" x14ac:dyDescent="0.2">
      <c r="G871" s="215"/>
      <c r="L871" s="215"/>
      <c r="N871" s="216"/>
    </row>
    <row r="872" spans="7:14" x14ac:dyDescent="0.2">
      <c r="G872" s="215"/>
      <c r="L872" s="215"/>
      <c r="N872" s="216"/>
    </row>
    <row r="873" spans="7:14" x14ac:dyDescent="0.2">
      <c r="G873" s="215"/>
      <c r="L873" s="215"/>
      <c r="N873" s="216"/>
    </row>
    <row r="874" spans="7:14" x14ac:dyDescent="0.2">
      <c r="G874" s="215"/>
      <c r="L874" s="215"/>
      <c r="N874" s="216"/>
    </row>
    <row r="875" spans="7:14" x14ac:dyDescent="0.2">
      <c r="G875" s="215"/>
      <c r="L875" s="215"/>
      <c r="N875" s="216"/>
    </row>
    <row r="876" spans="7:14" x14ac:dyDescent="0.2">
      <c r="G876" s="215"/>
      <c r="L876" s="215"/>
      <c r="N876" s="216"/>
    </row>
    <row r="877" spans="7:14" x14ac:dyDescent="0.2">
      <c r="G877" s="215"/>
      <c r="L877" s="215"/>
      <c r="N877" s="216"/>
    </row>
    <row r="878" spans="7:14" x14ac:dyDescent="0.2">
      <c r="G878" s="215"/>
      <c r="L878" s="215"/>
      <c r="N878" s="216"/>
    </row>
    <row r="879" spans="7:14" x14ac:dyDescent="0.2">
      <c r="G879" s="215"/>
      <c r="L879" s="215"/>
      <c r="N879" s="216"/>
    </row>
    <row r="880" spans="7:14" x14ac:dyDescent="0.2">
      <c r="G880" s="215"/>
      <c r="L880" s="215"/>
      <c r="N880" s="216"/>
    </row>
    <row r="881" spans="7:14" x14ac:dyDescent="0.2">
      <c r="G881" s="215"/>
      <c r="L881" s="215"/>
      <c r="N881" s="216"/>
    </row>
    <row r="882" spans="7:14" x14ac:dyDescent="0.2">
      <c r="G882" s="215"/>
      <c r="L882" s="215"/>
      <c r="N882" s="216"/>
    </row>
    <row r="883" spans="7:14" x14ac:dyDescent="0.2">
      <c r="G883" s="215"/>
      <c r="L883" s="215"/>
      <c r="N883" s="216"/>
    </row>
    <row r="884" spans="7:14" x14ac:dyDescent="0.2">
      <c r="G884" s="215"/>
      <c r="L884" s="215"/>
      <c r="N884" s="216"/>
    </row>
    <row r="885" spans="7:14" x14ac:dyDescent="0.2">
      <c r="G885" s="215"/>
      <c r="L885" s="215"/>
      <c r="N885" s="216"/>
    </row>
    <row r="886" spans="7:14" x14ac:dyDescent="0.2">
      <c r="G886" s="215"/>
      <c r="L886" s="215"/>
      <c r="N886" s="216"/>
    </row>
    <row r="887" spans="7:14" x14ac:dyDescent="0.2">
      <c r="G887" s="215"/>
      <c r="L887" s="215"/>
      <c r="N887" s="216"/>
    </row>
    <row r="888" spans="7:14" x14ac:dyDescent="0.2">
      <c r="G888" s="215"/>
      <c r="L888" s="215"/>
      <c r="N888" s="216"/>
    </row>
    <row r="889" spans="7:14" x14ac:dyDescent="0.2">
      <c r="G889" s="215"/>
      <c r="L889" s="215"/>
      <c r="N889" s="216"/>
    </row>
    <row r="890" spans="7:14" x14ac:dyDescent="0.2">
      <c r="G890" s="215"/>
      <c r="L890" s="215"/>
      <c r="N890" s="216"/>
    </row>
    <row r="891" spans="7:14" x14ac:dyDescent="0.2">
      <c r="G891" s="215"/>
      <c r="L891" s="215"/>
      <c r="N891" s="216"/>
    </row>
    <row r="892" spans="7:14" x14ac:dyDescent="0.2">
      <c r="G892" s="215"/>
      <c r="L892" s="215"/>
      <c r="N892" s="216"/>
    </row>
    <row r="893" spans="7:14" x14ac:dyDescent="0.2">
      <c r="G893" s="215"/>
      <c r="L893" s="215"/>
      <c r="N893" s="216"/>
    </row>
    <row r="894" spans="7:14" x14ac:dyDescent="0.2">
      <c r="G894" s="215"/>
      <c r="L894" s="215"/>
      <c r="N894" s="216"/>
    </row>
    <row r="895" spans="7:14" x14ac:dyDescent="0.2">
      <c r="G895" s="215"/>
      <c r="L895" s="215"/>
      <c r="N895" s="216"/>
    </row>
    <row r="896" spans="7:14" x14ac:dyDescent="0.2">
      <c r="G896" s="215"/>
      <c r="L896" s="215"/>
      <c r="N896" s="216"/>
    </row>
    <row r="897" spans="7:14" x14ac:dyDescent="0.2">
      <c r="G897" s="215"/>
      <c r="L897" s="215"/>
      <c r="N897" s="216"/>
    </row>
    <row r="898" spans="7:14" x14ac:dyDescent="0.2">
      <c r="G898" s="215"/>
      <c r="L898" s="215"/>
      <c r="N898" s="216"/>
    </row>
    <row r="899" spans="7:14" x14ac:dyDescent="0.2">
      <c r="G899" s="215"/>
      <c r="L899" s="215"/>
      <c r="N899" s="216"/>
    </row>
    <row r="900" spans="7:14" x14ac:dyDescent="0.2">
      <c r="G900" s="215"/>
      <c r="L900" s="215"/>
      <c r="N900" s="216"/>
    </row>
    <row r="901" spans="7:14" x14ac:dyDescent="0.2">
      <c r="G901" s="215"/>
      <c r="L901" s="215"/>
      <c r="N901" s="216"/>
    </row>
    <row r="902" spans="7:14" x14ac:dyDescent="0.2">
      <c r="G902" s="215"/>
      <c r="L902" s="215"/>
      <c r="N902" s="216"/>
    </row>
    <row r="903" spans="7:14" x14ac:dyDescent="0.2">
      <c r="G903" s="215"/>
      <c r="L903" s="215"/>
      <c r="N903" s="216"/>
    </row>
    <row r="904" spans="7:14" x14ac:dyDescent="0.2">
      <c r="G904" s="215"/>
      <c r="L904" s="215"/>
      <c r="N904" s="216"/>
    </row>
    <row r="905" spans="7:14" x14ac:dyDescent="0.2">
      <c r="G905" s="215"/>
      <c r="L905" s="215"/>
      <c r="N905" s="216"/>
    </row>
    <row r="906" spans="7:14" x14ac:dyDescent="0.2">
      <c r="G906" s="215"/>
      <c r="L906" s="215"/>
      <c r="N906" s="216"/>
    </row>
    <row r="907" spans="7:14" x14ac:dyDescent="0.2">
      <c r="G907" s="215"/>
      <c r="L907" s="215"/>
      <c r="N907" s="216"/>
    </row>
    <row r="908" spans="7:14" x14ac:dyDescent="0.2">
      <c r="G908" s="215"/>
      <c r="L908" s="215"/>
      <c r="N908" s="216"/>
    </row>
    <row r="909" spans="7:14" x14ac:dyDescent="0.2">
      <c r="G909" s="215"/>
      <c r="L909" s="215"/>
      <c r="N909" s="216"/>
    </row>
    <row r="910" spans="7:14" x14ac:dyDescent="0.2">
      <c r="G910" s="215"/>
      <c r="L910" s="215"/>
      <c r="N910" s="216"/>
    </row>
    <row r="911" spans="7:14" x14ac:dyDescent="0.2">
      <c r="G911" s="215"/>
      <c r="L911" s="215"/>
      <c r="N911" s="216"/>
    </row>
    <row r="912" spans="7:14" x14ac:dyDescent="0.2">
      <c r="G912" s="215"/>
      <c r="L912" s="215"/>
      <c r="N912" s="216"/>
    </row>
    <row r="913" spans="7:14" x14ac:dyDescent="0.2">
      <c r="G913" s="215"/>
      <c r="L913" s="215"/>
      <c r="N913" s="216"/>
    </row>
    <row r="914" spans="7:14" x14ac:dyDescent="0.2">
      <c r="G914" s="215"/>
      <c r="L914" s="215"/>
      <c r="N914" s="216"/>
    </row>
    <row r="915" spans="7:14" x14ac:dyDescent="0.2">
      <c r="G915" s="215"/>
      <c r="L915" s="215"/>
      <c r="N915" s="216"/>
    </row>
    <row r="916" spans="7:14" x14ac:dyDescent="0.2">
      <c r="G916" s="215"/>
      <c r="L916" s="215"/>
      <c r="N916" s="216"/>
    </row>
    <row r="917" spans="7:14" x14ac:dyDescent="0.2">
      <c r="G917" s="215"/>
      <c r="L917" s="215"/>
      <c r="N917" s="216"/>
    </row>
    <row r="918" spans="7:14" x14ac:dyDescent="0.2">
      <c r="G918" s="215"/>
      <c r="L918" s="215"/>
      <c r="N918" s="216"/>
    </row>
    <row r="919" spans="7:14" x14ac:dyDescent="0.2">
      <c r="G919" s="215"/>
      <c r="L919" s="215"/>
      <c r="N919" s="216"/>
    </row>
    <row r="920" spans="7:14" x14ac:dyDescent="0.2">
      <c r="G920" s="215"/>
      <c r="L920" s="215"/>
      <c r="N920" s="216"/>
    </row>
    <row r="921" spans="7:14" x14ac:dyDescent="0.2">
      <c r="G921" s="215"/>
      <c r="L921" s="215"/>
      <c r="N921" s="216"/>
    </row>
    <row r="922" spans="7:14" x14ac:dyDescent="0.2">
      <c r="G922" s="215"/>
      <c r="L922" s="215"/>
      <c r="N922" s="216"/>
    </row>
    <row r="923" spans="7:14" x14ac:dyDescent="0.2">
      <c r="G923" s="215"/>
      <c r="L923" s="215"/>
      <c r="N923" s="216"/>
    </row>
    <row r="924" spans="7:14" x14ac:dyDescent="0.2">
      <c r="G924" s="215"/>
      <c r="L924" s="215"/>
      <c r="N924" s="216"/>
    </row>
    <row r="925" spans="7:14" x14ac:dyDescent="0.2">
      <c r="G925" s="215"/>
      <c r="L925" s="215"/>
      <c r="N925" s="216"/>
    </row>
    <row r="926" spans="7:14" x14ac:dyDescent="0.2">
      <c r="G926" s="215"/>
      <c r="L926" s="215"/>
      <c r="N926" s="216"/>
    </row>
    <row r="927" spans="7:14" x14ac:dyDescent="0.2">
      <c r="G927" s="215"/>
      <c r="L927" s="215"/>
      <c r="N927" s="216"/>
    </row>
    <row r="928" spans="7:14" x14ac:dyDescent="0.2">
      <c r="G928" s="215"/>
      <c r="L928" s="215"/>
      <c r="N928" s="216"/>
    </row>
    <row r="929" spans="7:14" x14ac:dyDescent="0.2">
      <c r="G929" s="215"/>
      <c r="L929" s="215"/>
      <c r="N929" s="216"/>
    </row>
    <row r="930" spans="7:14" x14ac:dyDescent="0.2">
      <c r="G930" s="215"/>
      <c r="L930" s="215"/>
      <c r="N930" s="216"/>
    </row>
    <row r="931" spans="7:14" x14ac:dyDescent="0.2">
      <c r="G931" s="215"/>
      <c r="L931" s="215"/>
      <c r="N931" s="216"/>
    </row>
    <row r="932" spans="7:14" x14ac:dyDescent="0.2">
      <c r="G932" s="215"/>
      <c r="L932" s="215"/>
      <c r="N932" s="216"/>
    </row>
    <row r="933" spans="7:14" x14ac:dyDescent="0.2">
      <c r="G933" s="215"/>
      <c r="L933" s="215"/>
      <c r="N933" s="216"/>
    </row>
    <row r="934" spans="7:14" x14ac:dyDescent="0.2">
      <c r="G934" s="215"/>
      <c r="L934" s="215"/>
      <c r="N934" s="216"/>
    </row>
    <row r="935" spans="7:14" x14ac:dyDescent="0.2">
      <c r="G935" s="215"/>
      <c r="L935" s="215"/>
      <c r="N935" s="216"/>
    </row>
    <row r="936" spans="7:14" x14ac:dyDescent="0.2">
      <c r="G936" s="215"/>
      <c r="L936" s="215"/>
      <c r="N936" s="216"/>
    </row>
    <row r="937" spans="7:14" x14ac:dyDescent="0.2">
      <c r="G937" s="215"/>
      <c r="L937" s="215"/>
      <c r="N937" s="216"/>
    </row>
    <row r="938" spans="7:14" x14ac:dyDescent="0.2">
      <c r="G938" s="215"/>
      <c r="L938" s="215"/>
      <c r="N938" s="216"/>
    </row>
    <row r="939" spans="7:14" x14ac:dyDescent="0.2">
      <c r="G939" s="215"/>
      <c r="L939" s="215"/>
      <c r="N939" s="216"/>
    </row>
    <row r="940" spans="7:14" x14ac:dyDescent="0.2">
      <c r="G940" s="215"/>
      <c r="L940" s="215"/>
      <c r="N940" s="216"/>
    </row>
    <row r="941" spans="7:14" x14ac:dyDescent="0.2">
      <c r="G941" s="215"/>
      <c r="L941" s="215"/>
      <c r="N941" s="216"/>
    </row>
    <row r="942" spans="7:14" x14ac:dyDescent="0.2">
      <c r="G942" s="215"/>
      <c r="L942" s="215"/>
      <c r="N942" s="216"/>
    </row>
    <row r="943" spans="7:14" x14ac:dyDescent="0.2">
      <c r="G943" s="215"/>
      <c r="L943" s="215"/>
      <c r="N943" s="216"/>
    </row>
    <row r="944" spans="7:14" x14ac:dyDescent="0.2">
      <c r="G944" s="215"/>
      <c r="L944" s="215"/>
      <c r="N944" s="216"/>
    </row>
    <row r="945" spans="7:14" x14ac:dyDescent="0.2">
      <c r="G945" s="215"/>
      <c r="L945" s="215"/>
      <c r="N945" s="216"/>
    </row>
    <row r="946" spans="7:14" x14ac:dyDescent="0.2">
      <c r="G946" s="215"/>
      <c r="L946" s="215"/>
      <c r="N946" s="216"/>
    </row>
    <row r="947" spans="7:14" x14ac:dyDescent="0.2">
      <c r="G947" s="215"/>
      <c r="L947" s="215"/>
      <c r="N947" s="216"/>
    </row>
    <row r="948" spans="7:14" x14ac:dyDescent="0.2">
      <c r="G948" s="215"/>
      <c r="L948" s="215"/>
      <c r="N948" s="216"/>
    </row>
    <row r="949" spans="7:14" x14ac:dyDescent="0.2">
      <c r="G949" s="215"/>
      <c r="L949" s="215"/>
      <c r="N949" s="216"/>
    </row>
    <row r="950" spans="7:14" x14ac:dyDescent="0.2">
      <c r="G950" s="215"/>
      <c r="L950" s="215"/>
      <c r="N950" s="216"/>
    </row>
    <row r="951" spans="7:14" x14ac:dyDescent="0.2">
      <c r="G951" s="215"/>
      <c r="L951" s="215"/>
      <c r="N951" s="216"/>
    </row>
    <row r="952" spans="7:14" x14ac:dyDescent="0.2">
      <c r="G952" s="215"/>
      <c r="L952" s="215"/>
      <c r="N952" s="216"/>
    </row>
    <row r="953" spans="7:14" x14ac:dyDescent="0.2">
      <c r="G953" s="215"/>
      <c r="L953" s="215"/>
      <c r="N953" s="216"/>
    </row>
    <row r="954" spans="7:14" x14ac:dyDescent="0.2">
      <c r="G954" s="215"/>
      <c r="L954" s="215"/>
      <c r="N954" s="216"/>
    </row>
    <row r="955" spans="7:14" x14ac:dyDescent="0.2">
      <c r="G955" s="215"/>
      <c r="L955" s="215"/>
      <c r="N955" s="216"/>
    </row>
    <row r="956" spans="7:14" x14ac:dyDescent="0.2">
      <c r="G956" s="215"/>
      <c r="L956" s="215"/>
      <c r="N956" s="216"/>
    </row>
    <row r="957" spans="7:14" x14ac:dyDescent="0.2">
      <c r="G957" s="215"/>
      <c r="L957" s="215"/>
      <c r="N957" s="216"/>
    </row>
    <row r="958" spans="7:14" x14ac:dyDescent="0.2">
      <c r="G958" s="215"/>
      <c r="L958" s="215"/>
      <c r="N958" s="216"/>
    </row>
    <row r="959" spans="7:14" x14ac:dyDescent="0.2">
      <c r="G959" s="215"/>
      <c r="L959" s="215"/>
      <c r="N959" s="216"/>
    </row>
    <row r="960" spans="7:14" x14ac:dyDescent="0.2">
      <c r="G960" s="215"/>
      <c r="L960" s="215"/>
      <c r="N960" s="216"/>
    </row>
    <row r="961" spans="7:14" x14ac:dyDescent="0.2">
      <c r="G961" s="215"/>
      <c r="L961" s="215"/>
      <c r="N961" s="216"/>
    </row>
    <row r="962" spans="7:14" x14ac:dyDescent="0.2">
      <c r="G962" s="215"/>
      <c r="L962" s="215"/>
      <c r="N962" s="216"/>
    </row>
    <row r="963" spans="7:14" x14ac:dyDescent="0.2">
      <c r="G963" s="215"/>
      <c r="L963" s="215"/>
      <c r="N963" s="216"/>
    </row>
    <row r="964" spans="7:14" x14ac:dyDescent="0.2">
      <c r="G964" s="215"/>
      <c r="L964" s="215"/>
      <c r="N964" s="216"/>
    </row>
    <row r="965" spans="7:14" x14ac:dyDescent="0.2">
      <c r="G965" s="215"/>
      <c r="L965" s="215"/>
      <c r="N965" s="216"/>
    </row>
    <row r="966" spans="7:14" x14ac:dyDescent="0.2">
      <c r="G966" s="215"/>
      <c r="L966" s="215"/>
      <c r="N966" s="216"/>
    </row>
    <row r="967" spans="7:14" x14ac:dyDescent="0.2">
      <c r="G967" s="215"/>
      <c r="L967" s="215"/>
      <c r="N967" s="216"/>
    </row>
    <row r="968" spans="7:14" x14ac:dyDescent="0.2">
      <c r="G968" s="215"/>
      <c r="L968" s="215"/>
      <c r="N968" s="216"/>
    </row>
    <row r="969" spans="7:14" x14ac:dyDescent="0.2">
      <c r="G969" s="215"/>
      <c r="L969" s="215"/>
      <c r="N969" s="216"/>
    </row>
    <row r="970" spans="7:14" x14ac:dyDescent="0.2">
      <c r="G970" s="215"/>
      <c r="L970" s="215"/>
      <c r="N970" s="216"/>
    </row>
    <row r="971" spans="7:14" x14ac:dyDescent="0.2">
      <c r="G971" s="215"/>
      <c r="L971" s="215"/>
      <c r="N971" s="216"/>
    </row>
    <row r="972" spans="7:14" x14ac:dyDescent="0.2">
      <c r="G972" s="215"/>
      <c r="L972" s="215"/>
      <c r="N972" s="216"/>
    </row>
    <row r="973" spans="7:14" x14ac:dyDescent="0.2">
      <c r="G973" s="215"/>
      <c r="L973" s="215"/>
      <c r="N973" s="216"/>
    </row>
    <row r="974" spans="7:14" x14ac:dyDescent="0.2">
      <c r="G974" s="215"/>
      <c r="L974" s="215"/>
      <c r="N974" s="216"/>
    </row>
    <row r="975" spans="7:14" x14ac:dyDescent="0.2">
      <c r="G975" s="215"/>
      <c r="L975" s="215"/>
      <c r="N975" s="216"/>
    </row>
    <row r="976" spans="7:14" x14ac:dyDescent="0.2">
      <c r="G976" s="215"/>
      <c r="L976" s="215"/>
      <c r="N976" s="216"/>
    </row>
    <row r="977" spans="7:14" x14ac:dyDescent="0.2">
      <c r="G977" s="215"/>
      <c r="L977" s="215"/>
      <c r="N977" s="216"/>
    </row>
    <row r="978" spans="7:14" x14ac:dyDescent="0.2">
      <c r="G978" s="215"/>
      <c r="L978" s="215"/>
      <c r="N978" s="216"/>
    </row>
    <row r="979" spans="7:14" x14ac:dyDescent="0.2">
      <c r="G979" s="215"/>
      <c r="L979" s="215"/>
      <c r="N979" s="216"/>
    </row>
    <row r="980" spans="7:14" x14ac:dyDescent="0.2">
      <c r="G980" s="215"/>
      <c r="L980" s="215"/>
      <c r="N980" s="216"/>
    </row>
    <row r="981" spans="7:14" x14ac:dyDescent="0.2">
      <c r="G981" s="215"/>
      <c r="L981" s="215"/>
      <c r="N981" s="216"/>
    </row>
    <row r="982" spans="7:14" x14ac:dyDescent="0.2">
      <c r="G982" s="215"/>
      <c r="L982" s="215"/>
      <c r="N982" s="216"/>
    </row>
    <row r="983" spans="7:14" x14ac:dyDescent="0.2">
      <c r="G983" s="215"/>
      <c r="L983" s="215"/>
      <c r="N983" s="216"/>
    </row>
    <row r="984" spans="7:14" x14ac:dyDescent="0.2">
      <c r="G984" s="215"/>
      <c r="L984" s="215"/>
      <c r="N984" s="216"/>
    </row>
    <row r="985" spans="7:14" x14ac:dyDescent="0.2">
      <c r="G985" s="215"/>
      <c r="L985" s="215"/>
      <c r="N985" s="216"/>
    </row>
    <row r="986" spans="7:14" x14ac:dyDescent="0.2">
      <c r="G986" s="215"/>
      <c r="L986" s="215"/>
      <c r="N986" s="216"/>
    </row>
    <row r="987" spans="7:14" x14ac:dyDescent="0.2">
      <c r="G987" s="215"/>
      <c r="L987" s="215"/>
      <c r="N987" s="216"/>
    </row>
    <row r="988" spans="7:14" x14ac:dyDescent="0.2">
      <c r="G988" s="215"/>
      <c r="L988" s="215"/>
      <c r="N988" s="216"/>
    </row>
    <row r="989" spans="7:14" x14ac:dyDescent="0.2">
      <c r="G989" s="215"/>
      <c r="L989" s="215"/>
      <c r="N989" s="216"/>
    </row>
    <row r="990" spans="7:14" x14ac:dyDescent="0.2">
      <c r="G990" s="215"/>
      <c r="L990" s="215"/>
      <c r="N990" s="216"/>
    </row>
    <row r="991" spans="7:14" x14ac:dyDescent="0.2">
      <c r="G991" s="215"/>
      <c r="L991" s="215"/>
      <c r="N991" s="216"/>
    </row>
    <row r="992" spans="7:14" x14ac:dyDescent="0.2">
      <c r="G992" s="215"/>
      <c r="L992" s="215"/>
      <c r="N992" s="216"/>
    </row>
    <row r="993" spans="7:14" x14ac:dyDescent="0.2">
      <c r="G993" s="215"/>
      <c r="L993" s="215"/>
      <c r="N993" s="216"/>
    </row>
    <row r="994" spans="7:14" x14ac:dyDescent="0.2">
      <c r="G994" s="215"/>
      <c r="L994" s="215"/>
      <c r="N994" s="216"/>
    </row>
    <row r="995" spans="7:14" x14ac:dyDescent="0.2">
      <c r="G995" s="215"/>
      <c r="L995" s="215"/>
      <c r="N995" s="216"/>
    </row>
    <row r="996" spans="7:14" x14ac:dyDescent="0.2">
      <c r="G996" s="215"/>
      <c r="L996" s="215"/>
      <c r="N996" s="216"/>
    </row>
    <row r="997" spans="7:14" x14ac:dyDescent="0.2">
      <c r="G997" s="215"/>
      <c r="L997" s="215"/>
      <c r="N997" s="216"/>
    </row>
    <row r="998" spans="7:14" x14ac:dyDescent="0.2">
      <c r="G998" s="215"/>
      <c r="L998" s="215"/>
      <c r="N998" s="216"/>
    </row>
    <row r="999" spans="7:14" x14ac:dyDescent="0.2">
      <c r="G999" s="215"/>
      <c r="L999" s="215"/>
      <c r="N999" s="216"/>
    </row>
    <row r="1000" spans="7:14" x14ac:dyDescent="0.2">
      <c r="G1000" s="215"/>
      <c r="L1000" s="215"/>
      <c r="N1000" s="216"/>
    </row>
    <row r="1001" spans="7:14" x14ac:dyDescent="0.2">
      <c r="G1001" s="215"/>
      <c r="L1001" s="215"/>
      <c r="N1001" s="216"/>
    </row>
    <row r="1002" spans="7:14" x14ac:dyDescent="0.2">
      <c r="G1002" s="215"/>
      <c r="L1002" s="215"/>
      <c r="N1002" s="216"/>
    </row>
    <row r="1003" spans="7:14" x14ac:dyDescent="0.2">
      <c r="G1003" s="215"/>
      <c r="L1003" s="215"/>
      <c r="N1003" s="216"/>
    </row>
    <row r="1004" spans="7:14" x14ac:dyDescent="0.2">
      <c r="G1004" s="215"/>
      <c r="L1004" s="215"/>
      <c r="N1004" s="216"/>
    </row>
    <row r="1005" spans="7:14" x14ac:dyDescent="0.2">
      <c r="G1005" s="215"/>
      <c r="L1005" s="215"/>
      <c r="N1005" s="216"/>
    </row>
    <row r="1006" spans="7:14" x14ac:dyDescent="0.2">
      <c r="G1006" s="215"/>
      <c r="L1006" s="215"/>
      <c r="N1006" s="216"/>
    </row>
    <row r="1007" spans="7:14" x14ac:dyDescent="0.2">
      <c r="G1007" s="215"/>
      <c r="L1007" s="215"/>
      <c r="N1007" s="216"/>
    </row>
    <row r="1008" spans="7:14" x14ac:dyDescent="0.2">
      <c r="G1008" s="215"/>
      <c r="L1008" s="215"/>
      <c r="N1008" s="216"/>
    </row>
    <row r="1009" spans="7:14" x14ac:dyDescent="0.2">
      <c r="G1009" s="215"/>
      <c r="L1009" s="215"/>
      <c r="N1009" s="216"/>
    </row>
    <row r="1010" spans="7:14" x14ac:dyDescent="0.2">
      <c r="G1010" s="215"/>
      <c r="L1010" s="215"/>
      <c r="N1010" s="216"/>
    </row>
    <row r="1011" spans="7:14" x14ac:dyDescent="0.2">
      <c r="G1011" s="215"/>
      <c r="L1011" s="215"/>
      <c r="N1011" s="216"/>
    </row>
    <row r="1012" spans="7:14" x14ac:dyDescent="0.2">
      <c r="G1012" s="215"/>
      <c r="L1012" s="215"/>
      <c r="N1012" s="216"/>
    </row>
    <row r="1013" spans="7:14" x14ac:dyDescent="0.2">
      <c r="G1013" s="215"/>
      <c r="L1013" s="215"/>
      <c r="N1013" s="216"/>
    </row>
    <row r="1014" spans="7:14" x14ac:dyDescent="0.2">
      <c r="G1014" s="215"/>
      <c r="L1014" s="215"/>
      <c r="N1014" s="216"/>
    </row>
    <row r="1015" spans="7:14" x14ac:dyDescent="0.2">
      <c r="G1015" s="215"/>
      <c r="L1015" s="215"/>
      <c r="N1015" s="216"/>
    </row>
    <row r="1016" spans="7:14" x14ac:dyDescent="0.2">
      <c r="G1016" s="215"/>
      <c r="L1016" s="215"/>
      <c r="N1016" s="216"/>
    </row>
    <row r="1017" spans="7:14" x14ac:dyDescent="0.2">
      <c r="G1017" s="215"/>
      <c r="L1017" s="215"/>
      <c r="N1017" s="216"/>
    </row>
    <row r="1018" spans="7:14" x14ac:dyDescent="0.2">
      <c r="G1018" s="215"/>
      <c r="L1018" s="215"/>
      <c r="N1018" s="216"/>
    </row>
    <row r="1019" spans="7:14" x14ac:dyDescent="0.2">
      <c r="G1019" s="215"/>
      <c r="L1019" s="215"/>
      <c r="N1019" s="216"/>
    </row>
    <row r="1020" spans="7:14" x14ac:dyDescent="0.2">
      <c r="G1020" s="215"/>
      <c r="L1020" s="215"/>
      <c r="N1020" s="216"/>
    </row>
    <row r="1021" spans="7:14" x14ac:dyDescent="0.2">
      <c r="G1021" s="215"/>
      <c r="L1021" s="215"/>
      <c r="N1021" s="216"/>
    </row>
    <row r="1022" spans="7:14" x14ac:dyDescent="0.2">
      <c r="G1022" s="215"/>
      <c r="L1022" s="215"/>
      <c r="N1022" s="216"/>
    </row>
    <row r="1023" spans="7:14" x14ac:dyDescent="0.2">
      <c r="G1023" s="215"/>
      <c r="L1023" s="215"/>
      <c r="N1023" s="216"/>
    </row>
    <row r="1024" spans="7:14" x14ac:dyDescent="0.2">
      <c r="G1024" s="215"/>
      <c r="L1024" s="215"/>
      <c r="N1024" s="216"/>
    </row>
    <row r="1025" spans="7:14" x14ac:dyDescent="0.2">
      <c r="G1025" s="215"/>
      <c r="L1025" s="215"/>
      <c r="N1025" s="216"/>
    </row>
    <row r="1026" spans="7:14" x14ac:dyDescent="0.2">
      <c r="G1026" s="215"/>
      <c r="L1026" s="215"/>
      <c r="N1026" s="216"/>
    </row>
    <row r="1027" spans="7:14" x14ac:dyDescent="0.2">
      <c r="G1027" s="215"/>
      <c r="L1027" s="215"/>
      <c r="N1027" s="216"/>
    </row>
    <row r="1028" spans="7:14" x14ac:dyDescent="0.2">
      <c r="G1028" s="215"/>
      <c r="L1028" s="215"/>
      <c r="N1028" s="216"/>
    </row>
    <row r="1029" spans="7:14" x14ac:dyDescent="0.2">
      <c r="G1029" s="215"/>
      <c r="L1029" s="215"/>
      <c r="N1029" s="216"/>
    </row>
    <row r="1030" spans="7:14" x14ac:dyDescent="0.2">
      <c r="G1030" s="215"/>
      <c r="L1030" s="215"/>
      <c r="N1030" s="216"/>
    </row>
    <row r="1031" spans="7:14" x14ac:dyDescent="0.2">
      <c r="G1031" s="215"/>
      <c r="L1031" s="215"/>
      <c r="N1031" s="216"/>
    </row>
    <row r="1032" spans="7:14" x14ac:dyDescent="0.2">
      <c r="G1032" s="215"/>
      <c r="L1032" s="215"/>
      <c r="N1032" s="216"/>
    </row>
    <row r="1033" spans="7:14" x14ac:dyDescent="0.2">
      <c r="G1033" s="215"/>
      <c r="L1033" s="215"/>
      <c r="N1033" s="216"/>
    </row>
    <row r="1034" spans="7:14" x14ac:dyDescent="0.2">
      <c r="G1034" s="215"/>
      <c r="L1034" s="215"/>
      <c r="N1034" s="216"/>
    </row>
    <row r="1035" spans="7:14" x14ac:dyDescent="0.2">
      <c r="G1035" s="215"/>
      <c r="L1035" s="215"/>
      <c r="N1035" s="216"/>
    </row>
    <row r="1036" spans="7:14" x14ac:dyDescent="0.2">
      <c r="G1036" s="215"/>
      <c r="L1036" s="215"/>
      <c r="N1036" s="216"/>
    </row>
    <row r="1037" spans="7:14" x14ac:dyDescent="0.2">
      <c r="G1037" s="215"/>
      <c r="L1037" s="215"/>
      <c r="N1037" s="216"/>
    </row>
    <row r="1038" spans="7:14" x14ac:dyDescent="0.2">
      <c r="G1038" s="215"/>
      <c r="L1038" s="215"/>
      <c r="N1038" s="216"/>
    </row>
    <row r="1039" spans="7:14" x14ac:dyDescent="0.2">
      <c r="G1039" s="215"/>
      <c r="L1039" s="215"/>
      <c r="N1039" s="216"/>
    </row>
    <row r="1040" spans="7:14" x14ac:dyDescent="0.2">
      <c r="G1040" s="215"/>
      <c r="L1040" s="215"/>
      <c r="N1040" s="216"/>
    </row>
    <row r="1041" spans="7:14" x14ac:dyDescent="0.2">
      <c r="G1041" s="215"/>
      <c r="L1041" s="215"/>
      <c r="N1041" s="216"/>
    </row>
    <row r="1042" spans="7:14" x14ac:dyDescent="0.2">
      <c r="G1042" s="215"/>
      <c r="L1042" s="215"/>
      <c r="N1042" s="216"/>
    </row>
    <row r="1043" spans="7:14" x14ac:dyDescent="0.2">
      <c r="G1043" s="215"/>
      <c r="L1043" s="215"/>
      <c r="N1043" s="216"/>
    </row>
    <row r="1044" spans="7:14" x14ac:dyDescent="0.2">
      <c r="G1044" s="215"/>
      <c r="L1044" s="215"/>
      <c r="N1044" s="216"/>
    </row>
    <row r="1045" spans="7:14" x14ac:dyDescent="0.2">
      <c r="G1045" s="215"/>
      <c r="L1045" s="215"/>
      <c r="N1045" s="216"/>
    </row>
    <row r="1046" spans="7:14" x14ac:dyDescent="0.2">
      <c r="G1046" s="215"/>
      <c r="L1046" s="215"/>
      <c r="N1046" s="216"/>
    </row>
    <row r="1047" spans="7:14" x14ac:dyDescent="0.2">
      <c r="G1047" s="215"/>
      <c r="L1047" s="215"/>
      <c r="N1047" s="216"/>
    </row>
    <row r="1048" spans="7:14" x14ac:dyDescent="0.2">
      <c r="G1048" s="215"/>
      <c r="L1048" s="215"/>
      <c r="N1048" s="216"/>
    </row>
    <row r="1049" spans="7:14" x14ac:dyDescent="0.2">
      <c r="G1049" s="215"/>
      <c r="L1049" s="215"/>
      <c r="N1049" s="216"/>
    </row>
    <row r="1050" spans="7:14" x14ac:dyDescent="0.2">
      <c r="G1050" s="215"/>
      <c r="L1050" s="215"/>
      <c r="N1050" s="216"/>
    </row>
    <row r="1051" spans="7:14" x14ac:dyDescent="0.2">
      <c r="G1051" s="215"/>
      <c r="L1051" s="215"/>
      <c r="N1051" s="216"/>
    </row>
    <row r="1052" spans="7:14" x14ac:dyDescent="0.2">
      <c r="G1052" s="215"/>
      <c r="L1052" s="215"/>
      <c r="N1052" s="216"/>
    </row>
    <row r="1053" spans="7:14" x14ac:dyDescent="0.2">
      <c r="G1053" s="215"/>
      <c r="L1053" s="215"/>
      <c r="N1053" s="216"/>
    </row>
    <row r="1054" spans="7:14" x14ac:dyDescent="0.2">
      <c r="G1054" s="215"/>
      <c r="L1054" s="215"/>
      <c r="N1054" s="216"/>
    </row>
    <row r="1055" spans="7:14" x14ac:dyDescent="0.2">
      <c r="G1055" s="215"/>
      <c r="L1055" s="215"/>
      <c r="N1055" s="216"/>
    </row>
    <row r="1056" spans="7:14" x14ac:dyDescent="0.2">
      <c r="G1056" s="215"/>
      <c r="L1056" s="215"/>
      <c r="N1056" s="216"/>
    </row>
    <row r="1057" spans="7:14" x14ac:dyDescent="0.2">
      <c r="G1057" s="215"/>
      <c r="L1057" s="215"/>
      <c r="N1057" s="216"/>
    </row>
    <row r="1058" spans="7:14" x14ac:dyDescent="0.2">
      <c r="G1058" s="215"/>
      <c r="L1058" s="215"/>
      <c r="N1058" s="216"/>
    </row>
    <row r="1059" spans="7:14" x14ac:dyDescent="0.2">
      <c r="G1059" s="215"/>
      <c r="L1059" s="215"/>
      <c r="N1059" s="216"/>
    </row>
    <row r="1060" spans="7:14" x14ac:dyDescent="0.2">
      <c r="G1060" s="215"/>
      <c r="L1060" s="215"/>
      <c r="N1060" s="216"/>
    </row>
    <row r="1061" spans="7:14" x14ac:dyDescent="0.2">
      <c r="G1061" s="215"/>
      <c r="L1061" s="215"/>
      <c r="N1061" s="216"/>
    </row>
    <row r="1062" spans="7:14" x14ac:dyDescent="0.2">
      <c r="G1062" s="215"/>
      <c r="L1062" s="215"/>
      <c r="N1062" s="216"/>
    </row>
    <row r="1063" spans="7:14" x14ac:dyDescent="0.2">
      <c r="G1063" s="215"/>
      <c r="L1063" s="215"/>
      <c r="N1063" s="216"/>
    </row>
    <row r="1064" spans="7:14" x14ac:dyDescent="0.2">
      <c r="G1064" s="215"/>
      <c r="L1064" s="215"/>
      <c r="N1064" s="216"/>
    </row>
    <row r="1065" spans="7:14" x14ac:dyDescent="0.2">
      <c r="G1065" s="215"/>
      <c r="L1065" s="215"/>
      <c r="N1065" s="216"/>
    </row>
    <row r="1066" spans="7:14" x14ac:dyDescent="0.2">
      <c r="G1066" s="215"/>
      <c r="L1066" s="215"/>
      <c r="N1066" s="216"/>
    </row>
    <row r="1067" spans="7:14" x14ac:dyDescent="0.2">
      <c r="G1067" s="215"/>
      <c r="L1067" s="215"/>
      <c r="N1067" s="216"/>
    </row>
    <row r="1068" spans="7:14" x14ac:dyDescent="0.2">
      <c r="G1068" s="215"/>
      <c r="L1068" s="215"/>
      <c r="N1068" s="216"/>
    </row>
    <row r="1069" spans="7:14" x14ac:dyDescent="0.2">
      <c r="G1069" s="215"/>
      <c r="L1069" s="215"/>
      <c r="N1069" s="216"/>
    </row>
    <row r="1070" spans="7:14" x14ac:dyDescent="0.2">
      <c r="G1070" s="215"/>
      <c r="L1070" s="215"/>
      <c r="N1070" s="216"/>
    </row>
    <row r="1071" spans="7:14" x14ac:dyDescent="0.2">
      <c r="G1071" s="215"/>
      <c r="L1071" s="215"/>
      <c r="N1071" s="216"/>
    </row>
    <row r="1072" spans="7:14" x14ac:dyDescent="0.2">
      <c r="G1072" s="215"/>
      <c r="L1072" s="215"/>
      <c r="N1072" s="216"/>
    </row>
    <row r="1073" spans="7:14" x14ac:dyDescent="0.2">
      <c r="G1073" s="215"/>
      <c r="L1073" s="215"/>
      <c r="N1073" s="216"/>
    </row>
    <row r="1074" spans="7:14" x14ac:dyDescent="0.2">
      <c r="G1074" s="215"/>
      <c r="L1074" s="215"/>
      <c r="N1074" s="216"/>
    </row>
    <row r="1075" spans="7:14" x14ac:dyDescent="0.2">
      <c r="G1075" s="215"/>
      <c r="L1075" s="215"/>
      <c r="N1075" s="216"/>
    </row>
    <row r="1076" spans="7:14" x14ac:dyDescent="0.2">
      <c r="G1076" s="215"/>
      <c r="L1076" s="215"/>
      <c r="N1076" s="216"/>
    </row>
    <row r="1077" spans="7:14" x14ac:dyDescent="0.2">
      <c r="G1077" s="215"/>
      <c r="L1077" s="215"/>
      <c r="N1077" s="216"/>
    </row>
    <row r="1078" spans="7:14" x14ac:dyDescent="0.2">
      <c r="G1078" s="215"/>
      <c r="L1078" s="215"/>
      <c r="N1078" s="216"/>
    </row>
    <row r="1079" spans="7:14" x14ac:dyDescent="0.2">
      <c r="G1079" s="215"/>
      <c r="L1079" s="215"/>
      <c r="N1079" s="216"/>
    </row>
    <row r="1080" spans="7:14" x14ac:dyDescent="0.2">
      <c r="G1080" s="215"/>
      <c r="L1080" s="215"/>
      <c r="N1080" s="216"/>
    </row>
    <row r="1081" spans="7:14" x14ac:dyDescent="0.2">
      <c r="G1081" s="215"/>
      <c r="L1081" s="215"/>
      <c r="N1081" s="216"/>
    </row>
    <row r="1082" spans="7:14" x14ac:dyDescent="0.2">
      <c r="G1082" s="215"/>
      <c r="L1082" s="215"/>
      <c r="N1082" s="216"/>
    </row>
    <row r="1083" spans="7:14" x14ac:dyDescent="0.2">
      <c r="G1083" s="215"/>
      <c r="L1083" s="215"/>
      <c r="N1083" s="216"/>
    </row>
    <row r="1084" spans="7:14" x14ac:dyDescent="0.2">
      <c r="G1084" s="215"/>
      <c r="L1084" s="215"/>
      <c r="N1084" s="216"/>
    </row>
    <row r="1085" spans="7:14" x14ac:dyDescent="0.2">
      <c r="G1085" s="215"/>
      <c r="L1085" s="215"/>
      <c r="N1085" s="216"/>
    </row>
    <row r="1086" spans="7:14" x14ac:dyDescent="0.2">
      <c r="G1086" s="215"/>
      <c r="L1086" s="215"/>
      <c r="N1086" s="216"/>
    </row>
    <row r="1087" spans="7:14" x14ac:dyDescent="0.2">
      <c r="G1087" s="215"/>
      <c r="L1087" s="215"/>
      <c r="N1087" s="216"/>
    </row>
    <row r="1088" spans="7:14" x14ac:dyDescent="0.2">
      <c r="G1088" s="215"/>
      <c r="L1088" s="215"/>
      <c r="N1088" s="216"/>
    </row>
    <row r="1089" spans="7:14" x14ac:dyDescent="0.2">
      <c r="G1089" s="215"/>
      <c r="L1089" s="215"/>
      <c r="N1089" s="216"/>
    </row>
    <row r="1090" spans="7:14" x14ac:dyDescent="0.2">
      <c r="G1090" s="215"/>
      <c r="L1090" s="215"/>
      <c r="N1090" s="216"/>
    </row>
    <row r="1091" spans="7:14" x14ac:dyDescent="0.2">
      <c r="G1091" s="215"/>
      <c r="L1091" s="215"/>
      <c r="N1091" s="216"/>
    </row>
    <row r="1092" spans="7:14" x14ac:dyDescent="0.2">
      <c r="G1092" s="215"/>
      <c r="L1092" s="215"/>
      <c r="N1092" s="216"/>
    </row>
    <row r="1093" spans="7:14" x14ac:dyDescent="0.2">
      <c r="G1093" s="215"/>
      <c r="L1093" s="215"/>
      <c r="N1093" s="216"/>
    </row>
    <row r="1094" spans="7:14" x14ac:dyDescent="0.2">
      <c r="G1094" s="215"/>
      <c r="L1094" s="215"/>
      <c r="N1094" s="216"/>
    </row>
    <row r="1095" spans="7:14" x14ac:dyDescent="0.2">
      <c r="G1095" s="215"/>
      <c r="L1095" s="215"/>
      <c r="N1095" s="216"/>
    </row>
    <row r="1096" spans="7:14" x14ac:dyDescent="0.2">
      <c r="G1096" s="215"/>
      <c r="L1096" s="215"/>
      <c r="N1096" s="216"/>
    </row>
    <row r="1097" spans="7:14" x14ac:dyDescent="0.2">
      <c r="G1097" s="215"/>
      <c r="L1097" s="215"/>
      <c r="N1097" s="216"/>
    </row>
    <row r="1098" spans="7:14" x14ac:dyDescent="0.2">
      <c r="G1098" s="215"/>
      <c r="L1098" s="215"/>
      <c r="N1098" s="216"/>
    </row>
    <row r="1099" spans="7:14" x14ac:dyDescent="0.2">
      <c r="G1099" s="215"/>
      <c r="L1099" s="215"/>
      <c r="N1099" s="216"/>
    </row>
    <row r="1100" spans="7:14" x14ac:dyDescent="0.2">
      <c r="G1100" s="215"/>
      <c r="L1100" s="215"/>
      <c r="N1100" s="216"/>
    </row>
    <row r="1101" spans="7:14" x14ac:dyDescent="0.2">
      <c r="G1101" s="215"/>
      <c r="L1101" s="215"/>
      <c r="N1101" s="216"/>
    </row>
    <row r="1102" spans="7:14" x14ac:dyDescent="0.2">
      <c r="G1102" s="215"/>
      <c r="L1102" s="215"/>
      <c r="N1102" s="216"/>
    </row>
    <row r="1103" spans="7:14" x14ac:dyDescent="0.2">
      <c r="G1103" s="215"/>
      <c r="L1103" s="215"/>
      <c r="N1103" s="216"/>
    </row>
    <row r="1104" spans="7:14" x14ac:dyDescent="0.2">
      <c r="G1104" s="215"/>
      <c r="L1104" s="215"/>
      <c r="N1104" s="216"/>
    </row>
    <row r="1105" spans="7:14" x14ac:dyDescent="0.2">
      <c r="G1105" s="215"/>
      <c r="L1105" s="215"/>
      <c r="N1105" s="216"/>
    </row>
    <row r="1106" spans="7:14" x14ac:dyDescent="0.2">
      <c r="G1106" s="215"/>
      <c r="L1106" s="215"/>
      <c r="N1106" s="216"/>
    </row>
    <row r="1107" spans="7:14" x14ac:dyDescent="0.2">
      <c r="G1107" s="215"/>
      <c r="L1107" s="215"/>
      <c r="N1107" s="216"/>
    </row>
    <row r="1108" spans="7:14" x14ac:dyDescent="0.2">
      <c r="G1108" s="215"/>
      <c r="L1108" s="215"/>
      <c r="N1108" s="216"/>
    </row>
    <row r="1109" spans="7:14" x14ac:dyDescent="0.2">
      <c r="G1109" s="215"/>
      <c r="L1109" s="215"/>
      <c r="N1109" s="216"/>
    </row>
    <row r="1110" spans="7:14" x14ac:dyDescent="0.2">
      <c r="G1110" s="215"/>
      <c r="L1110" s="215"/>
      <c r="N1110" s="216"/>
    </row>
    <row r="1111" spans="7:14" x14ac:dyDescent="0.2">
      <c r="G1111" s="215"/>
      <c r="L1111" s="215"/>
      <c r="N1111" s="216"/>
    </row>
    <row r="1112" spans="7:14" x14ac:dyDescent="0.2">
      <c r="G1112" s="215"/>
      <c r="L1112" s="215"/>
      <c r="N1112" s="216"/>
    </row>
    <row r="1113" spans="7:14" x14ac:dyDescent="0.2">
      <c r="G1113" s="215"/>
      <c r="L1113" s="215"/>
      <c r="N1113" s="216"/>
    </row>
    <row r="1114" spans="7:14" x14ac:dyDescent="0.2">
      <c r="G1114" s="215"/>
      <c r="L1114" s="215"/>
      <c r="N1114" s="216"/>
    </row>
    <row r="1115" spans="7:14" x14ac:dyDescent="0.2">
      <c r="G1115" s="215"/>
      <c r="L1115" s="215"/>
      <c r="N1115" s="216"/>
    </row>
    <row r="1116" spans="7:14" x14ac:dyDescent="0.2">
      <c r="G1116" s="215"/>
      <c r="L1116" s="215"/>
      <c r="N1116" s="216"/>
    </row>
    <row r="1117" spans="7:14" x14ac:dyDescent="0.2">
      <c r="G1117" s="215"/>
      <c r="L1117" s="215"/>
      <c r="N1117" s="216"/>
    </row>
    <row r="1118" spans="7:14" x14ac:dyDescent="0.2">
      <c r="G1118" s="215"/>
      <c r="L1118" s="215"/>
      <c r="N1118" s="216"/>
    </row>
    <row r="1119" spans="7:14" x14ac:dyDescent="0.2">
      <c r="G1119" s="215"/>
      <c r="L1119" s="215"/>
      <c r="N1119" s="216"/>
    </row>
    <row r="1120" spans="7:14" x14ac:dyDescent="0.2">
      <c r="G1120" s="215"/>
      <c r="L1120" s="215"/>
      <c r="N1120" s="216"/>
    </row>
    <row r="1121" spans="7:14" x14ac:dyDescent="0.2">
      <c r="G1121" s="215"/>
      <c r="L1121" s="215"/>
      <c r="N1121" s="216"/>
    </row>
    <row r="1122" spans="7:14" x14ac:dyDescent="0.2">
      <c r="G1122" s="215"/>
      <c r="L1122" s="215"/>
      <c r="N1122" s="216"/>
    </row>
    <row r="1123" spans="7:14" x14ac:dyDescent="0.2">
      <c r="G1123" s="215"/>
      <c r="L1123" s="215"/>
      <c r="N1123" s="216"/>
    </row>
    <row r="1124" spans="7:14" x14ac:dyDescent="0.2">
      <c r="G1124" s="215"/>
      <c r="L1124" s="215"/>
      <c r="N1124" s="216"/>
    </row>
    <row r="1125" spans="7:14" x14ac:dyDescent="0.2">
      <c r="G1125" s="215"/>
      <c r="L1125" s="215"/>
      <c r="N1125" s="216"/>
    </row>
    <row r="1126" spans="7:14" x14ac:dyDescent="0.2">
      <c r="G1126" s="215"/>
      <c r="L1126" s="215"/>
      <c r="N1126" s="216"/>
    </row>
    <row r="1127" spans="7:14" x14ac:dyDescent="0.2">
      <c r="G1127" s="215"/>
      <c r="L1127" s="215"/>
      <c r="N1127" s="216"/>
    </row>
    <row r="1128" spans="7:14" x14ac:dyDescent="0.2">
      <c r="G1128" s="215"/>
      <c r="L1128" s="215"/>
      <c r="N1128" s="216"/>
    </row>
    <row r="1129" spans="7:14" x14ac:dyDescent="0.2">
      <c r="G1129" s="215"/>
      <c r="L1129" s="215"/>
      <c r="N1129" s="216"/>
    </row>
    <row r="1130" spans="7:14" x14ac:dyDescent="0.2">
      <c r="G1130" s="215"/>
      <c r="L1130" s="215"/>
      <c r="N1130" s="216"/>
    </row>
    <row r="1131" spans="7:14" x14ac:dyDescent="0.2">
      <c r="G1131" s="215"/>
      <c r="L1131" s="215"/>
      <c r="N1131" s="216"/>
    </row>
    <row r="1132" spans="7:14" x14ac:dyDescent="0.2">
      <c r="G1132" s="215"/>
      <c r="L1132" s="215"/>
      <c r="N1132" s="216"/>
    </row>
    <row r="1133" spans="7:14" x14ac:dyDescent="0.2">
      <c r="G1133" s="215"/>
      <c r="L1133" s="215"/>
      <c r="N1133" s="216"/>
    </row>
    <row r="1134" spans="7:14" x14ac:dyDescent="0.2">
      <c r="G1134" s="215"/>
      <c r="L1134" s="215"/>
      <c r="N1134" s="216"/>
    </row>
    <row r="1135" spans="7:14" x14ac:dyDescent="0.2">
      <c r="G1135" s="215"/>
      <c r="L1135" s="215"/>
      <c r="N1135" s="216"/>
    </row>
    <row r="1136" spans="7:14" x14ac:dyDescent="0.2">
      <c r="G1136" s="215"/>
      <c r="L1136" s="215"/>
      <c r="N1136" s="216"/>
    </row>
    <row r="1137" spans="7:14" x14ac:dyDescent="0.2">
      <c r="G1137" s="215"/>
      <c r="L1137" s="215"/>
      <c r="N1137" s="216"/>
    </row>
    <row r="1138" spans="7:14" x14ac:dyDescent="0.2">
      <c r="G1138" s="215"/>
      <c r="L1138" s="215"/>
      <c r="N1138" s="216"/>
    </row>
    <row r="1139" spans="7:14" x14ac:dyDescent="0.2">
      <c r="G1139" s="215"/>
      <c r="L1139" s="215"/>
      <c r="N1139" s="216"/>
    </row>
    <row r="1140" spans="7:14" x14ac:dyDescent="0.2">
      <c r="G1140" s="215"/>
      <c r="L1140" s="215"/>
      <c r="N1140" s="216"/>
    </row>
    <row r="1141" spans="7:14" x14ac:dyDescent="0.2">
      <c r="G1141" s="215"/>
      <c r="L1141" s="215"/>
      <c r="N1141" s="216"/>
    </row>
    <row r="1142" spans="7:14" x14ac:dyDescent="0.2">
      <c r="G1142" s="215"/>
      <c r="L1142" s="215"/>
      <c r="N1142" s="216"/>
    </row>
    <row r="1143" spans="7:14" x14ac:dyDescent="0.2">
      <c r="G1143" s="215"/>
      <c r="L1143" s="215"/>
      <c r="N1143" s="216"/>
    </row>
    <row r="1144" spans="7:14" x14ac:dyDescent="0.2">
      <c r="G1144" s="215"/>
      <c r="L1144" s="215"/>
      <c r="N1144" s="216"/>
    </row>
    <row r="1145" spans="7:14" x14ac:dyDescent="0.2">
      <c r="G1145" s="215"/>
      <c r="L1145" s="215"/>
      <c r="N1145" s="216"/>
    </row>
    <row r="1146" spans="7:14" x14ac:dyDescent="0.2">
      <c r="G1146" s="215"/>
      <c r="L1146" s="215"/>
      <c r="N1146" s="216"/>
    </row>
    <row r="1147" spans="7:14" x14ac:dyDescent="0.2">
      <c r="G1147" s="215"/>
      <c r="L1147" s="215"/>
      <c r="N1147" s="216"/>
    </row>
    <row r="1148" spans="7:14" x14ac:dyDescent="0.2">
      <c r="G1148" s="215"/>
      <c r="L1148" s="215"/>
      <c r="N1148" s="216"/>
    </row>
    <row r="1149" spans="7:14" x14ac:dyDescent="0.2">
      <c r="G1149" s="215"/>
      <c r="L1149" s="215"/>
      <c r="N1149" s="216"/>
    </row>
    <row r="1150" spans="7:14" x14ac:dyDescent="0.2">
      <c r="G1150" s="215"/>
      <c r="L1150" s="215"/>
      <c r="N1150" s="216"/>
    </row>
    <row r="1151" spans="7:14" x14ac:dyDescent="0.2">
      <c r="G1151" s="215"/>
      <c r="L1151" s="215"/>
      <c r="N1151" s="216"/>
    </row>
    <row r="1152" spans="7:14" x14ac:dyDescent="0.2">
      <c r="G1152" s="215"/>
      <c r="L1152" s="215"/>
      <c r="N1152" s="216"/>
    </row>
    <row r="1153" spans="7:14" x14ac:dyDescent="0.2">
      <c r="G1153" s="215"/>
      <c r="L1153" s="215"/>
      <c r="N1153" s="216"/>
    </row>
    <row r="1154" spans="7:14" x14ac:dyDescent="0.2">
      <c r="G1154" s="215"/>
      <c r="L1154" s="215"/>
      <c r="N1154" s="216"/>
    </row>
    <row r="1155" spans="7:14" x14ac:dyDescent="0.2">
      <c r="G1155" s="215"/>
      <c r="L1155" s="215"/>
      <c r="N1155" s="216"/>
    </row>
    <row r="1156" spans="7:14" x14ac:dyDescent="0.2">
      <c r="G1156" s="215"/>
      <c r="L1156" s="215"/>
      <c r="N1156" s="216"/>
    </row>
    <row r="1157" spans="7:14" x14ac:dyDescent="0.2">
      <c r="G1157" s="215"/>
      <c r="L1157" s="215"/>
      <c r="N1157" s="216"/>
    </row>
    <row r="1158" spans="7:14" x14ac:dyDescent="0.2">
      <c r="G1158" s="215"/>
      <c r="L1158" s="215"/>
      <c r="N1158" s="216"/>
    </row>
    <row r="1159" spans="7:14" x14ac:dyDescent="0.2">
      <c r="G1159" s="215"/>
      <c r="L1159" s="215"/>
      <c r="N1159" s="216"/>
    </row>
    <row r="1160" spans="7:14" x14ac:dyDescent="0.2">
      <c r="G1160" s="215"/>
      <c r="L1160" s="215"/>
      <c r="N1160" s="216"/>
    </row>
    <row r="1161" spans="7:14" x14ac:dyDescent="0.2">
      <c r="G1161" s="215"/>
      <c r="L1161" s="215"/>
      <c r="N1161" s="216"/>
    </row>
    <row r="1162" spans="7:14" x14ac:dyDescent="0.2">
      <c r="G1162" s="215"/>
      <c r="L1162" s="215"/>
      <c r="N1162" s="216"/>
    </row>
    <row r="1163" spans="7:14" x14ac:dyDescent="0.2">
      <c r="G1163" s="215"/>
      <c r="L1163" s="215"/>
      <c r="N1163" s="216"/>
    </row>
    <row r="1164" spans="7:14" x14ac:dyDescent="0.2">
      <c r="G1164" s="215"/>
      <c r="L1164" s="215"/>
      <c r="N1164" s="216"/>
    </row>
    <row r="1165" spans="7:14" x14ac:dyDescent="0.2">
      <c r="G1165" s="215"/>
      <c r="L1165" s="215"/>
      <c r="N1165" s="216"/>
    </row>
    <row r="1166" spans="7:14" x14ac:dyDescent="0.2">
      <c r="G1166" s="215"/>
      <c r="L1166" s="215"/>
      <c r="N1166" s="216"/>
    </row>
    <row r="1167" spans="7:14" x14ac:dyDescent="0.2">
      <c r="G1167" s="215"/>
      <c r="L1167" s="215"/>
      <c r="N1167" s="216"/>
    </row>
    <row r="1168" spans="7:14" x14ac:dyDescent="0.2">
      <c r="G1168" s="215"/>
      <c r="L1168" s="215"/>
      <c r="N1168" s="216"/>
    </row>
    <row r="1169" spans="7:14" x14ac:dyDescent="0.2">
      <c r="G1169" s="215"/>
      <c r="L1169" s="215"/>
      <c r="N1169" s="216"/>
    </row>
    <row r="1170" spans="7:14" x14ac:dyDescent="0.2">
      <c r="G1170" s="215"/>
      <c r="L1170" s="215"/>
      <c r="N1170" s="216"/>
    </row>
    <row r="1171" spans="7:14" x14ac:dyDescent="0.2">
      <c r="G1171" s="215"/>
      <c r="L1171" s="215"/>
      <c r="N1171" s="216"/>
    </row>
  </sheetData>
  <mergeCells count="2">
    <mergeCell ref="A1:N1"/>
    <mergeCell ref="A353:L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Hung Nguyen Phuc</cp:lastModifiedBy>
  <dcterms:created xsi:type="dcterms:W3CDTF">2026-07-15T01:04:16Z</dcterms:created>
  <dcterms:modified xsi:type="dcterms:W3CDTF">2026-07-17T02:15:11Z</dcterms:modified>
</cp:coreProperties>
</file>