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ungnguyen09/Downloads/"/>
    </mc:Choice>
  </mc:AlternateContent>
  <xr:revisionPtr revIDLastSave="0" documentId="13_ncr:1_{9BF3F1F0-92BA-A14A-B0DE-DFD1698156E2}" xr6:coauthVersionLast="47" xr6:coauthVersionMax="47" xr10:uidLastSave="{00000000-0000-0000-0000-000000000000}"/>
  <bookViews>
    <workbookView xWindow="37100" yWindow="3980" windowWidth="28800" windowHeight="16440" activeTab="2" xr2:uid="{00000000-000D-0000-FFFF-FFFF00000000}"/>
  </bookViews>
  <sheets>
    <sheet name="xe" sheetId="1" r:id="rId1"/>
    <sheet name="ma" sheetId="2" r:id="rId2"/>
    <sheet name="XE NHỎ" sheetId="3" r:id="rId3"/>
    <sheet name="XE LỚN" sheetId="4" r:id="rId4"/>
    <sheet name="TRUNG CHUYỂN" sheetId="5" r:id="rId5"/>
    <sheet name="50H-88294" sheetId="6" r:id="rId6"/>
    <sheet name="50H-74619" sheetId="7" r:id="rId7"/>
    <sheet name="50H-87442" sheetId="8" r:id="rId8"/>
  </sheets>
  <externalReferences>
    <externalReference r:id="rId9"/>
  </externalReferences>
  <definedNames>
    <definedName name="_xlnm._FilterDatabase" localSheetId="1" hidden="1">ma!$A$1:$C$87</definedName>
    <definedName name="_xlnm._FilterDatabase" localSheetId="4" hidden="1">'TRUNG CHUYỂN'!$A$5:$P$116</definedName>
    <definedName name="_xlnm._FilterDatabase" localSheetId="3" hidden="1">'XE LỚN'!$A$5:$P$255</definedName>
    <definedName name="_xlnm._FilterDatabase" localSheetId="2" hidden="1">'XE NHỎ'!$B$7:$Q$949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3" l="1"/>
  <c r="L8" i="3"/>
  <c r="F8" i="3"/>
  <c r="E8" i="3"/>
  <c r="J55" i="8"/>
  <c r="T38" i="8"/>
  <c r="P38" i="8"/>
  <c r="I38" i="8"/>
  <c r="G38" i="8"/>
  <c r="T37" i="8"/>
  <c r="M37" i="8"/>
  <c r="L37" i="8"/>
  <c r="D37" i="8"/>
  <c r="T36" i="8"/>
  <c r="M36" i="8"/>
  <c r="L36" i="8"/>
  <c r="D36" i="8"/>
  <c r="T35" i="8"/>
  <c r="M35" i="8"/>
  <c r="L35" i="8"/>
  <c r="D35" i="8"/>
  <c r="T34" i="8"/>
  <c r="M34" i="8"/>
  <c r="L34" i="8"/>
  <c r="D34" i="8"/>
  <c r="T33" i="8"/>
  <c r="M33" i="8"/>
  <c r="L33" i="8"/>
  <c r="D33" i="8"/>
  <c r="T32" i="8"/>
  <c r="M32" i="8"/>
  <c r="L32" i="8"/>
  <c r="D32" i="8"/>
  <c r="T31" i="8"/>
  <c r="M31" i="8"/>
  <c r="L31" i="8"/>
  <c r="D31" i="8"/>
  <c r="T30" i="8"/>
  <c r="M30" i="8"/>
  <c r="L30" i="8"/>
  <c r="D30" i="8"/>
  <c r="T29" i="8"/>
  <c r="M29" i="8"/>
  <c r="L29" i="8"/>
  <c r="D29" i="8"/>
  <c r="M28" i="8"/>
  <c r="L28" i="8"/>
  <c r="D28" i="8"/>
  <c r="T27" i="8"/>
  <c r="M27" i="8"/>
  <c r="L27" i="8"/>
  <c r="D27" i="8"/>
  <c r="T26" i="8"/>
  <c r="M26" i="8"/>
  <c r="L26" i="8"/>
  <c r="D26" i="8"/>
  <c r="T25" i="8"/>
  <c r="M25" i="8"/>
  <c r="L25" i="8"/>
  <c r="D25" i="8"/>
  <c r="T24" i="8"/>
  <c r="M24" i="8"/>
  <c r="L24" i="8"/>
  <c r="D24" i="8"/>
  <c r="T23" i="8"/>
  <c r="M23" i="8"/>
  <c r="L23" i="8"/>
  <c r="D23" i="8"/>
  <c r="T22" i="8"/>
  <c r="M22" i="8"/>
  <c r="L22" i="8"/>
  <c r="D22" i="8"/>
  <c r="T21" i="8"/>
  <c r="M21" i="8"/>
  <c r="L21" i="8"/>
  <c r="D21" i="8"/>
  <c r="T20" i="8"/>
  <c r="M20" i="8"/>
  <c r="L20" i="8"/>
  <c r="D20" i="8"/>
  <c r="T19" i="8"/>
  <c r="M19" i="8"/>
  <c r="L19" i="8"/>
  <c r="D19" i="8"/>
  <c r="T18" i="8"/>
  <c r="M18" i="8"/>
  <c r="L18" i="8"/>
  <c r="D18" i="8"/>
  <c r="M17" i="8"/>
  <c r="L17" i="8"/>
  <c r="D17" i="8"/>
  <c r="T16" i="8"/>
  <c r="M16" i="8"/>
  <c r="L16" i="8"/>
  <c r="D16" i="8"/>
  <c r="T15" i="8"/>
  <c r="M15" i="8"/>
  <c r="L15" i="8"/>
  <c r="D15" i="8"/>
  <c r="T14" i="8"/>
  <c r="M14" i="8"/>
  <c r="L14" i="8"/>
  <c r="D14" i="8"/>
  <c r="T13" i="8"/>
  <c r="M13" i="8"/>
  <c r="L13" i="8"/>
  <c r="D13" i="8"/>
  <c r="T12" i="8"/>
  <c r="M12" i="8"/>
  <c r="L12" i="8"/>
  <c r="D12" i="8"/>
  <c r="T11" i="8"/>
  <c r="M11" i="8"/>
  <c r="L11" i="8"/>
  <c r="D11" i="8"/>
  <c r="T10" i="8"/>
  <c r="M10" i="8"/>
  <c r="L10" i="8"/>
  <c r="D10" i="8"/>
  <c r="M9" i="8"/>
  <c r="L9" i="8"/>
  <c r="D9" i="8"/>
  <c r="T8" i="8"/>
  <c r="M8" i="8"/>
  <c r="L8" i="8"/>
  <c r="D8" i="8"/>
  <c r="T7" i="8"/>
  <c r="M7" i="8"/>
  <c r="L7" i="8"/>
  <c r="D7" i="8"/>
  <c r="M6" i="8"/>
  <c r="L6" i="8"/>
  <c r="D6" i="8"/>
  <c r="J58" i="7"/>
  <c r="I43" i="7"/>
  <c r="G43" i="7"/>
  <c r="M42" i="7"/>
  <c r="L42" i="7"/>
  <c r="D42" i="7"/>
  <c r="M41" i="7"/>
  <c r="L41" i="7"/>
  <c r="D41" i="7"/>
  <c r="M40" i="7"/>
  <c r="L40" i="7"/>
  <c r="D40" i="7"/>
  <c r="M39" i="7"/>
  <c r="L39" i="7"/>
  <c r="D39" i="7"/>
  <c r="P38" i="7"/>
  <c r="M38" i="7"/>
  <c r="L38" i="7"/>
  <c r="D38" i="7"/>
  <c r="M37" i="7"/>
  <c r="L37" i="7"/>
  <c r="D37" i="7"/>
  <c r="M36" i="7"/>
  <c r="L36" i="7"/>
  <c r="D36" i="7"/>
  <c r="M35" i="7"/>
  <c r="L35" i="7"/>
  <c r="D35" i="7"/>
  <c r="M34" i="7"/>
  <c r="L34" i="7"/>
  <c r="D34" i="7"/>
  <c r="M33" i="7"/>
  <c r="L33" i="7"/>
  <c r="D33" i="7"/>
  <c r="M32" i="7"/>
  <c r="L32" i="7"/>
  <c r="D32" i="7"/>
  <c r="M31" i="7"/>
  <c r="L31" i="7"/>
  <c r="D31" i="7"/>
  <c r="M30" i="7"/>
  <c r="L30" i="7"/>
  <c r="D30" i="7"/>
  <c r="M29" i="7"/>
  <c r="L29" i="7"/>
  <c r="D29" i="7"/>
  <c r="M28" i="7"/>
  <c r="L28" i="7"/>
  <c r="D28" i="7"/>
  <c r="M27" i="7"/>
  <c r="L27" i="7"/>
  <c r="D27" i="7"/>
  <c r="M26" i="7"/>
  <c r="L26" i="7"/>
  <c r="D26" i="7"/>
  <c r="M25" i="7"/>
  <c r="L25" i="7"/>
  <c r="D25" i="7"/>
  <c r="M24" i="7"/>
  <c r="L24" i="7"/>
  <c r="D24" i="7"/>
  <c r="M23" i="7"/>
  <c r="L23" i="7"/>
  <c r="D23" i="7"/>
  <c r="M22" i="7"/>
  <c r="L22" i="7"/>
  <c r="D22" i="7"/>
  <c r="M21" i="7"/>
  <c r="L21" i="7"/>
  <c r="D21" i="7"/>
  <c r="M20" i="7"/>
  <c r="L20" i="7"/>
  <c r="D20" i="7"/>
  <c r="M19" i="7"/>
  <c r="L19" i="7"/>
  <c r="D19" i="7"/>
  <c r="M18" i="7"/>
  <c r="L18" i="7"/>
  <c r="D18" i="7"/>
  <c r="M17" i="7"/>
  <c r="L17" i="7"/>
  <c r="D17" i="7"/>
  <c r="M16" i="7"/>
  <c r="L16" i="7"/>
  <c r="D16" i="7"/>
  <c r="M15" i="7"/>
  <c r="L15" i="7"/>
  <c r="D15" i="7"/>
  <c r="M14" i="7"/>
  <c r="L14" i="7"/>
  <c r="D14" i="7"/>
  <c r="M13" i="7"/>
  <c r="L13" i="7"/>
  <c r="D13" i="7"/>
  <c r="M12" i="7"/>
  <c r="L12" i="7"/>
  <c r="D12" i="7"/>
  <c r="M11" i="7"/>
  <c r="L11" i="7"/>
  <c r="D11" i="7"/>
  <c r="M10" i="7"/>
  <c r="L10" i="7"/>
  <c r="D10" i="7"/>
  <c r="M9" i="7"/>
  <c r="L9" i="7"/>
  <c r="D9" i="7"/>
  <c r="M8" i="7"/>
  <c r="L8" i="7"/>
  <c r="D8" i="7"/>
  <c r="M7" i="7"/>
  <c r="L7" i="7"/>
  <c r="D7" i="7"/>
  <c r="M6" i="7"/>
  <c r="L6" i="7"/>
  <c r="D6" i="7"/>
  <c r="J64" i="6"/>
  <c r="S61" i="6"/>
  <c r="I49" i="6"/>
  <c r="G49" i="6"/>
  <c r="M48" i="6"/>
  <c r="L48" i="6"/>
  <c r="D48" i="6"/>
  <c r="M47" i="6"/>
  <c r="L47" i="6"/>
  <c r="D47" i="6"/>
  <c r="M46" i="6"/>
  <c r="L46" i="6"/>
  <c r="D46" i="6"/>
  <c r="M45" i="6"/>
  <c r="L45" i="6"/>
  <c r="D45" i="6"/>
  <c r="M44" i="6"/>
  <c r="L44" i="6"/>
  <c r="D44" i="6"/>
  <c r="M43" i="6"/>
  <c r="L43" i="6"/>
  <c r="D43" i="6"/>
  <c r="M42" i="6"/>
  <c r="L42" i="6"/>
  <c r="D42" i="6"/>
  <c r="M41" i="6"/>
  <c r="L41" i="6"/>
  <c r="D41" i="6"/>
  <c r="M40" i="6"/>
  <c r="L40" i="6"/>
  <c r="D40" i="6"/>
  <c r="M39" i="6"/>
  <c r="L39" i="6"/>
  <c r="D39" i="6"/>
  <c r="M38" i="6"/>
  <c r="L38" i="6"/>
  <c r="D38" i="6"/>
  <c r="M37" i="6"/>
  <c r="L37" i="6"/>
  <c r="D37" i="6"/>
  <c r="M36" i="6"/>
  <c r="L36" i="6"/>
  <c r="D36" i="6"/>
  <c r="M35" i="6"/>
  <c r="L35" i="6"/>
  <c r="D35" i="6"/>
  <c r="M34" i="6"/>
  <c r="L34" i="6"/>
  <c r="D34" i="6"/>
  <c r="M33" i="6"/>
  <c r="L33" i="6"/>
  <c r="D33" i="6"/>
  <c r="M32" i="6"/>
  <c r="L32" i="6"/>
  <c r="D32" i="6"/>
  <c r="M31" i="6"/>
  <c r="L31" i="6"/>
  <c r="D31" i="6"/>
  <c r="M30" i="6"/>
  <c r="L30" i="6"/>
  <c r="D30" i="6"/>
  <c r="M29" i="6"/>
  <c r="L29" i="6"/>
  <c r="D29" i="6"/>
  <c r="M28" i="6"/>
  <c r="L28" i="6"/>
  <c r="D28" i="6"/>
  <c r="M27" i="6"/>
  <c r="L27" i="6"/>
  <c r="D27" i="6"/>
  <c r="M26" i="6"/>
  <c r="L26" i="6"/>
  <c r="D26" i="6"/>
  <c r="M25" i="6"/>
  <c r="L25" i="6"/>
  <c r="D25" i="6"/>
  <c r="M24" i="6"/>
  <c r="L24" i="6"/>
  <c r="D24" i="6"/>
  <c r="M23" i="6"/>
  <c r="L23" i="6"/>
  <c r="D23" i="6"/>
  <c r="M22" i="6"/>
  <c r="L22" i="6"/>
  <c r="D22" i="6"/>
  <c r="M21" i="6"/>
  <c r="L21" i="6"/>
  <c r="D21" i="6"/>
  <c r="M20" i="6"/>
  <c r="L20" i="6"/>
  <c r="D20" i="6"/>
  <c r="M19" i="6"/>
  <c r="L19" i="6"/>
  <c r="D19" i="6"/>
  <c r="M18" i="6"/>
  <c r="L18" i="6"/>
  <c r="D18" i="6"/>
  <c r="M17" i="6"/>
  <c r="L17" i="6"/>
  <c r="D17" i="6"/>
  <c r="M16" i="6"/>
  <c r="L16" i="6"/>
  <c r="D16" i="6"/>
  <c r="P15" i="6"/>
  <c r="M15" i="6"/>
  <c r="L15" i="6"/>
  <c r="D15" i="6"/>
  <c r="M14" i="6"/>
  <c r="L14" i="6"/>
  <c r="D14" i="6"/>
  <c r="M13" i="6"/>
  <c r="L13" i="6"/>
  <c r="D13" i="6"/>
  <c r="M12" i="6"/>
  <c r="L12" i="6"/>
  <c r="D12" i="6"/>
  <c r="M11" i="6"/>
  <c r="L11" i="6"/>
  <c r="D11" i="6"/>
  <c r="M10" i="6"/>
  <c r="L10" i="6"/>
  <c r="D10" i="6"/>
  <c r="M9" i="6"/>
  <c r="L9" i="6"/>
  <c r="D9" i="6"/>
  <c r="M8" i="6"/>
  <c r="L8" i="6"/>
  <c r="D8" i="6"/>
  <c r="M7" i="6"/>
  <c r="L7" i="6"/>
  <c r="D7" i="6"/>
  <c r="M6" i="6"/>
  <c r="L6" i="6"/>
  <c r="D6" i="6"/>
  <c r="U127" i="5"/>
  <c r="M116" i="5"/>
  <c r="K116" i="5"/>
  <c r="I116" i="5"/>
  <c r="P115" i="5"/>
  <c r="N115" i="5"/>
  <c r="F115" i="5"/>
  <c r="E115" i="5"/>
  <c r="P114" i="5"/>
  <c r="N114" i="5"/>
  <c r="F114" i="5"/>
  <c r="E114" i="5"/>
  <c r="N113" i="5"/>
  <c r="F113" i="5"/>
  <c r="E113" i="5"/>
  <c r="N112" i="5"/>
  <c r="F112" i="5"/>
  <c r="E112" i="5"/>
  <c r="P111" i="5"/>
  <c r="N111" i="5"/>
  <c r="F111" i="5"/>
  <c r="E111" i="5"/>
  <c r="P110" i="5"/>
  <c r="N110" i="5"/>
  <c r="F110" i="5"/>
  <c r="E110" i="5"/>
  <c r="N109" i="5"/>
  <c r="F109" i="5"/>
  <c r="E109" i="5"/>
  <c r="N108" i="5"/>
  <c r="F108" i="5"/>
  <c r="E108" i="5"/>
  <c r="P107" i="5"/>
  <c r="N107" i="5"/>
  <c r="F107" i="5"/>
  <c r="E107" i="5"/>
  <c r="P106" i="5"/>
  <c r="N106" i="5"/>
  <c r="F106" i="5"/>
  <c r="E106" i="5"/>
  <c r="P105" i="5"/>
  <c r="N105" i="5"/>
  <c r="F105" i="5"/>
  <c r="E105" i="5"/>
  <c r="P104" i="5"/>
  <c r="N104" i="5"/>
  <c r="F104" i="5"/>
  <c r="E104" i="5"/>
  <c r="N103" i="5"/>
  <c r="F103" i="5"/>
  <c r="E103" i="5"/>
  <c r="N102" i="5"/>
  <c r="F102" i="5"/>
  <c r="E102" i="5"/>
  <c r="P101" i="5"/>
  <c r="N101" i="5"/>
  <c r="F101" i="5"/>
  <c r="E101" i="5"/>
  <c r="P100" i="5"/>
  <c r="N100" i="5"/>
  <c r="F100" i="5"/>
  <c r="E100" i="5"/>
  <c r="N99" i="5"/>
  <c r="F99" i="5"/>
  <c r="E99" i="5"/>
  <c r="N98" i="5"/>
  <c r="F98" i="5"/>
  <c r="E98" i="5"/>
  <c r="P97" i="5"/>
  <c r="N97" i="5"/>
  <c r="F97" i="5"/>
  <c r="E97" i="5"/>
  <c r="P96" i="5"/>
  <c r="N96" i="5"/>
  <c r="F96" i="5"/>
  <c r="E96" i="5"/>
  <c r="N95" i="5"/>
  <c r="F95" i="5"/>
  <c r="E95" i="5"/>
  <c r="N94" i="5"/>
  <c r="F94" i="5"/>
  <c r="E94" i="5"/>
  <c r="P93" i="5"/>
  <c r="N93" i="5"/>
  <c r="F93" i="5"/>
  <c r="E93" i="5"/>
  <c r="P92" i="5"/>
  <c r="N92" i="5"/>
  <c r="F92" i="5"/>
  <c r="E92" i="5"/>
  <c r="N91" i="5"/>
  <c r="F91" i="5"/>
  <c r="E91" i="5"/>
  <c r="N90" i="5"/>
  <c r="F90" i="5"/>
  <c r="E90" i="5"/>
  <c r="P89" i="5"/>
  <c r="N89" i="5"/>
  <c r="F89" i="5"/>
  <c r="E89" i="5"/>
  <c r="P88" i="5"/>
  <c r="N88" i="5"/>
  <c r="F88" i="5"/>
  <c r="E88" i="5"/>
  <c r="N87" i="5"/>
  <c r="F87" i="5"/>
  <c r="E87" i="5"/>
  <c r="N86" i="5"/>
  <c r="F86" i="5"/>
  <c r="E86" i="5"/>
  <c r="P85" i="5"/>
  <c r="N85" i="5"/>
  <c r="F85" i="5"/>
  <c r="E85" i="5"/>
  <c r="P84" i="5"/>
  <c r="N84" i="5"/>
  <c r="F84" i="5"/>
  <c r="E84" i="5"/>
  <c r="N83" i="5"/>
  <c r="F83" i="5"/>
  <c r="E83" i="5"/>
  <c r="N82" i="5"/>
  <c r="F82" i="5"/>
  <c r="E82" i="5"/>
  <c r="P81" i="5"/>
  <c r="N81" i="5"/>
  <c r="F81" i="5"/>
  <c r="E81" i="5"/>
  <c r="P80" i="5"/>
  <c r="N80" i="5"/>
  <c r="F80" i="5"/>
  <c r="E80" i="5"/>
  <c r="P79" i="5"/>
  <c r="N79" i="5"/>
  <c r="F79" i="5"/>
  <c r="E79" i="5"/>
  <c r="P78" i="5"/>
  <c r="N78" i="5"/>
  <c r="F78" i="5"/>
  <c r="E78" i="5"/>
  <c r="N77" i="5"/>
  <c r="F77" i="5"/>
  <c r="E77" i="5"/>
  <c r="N76" i="5"/>
  <c r="F76" i="5"/>
  <c r="E76" i="5"/>
  <c r="P75" i="5"/>
  <c r="N75" i="5"/>
  <c r="F75" i="5"/>
  <c r="E75" i="5"/>
  <c r="P74" i="5"/>
  <c r="N74" i="5"/>
  <c r="F74" i="5"/>
  <c r="E74" i="5"/>
  <c r="N73" i="5"/>
  <c r="F73" i="5"/>
  <c r="E73" i="5"/>
  <c r="N72" i="5"/>
  <c r="F72" i="5"/>
  <c r="E72" i="5"/>
  <c r="P71" i="5"/>
  <c r="N71" i="5"/>
  <c r="F71" i="5"/>
  <c r="E71" i="5"/>
  <c r="P70" i="5"/>
  <c r="N70" i="5"/>
  <c r="F70" i="5"/>
  <c r="E70" i="5"/>
  <c r="N69" i="5"/>
  <c r="F69" i="5"/>
  <c r="E69" i="5"/>
  <c r="N68" i="5"/>
  <c r="F68" i="5"/>
  <c r="E68" i="5"/>
  <c r="P67" i="5"/>
  <c r="N67" i="5"/>
  <c r="F67" i="5"/>
  <c r="E67" i="5"/>
  <c r="P66" i="5"/>
  <c r="N66" i="5"/>
  <c r="F66" i="5"/>
  <c r="E66" i="5"/>
  <c r="N65" i="5"/>
  <c r="F65" i="5"/>
  <c r="E65" i="5"/>
  <c r="N64" i="5"/>
  <c r="F64" i="5"/>
  <c r="E64" i="5"/>
  <c r="P63" i="5"/>
  <c r="N63" i="5"/>
  <c r="F63" i="5"/>
  <c r="E63" i="5"/>
  <c r="P62" i="5"/>
  <c r="N62" i="5"/>
  <c r="F62" i="5"/>
  <c r="E62" i="5"/>
  <c r="N61" i="5"/>
  <c r="F61" i="5"/>
  <c r="E61" i="5"/>
  <c r="N60" i="5"/>
  <c r="F60" i="5"/>
  <c r="E60" i="5"/>
  <c r="P59" i="5"/>
  <c r="N59" i="5"/>
  <c r="F59" i="5"/>
  <c r="E59" i="5"/>
  <c r="P58" i="5"/>
  <c r="N58" i="5"/>
  <c r="F58" i="5"/>
  <c r="E58" i="5"/>
  <c r="N57" i="5"/>
  <c r="F57" i="5"/>
  <c r="E57" i="5"/>
  <c r="N56" i="5"/>
  <c r="F56" i="5"/>
  <c r="E56" i="5"/>
  <c r="P55" i="5"/>
  <c r="N55" i="5"/>
  <c r="F55" i="5"/>
  <c r="E55" i="5"/>
  <c r="P54" i="5"/>
  <c r="N54" i="5"/>
  <c r="F54" i="5"/>
  <c r="E54" i="5"/>
  <c r="P53" i="5"/>
  <c r="N53" i="5"/>
  <c r="F53" i="5"/>
  <c r="P52" i="5"/>
  <c r="N52" i="5"/>
  <c r="F52" i="5"/>
  <c r="E52" i="5"/>
  <c r="P51" i="5"/>
  <c r="N51" i="5"/>
  <c r="F51" i="5"/>
  <c r="E51" i="5"/>
  <c r="P50" i="5"/>
  <c r="N50" i="5"/>
  <c r="F50" i="5"/>
  <c r="E50" i="5"/>
  <c r="N49" i="5"/>
  <c r="F49" i="5"/>
  <c r="E49" i="5"/>
  <c r="N48" i="5"/>
  <c r="F48" i="5"/>
  <c r="E48" i="5"/>
  <c r="P47" i="5"/>
  <c r="N47" i="5"/>
  <c r="F47" i="5"/>
  <c r="E47" i="5"/>
  <c r="P46" i="5"/>
  <c r="N46" i="5"/>
  <c r="F46" i="5"/>
  <c r="E46" i="5"/>
  <c r="N45" i="5"/>
  <c r="F45" i="5"/>
  <c r="E45" i="5"/>
  <c r="N44" i="5"/>
  <c r="F44" i="5"/>
  <c r="E44" i="5"/>
  <c r="P43" i="5"/>
  <c r="N43" i="5"/>
  <c r="F43" i="5"/>
  <c r="E43" i="5"/>
  <c r="P42" i="5"/>
  <c r="N42" i="5"/>
  <c r="F42" i="5"/>
  <c r="E42" i="5"/>
  <c r="N41" i="5"/>
  <c r="F41" i="5"/>
  <c r="E41" i="5"/>
  <c r="N40" i="5"/>
  <c r="F40" i="5"/>
  <c r="E40" i="5"/>
  <c r="P39" i="5"/>
  <c r="N39" i="5"/>
  <c r="F39" i="5"/>
  <c r="E39" i="5"/>
  <c r="P38" i="5"/>
  <c r="N38" i="5"/>
  <c r="F38" i="5"/>
  <c r="E38" i="5"/>
  <c r="N37" i="5"/>
  <c r="F37" i="5"/>
  <c r="E37" i="5"/>
  <c r="N36" i="5"/>
  <c r="F36" i="5"/>
  <c r="E36" i="5"/>
  <c r="P35" i="5"/>
  <c r="N35" i="5"/>
  <c r="F35" i="5"/>
  <c r="E35" i="5"/>
  <c r="P34" i="5"/>
  <c r="N34" i="5"/>
  <c r="F34" i="5"/>
  <c r="E34" i="5"/>
  <c r="N33" i="5"/>
  <c r="F33" i="5"/>
  <c r="E33" i="5"/>
  <c r="N32" i="5"/>
  <c r="F32" i="5"/>
  <c r="E32" i="5"/>
  <c r="P31" i="5"/>
  <c r="N31" i="5"/>
  <c r="F31" i="5"/>
  <c r="E31" i="5"/>
  <c r="P30" i="5"/>
  <c r="N30" i="5"/>
  <c r="F30" i="5"/>
  <c r="E30" i="5"/>
  <c r="N29" i="5"/>
  <c r="F29" i="5"/>
  <c r="E29" i="5"/>
  <c r="N28" i="5"/>
  <c r="F28" i="5"/>
  <c r="E28" i="5"/>
  <c r="N27" i="5"/>
  <c r="F27" i="5"/>
  <c r="E27" i="5"/>
  <c r="P26" i="5"/>
  <c r="N26" i="5"/>
  <c r="F26" i="5"/>
  <c r="E26" i="5"/>
  <c r="P25" i="5"/>
  <c r="N25" i="5"/>
  <c r="F25" i="5"/>
  <c r="E25" i="5"/>
  <c r="N24" i="5"/>
  <c r="F24" i="5"/>
  <c r="E24" i="5"/>
  <c r="N23" i="5"/>
  <c r="F23" i="5"/>
  <c r="E23" i="5"/>
  <c r="N22" i="5"/>
  <c r="F22" i="5"/>
  <c r="E22" i="5"/>
  <c r="P21" i="5"/>
  <c r="N21" i="5"/>
  <c r="F21" i="5"/>
  <c r="E21" i="5"/>
  <c r="N20" i="5"/>
  <c r="F20" i="5"/>
  <c r="E20" i="5"/>
  <c r="P19" i="5"/>
  <c r="N19" i="5"/>
  <c r="F19" i="5"/>
  <c r="E19" i="5"/>
  <c r="N18" i="5"/>
  <c r="F18" i="5"/>
  <c r="E18" i="5"/>
  <c r="N17" i="5"/>
  <c r="F17" i="5"/>
  <c r="E17" i="5"/>
  <c r="P16" i="5"/>
  <c r="N16" i="5"/>
  <c r="F16" i="5"/>
  <c r="E16" i="5"/>
  <c r="N15" i="5"/>
  <c r="F15" i="5"/>
  <c r="E15" i="5"/>
  <c r="N14" i="5"/>
  <c r="F14" i="5"/>
  <c r="E14" i="5"/>
  <c r="P13" i="5"/>
  <c r="N13" i="5"/>
  <c r="F13" i="5"/>
  <c r="E13" i="5"/>
  <c r="N12" i="5"/>
  <c r="F12" i="5"/>
  <c r="E12" i="5"/>
  <c r="N11" i="5"/>
  <c r="F11" i="5"/>
  <c r="E11" i="5"/>
  <c r="N10" i="5"/>
  <c r="F10" i="5"/>
  <c r="E10" i="5"/>
  <c r="P9" i="5"/>
  <c r="N9" i="5"/>
  <c r="F9" i="5"/>
  <c r="E9" i="5"/>
  <c r="N8" i="5"/>
  <c r="F8" i="5"/>
  <c r="E8" i="5"/>
  <c r="P7" i="5"/>
  <c r="N7" i="5"/>
  <c r="F7" i="5"/>
  <c r="E7" i="5"/>
  <c r="P6" i="5"/>
  <c r="N6" i="5"/>
  <c r="F6" i="5"/>
  <c r="E6" i="5"/>
  <c r="U268" i="4"/>
  <c r="O255" i="4"/>
  <c r="M255" i="4"/>
  <c r="K255" i="4"/>
  <c r="I255" i="4"/>
  <c r="F255" i="4"/>
  <c r="E255" i="4"/>
  <c r="N254" i="4"/>
  <c r="F254" i="4"/>
  <c r="E254" i="4"/>
  <c r="N253" i="4"/>
  <c r="F253" i="4"/>
  <c r="E253" i="4"/>
  <c r="N252" i="4"/>
  <c r="F252" i="4"/>
  <c r="E252" i="4"/>
  <c r="N251" i="4"/>
  <c r="F251" i="4"/>
  <c r="E251" i="4"/>
  <c r="N250" i="4"/>
  <c r="F250" i="4"/>
  <c r="E250" i="4"/>
  <c r="N249" i="4"/>
  <c r="F249" i="4"/>
  <c r="E249" i="4"/>
  <c r="N248" i="4"/>
  <c r="F248" i="4"/>
  <c r="E248" i="4"/>
  <c r="N247" i="4"/>
  <c r="F247" i="4"/>
  <c r="E247" i="4"/>
  <c r="N246" i="4"/>
  <c r="F246" i="4"/>
  <c r="E246" i="4"/>
  <c r="N245" i="4"/>
  <c r="F245" i="4"/>
  <c r="E245" i="4"/>
  <c r="N244" i="4"/>
  <c r="F244" i="4"/>
  <c r="E244" i="4"/>
  <c r="N243" i="4"/>
  <c r="F243" i="4"/>
  <c r="E243" i="4"/>
  <c r="N242" i="4"/>
  <c r="F242" i="4"/>
  <c r="E242" i="4"/>
  <c r="N241" i="4"/>
  <c r="F241" i="4"/>
  <c r="E241" i="4"/>
  <c r="N240" i="4"/>
  <c r="F240" i="4"/>
  <c r="E240" i="4"/>
  <c r="N239" i="4"/>
  <c r="F239" i="4"/>
  <c r="E239" i="4"/>
  <c r="N238" i="4"/>
  <c r="F238" i="4"/>
  <c r="E238" i="4"/>
  <c r="N237" i="4"/>
  <c r="F237" i="4"/>
  <c r="E237" i="4"/>
  <c r="N236" i="4"/>
  <c r="F236" i="4"/>
  <c r="E236" i="4"/>
  <c r="N235" i="4"/>
  <c r="F235" i="4"/>
  <c r="E235" i="4"/>
  <c r="N234" i="4"/>
  <c r="F234" i="4"/>
  <c r="E234" i="4"/>
  <c r="N233" i="4"/>
  <c r="F233" i="4"/>
  <c r="E233" i="4"/>
  <c r="N232" i="4"/>
  <c r="F232" i="4"/>
  <c r="E232" i="4"/>
  <c r="N231" i="4"/>
  <c r="F231" i="4"/>
  <c r="E231" i="4"/>
  <c r="N230" i="4"/>
  <c r="F230" i="4"/>
  <c r="E230" i="4"/>
  <c r="N229" i="4"/>
  <c r="F229" i="4"/>
  <c r="E229" i="4"/>
  <c r="N228" i="4"/>
  <c r="F228" i="4"/>
  <c r="E228" i="4"/>
  <c r="N227" i="4"/>
  <c r="F227" i="4"/>
  <c r="E227" i="4"/>
  <c r="N226" i="4"/>
  <c r="F226" i="4"/>
  <c r="E226" i="4"/>
  <c r="N225" i="4"/>
  <c r="F225" i="4"/>
  <c r="E225" i="4"/>
  <c r="N224" i="4"/>
  <c r="F224" i="4"/>
  <c r="E224" i="4"/>
  <c r="N223" i="4"/>
  <c r="F223" i="4"/>
  <c r="E223" i="4"/>
  <c r="N222" i="4"/>
  <c r="F222" i="4"/>
  <c r="E222" i="4"/>
  <c r="N221" i="4"/>
  <c r="F221" i="4"/>
  <c r="E221" i="4"/>
  <c r="N220" i="4"/>
  <c r="F220" i="4"/>
  <c r="E220" i="4"/>
  <c r="N219" i="4"/>
  <c r="F219" i="4"/>
  <c r="E219" i="4"/>
  <c r="N218" i="4"/>
  <c r="F218" i="4"/>
  <c r="E218" i="4"/>
  <c r="N217" i="4"/>
  <c r="F217" i="4"/>
  <c r="E217" i="4"/>
  <c r="N216" i="4"/>
  <c r="F216" i="4"/>
  <c r="E216" i="4"/>
  <c r="N215" i="4"/>
  <c r="F215" i="4"/>
  <c r="E215" i="4"/>
  <c r="N214" i="4"/>
  <c r="F214" i="4"/>
  <c r="E214" i="4"/>
  <c r="N213" i="4"/>
  <c r="F213" i="4"/>
  <c r="E213" i="4"/>
  <c r="N212" i="4"/>
  <c r="F212" i="4"/>
  <c r="E212" i="4"/>
  <c r="N211" i="4"/>
  <c r="F211" i="4"/>
  <c r="E211" i="4"/>
  <c r="N210" i="4"/>
  <c r="F210" i="4"/>
  <c r="E210" i="4"/>
  <c r="N209" i="4"/>
  <c r="F209" i="4"/>
  <c r="E209" i="4"/>
  <c r="N208" i="4"/>
  <c r="F208" i="4"/>
  <c r="E208" i="4"/>
  <c r="N207" i="4"/>
  <c r="F207" i="4"/>
  <c r="E207" i="4"/>
  <c r="N206" i="4"/>
  <c r="F206" i="4"/>
  <c r="E206" i="4"/>
  <c r="N205" i="4"/>
  <c r="F205" i="4"/>
  <c r="E205" i="4"/>
  <c r="N204" i="4"/>
  <c r="F204" i="4"/>
  <c r="E204" i="4"/>
  <c r="N203" i="4"/>
  <c r="F203" i="4"/>
  <c r="E203" i="4"/>
  <c r="N202" i="4"/>
  <c r="F202" i="4"/>
  <c r="E202" i="4"/>
  <c r="N201" i="4"/>
  <c r="F201" i="4"/>
  <c r="E201" i="4"/>
  <c r="N200" i="4"/>
  <c r="F200" i="4"/>
  <c r="E200" i="4"/>
  <c r="N199" i="4"/>
  <c r="F199" i="4"/>
  <c r="E199" i="4"/>
  <c r="N198" i="4"/>
  <c r="F198" i="4"/>
  <c r="E198" i="4"/>
  <c r="N197" i="4"/>
  <c r="F197" i="4"/>
  <c r="E197" i="4"/>
  <c r="N196" i="4"/>
  <c r="F196" i="4"/>
  <c r="E196" i="4"/>
  <c r="N195" i="4"/>
  <c r="F195" i="4"/>
  <c r="E195" i="4"/>
  <c r="N194" i="4"/>
  <c r="F194" i="4"/>
  <c r="E194" i="4"/>
  <c r="N193" i="4"/>
  <c r="F193" i="4"/>
  <c r="E193" i="4"/>
  <c r="N192" i="4"/>
  <c r="F192" i="4"/>
  <c r="E192" i="4"/>
  <c r="N191" i="4"/>
  <c r="F191" i="4"/>
  <c r="E191" i="4"/>
  <c r="N190" i="4"/>
  <c r="F190" i="4"/>
  <c r="E190" i="4"/>
  <c r="N189" i="4"/>
  <c r="F189" i="4"/>
  <c r="E189" i="4"/>
  <c r="N188" i="4"/>
  <c r="F188" i="4"/>
  <c r="E188" i="4"/>
  <c r="N187" i="4"/>
  <c r="F187" i="4"/>
  <c r="E187" i="4"/>
  <c r="N186" i="4"/>
  <c r="F186" i="4"/>
  <c r="E186" i="4"/>
  <c r="N185" i="4"/>
  <c r="F185" i="4"/>
  <c r="E185" i="4"/>
  <c r="N184" i="4"/>
  <c r="F184" i="4"/>
  <c r="E184" i="4"/>
  <c r="N183" i="4"/>
  <c r="F183" i="4"/>
  <c r="E183" i="4"/>
  <c r="N182" i="4"/>
  <c r="F182" i="4"/>
  <c r="E182" i="4"/>
  <c r="N181" i="4"/>
  <c r="F181" i="4"/>
  <c r="E181" i="4"/>
  <c r="N180" i="4"/>
  <c r="F180" i="4"/>
  <c r="E180" i="4"/>
  <c r="N179" i="4"/>
  <c r="F179" i="4"/>
  <c r="E179" i="4"/>
  <c r="N178" i="4"/>
  <c r="F178" i="4"/>
  <c r="E178" i="4"/>
  <c r="N177" i="4"/>
  <c r="F177" i="4"/>
  <c r="E177" i="4"/>
  <c r="N176" i="4"/>
  <c r="F176" i="4"/>
  <c r="E176" i="4"/>
  <c r="N175" i="4"/>
  <c r="F175" i="4"/>
  <c r="E175" i="4"/>
  <c r="N174" i="4"/>
  <c r="F174" i="4"/>
  <c r="E174" i="4"/>
  <c r="N173" i="4"/>
  <c r="F173" i="4"/>
  <c r="E173" i="4"/>
  <c r="N172" i="4"/>
  <c r="F172" i="4"/>
  <c r="N171" i="4"/>
  <c r="F171" i="4"/>
  <c r="E171" i="4"/>
  <c r="N170" i="4"/>
  <c r="F170" i="4"/>
  <c r="E170" i="4"/>
  <c r="N169" i="4"/>
  <c r="F169" i="4"/>
  <c r="E169" i="4"/>
  <c r="N168" i="4"/>
  <c r="F168" i="4"/>
  <c r="E168" i="4"/>
  <c r="N167" i="4"/>
  <c r="F167" i="4"/>
  <c r="E167" i="4"/>
  <c r="N166" i="4"/>
  <c r="F166" i="4"/>
  <c r="E166" i="4"/>
  <c r="N165" i="4"/>
  <c r="F165" i="4"/>
  <c r="E165" i="4"/>
  <c r="N164" i="4"/>
  <c r="F164" i="4"/>
  <c r="E164" i="4"/>
  <c r="N163" i="4"/>
  <c r="F163" i="4"/>
  <c r="E163" i="4"/>
  <c r="N162" i="4"/>
  <c r="F162" i="4"/>
  <c r="E162" i="4"/>
  <c r="N161" i="4"/>
  <c r="F161" i="4"/>
  <c r="E161" i="4"/>
  <c r="N160" i="4"/>
  <c r="F160" i="4"/>
  <c r="E160" i="4"/>
  <c r="N159" i="4"/>
  <c r="F159" i="4"/>
  <c r="E159" i="4"/>
  <c r="N158" i="4"/>
  <c r="F158" i="4"/>
  <c r="E158" i="4"/>
  <c r="N157" i="4"/>
  <c r="F157" i="4"/>
  <c r="E157" i="4"/>
  <c r="N156" i="4"/>
  <c r="F156" i="4"/>
  <c r="E156" i="4"/>
  <c r="N155" i="4"/>
  <c r="F155" i="4"/>
  <c r="E155" i="4"/>
  <c r="N154" i="4"/>
  <c r="F154" i="4"/>
  <c r="E154" i="4"/>
  <c r="N153" i="4"/>
  <c r="F153" i="4"/>
  <c r="E153" i="4"/>
  <c r="N152" i="4"/>
  <c r="F152" i="4"/>
  <c r="E152" i="4"/>
  <c r="N151" i="4"/>
  <c r="F151" i="4"/>
  <c r="E151" i="4"/>
  <c r="N150" i="4"/>
  <c r="F150" i="4"/>
  <c r="E150" i="4"/>
  <c r="N149" i="4"/>
  <c r="F149" i="4"/>
  <c r="E149" i="4"/>
  <c r="N148" i="4"/>
  <c r="F148" i="4"/>
  <c r="E148" i="4"/>
  <c r="N147" i="4"/>
  <c r="F147" i="4"/>
  <c r="E147" i="4"/>
  <c r="N146" i="4"/>
  <c r="F146" i="4"/>
  <c r="E146" i="4"/>
  <c r="N145" i="4"/>
  <c r="F145" i="4"/>
  <c r="E145" i="4"/>
  <c r="N144" i="4"/>
  <c r="F144" i="4"/>
  <c r="E144" i="4"/>
  <c r="N143" i="4"/>
  <c r="F143" i="4"/>
  <c r="E143" i="4"/>
  <c r="N142" i="4"/>
  <c r="F142" i="4"/>
  <c r="E142" i="4"/>
  <c r="N141" i="4"/>
  <c r="F141" i="4"/>
  <c r="E141" i="4"/>
  <c r="N140" i="4"/>
  <c r="F140" i="4"/>
  <c r="E140" i="4"/>
  <c r="N139" i="4"/>
  <c r="F139" i="4"/>
  <c r="E139" i="4"/>
  <c r="N138" i="4"/>
  <c r="F138" i="4"/>
  <c r="E138" i="4"/>
  <c r="N137" i="4"/>
  <c r="F137" i="4"/>
  <c r="E137" i="4"/>
  <c r="N136" i="4"/>
  <c r="F136" i="4"/>
  <c r="E136" i="4"/>
  <c r="N135" i="4"/>
  <c r="F135" i="4"/>
  <c r="E135" i="4"/>
  <c r="N134" i="4"/>
  <c r="F134" i="4"/>
  <c r="E134" i="4"/>
  <c r="N133" i="4"/>
  <c r="F133" i="4"/>
  <c r="E133" i="4"/>
  <c r="N132" i="4"/>
  <c r="F132" i="4"/>
  <c r="E132" i="4"/>
  <c r="N131" i="4"/>
  <c r="F131" i="4"/>
  <c r="E131" i="4"/>
  <c r="N130" i="4"/>
  <c r="F130" i="4"/>
  <c r="E130" i="4"/>
  <c r="N129" i="4"/>
  <c r="F129" i="4"/>
  <c r="E129" i="4"/>
  <c r="N128" i="4"/>
  <c r="F128" i="4"/>
  <c r="E128" i="4"/>
  <c r="N127" i="4"/>
  <c r="F127" i="4"/>
  <c r="E127" i="4"/>
  <c r="N126" i="4"/>
  <c r="F126" i="4"/>
  <c r="E126" i="4"/>
  <c r="N125" i="4"/>
  <c r="F125" i="4"/>
  <c r="E125" i="4"/>
  <c r="N124" i="4"/>
  <c r="F124" i="4"/>
  <c r="E124" i="4"/>
  <c r="N123" i="4"/>
  <c r="F123" i="4"/>
  <c r="E123" i="4"/>
  <c r="O122" i="4"/>
  <c r="F122" i="4"/>
  <c r="E122" i="4"/>
  <c r="N121" i="4"/>
  <c r="F121" i="4"/>
  <c r="E121" i="4"/>
  <c r="N120" i="4"/>
  <c r="F120" i="4"/>
  <c r="E120" i="4"/>
  <c r="N119" i="4"/>
  <c r="F119" i="4"/>
  <c r="E119" i="4"/>
  <c r="N118" i="4"/>
  <c r="F118" i="4"/>
  <c r="E118" i="4"/>
  <c r="N117" i="4"/>
  <c r="F117" i="4"/>
  <c r="E117" i="4"/>
  <c r="N116" i="4"/>
  <c r="F116" i="4"/>
  <c r="E116" i="4"/>
  <c r="N115" i="4"/>
  <c r="F115" i="4"/>
  <c r="E115" i="4"/>
  <c r="O114" i="4"/>
  <c r="E114" i="4"/>
  <c r="O113" i="4"/>
  <c r="F113" i="4"/>
  <c r="E113" i="4"/>
  <c r="O112" i="4"/>
  <c r="F112" i="4"/>
  <c r="E112" i="4"/>
  <c r="N111" i="4"/>
  <c r="F111" i="4"/>
  <c r="E111" i="4"/>
  <c r="N110" i="4"/>
  <c r="F110" i="4"/>
  <c r="E110" i="4"/>
  <c r="N109" i="4"/>
  <c r="F109" i="4"/>
  <c r="E109" i="4"/>
  <c r="N108" i="4"/>
  <c r="F108" i="4"/>
  <c r="E108" i="4"/>
  <c r="N107" i="4"/>
  <c r="F107" i="4"/>
  <c r="E107" i="4"/>
  <c r="N106" i="4"/>
  <c r="F106" i="4"/>
  <c r="E106" i="4"/>
  <c r="N105" i="4"/>
  <c r="F105" i="4"/>
  <c r="E105" i="4"/>
  <c r="N104" i="4"/>
  <c r="F104" i="4"/>
  <c r="E104" i="4"/>
  <c r="N103" i="4"/>
  <c r="F103" i="4"/>
  <c r="E103" i="4"/>
  <c r="N102" i="4"/>
  <c r="F102" i="4"/>
  <c r="E102" i="4"/>
  <c r="N101" i="4"/>
  <c r="F101" i="4"/>
  <c r="E101" i="4"/>
  <c r="N100" i="4"/>
  <c r="F100" i="4"/>
  <c r="E100" i="4"/>
  <c r="N99" i="4"/>
  <c r="F99" i="4"/>
  <c r="E99" i="4"/>
  <c r="N98" i="4"/>
  <c r="F98" i="4"/>
  <c r="E98" i="4"/>
  <c r="N97" i="4"/>
  <c r="F97" i="4"/>
  <c r="E97" i="4"/>
  <c r="N96" i="4"/>
  <c r="F96" i="4"/>
  <c r="E96" i="4"/>
  <c r="N95" i="4"/>
  <c r="F95" i="4"/>
  <c r="E95" i="4"/>
  <c r="N94" i="4"/>
  <c r="F94" i="4"/>
  <c r="E94" i="4"/>
  <c r="N93" i="4"/>
  <c r="F93" i="4"/>
  <c r="E93" i="4"/>
  <c r="N92" i="4"/>
  <c r="F92" i="4"/>
  <c r="E92" i="4"/>
  <c r="N91" i="4"/>
  <c r="F91" i="4"/>
  <c r="E91" i="4"/>
  <c r="N90" i="4"/>
  <c r="F90" i="4"/>
  <c r="E90" i="4"/>
  <c r="N89" i="4"/>
  <c r="F89" i="4"/>
  <c r="E89" i="4"/>
  <c r="N88" i="4"/>
  <c r="F88" i="4"/>
  <c r="E88" i="4"/>
  <c r="N87" i="4"/>
  <c r="F87" i="4"/>
  <c r="E87" i="4"/>
  <c r="N86" i="4"/>
  <c r="F86" i="4"/>
  <c r="E86" i="4"/>
  <c r="N85" i="4"/>
  <c r="F85" i="4"/>
  <c r="E85" i="4"/>
  <c r="N84" i="4"/>
  <c r="F84" i="4"/>
  <c r="E84" i="4"/>
  <c r="N83" i="4"/>
  <c r="F83" i="4"/>
  <c r="E83" i="4"/>
  <c r="N82" i="4"/>
  <c r="F82" i="4"/>
  <c r="E82" i="4"/>
  <c r="N81" i="4"/>
  <c r="F81" i="4"/>
  <c r="E81" i="4"/>
  <c r="N80" i="4"/>
  <c r="F80" i="4"/>
  <c r="E80" i="4"/>
  <c r="N79" i="4"/>
  <c r="F79" i="4"/>
  <c r="E79" i="4"/>
  <c r="N78" i="4"/>
  <c r="F78" i="4"/>
  <c r="E78" i="4"/>
  <c r="N77" i="4"/>
  <c r="F77" i="4"/>
  <c r="E77" i="4"/>
  <c r="N76" i="4"/>
  <c r="F76" i="4"/>
  <c r="E76" i="4"/>
  <c r="N75" i="4"/>
  <c r="F75" i="4"/>
  <c r="E75" i="4"/>
  <c r="N74" i="4"/>
  <c r="F74" i="4"/>
  <c r="E74" i="4"/>
  <c r="N73" i="4"/>
  <c r="F73" i="4"/>
  <c r="E73" i="4"/>
  <c r="N72" i="4"/>
  <c r="F72" i="4"/>
  <c r="E72" i="4"/>
  <c r="N71" i="4"/>
  <c r="F71" i="4"/>
  <c r="E71" i="4"/>
  <c r="N70" i="4"/>
  <c r="F70" i="4"/>
  <c r="E70" i="4"/>
  <c r="N69" i="4"/>
  <c r="F69" i="4"/>
  <c r="E69" i="4"/>
  <c r="N68" i="4"/>
  <c r="F68" i="4"/>
  <c r="E68" i="4"/>
  <c r="N67" i="4"/>
  <c r="F67" i="4"/>
  <c r="E67" i="4"/>
  <c r="N66" i="4"/>
  <c r="F66" i="4"/>
  <c r="E66" i="4"/>
  <c r="N65" i="4"/>
  <c r="F65" i="4"/>
  <c r="E65" i="4"/>
  <c r="N64" i="4"/>
  <c r="F64" i="4"/>
  <c r="E64" i="4"/>
  <c r="N63" i="4"/>
  <c r="F63" i="4"/>
  <c r="E63" i="4"/>
  <c r="N62" i="4"/>
  <c r="F62" i="4"/>
  <c r="E62" i="4"/>
  <c r="N61" i="4"/>
  <c r="F61" i="4"/>
  <c r="E61" i="4"/>
  <c r="N60" i="4"/>
  <c r="F60" i="4"/>
  <c r="E60" i="4"/>
  <c r="N59" i="4"/>
  <c r="F59" i="4"/>
  <c r="E59" i="4"/>
  <c r="N58" i="4"/>
  <c r="F58" i="4"/>
  <c r="E58" i="4"/>
  <c r="N57" i="4"/>
  <c r="F57" i="4"/>
  <c r="E57" i="4"/>
  <c r="N56" i="4"/>
  <c r="F56" i="4"/>
  <c r="E56" i="4"/>
  <c r="N55" i="4"/>
  <c r="F55" i="4"/>
  <c r="E55" i="4"/>
  <c r="N54" i="4"/>
  <c r="F54" i="4"/>
  <c r="E54" i="4"/>
  <c r="N53" i="4"/>
  <c r="F53" i="4"/>
  <c r="E53" i="4"/>
  <c r="N52" i="4"/>
  <c r="F52" i="4"/>
  <c r="E52" i="4"/>
  <c r="N51" i="4"/>
  <c r="F51" i="4"/>
  <c r="E51" i="4"/>
  <c r="N50" i="4"/>
  <c r="F50" i="4"/>
  <c r="E50" i="4"/>
  <c r="N49" i="4"/>
  <c r="F49" i="4"/>
  <c r="E49" i="4"/>
  <c r="N48" i="4"/>
  <c r="F48" i="4"/>
  <c r="E48" i="4"/>
  <c r="N47" i="4"/>
  <c r="F47" i="4"/>
  <c r="E47" i="4"/>
  <c r="N46" i="4"/>
  <c r="F46" i="4"/>
  <c r="E46" i="4"/>
  <c r="N45" i="4"/>
  <c r="F45" i="4"/>
  <c r="E45" i="4"/>
  <c r="N44" i="4"/>
  <c r="F44" i="4"/>
  <c r="E44" i="4"/>
  <c r="N43" i="4"/>
  <c r="F43" i="4"/>
  <c r="E43" i="4"/>
  <c r="N42" i="4"/>
  <c r="F42" i="4"/>
  <c r="E42" i="4"/>
  <c r="N41" i="4"/>
  <c r="F41" i="4"/>
  <c r="E41" i="4"/>
  <c r="N40" i="4"/>
  <c r="F40" i="4"/>
  <c r="E40" i="4"/>
  <c r="N39" i="4"/>
  <c r="F39" i="4"/>
  <c r="E39" i="4"/>
  <c r="N38" i="4"/>
  <c r="F38" i="4"/>
  <c r="E38" i="4"/>
  <c r="N37" i="4"/>
  <c r="F37" i="4"/>
  <c r="E37" i="4"/>
  <c r="N36" i="4"/>
  <c r="F36" i="4"/>
  <c r="E36" i="4"/>
  <c r="N35" i="4"/>
  <c r="F35" i="4"/>
  <c r="E35" i="4"/>
  <c r="N34" i="4"/>
  <c r="F34" i="4"/>
  <c r="E34" i="4"/>
  <c r="N33" i="4"/>
  <c r="F33" i="4"/>
  <c r="E33" i="4"/>
  <c r="N32" i="4"/>
  <c r="F32" i="4"/>
  <c r="E32" i="4"/>
  <c r="N31" i="4"/>
  <c r="F31" i="4"/>
  <c r="E31" i="4"/>
  <c r="N30" i="4"/>
  <c r="F30" i="4"/>
  <c r="E30" i="4"/>
  <c r="N29" i="4"/>
  <c r="F29" i="4"/>
  <c r="E29" i="4"/>
  <c r="N28" i="4"/>
  <c r="F28" i="4"/>
  <c r="E28" i="4"/>
  <c r="N27" i="4"/>
  <c r="F27" i="4"/>
  <c r="E27" i="4"/>
  <c r="N26" i="4"/>
  <c r="F26" i="4"/>
  <c r="E26" i="4"/>
  <c r="N25" i="4"/>
  <c r="F25" i="4"/>
  <c r="E25" i="4"/>
  <c r="N24" i="4"/>
  <c r="F24" i="4"/>
  <c r="E24" i="4"/>
  <c r="N23" i="4"/>
  <c r="F23" i="4"/>
  <c r="E23" i="4"/>
  <c r="N22" i="4"/>
  <c r="F22" i="4"/>
  <c r="E22" i="4"/>
  <c r="N21" i="4"/>
  <c r="F21" i="4"/>
  <c r="E21" i="4"/>
  <c r="N20" i="4"/>
  <c r="F20" i="4"/>
  <c r="E20" i="4"/>
  <c r="N19" i="4"/>
  <c r="F19" i="4"/>
  <c r="E19" i="4"/>
  <c r="N18" i="4"/>
  <c r="F18" i="4"/>
  <c r="E18" i="4"/>
  <c r="N17" i="4"/>
  <c r="F17" i="4"/>
  <c r="E17" i="4"/>
  <c r="N16" i="4"/>
  <c r="F16" i="4"/>
  <c r="E16" i="4"/>
  <c r="N15" i="4"/>
  <c r="F15" i="4"/>
  <c r="E15" i="4"/>
  <c r="N14" i="4"/>
  <c r="F14" i="4"/>
  <c r="E14" i="4"/>
  <c r="N13" i="4"/>
  <c r="F13" i="4"/>
  <c r="E13" i="4"/>
  <c r="N12" i="4"/>
  <c r="F12" i="4"/>
  <c r="E12" i="4"/>
  <c r="N11" i="4"/>
  <c r="F11" i="4"/>
  <c r="E11" i="4"/>
  <c r="N10" i="4"/>
  <c r="F10" i="4"/>
  <c r="E10" i="4"/>
  <c r="N9" i="4"/>
  <c r="F9" i="4"/>
  <c r="E9" i="4"/>
  <c r="N8" i="4"/>
  <c r="F8" i="4"/>
  <c r="E8" i="4"/>
  <c r="N7" i="4"/>
  <c r="F7" i="4"/>
  <c r="E7" i="4"/>
  <c r="A7" i="4"/>
  <c r="N6" i="4"/>
  <c r="F6" i="4"/>
  <c r="E6" i="4"/>
  <c r="O940" i="3"/>
  <c r="N940" i="3"/>
  <c r="M940" i="3"/>
  <c r="K940" i="3"/>
  <c r="J940" i="3"/>
  <c r="I940" i="3"/>
  <c r="F940" i="3"/>
  <c r="E940" i="3"/>
  <c r="P939" i="3"/>
  <c r="L939" i="3"/>
  <c r="F939" i="3"/>
  <c r="P938" i="3"/>
  <c r="L938" i="3"/>
  <c r="F938" i="3"/>
  <c r="E938" i="3"/>
  <c r="P937" i="3"/>
  <c r="L937" i="3"/>
  <c r="F937" i="3"/>
  <c r="E937" i="3"/>
  <c r="P936" i="3"/>
  <c r="L936" i="3"/>
  <c r="F936" i="3"/>
  <c r="E936" i="3"/>
  <c r="P935" i="3"/>
  <c r="L935" i="3"/>
  <c r="F935" i="3"/>
  <c r="E935" i="3"/>
  <c r="P934" i="3"/>
  <c r="L934" i="3"/>
  <c r="F934" i="3"/>
  <c r="E934" i="3"/>
  <c r="P933" i="3"/>
  <c r="L933" i="3"/>
  <c r="F933" i="3"/>
  <c r="E933" i="3"/>
  <c r="P932" i="3"/>
  <c r="L932" i="3"/>
  <c r="F932" i="3"/>
  <c r="E932" i="3"/>
  <c r="P931" i="3"/>
  <c r="F931" i="3"/>
  <c r="E931" i="3"/>
  <c r="P930" i="3"/>
  <c r="F930" i="3"/>
  <c r="E930" i="3"/>
  <c r="P929" i="3"/>
  <c r="L929" i="3"/>
  <c r="F929" i="3"/>
  <c r="P928" i="3"/>
  <c r="F928" i="3"/>
  <c r="E928" i="3"/>
  <c r="P927" i="3"/>
  <c r="L927" i="3"/>
  <c r="F927" i="3"/>
  <c r="E927" i="3"/>
  <c r="P926" i="3"/>
  <c r="F926" i="3"/>
  <c r="E926" i="3"/>
  <c r="P925" i="3"/>
  <c r="F925" i="3"/>
  <c r="E925" i="3"/>
  <c r="P924" i="3"/>
  <c r="L924" i="3"/>
  <c r="F924" i="3"/>
  <c r="P923" i="3"/>
  <c r="F923" i="3"/>
  <c r="E923" i="3"/>
  <c r="P922" i="3"/>
  <c r="F922" i="3"/>
  <c r="P921" i="3"/>
  <c r="L921" i="3"/>
  <c r="F921" i="3"/>
  <c r="E921" i="3"/>
  <c r="P920" i="3"/>
  <c r="L920" i="3"/>
  <c r="F920" i="3"/>
  <c r="E920" i="3"/>
  <c r="P919" i="3"/>
  <c r="L919" i="3"/>
  <c r="F919" i="3"/>
  <c r="E919" i="3"/>
  <c r="P918" i="3"/>
  <c r="L918" i="3"/>
  <c r="F918" i="3"/>
  <c r="E918" i="3"/>
  <c r="P917" i="3"/>
  <c r="L917" i="3"/>
  <c r="F917" i="3"/>
  <c r="E917" i="3"/>
  <c r="P916" i="3"/>
  <c r="L916" i="3"/>
  <c r="F916" i="3"/>
  <c r="E916" i="3"/>
  <c r="P915" i="3"/>
  <c r="L915" i="3"/>
  <c r="F915" i="3"/>
  <c r="E915" i="3"/>
  <c r="P914" i="3"/>
  <c r="L914" i="3"/>
  <c r="F914" i="3"/>
  <c r="E914" i="3"/>
  <c r="P913" i="3"/>
  <c r="L913" i="3"/>
  <c r="F913" i="3"/>
  <c r="E913" i="3"/>
  <c r="P912" i="3"/>
  <c r="L912" i="3"/>
  <c r="F912" i="3"/>
  <c r="E912" i="3"/>
  <c r="P911" i="3"/>
  <c r="L911" i="3"/>
  <c r="F911" i="3"/>
  <c r="E911" i="3"/>
  <c r="P910" i="3"/>
  <c r="L910" i="3"/>
  <c r="F910" i="3"/>
  <c r="E910" i="3"/>
  <c r="P909" i="3"/>
  <c r="L909" i="3"/>
  <c r="F909" i="3"/>
  <c r="E909" i="3"/>
  <c r="P908" i="3"/>
  <c r="L908" i="3"/>
  <c r="F908" i="3"/>
  <c r="E908" i="3"/>
  <c r="P907" i="3"/>
  <c r="L907" i="3"/>
  <c r="F907" i="3"/>
  <c r="E907" i="3"/>
  <c r="P906" i="3"/>
  <c r="L906" i="3"/>
  <c r="F906" i="3"/>
  <c r="E906" i="3"/>
  <c r="Q905" i="3"/>
  <c r="P905" i="3"/>
  <c r="L905" i="3"/>
  <c r="F905" i="3"/>
  <c r="A905" i="3"/>
  <c r="Q904" i="3"/>
  <c r="P904" i="3"/>
  <c r="L904" i="3"/>
  <c r="F904" i="3"/>
  <c r="E904" i="3"/>
  <c r="P903" i="3"/>
  <c r="L903" i="3"/>
  <c r="F903" i="3"/>
  <c r="E903" i="3"/>
  <c r="P902" i="3"/>
  <c r="L902" i="3"/>
  <c r="F902" i="3"/>
  <c r="E902" i="3"/>
  <c r="P901" i="3"/>
  <c r="L901" i="3"/>
  <c r="F901" i="3"/>
  <c r="P900" i="3"/>
  <c r="L900" i="3"/>
  <c r="F900" i="3"/>
  <c r="E900" i="3"/>
  <c r="P899" i="3"/>
  <c r="L899" i="3"/>
  <c r="F899" i="3"/>
  <c r="E899" i="3"/>
  <c r="P898" i="3"/>
  <c r="L898" i="3"/>
  <c r="F898" i="3"/>
  <c r="P897" i="3"/>
  <c r="L897" i="3"/>
  <c r="F897" i="3"/>
  <c r="E897" i="3"/>
  <c r="P896" i="3"/>
  <c r="F896" i="3"/>
  <c r="E896" i="3"/>
  <c r="P895" i="3"/>
  <c r="L895" i="3"/>
  <c r="F895" i="3"/>
  <c r="E895" i="3"/>
  <c r="P894" i="3"/>
  <c r="L894" i="3"/>
  <c r="F894" i="3"/>
  <c r="E894" i="3"/>
  <c r="P893" i="3"/>
  <c r="F893" i="3"/>
  <c r="E893" i="3"/>
  <c r="P892" i="3"/>
  <c r="F892" i="3"/>
  <c r="E892" i="3"/>
  <c r="P891" i="3"/>
  <c r="L891" i="3"/>
  <c r="F891" i="3"/>
  <c r="P890" i="3"/>
  <c r="F890" i="3"/>
  <c r="P889" i="3"/>
  <c r="F889" i="3"/>
  <c r="E889" i="3"/>
  <c r="P888" i="3"/>
  <c r="F888" i="3"/>
  <c r="E888" i="3"/>
  <c r="P887" i="3"/>
  <c r="F887" i="3"/>
  <c r="E887" i="3"/>
  <c r="P886" i="3"/>
  <c r="F886" i="3"/>
  <c r="E886" i="3"/>
  <c r="P885" i="3"/>
  <c r="L885" i="3"/>
  <c r="F885" i="3"/>
  <c r="E885" i="3"/>
  <c r="P884" i="3"/>
  <c r="L884" i="3"/>
  <c r="F884" i="3"/>
  <c r="E884" i="3"/>
  <c r="P883" i="3"/>
  <c r="L883" i="3"/>
  <c r="F883" i="3"/>
  <c r="E883" i="3"/>
  <c r="P882" i="3"/>
  <c r="F882" i="3"/>
  <c r="E882" i="3"/>
  <c r="P881" i="3"/>
  <c r="L881" i="3"/>
  <c r="F881" i="3"/>
  <c r="P880" i="3"/>
  <c r="L880" i="3"/>
  <c r="F880" i="3"/>
  <c r="E880" i="3"/>
  <c r="P879" i="3"/>
  <c r="L879" i="3"/>
  <c r="F879" i="3"/>
  <c r="E879" i="3"/>
  <c r="P878" i="3"/>
  <c r="L878" i="3"/>
  <c r="F878" i="3"/>
  <c r="E878" i="3"/>
  <c r="P877" i="3"/>
  <c r="L877" i="3"/>
  <c r="F877" i="3"/>
  <c r="E877" i="3"/>
  <c r="P876" i="3"/>
  <c r="L876" i="3"/>
  <c r="F876" i="3"/>
  <c r="E876" i="3"/>
  <c r="P875" i="3"/>
  <c r="L875" i="3"/>
  <c r="F875" i="3"/>
  <c r="E875" i="3"/>
  <c r="P874" i="3"/>
  <c r="L874" i="3"/>
  <c r="F874" i="3"/>
  <c r="E874" i="3"/>
  <c r="P873" i="3"/>
  <c r="L873" i="3"/>
  <c r="F873" i="3"/>
  <c r="E873" i="3"/>
  <c r="P872" i="3"/>
  <c r="L872" i="3"/>
  <c r="F872" i="3"/>
  <c r="E872" i="3"/>
  <c r="A872" i="3"/>
  <c r="P871" i="3"/>
  <c r="L871" i="3"/>
  <c r="F871" i="3"/>
  <c r="E871" i="3"/>
  <c r="P870" i="3"/>
  <c r="L870" i="3"/>
  <c r="F870" i="3"/>
  <c r="E870" i="3"/>
  <c r="P869" i="3"/>
  <c r="L869" i="3"/>
  <c r="F869" i="3"/>
  <c r="E869" i="3"/>
  <c r="P868" i="3"/>
  <c r="F868" i="3"/>
  <c r="P867" i="3"/>
  <c r="F867" i="3"/>
  <c r="E867" i="3"/>
  <c r="P866" i="3"/>
  <c r="F866" i="3"/>
  <c r="E866" i="3"/>
  <c r="P865" i="3"/>
  <c r="F865" i="3"/>
  <c r="E865" i="3"/>
  <c r="P864" i="3"/>
  <c r="F864" i="3"/>
  <c r="E864" i="3"/>
  <c r="P863" i="3"/>
  <c r="F863" i="3"/>
  <c r="E863" i="3"/>
  <c r="P862" i="3"/>
  <c r="F862" i="3"/>
  <c r="E862" i="3"/>
  <c r="P861" i="3"/>
  <c r="F861" i="3"/>
  <c r="E861" i="3"/>
  <c r="P860" i="3"/>
  <c r="F860" i="3"/>
  <c r="P859" i="3"/>
  <c r="L859" i="3"/>
  <c r="F859" i="3"/>
  <c r="E859" i="3"/>
  <c r="P858" i="3"/>
  <c r="L858" i="3"/>
  <c r="F858" i="3"/>
  <c r="E858" i="3"/>
  <c r="P857" i="3"/>
  <c r="F857" i="3"/>
  <c r="E857" i="3"/>
  <c r="P856" i="3"/>
  <c r="F856" i="3"/>
  <c r="E856" i="3"/>
  <c r="P855" i="3"/>
  <c r="F855" i="3"/>
  <c r="E855" i="3"/>
  <c r="P854" i="3"/>
  <c r="F854" i="3"/>
  <c r="E854" i="3"/>
  <c r="A854" i="3"/>
  <c r="P853" i="3"/>
  <c r="L853" i="3"/>
  <c r="F853" i="3"/>
  <c r="E853" i="3"/>
  <c r="P852" i="3"/>
  <c r="F852" i="3"/>
  <c r="E852" i="3"/>
  <c r="P851" i="3"/>
  <c r="F851" i="3"/>
  <c r="E851" i="3"/>
  <c r="P850" i="3"/>
  <c r="L850" i="3"/>
  <c r="F850" i="3"/>
  <c r="P849" i="3"/>
  <c r="L849" i="3"/>
  <c r="F849" i="3"/>
  <c r="E849" i="3"/>
  <c r="P848" i="3"/>
  <c r="L848" i="3"/>
  <c r="F848" i="3"/>
  <c r="E848" i="3"/>
  <c r="P847" i="3"/>
  <c r="L847" i="3"/>
  <c r="F847" i="3"/>
  <c r="E847" i="3"/>
  <c r="P846" i="3"/>
  <c r="L846" i="3"/>
  <c r="F846" i="3"/>
  <c r="E846" i="3"/>
  <c r="P845" i="3"/>
  <c r="L845" i="3"/>
  <c r="F845" i="3"/>
  <c r="E845" i="3"/>
  <c r="P844" i="3"/>
  <c r="L844" i="3"/>
  <c r="F844" i="3"/>
  <c r="E844" i="3"/>
  <c r="P843" i="3"/>
  <c r="L843" i="3"/>
  <c r="F843" i="3"/>
  <c r="E843" i="3"/>
  <c r="P842" i="3"/>
  <c r="L842" i="3"/>
  <c r="F842" i="3"/>
  <c r="E842" i="3"/>
  <c r="P841" i="3"/>
  <c r="F841" i="3"/>
  <c r="P840" i="3"/>
  <c r="L840" i="3"/>
  <c r="F840" i="3"/>
  <c r="E840" i="3"/>
  <c r="P839" i="3"/>
  <c r="F839" i="3"/>
  <c r="E839" i="3"/>
  <c r="P838" i="3"/>
  <c r="F838" i="3"/>
  <c r="E838" i="3"/>
  <c r="P837" i="3"/>
  <c r="F837" i="3"/>
  <c r="P836" i="3"/>
  <c r="F836" i="3"/>
  <c r="E836" i="3"/>
  <c r="P835" i="3"/>
  <c r="F835" i="3"/>
  <c r="E835" i="3"/>
  <c r="P834" i="3"/>
  <c r="L834" i="3"/>
  <c r="F834" i="3"/>
  <c r="P833" i="3"/>
  <c r="L833" i="3"/>
  <c r="F833" i="3"/>
  <c r="E833" i="3"/>
  <c r="P832" i="3"/>
  <c r="F832" i="3"/>
  <c r="P831" i="3"/>
  <c r="L831" i="3"/>
  <c r="F831" i="3"/>
  <c r="E831" i="3"/>
  <c r="P830" i="3"/>
  <c r="L830" i="3"/>
  <c r="F830" i="3"/>
  <c r="E830" i="3"/>
  <c r="P829" i="3"/>
  <c r="L829" i="3"/>
  <c r="F829" i="3"/>
  <c r="E829" i="3"/>
  <c r="P828" i="3"/>
  <c r="L828" i="3"/>
  <c r="F828" i="3"/>
  <c r="E828" i="3"/>
  <c r="P827" i="3"/>
  <c r="L827" i="3"/>
  <c r="F827" i="3"/>
  <c r="E827" i="3"/>
  <c r="P826" i="3"/>
  <c r="L826" i="3"/>
  <c r="F826" i="3"/>
  <c r="E826" i="3"/>
  <c r="P825" i="3"/>
  <c r="L825" i="3"/>
  <c r="F825" i="3"/>
  <c r="E825" i="3"/>
  <c r="P824" i="3"/>
  <c r="L824" i="3"/>
  <c r="F824" i="3"/>
  <c r="E824" i="3"/>
  <c r="P823" i="3"/>
  <c r="L823" i="3"/>
  <c r="F823" i="3"/>
  <c r="E823" i="3"/>
  <c r="P822" i="3"/>
  <c r="L822" i="3"/>
  <c r="F822" i="3"/>
  <c r="E822" i="3"/>
  <c r="P821" i="3"/>
  <c r="F821" i="3"/>
  <c r="E821" i="3"/>
  <c r="P820" i="3"/>
  <c r="F820" i="3"/>
  <c r="E820" i="3"/>
  <c r="P819" i="3"/>
  <c r="L819" i="3"/>
  <c r="F819" i="3"/>
  <c r="E819" i="3"/>
  <c r="P818" i="3"/>
  <c r="L818" i="3"/>
  <c r="F818" i="3"/>
  <c r="E818" i="3"/>
  <c r="P817" i="3"/>
  <c r="F817" i="3"/>
  <c r="E817" i="3"/>
  <c r="P816" i="3"/>
  <c r="F816" i="3"/>
  <c r="E816" i="3"/>
  <c r="P815" i="3"/>
  <c r="L815" i="3"/>
  <c r="F815" i="3"/>
  <c r="E815" i="3"/>
  <c r="P814" i="3"/>
  <c r="L814" i="3"/>
  <c r="F814" i="3"/>
  <c r="E814" i="3"/>
  <c r="P813" i="3"/>
  <c r="L813" i="3"/>
  <c r="F813" i="3"/>
  <c r="E813" i="3"/>
  <c r="P812" i="3"/>
  <c r="L812" i="3"/>
  <c r="F812" i="3"/>
  <c r="E812" i="3"/>
  <c r="A812" i="3"/>
  <c r="L811" i="3"/>
  <c r="E811" i="3"/>
  <c r="P810" i="3"/>
  <c r="F810" i="3"/>
  <c r="E810" i="3"/>
  <c r="P809" i="3"/>
  <c r="F809" i="3"/>
  <c r="E809" i="3"/>
  <c r="P808" i="3"/>
  <c r="F808" i="3"/>
  <c r="E808" i="3"/>
  <c r="P807" i="3"/>
  <c r="F807" i="3"/>
  <c r="E807" i="3"/>
  <c r="P806" i="3"/>
  <c r="F806" i="3"/>
  <c r="P805" i="3"/>
  <c r="L805" i="3"/>
  <c r="F805" i="3"/>
  <c r="E805" i="3"/>
  <c r="P804" i="3"/>
  <c r="L804" i="3"/>
  <c r="F804" i="3"/>
  <c r="E804" i="3"/>
  <c r="P803" i="3"/>
  <c r="L803" i="3"/>
  <c r="F803" i="3"/>
  <c r="P802" i="3"/>
  <c r="L802" i="3"/>
  <c r="F802" i="3"/>
  <c r="E802" i="3"/>
  <c r="P801" i="3"/>
  <c r="L801" i="3"/>
  <c r="F801" i="3"/>
  <c r="E801" i="3"/>
  <c r="P800" i="3"/>
  <c r="L800" i="3"/>
  <c r="F800" i="3"/>
  <c r="P799" i="3"/>
  <c r="L799" i="3"/>
  <c r="F799" i="3"/>
  <c r="E799" i="3"/>
  <c r="P798" i="3"/>
  <c r="L798" i="3"/>
  <c r="F798" i="3"/>
  <c r="E798" i="3"/>
  <c r="P797" i="3"/>
  <c r="L797" i="3"/>
  <c r="F797" i="3"/>
  <c r="E797" i="3"/>
  <c r="P796" i="3"/>
  <c r="L796" i="3"/>
  <c r="F796" i="3"/>
  <c r="E796" i="3"/>
  <c r="P795" i="3"/>
  <c r="F795" i="3"/>
  <c r="E795" i="3"/>
  <c r="P794" i="3"/>
  <c r="F794" i="3"/>
  <c r="E794" i="3"/>
  <c r="P793" i="3"/>
  <c r="F793" i="3"/>
  <c r="E793" i="3"/>
  <c r="P792" i="3"/>
  <c r="F792" i="3"/>
  <c r="E792" i="3"/>
  <c r="P791" i="3"/>
  <c r="L791" i="3"/>
  <c r="F791" i="3"/>
  <c r="E791" i="3"/>
  <c r="P790" i="3"/>
  <c r="L790" i="3"/>
  <c r="F790" i="3"/>
  <c r="E790" i="3"/>
  <c r="P789" i="3"/>
  <c r="L789" i="3"/>
  <c r="F789" i="3"/>
  <c r="E789" i="3"/>
  <c r="P788" i="3"/>
  <c r="F788" i="3"/>
  <c r="P787" i="3"/>
  <c r="L787" i="3"/>
  <c r="F787" i="3"/>
  <c r="E787" i="3"/>
  <c r="P786" i="3"/>
  <c r="L786" i="3"/>
  <c r="F786" i="3"/>
  <c r="E786" i="3"/>
  <c r="P785" i="3"/>
  <c r="F785" i="3"/>
  <c r="P784" i="3"/>
  <c r="F784" i="3"/>
  <c r="E784" i="3"/>
  <c r="P783" i="3"/>
  <c r="F783" i="3"/>
  <c r="E783" i="3"/>
  <c r="P782" i="3"/>
  <c r="L782" i="3"/>
  <c r="F782" i="3"/>
  <c r="E782" i="3"/>
  <c r="P781" i="3"/>
  <c r="F781" i="3"/>
  <c r="E781" i="3"/>
  <c r="P780" i="3"/>
  <c r="F780" i="3"/>
  <c r="E780" i="3"/>
  <c r="P779" i="3"/>
  <c r="F779" i="3"/>
  <c r="E779" i="3"/>
  <c r="P778" i="3"/>
  <c r="L778" i="3"/>
  <c r="F778" i="3"/>
  <c r="E778" i="3"/>
  <c r="P777" i="3"/>
  <c r="L777" i="3"/>
  <c r="F777" i="3"/>
  <c r="E777" i="3"/>
  <c r="P776" i="3"/>
  <c r="L776" i="3"/>
  <c r="F776" i="3"/>
  <c r="E776" i="3"/>
  <c r="P775" i="3"/>
  <c r="L775" i="3"/>
  <c r="F775" i="3"/>
  <c r="P774" i="3"/>
  <c r="L774" i="3"/>
  <c r="F774" i="3"/>
  <c r="E774" i="3"/>
  <c r="P773" i="3"/>
  <c r="L773" i="3"/>
  <c r="F773" i="3"/>
  <c r="E773" i="3"/>
  <c r="P772" i="3"/>
  <c r="L772" i="3"/>
  <c r="F772" i="3"/>
  <c r="E772" i="3"/>
  <c r="P771" i="3"/>
  <c r="L771" i="3"/>
  <c r="F771" i="3"/>
  <c r="E771" i="3"/>
  <c r="A771" i="3"/>
  <c r="P770" i="3"/>
  <c r="L770" i="3"/>
  <c r="F770" i="3"/>
  <c r="E770" i="3"/>
  <c r="P769" i="3"/>
  <c r="L769" i="3"/>
  <c r="F769" i="3"/>
  <c r="E769" i="3"/>
  <c r="P768" i="3"/>
  <c r="F768" i="3"/>
  <c r="E768" i="3"/>
  <c r="P767" i="3"/>
  <c r="L767" i="3"/>
  <c r="F767" i="3"/>
  <c r="E767" i="3"/>
  <c r="P766" i="3"/>
  <c r="L766" i="3"/>
  <c r="F766" i="3"/>
  <c r="E766" i="3"/>
  <c r="P765" i="3"/>
  <c r="L765" i="3"/>
  <c r="F765" i="3"/>
  <c r="P764" i="3"/>
  <c r="L764" i="3"/>
  <c r="F764" i="3"/>
  <c r="E764" i="3"/>
  <c r="P763" i="3"/>
  <c r="L763" i="3"/>
  <c r="F763" i="3"/>
  <c r="P762" i="3"/>
  <c r="L762" i="3"/>
  <c r="F762" i="3"/>
  <c r="E762" i="3"/>
  <c r="P761" i="3"/>
  <c r="F761" i="3"/>
  <c r="E761" i="3"/>
  <c r="P760" i="3"/>
  <c r="F760" i="3"/>
  <c r="E760" i="3"/>
  <c r="P759" i="3"/>
  <c r="F759" i="3"/>
  <c r="E759" i="3"/>
  <c r="P758" i="3"/>
  <c r="L758" i="3"/>
  <c r="F758" i="3"/>
  <c r="E758" i="3"/>
  <c r="Q757" i="3"/>
  <c r="P757" i="3"/>
  <c r="L757" i="3"/>
  <c r="F757" i="3"/>
  <c r="E757" i="3"/>
  <c r="P756" i="3"/>
  <c r="F756" i="3"/>
  <c r="E756" i="3"/>
  <c r="P755" i="3"/>
  <c r="F755" i="3"/>
  <c r="E755" i="3"/>
  <c r="P754" i="3"/>
  <c r="F754" i="3"/>
  <c r="E754" i="3"/>
  <c r="P753" i="3"/>
  <c r="F753" i="3"/>
  <c r="E753" i="3"/>
  <c r="P752" i="3"/>
  <c r="F752" i="3"/>
  <c r="P751" i="3"/>
  <c r="F751" i="3"/>
  <c r="E751" i="3"/>
  <c r="P750" i="3"/>
  <c r="F750" i="3"/>
  <c r="P749" i="3"/>
  <c r="F749" i="3"/>
  <c r="P748" i="3"/>
  <c r="F748" i="3"/>
  <c r="E748" i="3"/>
  <c r="P747" i="3"/>
  <c r="F747" i="3"/>
  <c r="E747" i="3"/>
  <c r="P746" i="3"/>
  <c r="F746" i="3"/>
  <c r="E746" i="3"/>
  <c r="P745" i="3"/>
  <c r="F745" i="3"/>
  <c r="E745" i="3"/>
  <c r="P744" i="3"/>
  <c r="F744" i="3"/>
  <c r="E744" i="3"/>
  <c r="P743" i="3"/>
  <c r="F743" i="3"/>
  <c r="E743" i="3"/>
  <c r="P742" i="3"/>
  <c r="F742" i="3"/>
  <c r="E742" i="3"/>
  <c r="P741" i="3"/>
  <c r="F741" i="3"/>
  <c r="E741" i="3"/>
  <c r="P740" i="3"/>
  <c r="F740" i="3"/>
  <c r="E740" i="3"/>
  <c r="P739" i="3"/>
  <c r="F739" i="3"/>
  <c r="P738" i="3"/>
  <c r="L738" i="3"/>
  <c r="F738" i="3"/>
  <c r="E738" i="3"/>
  <c r="P737" i="3"/>
  <c r="L737" i="3"/>
  <c r="F737" i="3"/>
  <c r="E737" i="3"/>
  <c r="P736" i="3"/>
  <c r="L736" i="3"/>
  <c r="F736" i="3"/>
  <c r="E736" i="3"/>
  <c r="P735" i="3"/>
  <c r="F735" i="3"/>
  <c r="E735" i="3"/>
  <c r="P734" i="3"/>
  <c r="F734" i="3"/>
  <c r="E734" i="3"/>
  <c r="P733" i="3"/>
  <c r="L733" i="3"/>
  <c r="F733" i="3"/>
  <c r="E733" i="3"/>
  <c r="P732" i="3"/>
  <c r="L732" i="3"/>
  <c r="F732" i="3"/>
  <c r="E732" i="3"/>
  <c r="P731" i="3"/>
  <c r="L731" i="3"/>
  <c r="F731" i="3"/>
  <c r="E731" i="3"/>
  <c r="P730" i="3"/>
  <c r="L730" i="3"/>
  <c r="F730" i="3"/>
  <c r="E730" i="3"/>
  <c r="P729" i="3"/>
  <c r="L729" i="3"/>
  <c r="F729" i="3"/>
  <c r="E729" i="3"/>
  <c r="P728" i="3"/>
  <c r="L728" i="3"/>
  <c r="F728" i="3"/>
  <c r="E728" i="3"/>
  <c r="P727" i="3"/>
  <c r="L727" i="3"/>
  <c r="F727" i="3"/>
  <c r="E727" i="3"/>
  <c r="P726" i="3"/>
  <c r="L726" i="3"/>
  <c r="F726" i="3"/>
  <c r="E726" i="3"/>
  <c r="P725" i="3"/>
  <c r="L725" i="3"/>
  <c r="F725" i="3"/>
  <c r="E725" i="3"/>
  <c r="A725" i="3"/>
  <c r="P724" i="3"/>
  <c r="L724" i="3"/>
  <c r="F724" i="3"/>
  <c r="E724" i="3"/>
  <c r="L723" i="3"/>
  <c r="E723" i="3"/>
  <c r="P722" i="3"/>
  <c r="F722" i="3"/>
  <c r="P721" i="3"/>
  <c r="L721" i="3"/>
  <c r="F721" i="3"/>
  <c r="E721" i="3"/>
  <c r="P720" i="3"/>
  <c r="L720" i="3"/>
  <c r="F720" i="3"/>
  <c r="E720" i="3"/>
  <c r="P719" i="3"/>
  <c r="L719" i="3"/>
  <c r="F719" i="3"/>
  <c r="E719" i="3"/>
  <c r="P718" i="3"/>
  <c r="L718" i="3"/>
  <c r="F718" i="3"/>
  <c r="E718" i="3"/>
  <c r="P717" i="3"/>
  <c r="L717" i="3"/>
  <c r="F717" i="3"/>
  <c r="E717" i="3"/>
  <c r="P716" i="3"/>
  <c r="L716" i="3"/>
  <c r="F716" i="3"/>
  <c r="E716" i="3"/>
  <c r="P715" i="3"/>
  <c r="L715" i="3"/>
  <c r="F715" i="3"/>
  <c r="E715" i="3"/>
  <c r="P714" i="3"/>
  <c r="L714" i="3"/>
  <c r="F714" i="3"/>
  <c r="E714" i="3"/>
  <c r="P713" i="3"/>
  <c r="F713" i="3"/>
  <c r="E713" i="3"/>
  <c r="P712" i="3"/>
  <c r="F712" i="3"/>
  <c r="E712" i="3"/>
  <c r="P711" i="3"/>
  <c r="L711" i="3"/>
  <c r="F711" i="3"/>
  <c r="E711" i="3"/>
  <c r="P710" i="3"/>
  <c r="L710" i="3"/>
  <c r="F710" i="3"/>
  <c r="P709" i="3"/>
  <c r="F709" i="3"/>
  <c r="E709" i="3"/>
  <c r="P708" i="3"/>
  <c r="F708" i="3"/>
  <c r="E708" i="3"/>
  <c r="P707" i="3"/>
  <c r="F707" i="3"/>
  <c r="E707" i="3"/>
  <c r="P706" i="3"/>
  <c r="L706" i="3"/>
  <c r="F706" i="3"/>
  <c r="P705" i="3"/>
  <c r="L705" i="3"/>
  <c r="F705" i="3"/>
  <c r="P704" i="3"/>
  <c r="F704" i="3"/>
  <c r="E704" i="3"/>
  <c r="P703" i="3"/>
  <c r="F703" i="3"/>
  <c r="E703" i="3"/>
  <c r="P702" i="3"/>
  <c r="L702" i="3"/>
  <c r="F702" i="3"/>
  <c r="P701" i="3"/>
  <c r="L701" i="3"/>
  <c r="F701" i="3"/>
  <c r="E701" i="3"/>
  <c r="P700" i="3"/>
  <c r="L700" i="3"/>
  <c r="F700" i="3"/>
  <c r="E700" i="3"/>
  <c r="P699" i="3"/>
  <c r="L699" i="3"/>
  <c r="F699" i="3"/>
  <c r="E699" i="3"/>
  <c r="P698" i="3"/>
  <c r="F698" i="3"/>
  <c r="E698" i="3"/>
  <c r="P697" i="3"/>
  <c r="L697" i="3"/>
  <c r="F697" i="3"/>
  <c r="E697" i="3"/>
  <c r="P696" i="3"/>
  <c r="L696" i="3"/>
  <c r="F696" i="3"/>
  <c r="E696" i="3"/>
  <c r="P695" i="3"/>
  <c r="F695" i="3"/>
  <c r="E695" i="3"/>
  <c r="P694" i="3"/>
  <c r="F694" i="3"/>
  <c r="E694" i="3"/>
  <c r="P693" i="3"/>
  <c r="F693" i="3"/>
  <c r="E693" i="3"/>
  <c r="P692" i="3"/>
  <c r="F692" i="3"/>
  <c r="E692" i="3"/>
  <c r="P691" i="3"/>
  <c r="F691" i="3"/>
  <c r="E691" i="3"/>
  <c r="P690" i="3"/>
  <c r="L690" i="3"/>
  <c r="F690" i="3"/>
  <c r="E690" i="3"/>
  <c r="P689" i="3"/>
  <c r="L689" i="3"/>
  <c r="F689" i="3"/>
  <c r="E689" i="3"/>
  <c r="P688" i="3"/>
  <c r="L688" i="3"/>
  <c r="F688" i="3"/>
  <c r="E688" i="3"/>
  <c r="P687" i="3"/>
  <c r="L687" i="3"/>
  <c r="F687" i="3"/>
  <c r="E687" i="3"/>
  <c r="A687" i="3"/>
  <c r="P686" i="3"/>
  <c r="L686" i="3"/>
  <c r="F686" i="3"/>
  <c r="E686" i="3"/>
  <c r="P685" i="3"/>
  <c r="L685" i="3"/>
  <c r="F685" i="3"/>
  <c r="E685" i="3"/>
  <c r="P684" i="3"/>
  <c r="F684" i="3"/>
  <c r="P683" i="3"/>
  <c r="L683" i="3"/>
  <c r="F683" i="3"/>
  <c r="E683" i="3"/>
  <c r="P682" i="3"/>
  <c r="L682" i="3"/>
  <c r="F682" i="3"/>
  <c r="E682" i="3"/>
  <c r="P681" i="3"/>
  <c r="L681" i="3"/>
  <c r="F681" i="3"/>
  <c r="P680" i="3"/>
  <c r="L680" i="3"/>
  <c r="F680" i="3"/>
  <c r="E680" i="3"/>
  <c r="P679" i="3"/>
  <c r="L679" i="3"/>
  <c r="F679" i="3"/>
  <c r="E679" i="3"/>
  <c r="P678" i="3"/>
  <c r="L678" i="3"/>
  <c r="F678" i="3"/>
  <c r="P677" i="3"/>
  <c r="L677" i="3"/>
  <c r="F677" i="3"/>
  <c r="E677" i="3"/>
  <c r="P676" i="3"/>
  <c r="L676" i="3"/>
  <c r="F676" i="3"/>
  <c r="E676" i="3"/>
  <c r="P675" i="3"/>
  <c r="L675" i="3"/>
  <c r="F675" i="3"/>
  <c r="E675" i="3"/>
  <c r="P674" i="3"/>
  <c r="L674" i="3"/>
  <c r="F674" i="3"/>
  <c r="E674" i="3"/>
  <c r="P673" i="3"/>
  <c r="F673" i="3"/>
  <c r="E673" i="3"/>
  <c r="P672" i="3"/>
  <c r="F672" i="3"/>
  <c r="E672" i="3"/>
  <c r="P671" i="3"/>
  <c r="F671" i="3"/>
  <c r="E671" i="3"/>
  <c r="Q670" i="3"/>
  <c r="P670" i="3"/>
  <c r="F670" i="3"/>
  <c r="E670" i="3"/>
  <c r="P669" i="3"/>
  <c r="F669" i="3"/>
  <c r="E669" i="3"/>
  <c r="P668" i="3"/>
  <c r="L668" i="3"/>
  <c r="F668" i="3"/>
  <c r="E668" i="3"/>
  <c r="P667" i="3"/>
  <c r="L667" i="3"/>
  <c r="F667" i="3"/>
  <c r="E667" i="3"/>
  <c r="P666" i="3"/>
  <c r="L666" i="3"/>
  <c r="F666" i="3"/>
  <c r="P665" i="3"/>
  <c r="F665" i="3"/>
  <c r="E665" i="3"/>
  <c r="P664" i="3"/>
  <c r="F664" i="3"/>
  <c r="E664" i="3"/>
  <c r="P663" i="3"/>
  <c r="F663" i="3"/>
  <c r="E663" i="3"/>
  <c r="P662" i="3"/>
  <c r="L662" i="3"/>
  <c r="F662" i="3"/>
  <c r="E662" i="3"/>
  <c r="P661" i="3"/>
  <c r="L661" i="3"/>
  <c r="F661" i="3"/>
  <c r="P660" i="3"/>
  <c r="L660" i="3"/>
  <c r="F660" i="3"/>
  <c r="E660" i="3"/>
  <c r="P659" i="3"/>
  <c r="L659" i="3"/>
  <c r="F659" i="3"/>
  <c r="E659" i="3"/>
  <c r="P658" i="3"/>
  <c r="F658" i="3"/>
  <c r="E658" i="3"/>
  <c r="P657" i="3"/>
  <c r="F657" i="3"/>
  <c r="E657" i="3"/>
  <c r="P656" i="3"/>
  <c r="F656" i="3"/>
  <c r="E656" i="3"/>
  <c r="P655" i="3"/>
  <c r="F655" i="3"/>
  <c r="E655" i="3"/>
  <c r="P654" i="3"/>
  <c r="F654" i="3"/>
  <c r="E654" i="3"/>
  <c r="P653" i="3"/>
  <c r="L653" i="3"/>
  <c r="F653" i="3"/>
  <c r="E653" i="3"/>
  <c r="P652" i="3"/>
  <c r="L652" i="3"/>
  <c r="F652" i="3"/>
  <c r="E652" i="3"/>
  <c r="P651" i="3"/>
  <c r="L651" i="3"/>
  <c r="F651" i="3"/>
  <c r="E651" i="3"/>
  <c r="A651" i="3"/>
  <c r="P650" i="3"/>
  <c r="L650" i="3"/>
  <c r="F650" i="3"/>
  <c r="E650" i="3"/>
  <c r="P649" i="3"/>
  <c r="L649" i="3"/>
  <c r="F649" i="3"/>
  <c r="E649" i="3"/>
  <c r="P648" i="3"/>
  <c r="L648" i="3"/>
  <c r="F648" i="3"/>
  <c r="E648" i="3"/>
  <c r="P647" i="3"/>
  <c r="L647" i="3"/>
  <c r="F647" i="3"/>
  <c r="E647" i="3"/>
  <c r="P646" i="3"/>
  <c r="L646" i="3"/>
  <c r="F646" i="3"/>
  <c r="E646" i="3"/>
  <c r="P645" i="3"/>
  <c r="L645" i="3"/>
  <c r="F645" i="3"/>
  <c r="E645" i="3"/>
  <c r="P644" i="3"/>
  <c r="L644" i="3"/>
  <c r="F644" i="3"/>
  <c r="E644" i="3"/>
  <c r="P643" i="3"/>
  <c r="F643" i="3"/>
  <c r="E643" i="3"/>
  <c r="P642" i="3"/>
  <c r="F642" i="3"/>
  <c r="E642" i="3"/>
  <c r="P641" i="3"/>
  <c r="F641" i="3"/>
  <c r="E641" i="3"/>
  <c r="P640" i="3"/>
  <c r="F640" i="3"/>
  <c r="E640" i="3"/>
  <c r="P639" i="3"/>
  <c r="F639" i="3"/>
  <c r="E639" i="3"/>
  <c r="P638" i="3"/>
  <c r="L638" i="3"/>
  <c r="F638" i="3"/>
  <c r="E638" i="3"/>
  <c r="P637" i="3"/>
  <c r="F637" i="3"/>
  <c r="E637" i="3"/>
  <c r="P636" i="3"/>
  <c r="F636" i="3"/>
  <c r="E636" i="3"/>
  <c r="P635" i="3"/>
  <c r="F635" i="3"/>
  <c r="P634" i="3"/>
  <c r="F634" i="3"/>
  <c r="E634" i="3"/>
  <c r="P633" i="3"/>
  <c r="F633" i="3"/>
  <c r="E633" i="3"/>
  <c r="P632" i="3"/>
  <c r="L632" i="3"/>
  <c r="F632" i="3"/>
  <c r="E632" i="3"/>
  <c r="P631" i="3"/>
  <c r="L631" i="3"/>
  <c r="F631" i="3"/>
  <c r="E631" i="3"/>
  <c r="P630" i="3"/>
  <c r="L630" i="3"/>
  <c r="F630" i="3"/>
  <c r="E630" i="3"/>
  <c r="P629" i="3"/>
  <c r="L629" i="3"/>
  <c r="F629" i="3"/>
  <c r="E629" i="3"/>
  <c r="P628" i="3"/>
  <c r="L628" i="3"/>
  <c r="F628" i="3"/>
  <c r="E628" i="3"/>
  <c r="P627" i="3"/>
  <c r="L627" i="3"/>
  <c r="F627" i="3"/>
  <c r="E627" i="3"/>
  <c r="P626" i="3"/>
  <c r="L626" i="3"/>
  <c r="F626" i="3"/>
  <c r="E626" i="3"/>
  <c r="P625" i="3"/>
  <c r="L625" i="3"/>
  <c r="F625" i="3"/>
  <c r="E625" i="3"/>
  <c r="A625" i="3"/>
  <c r="P624" i="3"/>
  <c r="L624" i="3"/>
  <c r="F624" i="3"/>
  <c r="E624" i="3"/>
  <c r="L623" i="3"/>
  <c r="E623" i="3"/>
  <c r="P622" i="3"/>
  <c r="L622" i="3"/>
  <c r="F622" i="3"/>
  <c r="E622" i="3"/>
  <c r="P621" i="3"/>
  <c r="L621" i="3"/>
  <c r="F621" i="3"/>
  <c r="E621" i="3"/>
  <c r="P620" i="3"/>
  <c r="L620" i="3"/>
  <c r="F620" i="3"/>
  <c r="E620" i="3"/>
  <c r="P619" i="3"/>
  <c r="L619" i="3"/>
  <c r="F619" i="3"/>
  <c r="E619" i="3"/>
  <c r="P618" i="3"/>
  <c r="L618" i="3"/>
  <c r="F618" i="3"/>
  <c r="E618" i="3"/>
  <c r="P617" i="3"/>
  <c r="L617" i="3"/>
  <c r="F617" i="3"/>
  <c r="E617" i="3"/>
  <c r="P616" i="3"/>
  <c r="L616" i="3"/>
  <c r="F616" i="3"/>
  <c r="E616" i="3"/>
  <c r="P615" i="3"/>
  <c r="L615" i="3"/>
  <c r="F615" i="3"/>
  <c r="E615" i="3"/>
  <c r="P614" i="3"/>
  <c r="L614" i="3"/>
  <c r="F614" i="3"/>
  <c r="E614" i="3"/>
  <c r="P613" i="3"/>
  <c r="L613" i="3"/>
  <c r="F613" i="3"/>
  <c r="P612" i="3"/>
  <c r="L612" i="3"/>
  <c r="F612" i="3"/>
  <c r="E612" i="3"/>
  <c r="P611" i="3"/>
  <c r="L611" i="3"/>
  <c r="F611" i="3"/>
  <c r="E611" i="3"/>
  <c r="P610" i="3"/>
  <c r="F610" i="3"/>
  <c r="E610" i="3"/>
  <c r="P609" i="3"/>
  <c r="F609" i="3"/>
  <c r="E609" i="3"/>
  <c r="P608" i="3"/>
  <c r="F608" i="3"/>
  <c r="E608" i="3"/>
  <c r="P607" i="3"/>
  <c r="L607" i="3"/>
  <c r="F607" i="3"/>
  <c r="E607" i="3"/>
  <c r="P606" i="3"/>
  <c r="F606" i="3"/>
  <c r="E606" i="3"/>
  <c r="P605" i="3"/>
  <c r="L605" i="3"/>
  <c r="F605" i="3"/>
  <c r="E605" i="3"/>
  <c r="P604" i="3"/>
  <c r="F604" i="3"/>
  <c r="E604" i="3"/>
  <c r="P603" i="3"/>
  <c r="L603" i="3"/>
  <c r="F603" i="3"/>
  <c r="E603" i="3"/>
  <c r="P602" i="3"/>
  <c r="F602" i="3"/>
  <c r="E602" i="3"/>
  <c r="P601" i="3"/>
  <c r="L601" i="3"/>
  <c r="F601" i="3"/>
  <c r="E601" i="3"/>
  <c r="P600" i="3"/>
  <c r="L600" i="3"/>
  <c r="F600" i="3"/>
  <c r="E600" i="3"/>
  <c r="P599" i="3"/>
  <c r="F599" i="3"/>
  <c r="E599" i="3"/>
  <c r="P598" i="3"/>
  <c r="F598" i="3"/>
  <c r="E598" i="3"/>
  <c r="P597" i="3"/>
  <c r="F597" i="3"/>
  <c r="P596" i="3"/>
  <c r="L596" i="3"/>
  <c r="F596" i="3"/>
  <c r="E596" i="3"/>
  <c r="P595" i="3"/>
  <c r="L595" i="3"/>
  <c r="F595" i="3"/>
  <c r="E595" i="3"/>
  <c r="P594" i="3"/>
  <c r="F594" i="3"/>
  <c r="E594" i="3"/>
  <c r="P593" i="3"/>
  <c r="F593" i="3"/>
  <c r="E593" i="3"/>
  <c r="P592" i="3"/>
  <c r="F592" i="3"/>
  <c r="E592" i="3"/>
  <c r="P591" i="3"/>
  <c r="F591" i="3"/>
  <c r="E591" i="3"/>
  <c r="P590" i="3"/>
  <c r="L590" i="3"/>
  <c r="F590" i="3"/>
  <c r="E590" i="3"/>
  <c r="P589" i="3"/>
  <c r="L589" i="3"/>
  <c r="F589" i="3"/>
  <c r="E589" i="3"/>
  <c r="P588" i="3"/>
  <c r="L588" i="3"/>
  <c r="F588" i="3"/>
  <c r="E588" i="3"/>
  <c r="P587" i="3"/>
  <c r="F587" i="3"/>
  <c r="E587" i="3"/>
  <c r="P586" i="3"/>
  <c r="L586" i="3"/>
  <c r="F586" i="3"/>
  <c r="P585" i="3"/>
  <c r="L585" i="3"/>
  <c r="F585" i="3"/>
  <c r="E585" i="3"/>
  <c r="P584" i="3"/>
  <c r="F584" i="3"/>
  <c r="E584" i="3"/>
  <c r="P583" i="3"/>
  <c r="F583" i="3"/>
  <c r="E583" i="3"/>
  <c r="P582" i="3"/>
  <c r="L582" i="3"/>
  <c r="F582" i="3"/>
  <c r="E582" i="3"/>
  <c r="P581" i="3"/>
  <c r="L581" i="3"/>
  <c r="F581" i="3"/>
  <c r="E581" i="3"/>
  <c r="P580" i="3"/>
  <c r="L580" i="3"/>
  <c r="F580" i="3"/>
  <c r="E580" i="3"/>
  <c r="P579" i="3"/>
  <c r="L579" i="3"/>
  <c r="F579" i="3"/>
  <c r="E579" i="3"/>
  <c r="P578" i="3"/>
  <c r="L578" i="3"/>
  <c r="F578" i="3"/>
  <c r="E578" i="3"/>
  <c r="P577" i="3"/>
  <c r="L577" i="3"/>
  <c r="F577" i="3"/>
  <c r="E577" i="3"/>
  <c r="A577" i="3"/>
  <c r="P576" i="3"/>
  <c r="L576" i="3"/>
  <c r="F576" i="3"/>
  <c r="E576" i="3"/>
  <c r="P575" i="3"/>
  <c r="L575" i="3"/>
  <c r="F575" i="3"/>
  <c r="E575" i="3"/>
  <c r="P574" i="3"/>
  <c r="F574" i="3"/>
  <c r="E574" i="3"/>
  <c r="P573" i="3"/>
  <c r="F573" i="3"/>
  <c r="E573" i="3"/>
  <c r="P572" i="3"/>
  <c r="L572" i="3"/>
  <c r="F572" i="3"/>
  <c r="E572" i="3"/>
  <c r="P571" i="3"/>
  <c r="F571" i="3"/>
  <c r="E571" i="3"/>
  <c r="P570" i="3"/>
  <c r="F570" i="3"/>
  <c r="E570" i="3"/>
  <c r="P569" i="3"/>
  <c r="F569" i="3"/>
  <c r="E569" i="3"/>
  <c r="P568" i="3"/>
  <c r="F568" i="3"/>
  <c r="E568" i="3"/>
  <c r="P567" i="3"/>
  <c r="L567" i="3"/>
  <c r="F567" i="3"/>
  <c r="E567" i="3"/>
  <c r="P566" i="3"/>
  <c r="L566" i="3"/>
  <c r="F566" i="3"/>
  <c r="E566" i="3"/>
  <c r="P565" i="3"/>
  <c r="L565" i="3"/>
  <c r="F565" i="3"/>
  <c r="P564" i="3"/>
  <c r="L564" i="3"/>
  <c r="F564" i="3"/>
  <c r="E564" i="3"/>
  <c r="P563" i="3"/>
  <c r="L563" i="3"/>
  <c r="F563" i="3"/>
  <c r="E563" i="3"/>
  <c r="P562" i="3"/>
  <c r="F562" i="3"/>
  <c r="P561" i="3"/>
  <c r="F561" i="3"/>
  <c r="E561" i="3"/>
  <c r="P560" i="3"/>
  <c r="F560" i="3"/>
  <c r="E560" i="3"/>
  <c r="P559" i="3"/>
  <c r="L559" i="3"/>
  <c r="F559" i="3"/>
  <c r="E559" i="3"/>
  <c r="P558" i="3"/>
  <c r="L558" i="3"/>
  <c r="F558" i="3"/>
  <c r="E558" i="3"/>
  <c r="P557" i="3"/>
  <c r="F557" i="3"/>
  <c r="E557" i="3"/>
  <c r="P556" i="3"/>
  <c r="L556" i="3"/>
  <c r="F556" i="3"/>
  <c r="E556" i="3"/>
  <c r="P555" i="3"/>
  <c r="L555" i="3"/>
  <c r="F555" i="3"/>
  <c r="E555" i="3"/>
  <c r="P554" i="3"/>
  <c r="L554" i="3"/>
  <c r="F554" i="3"/>
  <c r="E554" i="3"/>
  <c r="P553" i="3"/>
  <c r="L553" i="3"/>
  <c r="F553" i="3"/>
  <c r="E553" i="3"/>
  <c r="P552" i="3"/>
  <c r="L552" i="3"/>
  <c r="F552" i="3"/>
  <c r="E552" i="3"/>
  <c r="P551" i="3"/>
  <c r="L551" i="3"/>
  <c r="F551" i="3"/>
  <c r="E551" i="3"/>
  <c r="P550" i="3"/>
  <c r="L550" i="3"/>
  <c r="F550" i="3"/>
  <c r="E550" i="3"/>
  <c r="P549" i="3"/>
  <c r="L549" i="3"/>
  <c r="F549" i="3"/>
  <c r="E549" i="3"/>
  <c r="P548" i="3"/>
  <c r="L548" i="3"/>
  <c r="F548" i="3"/>
  <c r="E548" i="3"/>
  <c r="P547" i="3"/>
  <c r="L547" i="3"/>
  <c r="F547" i="3"/>
  <c r="E547" i="3"/>
  <c r="A547" i="3"/>
  <c r="P546" i="3"/>
  <c r="L546" i="3"/>
  <c r="F546" i="3"/>
  <c r="E546" i="3"/>
  <c r="P545" i="3"/>
  <c r="L545" i="3"/>
  <c r="F545" i="3"/>
  <c r="E545" i="3"/>
  <c r="P544" i="3"/>
  <c r="L544" i="3"/>
  <c r="F544" i="3"/>
  <c r="E544" i="3"/>
  <c r="P543" i="3"/>
  <c r="L543" i="3"/>
  <c r="F543" i="3"/>
  <c r="E543" i="3"/>
  <c r="P542" i="3"/>
  <c r="F542" i="3"/>
  <c r="P541" i="3"/>
  <c r="F541" i="3"/>
  <c r="P540" i="3"/>
  <c r="L540" i="3"/>
  <c r="F540" i="3"/>
  <c r="E540" i="3"/>
  <c r="P539" i="3"/>
  <c r="L539" i="3"/>
  <c r="F539" i="3"/>
  <c r="E539" i="3"/>
  <c r="P538" i="3"/>
  <c r="L538" i="3"/>
  <c r="F538" i="3"/>
  <c r="E538" i="3"/>
  <c r="P537" i="3"/>
  <c r="F537" i="3"/>
  <c r="E537" i="3"/>
  <c r="P536" i="3"/>
  <c r="F536" i="3"/>
  <c r="E536" i="3"/>
  <c r="P535" i="3"/>
  <c r="F535" i="3"/>
  <c r="E535" i="3"/>
  <c r="P534" i="3"/>
  <c r="F534" i="3"/>
  <c r="E534" i="3"/>
  <c r="P533" i="3"/>
  <c r="F533" i="3"/>
  <c r="P532" i="3"/>
  <c r="F532" i="3"/>
  <c r="E532" i="3"/>
  <c r="P531" i="3"/>
  <c r="F531" i="3"/>
  <c r="E531" i="3"/>
  <c r="P530" i="3"/>
  <c r="F530" i="3"/>
  <c r="E530" i="3"/>
  <c r="P529" i="3"/>
  <c r="F529" i="3"/>
  <c r="E529" i="3"/>
  <c r="P528" i="3"/>
  <c r="F528" i="3"/>
  <c r="E528" i="3"/>
  <c r="P527" i="3"/>
  <c r="F527" i="3"/>
  <c r="E527" i="3"/>
  <c r="P526" i="3"/>
  <c r="F526" i="3"/>
  <c r="E526" i="3"/>
  <c r="P525" i="3"/>
  <c r="F525" i="3"/>
  <c r="E525" i="3"/>
  <c r="P524" i="3"/>
  <c r="L524" i="3"/>
  <c r="F524" i="3"/>
  <c r="E524" i="3"/>
  <c r="P523" i="3"/>
  <c r="L523" i="3"/>
  <c r="F523" i="3"/>
  <c r="E523" i="3"/>
  <c r="P522" i="3"/>
  <c r="L522" i="3"/>
  <c r="F522" i="3"/>
  <c r="E522" i="3"/>
  <c r="P521" i="3"/>
  <c r="F521" i="3"/>
  <c r="E521" i="3"/>
  <c r="P520" i="3"/>
  <c r="F520" i="3"/>
  <c r="P519" i="3"/>
  <c r="F519" i="3"/>
  <c r="E519" i="3"/>
  <c r="P518" i="3"/>
  <c r="L518" i="3"/>
  <c r="F518" i="3"/>
  <c r="E518" i="3"/>
  <c r="P517" i="3"/>
  <c r="L517" i="3"/>
  <c r="F517" i="3"/>
  <c r="E517" i="3"/>
  <c r="P516" i="3"/>
  <c r="L516" i="3"/>
  <c r="F516" i="3"/>
  <c r="E516" i="3"/>
  <c r="P515" i="3"/>
  <c r="F515" i="3"/>
  <c r="E515" i="3"/>
  <c r="P514" i="3"/>
  <c r="L514" i="3"/>
  <c r="F514" i="3"/>
  <c r="E514" i="3"/>
  <c r="P513" i="3"/>
  <c r="L513" i="3"/>
  <c r="F513" i="3"/>
  <c r="E513" i="3"/>
  <c r="F512" i="3"/>
  <c r="E512" i="3"/>
  <c r="P511" i="3"/>
  <c r="L511" i="3"/>
  <c r="F511" i="3"/>
  <c r="E511" i="3"/>
  <c r="P510" i="3"/>
  <c r="L510" i="3"/>
  <c r="F510" i="3"/>
  <c r="E510" i="3"/>
  <c r="P509" i="3"/>
  <c r="L509" i="3"/>
  <c r="F509" i="3"/>
  <c r="E509" i="3"/>
  <c r="P508" i="3"/>
  <c r="L508" i="3"/>
  <c r="F508" i="3"/>
  <c r="E508" i="3"/>
  <c r="P507" i="3"/>
  <c r="L507" i="3"/>
  <c r="F507" i="3"/>
  <c r="E507" i="3"/>
  <c r="P506" i="3"/>
  <c r="L506" i="3"/>
  <c r="F506" i="3"/>
  <c r="E506" i="3"/>
  <c r="A506" i="3"/>
  <c r="P505" i="3"/>
  <c r="L505" i="3"/>
  <c r="F505" i="3"/>
  <c r="E505" i="3"/>
  <c r="P504" i="3"/>
  <c r="L504" i="3"/>
  <c r="F504" i="3"/>
  <c r="E504" i="3"/>
  <c r="P503" i="3"/>
  <c r="F503" i="3"/>
  <c r="E503" i="3"/>
  <c r="P502" i="3"/>
  <c r="F502" i="3"/>
  <c r="E502" i="3"/>
  <c r="P501" i="3"/>
  <c r="F501" i="3"/>
  <c r="E501" i="3"/>
  <c r="P500" i="3"/>
  <c r="F500" i="3"/>
  <c r="E500" i="3"/>
  <c r="P499" i="3"/>
  <c r="L499" i="3"/>
  <c r="F499" i="3"/>
  <c r="E499" i="3"/>
  <c r="P498" i="3"/>
  <c r="F498" i="3"/>
  <c r="E498" i="3"/>
  <c r="P497" i="3"/>
  <c r="F497" i="3"/>
  <c r="E497" i="3"/>
  <c r="P496" i="3"/>
  <c r="L496" i="3"/>
  <c r="F496" i="3"/>
  <c r="E496" i="3"/>
  <c r="P495" i="3"/>
  <c r="L495" i="3"/>
  <c r="F495" i="3"/>
  <c r="E495" i="3"/>
  <c r="P494" i="3"/>
  <c r="F494" i="3"/>
  <c r="E494" i="3"/>
  <c r="P493" i="3"/>
  <c r="F493" i="3"/>
  <c r="E493" i="3"/>
  <c r="P492" i="3"/>
  <c r="F492" i="3"/>
  <c r="E492" i="3"/>
  <c r="P491" i="3"/>
  <c r="F491" i="3"/>
  <c r="E491" i="3"/>
  <c r="P490" i="3"/>
  <c r="F490" i="3"/>
  <c r="E490" i="3"/>
  <c r="P489" i="3"/>
  <c r="L489" i="3"/>
  <c r="F489" i="3"/>
  <c r="E489" i="3"/>
  <c r="P488" i="3"/>
  <c r="F488" i="3"/>
  <c r="E488" i="3"/>
  <c r="P487" i="3"/>
  <c r="L487" i="3"/>
  <c r="F487" i="3"/>
  <c r="E487" i="3"/>
  <c r="P486" i="3"/>
  <c r="L486" i="3"/>
  <c r="F486" i="3"/>
  <c r="E486" i="3"/>
  <c r="P485" i="3"/>
  <c r="L485" i="3"/>
  <c r="F485" i="3"/>
  <c r="E485" i="3"/>
  <c r="P484" i="3"/>
  <c r="F484" i="3"/>
  <c r="E484" i="3"/>
  <c r="P483" i="3"/>
  <c r="F483" i="3"/>
  <c r="E483" i="3"/>
  <c r="P482" i="3"/>
  <c r="F482" i="3"/>
  <c r="E482" i="3"/>
  <c r="P481" i="3"/>
  <c r="L481" i="3"/>
  <c r="F481" i="3"/>
  <c r="E481" i="3"/>
  <c r="P480" i="3"/>
  <c r="L480" i="3"/>
  <c r="F480" i="3"/>
  <c r="E480" i="3"/>
  <c r="P479" i="3"/>
  <c r="L479" i="3"/>
  <c r="F479" i="3"/>
  <c r="E479" i="3"/>
  <c r="P478" i="3"/>
  <c r="F478" i="3"/>
  <c r="E478" i="3"/>
  <c r="P477" i="3"/>
  <c r="F477" i="3"/>
  <c r="E477" i="3"/>
  <c r="P476" i="3"/>
  <c r="F476" i="3"/>
  <c r="E476" i="3"/>
  <c r="P475" i="3"/>
  <c r="L475" i="3"/>
  <c r="F475" i="3"/>
  <c r="E475" i="3"/>
  <c r="P474" i="3"/>
  <c r="L474" i="3"/>
  <c r="F474" i="3"/>
  <c r="E474" i="3"/>
  <c r="P473" i="3"/>
  <c r="L473" i="3"/>
  <c r="F473" i="3"/>
  <c r="E473" i="3"/>
  <c r="P472" i="3"/>
  <c r="L472" i="3"/>
  <c r="F472" i="3"/>
  <c r="E472" i="3"/>
  <c r="P471" i="3"/>
  <c r="L471" i="3"/>
  <c r="F471" i="3"/>
  <c r="E471" i="3"/>
  <c r="P470" i="3"/>
  <c r="L470" i="3"/>
  <c r="F470" i="3"/>
  <c r="E470" i="3"/>
  <c r="A470" i="3"/>
  <c r="P469" i="3"/>
  <c r="L469" i="3"/>
  <c r="F469" i="3"/>
  <c r="E469" i="3"/>
  <c r="P468" i="3"/>
  <c r="L468" i="3"/>
  <c r="F468" i="3"/>
  <c r="E468" i="3"/>
  <c r="P467" i="3"/>
  <c r="F467" i="3"/>
  <c r="E467" i="3"/>
  <c r="P466" i="3"/>
  <c r="L466" i="3"/>
  <c r="F466" i="3"/>
  <c r="E466" i="3"/>
  <c r="P465" i="3"/>
  <c r="F465" i="3"/>
  <c r="E465" i="3"/>
  <c r="P464" i="3"/>
  <c r="F464" i="3"/>
  <c r="E464" i="3"/>
  <c r="P463" i="3"/>
  <c r="F463" i="3"/>
  <c r="E463" i="3"/>
  <c r="P462" i="3"/>
  <c r="F462" i="3"/>
  <c r="E462" i="3"/>
  <c r="P461" i="3"/>
  <c r="F461" i="3"/>
  <c r="E461" i="3"/>
  <c r="P460" i="3"/>
  <c r="L460" i="3"/>
  <c r="F460" i="3"/>
  <c r="E460" i="3"/>
  <c r="P459" i="3"/>
  <c r="F459" i="3"/>
  <c r="E459" i="3"/>
  <c r="P458" i="3"/>
  <c r="F458" i="3"/>
  <c r="E458" i="3"/>
  <c r="P457" i="3"/>
  <c r="F457" i="3"/>
  <c r="E457" i="3"/>
  <c r="P456" i="3"/>
  <c r="F456" i="3"/>
  <c r="E456" i="3"/>
  <c r="P455" i="3"/>
  <c r="F455" i="3"/>
  <c r="E455" i="3"/>
  <c r="P454" i="3"/>
  <c r="L454" i="3"/>
  <c r="F454" i="3"/>
  <c r="E454" i="3"/>
  <c r="P453" i="3"/>
  <c r="F453" i="3"/>
  <c r="E453" i="3"/>
  <c r="P452" i="3"/>
  <c r="L452" i="3"/>
  <c r="F452" i="3"/>
  <c r="E452" i="3"/>
  <c r="P451" i="3"/>
  <c r="F451" i="3"/>
  <c r="E451" i="3"/>
  <c r="P450" i="3"/>
  <c r="F450" i="3"/>
  <c r="E450" i="3"/>
  <c r="P449" i="3"/>
  <c r="L449" i="3"/>
  <c r="F449" i="3"/>
  <c r="E449" i="3"/>
  <c r="P448" i="3"/>
  <c r="L448" i="3"/>
  <c r="F448" i="3"/>
  <c r="E448" i="3"/>
  <c r="P447" i="3"/>
  <c r="L447" i="3"/>
  <c r="F447" i="3"/>
  <c r="E447" i="3"/>
  <c r="P446" i="3"/>
  <c r="L446" i="3"/>
  <c r="F446" i="3"/>
  <c r="E446" i="3"/>
  <c r="P445" i="3"/>
  <c r="F445" i="3"/>
  <c r="E445" i="3"/>
  <c r="P444" i="3"/>
  <c r="F444" i="3"/>
  <c r="E444" i="3"/>
  <c r="P443" i="3"/>
  <c r="L443" i="3"/>
  <c r="F443" i="3"/>
  <c r="E443" i="3"/>
  <c r="P442" i="3"/>
  <c r="L442" i="3"/>
  <c r="F442" i="3"/>
  <c r="E442" i="3"/>
  <c r="F441" i="3"/>
  <c r="E441" i="3"/>
  <c r="P440" i="3"/>
  <c r="L440" i="3"/>
  <c r="F440" i="3"/>
  <c r="E440" i="3"/>
  <c r="P439" i="3"/>
  <c r="L439" i="3"/>
  <c r="F439" i="3"/>
  <c r="E439" i="3"/>
  <c r="P438" i="3"/>
  <c r="L438" i="3"/>
  <c r="F438" i="3"/>
  <c r="E438" i="3"/>
  <c r="P437" i="3"/>
  <c r="L437" i="3"/>
  <c r="F437" i="3"/>
  <c r="E437" i="3"/>
  <c r="P436" i="3"/>
  <c r="L436" i="3"/>
  <c r="F436" i="3"/>
  <c r="E436" i="3"/>
  <c r="P435" i="3"/>
  <c r="L435" i="3"/>
  <c r="F435" i="3"/>
  <c r="E435" i="3"/>
  <c r="P434" i="3"/>
  <c r="L434" i="3"/>
  <c r="F434" i="3"/>
  <c r="E434" i="3"/>
  <c r="A434" i="3"/>
  <c r="P433" i="3"/>
  <c r="L433" i="3"/>
  <c r="F433" i="3"/>
  <c r="E433" i="3"/>
  <c r="P432" i="3"/>
  <c r="L432" i="3"/>
  <c r="F432" i="3"/>
  <c r="E432" i="3"/>
  <c r="P431" i="3"/>
  <c r="L431" i="3"/>
  <c r="F431" i="3"/>
  <c r="E431" i="3"/>
  <c r="P430" i="3"/>
  <c r="F430" i="3"/>
  <c r="E430" i="3"/>
  <c r="P429" i="3"/>
  <c r="F429" i="3"/>
  <c r="E429" i="3"/>
  <c r="P428" i="3"/>
  <c r="F428" i="3"/>
  <c r="E428" i="3"/>
  <c r="P427" i="3"/>
  <c r="F427" i="3"/>
  <c r="E427" i="3"/>
  <c r="P426" i="3"/>
  <c r="L426" i="3"/>
  <c r="F426" i="3"/>
  <c r="E426" i="3"/>
  <c r="P425" i="3"/>
  <c r="L425" i="3"/>
  <c r="F425" i="3"/>
  <c r="E425" i="3"/>
  <c r="P424" i="3"/>
  <c r="L424" i="3"/>
  <c r="F424" i="3"/>
  <c r="E424" i="3"/>
  <c r="P423" i="3"/>
  <c r="F423" i="3"/>
  <c r="E423" i="3"/>
  <c r="P422" i="3"/>
  <c r="F422" i="3"/>
  <c r="E422" i="3"/>
  <c r="P421" i="3"/>
  <c r="F421" i="3"/>
  <c r="E421" i="3"/>
  <c r="P420" i="3"/>
  <c r="F420" i="3"/>
  <c r="E420" i="3"/>
  <c r="A420" i="3"/>
  <c r="P419" i="3"/>
  <c r="F419" i="3"/>
  <c r="E419" i="3"/>
  <c r="P418" i="3"/>
  <c r="L418" i="3"/>
  <c r="F418" i="3"/>
  <c r="E418" i="3"/>
  <c r="L417" i="3"/>
  <c r="E417" i="3"/>
  <c r="P416" i="3"/>
  <c r="L416" i="3"/>
  <c r="F416" i="3"/>
  <c r="E416" i="3"/>
  <c r="P415" i="3"/>
  <c r="L415" i="3"/>
  <c r="F415" i="3"/>
  <c r="E415" i="3"/>
  <c r="P414" i="3"/>
  <c r="L414" i="3"/>
  <c r="F414" i="3"/>
  <c r="E414" i="3"/>
  <c r="P413" i="3"/>
  <c r="L413" i="3"/>
  <c r="F413" i="3"/>
  <c r="E413" i="3"/>
  <c r="P412" i="3"/>
  <c r="L412" i="3"/>
  <c r="F412" i="3"/>
  <c r="E412" i="3"/>
  <c r="P411" i="3"/>
  <c r="L411" i="3"/>
  <c r="F411" i="3"/>
  <c r="E411" i="3"/>
  <c r="P410" i="3"/>
  <c r="L410" i="3"/>
  <c r="F410" i="3"/>
  <c r="E410" i="3"/>
  <c r="P409" i="3"/>
  <c r="L409" i="3"/>
  <c r="F409" i="3"/>
  <c r="E409" i="3"/>
  <c r="P408" i="3"/>
  <c r="L408" i="3"/>
  <c r="F408" i="3"/>
  <c r="E408" i="3"/>
  <c r="P407" i="3"/>
  <c r="L407" i="3"/>
  <c r="F407" i="3"/>
  <c r="E407" i="3"/>
  <c r="P406" i="3"/>
  <c r="F406" i="3"/>
  <c r="E406" i="3"/>
  <c r="P405" i="3"/>
  <c r="F405" i="3"/>
  <c r="E405" i="3"/>
  <c r="P404" i="3"/>
  <c r="F404" i="3"/>
  <c r="E404" i="3"/>
  <c r="P403" i="3"/>
  <c r="L403" i="3"/>
  <c r="F403" i="3"/>
  <c r="E403" i="3"/>
  <c r="P402" i="3"/>
  <c r="L402" i="3"/>
  <c r="F402" i="3"/>
  <c r="E402" i="3"/>
  <c r="P401" i="3"/>
  <c r="L401" i="3"/>
  <c r="F401" i="3"/>
  <c r="E401" i="3"/>
  <c r="P400" i="3"/>
  <c r="L400" i="3"/>
  <c r="F400" i="3"/>
  <c r="E400" i="3"/>
  <c r="P399" i="3"/>
  <c r="L399" i="3"/>
  <c r="F399" i="3"/>
  <c r="E399" i="3"/>
  <c r="P398" i="3"/>
  <c r="L398" i="3"/>
  <c r="F398" i="3"/>
  <c r="E398" i="3"/>
  <c r="P397" i="3"/>
  <c r="L397" i="3"/>
  <c r="F397" i="3"/>
  <c r="E397" i="3"/>
  <c r="P396" i="3"/>
  <c r="L396" i="3"/>
  <c r="F396" i="3"/>
  <c r="E396" i="3"/>
  <c r="P395" i="3"/>
  <c r="L395" i="3"/>
  <c r="F395" i="3"/>
  <c r="E395" i="3"/>
  <c r="P394" i="3"/>
  <c r="L394" i="3"/>
  <c r="F394" i="3"/>
  <c r="E394" i="3"/>
  <c r="P393" i="3"/>
  <c r="L393" i="3"/>
  <c r="F393" i="3"/>
  <c r="E393" i="3"/>
  <c r="P392" i="3"/>
  <c r="L392" i="3"/>
  <c r="F392" i="3"/>
  <c r="E392" i="3"/>
  <c r="P391" i="3"/>
  <c r="L391" i="3"/>
  <c r="F391" i="3"/>
  <c r="E391" i="3"/>
  <c r="P390" i="3"/>
  <c r="F390" i="3"/>
  <c r="E390" i="3"/>
  <c r="P389" i="3"/>
  <c r="F389" i="3"/>
  <c r="E389" i="3"/>
  <c r="P388" i="3"/>
  <c r="L388" i="3"/>
  <c r="F388" i="3"/>
  <c r="E388" i="3"/>
  <c r="P387" i="3"/>
  <c r="L387" i="3"/>
  <c r="F387" i="3"/>
  <c r="E387" i="3"/>
  <c r="P386" i="3"/>
  <c r="L386" i="3"/>
  <c r="F386" i="3"/>
  <c r="E386" i="3"/>
  <c r="P385" i="3"/>
  <c r="L385" i="3"/>
  <c r="F385" i="3"/>
  <c r="E385" i="3"/>
  <c r="P384" i="3"/>
  <c r="L384" i="3"/>
  <c r="F384" i="3"/>
  <c r="E384" i="3"/>
  <c r="P383" i="3"/>
  <c r="L383" i="3"/>
  <c r="F383" i="3"/>
  <c r="E383" i="3"/>
  <c r="P382" i="3"/>
  <c r="L382" i="3"/>
  <c r="F382" i="3"/>
  <c r="E382" i="3"/>
  <c r="P381" i="3"/>
  <c r="L381" i="3"/>
  <c r="F381" i="3"/>
  <c r="E381" i="3"/>
  <c r="P380" i="3"/>
  <c r="L380" i="3"/>
  <c r="F380" i="3"/>
  <c r="E380" i="3"/>
  <c r="P379" i="3"/>
  <c r="L379" i="3"/>
  <c r="F379" i="3"/>
  <c r="E379" i="3"/>
  <c r="P378" i="3"/>
  <c r="F378" i="3"/>
  <c r="E378" i="3"/>
  <c r="P377" i="3"/>
  <c r="F377" i="3"/>
  <c r="E377" i="3"/>
  <c r="P376" i="3"/>
  <c r="L376" i="3"/>
  <c r="F376" i="3"/>
  <c r="E376" i="3"/>
  <c r="P375" i="3"/>
  <c r="L375" i="3"/>
  <c r="F375" i="3"/>
  <c r="E375" i="3"/>
  <c r="P374" i="3"/>
  <c r="L374" i="3"/>
  <c r="F374" i="3"/>
  <c r="E374" i="3"/>
  <c r="P373" i="3"/>
  <c r="L373" i="3"/>
  <c r="F373" i="3"/>
  <c r="E373" i="3"/>
  <c r="A373" i="3"/>
  <c r="P372" i="3"/>
  <c r="L372" i="3"/>
  <c r="F372" i="3"/>
  <c r="E372" i="3"/>
  <c r="P371" i="3"/>
  <c r="L371" i="3"/>
  <c r="F371" i="3"/>
  <c r="E371" i="3"/>
  <c r="P370" i="3"/>
  <c r="L370" i="3"/>
  <c r="F370" i="3"/>
  <c r="E370" i="3"/>
  <c r="P369" i="3"/>
  <c r="F369" i="3"/>
  <c r="E369" i="3"/>
  <c r="P368" i="3"/>
  <c r="F368" i="3"/>
  <c r="E368" i="3"/>
  <c r="P367" i="3"/>
  <c r="F367" i="3"/>
  <c r="E367" i="3"/>
  <c r="P366" i="3"/>
  <c r="F366" i="3"/>
  <c r="E366" i="3"/>
  <c r="P365" i="3"/>
  <c r="F365" i="3"/>
  <c r="E365" i="3"/>
  <c r="P364" i="3"/>
  <c r="F364" i="3"/>
  <c r="E364" i="3"/>
  <c r="P363" i="3"/>
  <c r="F363" i="3"/>
  <c r="E363" i="3"/>
  <c r="P362" i="3"/>
  <c r="F362" i="3"/>
  <c r="E362" i="3"/>
  <c r="P361" i="3"/>
  <c r="F361" i="3"/>
  <c r="E361" i="3"/>
  <c r="P360" i="3"/>
  <c r="F360" i="3"/>
  <c r="E360" i="3"/>
  <c r="P359" i="3"/>
  <c r="L359" i="3"/>
  <c r="F359" i="3"/>
  <c r="E359" i="3"/>
  <c r="P358" i="3"/>
  <c r="F358" i="3"/>
  <c r="E358" i="3"/>
  <c r="P357" i="3"/>
  <c r="F357" i="3"/>
  <c r="E357" i="3"/>
  <c r="P356" i="3"/>
  <c r="F356" i="3"/>
  <c r="E356" i="3"/>
  <c r="E355" i="3"/>
  <c r="P354" i="3"/>
  <c r="F354" i="3"/>
  <c r="E354" i="3"/>
  <c r="P353" i="3"/>
  <c r="F353" i="3"/>
  <c r="E353" i="3"/>
  <c r="P352" i="3"/>
  <c r="L352" i="3"/>
  <c r="F352" i="3"/>
  <c r="E352" i="3"/>
  <c r="P351" i="3"/>
  <c r="L351" i="3"/>
  <c r="F351" i="3"/>
  <c r="E351" i="3"/>
  <c r="P350" i="3"/>
  <c r="F350" i="3"/>
  <c r="E350" i="3"/>
  <c r="P349" i="3"/>
  <c r="F349" i="3"/>
  <c r="E349" i="3"/>
  <c r="P348" i="3"/>
  <c r="F348" i="3"/>
  <c r="E348" i="3"/>
  <c r="P347" i="3"/>
  <c r="F347" i="3"/>
  <c r="E347" i="3"/>
  <c r="P346" i="3"/>
  <c r="F346" i="3"/>
  <c r="E346" i="3"/>
  <c r="P345" i="3"/>
  <c r="L345" i="3"/>
  <c r="F345" i="3"/>
  <c r="E345" i="3"/>
  <c r="P344" i="3"/>
  <c r="L344" i="3"/>
  <c r="F344" i="3"/>
  <c r="E344" i="3"/>
  <c r="P343" i="3"/>
  <c r="L343" i="3"/>
  <c r="F343" i="3"/>
  <c r="E343" i="3"/>
  <c r="P342" i="3"/>
  <c r="L342" i="3"/>
  <c r="F342" i="3"/>
  <c r="E342" i="3"/>
  <c r="P341" i="3"/>
  <c r="L341" i="3"/>
  <c r="F341" i="3"/>
  <c r="E341" i="3"/>
  <c r="P340" i="3"/>
  <c r="F340" i="3"/>
  <c r="E340" i="3"/>
  <c r="P339" i="3"/>
  <c r="F339" i="3"/>
  <c r="E339" i="3"/>
  <c r="P338" i="3"/>
  <c r="L338" i="3"/>
  <c r="F338" i="3"/>
  <c r="E338" i="3"/>
  <c r="P337" i="3"/>
  <c r="L337" i="3"/>
  <c r="F337" i="3"/>
  <c r="E337" i="3"/>
  <c r="P336" i="3"/>
  <c r="L336" i="3"/>
  <c r="F336" i="3"/>
  <c r="E336" i="3"/>
  <c r="P335" i="3"/>
  <c r="L335" i="3"/>
  <c r="F335" i="3"/>
  <c r="E335" i="3"/>
  <c r="P334" i="3"/>
  <c r="L334" i="3"/>
  <c r="F334" i="3"/>
  <c r="E334" i="3"/>
  <c r="P333" i="3"/>
  <c r="L333" i="3"/>
  <c r="F333" i="3"/>
  <c r="E333" i="3"/>
  <c r="A333" i="3"/>
  <c r="P332" i="3"/>
  <c r="L332" i="3"/>
  <c r="F332" i="3"/>
  <c r="E332" i="3"/>
  <c r="P331" i="3"/>
  <c r="F331" i="3"/>
  <c r="E331" i="3"/>
  <c r="P330" i="3"/>
  <c r="F330" i="3"/>
  <c r="E330" i="3"/>
  <c r="P329" i="3"/>
  <c r="L329" i="3"/>
  <c r="F329" i="3"/>
  <c r="E329" i="3"/>
  <c r="P328" i="3"/>
  <c r="F328" i="3"/>
  <c r="E328" i="3"/>
  <c r="P327" i="3"/>
  <c r="F327" i="3"/>
  <c r="E327" i="3"/>
  <c r="P326" i="3"/>
  <c r="F326" i="3"/>
  <c r="E326" i="3"/>
  <c r="P325" i="3"/>
  <c r="F325" i="3"/>
  <c r="E325" i="3"/>
  <c r="P324" i="3"/>
  <c r="F324" i="3"/>
  <c r="E324" i="3"/>
  <c r="P323" i="3"/>
  <c r="L323" i="3"/>
  <c r="F323" i="3"/>
  <c r="E323" i="3"/>
  <c r="P322" i="3"/>
  <c r="L322" i="3"/>
  <c r="F322" i="3"/>
  <c r="E322" i="3"/>
  <c r="P321" i="3"/>
  <c r="L321" i="3"/>
  <c r="F321" i="3"/>
  <c r="E321" i="3"/>
  <c r="P320" i="3"/>
  <c r="F320" i="3"/>
  <c r="E320" i="3"/>
  <c r="P319" i="3"/>
  <c r="F319" i="3"/>
  <c r="E319" i="3"/>
  <c r="P318" i="3"/>
  <c r="L318" i="3"/>
  <c r="F318" i="3"/>
  <c r="E318" i="3"/>
  <c r="P317" i="3"/>
  <c r="F317" i="3"/>
  <c r="E317" i="3"/>
  <c r="P316" i="3"/>
  <c r="F316" i="3"/>
  <c r="E316" i="3"/>
  <c r="P315" i="3"/>
  <c r="F315" i="3"/>
  <c r="E315" i="3"/>
  <c r="P314" i="3"/>
  <c r="L314" i="3"/>
  <c r="F314" i="3"/>
  <c r="E314" i="3"/>
  <c r="P313" i="3"/>
  <c r="L313" i="3"/>
  <c r="F313" i="3"/>
  <c r="E313" i="3"/>
  <c r="P312" i="3"/>
  <c r="L312" i="3"/>
  <c r="F312" i="3"/>
  <c r="E312" i="3"/>
  <c r="P311" i="3"/>
  <c r="L311" i="3"/>
  <c r="F311" i="3"/>
  <c r="E311" i="3"/>
  <c r="P310" i="3"/>
  <c r="L310" i="3"/>
  <c r="F310" i="3"/>
  <c r="E310" i="3"/>
  <c r="P309" i="3"/>
  <c r="L309" i="3"/>
  <c r="F309" i="3"/>
  <c r="E309" i="3"/>
  <c r="P308" i="3"/>
  <c r="L308" i="3"/>
  <c r="F308" i="3"/>
  <c r="E308" i="3"/>
  <c r="P307" i="3"/>
  <c r="L307" i="3"/>
  <c r="F307" i="3"/>
  <c r="E307" i="3"/>
  <c r="P306" i="3"/>
  <c r="L306" i="3"/>
  <c r="F306" i="3"/>
  <c r="E306" i="3"/>
  <c r="P305" i="3"/>
  <c r="L305" i="3"/>
  <c r="F305" i="3"/>
  <c r="E305" i="3"/>
  <c r="P304" i="3"/>
  <c r="L304" i="3"/>
  <c r="F304" i="3"/>
  <c r="E304" i="3"/>
  <c r="P303" i="3"/>
  <c r="L303" i="3"/>
  <c r="F303" i="3"/>
  <c r="E303" i="3"/>
  <c r="P302" i="3"/>
  <c r="L302" i="3"/>
  <c r="F302" i="3"/>
  <c r="E302" i="3"/>
  <c r="P301" i="3"/>
  <c r="L301" i="3"/>
  <c r="F301" i="3"/>
  <c r="E301" i="3"/>
  <c r="P300" i="3"/>
  <c r="L300" i="3"/>
  <c r="F300" i="3"/>
  <c r="E300" i="3"/>
  <c r="A300" i="3"/>
  <c r="P299" i="3"/>
  <c r="L299" i="3"/>
  <c r="F299" i="3"/>
  <c r="E299" i="3"/>
  <c r="P298" i="3"/>
  <c r="L298" i="3"/>
  <c r="F298" i="3"/>
  <c r="E298" i="3"/>
  <c r="P297" i="3"/>
  <c r="F297" i="3"/>
  <c r="E297" i="3"/>
  <c r="P296" i="3"/>
  <c r="L296" i="3"/>
  <c r="F296" i="3"/>
  <c r="E296" i="3"/>
  <c r="P295" i="3"/>
  <c r="L295" i="3"/>
  <c r="F295" i="3"/>
  <c r="E295" i="3"/>
  <c r="P294" i="3"/>
  <c r="L294" i="3"/>
  <c r="F294" i="3"/>
  <c r="E294" i="3"/>
  <c r="P293" i="3"/>
  <c r="L293" i="3"/>
  <c r="F293" i="3"/>
  <c r="E293" i="3"/>
  <c r="P292" i="3"/>
  <c r="L292" i="3"/>
  <c r="F292" i="3"/>
  <c r="E292" i="3"/>
  <c r="P291" i="3"/>
  <c r="L291" i="3"/>
  <c r="F291" i="3"/>
  <c r="E291" i="3"/>
  <c r="P290" i="3"/>
  <c r="L290" i="3"/>
  <c r="F290" i="3"/>
  <c r="E290" i="3"/>
  <c r="P289" i="3"/>
  <c r="F289" i="3"/>
  <c r="E289" i="3"/>
  <c r="P288" i="3"/>
  <c r="F288" i="3"/>
  <c r="E288" i="3"/>
  <c r="P287" i="3"/>
  <c r="F287" i="3"/>
  <c r="E287" i="3"/>
  <c r="P286" i="3"/>
  <c r="F286" i="3"/>
  <c r="E286" i="3"/>
  <c r="P285" i="3"/>
  <c r="F285" i="3"/>
  <c r="E285" i="3"/>
  <c r="P284" i="3"/>
  <c r="L284" i="3"/>
  <c r="F284" i="3"/>
  <c r="E284" i="3"/>
  <c r="P283" i="3"/>
  <c r="L283" i="3"/>
  <c r="F283" i="3"/>
  <c r="E283" i="3"/>
  <c r="P282" i="3"/>
  <c r="F282" i="3"/>
  <c r="E282" i="3"/>
  <c r="P281" i="3"/>
  <c r="F281" i="3"/>
  <c r="E281" i="3"/>
  <c r="P280" i="3"/>
  <c r="L280" i="3"/>
  <c r="F280" i="3"/>
  <c r="E280" i="3"/>
  <c r="P279" i="3"/>
  <c r="L279" i="3"/>
  <c r="F279" i="3"/>
  <c r="E279" i="3"/>
  <c r="P278" i="3"/>
  <c r="L278" i="3"/>
  <c r="F278" i="3"/>
  <c r="E278" i="3"/>
  <c r="P277" i="3"/>
  <c r="L277" i="3"/>
  <c r="F277" i="3"/>
  <c r="E277" i="3"/>
  <c r="P276" i="3"/>
  <c r="L276" i="3"/>
  <c r="F276" i="3"/>
  <c r="E276" i="3"/>
  <c r="P275" i="3"/>
  <c r="L275" i="3"/>
  <c r="F275" i="3"/>
  <c r="E275" i="3"/>
  <c r="P274" i="3"/>
  <c r="L274" i="3"/>
  <c r="F274" i="3"/>
  <c r="E274" i="3"/>
  <c r="P273" i="3"/>
  <c r="L273" i="3"/>
  <c r="F273" i="3"/>
  <c r="E273" i="3"/>
  <c r="P272" i="3"/>
  <c r="L272" i="3"/>
  <c r="F272" i="3"/>
  <c r="E272" i="3"/>
  <c r="P271" i="3"/>
  <c r="L271" i="3"/>
  <c r="F271" i="3"/>
  <c r="E271" i="3"/>
  <c r="P270" i="3"/>
  <c r="F270" i="3"/>
  <c r="E270" i="3"/>
  <c r="P269" i="3"/>
  <c r="L269" i="3"/>
  <c r="F269" i="3"/>
  <c r="E269" i="3"/>
  <c r="P268" i="3"/>
  <c r="L268" i="3"/>
  <c r="F268" i="3"/>
  <c r="E268" i="3"/>
  <c r="P267" i="3"/>
  <c r="F267" i="3"/>
  <c r="E267" i="3"/>
  <c r="P266" i="3"/>
  <c r="F266" i="3"/>
  <c r="E266" i="3"/>
  <c r="P265" i="3"/>
  <c r="F265" i="3"/>
  <c r="E265" i="3"/>
  <c r="P264" i="3"/>
  <c r="F264" i="3"/>
  <c r="E264" i="3"/>
  <c r="P263" i="3"/>
  <c r="L263" i="3"/>
  <c r="F263" i="3"/>
  <c r="E263" i="3"/>
  <c r="P262" i="3"/>
  <c r="L262" i="3"/>
  <c r="F262" i="3"/>
  <c r="E262" i="3"/>
  <c r="P261" i="3"/>
  <c r="L261" i="3"/>
  <c r="F261" i="3"/>
  <c r="E261" i="3"/>
  <c r="A261" i="3"/>
  <c r="P260" i="3"/>
  <c r="L260" i="3"/>
  <c r="F260" i="3"/>
  <c r="E260" i="3"/>
  <c r="P259" i="3"/>
  <c r="L259" i="3"/>
  <c r="F259" i="3"/>
  <c r="E259" i="3"/>
  <c r="P258" i="3"/>
  <c r="F258" i="3"/>
  <c r="E258" i="3"/>
  <c r="P257" i="3"/>
  <c r="L257" i="3"/>
  <c r="F257" i="3"/>
  <c r="E257" i="3"/>
  <c r="P256" i="3"/>
  <c r="L256" i="3"/>
  <c r="F256" i="3"/>
  <c r="E256" i="3"/>
  <c r="P255" i="3"/>
  <c r="L255" i="3"/>
  <c r="F255" i="3"/>
  <c r="E255" i="3"/>
  <c r="P254" i="3"/>
  <c r="L254" i="3"/>
  <c r="F254" i="3"/>
  <c r="E254" i="3"/>
  <c r="P253" i="3"/>
  <c r="L253" i="3"/>
  <c r="F253" i="3"/>
  <c r="E253" i="3"/>
  <c r="P252" i="3"/>
  <c r="L252" i="3"/>
  <c r="F252" i="3"/>
  <c r="E252" i="3"/>
  <c r="P251" i="3"/>
  <c r="L251" i="3"/>
  <c r="F251" i="3"/>
  <c r="E251" i="3"/>
  <c r="P250" i="3"/>
  <c r="L250" i="3"/>
  <c r="F250" i="3"/>
  <c r="E250" i="3"/>
  <c r="P249" i="3"/>
  <c r="L249" i="3"/>
  <c r="F249" i="3"/>
  <c r="E249" i="3"/>
  <c r="P248" i="3"/>
  <c r="L248" i="3"/>
  <c r="F248" i="3"/>
  <c r="E248" i="3"/>
  <c r="P247" i="3"/>
  <c r="F247" i="3"/>
  <c r="E247" i="3"/>
  <c r="P246" i="3"/>
  <c r="F246" i="3"/>
  <c r="E246" i="3"/>
  <c r="P245" i="3"/>
  <c r="F245" i="3"/>
  <c r="E245" i="3"/>
  <c r="P244" i="3"/>
  <c r="F244" i="3"/>
  <c r="E244" i="3"/>
  <c r="P243" i="3"/>
  <c r="F243" i="3"/>
  <c r="E243" i="3"/>
  <c r="P242" i="3"/>
  <c r="F242" i="3"/>
  <c r="E242" i="3"/>
  <c r="P241" i="3"/>
  <c r="L241" i="3"/>
  <c r="F241" i="3"/>
  <c r="E241" i="3"/>
  <c r="P240" i="3"/>
  <c r="L240" i="3"/>
  <c r="F240" i="3"/>
  <c r="E240" i="3"/>
  <c r="P239" i="3"/>
  <c r="F239" i="3"/>
  <c r="E239" i="3"/>
  <c r="P238" i="3"/>
  <c r="L238" i="3"/>
  <c r="F238" i="3"/>
  <c r="E238" i="3"/>
  <c r="P237" i="3"/>
  <c r="L237" i="3"/>
  <c r="F237" i="3"/>
  <c r="E237" i="3"/>
  <c r="P236" i="3"/>
  <c r="L236" i="3"/>
  <c r="F236" i="3"/>
  <c r="E236" i="3"/>
  <c r="P235" i="3"/>
  <c r="L235" i="3"/>
  <c r="F235" i="3"/>
  <c r="E235" i="3"/>
  <c r="P234" i="3"/>
  <c r="L234" i="3"/>
  <c r="F234" i="3"/>
  <c r="E234" i="3"/>
  <c r="P233" i="3"/>
  <c r="F233" i="3"/>
  <c r="E233" i="3"/>
  <c r="P232" i="3"/>
  <c r="F232" i="3"/>
  <c r="E232" i="3"/>
  <c r="P231" i="3"/>
  <c r="F231" i="3"/>
  <c r="E231" i="3"/>
  <c r="P230" i="3"/>
  <c r="F230" i="3"/>
  <c r="E230" i="3"/>
  <c r="P229" i="3"/>
  <c r="F229" i="3"/>
  <c r="E229" i="3"/>
  <c r="P228" i="3"/>
  <c r="F228" i="3"/>
  <c r="E228" i="3"/>
  <c r="L227" i="3"/>
  <c r="F227" i="3"/>
  <c r="E227" i="3"/>
  <c r="L226" i="3"/>
  <c r="F226" i="3"/>
  <c r="E226" i="3"/>
  <c r="L225" i="3"/>
  <c r="F225" i="3"/>
  <c r="E225" i="3"/>
  <c r="L224" i="3"/>
  <c r="F224" i="3"/>
  <c r="E224" i="3"/>
  <c r="L223" i="3"/>
  <c r="F223" i="3"/>
  <c r="E223" i="3"/>
  <c r="L222" i="3"/>
  <c r="F222" i="3"/>
  <c r="E222" i="3"/>
  <c r="L221" i="3"/>
  <c r="F221" i="3"/>
  <c r="E221" i="3"/>
  <c r="A221" i="3"/>
  <c r="L220" i="3"/>
  <c r="F220" i="3"/>
  <c r="E220" i="3"/>
  <c r="Q219" i="3"/>
  <c r="P219" i="3"/>
  <c r="F219" i="3"/>
  <c r="E219" i="3"/>
  <c r="Q218" i="3"/>
  <c r="P218" i="3"/>
  <c r="F218" i="3"/>
  <c r="E218" i="3"/>
  <c r="Q217" i="3"/>
  <c r="P217" i="3"/>
  <c r="F217" i="3"/>
  <c r="E217" i="3"/>
  <c r="Q216" i="3"/>
  <c r="P216" i="3"/>
  <c r="L216" i="3"/>
  <c r="F216" i="3"/>
  <c r="E216" i="3"/>
  <c r="Q215" i="3"/>
  <c r="P215" i="3"/>
  <c r="F215" i="3"/>
  <c r="E215" i="3"/>
  <c r="Q214" i="3"/>
  <c r="P214" i="3"/>
  <c r="F214" i="3"/>
  <c r="E214" i="3"/>
  <c r="Q213" i="3"/>
  <c r="P213" i="3"/>
  <c r="F213" i="3"/>
  <c r="E213" i="3"/>
  <c r="Q212" i="3"/>
  <c r="P212" i="3"/>
  <c r="L212" i="3"/>
  <c r="F212" i="3"/>
  <c r="E212" i="3"/>
  <c r="Q211" i="3"/>
  <c r="P211" i="3"/>
  <c r="F211" i="3"/>
  <c r="E211" i="3"/>
  <c r="Q210" i="3"/>
  <c r="P210" i="3"/>
  <c r="F210" i="3"/>
  <c r="E210" i="3"/>
  <c r="Q209" i="3"/>
  <c r="P209" i="3"/>
  <c r="F209" i="3"/>
  <c r="E209" i="3"/>
  <c r="Q208" i="3"/>
  <c r="P208" i="3"/>
  <c r="F208" i="3"/>
  <c r="E208" i="3"/>
  <c r="Q207" i="3"/>
  <c r="P207" i="3"/>
  <c r="F207" i="3"/>
  <c r="E207" i="3"/>
  <c r="Q206" i="3"/>
  <c r="P206" i="3"/>
  <c r="L206" i="3"/>
  <c r="F206" i="3"/>
  <c r="E206" i="3"/>
  <c r="Q205" i="3"/>
  <c r="P205" i="3"/>
  <c r="L205" i="3"/>
  <c r="F205" i="3"/>
  <c r="E205" i="3"/>
  <c r="Q204" i="3"/>
  <c r="P204" i="3"/>
  <c r="L204" i="3"/>
  <c r="F204" i="3"/>
  <c r="E204" i="3"/>
  <c r="A204" i="3"/>
  <c r="Q203" i="3"/>
  <c r="P203" i="3"/>
  <c r="L203" i="3"/>
  <c r="F203" i="3"/>
  <c r="E203" i="3"/>
  <c r="Q202" i="3"/>
  <c r="P202" i="3"/>
  <c r="L202" i="3"/>
  <c r="F202" i="3"/>
  <c r="E202" i="3"/>
  <c r="Q201" i="3"/>
  <c r="P201" i="3"/>
  <c r="L201" i="3"/>
  <c r="F201" i="3"/>
  <c r="E201" i="3"/>
  <c r="Q200" i="3"/>
  <c r="P200" i="3"/>
  <c r="L200" i="3"/>
  <c r="F200" i="3"/>
  <c r="E200" i="3"/>
  <c r="F199" i="3"/>
  <c r="E199" i="3"/>
  <c r="Q198" i="3"/>
  <c r="P198" i="3"/>
  <c r="L198" i="3"/>
  <c r="F198" i="3"/>
  <c r="E198" i="3"/>
  <c r="Q197" i="3"/>
  <c r="P197" i="3"/>
  <c r="L197" i="3"/>
  <c r="F197" i="3"/>
  <c r="E197" i="3"/>
  <c r="Q196" i="3"/>
  <c r="P196" i="3"/>
  <c r="L196" i="3"/>
  <c r="F196" i="3"/>
  <c r="E196" i="3"/>
  <c r="Q195" i="3"/>
  <c r="P195" i="3"/>
  <c r="F195" i="3"/>
  <c r="E195" i="3"/>
  <c r="Q194" i="3"/>
  <c r="P194" i="3"/>
  <c r="F194" i="3"/>
  <c r="E194" i="3"/>
  <c r="Q193" i="3"/>
  <c r="P193" i="3"/>
  <c r="L193" i="3"/>
  <c r="F193" i="3"/>
  <c r="E193" i="3"/>
  <c r="Q192" i="3"/>
  <c r="P192" i="3"/>
  <c r="L192" i="3"/>
  <c r="F192" i="3"/>
  <c r="E192" i="3"/>
  <c r="Q191" i="3"/>
  <c r="P191" i="3"/>
  <c r="L191" i="3"/>
  <c r="F191" i="3"/>
  <c r="E191" i="3"/>
  <c r="Q190" i="3"/>
  <c r="P190" i="3"/>
  <c r="F190" i="3"/>
  <c r="E190" i="3"/>
  <c r="Q189" i="3"/>
  <c r="P189" i="3"/>
  <c r="L189" i="3"/>
  <c r="F189" i="3"/>
  <c r="E189" i="3"/>
  <c r="Q188" i="3"/>
  <c r="P188" i="3"/>
  <c r="L188" i="3"/>
  <c r="F188" i="3"/>
  <c r="E188" i="3"/>
  <c r="Q187" i="3"/>
  <c r="P187" i="3"/>
  <c r="L187" i="3"/>
  <c r="F187" i="3"/>
  <c r="E187" i="3"/>
  <c r="Q186" i="3"/>
  <c r="P186" i="3"/>
  <c r="L186" i="3"/>
  <c r="F186" i="3"/>
  <c r="E186" i="3"/>
  <c r="Q185" i="3"/>
  <c r="P185" i="3"/>
  <c r="L185" i="3"/>
  <c r="F185" i="3"/>
  <c r="E185" i="3"/>
  <c r="Q184" i="3"/>
  <c r="P184" i="3"/>
  <c r="F184" i="3"/>
  <c r="E184" i="3"/>
  <c r="Q183" i="3"/>
  <c r="P183" i="3"/>
  <c r="F183" i="3"/>
  <c r="E183" i="3"/>
  <c r="Q182" i="3"/>
  <c r="P182" i="3"/>
  <c r="F182" i="3"/>
  <c r="E182" i="3"/>
  <c r="Q181" i="3"/>
  <c r="P181" i="3"/>
  <c r="F181" i="3"/>
  <c r="E181" i="3"/>
  <c r="Q180" i="3"/>
  <c r="P180" i="3"/>
  <c r="L180" i="3"/>
  <c r="F180" i="3"/>
  <c r="E180" i="3"/>
  <c r="Q179" i="3"/>
  <c r="P179" i="3"/>
  <c r="F179" i="3"/>
  <c r="E179" i="3"/>
  <c r="Q178" i="3"/>
  <c r="P178" i="3"/>
  <c r="F178" i="3"/>
  <c r="E178" i="3"/>
  <c r="Q177" i="3"/>
  <c r="P177" i="3"/>
  <c r="L177" i="3"/>
  <c r="F177" i="3"/>
  <c r="E177" i="3"/>
  <c r="Q176" i="3"/>
  <c r="P176" i="3"/>
  <c r="F176" i="3"/>
  <c r="E176" i="3"/>
  <c r="Q175" i="3"/>
  <c r="P175" i="3"/>
  <c r="L175" i="3"/>
  <c r="F175" i="3"/>
  <c r="E175" i="3"/>
  <c r="Q174" i="3"/>
  <c r="P174" i="3"/>
  <c r="L174" i="3"/>
  <c r="F174" i="3"/>
  <c r="E174" i="3"/>
  <c r="Q173" i="3"/>
  <c r="P173" i="3"/>
  <c r="F173" i="3"/>
  <c r="E173" i="3"/>
  <c r="Q172" i="3"/>
  <c r="P172" i="3"/>
  <c r="L172" i="3"/>
  <c r="F172" i="3"/>
  <c r="E172" i="3"/>
  <c r="Q171" i="3"/>
  <c r="P171" i="3"/>
  <c r="L171" i="3"/>
  <c r="F171" i="3"/>
  <c r="E171" i="3"/>
  <c r="Q170" i="3"/>
  <c r="P170" i="3"/>
  <c r="L170" i="3"/>
  <c r="F170" i="3"/>
  <c r="E170" i="3"/>
  <c r="Q169" i="3"/>
  <c r="P169" i="3"/>
  <c r="F169" i="3"/>
  <c r="E169" i="3"/>
  <c r="Q168" i="3"/>
  <c r="P168" i="3"/>
  <c r="F168" i="3"/>
  <c r="E168" i="3"/>
  <c r="Q167" i="3"/>
  <c r="P167" i="3"/>
  <c r="F167" i="3"/>
  <c r="E167" i="3"/>
  <c r="Q166" i="3"/>
  <c r="P166" i="3"/>
  <c r="F166" i="3"/>
  <c r="E166" i="3"/>
  <c r="Q165" i="3"/>
  <c r="P165" i="3"/>
  <c r="F165" i="3"/>
  <c r="E165" i="3"/>
  <c r="Q164" i="3"/>
  <c r="P164" i="3"/>
  <c r="F164" i="3"/>
  <c r="E164" i="3"/>
  <c r="Q163" i="3"/>
  <c r="P163" i="3"/>
  <c r="L163" i="3"/>
  <c r="F163" i="3"/>
  <c r="E163" i="3"/>
  <c r="Q162" i="3"/>
  <c r="P162" i="3"/>
  <c r="L162" i="3"/>
  <c r="F162" i="3"/>
  <c r="E162" i="3"/>
  <c r="Q161" i="3"/>
  <c r="P161" i="3"/>
  <c r="L161" i="3"/>
  <c r="F161" i="3"/>
  <c r="E161" i="3"/>
  <c r="Q160" i="3"/>
  <c r="P160" i="3"/>
  <c r="L160" i="3"/>
  <c r="F160" i="3"/>
  <c r="E160" i="3"/>
  <c r="Q159" i="3"/>
  <c r="P159" i="3"/>
  <c r="L159" i="3"/>
  <c r="F159" i="3"/>
  <c r="E159" i="3"/>
  <c r="A159" i="3"/>
  <c r="L158" i="3"/>
  <c r="F158" i="3"/>
  <c r="E158" i="3"/>
  <c r="Q157" i="3"/>
  <c r="P157" i="3"/>
  <c r="L157" i="3"/>
  <c r="F157" i="3"/>
  <c r="E157" i="3"/>
  <c r="Q156" i="3"/>
  <c r="P156" i="3"/>
  <c r="L156" i="3"/>
  <c r="F156" i="3"/>
  <c r="E156" i="3"/>
  <c r="Q155" i="3"/>
  <c r="P155" i="3"/>
  <c r="L155" i="3"/>
  <c r="F155" i="3"/>
  <c r="E155" i="3"/>
  <c r="Q154" i="3"/>
  <c r="P154" i="3"/>
  <c r="L154" i="3"/>
  <c r="F154" i="3"/>
  <c r="E154" i="3"/>
  <c r="Q153" i="3"/>
  <c r="P153" i="3"/>
  <c r="F153" i="3"/>
  <c r="E153" i="3"/>
  <c r="Q152" i="3"/>
  <c r="P152" i="3"/>
  <c r="F152" i="3"/>
  <c r="E152" i="3"/>
  <c r="Q151" i="3"/>
  <c r="P151" i="3"/>
  <c r="F151" i="3"/>
  <c r="E151" i="3"/>
  <c r="Q150" i="3"/>
  <c r="P150" i="3"/>
  <c r="L150" i="3"/>
  <c r="F150" i="3"/>
  <c r="E150" i="3"/>
  <c r="Q149" i="3"/>
  <c r="P149" i="3"/>
  <c r="F149" i="3"/>
  <c r="E149" i="3"/>
  <c r="Q148" i="3"/>
  <c r="P148" i="3"/>
  <c r="F148" i="3"/>
  <c r="E148" i="3"/>
  <c r="Q147" i="3"/>
  <c r="P147" i="3"/>
  <c r="L147" i="3"/>
  <c r="F147" i="3"/>
  <c r="E147" i="3"/>
  <c r="Q146" i="3"/>
  <c r="P146" i="3"/>
  <c r="F146" i="3"/>
  <c r="E146" i="3"/>
  <c r="Q145" i="3"/>
  <c r="P145" i="3"/>
  <c r="F145" i="3"/>
  <c r="E145" i="3"/>
  <c r="Q144" i="3"/>
  <c r="P144" i="3"/>
  <c r="F144" i="3"/>
  <c r="E144" i="3"/>
  <c r="Q143" i="3"/>
  <c r="P143" i="3"/>
  <c r="F143" i="3"/>
  <c r="E143" i="3"/>
  <c r="Q142" i="3"/>
  <c r="P142" i="3"/>
  <c r="L142" i="3"/>
  <c r="F142" i="3"/>
  <c r="E142" i="3"/>
  <c r="Q141" i="3"/>
  <c r="P141" i="3"/>
  <c r="L141" i="3"/>
  <c r="F141" i="3"/>
  <c r="E141" i="3"/>
  <c r="Q140" i="3"/>
  <c r="P140" i="3"/>
  <c r="F140" i="3"/>
  <c r="E140" i="3"/>
  <c r="Q139" i="3"/>
  <c r="P139" i="3"/>
  <c r="F139" i="3"/>
  <c r="E139" i="3"/>
  <c r="Q138" i="3"/>
  <c r="P138" i="3"/>
  <c r="F138" i="3"/>
  <c r="E138" i="3"/>
  <c r="Q137" i="3"/>
  <c r="P137" i="3"/>
  <c r="F137" i="3"/>
  <c r="E137" i="3"/>
  <c r="Q136" i="3"/>
  <c r="P136" i="3"/>
  <c r="L136" i="3"/>
  <c r="F136" i="3"/>
  <c r="E136" i="3"/>
  <c r="Q135" i="3"/>
  <c r="P135" i="3"/>
  <c r="L135" i="3"/>
  <c r="F135" i="3"/>
  <c r="E135" i="3"/>
  <c r="Q134" i="3"/>
  <c r="P134" i="3"/>
  <c r="F134" i="3"/>
  <c r="E134" i="3"/>
  <c r="Q133" i="3"/>
  <c r="P133" i="3"/>
  <c r="F133" i="3"/>
  <c r="E133" i="3"/>
  <c r="Q132" i="3"/>
  <c r="P132" i="3"/>
  <c r="F132" i="3"/>
  <c r="E132" i="3"/>
  <c r="Q131" i="3"/>
  <c r="P131" i="3"/>
  <c r="F131" i="3"/>
  <c r="E131" i="3"/>
  <c r="Q130" i="3"/>
  <c r="P130" i="3"/>
  <c r="F130" i="3"/>
  <c r="E130" i="3"/>
  <c r="Q129" i="3"/>
  <c r="P129" i="3"/>
  <c r="F129" i="3"/>
  <c r="E129" i="3"/>
  <c r="Q128" i="3"/>
  <c r="P128" i="3"/>
  <c r="L128" i="3"/>
  <c r="F128" i="3"/>
  <c r="E128" i="3"/>
  <c r="Q127" i="3"/>
  <c r="P127" i="3"/>
  <c r="L127" i="3"/>
  <c r="F127" i="3"/>
  <c r="E127" i="3"/>
  <c r="Q126" i="3"/>
  <c r="P126" i="3"/>
  <c r="L126" i="3"/>
  <c r="F126" i="3"/>
  <c r="E126" i="3"/>
  <c r="Q125" i="3"/>
  <c r="P125" i="3"/>
  <c r="L125" i="3"/>
  <c r="F125" i="3"/>
  <c r="E125" i="3"/>
  <c r="Q124" i="3"/>
  <c r="P124" i="3"/>
  <c r="F124" i="3"/>
  <c r="E124" i="3"/>
  <c r="Q123" i="3"/>
  <c r="P123" i="3"/>
  <c r="L123" i="3"/>
  <c r="F123" i="3"/>
  <c r="E123" i="3"/>
  <c r="L122" i="3"/>
  <c r="F122" i="3"/>
  <c r="E122" i="3"/>
  <c r="L121" i="3"/>
  <c r="F121" i="3"/>
  <c r="E121" i="3"/>
  <c r="Q120" i="3"/>
  <c r="P120" i="3"/>
  <c r="F120" i="3"/>
  <c r="E120" i="3"/>
  <c r="Q119" i="3"/>
  <c r="P119" i="3"/>
  <c r="F119" i="3"/>
  <c r="E119" i="3"/>
  <c r="Q118" i="3"/>
  <c r="P118" i="3"/>
  <c r="F118" i="3"/>
  <c r="E118" i="3"/>
  <c r="Q117" i="3"/>
  <c r="P117" i="3"/>
  <c r="L117" i="3"/>
  <c r="F117" i="3"/>
  <c r="E117" i="3"/>
  <c r="Q116" i="3"/>
  <c r="P116" i="3"/>
  <c r="L116" i="3"/>
  <c r="F116" i="3"/>
  <c r="E116" i="3"/>
  <c r="Q115" i="3"/>
  <c r="P115" i="3"/>
  <c r="L115" i="3"/>
  <c r="F115" i="3"/>
  <c r="E115" i="3"/>
  <c r="Q114" i="3"/>
  <c r="P114" i="3"/>
  <c r="L114" i="3"/>
  <c r="F114" i="3"/>
  <c r="E114" i="3"/>
  <c r="A114" i="3"/>
  <c r="Q113" i="3"/>
  <c r="P113" i="3"/>
  <c r="L113" i="3"/>
  <c r="F113" i="3"/>
  <c r="E113" i="3"/>
  <c r="Q112" i="3"/>
  <c r="P112" i="3"/>
  <c r="L112" i="3"/>
  <c r="F112" i="3"/>
  <c r="E112" i="3"/>
  <c r="Q111" i="3"/>
  <c r="P111" i="3"/>
  <c r="L111" i="3"/>
  <c r="F111" i="3"/>
  <c r="E111" i="3"/>
  <c r="Q110" i="3"/>
  <c r="P110" i="3"/>
  <c r="F110" i="3"/>
  <c r="E110" i="3"/>
  <c r="Q109" i="3"/>
  <c r="P109" i="3"/>
  <c r="L109" i="3"/>
  <c r="F109" i="3"/>
  <c r="E109" i="3"/>
  <c r="Q108" i="3"/>
  <c r="P108" i="3"/>
  <c r="L108" i="3"/>
  <c r="F108" i="3"/>
  <c r="E108" i="3"/>
  <c r="Q107" i="3"/>
  <c r="P107" i="3"/>
  <c r="F107" i="3"/>
  <c r="E107" i="3"/>
  <c r="Q106" i="3"/>
  <c r="P106" i="3"/>
  <c r="F106" i="3"/>
  <c r="E106" i="3"/>
  <c r="Q105" i="3"/>
  <c r="P105" i="3"/>
  <c r="F105" i="3"/>
  <c r="E105" i="3"/>
  <c r="A105" i="3"/>
  <c r="Q104" i="3"/>
  <c r="P104" i="3"/>
  <c r="F104" i="3"/>
  <c r="E104" i="3"/>
  <c r="Q103" i="3"/>
  <c r="P103" i="3"/>
  <c r="F103" i="3"/>
  <c r="E103" i="3"/>
  <c r="Q102" i="3"/>
  <c r="P102" i="3"/>
  <c r="L102" i="3"/>
  <c r="F102" i="3"/>
  <c r="E102" i="3"/>
  <c r="Q101" i="3"/>
  <c r="P101" i="3"/>
  <c r="F101" i="3"/>
  <c r="E101" i="3"/>
  <c r="Q100" i="3"/>
  <c r="P100" i="3"/>
  <c r="F100" i="3"/>
  <c r="E100" i="3"/>
  <c r="Q99" i="3"/>
  <c r="P99" i="3"/>
  <c r="L99" i="3"/>
  <c r="F99" i="3"/>
  <c r="E99" i="3"/>
  <c r="Q98" i="3"/>
  <c r="P98" i="3"/>
  <c r="L98" i="3"/>
  <c r="F98" i="3"/>
  <c r="E98" i="3"/>
  <c r="Q97" i="3"/>
  <c r="P97" i="3"/>
  <c r="F97" i="3"/>
  <c r="E97" i="3"/>
  <c r="Q96" i="3"/>
  <c r="P96" i="3"/>
  <c r="L96" i="3"/>
  <c r="F96" i="3"/>
  <c r="E96" i="3"/>
  <c r="Q95" i="3"/>
  <c r="P95" i="3"/>
  <c r="L95" i="3"/>
  <c r="F95" i="3"/>
  <c r="E95" i="3"/>
  <c r="Q94" i="3"/>
  <c r="P94" i="3"/>
  <c r="F94" i="3"/>
  <c r="E94" i="3"/>
  <c r="Q93" i="3"/>
  <c r="P93" i="3"/>
  <c r="F93" i="3"/>
  <c r="E93" i="3"/>
  <c r="Q92" i="3"/>
  <c r="P92" i="3"/>
  <c r="F92" i="3"/>
  <c r="E92" i="3"/>
  <c r="Q91" i="3"/>
  <c r="P91" i="3"/>
  <c r="F91" i="3"/>
  <c r="E91" i="3"/>
  <c r="Q90" i="3"/>
  <c r="P90" i="3"/>
  <c r="F90" i="3"/>
  <c r="E90" i="3"/>
  <c r="Q89" i="3"/>
  <c r="P89" i="3"/>
  <c r="F89" i="3"/>
  <c r="E89" i="3"/>
  <c r="Q88" i="3"/>
  <c r="P88" i="3"/>
  <c r="L88" i="3"/>
  <c r="F88" i="3"/>
  <c r="E88" i="3"/>
  <c r="Q87" i="3"/>
  <c r="P87" i="3"/>
  <c r="F87" i="3"/>
  <c r="E87" i="3"/>
  <c r="Q86" i="3"/>
  <c r="P86" i="3"/>
  <c r="F86" i="3"/>
  <c r="E86" i="3"/>
  <c r="Q85" i="3"/>
  <c r="P85" i="3"/>
  <c r="F85" i="3"/>
  <c r="E85" i="3"/>
  <c r="Q84" i="3"/>
  <c r="P84" i="3"/>
  <c r="L84" i="3"/>
  <c r="F84" i="3"/>
  <c r="E84" i="3"/>
  <c r="Q83" i="3"/>
  <c r="P83" i="3"/>
  <c r="L83" i="3"/>
  <c r="F83" i="3"/>
  <c r="E83" i="3"/>
  <c r="Q82" i="3"/>
  <c r="P82" i="3"/>
  <c r="L82" i="3"/>
  <c r="F82" i="3"/>
  <c r="E82" i="3"/>
  <c r="Q81" i="3"/>
  <c r="P81" i="3"/>
  <c r="L81" i="3"/>
  <c r="F81" i="3"/>
  <c r="E81" i="3"/>
  <c r="Q80" i="3"/>
  <c r="P80" i="3"/>
  <c r="F80" i="3"/>
  <c r="E80" i="3"/>
  <c r="Q79" i="3"/>
  <c r="P79" i="3"/>
  <c r="L79" i="3"/>
  <c r="F79" i="3"/>
  <c r="E79" i="3"/>
  <c r="Q78" i="3"/>
  <c r="P78" i="3"/>
  <c r="L78" i="3"/>
  <c r="F78" i="3"/>
  <c r="E78" i="3"/>
  <c r="Q77" i="3"/>
  <c r="P77" i="3"/>
  <c r="L77" i="3"/>
  <c r="F77" i="3"/>
  <c r="E77" i="3"/>
  <c r="Q76" i="3"/>
  <c r="P76" i="3"/>
  <c r="L76" i="3"/>
  <c r="F76" i="3"/>
  <c r="E76" i="3"/>
  <c r="Q75" i="3"/>
  <c r="P75" i="3"/>
  <c r="L75" i="3"/>
  <c r="F75" i="3"/>
  <c r="E75" i="3"/>
  <c r="Q74" i="3"/>
  <c r="P74" i="3"/>
  <c r="F74" i="3"/>
  <c r="E74" i="3"/>
  <c r="Q73" i="3"/>
  <c r="P73" i="3"/>
  <c r="L73" i="3"/>
  <c r="F73" i="3"/>
  <c r="E73" i="3"/>
  <c r="Q72" i="3"/>
  <c r="P72" i="3"/>
  <c r="F72" i="3"/>
  <c r="E72" i="3"/>
  <c r="Q71" i="3"/>
  <c r="P71" i="3"/>
  <c r="F71" i="3"/>
  <c r="E71" i="3"/>
  <c r="Q70" i="3"/>
  <c r="P70" i="3"/>
  <c r="F70" i="3"/>
  <c r="E70" i="3"/>
  <c r="Q69" i="3"/>
  <c r="P69" i="3"/>
  <c r="F69" i="3"/>
  <c r="E69" i="3"/>
  <c r="Q68" i="3"/>
  <c r="P68" i="3"/>
  <c r="F68" i="3"/>
  <c r="E68" i="3"/>
  <c r="Q67" i="3"/>
  <c r="P67" i="3"/>
  <c r="F67" i="3"/>
  <c r="E67" i="3"/>
  <c r="Q66" i="3"/>
  <c r="P66" i="3"/>
  <c r="F66" i="3"/>
  <c r="E66" i="3"/>
  <c r="Q65" i="3"/>
  <c r="P65" i="3"/>
  <c r="L65" i="3"/>
  <c r="F65" i="3"/>
  <c r="E65" i="3"/>
  <c r="Q64" i="3"/>
  <c r="P64" i="3"/>
  <c r="L64" i="3"/>
  <c r="F64" i="3"/>
  <c r="E64" i="3"/>
  <c r="Q63" i="3"/>
  <c r="P63" i="3"/>
  <c r="L63" i="3"/>
  <c r="F63" i="3"/>
  <c r="E63" i="3"/>
  <c r="Q62" i="3"/>
  <c r="P62" i="3"/>
  <c r="F62" i="3"/>
  <c r="E62" i="3"/>
  <c r="Q61" i="3"/>
  <c r="P61" i="3"/>
  <c r="F61" i="3"/>
  <c r="E61" i="3"/>
  <c r="Q60" i="3"/>
  <c r="P60" i="3"/>
  <c r="F60" i="3"/>
  <c r="E60" i="3"/>
  <c r="Q59" i="3"/>
  <c r="P59" i="3"/>
  <c r="L59" i="3"/>
  <c r="F59" i="3"/>
  <c r="E59" i="3"/>
  <c r="Q58" i="3"/>
  <c r="P58" i="3"/>
  <c r="F58" i="3"/>
  <c r="E58" i="3"/>
  <c r="Q57" i="3"/>
  <c r="P57" i="3"/>
  <c r="F57" i="3"/>
  <c r="E57" i="3"/>
  <c r="Q56" i="3"/>
  <c r="P56" i="3"/>
  <c r="L56" i="3"/>
  <c r="F56" i="3"/>
  <c r="E56" i="3"/>
  <c r="Q55" i="3"/>
  <c r="P55" i="3"/>
  <c r="L55" i="3"/>
  <c r="F55" i="3"/>
  <c r="E55" i="3"/>
  <c r="Q54" i="3"/>
  <c r="P54" i="3"/>
  <c r="L54" i="3"/>
  <c r="F54" i="3"/>
  <c r="E54" i="3"/>
  <c r="Q53" i="3"/>
  <c r="P53" i="3"/>
  <c r="L53" i="3"/>
  <c r="F53" i="3"/>
  <c r="E53" i="3"/>
  <c r="Q52" i="3"/>
  <c r="P52" i="3"/>
  <c r="F52" i="3"/>
  <c r="E52" i="3"/>
  <c r="Q51" i="3"/>
  <c r="P51" i="3"/>
  <c r="F51" i="3"/>
  <c r="E51" i="3"/>
  <c r="Q50" i="3"/>
  <c r="P50" i="3"/>
  <c r="F50" i="3"/>
  <c r="E50" i="3"/>
  <c r="Q49" i="3"/>
  <c r="P49" i="3"/>
  <c r="L49" i="3"/>
  <c r="F49" i="3"/>
  <c r="E49" i="3"/>
  <c r="Q48" i="3"/>
  <c r="P48" i="3"/>
  <c r="L48" i="3"/>
  <c r="F48" i="3"/>
  <c r="E48" i="3"/>
  <c r="Q47" i="3"/>
  <c r="P47" i="3"/>
  <c r="L47" i="3"/>
  <c r="F47" i="3"/>
  <c r="E47" i="3"/>
  <c r="Q46" i="3"/>
  <c r="P46" i="3"/>
  <c r="L46" i="3"/>
  <c r="F46" i="3"/>
  <c r="E46" i="3"/>
  <c r="Q45" i="3"/>
  <c r="P45" i="3"/>
  <c r="L45" i="3"/>
  <c r="F45" i="3"/>
  <c r="E45" i="3"/>
  <c r="Q44" i="3"/>
  <c r="P44" i="3"/>
  <c r="L44" i="3"/>
  <c r="F44" i="3"/>
  <c r="E44" i="3"/>
  <c r="Q43" i="3"/>
  <c r="P43" i="3"/>
  <c r="L43" i="3"/>
  <c r="F43" i="3"/>
  <c r="E43" i="3"/>
  <c r="A43" i="3"/>
  <c r="Q42" i="3"/>
  <c r="P42" i="3"/>
  <c r="L42" i="3"/>
  <c r="F42" i="3"/>
  <c r="E42" i="3"/>
  <c r="Q41" i="3"/>
  <c r="P41" i="3"/>
  <c r="F41" i="3"/>
  <c r="E41" i="3"/>
  <c r="Q40" i="3"/>
  <c r="P40" i="3"/>
  <c r="L40" i="3"/>
  <c r="F40" i="3"/>
  <c r="E40" i="3"/>
  <c r="Q39" i="3"/>
  <c r="P39" i="3"/>
  <c r="L39" i="3"/>
  <c r="F39" i="3"/>
  <c r="E39" i="3"/>
  <c r="Q38" i="3"/>
  <c r="P38" i="3"/>
  <c r="L38" i="3"/>
  <c r="F38" i="3"/>
  <c r="E38" i="3"/>
  <c r="Q37" i="3"/>
  <c r="P37" i="3"/>
  <c r="F37" i="3"/>
  <c r="E37" i="3"/>
  <c r="Q36" i="3"/>
  <c r="P36" i="3"/>
  <c r="F36" i="3"/>
  <c r="E36" i="3"/>
  <c r="Q35" i="3"/>
  <c r="P35" i="3"/>
  <c r="F35" i="3"/>
  <c r="E35" i="3"/>
  <c r="Q34" i="3"/>
  <c r="P34" i="3"/>
  <c r="F34" i="3"/>
  <c r="E34" i="3"/>
  <c r="Q33" i="3"/>
  <c r="P33" i="3"/>
  <c r="L33" i="3"/>
  <c r="F33" i="3"/>
  <c r="E33" i="3"/>
  <c r="Q32" i="3"/>
  <c r="P32" i="3"/>
  <c r="L32" i="3"/>
  <c r="F32" i="3"/>
  <c r="E32" i="3"/>
  <c r="Q31" i="3"/>
  <c r="P31" i="3"/>
  <c r="L31" i="3"/>
  <c r="F31" i="3"/>
  <c r="E31" i="3"/>
  <c r="Q30" i="3"/>
  <c r="P30" i="3"/>
  <c r="L30" i="3"/>
  <c r="F30" i="3"/>
  <c r="E30" i="3"/>
  <c r="Q29" i="3"/>
  <c r="P29" i="3"/>
  <c r="L29" i="3"/>
  <c r="F29" i="3"/>
  <c r="E29" i="3"/>
  <c r="Q28" i="3"/>
  <c r="P28" i="3"/>
  <c r="F28" i="3"/>
  <c r="E28" i="3"/>
  <c r="Q27" i="3"/>
  <c r="P27" i="3"/>
  <c r="F27" i="3"/>
  <c r="E27" i="3"/>
  <c r="Q26" i="3"/>
  <c r="P26" i="3"/>
  <c r="F26" i="3"/>
  <c r="E26" i="3"/>
  <c r="Q25" i="3"/>
  <c r="P25" i="3"/>
  <c r="F25" i="3"/>
  <c r="E25" i="3"/>
  <c r="Q24" i="3"/>
  <c r="P24" i="3"/>
  <c r="L24" i="3"/>
  <c r="F24" i="3"/>
  <c r="E24" i="3"/>
  <c r="Q23" i="3"/>
  <c r="P23" i="3"/>
  <c r="L23" i="3"/>
  <c r="F23" i="3"/>
  <c r="E23" i="3"/>
  <c r="Q22" i="3"/>
  <c r="P22" i="3"/>
  <c r="L22" i="3"/>
  <c r="F22" i="3"/>
  <c r="E22" i="3"/>
  <c r="Q21" i="3"/>
  <c r="P21" i="3"/>
  <c r="L21" i="3"/>
  <c r="F21" i="3"/>
  <c r="E21" i="3"/>
  <c r="Q20" i="3"/>
  <c r="P20" i="3"/>
  <c r="L20" i="3"/>
  <c r="F20" i="3"/>
  <c r="E20" i="3"/>
  <c r="Q19" i="3"/>
  <c r="P19" i="3"/>
  <c r="L19" i="3"/>
  <c r="F19" i="3"/>
  <c r="E19" i="3"/>
  <c r="Q18" i="3"/>
  <c r="P18" i="3"/>
  <c r="L18" i="3"/>
  <c r="F18" i="3"/>
  <c r="E18" i="3"/>
  <c r="Q17" i="3"/>
  <c r="P17" i="3"/>
  <c r="F17" i="3"/>
  <c r="E17" i="3"/>
  <c r="Q16" i="3"/>
  <c r="P16" i="3"/>
  <c r="L16" i="3"/>
  <c r="F16" i="3"/>
  <c r="E16" i="3"/>
  <c r="Q15" i="3"/>
  <c r="P15" i="3"/>
  <c r="L15" i="3"/>
  <c r="F15" i="3"/>
  <c r="E15" i="3"/>
  <c r="L14" i="3"/>
  <c r="F14" i="3"/>
  <c r="E14" i="3"/>
  <c r="Q13" i="3"/>
  <c r="P13" i="3"/>
  <c r="L13" i="3"/>
  <c r="F13" i="3"/>
  <c r="E13" i="3"/>
  <c r="Q12" i="3"/>
  <c r="P12" i="3"/>
  <c r="L12" i="3"/>
  <c r="F12" i="3"/>
  <c r="E12" i="3"/>
  <c r="Q11" i="3"/>
  <c r="P11" i="3"/>
  <c r="L11" i="3"/>
  <c r="F11" i="3"/>
  <c r="E11" i="3"/>
  <c r="Q10" i="3"/>
  <c r="P10" i="3"/>
  <c r="L10" i="3"/>
  <c r="F10" i="3"/>
  <c r="E10" i="3"/>
  <c r="A10" i="3"/>
  <c r="Q9" i="3"/>
  <c r="P9" i="3"/>
  <c r="L9" i="3"/>
  <c r="F9" i="3"/>
  <c r="E9" i="3"/>
  <c r="U32" i="8" l="1"/>
  <c r="T28" i="8"/>
  <c r="U28" i="8" s="1"/>
  <c r="A906" i="3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O154" i="4"/>
  <c r="P154" i="4" s="1"/>
  <c r="O153" i="4"/>
  <c r="P153" i="4" s="1"/>
  <c r="O152" i="4"/>
  <c r="P152" i="4" s="1"/>
  <c r="O151" i="4"/>
  <c r="P151" i="4" s="1"/>
  <c r="O150" i="4"/>
  <c r="P150" i="4" s="1"/>
  <c r="O149" i="4"/>
  <c r="P149" i="4" s="1"/>
  <c r="O148" i="4"/>
  <c r="P148" i="4" s="1"/>
  <c r="O147" i="4"/>
  <c r="P147" i="4" s="1"/>
  <c r="O146" i="4"/>
  <c r="P146" i="4" s="1"/>
  <c r="O145" i="4"/>
  <c r="P145" i="4" s="1"/>
  <c r="O144" i="4"/>
  <c r="P144" i="4" s="1"/>
  <c r="O143" i="4"/>
  <c r="P143" i="4" s="1"/>
  <c r="O142" i="4"/>
  <c r="P142" i="4" s="1"/>
  <c r="O141" i="4"/>
  <c r="P141" i="4" s="1"/>
  <c r="O140" i="4"/>
  <c r="P140" i="4" s="1"/>
  <c r="O139" i="4"/>
  <c r="P139" i="4" s="1"/>
  <c r="O138" i="4"/>
  <c r="P138" i="4" s="1"/>
  <c r="O137" i="4"/>
  <c r="P137" i="4" s="1"/>
  <c r="O136" i="4"/>
  <c r="P136" i="4" s="1"/>
  <c r="O135" i="4"/>
  <c r="P135" i="4" s="1"/>
  <c r="O134" i="4"/>
  <c r="P134" i="4" s="1"/>
  <c r="O133" i="4"/>
  <c r="P133" i="4" s="1"/>
  <c r="O132" i="4"/>
  <c r="P132" i="4" s="1"/>
  <c r="O131" i="4"/>
  <c r="P131" i="4" s="1"/>
  <c r="O130" i="4"/>
  <c r="P130" i="4" s="1"/>
  <c r="O129" i="4"/>
  <c r="P129" i="4" s="1"/>
  <c r="O128" i="4"/>
  <c r="P128" i="4" s="1"/>
  <c r="O127" i="4"/>
  <c r="P127" i="4" s="1"/>
  <c r="O126" i="4"/>
  <c r="P126" i="4" s="1"/>
  <c r="O125" i="4"/>
  <c r="P125" i="4" s="1"/>
  <c r="O124" i="4"/>
  <c r="P124" i="4" s="1"/>
  <c r="O123" i="4"/>
  <c r="O121" i="4"/>
  <c r="O120" i="4"/>
  <c r="P120" i="4" s="1"/>
  <c r="O119" i="4"/>
  <c r="P119" i="4" s="1"/>
  <c r="O118" i="4"/>
  <c r="P118" i="4" s="1"/>
  <c r="O117" i="4"/>
  <c r="P117" i="4" s="1"/>
  <c r="O116" i="4"/>
  <c r="P116" i="4" s="1"/>
  <c r="O115" i="4"/>
  <c r="P115" i="4" s="1"/>
  <c r="P114" i="4"/>
  <c r="P113" i="4"/>
  <c r="P255" i="4" s="1"/>
  <c r="J258" i="4" s="1"/>
  <c r="P112" i="4"/>
  <c r="O111" i="4"/>
  <c r="P111" i="4" s="1"/>
  <c r="O110" i="4"/>
  <c r="P110" i="4" s="1"/>
  <c r="O109" i="4"/>
  <c r="P109" i="4" s="1"/>
  <c r="O108" i="4"/>
  <c r="P108" i="4" s="1"/>
  <c r="O107" i="4"/>
  <c r="P107" i="4" s="1"/>
  <c r="O106" i="4"/>
  <c r="P106" i="4" s="1"/>
  <c r="O105" i="4"/>
  <c r="P105" i="4" s="1"/>
  <c r="O104" i="4"/>
  <c r="P104" i="4" s="1"/>
  <c r="O103" i="4"/>
  <c r="P103" i="4" s="1"/>
  <c r="O102" i="4"/>
  <c r="P102" i="4" s="1"/>
  <c r="O101" i="4"/>
  <c r="P101" i="4" s="1"/>
  <c r="O100" i="4"/>
  <c r="P100" i="4" s="1"/>
  <c r="O99" i="4"/>
  <c r="P99" i="4" s="1"/>
  <c r="O98" i="4"/>
  <c r="P98" i="4" s="1"/>
  <c r="O97" i="4"/>
  <c r="P97" i="4" s="1"/>
  <c r="O96" i="4"/>
  <c r="P96" i="4" s="1"/>
  <c r="O95" i="4"/>
  <c r="P95" i="4" s="1"/>
  <c r="O94" i="4"/>
  <c r="P94" i="4" s="1"/>
  <c r="O93" i="4"/>
  <c r="P93" i="4" s="1"/>
  <c r="O92" i="4"/>
  <c r="P92" i="4" s="1"/>
  <c r="O91" i="4"/>
  <c r="P91" i="4" s="1"/>
  <c r="O90" i="4"/>
  <c r="P90" i="4" s="1"/>
  <c r="O89" i="4"/>
  <c r="P89" i="4" s="1"/>
  <c r="O88" i="4"/>
  <c r="P88" i="4" s="1"/>
  <c r="O87" i="4"/>
  <c r="P87" i="4" s="1"/>
  <c r="O86" i="4"/>
  <c r="P86" i="4" s="1"/>
  <c r="O85" i="4"/>
  <c r="P85" i="4" s="1"/>
  <c r="O84" i="4"/>
  <c r="P84" i="4" s="1"/>
  <c r="O83" i="4"/>
  <c r="P83" i="4" s="1"/>
  <c r="O82" i="4"/>
  <c r="P82" i="4" s="1"/>
  <c r="O81" i="4"/>
  <c r="P81" i="4" s="1"/>
  <c r="O80" i="4"/>
  <c r="P80" i="4" s="1"/>
  <c r="O79" i="4"/>
  <c r="P79" i="4" s="1"/>
  <c r="O78" i="4"/>
  <c r="P78" i="4" s="1"/>
  <c r="O77" i="4"/>
  <c r="P77" i="4" s="1"/>
  <c r="O76" i="4"/>
  <c r="P76" i="4" s="1"/>
  <c r="O75" i="4"/>
  <c r="P75" i="4" s="1"/>
  <c r="O74" i="4"/>
  <c r="P74" i="4" s="1"/>
  <c r="O73" i="4"/>
  <c r="P73" i="4" s="1"/>
  <c r="O72" i="4"/>
  <c r="P72" i="4" s="1"/>
  <c r="O71" i="4"/>
  <c r="P71" i="4" s="1"/>
  <c r="O70" i="4"/>
  <c r="P70" i="4" s="1"/>
  <c r="O69" i="4"/>
  <c r="P69" i="4" s="1"/>
  <c r="O68" i="4"/>
  <c r="P68" i="4" s="1"/>
  <c r="O67" i="4"/>
  <c r="P67" i="4" s="1"/>
  <c r="O66" i="4"/>
  <c r="P66" i="4" s="1"/>
  <c r="O65" i="4"/>
  <c r="P65" i="4" s="1"/>
  <c r="O64" i="4"/>
  <c r="P64" i="4" s="1"/>
  <c r="O63" i="4"/>
  <c r="P63" i="4" s="1"/>
  <c r="O62" i="4"/>
  <c r="P62" i="4" s="1"/>
  <c r="O61" i="4"/>
  <c r="P61" i="4" s="1"/>
  <c r="O60" i="4"/>
  <c r="P60" i="4" s="1"/>
  <c r="O59" i="4"/>
  <c r="P59" i="4" s="1"/>
  <c r="O58" i="4"/>
  <c r="P58" i="4" s="1"/>
  <c r="O57" i="4"/>
  <c r="P57" i="4" s="1"/>
  <c r="O56" i="4"/>
  <c r="P56" i="4" s="1"/>
  <c r="O55" i="4"/>
  <c r="P55" i="4" s="1"/>
  <c r="O54" i="4"/>
  <c r="P54" i="4" s="1"/>
  <c r="O53" i="4"/>
  <c r="P53" i="4" s="1"/>
  <c r="O52" i="4"/>
  <c r="P52" i="4" s="1"/>
  <c r="O51" i="4"/>
  <c r="P51" i="4" s="1"/>
  <c r="O50" i="4"/>
  <c r="P50" i="4" s="1"/>
  <c r="O49" i="4"/>
  <c r="P49" i="4" s="1"/>
  <c r="O48" i="4"/>
  <c r="P48" i="4" s="1"/>
  <c r="O47" i="4"/>
  <c r="P47" i="4" s="1"/>
  <c r="O46" i="4"/>
  <c r="P46" i="4" s="1"/>
  <c r="O45" i="4"/>
  <c r="P45" i="4" s="1"/>
  <c r="O44" i="4"/>
  <c r="P44" i="4" s="1"/>
  <c r="O43" i="4"/>
  <c r="P43" i="4" s="1"/>
  <c r="O42" i="4"/>
  <c r="P42" i="4" s="1"/>
  <c r="O41" i="4"/>
  <c r="P41" i="4" s="1"/>
  <c r="O40" i="4"/>
  <c r="P40" i="4" s="1"/>
  <c r="O39" i="4"/>
  <c r="P39" i="4" s="1"/>
  <c r="O38" i="4"/>
  <c r="P38" i="4" s="1"/>
  <c r="O37" i="4"/>
  <c r="P37" i="4" s="1"/>
  <c r="O36" i="4"/>
  <c r="P36" i="4" s="1"/>
  <c r="O35" i="4"/>
  <c r="P35" i="4" s="1"/>
  <c r="O34" i="4"/>
  <c r="P34" i="4" s="1"/>
  <c r="O33" i="4"/>
  <c r="P33" i="4" s="1"/>
  <c r="O32" i="4"/>
  <c r="P32" i="4" s="1"/>
  <c r="O31" i="4"/>
  <c r="P31" i="4" s="1"/>
  <c r="O30" i="4"/>
  <c r="P30" i="4" s="1"/>
  <c r="O29" i="4"/>
  <c r="P29" i="4" s="1"/>
  <c r="O28" i="4"/>
  <c r="P28" i="4" s="1"/>
  <c r="O27" i="4"/>
  <c r="P27" i="4" s="1"/>
  <c r="O26" i="4"/>
  <c r="P26" i="4" s="1"/>
  <c r="O25" i="4"/>
  <c r="P25" i="4" s="1"/>
  <c r="O24" i="4"/>
  <c r="P24" i="4" s="1"/>
  <c r="O23" i="4"/>
  <c r="P23" i="4" s="1"/>
  <c r="O22" i="4"/>
  <c r="P22" i="4" s="1"/>
  <c r="O21" i="4"/>
  <c r="P21" i="4" s="1"/>
  <c r="O20" i="4"/>
  <c r="P20" i="4" s="1"/>
  <c r="O19" i="4"/>
  <c r="P19" i="4" s="1"/>
  <c r="O18" i="4"/>
  <c r="P18" i="4" s="1"/>
  <c r="O17" i="4"/>
  <c r="P17" i="4" s="1"/>
  <c r="O16" i="4"/>
  <c r="P16" i="4" s="1"/>
  <c r="O15" i="4"/>
  <c r="P15" i="4" s="1"/>
  <c r="O14" i="4"/>
  <c r="P14" i="4" s="1"/>
  <c r="O13" i="4"/>
  <c r="P13" i="4" s="1"/>
  <c r="O12" i="4"/>
  <c r="P12" i="4" s="1"/>
  <c r="O11" i="4"/>
  <c r="P11" i="4" s="1"/>
  <c r="O10" i="4"/>
  <c r="P10" i="4" s="1"/>
  <c r="O9" i="4"/>
  <c r="P9" i="4" s="1"/>
  <c r="O8" i="4"/>
  <c r="P8" i="4" s="1"/>
  <c r="A8" i="4"/>
  <c r="A9" i="4" s="1"/>
  <c r="A10" i="4" s="1"/>
  <c r="A11" i="4" s="1"/>
  <c r="A12" i="4" s="1"/>
  <c r="A13" i="4" s="1"/>
  <c r="A14" i="4" s="1"/>
  <c r="A15" i="4" s="1"/>
  <c r="O7" i="4"/>
  <c r="P7" i="4" s="1"/>
  <c r="O6" i="4"/>
  <c r="P6" i="4" s="1"/>
  <c r="Q940" i="3"/>
  <c r="P940" i="3"/>
  <c r="L940" i="3"/>
  <c r="A813" i="3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772" i="3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726" i="3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688" i="3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652" i="3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26" i="3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578" i="3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548" i="3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07" i="3"/>
  <c r="A508" i="3" s="1"/>
  <c r="A509" i="3" s="1"/>
  <c r="A510" i="3" s="1"/>
  <c r="A511" i="3" s="1"/>
  <c r="A471" i="3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435" i="3"/>
  <c r="A436" i="3" s="1"/>
  <c r="A437" i="3" s="1"/>
  <c r="A438" i="3" s="1"/>
  <c r="A439" i="3" s="1"/>
  <c r="A440" i="3" s="1"/>
  <c r="A421" i="3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374" i="3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334" i="3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01" i="3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262" i="3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22" i="3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05" i="3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160" i="3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115" i="3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06" i="3"/>
  <c r="A107" i="3" s="1"/>
  <c r="A108" i="3" s="1"/>
  <c r="A109" i="3" s="1"/>
  <c r="A110" i="3" s="1"/>
  <c r="A111" i="3" s="1"/>
  <c r="A112" i="3" s="1"/>
  <c r="A44" i="3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11" i="3"/>
  <c r="A12" i="3" s="1"/>
  <c r="A13" i="3" s="1"/>
  <c r="A14" i="3" s="1"/>
  <c r="P116" i="5"/>
  <c r="O115" i="5"/>
  <c r="O114" i="5"/>
  <c r="O113" i="5"/>
  <c r="O112" i="5"/>
  <c r="O111" i="5"/>
  <c r="O109" i="5"/>
  <c r="O107" i="5"/>
  <c r="O94" i="5"/>
  <c r="O93" i="5"/>
  <c r="O90" i="5"/>
  <c r="O89" i="5"/>
  <c r="O88" i="5"/>
  <c r="O86" i="5"/>
  <c r="O85" i="5"/>
  <c r="O84" i="5"/>
  <c r="O82" i="5"/>
  <c r="O81" i="5"/>
  <c r="O80" i="5"/>
  <c r="O78" i="5"/>
  <c r="O76" i="5"/>
  <c r="O75" i="5"/>
  <c r="O74" i="5"/>
  <c r="O72" i="5"/>
  <c r="O71" i="5"/>
  <c r="O70" i="5"/>
  <c r="O68" i="5"/>
  <c r="O67" i="5"/>
  <c r="O66" i="5"/>
  <c r="O65" i="5"/>
  <c r="O62" i="5"/>
  <c r="O61" i="5"/>
  <c r="O58" i="5"/>
  <c r="O57" i="5"/>
  <c r="O53" i="5"/>
  <c r="O52" i="5"/>
  <c r="O50" i="5"/>
  <c r="O48" i="5"/>
  <c r="O47" i="5"/>
  <c r="O46" i="5"/>
  <c r="O45" i="5"/>
  <c r="O44" i="5"/>
  <c r="O43" i="5"/>
  <c r="O42" i="5"/>
  <c r="O40" i="5"/>
  <c r="O39" i="5"/>
  <c r="O37" i="5"/>
  <c r="O34" i="5"/>
  <c r="O32" i="5"/>
  <c r="O30" i="5"/>
  <c r="O29" i="5"/>
  <c r="O28" i="5"/>
  <c r="O27" i="5"/>
  <c r="O26" i="5"/>
  <c r="O25" i="5"/>
  <c r="O23" i="5"/>
  <c r="O20" i="5"/>
  <c r="O16" i="5"/>
  <c r="O15" i="5"/>
  <c r="O14" i="5"/>
  <c r="O13" i="5"/>
  <c r="O11" i="5"/>
  <c r="J260" i="4"/>
  <c r="J262" i="4" s="1"/>
  <c r="J265" i="4" s="1"/>
  <c r="O254" i="4"/>
  <c r="P254" i="4" s="1"/>
  <c r="O253" i="4"/>
  <c r="P253" i="4" s="1"/>
  <c r="O252" i="4"/>
  <c r="P252" i="4" s="1"/>
  <c r="O251" i="4"/>
  <c r="P251" i="4" s="1"/>
  <c r="O250" i="4"/>
  <c r="P250" i="4" s="1"/>
  <c r="O249" i="4"/>
  <c r="P249" i="4" s="1"/>
  <c r="O248" i="4"/>
  <c r="P248" i="4" s="1"/>
  <c r="O247" i="4"/>
  <c r="P247" i="4" s="1"/>
  <c r="O246" i="4"/>
  <c r="P246" i="4" s="1"/>
  <c r="O245" i="4"/>
  <c r="P245" i="4" s="1"/>
  <c r="O244" i="4"/>
  <c r="P244" i="4" s="1"/>
  <c r="O243" i="4"/>
  <c r="P243" i="4" s="1"/>
  <c r="O242" i="4"/>
  <c r="P242" i="4" s="1"/>
  <c r="O241" i="4"/>
  <c r="P241" i="4" s="1"/>
  <c r="O240" i="4"/>
  <c r="P240" i="4" s="1"/>
  <c r="O239" i="4"/>
  <c r="P239" i="4" s="1"/>
  <c r="O238" i="4"/>
  <c r="P238" i="4" s="1"/>
  <c r="O237" i="4"/>
  <c r="P237" i="4" s="1"/>
  <c r="O236" i="4"/>
  <c r="P236" i="4" s="1"/>
  <c r="O235" i="4"/>
  <c r="P235" i="4" s="1"/>
  <c r="O234" i="4"/>
  <c r="P234" i="4" s="1"/>
  <c r="O233" i="4"/>
  <c r="P233" i="4" s="1"/>
  <c r="O232" i="4"/>
  <c r="P232" i="4" s="1"/>
  <c r="O231" i="4"/>
  <c r="P231" i="4" s="1"/>
  <c r="O230" i="4"/>
  <c r="P230" i="4" s="1"/>
  <c r="O229" i="4"/>
  <c r="P229" i="4" s="1"/>
  <c r="O228" i="4"/>
  <c r="P228" i="4" s="1"/>
  <c r="O227" i="4"/>
  <c r="P227" i="4" s="1"/>
  <c r="O226" i="4"/>
  <c r="P226" i="4" s="1"/>
  <c r="O225" i="4"/>
  <c r="P225" i="4" s="1"/>
  <c r="O224" i="4"/>
  <c r="P224" i="4" s="1"/>
  <c r="O223" i="4"/>
  <c r="P223" i="4" s="1"/>
  <c r="O222" i="4"/>
  <c r="P222" i="4" s="1"/>
  <c r="O221" i="4"/>
  <c r="P221" i="4" s="1"/>
  <c r="O220" i="4"/>
  <c r="P220" i="4" s="1"/>
  <c r="O219" i="4"/>
  <c r="P219" i="4" s="1"/>
  <c r="O218" i="4"/>
  <c r="P218" i="4" s="1"/>
  <c r="O217" i="4"/>
  <c r="P217" i="4" s="1"/>
  <c r="O216" i="4"/>
  <c r="P216" i="4" s="1"/>
  <c r="O215" i="4"/>
  <c r="P215" i="4" s="1"/>
  <c r="O214" i="4"/>
  <c r="P214" i="4" s="1"/>
  <c r="O213" i="4"/>
  <c r="P213" i="4" s="1"/>
  <c r="O212" i="4"/>
  <c r="P212" i="4" s="1"/>
  <c r="O211" i="4"/>
  <c r="P211" i="4" s="1"/>
  <c r="O210" i="4"/>
  <c r="P210" i="4" s="1"/>
  <c r="O209" i="4"/>
  <c r="P209" i="4" s="1"/>
  <c r="O208" i="4"/>
  <c r="P208" i="4" s="1"/>
  <c r="O207" i="4"/>
  <c r="P207" i="4" s="1"/>
  <c r="O206" i="4"/>
  <c r="P206" i="4" s="1"/>
  <c r="O205" i="4"/>
  <c r="P205" i="4" s="1"/>
  <c r="O204" i="4"/>
  <c r="P204" i="4" s="1"/>
  <c r="O203" i="4"/>
  <c r="P203" i="4" s="1"/>
  <c r="O202" i="4"/>
  <c r="P202" i="4" s="1"/>
  <c r="O201" i="4"/>
  <c r="P201" i="4" s="1"/>
  <c r="O200" i="4"/>
  <c r="P200" i="4" s="1"/>
  <c r="O199" i="4"/>
  <c r="P199" i="4" s="1"/>
  <c r="O198" i="4"/>
  <c r="P198" i="4" s="1"/>
  <c r="O197" i="4"/>
  <c r="P197" i="4" s="1"/>
  <c r="O196" i="4"/>
  <c r="P196" i="4" s="1"/>
  <c r="O195" i="4"/>
  <c r="P195" i="4" s="1"/>
  <c r="O194" i="4"/>
  <c r="P194" i="4" s="1"/>
  <c r="O193" i="4"/>
  <c r="P193" i="4" s="1"/>
  <c r="O192" i="4"/>
  <c r="P192" i="4" s="1"/>
  <c r="O191" i="4"/>
  <c r="P191" i="4" s="1"/>
  <c r="O190" i="4"/>
  <c r="P190" i="4" s="1"/>
  <c r="O189" i="4"/>
  <c r="P189" i="4" s="1"/>
  <c r="O188" i="4"/>
  <c r="P188" i="4" s="1"/>
  <c r="O187" i="4"/>
  <c r="P187" i="4" s="1"/>
  <c r="O186" i="4"/>
  <c r="P186" i="4" s="1"/>
  <c r="O185" i="4"/>
  <c r="P185" i="4" s="1"/>
  <c r="O184" i="4"/>
  <c r="P184" i="4" s="1"/>
  <c r="O183" i="4"/>
  <c r="P183" i="4" s="1"/>
  <c r="O182" i="4"/>
  <c r="P182" i="4" s="1"/>
  <c r="O181" i="4"/>
  <c r="P181" i="4" s="1"/>
  <c r="O180" i="4"/>
  <c r="O179" i="4"/>
  <c r="P179" i="4" s="1"/>
  <c r="O178" i="4"/>
  <c r="P178" i="4" s="1"/>
  <c r="O177" i="4"/>
  <c r="P177" i="4" s="1"/>
  <c r="O176" i="4"/>
  <c r="P176" i="4" s="1"/>
  <c r="O175" i="4"/>
  <c r="P175" i="4" s="1"/>
  <c r="A873" i="3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855" i="3"/>
  <c r="U31" i="8"/>
  <c r="U8" i="8"/>
  <c r="U7" i="8"/>
  <c r="D45" i="7"/>
  <c r="M43" i="7"/>
  <c r="P40" i="7"/>
  <c r="D51" i="6"/>
  <c r="M49" i="6"/>
  <c r="J119" i="5"/>
  <c r="J120" i="5" s="1"/>
  <c r="J123" i="5" s="1"/>
  <c r="O110" i="5"/>
  <c r="O108" i="5"/>
  <c r="O106" i="5"/>
  <c r="O105" i="5"/>
  <c r="O104" i="5"/>
  <c r="O103" i="5"/>
  <c r="O102" i="5"/>
  <c r="O101" i="5"/>
  <c r="O100" i="5"/>
  <c r="O99" i="5"/>
  <c r="O98" i="5"/>
  <c r="O97" i="5"/>
  <c r="O96" i="5"/>
  <c r="O95" i="5"/>
  <c r="O92" i="5"/>
  <c r="O91" i="5"/>
  <c r="O87" i="5"/>
  <c r="O83" i="5"/>
  <c r="O79" i="5"/>
  <c r="O77" i="5"/>
  <c r="O73" i="5"/>
  <c r="O69" i="5"/>
  <c r="O64" i="5"/>
  <c r="O63" i="5"/>
  <c r="O60" i="5"/>
  <c r="O59" i="5"/>
  <c r="O56" i="5"/>
  <c r="O55" i="5"/>
  <c r="O54" i="5"/>
  <c r="O51" i="5"/>
  <c r="O49" i="5"/>
  <c r="O41" i="5"/>
  <c r="O38" i="5"/>
  <c r="O36" i="5"/>
  <c r="O35" i="5"/>
  <c r="O33" i="5"/>
  <c r="O31" i="5"/>
  <c r="O24" i="5"/>
  <c r="O22" i="5"/>
  <c r="O21" i="5"/>
  <c r="O19" i="5"/>
  <c r="O18" i="5"/>
  <c r="O17" i="5"/>
  <c r="O12" i="5"/>
  <c r="O10" i="5"/>
  <c r="O9" i="5"/>
  <c r="O8" i="5"/>
  <c r="O7" i="5"/>
  <c r="O6" i="5"/>
  <c r="J261" i="4"/>
  <c r="D40" i="8"/>
  <c r="M38" i="8"/>
  <c r="T17" i="8"/>
  <c r="U17" i="8" s="1"/>
  <c r="A670" i="3" l="1"/>
  <c r="A671" i="3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512" i="3"/>
  <c r="A513" i="3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441" i="3"/>
  <c r="A442" i="3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15" i="3"/>
  <c r="A16" i="3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856" i="3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940" i="3"/>
  <c r="P41" i="7"/>
  <c r="P42" i="7"/>
  <c r="F941" i="3"/>
  <c r="F944" i="3" s="1"/>
  <c r="F948" i="3" s="1"/>
  <c r="A844" i="3"/>
  <c r="A845" i="3" s="1"/>
  <c r="A846" i="3" s="1"/>
  <c r="A847" i="3" s="1"/>
  <c r="A848" i="3" s="1"/>
  <c r="A849" i="3" s="1"/>
  <c r="A850" i="3" s="1"/>
  <c r="A851" i="3" s="1"/>
  <c r="A852" i="3" s="1"/>
  <c r="U6" i="8"/>
  <c r="V6" i="8" s="1"/>
  <c r="O116" i="5"/>
</calcChain>
</file>

<file path=xl/sharedStrings.xml><?xml version="1.0" encoding="utf-8"?>
<sst xmlns="http://schemas.openxmlformats.org/spreadsheetml/2006/main" count="6892" uniqueCount="2680">
  <si>
    <t>MA</t>
  </si>
  <si>
    <t>SỐ XE</t>
  </si>
  <si>
    <t>B Tâm</t>
  </si>
  <si>
    <t>50H-70216</t>
  </si>
  <si>
    <t>T LUÂN</t>
  </si>
  <si>
    <t>50H-55116</t>
  </si>
  <si>
    <t>Y THANH</t>
  </si>
  <si>
    <t>50H-69501</t>
  </si>
  <si>
    <t>Q HẢI</t>
  </si>
  <si>
    <t>50H-64316</t>
  </si>
  <si>
    <t>D PHÚ</t>
  </si>
  <si>
    <t>50H-50999</t>
  </si>
  <si>
    <t>Ư LỪA</t>
  </si>
  <si>
    <t>50H-63174</t>
  </si>
  <si>
    <t>V LUÂN</t>
  </si>
  <si>
    <t>50H-64470</t>
  </si>
  <si>
    <t>F SƠN</t>
  </si>
  <si>
    <t>50H-54580</t>
  </si>
  <si>
    <t>F Y</t>
  </si>
  <si>
    <t>g nhanh</t>
  </si>
  <si>
    <t>51H -88294</t>
  </si>
  <si>
    <t>N THUẬN</t>
  </si>
  <si>
    <t>50H-66445</t>
  </si>
  <si>
    <t>A LỢI</t>
  </si>
  <si>
    <t>50H 87442</t>
  </si>
  <si>
    <t>R THI</t>
  </si>
  <si>
    <t>50H-55161</t>
  </si>
  <si>
    <t>LONG</t>
  </si>
  <si>
    <t>50H-55443</t>
  </si>
  <si>
    <t>C THẠCH</t>
  </si>
  <si>
    <t>50H-74619</t>
  </si>
  <si>
    <t>C SƠN</t>
  </si>
  <si>
    <t>W HIẾU</t>
  </si>
  <si>
    <t>O VƯƠNG</t>
  </si>
  <si>
    <t>M HUNG</t>
  </si>
  <si>
    <t>L1 THÀNH</t>
  </si>
  <si>
    <t>50E-648.73</t>
  </si>
  <si>
    <t>L2 HOÀI</t>
  </si>
  <si>
    <t>50H-66347</t>
  </si>
  <si>
    <t>L3 MẾN</t>
  </si>
  <si>
    <t>50E-654.34</t>
  </si>
  <si>
    <t>L4 HOÀ</t>
  </si>
  <si>
    <t>50E-324,01</t>
  </si>
  <si>
    <t>L5 QUẠY</t>
  </si>
  <si>
    <t>50H-87055</t>
  </si>
  <si>
    <t>L6 MINH</t>
  </si>
  <si>
    <t>50E-757,74</t>
  </si>
  <si>
    <t>L7 PHƯƠNG</t>
  </si>
  <si>
    <t>50H-75206</t>
  </si>
  <si>
    <t>L11 PHƯƠNG</t>
  </si>
  <si>
    <t>50E-758,73</t>
  </si>
  <si>
    <t>L12 PHƯƠNG</t>
  </si>
  <si>
    <t>L8 ÂN</t>
  </si>
  <si>
    <t>50H-55294</t>
  </si>
  <si>
    <t>L9 HOÀNG</t>
  </si>
  <si>
    <t>50H-55129</t>
  </si>
  <si>
    <t>L10 HẢI</t>
  </si>
  <si>
    <t>50H-69717</t>
  </si>
  <si>
    <t>x1</t>
  </si>
  <si>
    <t>51C-81056</t>
  </si>
  <si>
    <t>x2</t>
  </si>
  <si>
    <t>50H-11822</t>
  </si>
  <si>
    <t>X4</t>
  </si>
  <si>
    <t>62H-01887</t>
  </si>
  <si>
    <t>P VŨ</t>
  </si>
  <si>
    <t>50H-60635</t>
  </si>
  <si>
    <t>U THANH</t>
  </si>
  <si>
    <t>50H-92136</t>
  </si>
  <si>
    <t>Y1</t>
  </si>
  <si>
    <t>50H-55829</t>
  </si>
  <si>
    <t>I THI</t>
  </si>
  <si>
    <t>50H-86564</t>
  </si>
  <si>
    <t>E</t>
  </si>
  <si>
    <t>47H-02023</t>
  </si>
  <si>
    <t>Z</t>
  </si>
  <si>
    <t>50H-44024</t>
  </si>
  <si>
    <t>E1</t>
  </si>
  <si>
    <t>51D-38021</t>
  </si>
  <si>
    <t>A DUNG</t>
  </si>
  <si>
    <t>50E-565,21</t>
  </si>
  <si>
    <t>THUẬN</t>
  </si>
  <si>
    <t>51D-95538</t>
  </si>
  <si>
    <t>TI</t>
  </si>
  <si>
    <t>61H-12700</t>
  </si>
  <si>
    <t>T T</t>
  </si>
  <si>
    <t>85H-01932</t>
  </si>
  <si>
    <t>TUYEN</t>
  </si>
  <si>
    <t>OTO 5</t>
  </si>
  <si>
    <t>NT</t>
  </si>
  <si>
    <t>NHA TRANG</t>
  </si>
  <si>
    <t>NHOA</t>
  </si>
  <si>
    <t>NINH HÒA</t>
  </si>
  <si>
    <t>CR</t>
  </si>
  <si>
    <t>CAM RANH</t>
  </si>
  <si>
    <t>CLANH</t>
  </si>
  <si>
    <t>CAO LÃNH</t>
  </si>
  <si>
    <t>LKX</t>
  </si>
  <si>
    <t>LONG KHÁNH XÁ</t>
  </si>
  <si>
    <t>LKP</t>
  </si>
  <si>
    <t xml:space="preserve">LONG KHÁNH PALLET </t>
  </si>
  <si>
    <t>AJLH</t>
  </si>
  <si>
    <t>AJ LONG HẬU</t>
  </si>
  <si>
    <t>ndfc</t>
  </si>
  <si>
    <t>Chuyển Hàng ndfc</t>
  </si>
  <si>
    <t>N6</t>
  </si>
  <si>
    <t>NDFC 6 CHUYẾN</t>
  </si>
  <si>
    <t>calo</t>
  </si>
  <si>
    <t>Chuyển hàng Calofic</t>
  </si>
  <si>
    <t>CL1</t>
  </si>
  <si>
    <t>CH Calofic 13c</t>
  </si>
  <si>
    <t>clun</t>
  </si>
  <si>
    <t>CALOFIC - UNI ( xe nhỏ )</t>
  </si>
  <si>
    <t>cluni</t>
  </si>
  <si>
    <t>CALOFIC - UNI ( xe lớn )</t>
  </si>
  <si>
    <t>CLMXL</t>
  </si>
  <si>
    <t>COOP LÊ MINH XUÂN ( XE LỚN )</t>
  </si>
  <si>
    <t>UNCLG</t>
  </si>
  <si>
    <t>UNI - CALOFIC ( CHUYỂN GẠO )</t>
  </si>
  <si>
    <t>MCC</t>
  </si>
  <si>
    <t>Chuyển hàng MCC</t>
  </si>
  <si>
    <t>M6</t>
  </si>
  <si>
    <t>MCC 6 CHUYẾN</t>
  </si>
  <si>
    <t>Q6X</t>
  </si>
  <si>
    <t>PHẠM ANH QUẬN 6 XÁ</t>
  </si>
  <si>
    <t>Q6P</t>
  </si>
  <si>
    <t>PHẠM ANH QUẬN 6 PALLET</t>
  </si>
  <si>
    <t>Q8X</t>
  </si>
  <si>
    <t>QUẬN 8 XÁ</t>
  </si>
  <si>
    <t>Q8P</t>
  </si>
  <si>
    <t>QUẬN 8 PALLET</t>
  </si>
  <si>
    <t>Q9X</t>
  </si>
  <si>
    <t>QUẬN 9 XÁ</t>
  </si>
  <si>
    <t>Q9P</t>
  </si>
  <si>
    <t>QUẬN 9 PALLET</t>
  </si>
  <si>
    <t>PMVX</t>
  </si>
  <si>
    <t>PHAN MINH VŨ-BIÊN HOÀ XÁ</t>
  </si>
  <si>
    <t>PMVP</t>
  </si>
  <si>
    <t>PHAN MINH VŨ-BIÊN HOÀ PALLET</t>
  </si>
  <si>
    <t>SIL</t>
  </si>
  <si>
    <t>SILVER NANO ĐỨC HOÀ</t>
  </si>
  <si>
    <t>UNI</t>
  </si>
  <si>
    <t>Unidepot</t>
  </si>
  <si>
    <t>SAPA</t>
  </si>
  <si>
    <t>SAPA LONG AN</t>
  </si>
  <si>
    <t>kery</t>
  </si>
  <si>
    <t>KERRY BÌNH DƯƠNG</t>
  </si>
  <si>
    <t>BR</t>
  </si>
  <si>
    <t>HỮU LINH - BÀ RỊA</t>
  </si>
  <si>
    <t>UG</t>
  </si>
  <si>
    <t>ÚT GIAO LONG AN</t>
  </si>
  <si>
    <t>UGN</t>
  </si>
  <si>
    <t>ÚT GIAO LONG AN XE NHỎ</t>
  </si>
  <si>
    <t>AAV</t>
  </si>
  <si>
    <t>ANH ANH VŨ</t>
  </si>
  <si>
    <t>TLX</t>
  </si>
  <si>
    <t>TUẤN LỘC Q7 XÁ</t>
  </si>
  <si>
    <t>TLP</t>
  </si>
  <si>
    <t>TUẤN LỘC Q7 PALLET</t>
  </si>
  <si>
    <t>Q9</t>
  </si>
  <si>
    <t>QUẬN 9</t>
  </si>
  <si>
    <t>Q8</t>
  </si>
  <si>
    <t>QUẬN 8</t>
  </si>
  <si>
    <t>Q7</t>
  </si>
  <si>
    <t>PHÚC LỘC PHÁT QUẬN 7</t>
  </si>
  <si>
    <t>PABT</t>
  </si>
  <si>
    <t>PHẠM ANH BÌNH TÂN</t>
  </si>
  <si>
    <t>patp</t>
  </si>
  <si>
    <t>PHẠM ANH TÂN PHÚ</t>
  </si>
  <si>
    <t>PAHM</t>
  </si>
  <si>
    <t>PHẠM ANH HÓC MÔN</t>
  </si>
  <si>
    <t>TP2</t>
  </si>
  <si>
    <t>TP2 GÒ VẤP</t>
  </si>
  <si>
    <t>NL</t>
  </si>
  <si>
    <t>NGỌC LAN L.AN</t>
  </si>
  <si>
    <t>THTDH</t>
  </si>
  <si>
    <t>TÂN HÙNG THÁI ĐỨC HOÀ</t>
  </si>
  <si>
    <t>KVBC</t>
  </si>
  <si>
    <t>KIẾN VƯƠNG BÌNH CHÁNH</t>
  </si>
  <si>
    <t>mifa</t>
  </si>
  <si>
    <t>MIFA TÂN TẠO</t>
  </si>
  <si>
    <t>mf</t>
  </si>
  <si>
    <t>MIFA TÂN TẠO XE NHỎ ( KBX )</t>
  </si>
  <si>
    <t>BP</t>
  </si>
  <si>
    <t>BÌNH PHƯỚC</t>
  </si>
  <si>
    <t>BT</t>
  </si>
  <si>
    <t>BÌNH TRÍ</t>
  </si>
  <si>
    <t>MKR</t>
  </si>
  <si>
    <t>MAKARA</t>
  </si>
  <si>
    <t>TN</t>
  </si>
  <si>
    <t>TÂY NINH</t>
  </si>
  <si>
    <t>VL</t>
  </si>
  <si>
    <t>PHÔI VIỆT LONG</t>
  </si>
  <si>
    <t>SD</t>
  </si>
  <si>
    <t>SA ĐÉC</t>
  </si>
  <si>
    <t>TNOTX</t>
  </si>
  <si>
    <t>THỐT NỐT XÁ</t>
  </si>
  <si>
    <t>CD</t>
  </si>
  <si>
    <t>CHÂU ĐỐC</t>
  </si>
  <si>
    <t>HG</t>
  </si>
  <si>
    <t>HẬU GAING</t>
  </si>
  <si>
    <t>HT</t>
  </si>
  <si>
    <t>HÀ TIÊN</t>
  </si>
  <si>
    <t>PQ</t>
  </si>
  <si>
    <t>PHÚ QUỐC</t>
  </si>
  <si>
    <t>NE3</t>
  </si>
  <si>
    <t>NESTLE 3-7</t>
  </si>
  <si>
    <t>NE7</t>
  </si>
  <si>
    <t>NESTLE 7-10</t>
  </si>
  <si>
    <t>NE10</t>
  </si>
  <si>
    <t>NESTLE &gt;10</t>
  </si>
  <si>
    <t>NDNA</t>
  </si>
  <si>
    <t>NDFC - NAIC BẾN LỨC</t>
  </si>
  <si>
    <t>NAUN</t>
  </si>
  <si>
    <t>NAIC -UNI</t>
  </si>
  <si>
    <t>nta</t>
  </si>
  <si>
    <t>NHẬT TRÚC ANH TRẢNG BOM</t>
  </si>
  <si>
    <t>TCLA</t>
  </si>
  <si>
    <t>TRUE CARE LONG AN</t>
  </si>
  <si>
    <t>QXT</t>
  </si>
  <si>
    <t>QUANG XUÂN TRƯỜNG P.GIÁO</t>
  </si>
  <si>
    <t>GHTGP</t>
  </si>
  <si>
    <t>GIA HOÀNG TIỀN GIANG PALLET</t>
  </si>
  <si>
    <t>GHTGX</t>
  </si>
  <si>
    <t>GIA HOÀNG TIỀN GIANG XÁ</t>
  </si>
  <si>
    <t>KVVL</t>
  </si>
  <si>
    <t>KIÊN VƯƠNG VĨNH LONG</t>
  </si>
  <si>
    <t>LXUN</t>
  </si>
  <si>
    <t>LONG XUYÊN - UNI</t>
  </si>
  <si>
    <t>TTHOA</t>
  </si>
  <si>
    <t>THẮNG THOA PHƯƠNG LÂM</t>
  </si>
  <si>
    <t>WIPRO</t>
  </si>
  <si>
    <t>WIPRO THUẬN AN BD</t>
  </si>
  <si>
    <t>vtpl</t>
  </si>
  <si>
    <t>VŨNG TÀU PALLET</t>
  </si>
  <si>
    <t>AFST</t>
  </si>
  <si>
    <t>ANFOOD SÓNG THẦN</t>
  </si>
  <si>
    <t>HMPHM</t>
  </si>
  <si>
    <t>HOÀNG MINH PHÁT HÓC MÔN</t>
  </si>
  <si>
    <t>hcvml</t>
  </si>
  <si>
    <t>HÓA CHẤT VIỆT MỸ XE LỚN</t>
  </si>
  <si>
    <t>HCSV</t>
  </si>
  <si>
    <t>HOÁ CHẤT SEN VIỆT BÊN CÁT XE LỚN</t>
  </si>
  <si>
    <t>HCSVN</t>
  </si>
  <si>
    <t>HOÁ CHẤT SEN VIỆT ĐÔNG NAI XE NHỎ</t>
  </si>
  <si>
    <t>xnkttv</t>
  </si>
  <si>
    <t>XUẤT NHẬP KHẢU T.T.V</t>
  </si>
  <si>
    <t>HHLXP</t>
  </si>
  <si>
    <t>HIỆP HƯNG LONG XUYÊN PALLET</t>
  </si>
  <si>
    <t>VNXL</t>
  </si>
  <si>
    <t>VỊ NGỌT HAPPY XE LỚN</t>
  </si>
  <si>
    <t>K50L</t>
  </si>
  <si>
    <t>METRO KHO 50 XE LỚN</t>
  </si>
  <si>
    <t>VNA</t>
  </si>
  <si>
    <t>VINH NAM ANH</t>
  </si>
  <si>
    <t>AJ3</t>
  </si>
  <si>
    <t>AJNOMOTO 3-7</t>
  </si>
  <si>
    <t>AJ7</t>
  </si>
  <si>
    <t>AJNOMOTO 7-10</t>
  </si>
  <si>
    <t>AJ10</t>
  </si>
  <si>
    <t>AJNOMOTO &gt;10</t>
  </si>
  <si>
    <t>AH</t>
  </si>
  <si>
    <t>AH THUẬN AN</t>
  </si>
  <si>
    <t>AMI</t>
  </si>
  <si>
    <t>AMIGO ĐỨC HOÀ ( K BX )</t>
  </si>
  <si>
    <t>KHÔNG BỐC XẾP</t>
  </si>
  <si>
    <t>AJNO</t>
  </si>
  <si>
    <t>AJNOMOTO L.THÀNH</t>
  </si>
  <si>
    <t>ABC</t>
  </si>
  <si>
    <t>ABC BACKERRY Q6</t>
  </si>
  <si>
    <t>aa</t>
  </si>
  <si>
    <t>Á ÂU BT</t>
  </si>
  <si>
    <t>ACE</t>
  </si>
  <si>
    <t>ACECOOK TÂN PHÚ</t>
  </si>
  <si>
    <t>AT</t>
  </si>
  <si>
    <t>ÂN THÁI LTK Q10</t>
  </si>
  <si>
    <t>AG</t>
  </si>
  <si>
    <t>AGIFISH TÂN BÌNH</t>
  </si>
  <si>
    <t>agr</t>
  </si>
  <si>
    <t xml:space="preserve">Agrex SG </t>
  </si>
  <si>
    <t>APIS</t>
  </si>
  <si>
    <t>APIS ( KBX )</t>
  </si>
  <si>
    <t>API</t>
  </si>
  <si>
    <t>APIS TRÃ TANK ( KBX )</t>
  </si>
  <si>
    <t>abY</t>
  </si>
  <si>
    <t>ABY SHOP GÒ VẤP</t>
  </si>
  <si>
    <t>ANBS</t>
  </si>
  <si>
    <t>ANBS TÂN PHÚ</t>
  </si>
  <si>
    <t>ASIA</t>
  </si>
  <si>
    <t>ASIASHINE</t>
  </si>
  <si>
    <t>AF</t>
  </si>
  <si>
    <t>ANFOOD Q12 ( K BX )</t>
  </si>
  <si>
    <t>AMER</t>
  </si>
  <si>
    <t>AMERICA HERITAGE</t>
  </si>
  <si>
    <t>BIVY</t>
  </si>
  <si>
    <t>BIVY BÌNH CHÁNH</t>
  </si>
  <si>
    <t>BIBI</t>
  </si>
  <si>
    <t>BIBICA MIỀN TÂY ( KBX )</t>
  </si>
  <si>
    <t>btay</t>
  </si>
  <si>
    <t>Bình Tây - Quận 7 ( KBX )</t>
  </si>
  <si>
    <t>BLONG</t>
  </si>
  <si>
    <t>BẢO LONG</t>
  </si>
  <si>
    <t>BBBH</t>
  </si>
  <si>
    <t>BIBICA BIÊN HOÀ ( KBX )</t>
  </si>
  <si>
    <t>BF</t>
  </si>
  <si>
    <t>BEST FOOD</t>
  </si>
  <si>
    <t>BTRI</t>
  </si>
  <si>
    <t>BÌNH TRÍ-LONG AN</t>
  </si>
  <si>
    <t>IFH</t>
  </si>
  <si>
    <t>IFH TÂN UYÊN</t>
  </si>
  <si>
    <t>BV</t>
  </si>
  <si>
    <t>BÁNH VÀNG HIỆP PHƯỚC</t>
  </si>
  <si>
    <t>CÓ BX</t>
  </si>
  <si>
    <t>BCD</t>
  </si>
  <si>
    <t>BÉ CẦN ĐƯỚC ( K BX ) DI AN</t>
  </si>
  <si>
    <t>BDBM</t>
  </si>
  <si>
    <t>BINH DƯƠNG BRANCH MAXIDI ( KBX )</t>
  </si>
  <si>
    <t>cnhl</t>
  </si>
  <si>
    <t>CÁ NGỪ HẠ LONG</t>
  </si>
  <si>
    <t>CTT</t>
  </si>
  <si>
    <t>CHÂU TRƯỜNG THỊNH</t>
  </si>
  <si>
    <t>CH207</t>
  </si>
  <si>
    <t>CH 207</t>
  </si>
  <si>
    <t>CC</t>
  </si>
  <si>
    <t>CON CƯNG BÌNH DƯƠNG</t>
  </si>
  <si>
    <t>CP</t>
  </si>
  <si>
    <t>CỔ PHẦN TRANG NHÀ BÈ</t>
  </si>
  <si>
    <t>CH</t>
  </si>
  <si>
    <t>CÁT HẢI LONG HẬU</t>
  </si>
  <si>
    <t>casa</t>
  </si>
  <si>
    <t>Casabella - Q7</t>
  </si>
  <si>
    <t>CLm</t>
  </si>
  <si>
    <t>CHOLIMEX VĨNH LỘC ( K BX )</t>
  </si>
  <si>
    <t>clmla</t>
  </si>
  <si>
    <t>CHOLIMEX LONG AN ( K BX )</t>
  </si>
  <si>
    <t>clmbc</t>
  </si>
  <si>
    <t>CHOLIMEX BINH CHÁNH ( KBX )</t>
  </si>
  <si>
    <t>CHCL</t>
  </si>
  <si>
    <t>CẨM HƯƠNG CHƠ LỚN ( K BX )</t>
  </si>
  <si>
    <t>CMC</t>
  </si>
  <si>
    <t>CHERMICAL ĐỨC HOÀ</t>
  </si>
  <si>
    <t>CFPV</t>
  </si>
  <si>
    <t>CAFE PHƯƠNG VY TÂN UYÊN</t>
  </si>
  <si>
    <t>clvlh</t>
  </si>
  <si>
    <t>CLV LONG HẬU ( K BX )</t>
  </si>
  <si>
    <t>CTYS</t>
  </si>
  <si>
    <t>CTY SUPREME ( KBX )</t>
  </si>
  <si>
    <t>CTSP</t>
  </si>
  <si>
    <t>CTY SAPA</t>
  </si>
  <si>
    <t>TLV</t>
  </si>
  <si>
    <t>TÂN LÚA VÀNG ( KBX )</t>
  </si>
  <si>
    <t>3KSH</t>
  </si>
  <si>
    <t>3KS H.T.PHÁT ( K BX )</t>
  </si>
  <si>
    <t>3ksd</t>
  </si>
  <si>
    <t>3KS ĐỨC HOÀ</t>
  </si>
  <si>
    <t>3KSDA</t>
  </si>
  <si>
    <t>3ks DĨ AN ( K BX )</t>
  </si>
  <si>
    <t>3KSTP</t>
  </si>
  <si>
    <t>3KS TÂN PHÚ ( K BX )</t>
  </si>
  <si>
    <t>DMH</t>
  </si>
  <si>
    <t>ĐẠT MẠNH HÙNG LONG THÀNH</t>
  </si>
  <si>
    <t>DT</t>
  </si>
  <si>
    <t>ĐỨC THANH</t>
  </si>
  <si>
    <t>DDC</t>
  </si>
  <si>
    <t>DƯƠNG DƯƠNG CHÂU</t>
  </si>
  <si>
    <t>dhg</t>
  </si>
  <si>
    <t>Dược Hậu Giang</t>
  </si>
  <si>
    <t>dary</t>
  </si>
  <si>
    <t>DARY NHÀ BÈ</t>
  </si>
  <si>
    <t>dpd</t>
  </si>
  <si>
    <t>Dược Phương Đông</t>
  </si>
  <si>
    <t>dpn</t>
  </si>
  <si>
    <t>Dược Phương Nam</t>
  </si>
  <si>
    <t>DPL</t>
  </si>
  <si>
    <t>DƯỢC PHƯƠNG LILIUM</t>
  </si>
  <si>
    <t>DUSA</t>
  </si>
  <si>
    <t>DƯỢC PHẨM USA-NIC</t>
  </si>
  <si>
    <t>DN</t>
  </si>
  <si>
    <t>ĐÔNG NAM</t>
  </si>
  <si>
    <t>DL</t>
  </si>
  <si>
    <t>DUY LINH</t>
  </si>
  <si>
    <t>DDT</t>
  </si>
  <si>
    <t>ĐẠI ĐIỀN TÂM -C.CHI</t>
  </si>
  <si>
    <t>DK</t>
  </si>
  <si>
    <t>D&amp;K</t>
  </si>
  <si>
    <t>DNG</t>
  </si>
  <si>
    <t>ĐẠT NGỌC</t>
  </si>
  <si>
    <t>DLVN</t>
  </si>
  <si>
    <t>ĐÔNG LIM VINA L.THÀNH ( KBX )</t>
  </si>
  <si>
    <t>K BỐC XẾP</t>
  </si>
  <si>
    <t>DTO</t>
  </si>
  <si>
    <t xml:space="preserve">ĐỨC TỎ </t>
  </si>
  <si>
    <t>dpTD</t>
  </si>
  <si>
    <t>D,P THỦ ĐỨC ( K BX)</t>
  </si>
  <si>
    <t>ĐTMTX</t>
  </si>
  <si>
    <t>ĐÔNG THANH MỸ THO XÁ</t>
  </si>
  <si>
    <t>ĐTMTP</t>
  </si>
  <si>
    <t>ĐÔNG THANH MỸ THO PALLET</t>
  </si>
  <si>
    <t>ECOP</t>
  </si>
  <si>
    <t>EARTH COOP</t>
  </si>
  <si>
    <t>DHT</t>
  </si>
  <si>
    <t>ĐẠI HƯNG THỊNH BD ( KBX )</t>
  </si>
  <si>
    <t>DQ</t>
  </si>
  <si>
    <t>ĐÔNG QUÂN</t>
  </si>
  <si>
    <t>mt</t>
  </si>
  <si>
    <t>Minh Tâm ( H.môn)</t>
  </si>
  <si>
    <t>MILA</t>
  </si>
  <si>
    <t>MILANO</t>
  </si>
  <si>
    <t>MP</t>
  </si>
  <si>
    <t>MINH PHONG Q.12</t>
  </si>
  <si>
    <t>MKH</t>
  </si>
  <si>
    <t>MÃ KIM HUỆ</t>
  </si>
  <si>
    <t>MASAN</t>
  </si>
  <si>
    <t>MASAN B.DƯƠNG</t>
  </si>
  <si>
    <t>MB</t>
  </si>
  <si>
    <t>MEBIPHAR</t>
  </si>
  <si>
    <t/>
  </si>
  <si>
    <t>mnvt</t>
  </si>
  <si>
    <t>MN VĨNH THẠNH</t>
  </si>
  <si>
    <t>MARI</t>
  </si>
  <si>
    <t>MARICO</t>
  </si>
  <si>
    <t>MIA</t>
  </si>
  <si>
    <t>MỸ PHẨM MIA Q6</t>
  </si>
  <si>
    <t>MK</t>
  </si>
  <si>
    <t>MINH KHANG HM(K BX)</t>
  </si>
  <si>
    <t>MPSG</t>
  </si>
  <si>
    <t>MỸ PHẨM SG Q2 (K BX )</t>
  </si>
  <si>
    <t>MGVP</t>
  </si>
  <si>
    <t>MEGA VIỆT PHÁT L.HẬU ( K BX )</t>
  </si>
  <si>
    <t>MPNT</t>
  </si>
  <si>
    <t>MỸ PHẨM LG VINA ( KBX )</t>
  </si>
  <si>
    <t>NAICNDN</t>
  </si>
  <si>
    <t>NDFC - NAIC BẾN LỨC XE NHỎ</t>
  </si>
  <si>
    <t>NTAN</t>
  </si>
  <si>
    <t>NHỰT TÂN</t>
  </si>
  <si>
    <t>NIC</t>
  </si>
  <si>
    <t>NIC PHARMA</t>
  </si>
  <si>
    <t>NP</t>
  </si>
  <si>
    <t>NAM PHƯƠNG CU CHI ( KBX )</t>
  </si>
  <si>
    <t>NH</t>
  </si>
  <si>
    <t>N.HƯNG Q.6</t>
  </si>
  <si>
    <t>NNH</t>
  </si>
  <si>
    <t>N.N.HƯNG</t>
  </si>
  <si>
    <t>NTRU</t>
  </si>
  <si>
    <t>NGUYỄN TRƯƠNG</t>
  </si>
  <si>
    <t>NGÂN TRANG Q.5</t>
  </si>
  <si>
    <t>NT12</t>
  </si>
  <si>
    <t>NGÂN TRANG Q.12</t>
  </si>
  <si>
    <t>NN</t>
  </si>
  <si>
    <t>NGÀ NĂM</t>
  </si>
  <si>
    <t>NV</t>
  </si>
  <si>
    <t>NAM VIỆT ĐỖ ( K BX )</t>
  </si>
  <si>
    <t>NVT</t>
  </si>
  <si>
    <t>N.V.ĐỖ TL10</t>
  </si>
  <si>
    <t>NVH</t>
  </si>
  <si>
    <t>NAM VIỆT ĐỖ H.MÔN ( K BX)</t>
  </si>
  <si>
    <t>NDFC</t>
  </si>
  <si>
    <t>TRUNG CHUYỂN</t>
  </si>
  <si>
    <t>nth</t>
  </si>
  <si>
    <t>Như Thùy</t>
  </si>
  <si>
    <t>NGUYỄN NGỌC THUỲ</t>
  </si>
  <si>
    <t>nvhau</t>
  </si>
  <si>
    <t>NGUYỄN VĂN HẬU</t>
  </si>
  <si>
    <t>NSG</t>
  </si>
  <si>
    <t>NAM SÀI GÒN</t>
  </si>
  <si>
    <t>NNY</t>
  </si>
  <si>
    <t>NGỌC NHƯ Ý</t>
  </si>
  <si>
    <t>NUTRI</t>
  </si>
  <si>
    <t>NUTRIDIAMON- BH</t>
  </si>
  <si>
    <t>UNIBEN</t>
  </si>
  <si>
    <t>UNIBEN TÂN UYÊN</t>
  </si>
  <si>
    <t>NS</t>
  </si>
  <si>
    <t>NISSIN TÂN UYÊN ( K BX)</t>
  </si>
  <si>
    <t>NHDT</t>
  </si>
  <si>
    <t>NAM HUY Đ.THÁP CỦ CHI</t>
  </si>
  <si>
    <t>NUP</t>
  </si>
  <si>
    <t>NUPLEX BIÊN HOÀ</t>
  </si>
  <si>
    <t>NES</t>
  </si>
  <si>
    <t>NESTLE LONG BÌNH ( KBX)</t>
  </si>
  <si>
    <t>NET</t>
  </si>
  <si>
    <t>NET LONG THÀNH (K BX )</t>
  </si>
  <si>
    <t>NUTI</t>
  </si>
  <si>
    <t>NUTIFOOD ( K BX )</t>
  </si>
  <si>
    <t>NTBC</t>
  </si>
  <si>
    <t>NUTRIBIZ BẾN CÁT ( K BX )</t>
  </si>
  <si>
    <t>NDA</t>
  </si>
  <si>
    <t>NEWL</t>
  </si>
  <si>
    <t>NEW LIFE ( KBX )</t>
  </si>
  <si>
    <t>NPHU</t>
  </si>
  <si>
    <t>NGHIỆP PHÚ ( KBX )</t>
  </si>
  <si>
    <t>NLANG</t>
  </si>
  <si>
    <t>NGỌC LANG</t>
  </si>
  <si>
    <t>PNL</t>
  </si>
  <si>
    <t>PHẠM NGUYÊN L.AN</t>
  </si>
  <si>
    <t>PN</t>
  </si>
  <si>
    <t>PHẠM NGUYÊN B.TÂN</t>
  </si>
  <si>
    <t>PP</t>
  </si>
  <si>
    <t>PHONG PHÚ -BC</t>
  </si>
  <si>
    <t>PT</t>
  </si>
  <si>
    <t>PHÚC THỊNH VINA ( K BX )</t>
  </si>
  <si>
    <t>PNAM</t>
  </si>
  <si>
    <t>PHƯƠNG NAM ( K BX)</t>
  </si>
  <si>
    <t>pd</t>
  </si>
  <si>
    <t>PHƯƠNG ĐÔNG</t>
  </si>
  <si>
    <t>papa</t>
  </si>
  <si>
    <t>Paparotti Tân Phú</t>
  </si>
  <si>
    <t>PHAM</t>
  </si>
  <si>
    <t>PHẠM ASSET ( K BX )</t>
  </si>
  <si>
    <t>PANH</t>
  </si>
  <si>
    <t>PHÚC ANH - B.THẠNH</t>
  </si>
  <si>
    <t>PVY</t>
  </si>
  <si>
    <t>Phương Vy- Bình Thạnh</t>
  </si>
  <si>
    <t>pviet</t>
  </si>
  <si>
    <t>PHỞ VIỆT - B.DƯƠNG</t>
  </si>
  <si>
    <t>pe</t>
  </si>
  <si>
    <t>PERPETTI</t>
  </si>
  <si>
    <t>pv</t>
  </si>
  <si>
    <t>PHONG VÂN ( K BX )</t>
  </si>
  <si>
    <t>PVG</t>
  </si>
  <si>
    <t>PHONG VÂN - GÒ VẤP ( K BX )</t>
  </si>
  <si>
    <t>PY</t>
  </si>
  <si>
    <t>PHƯƠNG YẾN</t>
  </si>
  <si>
    <t>PHV</t>
  </si>
  <si>
    <t>PHÚ HOÀNG VINH</t>
  </si>
  <si>
    <t>P&amp;T</t>
  </si>
  <si>
    <t>P&amp;T THUẬN AN</t>
  </si>
  <si>
    <t>PAA</t>
  </si>
  <si>
    <t>PHÁT AN AN-C.GIUỘC</t>
  </si>
  <si>
    <t>POYUN</t>
  </si>
  <si>
    <t>POYUN TÂN UYÊN</t>
  </si>
  <si>
    <t>ppm</t>
  </si>
  <si>
    <t>PHẠM PHAN MES CỦ CHI ( K BX )</t>
  </si>
  <si>
    <t>PPLA</t>
  </si>
  <si>
    <t>PHẠM PHAN LONG AN</t>
  </si>
  <si>
    <t>PYtb</t>
  </si>
  <si>
    <t>POYUN TRẢNG BOM</t>
  </si>
  <si>
    <t>P&amp;V</t>
  </si>
  <si>
    <t>P&amp;V GÒ VẤP</t>
  </si>
  <si>
    <t>PPL</t>
  </si>
  <si>
    <t>PHẠM PHAN SLES Đ.HOÀ ( K BX)</t>
  </si>
  <si>
    <t>PTHAI</t>
  </si>
  <si>
    <t>PHÚ THÁI BD ( K BX )</t>
  </si>
  <si>
    <t>PMVN</t>
  </si>
  <si>
    <t>PHAN MINH VŨ XE NHỎ XÁ</t>
  </si>
  <si>
    <t>PC</t>
  </si>
  <si>
    <t>PHƯỚC CƯỜNG FL</t>
  </si>
  <si>
    <t>lthp</t>
  </si>
  <si>
    <t>LỘC THIÊN HƯNG PHÁT</t>
  </si>
  <si>
    <t>ltd</t>
  </si>
  <si>
    <t>Lê Trọng Đạt</t>
  </si>
  <si>
    <t>lc</t>
  </si>
  <si>
    <t>Lacos - Long An</t>
  </si>
  <si>
    <t>LG</t>
  </si>
  <si>
    <t>LÊ GIA THỦ ĐỨC</t>
  </si>
  <si>
    <t>LBD</t>
  </si>
  <si>
    <t>LÂM BÌNH DƯƠNG</t>
  </si>
  <si>
    <t>lww</t>
  </si>
  <si>
    <t>Liwayway</t>
  </si>
  <si>
    <t>LV</t>
  </si>
  <si>
    <t>LÃ VÕ</t>
  </si>
  <si>
    <t>LTAN</t>
  </si>
  <si>
    <t>LAM TÂN T.ĐỨC ( K BX)</t>
  </si>
  <si>
    <t>trương việt út</t>
  </si>
  <si>
    <t>LHT</t>
  </si>
  <si>
    <t>LÊ HUY THIÊN -BH</t>
  </si>
  <si>
    <t>trường nét lay</t>
  </si>
  <si>
    <t>LONA</t>
  </si>
  <si>
    <t>LONA TD Q6</t>
  </si>
  <si>
    <t>lotha</t>
  </si>
  <si>
    <t>LOTHAMILK</t>
  </si>
  <si>
    <t>LTMP</t>
  </si>
  <si>
    <t>LOTTE MỸ  PHƯỚC</t>
  </si>
  <si>
    <t>LGLA</t>
  </si>
  <si>
    <t>CT LG L.AN ( K BX )</t>
  </si>
  <si>
    <t>lnguyen</t>
  </si>
  <si>
    <t>LIÊN NGUYỄN B.CHÁNH</t>
  </si>
  <si>
    <t>LILIUM</t>
  </si>
  <si>
    <t>LILIUM CẦN GIUỘC</t>
  </si>
  <si>
    <t>lcf</t>
  </si>
  <si>
    <t>LC FOOD ( KBX )</t>
  </si>
  <si>
    <t>kp</t>
  </si>
  <si>
    <t>Khang Phát</t>
  </si>
  <si>
    <t>KM</t>
  </si>
  <si>
    <t>KIM MÃ</t>
  </si>
  <si>
    <t>KFC</t>
  </si>
  <si>
    <t>KFC GÒ VẤP ( K BX )</t>
  </si>
  <si>
    <t>KF</t>
  </si>
  <si>
    <t>KING FOOD</t>
  </si>
  <si>
    <t>KV</t>
  </si>
  <si>
    <t>KIẾN VƯƠNG</t>
  </si>
  <si>
    <t>KR</t>
  </si>
  <si>
    <t>KERRY THUẬN AN</t>
  </si>
  <si>
    <t>KITA</t>
  </si>
  <si>
    <t>KITAMURA Q12</t>
  </si>
  <si>
    <t>KDMK</t>
  </si>
  <si>
    <t>KÉO DÁN MINH KHANG H.MÔN ( KBX )</t>
  </si>
  <si>
    <t>KVU</t>
  </si>
  <si>
    <t>KỲ VŨ ( K BX )</t>
  </si>
  <si>
    <t>KIDO</t>
  </si>
  <si>
    <t xml:space="preserve">KIDO CỦ CHI </t>
  </si>
  <si>
    <t>KD</t>
  </si>
  <si>
    <t>KINH ĐÔ</t>
  </si>
  <si>
    <t>KOP</t>
  </si>
  <si>
    <t>KOP Q9 ( K BX )</t>
  </si>
  <si>
    <t>ks</t>
  </si>
  <si>
    <t>KUSAN Q9 ( K BX )</t>
  </si>
  <si>
    <t>kopdh</t>
  </si>
  <si>
    <t>KOP ĐỨC HÒA ( K BX )</t>
  </si>
  <si>
    <t>GTT</t>
  </si>
  <si>
    <t>GIÀY THÁI THỊNH ( kbx )</t>
  </si>
  <si>
    <t>GST</t>
  </si>
  <si>
    <t>GA SÓNG THẦN</t>
  </si>
  <si>
    <t>GB</t>
  </si>
  <si>
    <t>PHÂN BÓN GIA BẢO</t>
  </si>
  <si>
    <t>GK</t>
  </si>
  <si>
    <t>GIA KHANG</t>
  </si>
  <si>
    <t>GKP</t>
  </si>
  <si>
    <t>GIA KHANG PHÁT</t>
  </si>
  <si>
    <t>GN</t>
  </si>
  <si>
    <t>GN FOOD LONG HẬU</t>
  </si>
  <si>
    <t>gp</t>
  </si>
  <si>
    <t>Grand Place</t>
  </si>
  <si>
    <t>GD</t>
  </si>
  <si>
    <t>GOLD D</t>
  </si>
  <si>
    <t>GV</t>
  </si>
  <si>
    <t>GOLD VIỆT B.CHÁNH ( K BX)</t>
  </si>
  <si>
    <t>GOLS</t>
  </si>
  <si>
    <t>GOLDEN SWORD</t>
  </si>
  <si>
    <t>QMK</t>
  </si>
  <si>
    <t>QUANG MINH KHANG</t>
  </si>
  <si>
    <t>TMH</t>
  </si>
  <si>
    <t>TRẦN MỸ HƯƠNG</t>
  </si>
  <si>
    <t>TPHAT</t>
  </si>
  <si>
    <t>THIỆN PHÁT</t>
  </si>
  <si>
    <t>TPXT</t>
  </si>
  <si>
    <t>TP XU THẾ</t>
  </si>
  <si>
    <t>THAO</t>
  </si>
  <si>
    <t>THẢO NGUYÊN BT</t>
  </si>
  <si>
    <t>THT</t>
  </si>
  <si>
    <t>TÂN HÙNG THÁI</t>
  </si>
  <si>
    <t>TT</t>
  </si>
  <si>
    <t>THƯ TRÚC</t>
  </si>
  <si>
    <t>TP</t>
  </si>
  <si>
    <t>THỌ PHÁT</t>
  </si>
  <si>
    <t>tx</t>
  </si>
  <si>
    <t>THANH XUÂN</t>
  </si>
  <si>
    <t>tnh</t>
  </si>
  <si>
    <t>Tân Nhất Hương</t>
  </si>
  <si>
    <t>THEW</t>
  </si>
  <si>
    <t>THEWAY - B.TÂN</t>
  </si>
  <si>
    <t>TC</t>
  </si>
  <si>
    <t>TRUE CARE</t>
  </si>
  <si>
    <t>TG</t>
  </si>
  <si>
    <t>THÁI GIANG</t>
  </si>
  <si>
    <t>tbl</t>
  </si>
  <si>
    <t>TBL-Q12</t>
  </si>
  <si>
    <t>tbltd</t>
  </si>
  <si>
    <t>TBL-THỦ ĐỨC</t>
  </si>
  <si>
    <t>TTC</t>
  </si>
  <si>
    <t>TÂN TOÀN CẦU</t>
  </si>
  <si>
    <t>TD</t>
  </si>
  <si>
    <t>TRÍ ĐỨC CỦ CHI</t>
  </si>
  <si>
    <t>TMSB</t>
  </si>
  <si>
    <t>TM SB Q6</t>
  </si>
  <si>
    <t>trop</t>
  </si>
  <si>
    <t>TROPICAL</t>
  </si>
  <si>
    <t>TM</t>
  </si>
  <si>
    <t>THANH MINH Q6</t>
  </si>
  <si>
    <t>TOPF</t>
  </si>
  <si>
    <t>TOPFOOD</t>
  </si>
  <si>
    <t>TBP</t>
  </si>
  <si>
    <t>TÂN BẢO PHÁT</t>
  </si>
  <si>
    <t>THỰC PHẨM MIA-Q6</t>
  </si>
  <si>
    <t>TV</t>
  </si>
  <si>
    <t>CT TÙNG VIỆT NHƠN TRẠCH (KBX)</t>
  </si>
  <si>
    <t>TLLT</t>
  </si>
  <si>
    <t>T.LONG L.THÀNH (K BX)</t>
  </si>
  <si>
    <t>TILI</t>
  </si>
  <si>
    <t>TILICO TÊN LỬA</t>
  </si>
  <si>
    <t>TTP</t>
  </si>
  <si>
    <t>THÀNH THÀNH PHÁT B.CHÁNH ( K BX)</t>
  </si>
  <si>
    <t>TAB</t>
  </si>
  <si>
    <t>TA BAKER Q,12</t>
  </si>
  <si>
    <t>TPLS</t>
  </si>
  <si>
    <t>THỰC PHẨM LONG SƠN ( KBX )</t>
  </si>
  <si>
    <t>TNF</t>
  </si>
  <si>
    <t>TOÀN NGUYỄN FOOD</t>
  </si>
  <si>
    <t>HDQT</t>
  </si>
  <si>
    <t>HOÁ DƯỢC QUỐC TẾ SG ( KBX )</t>
  </si>
  <si>
    <t>HCVM</t>
  </si>
  <si>
    <t>HOÁ CHẤT VIỆT MỸ</t>
  </si>
  <si>
    <t>HCVML</t>
  </si>
  <si>
    <t>HOÁ CHẤT VIỆT MỸ ( XE LỚN )</t>
  </si>
  <si>
    <t>HBK</t>
  </si>
  <si>
    <t>HƯƠNG BAKI</t>
  </si>
  <si>
    <t>HMAI</t>
  </si>
  <si>
    <t>HOA MAI</t>
  </si>
  <si>
    <t>HCAC</t>
  </si>
  <si>
    <t>Hóa chất Á Châu</t>
  </si>
  <si>
    <t>HCT</t>
  </si>
  <si>
    <t>Hct Family Food</t>
  </si>
  <si>
    <t>HA</t>
  </si>
  <si>
    <t>HỒNG Á ( K BX )</t>
  </si>
  <si>
    <t>HL</t>
  </si>
  <si>
    <t>HÂN LÊ HÓC MÔN</t>
  </si>
  <si>
    <t>HXL</t>
  </si>
  <si>
    <t>HOÀNG XUÂN LONG</t>
  </si>
  <si>
    <t>hanh</t>
  </si>
  <si>
    <t>Hoàng Anh</t>
  </si>
  <si>
    <t>hp</t>
  </si>
  <si>
    <t>HƯNG PHÁT</t>
  </si>
  <si>
    <t>HV</t>
  </si>
  <si>
    <t>HẠT VÀNG - LONG AN</t>
  </si>
  <si>
    <t>HCL</t>
  </si>
  <si>
    <t>HÀ CẨM LiỀNG</t>
  </si>
  <si>
    <t>HPHU</t>
  </si>
  <si>
    <t>HÂN PHÚ</t>
  </si>
  <si>
    <t>HPHAT</t>
  </si>
  <si>
    <t>HỒNG PHÁT</t>
  </si>
  <si>
    <t>HY</t>
  </si>
  <si>
    <t>HOÀNG YẾN</t>
  </si>
  <si>
    <t>hmp</t>
  </si>
  <si>
    <t>HOÀNG MINH PHÁT</t>
  </si>
  <si>
    <t>HQ</t>
  </si>
  <si>
    <t>HƯNG QUẾ</t>
  </si>
  <si>
    <t>HPHUC</t>
  </si>
  <si>
    <t>HOÀ PHÚC</t>
  </si>
  <si>
    <t>htg</t>
  </si>
  <si>
    <t>HT GOLD-V.LỘC ( K BX)</t>
  </si>
  <si>
    <t>HNM</t>
  </si>
  <si>
    <t>HANOIMILK TÂN UYÊN ( KBX )</t>
  </si>
  <si>
    <t>HIM</t>
  </si>
  <si>
    <t>HIM NHƠN TRẠCH ( BX )</t>
  </si>
  <si>
    <t>CÓ BỐC XẾP</t>
  </si>
  <si>
    <t>H2TD</t>
  </si>
  <si>
    <t>H2CHEMICAL TĐ ( K BX)</t>
  </si>
  <si>
    <t>HH</t>
  </si>
  <si>
    <t>HIẾN HIỆU XUÂN LỘC</t>
  </si>
  <si>
    <t>HNGOC</t>
  </si>
  <si>
    <t>HỒNG NGỌC AN LẠC</t>
  </si>
  <si>
    <t>HTHANH</t>
  </si>
  <si>
    <t>HAI THANH KCN HP</t>
  </si>
  <si>
    <t>HUB</t>
  </si>
  <si>
    <t>HUBCAKE</t>
  </si>
  <si>
    <t>SHT</t>
  </si>
  <si>
    <t>SONG HỒNG TÂN ( KBX )</t>
  </si>
  <si>
    <t>sgm</t>
  </si>
  <si>
    <t>SÀI GÒN MILK ( K BX )</t>
  </si>
  <si>
    <t>sthm</t>
  </si>
  <si>
    <t>Stella - Hóc Môn</t>
  </si>
  <si>
    <t>spm</t>
  </si>
  <si>
    <t>SPM TÂN TẠO</t>
  </si>
  <si>
    <t>SAF</t>
  </si>
  <si>
    <t>SAF VIỆT</t>
  </si>
  <si>
    <t>sumi</t>
  </si>
  <si>
    <t>SUMIMOTO</t>
  </si>
  <si>
    <t>SAP</t>
  </si>
  <si>
    <t>SAPRIMCO</t>
  </si>
  <si>
    <t>SEA</t>
  </si>
  <si>
    <t>SEASPIMEX</t>
  </si>
  <si>
    <t>sun</t>
  </si>
  <si>
    <t>SUNNY TECH THUẬN AN</t>
  </si>
  <si>
    <t>STD</t>
  </si>
  <si>
    <t>SAO THÁI DƯƠNG</t>
  </si>
  <si>
    <t>SEMBA</t>
  </si>
  <si>
    <t>SEMBA TOHKA ( KBX )</t>
  </si>
  <si>
    <t>US</t>
  </si>
  <si>
    <t>US PHARMA (KBX )</t>
  </si>
  <si>
    <t>JO</t>
  </si>
  <si>
    <t>JOLIBEE</t>
  </si>
  <si>
    <t>OR</t>
  </si>
  <si>
    <t>ORION VINA</t>
  </si>
  <si>
    <t>ocm</t>
  </si>
  <si>
    <t>OCM ĐỨC HOÀ ( K BX )</t>
  </si>
  <si>
    <t>OMD</t>
  </si>
  <si>
    <t>OMD BÌNH CHÁNH ( KBX )</t>
  </si>
  <si>
    <t>OMDHM</t>
  </si>
  <si>
    <t>OMD HÓC MÔN ( KBX )</t>
  </si>
  <si>
    <t>ima</t>
  </si>
  <si>
    <t>Imanaka Đồng Nai</t>
  </si>
  <si>
    <t>IU</t>
  </si>
  <si>
    <t>HÀNG IU</t>
  </si>
  <si>
    <t>FLE</t>
  </si>
  <si>
    <t>FLEMING BIÊN HÒA</t>
  </si>
  <si>
    <t>RB</t>
  </si>
  <si>
    <t xml:space="preserve">R&amp;B FOOD </t>
  </si>
  <si>
    <t>RBFLH</t>
  </si>
  <si>
    <t>R&amp;B FOOD LONG HẬU</t>
  </si>
  <si>
    <t>3kstd</t>
  </si>
  <si>
    <t>3KS THỦ ĐỨC</t>
  </si>
  <si>
    <t>3KSCG</t>
  </si>
  <si>
    <t>3KS CẦN GIUỘC ( K BX )</t>
  </si>
  <si>
    <t>3KSHTP</t>
  </si>
  <si>
    <t>3KS HUỲNH TẤN PHÁT ( K BX)</t>
  </si>
  <si>
    <t>3KSCH</t>
  </si>
  <si>
    <t>3KS CẨM HƯƠNG ( K BX )</t>
  </si>
  <si>
    <t>3KSDH</t>
  </si>
  <si>
    <t>3KS ĐỨC HÒA</t>
  </si>
  <si>
    <t>VINAS</t>
  </si>
  <si>
    <t>VINASOY ( KBX )</t>
  </si>
  <si>
    <t>VTN</t>
  </si>
  <si>
    <t>Võ Thành Nhân</t>
  </si>
  <si>
    <t>VFS</t>
  </si>
  <si>
    <t>VV</t>
  </si>
  <si>
    <t>VI VI</t>
  </si>
  <si>
    <t>vnbc</t>
  </si>
  <si>
    <t>VỊ NGỌT HAPPY BÊN CÁT ( KBX )</t>
  </si>
  <si>
    <t>VNHP</t>
  </si>
  <si>
    <t>VỊ NGỌT HAPPY ( K BX )</t>
  </si>
  <si>
    <t>VMP</t>
  </si>
  <si>
    <t>VŨ MỸ PHỤNG ( K BX )</t>
  </si>
  <si>
    <t>VP</t>
  </si>
  <si>
    <t>Vũ Phúc</t>
  </si>
  <si>
    <t>VINA</t>
  </si>
  <si>
    <t>VINASEN</t>
  </si>
  <si>
    <t>vinaf</t>
  </si>
  <si>
    <t>VINAFOOD KYOEI</t>
  </si>
  <si>
    <t>VIVA</t>
  </si>
  <si>
    <t>VIVA CARA</t>
  </si>
  <si>
    <t>VTH</t>
  </si>
  <si>
    <t>VĨNH THẠNH</t>
  </si>
  <si>
    <t>VSS</t>
  </si>
  <si>
    <t>VISSAN</t>
  </si>
  <si>
    <t>VTV</t>
  </si>
  <si>
    <t>VƯƠNG TƯỜNG VÂN</t>
  </si>
  <si>
    <t>vphat</t>
  </si>
  <si>
    <t>VẠN PHÁT</t>
  </si>
  <si>
    <t>VIVI</t>
  </si>
  <si>
    <t>VIVI CACA L.HẬU</t>
  </si>
  <si>
    <t>VPG</t>
  </si>
  <si>
    <t>VĨNH PHONG</t>
  </si>
  <si>
    <t>VICO</t>
  </si>
  <si>
    <t>VICO BÌNH DƯƠNG ( K BX )</t>
  </si>
  <si>
    <t>Vĩnh Nam Anh ( k bx )</t>
  </si>
  <si>
    <t>VNP</t>
  </si>
  <si>
    <t>VINA PRIDE LONG HẬU</t>
  </si>
  <si>
    <t>vh</t>
  </si>
  <si>
    <t>VĨ HUY BẾN LỨC ( K BX )</t>
  </si>
  <si>
    <t>vphuc</t>
  </si>
  <si>
    <t>VĨNH PHÚC</t>
  </si>
  <si>
    <t>VINA SEAFOOD L.HẬU</t>
  </si>
  <si>
    <t>VPLH</t>
  </si>
  <si>
    <t>V.PHÁT L.HẬU (K BX)</t>
  </si>
  <si>
    <t>VHCS</t>
  </si>
  <si>
    <t>VĂN HẬU CHỢ SẶC ( KBX)</t>
  </si>
  <si>
    <t>VHTP</t>
  </si>
  <si>
    <t xml:space="preserve">VĂN HẬU T.PHÚ </t>
  </si>
  <si>
    <t>VHLH</t>
  </si>
  <si>
    <t>VĂN HẬU LONG HƯNG ( KBX )</t>
  </si>
  <si>
    <t>VHQ8</t>
  </si>
  <si>
    <t>VĂN HẬU Q8 ( K BX )</t>
  </si>
  <si>
    <t>VHLA</t>
  </si>
  <si>
    <t>VĂN HẬU LONG AN</t>
  </si>
  <si>
    <t>VHBD</t>
  </si>
  <si>
    <t>V.HẬU LÂM BD ( K BX)</t>
  </si>
  <si>
    <t>VTPBD</t>
  </si>
  <si>
    <t>VIỆT TIÊN PHÚ BD ( K BX )</t>
  </si>
  <si>
    <t>VHCC</t>
  </si>
  <si>
    <t>VĂN HẬU CỦ CHI</t>
  </si>
  <si>
    <t>VVL</t>
  </si>
  <si>
    <t>VẠN VẠN LỢI</t>
  </si>
  <si>
    <t>INTER</t>
  </si>
  <si>
    <t>INTER PHARMA T.AN ( KBX )</t>
  </si>
  <si>
    <t>urc</t>
  </si>
  <si>
    <t>URC TÂN UYÊN ( K BX )</t>
  </si>
  <si>
    <t>SENV</t>
  </si>
  <si>
    <t>SEN VIỆT ( K BX )</t>
  </si>
  <si>
    <t>XV</t>
  </si>
  <si>
    <t>XUÂN VÂN ( K BX )</t>
  </si>
  <si>
    <t>xnktl</t>
  </si>
  <si>
    <t>XNK THỦY LONG</t>
  </si>
  <si>
    <t>XNK</t>
  </si>
  <si>
    <t>XNK LONG AN ( CÓ BX )</t>
  </si>
  <si>
    <t>XT</t>
  </si>
  <si>
    <t>XUÂN THUỶ</t>
  </si>
  <si>
    <t>ICF</t>
  </si>
  <si>
    <t>IC FOOD TÂN PHÚ</t>
  </si>
  <si>
    <t>YL</t>
  </si>
  <si>
    <t>YILIN</t>
  </si>
  <si>
    <t>YG</t>
  </si>
  <si>
    <t>Y GIANG LONG AN</t>
  </si>
  <si>
    <t>UNIP</t>
  </si>
  <si>
    <t>UNIPRESIDEN</t>
  </si>
  <si>
    <t>BTA</t>
  </si>
  <si>
    <t>BÌNH TÂN</t>
  </si>
  <si>
    <t>BCHA</t>
  </si>
  <si>
    <t>BÌNH CHÁNH</t>
  </si>
  <si>
    <t>HN</t>
  </si>
  <si>
    <t>HƯƠNG NHÂN Q.9</t>
  </si>
  <si>
    <t>Vtau</t>
  </si>
  <si>
    <t>VŨNG TÀU</t>
  </si>
  <si>
    <t>ccvt</t>
  </si>
  <si>
    <t>Củ Chi - Vũng Tàu</t>
  </si>
  <si>
    <t>ccq5</t>
  </si>
  <si>
    <t>Củ Chi - Quận 5</t>
  </si>
  <si>
    <t>GVAP</t>
  </si>
  <si>
    <t>GO VAP</t>
  </si>
  <si>
    <t>CCHI</t>
  </si>
  <si>
    <t>CU CHI</t>
  </si>
  <si>
    <t>BÌNH THẠNH</t>
  </si>
  <si>
    <t>HM</t>
  </si>
  <si>
    <t>HÓC MÔN</t>
  </si>
  <si>
    <t>TDUC</t>
  </si>
  <si>
    <t>THU DUC</t>
  </si>
  <si>
    <t>TH</t>
  </si>
  <si>
    <t>TRẢ HÀNG</t>
  </si>
  <si>
    <t>K50</t>
  </si>
  <si>
    <t>METRO KHO 50</t>
  </si>
  <si>
    <t>MTBP</t>
  </si>
  <si>
    <t>M. BÌNH PHÚ</t>
  </si>
  <si>
    <t>MTHP</t>
  </si>
  <si>
    <t>M. HIỆP PHÚ</t>
  </si>
  <si>
    <t>MTAP</t>
  </si>
  <si>
    <t>M. AN PHÚ</t>
  </si>
  <si>
    <t>MTBH</t>
  </si>
  <si>
    <t>METRO BIEN HOA</t>
  </si>
  <si>
    <t>mhp</t>
  </si>
  <si>
    <t>METRO HƯNG PHÚ</t>
  </si>
  <si>
    <t>mtbd</t>
  </si>
  <si>
    <t>METRO BÌNH DƯƠNG</t>
  </si>
  <si>
    <t>VBD</t>
  </si>
  <si>
    <t>VINCOM BÌNH DƯƠNG</t>
  </si>
  <si>
    <t>VQ7</t>
  </si>
  <si>
    <t>VINT QUẬN 7</t>
  </si>
  <si>
    <t>VLM</t>
  </si>
  <si>
    <t>VINT LANDMARK</t>
  </si>
  <si>
    <t>vtd</t>
  </si>
  <si>
    <t>VINCOM THẢO ĐIỀN</t>
  </si>
  <si>
    <t>VTDUC</t>
  </si>
  <si>
    <t>VIN THỦ ĐỨC</t>
  </si>
  <si>
    <t>VBC</t>
  </si>
  <si>
    <t>VINCOM BÀU CÁT</t>
  </si>
  <si>
    <t>VBT</t>
  </si>
  <si>
    <t>VINCOM BÌNH TRƯNG</t>
  </si>
  <si>
    <t>V32</t>
  </si>
  <si>
    <t>VIN 3/2</t>
  </si>
  <si>
    <t>VCH</t>
  </si>
  <si>
    <t>VIN CỘNG HÒA</t>
  </si>
  <si>
    <t>VNL</t>
  </si>
  <si>
    <t>VIN NAM LONG</t>
  </si>
  <si>
    <t>VLVV</t>
  </si>
  <si>
    <t>VINCOM LÊ VĂN VIỆT</t>
  </si>
  <si>
    <t>CQ8</t>
  </si>
  <si>
    <t>COOP TUY LÝ VƯƠNG</t>
  </si>
  <si>
    <t>CPL</t>
  </si>
  <si>
    <t>COOP PHÚ LÂM</t>
  </si>
  <si>
    <t>CQT</t>
  </si>
  <si>
    <t>COOP QUANG TRUNG</t>
  </si>
  <si>
    <t>CNK</t>
  </si>
  <si>
    <t>COOP NGUYỄN KiỆM</t>
  </si>
  <si>
    <t>CNL</t>
  </si>
  <si>
    <t>COOP NHIÊU LỘC</t>
  </si>
  <si>
    <t>CBT</t>
  </si>
  <si>
    <t>COOP BÌNH TÂN</t>
  </si>
  <si>
    <t>CBT2</t>
  </si>
  <si>
    <t>COOP BÌNH TÂN 2</t>
  </si>
  <si>
    <t>CHB</t>
  </si>
  <si>
    <t>COOP HÒA BÌNH</t>
  </si>
  <si>
    <t>CRM</t>
  </si>
  <si>
    <t>COOP RACH MiỄU</t>
  </si>
  <si>
    <t>CCVA</t>
  </si>
  <si>
    <t>COOP C.V.AN</t>
  </si>
  <si>
    <t>CPVC</t>
  </si>
  <si>
    <t>COOP PHẠM VĂN CHIÊU</t>
  </si>
  <si>
    <t>CTL</t>
  </si>
  <si>
    <t>COOP THẮNG LỢI</t>
  </si>
  <si>
    <t>cnat</t>
  </si>
  <si>
    <t>COOP NGUYỄN ẢNH THỦ</t>
  </si>
  <si>
    <t>CDVC</t>
  </si>
  <si>
    <t>COOP ĐỒNG VĂN CÔNG</t>
  </si>
  <si>
    <t>CXL</t>
  </si>
  <si>
    <t>COOP XA LỘ HN</t>
  </si>
  <si>
    <t>CHTP</t>
  </si>
  <si>
    <t>COOP HUỲNH TẤN PHÁT</t>
  </si>
  <si>
    <t>CPVH</t>
  </si>
  <si>
    <t>COOP PHAN VĂN HỚN</t>
  </si>
  <si>
    <t>CPVD</t>
  </si>
  <si>
    <t>COOP PHẠM VĂN ĐỒNG</t>
  </si>
  <si>
    <t>CHM</t>
  </si>
  <si>
    <t>COOP HÓC MÔN</t>
  </si>
  <si>
    <t>CCC</t>
  </si>
  <si>
    <t>COOP CỦ CHI</t>
  </si>
  <si>
    <t>CSVH</t>
  </si>
  <si>
    <t>COOP SƯ VẠN HẠNH</t>
  </si>
  <si>
    <t>CLTK</t>
  </si>
  <si>
    <t>COOP LÝ THƯỜNG KIỆT</t>
  </si>
  <si>
    <t>CTM</t>
  </si>
  <si>
    <t>COOP THÁP MƯỜI</t>
  </si>
  <si>
    <t>CNVQ</t>
  </si>
  <si>
    <t>COOP NGUYỄN VĂN QUỲ</t>
  </si>
  <si>
    <t>CTP</t>
  </si>
  <si>
    <t>COOP TÂN PHONG</t>
  </si>
  <si>
    <t>CNB</t>
  </si>
  <si>
    <t>COOP NGUYỄN BÌNH</t>
  </si>
  <si>
    <t>chv</t>
  </si>
  <si>
    <t>COOP Hùng Vương</t>
  </si>
  <si>
    <t>CLT</t>
  </si>
  <si>
    <t>COOP LINH TRUNG</t>
  </si>
  <si>
    <t>cbd</t>
  </si>
  <si>
    <t>COOP BÌNH DƯƠNG</t>
  </si>
  <si>
    <t>CVT</t>
  </si>
  <si>
    <t>COOP VỆ TINH BD</t>
  </si>
  <si>
    <t>ccq</t>
  </si>
  <si>
    <t>COOP CỐNG QUỲNH</t>
  </si>
  <si>
    <t>clmx</t>
  </si>
  <si>
    <t>COOP LÊ MINH XUÂN</t>
  </si>
  <si>
    <t>BCAL</t>
  </si>
  <si>
    <t>BIG C AN LAC</t>
  </si>
  <si>
    <t>BCMD</t>
  </si>
  <si>
    <t>BC MIỀN ĐÔNG</t>
  </si>
  <si>
    <t>BCPT</t>
  </si>
  <si>
    <t>BC PHÚ THẠNH</t>
  </si>
  <si>
    <t>BCTC</t>
  </si>
  <si>
    <t>BC TRƯỜNG CHINH</t>
  </si>
  <si>
    <t>BCGV</t>
  </si>
  <si>
    <t>BC GÒ VẤP</t>
  </si>
  <si>
    <t>BCAP</t>
  </si>
  <si>
    <t>BC AN PHÚ</t>
  </si>
  <si>
    <t>BCTH</t>
  </si>
  <si>
    <t>BIG C TÂN HIỆP</t>
  </si>
  <si>
    <t>BCDN</t>
  </si>
  <si>
    <t>BIG C ĐỒNG NAI</t>
  </si>
  <si>
    <t>BCA</t>
  </si>
  <si>
    <t>BIG C ÂU CƠ</t>
  </si>
  <si>
    <t>NCT</t>
  </si>
  <si>
    <t>BC NEW CTY</t>
  </si>
  <si>
    <t>BCtD</t>
  </si>
  <si>
    <t>BC THẢO ĐIỀN</t>
  </si>
  <si>
    <t>BCBD</t>
  </si>
  <si>
    <t>BIG C BÌNH DƯƠNG</t>
  </si>
  <si>
    <t>BCNT</t>
  </si>
  <si>
    <t>BIG C NHƠN TRẠCH</t>
  </si>
  <si>
    <t>BCDA</t>
  </si>
  <si>
    <t>BIG C BIG C DĨ AN</t>
  </si>
  <si>
    <t>BCML</t>
  </si>
  <si>
    <t>EB MOON LIGHT</t>
  </si>
  <si>
    <t>BCTU</t>
  </si>
  <si>
    <t>BIG C TÂN UYÊN</t>
  </si>
  <si>
    <t>BTT</t>
  </si>
  <si>
    <t>BHX TÂN TẠO</t>
  </si>
  <si>
    <t>BTNP</t>
  </si>
  <si>
    <t>BHX TĂNG NHƠN PHÚ</t>
  </si>
  <si>
    <t>BCC</t>
  </si>
  <si>
    <t>BHX CỦ CHI</t>
  </si>
  <si>
    <t>BHM</t>
  </si>
  <si>
    <t>BHX HÓC MÔN</t>
  </si>
  <si>
    <t>B13</t>
  </si>
  <si>
    <t>BHX QuỐC LỘ 13</t>
  </si>
  <si>
    <t>B12</t>
  </si>
  <si>
    <t>BHX QUẬN 12</t>
  </si>
  <si>
    <t>bgv</t>
  </si>
  <si>
    <t>BHX GÒ VẤP</t>
  </si>
  <si>
    <t>BBT</t>
  </si>
  <si>
    <t>BHX BÌNH TÂN</t>
  </si>
  <si>
    <t>BBT2</t>
  </si>
  <si>
    <t>BHX BÌNH TÂN 2</t>
  </si>
  <si>
    <t>BTQN</t>
  </si>
  <si>
    <t>BHX T.QUANG NGHỊ</t>
  </si>
  <si>
    <t>BQ6</t>
  </si>
  <si>
    <t>BHX QuẬN 6</t>
  </si>
  <si>
    <t>BVL</t>
  </si>
  <si>
    <t>BHX ( VL)</t>
  </si>
  <si>
    <t>BTDN</t>
  </si>
  <si>
    <t>BHX ( TĐN)</t>
  </si>
  <si>
    <t>BHCD</t>
  </si>
  <si>
    <t>BHX CẦN ĐƯỚC</t>
  </si>
  <si>
    <t>BLB</t>
  </si>
  <si>
    <t>BHX LONG BÌNH</t>
  </si>
  <si>
    <t>Bnb</t>
  </si>
  <si>
    <t>BHX NHÀ BÈ</t>
  </si>
  <si>
    <t>BXA</t>
  </si>
  <si>
    <t>BHX XUYÊN Á</t>
  </si>
  <si>
    <t>bdh</t>
  </si>
  <si>
    <t>BHX ĐỨC HÒA</t>
  </si>
  <si>
    <t>bav</t>
  </si>
  <si>
    <t>BHX AVAKID- LONG HẬU</t>
  </si>
  <si>
    <t>BHTA</t>
  </si>
  <si>
    <t>BHX THUẬN AN</t>
  </si>
  <si>
    <t>CITI</t>
  </si>
  <si>
    <t>CITIMART - Q7</t>
  </si>
  <si>
    <t>AEON</t>
  </si>
  <si>
    <t>AEON BÌNH TÂN</t>
  </si>
  <si>
    <t>ATP</t>
  </si>
  <si>
    <t>AEON TÂN PHÚ</t>
  </si>
  <si>
    <t>A12</t>
  </si>
  <si>
    <t>AEON QUẬN 12</t>
  </si>
  <si>
    <t>AES</t>
  </si>
  <si>
    <t>AEON SORA B.DƯƠNG</t>
  </si>
  <si>
    <t>ARDC</t>
  </si>
  <si>
    <t>AEON RDC Q12</t>
  </si>
  <si>
    <t>AQ7</t>
  </si>
  <si>
    <t>AEON QUẬN 7</t>
  </si>
  <si>
    <t>A8</t>
  </si>
  <si>
    <t>AEON QUẬN 8</t>
  </si>
  <si>
    <t>ABD</t>
  </si>
  <si>
    <t>AEON BÌNH DƯƠNG</t>
  </si>
  <si>
    <t>EMTĐ</t>
  </si>
  <si>
    <t>E MART THỦ ĐỨC</t>
  </si>
  <si>
    <t>EM</t>
  </si>
  <si>
    <t>E MART GÒ VẤP</t>
  </si>
  <si>
    <t>EMS</t>
  </si>
  <si>
    <t>E MART SALA</t>
  </si>
  <si>
    <t>EMP</t>
  </si>
  <si>
    <t>EMART P.H.ÍCH</t>
  </si>
  <si>
    <t>NVC</t>
  </si>
  <si>
    <t>NGUYỄN VĂN CỪ</t>
  </si>
  <si>
    <t>LOTE</t>
  </si>
  <si>
    <t>LOTTEMART-Q7</t>
  </si>
  <si>
    <t>LTPT</t>
  </si>
  <si>
    <t>LOTTE-PHU THO</t>
  </si>
  <si>
    <t>LTGV</t>
  </si>
  <si>
    <t>LOTTE-GÒ VẤP</t>
  </si>
  <si>
    <t>LTDN</t>
  </si>
  <si>
    <t>LOTTE ĐỒNG NAI</t>
  </si>
  <si>
    <t>LTTB</t>
  </si>
  <si>
    <t>LOTTE-TÂN BÌNH</t>
  </si>
  <si>
    <t>LTBD</t>
  </si>
  <si>
    <t>LOTTE BÌNH DƯƠNG</t>
  </si>
  <si>
    <t>CL</t>
  </si>
  <si>
    <t>CẢNG CÁT LÁI</t>
  </si>
  <si>
    <t>CHUYỂN HÀNG UNI</t>
  </si>
  <si>
    <t>ND</t>
  </si>
  <si>
    <t>NAM DƯƠNG</t>
  </si>
  <si>
    <t>DVH</t>
  </si>
  <si>
    <t>ĐẠI ViỆT HƯƠNG TP</t>
  </si>
  <si>
    <t>stvt</t>
  </si>
  <si>
    <t>SATRA VIETTEL</t>
  </si>
  <si>
    <t>SBD</t>
  </si>
  <si>
    <t>SATRA BÌNH ĐIỀN</t>
  </si>
  <si>
    <t>SSG</t>
  </si>
  <si>
    <t>SATRA SÀI GÒN</t>
  </si>
  <si>
    <t>SPH</t>
  </si>
  <si>
    <t>SATRA PHẠM HÙNG</t>
  </si>
  <si>
    <t>SCT</t>
  </si>
  <si>
    <t>SATRA CẦN THƠ</t>
  </si>
  <si>
    <t>scc</t>
  </si>
  <si>
    <t>SATRA CỦ CHI</t>
  </si>
  <si>
    <t>STX</t>
  </si>
  <si>
    <t>SATRA TX TAX</t>
  </si>
  <si>
    <t>svvk</t>
  </si>
  <si>
    <t>SATRA VÕ VĂN KIỆT</t>
  </si>
  <si>
    <t>stbd</t>
  </si>
  <si>
    <t>SATRA BÌNH DƯƠNG</t>
  </si>
  <si>
    <t>SFOOD</t>
  </si>
  <si>
    <t>SATRA FOOD</t>
  </si>
  <si>
    <t>1 ĐIỂM</t>
  </si>
  <si>
    <t>fyar</t>
  </si>
  <si>
    <t>FOOKYIK - ARDA</t>
  </si>
  <si>
    <t>SFY</t>
  </si>
  <si>
    <t>STUDIO - FOOKYIL</t>
  </si>
  <si>
    <t>FYS</t>
  </si>
  <si>
    <t>FOOKYIK - STUDIO</t>
  </si>
  <si>
    <t>FYAA</t>
  </si>
  <si>
    <t>FOOKYIK</t>
  </si>
  <si>
    <t>LLFY</t>
  </si>
  <si>
    <t>LILY 19 - FOOKYIL</t>
  </si>
  <si>
    <t>l1fy</t>
  </si>
  <si>
    <t>LAB 1 - FOOOKYIL</t>
  </si>
  <si>
    <t>SA</t>
  </si>
  <si>
    <t>STUDIO</t>
  </si>
  <si>
    <t>AS</t>
  </si>
  <si>
    <t>AA</t>
  </si>
  <si>
    <t>AL1</t>
  </si>
  <si>
    <t>L1A</t>
  </si>
  <si>
    <t>LAB 1</t>
  </si>
  <si>
    <t>ALL</t>
  </si>
  <si>
    <t>BLLL</t>
  </si>
  <si>
    <t>BẾN LỨC</t>
  </si>
  <si>
    <t>SK1</t>
  </si>
  <si>
    <t>STUDIO- KAISER 1</t>
  </si>
  <si>
    <t>K1S</t>
  </si>
  <si>
    <t>KAISER 1- STUDIO</t>
  </si>
  <si>
    <t>K1V</t>
  </si>
  <si>
    <t>KAISER 1 - VTP</t>
  </si>
  <si>
    <t>QTFY</t>
  </si>
  <si>
    <t>QUỐC TRƯỞNG -FOOKYIL</t>
  </si>
  <si>
    <t>VK1</t>
  </si>
  <si>
    <t>VTP - KAISER 1</t>
  </si>
  <si>
    <t>K1L1</t>
  </si>
  <si>
    <t>KAISER 1 - LAB 1</t>
  </si>
  <si>
    <t>LK1</t>
  </si>
  <si>
    <t>LAB 1 - KAISER 1</t>
  </si>
  <si>
    <t>K2S</t>
  </si>
  <si>
    <t>KAISER 2 - STUDIO</t>
  </si>
  <si>
    <t>SK2</t>
  </si>
  <si>
    <t>STUDIO - KAISER 2</t>
  </si>
  <si>
    <t>K2L1</t>
  </si>
  <si>
    <t>KAISER 2 - LAB 1</t>
  </si>
  <si>
    <t>L1K2</t>
  </si>
  <si>
    <t>LAB 1 - K2</t>
  </si>
  <si>
    <t>LLK2</t>
  </si>
  <si>
    <t>LILY - K2</t>
  </si>
  <si>
    <t>VS</t>
  </si>
  <si>
    <t>VTP - STUDIO</t>
  </si>
  <si>
    <t>SV</t>
  </si>
  <si>
    <t>STUDIO - VTP</t>
  </si>
  <si>
    <t>SLL</t>
  </si>
  <si>
    <t>STUDIO - LILY</t>
  </si>
  <si>
    <t>smg</t>
  </si>
  <si>
    <t>LLS</t>
  </si>
  <si>
    <t>LILY - STUDIO</t>
  </si>
  <si>
    <t>SUL</t>
  </si>
  <si>
    <t>ULS</t>
  </si>
  <si>
    <t>UL</t>
  </si>
  <si>
    <t>ULL1</t>
  </si>
  <si>
    <t>L1UL</t>
  </si>
  <si>
    <t>SBM</t>
  </si>
  <si>
    <t>BMS</t>
  </si>
  <si>
    <t>BOMEI</t>
  </si>
  <si>
    <t>bmll</t>
  </si>
  <si>
    <t>LLBM</t>
  </si>
  <si>
    <t>LILY</t>
  </si>
  <si>
    <t>QTL</t>
  </si>
  <si>
    <t>QUỐC TRƯỞNG</t>
  </si>
  <si>
    <t>LQT</t>
  </si>
  <si>
    <t>SGLL</t>
  </si>
  <si>
    <t>SAIGON RIVER - LILY</t>
  </si>
  <si>
    <t>SGM</t>
  </si>
  <si>
    <t>SAIGON RIVER - MTS</t>
  </si>
  <si>
    <t>MSG</t>
  </si>
  <si>
    <t>MTS - SG RIVER</t>
  </si>
  <si>
    <t>LLSG</t>
  </si>
  <si>
    <t>LILY - SÀI GÒN RIVER</t>
  </si>
  <si>
    <t>SGRLL</t>
  </si>
  <si>
    <t>sgRs</t>
  </si>
  <si>
    <t>SAIGON RIVER - STUDIO</t>
  </si>
  <si>
    <t>SSGR</t>
  </si>
  <si>
    <t>STUDIO - SG RIVER</t>
  </si>
  <si>
    <t>SGRAR</t>
  </si>
  <si>
    <t>SAIGON RIVER -ARDA</t>
  </si>
  <si>
    <t>ARSGR</t>
  </si>
  <si>
    <t>ARDA - SG RIVER</t>
  </si>
  <si>
    <t>sgrm</t>
  </si>
  <si>
    <t>VLL</t>
  </si>
  <si>
    <t>VTP - LILY</t>
  </si>
  <si>
    <t>LLV</t>
  </si>
  <si>
    <t>LILY - VTP</t>
  </si>
  <si>
    <t>VM</t>
  </si>
  <si>
    <t>VTP - MTS</t>
  </si>
  <si>
    <t>MV</t>
  </si>
  <si>
    <t>MTS VTP</t>
  </si>
  <si>
    <t>TA3LL</t>
  </si>
  <si>
    <t>TA3- LILY</t>
  </si>
  <si>
    <t>LLTA3</t>
  </si>
  <si>
    <t>LILY 19 TA1</t>
  </si>
  <si>
    <t>LTA3</t>
  </si>
  <si>
    <t>LAB 1 TA3</t>
  </si>
  <si>
    <t>TA3L</t>
  </si>
  <si>
    <t>TA3 - LILY</t>
  </si>
  <si>
    <t>STML</t>
  </si>
  <si>
    <t>TMLS</t>
  </si>
  <si>
    <t>TML</t>
  </si>
  <si>
    <t>STA3</t>
  </si>
  <si>
    <t>STUDIO - TA3</t>
  </si>
  <si>
    <t>TA3S</t>
  </si>
  <si>
    <t>TA3 - STUDIO</t>
  </si>
  <si>
    <t>VL1</t>
  </si>
  <si>
    <t>VTP LAB 1</t>
  </si>
  <si>
    <t>L1V</t>
  </si>
  <si>
    <t>LAB 1 - VTP</t>
  </si>
  <si>
    <t>TA1L1</t>
  </si>
  <si>
    <t>TA1 - LAB 1</t>
  </si>
  <si>
    <t>TA1AR</t>
  </si>
  <si>
    <t>TA1 - ARDA</t>
  </si>
  <si>
    <t>ta1vt</t>
  </si>
  <si>
    <t>TA1 - VIETSTONE</t>
  </si>
  <si>
    <t>SVT</t>
  </si>
  <si>
    <t>STUDIO - VIETSTONE</t>
  </si>
  <si>
    <t>vtfy</t>
  </si>
  <si>
    <t>VIETSTONE - FOOKYIL</t>
  </si>
  <si>
    <t>L1TA1</t>
  </si>
  <si>
    <t>LAB 1 - TA1</t>
  </si>
  <si>
    <t>STA1</t>
  </si>
  <si>
    <t>STUDIO - TA1</t>
  </si>
  <si>
    <t>TA1S</t>
  </si>
  <si>
    <t>TA1 - STUDIO</t>
  </si>
  <si>
    <t>TA1UL</t>
  </si>
  <si>
    <t>TA1</t>
  </si>
  <si>
    <t>ARDA</t>
  </si>
  <si>
    <t>TA1SB</t>
  </si>
  <si>
    <t>k1sb</t>
  </si>
  <si>
    <t>KAISER 1</t>
  </si>
  <si>
    <t>L1S</t>
  </si>
  <si>
    <t>LAB 1 - STUDIO</t>
  </si>
  <si>
    <t>SL1</t>
  </si>
  <si>
    <t>STUDIO - LAB 1</t>
  </si>
  <si>
    <t>L1FY</t>
  </si>
  <si>
    <t>LAB 1 - FOOKYI;</t>
  </si>
  <si>
    <t>FYL1</t>
  </si>
  <si>
    <t>FOOKYIK - LAB 1</t>
  </si>
  <si>
    <t>L1B</t>
  </si>
  <si>
    <t>LAB 1 -BOMEI</t>
  </si>
  <si>
    <t>BL1</t>
  </si>
  <si>
    <t>BOMEI - LAB 1</t>
  </si>
  <si>
    <t>MS</t>
  </si>
  <si>
    <t>MTS -STUDIO</t>
  </si>
  <si>
    <t>SM</t>
  </si>
  <si>
    <t>STUDIO - MTS</t>
  </si>
  <si>
    <t>L1AK</t>
  </si>
  <si>
    <t>AKL1</t>
  </si>
  <si>
    <t>AKZO - LAB 1</t>
  </si>
  <si>
    <t>ML1</t>
  </si>
  <si>
    <t>MTS - LAB 1</t>
  </si>
  <si>
    <t>q1l1</t>
  </si>
  <si>
    <t>QUẬN 1</t>
  </si>
  <si>
    <t>MLL</t>
  </si>
  <si>
    <t>MTS - STUDIO</t>
  </si>
  <si>
    <t>L1M</t>
  </si>
  <si>
    <t>LAB 1 MTS</t>
  </si>
  <si>
    <t>TPAR</t>
  </si>
  <si>
    <t>TPLAND</t>
  </si>
  <si>
    <t>var</t>
  </si>
  <si>
    <t>VTP</t>
  </si>
  <si>
    <t>arv</t>
  </si>
  <si>
    <t>ARS</t>
  </si>
  <si>
    <t>SAR</t>
  </si>
  <si>
    <t>ARL1</t>
  </si>
  <si>
    <t>GVL1</t>
  </si>
  <si>
    <t>GỖ VIỆT</t>
  </si>
  <si>
    <t>L1AR</t>
  </si>
  <si>
    <t>ARA</t>
  </si>
  <si>
    <t>ARCL</t>
  </si>
  <si>
    <t>ARQ8</t>
  </si>
  <si>
    <t>ARQ7</t>
  </si>
  <si>
    <t>q7s</t>
  </si>
  <si>
    <t>QUẬN 7</t>
  </si>
  <si>
    <t>CLAR</t>
  </si>
  <si>
    <t>CÁT LÁI</t>
  </si>
  <si>
    <t>MAR</t>
  </si>
  <si>
    <t>MTS</t>
  </si>
  <si>
    <t>ARM</t>
  </si>
  <si>
    <t>SCL</t>
  </si>
  <si>
    <t>CLS</t>
  </si>
  <si>
    <t>l1cl</t>
  </si>
  <si>
    <t>cll1</t>
  </si>
  <si>
    <t>stp</t>
  </si>
  <si>
    <t>TPS</t>
  </si>
  <si>
    <t>L1TP</t>
  </si>
  <si>
    <t>TPL1</t>
  </si>
  <si>
    <t>tpll</t>
  </si>
  <si>
    <t>lltp</t>
  </si>
  <si>
    <t>STL</t>
  </si>
  <si>
    <t>TLS</t>
  </si>
  <si>
    <t>TULIP - STUDIO</t>
  </si>
  <si>
    <t>LLA</t>
  </si>
  <si>
    <t xml:space="preserve">LILY 19 </t>
  </si>
  <si>
    <t>LLAR</t>
  </si>
  <si>
    <t>LILY 19</t>
  </si>
  <si>
    <t>LLPL</t>
  </si>
  <si>
    <t>LLDN</t>
  </si>
  <si>
    <t>2 ĐIỂM</t>
  </si>
  <si>
    <t>sk1k2</t>
  </si>
  <si>
    <t>STUDIO- K1-K2</t>
  </si>
  <si>
    <t>k2k1s</t>
  </si>
  <si>
    <t>KAISER 1 + 2 - STUDIO</t>
  </si>
  <si>
    <t>sfyk1</t>
  </si>
  <si>
    <t>STUDIO - FOOOKYIL</t>
  </si>
  <si>
    <t>LLSFY</t>
  </si>
  <si>
    <t>LILY 19 + STUDIO</t>
  </si>
  <si>
    <t>LLSK2</t>
  </si>
  <si>
    <t>SK1AR</t>
  </si>
  <si>
    <t>SK2AR</t>
  </si>
  <si>
    <t>STA13</t>
  </si>
  <si>
    <t>K2VS</t>
  </si>
  <si>
    <t>KAISER 2</t>
  </si>
  <si>
    <t>SVK2</t>
  </si>
  <si>
    <t>SFYK2</t>
  </si>
  <si>
    <t>ARK1ll</t>
  </si>
  <si>
    <t>ARDA + KAISER 1</t>
  </si>
  <si>
    <t>llsvt</t>
  </si>
  <si>
    <t>3 ĐIỂM</t>
  </si>
  <si>
    <t>ARK2K1S</t>
  </si>
  <si>
    <t>ARDA + KAISER 2 + KAISER 1</t>
  </si>
  <si>
    <t>sk1k2ar</t>
  </si>
  <si>
    <t>mllar</t>
  </si>
  <si>
    <t>LSK1AR</t>
  </si>
  <si>
    <t>ml1s</t>
  </si>
  <si>
    <t>MTS + LAB 1</t>
  </si>
  <si>
    <t>l1vtfy</t>
  </si>
  <si>
    <t>llk1k2</t>
  </si>
  <si>
    <t xml:space="preserve"> </t>
  </si>
  <si>
    <t>CÔNG TNHH DV VT PHÚ PHÁT</t>
  </si>
  <si>
    <t>165 Đỗ Thị Lời, P11, Q3, TP. HCM.</t>
  </si>
  <si>
    <t>cônG TNHH DV VT PHÚ PHÁT</t>
  </si>
  <si>
    <t>LƯU</t>
  </si>
  <si>
    <t>Tên :</t>
  </si>
  <si>
    <t>Số xe :</t>
  </si>
  <si>
    <t>P</t>
  </si>
  <si>
    <t>F</t>
  </si>
  <si>
    <t>TÊN</t>
  </si>
  <si>
    <t>Ngày</t>
  </si>
  <si>
    <t>Số xe</t>
  </si>
  <si>
    <t>Nơi giao</t>
  </si>
  <si>
    <t>Cđường</t>
  </si>
  <si>
    <t>ghi chú</t>
  </si>
  <si>
    <t>TẤN</t>
  </si>
  <si>
    <t>B.XẾP</t>
  </si>
  <si>
    <t>C.phí</t>
  </si>
  <si>
    <t>TÀI</t>
  </si>
  <si>
    <t>Đơn giá</t>
  </si>
  <si>
    <t>Thành tiền</t>
  </si>
  <si>
    <t>35462</t>
  </si>
  <si>
    <t>5/3</t>
  </si>
  <si>
    <t>35478+35475</t>
  </si>
  <si>
    <t>35457</t>
  </si>
  <si>
    <t>X1</t>
  </si>
  <si>
    <t>pgh</t>
  </si>
  <si>
    <t>3/3</t>
  </si>
  <si>
    <t>GAO UNI</t>
  </si>
  <si>
    <t>X2</t>
  </si>
  <si>
    <t>STVT</t>
  </si>
  <si>
    <t>35736+35734+35740+35742+35745</t>
  </si>
  <si>
    <t>SX 50H 64316</t>
  </si>
  <si>
    <t>R</t>
  </si>
  <si>
    <t>51D 38021 SX</t>
  </si>
  <si>
    <t>35654</t>
  </si>
  <si>
    <t>35497</t>
  </si>
  <si>
    <t>BX</t>
  </si>
  <si>
    <t>35513</t>
  </si>
  <si>
    <t>35505</t>
  </si>
  <si>
    <t>35499</t>
  </si>
  <si>
    <t>35510</t>
  </si>
  <si>
    <t>35506+35508+35507</t>
  </si>
  <si>
    <t>35571</t>
  </si>
  <si>
    <t>cơm</t>
  </si>
  <si>
    <t>35511+35516+35519</t>
  </si>
  <si>
    <t>GHÉP VVK</t>
  </si>
  <si>
    <t>35568</t>
  </si>
  <si>
    <t>bx</t>
  </si>
  <si>
    <t>35466</t>
  </si>
  <si>
    <t>35465</t>
  </si>
  <si>
    <t>xn</t>
  </si>
  <si>
    <t>35463</t>
  </si>
  <si>
    <t>B TÂM</t>
  </si>
  <si>
    <t>35501+35503</t>
  </si>
  <si>
    <t>35592</t>
  </si>
  <si>
    <t>3495+35495</t>
  </si>
  <si>
    <t>MNVT</t>
  </si>
  <si>
    <t>35584+35581</t>
  </si>
  <si>
    <t>SPM</t>
  </si>
  <si>
    <t>35754</t>
  </si>
  <si>
    <t>G NHANH</t>
  </si>
  <si>
    <t>GIAO BƯU LONG</t>
  </si>
  <si>
    <t>35923</t>
  </si>
  <si>
    <t>4/3</t>
  </si>
  <si>
    <t>35996</t>
  </si>
  <si>
    <t>36000</t>
  </si>
  <si>
    <t>35969+3740</t>
  </si>
  <si>
    <t>35917+3739</t>
  </si>
  <si>
    <t>6/3</t>
  </si>
  <si>
    <t>BNB</t>
  </si>
  <si>
    <t>3738+35893</t>
  </si>
  <si>
    <t>35757</t>
  </si>
  <si>
    <t>ems</t>
  </si>
  <si>
    <t>3746</t>
  </si>
  <si>
    <t>pnh</t>
  </si>
  <si>
    <t>bcgv</t>
  </si>
  <si>
    <t>3749</t>
  </si>
  <si>
    <t>GẠO UNI</t>
  </si>
  <si>
    <t>pahm</t>
  </si>
  <si>
    <t>3754</t>
  </si>
  <si>
    <t>7/3</t>
  </si>
  <si>
    <t>3750</t>
  </si>
  <si>
    <t>mtap</t>
  </si>
  <si>
    <t>36137+36128+36134+36131+3572+3571</t>
  </si>
  <si>
    <t>XN+DÍNH GIỜ</t>
  </si>
  <si>
    <t>3575+3574</t>
  </si>
  <si>
    <t>xn+giao đêm</t>
  </si>
  <si>
    <t>lg</t>
  </si>
  <si>
    <t>36089+36093</t>
  </si>
  <si>
    <t>us</t>
  </si>
  <si>
    <t>36163</t>
  </si>
  <si>
    <t>vnhp</t>
  </si>
  <si>
    <t>36176</t>
  </si>
  <si>
    <t>36182</t>
  </si>
  <si>
    <t>ntru</t>
  </si>
  <si>
    <t>36197</t>
  </si>
  <si>
    <t>3567+3566+36102+36100</t>
  </si>
  <si>
    <t>ddc</t>
  </si>
  <si>
    <t>36110+36108+3569+3570</t>
  </si>
  <si>
    <t>36107</t>
  </si>
  <si>
    <t>36154</t>
  </si>
  <si>
    <t>36156</t>
  </si>
  <si>
    <t>36198+36199</t>
  </si>
  <si>
    <t>LNGUYEN</t>
  </si>
  <si>
    <t>36467+36462</t>
  </si>
  <si>
    <t>3585</t>
  </si>
  <si>
    <t>3588</t>
  </si>
  <si>
    <t>vhq8</t>
  </si>
  <si>
    <t>n thuận</t>
  </si>
  <si>
    <t>xv</t>
  </si>
  <si>
    <t>z</t>
  </si>
  <si>
    <t>36609</t>
  </si>
  <si>
    <t>bnb</t>
  </si>
  <si>
    <t>r thi</t>
  </si>
  <si>
    <t>36436+36460+36438+36455</t>
  </si>
  <si>
    <t>c thạch</t>
  </si>
  <si>
    <t>36657</t>
  </si>
  <si>
    <t>f sơn</t>
  </si>
  <si>
    <t>36546+36552</t>
  </si>
  <si>
    <t>bvl</t>
  </si>
  <si>
    <t>a lợi</t>
  </si>
  <si>
    <t>36514</t>
  </si>
  <si>
    <t>ư lừa</t>
  </si>
  <si>
    <t>36567</t>
  </si>
  <si>
    <t>SX 50H 55443</t>
  </si>
  <si>
    <t>cơm+gap 2 chuyến</t>
  </si>
  <si>
    <t>long</t>
  </si>
  <si>
    <t>36577</t>
  </si>
  <si>
    <t>50H 63174 SX</t>
  </si>
  <si>
    <t>cơm bx + bx sx 69174</t>
  </si>
  <si>
    <t>lttb</t>
  </si>
  <si>
    <t>36724+36723+36721+3637+36720+36722</t>
  </si>
  <si>
    <t>24/3</t>
  </si>
  <si>
    <t>3816+3815+3814+36719</t>
  </si>
  <si>
    <t>emp</t>
  </si>
  <si>
    <t>36716+36715+36717+36718+36714</t>
  </si>
  <si>
    <t>10/3</t>
  </si>
  <si>
    <t>36725+3820</t>
  </si>
  <si>
    <t>3827</t>
  </si>
  <si>
    <t>PHÍ VÀO CỔNG</t>
  </si>
  <si>
    <t>senv</t>
  </si>
  <si>
    <t>36773</t>
  </si>
  <si>
    <t>e</t>
  </si>
  <si>
    <t>36790</t>
  </si>
  <si>
    <t>e1</t>
  </si>
  <si>
    <t>36806+36785</t>
  </si>
  <si>
    <t>kido</t>
  </si>
  <si>
    <t>36780</t>
  </si>
  <si>
    <t>36764</t>
  </si>
  <si>
    <t>mgvp</t>
  </si>
  <si>
    <t>36751</t>
  </si>
  <si>
    <t>apis</t>
  </si>
  <si>
    <t>vvl</t>
  </si>
  <si>
    <t>3641+36749+36753</t>
  </si>
  <si>
    <t>36906</t>
  </si>
  <si>
    <t>36908</t>
  </si>
  <si>
    <t>36934</t>
  </si>
  <si>
    <t>37042+37043</t>
  </si>
  <si>
    <t>x4</t>
  </si>
  <si>
    <t>37044</t>
  </si>
  <si>
    <t>37047</t>
  </si>
  <si>
    <t>bx+cơm</t>
  </si>
  <si>
    <t>37064+37063</t>
  </si>
  <si>
    <t>3855</t>
  </si>
  <si>
    <t>3870+3871</t>
  </si>
  <si>
    <t>37059</t>
  </si>
  <si>
    <t>f y</t>
  </si>
  <si>
    <t>37144</t>
  </si>
  <si>
    <t>CLMX</t>
  </si>
  <si>
    <t>37430</t>
  </si>
  <si>
    <t>GHÉP MCC</t>
  </si>
  <si>
    <t>37290+3898+3899</t>
  </si>
  <si>
    <t>37413</t>
  </si>
  <si>
    <t>37339</t>
  </si>
  <si>
    <t>37341</t>
  </si>
  <si>
    <t>y tHANH</t>
  </si>
  <si>
    <t>37411</t>
  </si>
  <si>
    <t>37463</t>
  </si>
  <si>
    <t>37454</t>
  </si>
  <si>
    <t>37458</t>
  </si>
  <si>
    <t>37353+37349+37347</t>
  </si>
  <si>
    <t>37465+37464+3715+3717</t>
  </si>
  <si>
    <t>atp</t>
  </si>
  <si>
    <t>37613</t>
  </si>
  <si>
    <t>9/3</t>
  </si>
  <si>
    <t>3948+3947+3946</t>
  </si>
  <si>
    <t>3943+3944+37621+37622+37625+37620+37614+37618</t>
  </si>
  <si>
    <t>3773</t>
  </si>
  <si>
    <t>37628</t>
  </si>
  <si>
    <t>37645</t>
  </si>
  <si>
    <t>3954</t>
  </si>
  <si>
    <t>SX 47H 02023</t>
  </si>
  <si>
    <t>37697</t>
  </si>
  <si>
    <t>50H 60635 SX</t>
  </si>
  <si>
    <t>37641+37643</t>
  </si>
  <si>
    <t>thay 2 bóng đèn</t>
  </si>
  <si>
    <t>ha</t>
  </si>
  <si>
    <t>Ư lừa</t>
  </si>
  <si>
    <t>37623</t>
  </si>
  <si>
    <t>tili</t>
  </si>
  <si>
    <t>37629</t>
  </si>
  <si>
    <t>37822</t>
  </si>
  <si>
    <t>tp</t>
  </si>
  <si>
    <t>3737+37646</t>
  </si>
  <si>
    <t>37775</t>
  </si>
  <si>
    <t>37962</t>
  </si>
  <si>
    <t>37813</t>
  </si>
  <si>
    <t>37799</t>
  </si>
  <si>
    <t>37867</t>
  </si>
  <si>
    <t>37935</t>
  </si>
  <si>
    <t>37611</t>
  </si>
  <si>
    <t>dl</t>
  </si>
  <si>
    <t>37873+37872</t>
  </si>
  <si>
    <t>jo</t>
  </si>
  <si>
    <t>37964</t>
  </si>
  <si>
    <t>37966</t>
  </si>
  <si>
    <t>37960</t>
  </si>
  <si>
    <t>3ksch</t>
  </si>
  <si>
    <t>vp</t>
  </si>
  <si>
    <t>38055+38059</t>
  </si>
  <si>
    <t>gv</t>
  </si>
  <si>
    <t>BX+cơm</t>
  </si>
  <si>
    <t>38047</t>
  </si>
  <si>
    <t>vmp</t>
  </si>
  <si>
    <t>bhcd</t>
  </si>
  <si>
    <t>38166+38171</t>
  </si>
  <si>
    <t>38189</t>
  </si>
  <si>
    <t>38209+38211</t>
  </si>
  <si>
    <t>38212+38213</t>
  </si>
  <si>
    <t>38249+38253</t>
  </si>
  <si>
    <t>38400</t>
  </si>
  <si>
    <t>38509+3792+4038+3794</t>
  </si>
  <si>
    <t>38453</t>
  </si>
  <si>
    <t>ltgv</t>
  </si>
  <si>
    <t>4047+4046</t>
  </si>
  <si>
    <t>13/3</t>
  </si>
  <si>
    <t>THU HỒI GẠO</t>
  </si>
  <si>
    <t>38684+38682+38680+38681+38683</t>
  </si>
  <si>
    <t>4050</t>
  </si>
  <si>
    <t>38726</t>
  </si>
  <si>
    <t>12/3</t>
  </si>
  <si>
    <t>38798</t>
  </si>
  <si>
    <t>38907</t>
  </si>
  <si>
    <t>pvg</t>
  </si>
  <si>
    <t>38762</t>
  </si>
  <si>
    <t>38739</t>
  </si>
  <si>
    <t>38713+38714</t>
  </si>
  <si>
    <t>38895+38890</t>
  </si>
  <si>
    <t>38712</t>
  </si>
  <si>
    <t>38947</t>
  </si>
  <si>
    <t>38697</t>
  </si>
  <si>
    <t>38881</t>
  </si>
  <si>
    <t>38891+38894</t>
  </si>
  <si>
    <t>50H 55443 SX</t>
  </si>
  <si>
    <t>38782+38784</t>
  </si>
  <si>
    <t>8/4</t>
  </si>
  <si>
    <t>SX 50H 69501</t>
  </si>
  <si>
    <t>38706+38708</t>
  </si>
  <si>
    <t>38953+38955</t>
  </si>
  <si>
    <t>cơm+chành</t>
  </si>
  <si>
    <t>38961</t>
  </si>
  <si>
    <t>39147+39142+3850</t>
  </si>
  <si>
    <t>g NHANH</t>
  </si>
  <si>
    <t>39098</t>
  </si>
  <si>
    <t>16/3</t>
  </si>
  <si>
    <t>38956</t>
  </si>
  <si>
    <t>hub</t>
  </si>
  <si>
    <t>39403+3867+3868</t>
  </si>
  <si>
    <t>phv</t>
  </si>
  <si>
    <t>u thanh</t>
  </si>
  <si>
    <t>3843</t>
  </si>
  <si>
    <t>q hải</t>
  </si>
  <si>
    <t>pnk</t>
  </si>
  <si>
    <t>bhta</t>
  </si>
  <si>
    <t>39226</t>
  </si>
  <si>
    <t>b tâm</t>
  </si>
  <si>
    <t>39206+39208</t>
  </si>
  <si>
    <t>v luân</t>
  </si>
  <si>
    <t>4112+4113+39468+39465+3871+39467</t>
  </si>
  <si>
    <t>GHÉP ST PHAM HÙNG</t>
  </si>
  <si>
    <t>mthp</t>
  </si>
  <si>
    <t>39372+39375+39369+39371</t>
  </si>
  <si>
    <t>c sơn</t>
  </si>
  <si>
    <t>39219+39246</t>
  </si>
  <si>
    <t>4103</t>
  </si>
  <si>
    <t>39172+4104</t>
  </si>
  <si>
    <t>lote</t>
  </si>
  <si>
    <t>39217+4094+39227</t>
  </si>
  <si>
    <t>39255</t>
  </si>
  <si>
    <t>y thanh</t>
  </si>
  <si>
    <t>4102</t>
  </si>
  <si>
    <t>r</t>
  </si>
  <si>
    <t>39317+39320+39315+39309</t>
  </si>
  <si>
    <t>ltpt</t>
  </si>
  <si>
    <t>4101+4100</t>
  </si>
  <si>
    <t>39265+39314+4105+39296+39308+39304+39395+39288+39298</t>
  </si>
  <si>
    <t>26/5</t>
  </si>
  <si>
    <t>CLUN</t>
  </si>
  <si>
    <t>39545</t>
  </si>
  <si>
    <t>39542</t>
  </si>
  <si>
    <t>39538</t>
  </si>
  <si>
    <t>39541</t>
  </si>
  <si>
    <t>39559</t>
  </si>
  <si>
    <t>38540</t>
  </si>
  <si>
    <t>39547</t>
  </si>
  <si>
    <t>4130</t>
  </si>
  <si>
    <t>39615+39616</t>
  </si>
  <si>
    <t>39637</t>
  </si>
  <si>
    <t>39650</t>
  </si>
  <si>
    <t>39651</t>
  </si>
  <si>
    <t>4135</t>
  </si>
  <si>
    <t>GIAO CN</t>
  </si>
  <si>
    <t>4134</t>
  </si>
  <si>
    <t>4133</t>
  </si>
  <si>
    <t>4139</t>
  </si>
  <si>
    <t>39765+39786+39778+39774+39773+39772+39771+39770++39769+39776+39777+39775+39766+39767+39768</t>
  </si>
  <si>
    <t>4158</t>
  </si>
  <si>
    <t>4154</t>
  </si>
  <si>
    <t>40523</t>
  </si>
  <si>
    <t>17/3</t>
  </si>
  <si>
    <t>4160</t>
  </si>
  <si>
    <t>kfc</t>
  </si>
  <si>
    <t>39796</t>
  </si>
  <si>
    <t>39976</t>
  </si>
  <si>
    <t>39911</t>
  </si>
  <si>
    <t>39852</t>
  </si>
  <si>
    <t>39797</t>
  </si>
  <si>
    <t>39799</t>
  </si>
  <si>
    <t>39809+39811</t>
  </si>
  <si>
    <t>39838</t>
  </si>
  <si>
    <t>pp</t>
  </si>
  <si>
    <t>39860</t>
  </si>
  <si>
    <t>50H 66445 SX</t>
  </si>
  <si>
    <t>hphu</t>
  </si>
  <si>
    <t>39827+39821</t>
  </si>
  <si>
    <t>11/3</t>
  </si>
  <si>
    <t>tab</t>
  </si>
  <si>
    <t>39835</t>
  </si>
  <si>
    <t>nv</t>
  </si>
  <si>
    <t>39897</t>
  </si>
  <si>
    <t>dng</t>
  </si>
  <si>
    <t>39876</t>
  </si>
  <si>
    <t>40012</t>
  </si>
  <si>
    <t>40134</t>
  </si>
  <si>
    <t>40140</t>
  </si>
  <si>
    <t>40079</t>
  </si>
  <si>
    <t>40101</t>
  </si>
  <si>
    <t>40143</t>
  </si>
  <si>
    <t>40123</t>
  </si>
  <si>
    <t>15806</t>
  </si>
  <si>
    <t>15845</t>
  </si>
  <si>
    <t>40349</t>
  </si>
  <si>
    <t>giao đêm + xn</t>
  </si>
  <si>
    <t>40434+40435+40439+40437+40436</t>
  </si>
  <si>
    <t>giao đêm</t>
  </si>
  <si>
    <t>15824</t>
  </si>
  <si>
    <t>40363+15819+40365+15821</t>
  </si>
  <si>
    <t>giao đêm+cơm</t>
  </si>
  <si>
    <t>15851</t>
  </si>
  <si>
    <t>15844</t>
  </si>
  <si>
    <t>giao đêm + cơm + xn</t>
  </si>
  <si>
    <t>TỰ LÊN HÀNG+cơm</t>
  </si>
  <si>
    <t>40398</t>
  </si>
  <si>
    <t>40498</t>
  </si>
  <si>
    <t>4232</t>
  </si>
  <si>
    <t>40584+40583+4234</t>
  </si>
  <si>
    <t>40588+40591+40587+40590+40586+40592</t>
  </si>
  <si>
    <t>ssg</t>
  </si>
  <si>
    <t>40779</t>
  </si>
  <si>
    <t>40625</t>
  </si>
  <si>
    <t>40665</t>
  </si>
  <si>
    <t>bibi</t>
  </si>
  <si>
    <t>40659</t>
  </si>
  <si>
    <t>40657</t>
  </si>
  <si>
    <t>40649+40653+40652</t>
  </si>
  <si>
    <t>nh</t>
  </si>
  <si>
    <t>4021+4022</t>
  </si>
  <si>
    <t>40698</t>
  </si>
  <si>
    <t>mtbp</t>
  </si>
  <si>
    <t xml:space="preserve">15917 </t>
  </si>
  <si>
    <t>15930</t>
  </si>
  <si>
    <t>15919</t>
  </si>
  <si>
    <t>15918</t>
  </si>
  <si>
    <t>15938</t>
  </si>
  <si>
    <t>15942</t>
  </si>
  <si>
    <t>40730</t>
  </si>
  <si>
    <t>40736</t>
  </si>
  <si>
    <t>40735</t>
  </si>
  <si>
    <t>40738</t>
  </si>
  <si>
    <t>40840</t>
  </si>
  <si>
    <t>40841+40842</t>
  </si>
  <si>
    <t>hngoc</t>
  </si>
  <si>
    <t>40883+40878</t>
  </si>
  <si>
    <t>vhla</t>
  </si>
  <si>
    <t>vhlh</t>
  </si>
  <si>
    <t>4270</t>
  </si>
  <si>
    <t>4253</t>
  </si>
  <si>
    <t>3520</t>
  </si>
  <si>
    <t>40976</t>
  </si>
  <si>
    <t>41098</t>
  </si>
  <si>
    <t>41196+41197</t>
  </si>
  <si>
    <t>41274+41276+41267+41258+41265+41271+41269+41272+41270</t>
  </si>
  <si>
    <t>16188+16198+41214</t>
  </si>
  <si>
    <t>41285+41287</t>
  </si>
  <si>
    <t>PNK</t>
  </si>
  <si>
    <t>41428+41430+4317+41432+41433</t>
  </si>
  <si>
    <t>4314+41426+4315+4313+4108+41424+41423+41425</t>
  </si>
  <si>
    <t>4113+41457+41454+4114</t>
  </si>
  <si>
    <t>6/4</t>
  </si>
  <si>
    <t>4332</t>
  </si>
  <si>
    <t>4331</t>
  </si>
  <si>
    <t>4326</t>
  </si>
  <si>
    <t>41464+41461+41462</t>
  </si>
  <si>
    <t>41526+41534+41527+41528+41530+41536+41532+41525</t>
  </si>
  <si>
    <t>41446+41443</t>
  </si>
  <si>
    <t>41508+41511+41509</t>
  </si>
  <si>
    <t>KP</t>
  </si>
  <si>
    <t>41488</t>
  </si>
  <si>
    <t>chành+cơm</t>
  </si>
  <si>
    <t>4122+4121+41503</t>
  </si>
  <si>
    <t>41568+41571</t>
  </si>
  <si>
    <t>Y Thanh</t>
  </si>
  <si>
    <t>41542</t>
  </si>
  <si>
    <t>41587</t>
  </si>
  <si>
    <t>41601+41450+</t>
  </si>
  <si>
    <t>GHÉP NDFC</t>
  </si>
  <si>
    <t>41465+41463</t>
  </si>
  <si>
    <t>41451+41452</t>
  </si>
  <si>
    <t>41682</t>
  </si>
  <si>
    <t>41750+41639</t>
  </si>
  <si>
    <t>41749</t>
  </si>
  <si>
    <t>41792</t>
  </si>
  <si>
    <t>cơm + bx</t>
  </si>
  <si>
    <t>41779</t>
  </si>
  <si>
    <t>42114</t>
  </si>
  <si>
    <t>41954</t>
  </si>
  <si>
    <t>42121</t>
  </si>
  <si>
    <t>41842</t>
  </si>
  <si>
    <t>41841</t>
  </si>
  <si>
    <t>41961</t>
  </si>
  <si>
    <t>42092</t>
  </si>
  <si>
    <t>4213</t>
  </si>
  <si>
    <t>hl</t>
  </si>
  <si>
    <t>4214</t>
  </si>
  <si>
    <t>4435</t>
  </si>
  <si>
    <t>42554</t>
  </si>
  <si>
    <t>42622</t>
  </si>
  <si>
    <t>4212+42576</t>
  </si>
  <si>
    <t>42596</t>
  </si>
  <si>
    <t>42621+42624</t>
  </si>
  <si>
    <t>42589+42588+42591+42586</t>
  </si>
  <si>
    <t>dq</t>
  </si>
  <si>
    <t>42655+42652+42649+42658+4217</t>
  </si>
  <si>
    <t>42560+42558+42555</t>
  </si>
  <si>
    <t>42842+42845+42847+42849</t>
  </si>
  <si>
    <t>ltan</t>
  </si>
  <si>
    <t>42543</t>
  </si>
  <si>
    <t>42707</t>
  </si>
  <si>
    <t>42548</t>
  </si>
  <si>
    <t>42556</t>
  </si>
  <si>
    <t>42549</t>
  </si>
  <si>
    <t>42581+42572+42582+42583+42570</t>
  </si>
  <si>
    <t>an dương vương</t>
  </si>
  <si>
    <t>THU HỒI HÀNG MARICO-CLF</t>
  </si>
  <si>
    <t>CLF BOOK</t>
  </si>
  <si>
    <t>BÃI SẬY</t>
  </si>
  <si>
    <t>42850</t>
  </si>
  <si>
    <t>43005</t>
  </si>
  <si>
    <t>42825</t>
  </si>
  <si>
    <t>42954+42953+43024+43021</t>
  </si>
  <si>
    <t>43006+43010</t>
  </si>
  <si>
    <t>42900</t>
  </si>
  <si>
    <t>42898</t>
  </si>
  <si>
    <t>42904</t>
  </si>
  <si>
    <t>42995</t>
  </si>
  <si>
    <t>42983+42986</t>
  </si>
  <si>
    <t>43034</t>
  </si>
  <si>
    <t>43054</t>
  </si>
  <si>
    <t>3646</t>
  </si>
  <si>
    <t>43049</t>
  </si>
  <si>
    <t>4537+4536</t>
  </si>
  <si>
    <t>4544+43368+43366+43365+43367</t>
  </si>
  <si>
    <t>43369+4545+4546</t>
  </si>
  <si>
    <t>43364+4538</t>
  </si>
  <si>
    <t>43498+43506+43501</t>
  </si>
  <si>
    <t>43380</t>
  </si>
  <si>
    <t>af</t>
  </si>
  <si>
    <t>43383+43381</t>
  </si>
  <si>
    <t>43429</t>
  </si>
  <si>
    <t>bxa</t>
  </si>
  <si>
    <t>43413</t>
  </si>
  <si>
    <t>43463+43461</t>
  </si>
  <si>
    <t>vhcc</t>
  </si>
  <si>
    <t>ư LỪA</t>
  </si>
  <si>
    <t>43404+43405</t>
  </si>
  <si>
    <t>HỐ NAI</t>
  </si>
  <si>
    <t>43407</t>
  </si>
  <si>
    <t>43425</t>
  </si>
  <si>
    <t>43431+43438+43439+43441+43444+43453+43458</t>
  </si>
  <si>
    <t>43419+43421</t>
  </si>
  <si>
    <t>20/3</t>
  </si>
  <si>
    <t>43389+43394</t>
  </si>
  <si>
    <t>43398</t>
  </si>
  <si>
    <t>43393</t>
  </si>
  <si>
    <t>43434</t>
  </si>
  <si>
    <t>43589</t>
  </si>
  <si>
    <t>43639</t>
  </si>
  <si>
    <t>43640+4356+43632+4355</t>
  </si>
  <si>
    <t>43625+43628</t>
  </si>
  <si>
    <t>tmsb</t>
  </si>
  <si>
    <t>43685+43688</t>
  </si>
  <si>
    <t>yl</t>
  </si>
  <si>
    <t>43692</t>
  </si>
  <si>
    <t>43690</t>
  </si>
  <si>
    <t>q8</t>
  </si>
  <si>
    <t>43866</t>
  </si>
  <si>
    <t>43719</t>
  </si>
  <si>
    <t>43798</t>
  </si>
  <si>
    <t>43799+43802</t>
  </si>
  <si>
    <t>43769</t>
  </si>
  <si>
    <t>4587</t>
  </si>
  <si>
    <t>43847</t>
  </si>
  <si>
    <t>43913</t>
  </si>
  <si>
    <t>43921+43926+43921</t>
  </si>
  <si>
    <t>43805+43800+43801</t>
  </si>
  <si>
    <t>GHÉP KHO 50</t>
  </si>
  <si>
    <t>44024+17325+44002+43997+44029+44005+4620+44020</t>
  </si>
  <si>
    <t>43975+43974</t>
  </si>
  <si>
    <t>43959+43962+43963</t>
  </si>
  <si>
    <t>43949+43947+4383</t>
  </si>
  <si>
    <t>4614</t>
  </si>
  <si>
    <t>43979+4618+43982</t>
  </si>
  <si>
    <t>30/3</t>
  </si>
  <si>
    <t>A VIỄN</t>
  </si>
  <si>
    <t>BÌNH DƯƠNG</t>
  </si>
  <si>
    <t>4412</t>
  </si>
  <si>
    <t>44246</t>
  </si>
  <si>
    <t>44267</t>
  </si>
  <si>
    <t>44245</t>
  </si>
  <si>
    <t>44257</t>
  </si>
  <si>
    <t>3745</t>
  </si>
  <si>
    <t>3747</t>
  </si>
  <si>
    <t>44265</t>
  </si>
  <si>
    <t>44263</t>
  </si>
  <si>
    <t>44273+44271</t>
  </si>
  <si>
    <t>PV</t>
  </si>
  <si>
    <t>44249+44248</t>
  </si>
  <si>
    <t>4649</t>
  </si>
  <si>
    <t>CHỦ NHẬT</t>
  </si>
  <si>
    <t>4640</t>
  </si>
  <si>
    <t>3807</t>
  </si>
  <si>
    <t>44547+44554+44540+44541+4666</t>
  </si>
  <si>
    <t>44534+44536+44533+44539+44530</t>
  </si>
  <si>
    <t>4665</t>
  </si>
  <si>
    <t>btdn</t>
  </si>
  <si>
    <t>44595+44596</t>
  </si>
  <si>
    <t>44612+44610</t>
  </si>
  <si>
    <t>i tHI</t>
  </si>
  <si>
    <t>4673</t>
  </si>
  <si>
    <t>4674</t>
  </si>
  <si>
    <t>44535</t>
  </si>
  <si>
    <t>44689+44687</t>
  </si>
  <si>
    <t>44588+44592</t>
  </si>
  <si>
    <t>2 bóng đèn</t>
  </si>
  <si>
    <t>icf</t>
  </si>
  <si>
    <t>44566+44569</t>
  </si>
  <si>
    <t>44662</t>
  </si>
  <si>
    <t>44624</t>
  </si>
  <si>
    <t>44538</t>
  </si>
  <si>
    <t>44685</t>
  </si>
  <si>
    <t>tnf</t>
  </si>
  <si>
    <t>44561</t>
  </si>
  <si>
    <t>44632</t>
  </si>
  <si>
    <t>pnl</t>
  </si>
  <si>
    <t>44629</t>
  </si>
  <si>
    <t>pn</t>
  </si>
  <si>
    <t>44558</t>
  </si>
  <si>
    <t>sht</t>
  </si>
  <si>
    <t>44698</t>
  </si>
  <si>
    <t>44775</t>
  </si>
  <si>
    <t>44831</t>
  </si>
  <si>
    <t>44860+44856</t>
  </si>
  <si>
    <t>44910+44886</t>
  </si>
  <si>
    <t>44862+4706</t>
  </si>
  <si>
    <t>44863</t>
  </si>
  <si>
    <t>44878</t>
  </si>
  <si>
    <t>44894</t>
  </si>
  <si>
    <t>44974</t>
  </si>
  <si>
    <t>45126</t>
  </si>
  <si>
    <t>45015</t>
  </si>
  <si>
    <t>7815+7816+7817+7814+7813+7812+7811+7810+7807+7808+7809</t>
  </si>
  <si>
    <t>TÂN TẠO</t>
  </si>
  <si>
    <t>45299</t>
  </si>
  <si>
    <t>45287+45284+45280</t>
  </si>
  <si>
    <t>4735</t>
  </si>
  <si>
    <t>4738</t>
  </si>
  <si>
    <t>4737</t>
  </si>
  <si>
    <t>45363</t>
  </si>
  <si>
    <t>45282</t>
  </si>
  <si>
    <t>45281</t>
  </si>
  <si>
    <t>45297</t>
  </si>
  <si>
    <t>nvc</t>
  </si>
  <si>
    <t>lona</t>
  </si>
  <si>
    <t>4559+45352</t>
  </si>
  <si>
    <t>abc</t>
  </si>
  <si>
    <t>45367</t>
  </si>
  <si>
    <t>45305+45304</t>
  </si>
  <si>
    <t>4554+45335</t>
  </si>
  <si>
    <t>45405</t>
  </si>
  <si>
    <t>45553</t>
  </si>
  <si>
    <t>45388+17847+45387+45384</t>
  </si>
  <si>
    <t>45347+45331+45340+45337+45332+45344+45350+45351</t>
  </si>
  <si>
    <t>17846</t>
  </si>
  <si>
    <t>45558</t>
  </si>
  <si>
    <t>4580+45583+4581</t>
  </si>
  <si>
    <t>45573</t>
  </si>
  <si>
    <t>45578</t>
  </si>
  <si>
    <t>45630</t>
  </si>
  <si>
    <t>45651+45597</t>
  </si>
  <si>
    <t>45605</t>
  </si>
  <si>
    <t>45593</t>
  </si>
  <si>
    <t>45739</t>
  </si>
  <si>
    <t>45897</t>
  </si>
  <si>
    <t>45754</t>
  </si>
  <si>
    <t>45960</t>
  </si>
  <si>
    <t>45957</t>
  </si>
  <si>
    <t>45958</t>
  </si>
  <si>
    <t>45956</t>
  </si>
  <si>
    <t>45949</t>
  </si>
  <si>
    <t>4640+4811+46178+46190+46197+46206+46214</t>
  </si>
  <si>
    <t>em</t>
  </si>
  <si>
    <t>46255+46334+46260+46285</t>
  </si>
  <si>
    <t>46237+4646+4645</t>
  </si>
  <si>
    <t>4808</t>
  </si>
  <si>
    <t>4638+46145+46131+46148+46129</t>
  </si>
  <si>
    <t>46098</t>
  </si>
  <si>
    <t>4827+4828</t>
  </si>
  <si>
    <t>4823</t>
  </si>
  <si>
    <t>4824</t>
  </si>
  <si>
    <t>46269</t>
  </si>
  <si>
    <t>46143+46144</t>
  </si>
  <si>
    <t>46141+46142</t>
  </si>
  <si>
    <t>46264+46267</t>
  </si>
  <si>
    <t>46135</t>
  </si>
  <si>
    <t>4816+4644+46194</t>
  </si>
  <si>
    <t>46217</t>
  </si>
  <si>
    <t>46438+46437</t>
  </si>
  <si>
    <t>46337</t>
  </si>
  <si>
    <t>46462+46460</t>
  </si>
  <si>
    <t>46423</t>
  </si>
  <si>
    <t>46336</t>
  </si>
  <si>
    <t>46425</t>
  </si>
  <si>
    <t>46458</t>
  </si>
  <si>
    <t>46382</t>
  </si>
  <si>
    <t>25/3</t>
  </si>
  <si>
    <t>46459</t>
  </si>
  <si>
    <t>q9</t>
  </si>
  <si>
    <t>a dUNG</t>
  </si>
  <si>
    <t>3994</t>
  </si>
  <si>
    <t>4910+46502</t>
  </si>
  <si>
    <t>46600</t>
  </si>
  <si>
    <t>46605</t>
  </si>
  <si>
    <t>46632+46382</t>
  </si>
  <si>
    <t>46719+46716</t>
  </si>
  <si>
    <t>46905+46903</t>
  </si>
  <si>
    <t>46876+46875+4954+5945+4955+46878</t>
  </si>
  <si>
    <t>46775+46785</t>
  </si>
  <si>
    <t>46887</t>
  </si>
  <si>
    <t>46886</t>
  </si>
  <si>
    <t>46953</t>
  </si>
  <si>
    <t>46862</t>
  </si>
  <si>
    <t>18349</t>
  </si>
  <si>
    <t>GIAO TÂN TẠO</t>
  </si>
  <si>
    <t>4984+4983</t>
  </si>
  <si>
    <t>4986</t>
  </si>
  <si>
    <t>4985</t>
  </si>
  <si>
    <t>47150</t>
  </si>
  <si>
    <t>47182</t>
  </si>
  <si>
    <t>47186</t>
  </si>
  <si>
    <t>47183+47148</t>
  </si>
  <si>
    <t>47282+47293+47286+47287+47289</t>
  </si>
  <si>
    <t>47236</t>
  </si>
  <si>
    <t>47296</t>
  </si>
  <si>
    <t>47244</t>
  </si>
  <si>
    <t>sph</t>
  </si>
  <si>
    <t>47196+47199+47202+47204+4808</t>
  </si>
  <si>
    <t>47292</t>
  </si>
  <si>
    <t>47294</t>
  </si>
  <si>
    <t>47328+47329</t>
  </si>
  <si>
    <t>theo xe 7 ngày</t>
  </si>
  <si>
    <t>47315</t>
  </si>
  <si>
    <t>47332+4812+4813</t>
  </si>
  <si>
    <t>47311</t>
  </si>
  <si>
    <t>47633</t>
  </si>
  <si>
    <t>47412+47422</t>
  </si>
  <si>
    <t>ntan</t>
  </si>
  <si>
    <t>47514+47517</t>
  </si>
  <si>
    <t>w HIẾU</t>
  </si>
  <si>
    <t>47674+18763+47683+47685+47686+47672+47670+47687+47676+47680+6049</t>
  </si>
  <si>
    <t>47741+47742</t>
  </si>
  <si>
    <t>47731</t>
  </si>
  <si>
    <t>47723</t>
  </si>
  <si>
    <t>5091+3827</t>
  </si>
  <si>
    <t>27/3</t>
  </si>
  <si>
    <t>48113</t>
  </si>
  <si>
    <t>48079+4871</t>
  </si>
  <si>
    <t>48167+48173+48157+48151</t>
  </si>
  <si>
    <t>5093</t>
  </si>
  <si>
    <t>5095</t>
  </si>
  <si>
    <t>48106+5092</t>
  </si>
  <si>
    <t>48103</t>
  </si>
  <si>
    <t>48104</t>
  </si>
  <si>
    <t>48141</t>
  </si>
  <si>
    <t>48111</t>
  </si>
  <si>
    <t>48162</t>
  </si>
  <si>
    <t>48169+48166+48164+48159</t>
  </si>
  <si>
    <t>48118</t>
  </si>
  <si>
    <t>4873+48177+48174+48172</t>
  </si>
  <si>
    <t>ghép vinh phong</t>
  </si>
  <si>
    <t>48115</t>
  </si>
  <si>
    <t>48285</t>
  </si>
  <si>
    <t>48182</t>
  </si>
  <si>
    <t>48139</t>
  </si>
  <si>
    <t>THU HỒI HÀNG</t>
  </si>
  <si>
    <t>48406</t>
  </si>
  <si>
    <t>mua ô khoá</t>
  </si>
  <si>
    <t>48408</t>
  </si>
  <si>
    <t>48407</t>
  </si>
  <si>
    <t>48381+48379</t>
  </si>
  <si>
    <t>48544+48551</t>
  </si>
  <si>
    <t>48469</t>
  </si>
  <si>
    <t>48465</t>
  </si>
  <si>
    <t>48439</t>
  </si>
  <si>
    <t>48624</t>
  </si>
  <si>
    <t>48615</t>
  </si>
  <si>
    <t>48635</t>
  </si>
  <si>
    <t>48543+48536</t>
  </si>
  <si>
    <t>48587+4905+5134+5133+5135+48581+48580+48591+48583+48584+48589+6180</t>
  </si>
  <si>
    <t>gưi xe+cơm</t>
  </si>
  <si>
    <t>48621+48618</t>
  </si>
  <si>
    <t>48677+48673+4908</t>
  </si>
  <si>
    <t>5145</t>
  </si>
  <si>
    <t>48471+48473+48466+48474</t>
  </si>
  <si>
    <t>5129+48508</t>
  </si>
  <si>
    <t>xn+cơm</t>
  </si>
  <si>
    <t>BƯU LONG</t>
  </si>
  <si>
    <t>poyun</t>
  </si>
  <si>
    <t>thu hồi hàng CKS BD về UNI</t>
  </si>
  <si>
    <t>PGH</t>
  </si>
  <si>
    <t>CLV BOOK</t>
  </si>
  <si>
    <t>mtbh</t>
  </si>
  <si>
    <t>48876</t>
  </si>
  <si>
    <t>48893+48893+48896+48898+48901+48892+19277</t>
  </si>
  <si>
    <t>19276</t>
  </si>
  <si>
    <t>48877</t>
  </si>
  <si>
    <t>48905</t>
  </si>
  <si>
    <t>19285+48920</t>
  </si>
  <si>
    <t>48928+48925</t>
  </si>
  <si>
    <t>49003</t>
  </si>
  <si>
    <t>49004</t>
  </si>
  <si>
    <t>48914</t>
  </si>
  <si>
    <t>48993</t>
  </si>
  <si>
    <t>48987</t>
  </si>
  <si>
    <t>48967</t>
  </si>
  <si>
    <t>49039</t>
  </si>
  <si>
    <t>vtv</t>
  </si>
  <si>
    <t>49043+49044</t>
  </si>
  <si>
    <t>chành</t>
  </si>
  <si>
    <t>49016</t>
  </si>
  <si>
    <t>49032</t>
  </si>
  <si>
    <t>49031</t>
  </si>
  <si>
    <t>49077</t>
  </si>
  <si>
    <t>49060</t>
  </si>
  <si>
    <t>5202</t>
  </si>
  <si>
    <t>GIAO CHỦ NHÂT</t>
  </si>
  <si>
    <t>5201</t>
  </si>
  <si>
    <t>49096</t>
  </si>
  <si>
    <t>49056</t>
  </si>
  <si>
    <t>49075</t>
  </si>
  <si>
    <t>49145</t>
  </si>
  <si>
    <t>4991+49310+49325+49320+49315+49314</t>
  </si>
  <si>
    <t>5224</t>
  </si>
  <si>
    <t>49360+49282</t>
  </si>
  <si>
    <t>5227+49289</t>
  </si>
  <si>
    <t>49266+4990</t>
  </si>
  <si>
    <t>49356</t>
  </si>
  <si>
    <t>49299</t>
  </si>
  <si>
    <t>PPM</t>
  </si>
  <si>
    <t>49281</t>
  </si>
  <si>
    <t>49285</t>
  </si>
  <si>
    <t>49271</t>
  </si>
  <si>
    <t>49251</t>
  </si>
  <si>
    <t xml:space="preserve"> 50H-55116</t>
  </si>
  <si>
    <t>49249</t>
  </si>
  <si>
    <t>49416+49417</t>
  </si>
  <si>
    <t>49247</t>
  </si>
  <si>
    <t>49259</t>
  </si>
  <si>
    <t>49253</t>
  </si>
  <si>
    <t>26/3</t>
  </si>
  <si>
    <t>50E-164,61</t>
  </si>
  <si>
    <t>50H- 64470 SX</t>
  </si>
  <si>
    <t>ổ khoá + nước làu kinh</t>
  </si>
  <si>
    <t>49283</t>
  </si>
  <si>
    <t>49355</t>
  </si>
  <si>
    <t>XS 50E 164,61</t>
  </si>
  <si>
    <t>49279</t>
  </si>
  <si>
    <t>49533</t>
  </si>
  <si>
    <t>49573+49576</t>
  </si>
  <si>
    <t>4/5</t>
  </si>
  <si>
    <t>19691</t>
  </si>
  <si>
    <t>xn+garp hđ</t>
  </si>
  <si>
    <t>19637</t>
  </si>
  <si>
    <t>49730</t>
  </si>
  <si>
    <t>19766</t>
  </si>
  <si>
    <t>49797</t>
  </si>
  <si>
    <t>19802</t>
  </si>
  <si>
    <t>49858+19755</t>
  </si>
  <si>
    <t>cơm+xn</t>
  </si>
  <si>
    <t>49824</t>
  </si>
  <si>
    <t>49882</t>
  </si>
  <si>
    <t>49654</t>
  </si>
  <si>
    <t>ghép sala</t>
  </si>
  <si>
    <t>aeon</t>
  </si>
  <si>
    <t>50139+50147+50144+5305+50141</t>
  </si>
  <si>
    <t>bctc</t>
  </si>
  <si>
    <t>5322</t>
  </si>
  <si>
    <t>nct</t>
  </si>
  <si>
    <t>5323</t>
  </si>
  <si>
    <t>1/4</t>
  </si>
  <si>
    <t>5326+5327+5328</t>
  </si>
  <si>
    <t>50089</t>
  </si>
  <si>
    <t>50070</t>
  </si>
  <si>
    <t>50078</t>
  </si>
  <si>
    <t>50076</t>
  </si>
  <si>
    <t>50068</t>
  </si>
  <si>
    <t>50069</t>
  </si>
  <si>
    <t>50072</t>
  </si>
  <si>
    <t>50047</t>
  </si>
  <si>
    <t>50074+50075</t>
  </si>
  <si>
    <t>ace</t>
  </si>
  <si>
    <t>50062</t>
  </si>
  <si>
    <t>50293</t>
  </si>
  <si>
    <t>đi theo thuận 2 ngày</t>
  </si>
  <si>
    <t>50295+5089</t>
  </si>
  <si>
    <t>627</t>
  </si>
  <si>
    <t>628</t>
  </si>
  <si>
    <t>50283+50285</t>
  </si>
  <si>
    <t>50286+50287</t>
  </si>
  <si>
    <t>50268+50265</t>
  </si>
  <si>
    <t>thuận</t>
  </si>
  <si>
    <t>vfs</t>
  </si>
  <si>
    <t>50296</t>
  </si>
  <si>
    <t>q7</t>
  </si>
  <si>
    <t>50358</t>
  </si>
  <si>
    <t>50394</t>
  </si>
  <si>
    <t>ardc</t>
  </si>
  <si>
    <t>50573+50583+50602+50605+50566+50578</t>
  </si>
  <si>
    <t>50645+50667+50561+50672+50582+50624+50614+50569+50675+5123+5388+5387</t>
  </si>
  <si>
    <t>5392+5391+5385</t>
  </si>
  <si>
    <t>50632+50636+50637+50627+50611+50618+50607+50638+50621+50623+5384+5383+5386</t>
  </si>
  <si>
    <t>5373</t>
  </si>
  <si>
    <t>5372</t>
  </si>
  <si>
    <t>50538+50594</t>
  </si>
  <si>
    <t>50911</t>
  </si>
  <si>
    <t>10/4</t>
  </si>
  <si>
    <t>y1</t>
  </si>
  <si>
    <t>50792+5161+50790+50791+50795+50789</t>
  </si>
  <si>
    <t>51081+51093+51045+51100+5191+51089+5413+5414+51111+51052+51049</t>
  </si>
  <si>
    <t>174/4</t>
  </si>
  <si>
    <t>50880+50865+50889+50883+50884+5163+50886+80876</t>
  </si>
  <si>
    <t>17/4</t>
  </si>
  <si>
    <t>50973+50980+50984+50969+50964+50970</t>
  </si>
  <si>
    <t>51041+5187+51070+51046+51083+51078+51064+51024</t>
  </si>
  <si>
    <t>5416+5415</t>
  </si>
  <si>
    <t>5424</t>
  </si>
  <si>
    <t>5423</t>
  </si>
  <si>
    <t>bcpt</t>
  </si>
  <si>
    <t>i thi</t>
  </si>
  <si>
    <t>5421+5422</t>
  </si>
  <si>
    <t>ti</t>
  </si>
  <si>
    <t>50928</t>
  </si>
  <si>
    <t>50929</t>
  </si>
  <si>
    <t>50803+50805</t>
  </si>
  <si>
    <t>50809+50806</t>
  </si>
  <si>
    <t>qmk</t>
  </si>
  <si>
    <t>50814+50816+50817</t>
  </si>
  <si>
    <t>50847</t>
  </si>
  <si>
    <t>5166+50833</t>
  </si>
  <si>
    <t>50808</t>
  </si>
  <si>
    <t>51152</t>
  </si>
  <si>
    <t>51149</t>
  </si>
  <si>
    <t>51150</t>
  </si>
  <si>
    <t>51155</t>
  </si>
  <si>
    <t>51151</t>
  </si>
  <si>
    <t>51146</t>
  </si>
  <si>
    <t>50839</t>
  </si>
  <si>
    <t>51193</t>
  </si>
  <si>
    <t>51188</t>
  </si>
  <si>
    <t>51189</t>
  </si>
  <si>
    <t>51170</t>
  </si>
  <si>
    <t>51261</t>
  </si>
  <si>
    <t>51190</t>
  </si>
  <si>
    <t>51195</t>
  </si>
  <si>
    <t>4450</t>
  </si>
  <si>
    <t>51287+51320</t>
  </si>
  <si>
    <t>NDFC GHÉP MCC</t>
  </si>
  <si>
    <t>gtt</t>
  </si>
  <si>
    <t>clf book uni</t>
  </si>
  <si>
    <t>20447</t>
  </si>
  <si>
    <t>20456</t>
  </si>
  <si>
    <t>20458</t>
  </si>
  <si>
    <t>20487</t>
  </si>
  <si>
    <t>20481+20483</t>
  </si>
  <si>
    <t>5541</t>
  </si>
  <si>
    <t>51750</t>
  </si>
  <si>
    <t>bcal</t>
  </si>
  <si>
    <t>5240+5243+6595+51554+51556+51557+51558+51559+51560+51568</t>
  </si>
  <si>
    <t>5318+52087+52082+52077+52073</t>
  </si>
  <si>
    <t>mila</t>
  </si>
  <si>
    <t>5316</t>
  </si>
  <si>
    <t>xuất clf , clv book</t>
  </si>
  <si>
    <t>51917</t>
  </si>
  <si>
    <t>51920</t>
  </si>
  <si>
    <t>51893</t>
  </si>
  <si>
    <t>52005</t>
  </si>
  <si>
    <t>51891</t>
  </si>
  <si>
    <t>51898</t>
  </si>
  <si>
    <t>t t</t>
  </si>
  <si>
    <t>51904+51902</t>
  </si>
  <si>
    <t>51953</t>
  </si>
  <si>
    <t>inter</t>
  </si>
  <si>
    <t>51993</t>
  </si>
  <si>
    <t>xuất uni , clf book</t>
  </si>
  <si>
    <t>51915</t>
  </si>
  <si>
    <t>5312+51952+51949+51948</t>
  </si>
  <si>
    <t>31/3</t>
  </si>
  <si>
    <t>51895+51897</t>
  </si>
  <si>
    <t>52211</t>
  </si>
  <si>
    <t>30-03</t>
  </si>
  <si>
    <t>52209</t>
  </si>
  <si>
    <t>TX</t>
  </si>
  <si>
    <t>52197</t>
  </si>
  <si>
    <t>52219+52220</t>
  </si>
  <si>
    <t>52245</t>
  </si>
  <si>
    <t>52279</t>
  </si>
  <si>
    <t>52212</t>
  </si>
  <si>
    <t>52214</t>
  </si>
  <si>
    <t>5585</t>
  </si>
  <si>
    <t>tự bốc hàng + cơm</t>
  </si>
  <si>
    <t>54417+54418+54419+5597</t>
  </si>
  <si>
    <t>07-04</t>
  </si>
  <si>
    <t>5340+52289+52294+52300+52305+52307+52308+52310+52316+52321</t>
  </si>
  <si>
    <t>52274+52275+52286+52276+52280+52282+52287+52288</t>
  </si>
  <si>
    <t>52475+52476+52473+20782</t>
  </si>
  <si>
    <t>52460+52455+52462+52458+52452</t>
  </si>
  <si>
    <t>52443+52442</t>
  </si>
  <si>
    <t>52559</t>
  </si>
  <si>
    <t>52554+52555+20813</t>
  </si>
  <si>
    <t>52589</t>
  </si>
  <si>
    <t>52599</t>
  </si>
  <si>
    <t>52591</t>
  </si>
  <si>
    <t>52600</t>
  </si>
  <si>
    <t>52595</t>
  </si>
  <si>
    <t>52657</t>
  </si>
  <si>
    <t>THU HỒI HÀNG LOTTE LH-UNI</t>
  </si>
  <si>
    <t>4099</t>
  </si>
  <si>
    <t>02-04</t>
  </si>
  <si>
    <t>5630+5631+52880+52875</t>
  </si>
  <si>
    <t>52785+52795+52770+52771+52778+5415+52792+52776</t>
  </si>
  <si>
    <t>52703+52704+52705</t>
  </si>
  <si>
    <t>52775+5634+52722</t>
  </si>
  <si>
    <t>52763</t>
  </si>
  <si>
    <t>52745</t>
  </si>
  <si>
    <t>52779</t>
  </si>
  <si>
    <t>4088</t>
  </si>
  <si>
    <t>XUẤT KHO UNI</t>
  </si>
  <si>
    <t>4087</t>
  </si>
  <si>
    <t>4116</t>
  </si>
  <si>
    <t>53020</t>
  </si>
  <si>
    <t>53375+53410</t>
  </si>
  <si>
    <t>53044+53047</t>
  </si>
  <si>
    <t>53117+53121</t>
  </si>
  <si>
    <t>m hung</t>
  </si>
  <si>
    <t>53092</t>
  </si>
  <si>
    <t>53101+5445+53110+5446+5445</t>
  </si>
  <si>
    <t>w hiếu</t>
  </si>
  <si>
    <t>53145</t>
  </si>
  <si>
    <t>53021</t>
  </si>
  <si>
    <t>a dung</t>
  </si>
  <si>
    <t>53064</t>
  </si>
  <si>
    <t>53143</t>
  </si>
  <si>
    <t>3ksdh</t>
  </si>
  <si>
    <t>3kscg</t>
  </si>
  <si>
    <t>53139</t>
  </si>
  <si>
    <t>53138</t>
  </si>
  <si>
    <t>53065</t>
  </si>
  <si>
    <t>DARY</t>
  </si>
  <si>
    <t>53230+53232</t>
  </si>
  <si>
    <t>4595</t>
  </si>
  <si>
    <t>53278</t>
  </si>
  <si>
    <t>giao đêm + cơm</t>
  </si>
  <si>
    <t>53341+53351+53348+53335+5465+5466</t>
  </si>
  <si>
    <t>5693</t>
  </si>
  <si>
    <t>5692</t>
  </si>
  <si>
    <t>BCTD</t>
  </si>
  <si>
    <t>53418+5474+5475+6840+5696+5696+5696+53424</t>
  </si>
  <si>
    <t>53413+53406</t>
  </si>
  <si>
    <t>53350</t>
  </si>
  <si>
    <t>53442</t>
  </si>
  <si>
    <t>5702+5701</t>
  </si>
  <si>
    <t>5520</t>
  </si>
  <si>
    <t>5521</t>
  </si>
  <si>
    <t>5524</t>
  </si>
  <si>
    <t>5523+5522</t>
  </si>
  <si>
    <t>4148</t>
  </si>
  <si>
    <t>XUẤT UNI</t>
  </si>
  <si>
    <t>4150</t>
  </si>
  <si>
    <t>53555+53556</t>
  </si>
  <si>
    <t>53534</t>
  </si>
  <si>
    <t>53536</t>
  </si>
  <si>
    <t>53532</t>
  </si>
  <si>
    <t>53535</t>
  </si>
  <si>
    <t>W hiếu</t>
  </si>
  <si>
    <t>53550</t>
  </si>
  <si>
    <t>53636</t>
  </si>
  <si>
    <t>53635</t>
  </si>
  <si>
    <t>53542</t>
  </si>
  <si>
    <t>5715</t>
  </si>
  <si>
    <t>chủ nhật</t>
  </si>
  <si>
    <t>5599</t>
  </si>
  <si>
    <t>5598</t>
  </si>
  <si>
    <t>5601</t>
  </si>
  <si>
    <t>53868+53876</t>
  </si>
  <si>
    <t>21446</t>
  </si>
  <si>
    <t>21423</t>
  </si>
  <si>
    <t>21415</t>
  </si>
  <si>
    <t>53949</t>
  </si>
  <si>
    <t>21427+53936+53935+53933+53932+53930+53927</t>
  </si>
  <si>
    <t>53901</t>
  </si>
  <si>
    <t>53924</t>
  </si>
  <si>
    <t>53887</t>
  </si>
  <si>
    <t>PAPA</t>
  </si>
  <si>
    <t>53929+53926</t>
  </si>
  <si>
    <t>5589+53907+53908+53909</t>
  </si>
  <si>
    <t>5590+53918</t>
  </si>
  <si>
    <t>CLMBC</t>
  </si>
  <si>
    <t>53851+53848</t>
  </si>
  <si>
    <t>53966</t>
  </si>
  <si>
    <t>53986</t>
  </si>
  <si>
    <t>53937</t>
  </si>
  <si>
    <t>53896</t>
  </si>
  <si>
    <t>vỏ vô lăng</t>
  </si>
  <si>
    <t>53903</t>
  </si>
  <si>
    <t>53898</t>
  </si>
  <si>
    <t>53920</t>
  </si>
  <si>
    <t>54245</t>
  </si>
  <si>
    <t>54264</t>
  </si>
  <si>
    <t>blb</t>
  </si>
  <si>
    <t>54273</t>
  </si>
  <si>
    <t>54269+5799</t>
  </si>
  <si>
    <t>bcmd</t>
  </si>
  <si>
    <t>54097+54100+54101+5625</t>
  </si>
  <si>
    <t>cơm + kiểm hàng</t>
  </si>
  <si>
    <t>4292</t>
  </si>
  <si>
    <t>bbnh</t>
  </si>
  <si>
    <t>panh</t>
  </si>
  <si>
    <t>d phú</t>
  </si>
  <si>
    <t>5733</t>
  </si>
  <si>
    <t>54415</t>
  </si>
  <si>
    <t>54417+54418+54419</t>
  </si>
  <si>
    <t>5700+5699+54502+54503</t>
  </si>
  <si>
    <t>p vũ</t>
  </si>
  <si>
    <t>54421</t>
  </si>
  <si>
    <t>2/4</t>
  </si>
  <si>
    <t>54518</t>
  </si>
  <si>
    <t>54524</t>
  </si>
  <si>
    <t>54423</t>
  </si>
  <si>
    <t>54465</t>
  </si>
  <si>
    <t>54458</t>
  </si>
  <si>
    <t>54435</t>
  </si>
  <si>
    <t>54433</t>
  </si>
  <si>
    <t>54424</t>
  </si>
  <si>
    <t>54482</t>
  </si>
  <si>
    <t>54480</t>
  </si>
  <si>
    <t>54420</t>
  </si>
  <si>
    <t>54624</t>
  </si>
  <si>
    <t>54625</t>
  </si>
  <si>
    <t>54546</t>
  </si>
  <si>
    <t>5842</t>
  </si>
  <si>
    <t>5836</t>
  </si>
  <si>
    <t>54618</t>
  </si>
  <si>
    <t>54651+54650+5760</t>
  </si>
  <si>
    <t>54629+54629</t>
  </si>
  <si>
    <t>54628</t>
  </si>
  <si>
    <t>54658</t>
  </si>
  <si>
    <t>54656</t>
  </si>
  <si>
    <t>54646</t>
  </si>
  <si>
    <t>54659</t>
  </si>
  <si>
    <t>54904+54919+54914+54922+54925+54927+21860+54917+54912+54910</t>
  </si>
  <si>
    <t>54812+54814+54815</t>
  </si>
  <si>
    <t>54763+54758+54761+54759+5766</t>
  </si>
  <si>
    <t>54835+5872+54838+5871+54842+54839+54840</t>
  </si>
  <si>
    <t>tổng cộng</t>
  </si>
  <si>
    <t>Lương :</t>
  </si>
  <si>
    <t>CP PHỤ</t>
  </si>
  <si>
    <t>Tạm ứng:</t>
  </si>
  <si>
    <t>Nợ :</t>
  </si>
  <si>
    <t>BHXH</t>
  </si>
  <si>
    <t>Còn :</t>
  </si>
  <si>
    <t>KÊ CHI TIẾT XE LỚN</t>
  </si>
  <si>
    <t>SỐ XE :</t>
  </si>
  <si>
    <t>STT</t>
  </si>
  <si>
    <t>Mã</t>
  </si>
  <si>
    <t>Tên TX</t>
  </si>
  <si>
    <t>Số Xe</t>
  </si>
  <si>
    <t>Đổ Dầu</t>
  </si>
  <si>
    <t>SỐ KM</t>
  </si>
  <si>
    <t>C.Phí lấy hàng</t>
  </si>
  <si>
    <t>C.phí tài xế</t>
  </si>
  <si>
    <t>LƯƠNG LX</t>
  </si>
  <si>
    <t>MIFA</t>
  </si>
  <si>
    <t>nvl</t>
  </si>
  <si>
    <t>bao gạo</t>
  </si>
  <si>
    <t>ndna</t>
  </si>
  <si>
    <t>q8p</t>
  </si>
  <si>
    <t>ghtgp</t>
  </si>
  <si>
    <t>tlp</t>
  </si>
  <si>
    <t>châm ure</t>
  </si>
  <si>
    <t>trả pl</t>
  </si>
  <si>
    <t>naun</t>
  </si>
  <si>
    <t>keo dán bạc</t>
  </si>
  <si>
    <t>lkx</t>
  </si>
  <si>
    <t>q8x</t>
  </si>
  <si>
    <t>q6p</t>
  </si>
  <si>
    <t>ug</t>
  </si>
  <si>
    <t>vna</t>
  </si>
  <si>
    <t>q6x</t>
  </si>
  <si>
    <t>cầu đường</t>
  </si>
  <si>
    <t>ne10</t>
  </si>
  <si>
    <t>l1 THÀNH</t>
  </si>
  <si>
    <t>ghtgx</t>
  </si>
  <si>
    <t>chai dầu</t>
  </si>
  <si>
    <t>pmvp</t>
  </si>
  <si>
    <t>l6 minh</t>
  </si>
  <si>
    <t>cúng xe</t>
  </si>
  <si>
    <t>cho khủ kho</t>
  </si>
  <si>
    <t>chai tẩy keo + nvl</t>
  </si>
  <si>
    <t>pq</t>
  </si>
  <si>
    <t>3 ngày cơm</t>
  </si>
  <si>
    <t>NAIC - TÂN AN</t>
  </si>
  <si>
    <t>q9x</t>
  </si>
  <si>
    <t>hàng về</t>
  </si>
  <si>
    <t>mcc</t>
  </si>
  <si>
    <t>tlx</t>
  </si>
  <si>
    <t>lkp</t>
  </si>
  <si>
    <t>pl</t>
  </si>
  <si>
    <t>q9p</t>
  </si>
  <si>
    <t>thay đen hong</t>
  </si>
  <si>
    <t>thtdh</t>
  </si>
  <si>
    <t>chỉ có tiền lên hàng</t>
  </si>
  <si>
    <t>sơn+xăng+dây cước+nhám</t>
  </si>
  <si>
    <t>chăm ủre</t>
  </si>
  <si>
    <t>l1 thành</t>
  </si>
  <si>
    <t>câu đường</t>
  </si>
  <si>
    <t>mua dây da</t>
  </si>
  <si>
    <t>LƯƠNG</t>
  </si>
  <si>
    <t>10% doanh thu</t>
  </si>
  <si>
    <t>tiền cơm</t>
  </si>
  <si>
    <t>tổng</t>
  </si>
  <si>
    <t>chi phí xe</t>
  </si>
  <si>
    <t>TẠM ỨNG</t>
  </si>
  <si>
    <t>Còn Lại</t>
  </si>
  <si>
    <t>TỔNG :</t>
  </si>
  <si>
    <t>PHƯƠNG</t>
  </si>
  <si>
    <t>ÂN</t>
  </si>
  <si>
    <t>HOÀNG</t>
  </si>
  <si>
    <t>HẢI</t>
  </si>
  <si>
    <t>Cầu đường</t>
  </si>
  <si>
    <t>l10 hải</t>
  </si>
  <si>
    <t>l7 phương</t>
  </si>
  <si>
    <t>l8 ân</t>
  </si>
  <si>
    <t>m6</t>
  </si>
  <si>
    <t>clf</t>
  </si>
  <si>
    <t>Vá vỏ bơm mỡ</t>
  </si>
  <si>
    <t>6 CỤC CAO SU NHÍP</t>
  </si>
  <si>
    <t>xét xe</t>
  </si>
  <si>
    <t>cò xét xe</t>
  </si>
  <si>
    <t>CALO</t>
  </si>
  <si>
    <t>thay bộ thắng tay</t>
  </si>
  <si>
    <t>MUA BẢO HIỂM XE</t>
  </si>
  <si>
    <t>l9 hoàng</t>
  </si>
  <si>
    <t>vệ sinh máy lạnh bơm ga</t>
  </si>
  <si>
    <t>thay cây gạt mưa</t>
  </si>
  <si>
    <t>Bọc ghế + giường</t>
  </si>
  <si>
    <t>làm thùng xe</t>
  </si>
  <si>
    <t>MAY BẠT HÔNG</t>
  </si>
  <si>
    <t xml:space="preserve"> 50H -55129 </t>
  </si>
  <si>
    <t>l11 phương</t>
  </si>
  <si>
    <t>CLF</t>
  </si>
  <si>
    <t>l12 phương</t>
  </si>
  <si>
    <t>ốc vít</t>
  </si>
  <si>
    <t>Tổng cộng :</t>
  </si>
  <si>
    <t>176.89</t>
  </si>
  <si>
    <t>bhxh</t>
  </si>
  <si>
    <t>ứng</t>
  </si>
  <si>
    <t>còn</t>
  </si>
  <si>
    <t>KÊ CHI TIẾT 50H-88294</t>
  </si>
  <si>
    <t>50H-88294</t>
  </si>
  <si>
    <t>CẦU ĐƯỜNG</t>
  </si>
  <si>
    <t>Ghi chú</t>
  </si>
  <si>
    <t>C.phí c.xe</t>
  </si>
  <si>
    <t>MUA XE 51C-89727</t>
  </si>
  <si>
    <t>GIÁ XE</t>
  </si>
  <si>
    <t>CÀ PHÊ</t>
  </si>
  <si>
    <t>BẢO HIỂM XE</t>
  </si>
  <si>
    <t>ĐỊNH VỊ XE</t>
  </si>
  <si>
    <t>DẦU MÁY</t>
  </si>
  <si>
    <t>bảo dưỡng xe</t>
  </si>
  <si>
    <t>MUA ĐÈN THÙNG</t>
  </si>
  <si>
    <t>thay 4 vỏ sau</t>
  </si>
  <si>
    <t>MUA XE</t>
  </si>
  <si>
    <t>317,150,000</t>
  </si>
  <si>
    <t>D.THU 3/2024</t>
  </si>
  <si>
    <t>2,830,000</t>
  </si>
  <si>
    <t>314,320,000</t>
  </si>
  <si>
    <t>CHIA ĐÔI</t>
  </si>
  <si>
    <t>157,160,000</t>
  </si>
  <si>
    <t>Doanh Thu</t>
  </si>
  <si>
    <t>33,550,000</t>
  </si>
  <si>
    <t>doanh thu 03/2024</t>
  </si>
  <si>
    <t>Chi Phí</t>
  </si>
  <si>
    <t>doanh thu 01/2025</t>
  </si>
  <si>
    <t>doanh thu 04/2024</t>
  </si>
  <si>
    <t>Lương</t>
  </si>
  <si>
    <t>7,800,000</t>
  </si>
  <si>
    <t>doanh thu 05/2024</t>
  </si>
  <si>
    <t>doanh thu 06/2024</t>
  </si>
  <si>
    <t>1,100,000</t>
  </si>
  <si>
    <t>doanh thu 07/2024</t>
  </si>
  <si>
    <t>13,740,000</t>
  </si>
  <si>
    <t>doanh thu 08/2024</t>
  </si>
  <si>
    <t>doanh thu 09/2024</t>
  </si>
  <si>
    <t>doanh thu 10/2024</t>
  </si>
  <si>
    <t>doanh thu 11/2024</t>
  </si>
  <si>
    <t>doanh thu 12/2024</t>
  </si>
  <si>
    <t>BẢNG KÊ 50H-74619</t>
  </si>
  <si>
    <t>THẠCH</t>
  </si>
  <si>
    <t>MUA XE 50H-74619</t>
  </si>
  <si>
    <t xml:space="preserve">BÃI XE </t>
  </si>
  <si>
    <t>XE KÉO VỀ BÃI</t>
  </si>
  <si>
    <t>ĐỊNH VỊ</t>
  </si>
  <si>
    <t>thuế trước bạ</t>
  </si>
  <si>
    <t>cò giấy tờ</t>
  </si>
  <si>
    <t>bảo hiểm xe</t>
  </si>
  <si>
    <t>Phù hiệu xe</t>
  </si>
  <si>
    <t>Thay bình ắc quy</t>
  </si>
  <si>
    <t>mua đồ</t>
  </si>
  <si>
    <t>THUẬN 50%</t>
  </si>
  <si>
    <t>KIM 50%</t>
  </si>
  <si>
    <t>176.9</t>
  </si>
  <si>
    <t>30,100,000</t>
  </si>
  <si>
    <t>12,108,000</t>
  </si>
  <si>
    <t>BẢNG KÊ 50H-87442</t>
  </si>
  <si>
    <t>50H-87442</t>
  </si>
  <si>
    <t>50H-87442 ( 51C-85202 ) mua ngày 26/05/2025</t>
  </si>
  <si>
    <t xml:space="preserve">NGÀY </t>
  </si>
  <si>
    <t>VẬT TƯ</t>
  </si>
  <si>
    <t>GIÁ TIỀN</t>
  </si>
  <si>
    <t>CÔNG THỢ</t>
  </si>
  <si>
    <t>THÀNH TIỀN</t>
  </si>
  <si>
    <t>Móc lỗ thùng cột hàng</t>
  </si>
  <si>
    <t>bãi xe lê văn lương</t>
  </si>
  <si>
    <t>Làm giấy tờ</t>
  </si>
  <si>
    <t>menmen</t>
  </si>
  <si>
    <t>đóng inox biển số</t>
  </si>
  <si>
    <t>xét xe + cò xét xe</t>
  </si>
  <si>
    <t>gắn định vị</t>
  </si>
  <si>
    <t>MUA KÈN XE</t>
  </si>
  <si>
    <t>Bao tay ,tựa lưng</t>
  </si>
  <si>
    <t>PHÙ HIỆU XE</t>
  </si>
  <si>
    <t>Thay 6 cúp ben bánh 50*6</t>
  </si>
  <si>
    <t>thay 2 phốt bánh sau 120*2</t>
  </si>
  <si>
    <t>thay bạc đạn bánh sau</t>
  </si>
  <si>
    <t>mở bò VÔ BÁNH</t>
  </si>
  <si>
    <t>thay lọc nhớt</t>
  </si>
  <si>
    <t>thay lọc dầu</t>
  </si>
  <si>
    <t>làm ắc cần số + vô nhớt dây số</t>
  </si>
  <si>
    <t>công làm</t>
  </si>
  <si>
    <t>mua nhớt máy 80*9</t>
  </si>
  <si>
    <t>công thợ chỉnh pét dầu</t>
  </si>
  <si>
    <t>Hùng gara</t>
  </si>
  <si>
    <t>thay chốt chặn cửa</t>
  </si>
  <si>
    <t>chỉnh cửa + công lắp</t>
  </si>
  <si>
    <t>gắn miếng che</t>
  </si>
  <si>
    <t>mua đầu đĩa</t>
  </si>
  <si>
    <t>25,400,000</t>
  </si>
  <si>
    <t>5,160,000</t>
  </si>
  <si>
    <t>TR</t>
  </si>
  <si>
    <t>71329</t>
  </si>
  <si>
    <t>11/5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</si>
</sst>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/yyyy"/>
    <numFmt numFmtId="165" formatCode="&quot;THÁNG &quot;mm/yyyy"/>
    <numFmt numFmtId="166" formatCode="0.0"/>
    <numFmt numFmtId="167" formatCode="d/m"/>
    <numFmt numFmtId="168" formatCode="_-* #,##0\ _₫_-;\-* #,##0\ _₫_-;_-* &quot;-&quot;??\ _₫_-;_-@"/>
    <numFmt numFmtId="169" formatCode="#,##0.000"/>
    <numFmt numFmtId="170" formatCode="d/m/yyyy"/>
    <numFmt numFmtId="171" formatCode="m/yyyy"/>
  </numFmts>
  <fonts count="74">
    <font>
      <sz val="10"/>
      <color rgb="FF000000"/>
      <name val="Arial"/>
      <scheme val="minor"/>
    </font>
    <font>
      <sz val="12"/>
      <color theme="1"/>
      <name val="&quot;Times New Roman&quot;"/>
    </font>
    <font>
      <b/>
      <sz val="12"/>
      <color theme="1"/>
      <name val="&quot;Times New Roman&quot;"/>
    </font>
    <font>
      <sz val="10"/>
      <color rgb="FF0000FF"/>
      <name val="&quot;Times New Roman&quot;"/>
    </font>
    <font>
      <sz val="10"/>
      <color theme="1"/>
      <name val="&quot;Times New Roman&quot;"/>
    </font>
    <font>
      <b/>
      <sz val="10"/>
      <color rgb="FF0000CC"/>
      <name val="&quot;Times New Roman&quot;"/>
    </font>
    <font>
      <sz val="10"/>
      <color rgb="FF980000"/>
      <name val="&quot;Times New Roman&quot;"/>
    </font>
    <font>
      <sz val="10"/>
      <color rgb="FF0000FF"/>
      <name val="Arial"/>
      <family val="2"/>
    </font>
    <font>
      <sz val="10"/>
      <color rgb="FF0000FF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rgb="FF000000"/>
      <name val="Arial"/>
      <family val="2"/>
    </font>
    <font>
      <sz val="10"/>
      <color theme="1"/>
      <name val="Times New Roman"/>
      <family val="1"/>
    </font>
    <font>
      <sz val="11"/>
      <color rgb="FF000000"/>
      <name val="Arial"/>
      <family val="2"/>
    </font>
    <font>
      <b/>
      <sz val="10"/>
      <color theme="1"/>
      <name val="&quot;Times New Roman&quot;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&quot;Times New Roman&quot;"/>
    </font>
    <font>
      <b/>
      <sz val="9"/>
      <color theme="1"/>
      <name val="&quot;Times New Roman&quot;"/>
    </font>
    <font>
      <i/>
      <sz val="11"/>
      <color theme="1"/>
      <name val="&quot;Times New Roman&quot;"/>
    </font>
    <font>
      <sz val="9"/>
      <color theme="1"/>
      <name val="&quot;Times New Roman&quot;"/>
    </font>
    <font>
      <b/>
      <i/>
      <sz val="11"/>
      <color theme="1"/>
      <name val="&quot;Times New Roman&quot;"/>
    </font>
    <font>
      <i/>
      <sz val="9"/>
      <color theme="1"/>
      <name val="&quot;Times New Roman&quot;"/>
    </font>
    <font>
      <b/>
      <sz val="16"/>
      <color rgb="FFFFFFFF"/>
      <name val="&quot;Times New Roman&quot;"/>
    </font>
    <font>
      <b/>
      <u/>
      <sz val="9"/>
      <color theme="1"/>
      <name val="&quot;Times New Roman&quot;"/>
    </font>
    <font>
      <b/>
      <u/>
      <sz val="11"/>
      <color theme="1"/>
      <name val="&quot;Times New Roman&quot;"/>
    </font>
    <font>
      <sz val="10"/>
      <name val="Arial"/>
      <family val="2"/>
    </font>
    <font>
      <b/>
      <sz val="11"/>
      <color rgb="FFFFFFFF"/>
      <name val="&quot;Times New Roman&quot;"/>
    </font>
    <font>
      <sz val="11"/>
      <color rgb="FFFFFFFF"/>
      <name val="&quot;Times New Roman&quot;"/>
    </font>
    <font>
      <b/>
      <sz val="9"/>
      <color rgb="FFFFFFFF"/>
      <name val="&quot;Times New Roman&quot;"/>
    </font>
    <font>
      <sz val="11"/>
      <color rgb="FF000000"/>
      <name val="&quot;Times New Roman&quot;"/>
    </font>
    <font>
      <sz val="9"/>
      <color rgb="FF000000"/>
      <name val="&quot;Times New Roman&quot;"/>
    </font>
    <font>
      <sz val="11"/>
      <color theme="1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000000"/>
      <name val="&quot;Times New Roman&quot;"/>
    </font>
    <font>
      <sz val="11"/>
      <color theme="1"/>
      <name val="&quot;Times New Roman&quot;"/>
    </font>
    <font>
      <sz val="10"/>
      <color rgb="FF000000"/>
      <name val="Arial"/>
      <family val="2"/>
      <scheme val="minor"/>
    </font>
    <font>
      <b/>
      <sz val="9"/>
      <color rgb="FF000000"/>
      <name val="&quot;Times New Roman&quot;"/>
    </font>
    <font>
      <b/>
      <sz val="11"/>
      <color theme="1"/>
      <name val="Times New Roman"/>
      <family val="1"/>
    </font>
    <font>
      <sz val="12"/>
      <color rgb="FF000000"/>
      <name val="Arial"/>
      <family val="2"/>
    </font>
    <font>
      <b/>
      <sz val="10"/>
      <color rgb="FF000000"/>
      <name val="&quot;Times New Roman&quot;"/>
    </font>
    <font>
      <b/>
      <sz val="12"/>
      <color rgb="FF000000"/>
      <name val="&quot;Times New Roman&quot;"/>
    </font>
    <font>
      <b/>
      <sz val="10"/>
      <color rgb="FF000000"/>
      <name val="Arial"/>
      <family val="2"/>
      <scheme val="minor"/>
    </font>
    <font>
      <b/>
      <sz val="11"/>
      <color rgb="FF0000FF"/>
      <name val="&quot;Times New Roman&quot;"/>
    </font>
    <font>
      <sz val="11"/>
      <color rgb="FF0000CC"/>
      <name val="&quot;Times New Roman&quot;"/>
    </font>
    <font>
      <b/>
      <sz val="14"/>
      <color theme="1"/>
      <name val="&quot;Times New Roman&quot;"/>
    </font>
    <font>
      <b/>
      <i/>
      <sz val="12"/>
      <color rgb="FF000000"/>
      <name val="&quot;\0022Times New Roman\0022&quot;"/>
    </font>
    <font>
      <b/>
      <sz val="12"/>
      <color rgb="FF000000"/>
      <name val="&quot;\0022Times New Roman\0022&quot;"/>
    </font>
    <font>
      <sz val="12"/>
      <color theme="1"/>
      <name val="Arial"/>
      <family val="2"/>
    </font>
    <font>
      <b/>
      <i/>
      <sz val="12"/>
      <color theme="1"/>
      <name val="&quot;Times New Roman&quot;"/>
    </font>
    <font>
      <b/>
      <u/>
      <sz val="12"/>
      <color rgb="FF000000"/>
      <name val="&quot;\0022Times New Roman\0022&quot;"/>
    </font>
    <font>
      <b/>
      <sz val="12"/>
      <color rgb="FFFFFFFF"/>
      <name val="&quot;\0022Times New Roman\0022&quot;"/>
    </font>
    <font>
      <i/>
      <sz val="12"/>
      <color rgb="FF000000"/>
      <name val="&quot;\0022Times New Roman\0022&quot;"/>
    </font>
    <font>
      <sz val="12"/>
      <color rgb="FFFFFFFF"/>
      <name val="&quot;\0022Times New Roman\0022&quot;"/>
    </font>
    <font>
      <sz val="11"/>
      <color rgb="FF0000CC"/>
      <name val="&quot;\0022Times New Roman\0022&quot;"/>
    </font>
    <font>
      <sz val="11"/>
      <color rgb="FF000000"/>
      <name val="&quot;\0022Times New Roman\0022&quot;"/>
    </font>
    <font>
      <sz val="12"/>
      <color rgb="FF000000"/>
      <name val="&quot;\0022Times New Roman\0022&quot;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sz val="12"/>
      <color rgb="FF0000CC"/>
      <name val="&quot;Times New Roman&quot;"/>
    </font>
    <font>
      <sz val="12"/>
      <color rgb="FF0000CC"/>
      <name val="Times New Roman"/>
      <family val="1"/>
    </font>
    <font>
      <sz val="11"/>
      <color rgb="FF0000CC"/>
      <name val="Arial"/>
      <family val="2"/>
    </font>
    <font>
      <b/>
      <sz val="12"/>
      <color rgb="FF000000"/>
      <name val="Arial"/>
      <family val="2"/>
    </font>
    <font>
      <b/>
      <u/>
      <sz val="12"/>
      <color rgb="FF000000"/>
      <name val="&quot;\0022Times New Roman\0022&quot;"/>
    </font>
    <font>
      <sz val="12"/>
      <color rgb="FF000000"/>
      <name val="&quot;Times New Roman&quot;"/>
    </font>
    <font>
      <sz val="10"/>
      <color rgb="FF000000"/>
      <name val="&quot;\0022Times New Roman\0022&quot;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  <scheme val="minor"/>
    </font>
    <font>
      <b/>
      <u/>
      <sz val="12"/>
      <color rgb="FF000000"/>
      <name val="&quot;\0022Times New Roman\0022&quot;"/>
    </font>
    <font>
      <sz val="11"/>
      <color rgb="FF000000"/>
      <name val="Times New Roman"/>
      <family val="1"/>
    </font>
    <font>
      <sz val="11"/>
      <color rgb="FF0000FF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ED7D31"/>
        <bgColor rgb="FFED7D31"/>
      </patternFill>
    </fill>
    <fill>
      <patternFill patternType="solid">
        <fgColor rgb="FF548235"/>
        <bgColor rgb="FF548235"/>
      </patternFill>
    </fill>
    <fill>
      <patternFill patternType="solid">
        <fgColor rgb="FF00FF00"/>
        <bgColor rgb="FF00FF00"/>
      </patternFill>
    </fill>
    <fill>
      <patternFill patternType="solid">
        <fgColor rgb="FFACB9CA"/>
        <bgColor rgb="FFACB9CA"/>
      </patternFill>
    </fill>
    <fill>
      <patternFill patternType="solid">
        <fgColor rgb="FFFFD966"/>
        <bgColor rgb="FFFFD966"/>
      </patternFill>
    </fill>
    <fill>
      <patternFill patternType="solid">
        <fgColor rgb="FFE26B0A"/>
        <bgColor rgb="FFE26B0A"/>
      </patternFill>
    </fill>
    <fill>
      <patternFill patternType="solid">
        <fgColor rgb="FFA4C2F4"/>
        <bgColor rgb="FFA4C2F4"/>
      </patternFill>
    </fill>
    <fill>
      <patternFill patternType="solid">
        <fgColor rgb="FF7CEB99"/>
        <bgColor rgb="FF7CEB99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1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/>
    <xf numFmtId="0" fontId="7" fillId="4" borderId="4" xfId="0" applyFont="1" applyFill="1" applyBorder="1" applyAlignment="1">
      <alignment horizontal="left"/>
    </xf>
    <xf numFmtId="11" fontId="3" fillId="0" borderId="4" xfId="0" applyNumberFormat="1" applyFont="1" applyBorder="1"/>
    <xf numFmtId="11" fontId="3" fillId="3" borderId="4" xfId="0" applyNumberFormat="1" applyFont="1" applyFill="1" applyBorder="1"/>
    <xf numFmtId="0" fontId="7" fillId="3" borderId="4" xfId="0" applyFont="1" applyFill="1" applyBorder="1" applyAlignment="1">
      <alignment horizontal="left"/>
    </xf>
    <xf numFmtId="0" fontId="8" fillId="0" borderId="4" xfId="0" applyFont="1" applyBorder="1" applyAlignment="1">
      <alignment horizontal="center"/>
    </xf>
    <xf numFmtId="11" fontId="8" fillId="0" borderId="4" xfId="0" applyNumberFormat="1" applyFont="1" applyBorder="1"/>
    <xf numFmtId="0" fontId="2" fillId="0" borderId="1" xfId="0" applyFont="1" applyBorder="1" applyAlignment="1">
      <alignment horizontal="center"/>
    </xf>
    <xf numFmtId="3" fontId="2" fillId="0" borderId="5" xfId="0" applyNumberFormat="1" applyFont="1" applyBorder="1"/>
    <xf numFmtId="3" fontId="4" fillId="4" borderId="4" xfId="0" applyNumberFormat="1" applyFont="1" applyFill="1" applyBorder="1"/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/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/>
    <xf numFmtId="3" fontId="4" fillId="5" borderId="4" xfId="0" applyNumberFormat="1" applyFont="1" applyFill="1" applyBorder="1"/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/>
    <xf numFmtId="0" fontId="9" fillId="0" borderId="0" xfId="0" applyFont="1"/>
    <xf numFmtId="0" fontId="9" fillId="4" borderId="0" xfId="0" applyFont="1" applyFill="1"/>
    <xf numFmtId="0" fontId="10" fillId="7" borderId="4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/>
    <xf numFmtId="0" fontId="4" fillId="4" borderId="4" xfId="0" quotePrefix="1" applyFont="1" applyFill="1" applyBorder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3" fontId="4" fillId="4" borderId="0" xfId="0" applyNumberFormat="1" applyFont="1" applyFill="1"/>
    <xf numFmtId="0" fontId="11" fillId="6" borderId="4" xfId="0" applyFont="1" applyFill="1" applyBorder="1" applyAlignment="1">
      <alignment horizontal="left"/>
    </xf>
    <xf numFmtId="0" fontId="12" fillId="6" borderId="3" xfId="0" applyFont="1" applyFill="1" applyBorder="1" applyAlignment="1">
      <alignment horizontal="left"/>
    </xf>
    <xf numFmtId="0" fontId="12" fillId="6" borderId="4" xfId="0" applyFont="1" applyFill="1" applyBorder="1" applyAlignment="1">
      <alignment horizontal="left"/>
    </xf>
    <xf numFmtId="0" fontId="9" fillId="7" borderId="0" xfId="0" applyFont="1" applyFill="1"/>
    <xf numFmtId="0" fontId="4" fillId="6" borderId="0" xfId="0" applyFont="1" applyFill="1" applyAlignment="1">
      <alignment horizontal="center"/>
    </xf>
    <xf numFmtId="0" fontId="4" fillId="6" borderId="0" xfId="0" applyFont="1" applyFill="1"/>
    <xf numFmtId="0" fontId="4" fillId="9" borderId="3" xfId="0" applyFont="1" applyFill="1" applyBorder="1" applyAlignment="1">
      <alignment horizontal="center"/>
    </xf>
    <xf numFmtId="0" fontId="4" fillId="9" borderId="4" xfId="0" applyFont="1" applyFill="1" applyBorder="1"/>
    <xf numFmtId="0" fontId="4" fillId="10" borderId="3" xfId="0" applyFont="1" applyFill="1" applyBorder="1" applyAlignment="1">
      <alignment horizontal="center"/>
    </xf>
    <xf numFmtId="0" fontId="4" fillId="10" borderId="4" xfId="0" applyFont="1" applyFill="1" applyBorder="1"/>
    <xf numFmtId="0" fontId="4" fillId="11" borderId="3" xfId="0" applyFont="1" applyFill="1" applyBorder="1" applyAlignment="1">
      <alignment horizontal="center"/>
    </xf>
    <xf numFmtId="0" fontId="4" fillId="11" borderId="4" xfId="0" applyFont="1" applyFill="1" applyBorder="1"/>
    <xf numFmtId="3" fontId="4" fillId="11" borderId="4" xfId="0" applyNumberFormat="1" applyFont="1" applyFill="1" applyBorder="1"/>
    <xf numFmtId="0" fontId="9" fillId="11" borderId="0" xfId="0" applyFont="1" applyFill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/>
    <xf numFmtId="0" fontId="4" fillId="12" borderId="3" xfId="0" applyFont="1" applyFill="1" applyBorder="1" applyAlignment="1">
      <alignment horizontal="center"/>
    </xf>
    <xf numFmtId="0" fontId="4" fillId="12" borderId="4" xfId="0" applyFont="1" applyFill="1" applyBorder="1"/>
    <xf numFmtId="0" fontId="4" fillId="13" borderId="3" xfId="0" applyFont="1" applyFill="1" applyBorder="1" applyAlignment="1">
      <alignment horizontal="center"/>
    </xf>
    <xf numFmtId="0" fontId="4" fillId="13" borderId="4" xfId="0" applyFont="1" applyFill="1" applyBorder="1"/>
    <xf numFmtId="0" fontId="4" fillId="14" borderId="3" xfId="0" applyFont="1" applyFill="1" applyBorder="1" applyAlignment="1">
      <alignment horizontal="center"/>
    </xf>
    <xf numFmtId="0" fontId="4" fillId="14" borderId="4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/>
    <xf numFmtId="3" fontId="13" fillId="4" borderId="4" xfId="0" applyNumberFormat="1" applyFont="1" applyFill="1" applyBorder="1"/>
    <xf numFmtId="0" fontId="13" fillId="0" borderId="0" xfId="0" applyFont="1"/>
    <xf numFmtId="3" fontId="13" fillId="0" borderId="0" xfId="0" applyNumberFormat="1" applyFont="1"/>
    <xf numFmtId="0" fontId="13" fillId="0" borderId="0" xfId="0" applyFont="1" applyAlignment="1">
      <alignment horizontal="center"/>
    </xf>
    <xf numFmtId="3" fontId="14" fillId="0" borderId="0" xfId="0" applyNumberFormat="1" applyFont="1" applyAlignment="1">
      <alignment horizontal="right"/>
    </xf>
    <xf numFmtId="3" fontId="15" fillId="0" borderId="0" xfId="0" applyNumberFormat="1" applyFont="1"/>
    <xf numFmtId="3" fontId="14" fillId="4" borderId="0" xfId="0" applyNumberFormat="1" applyFont="1" applyFill="1" applyAlignment="1">
      <alignment horizontal="right"/>
    </xf>
    <xf numFmtId="0" fontId="4" fillId="3" borderId="0" xfId="0" applyFont="1" applyFill="1" applyAlignment="1">
      <alignment horizontal="center"/>
    </xf>
    <xf numFmtId="0" fontId="4" fillId="3" borderId="0" xfId="0" applyFont="1" applyFill="1"/>
    <xf numFmtId="3" fontId="14" fillId="3" borderId="0" xfId="0" applyNumberFormat="1" applyFont="1" applyFill="1" applyAlignment="1">
      <alignment horizontal="right"/>
    </xf>
    <xf numFmtId="3" fontId="9" fillId="0" borderId="0" xfId="0" applyNumberFormat="1" applyFont="1"/>
    <xf numFmtId="0" fontId="16" fillId="0" borderId="0" xfId="0" applyFont="1" applyAlignment="1">
      <alignment horizontal="left"/>
    </xf>
    <xf numFmtId="164" fontId="16" fillId="0" borderId="0" xfId="0" applyNumberFormat="1" applyFont="1"/>
    <xf numFmtId="164" fontId="18" fillId="0" borderId="0" xfId="0" applyNumberFormat="1" applyFont="1"/>
    <xf numFmtId="0" fontId="20" fillId="0" borderId="0" xfId="0" applyFont="1"/>
    <xf numFmtId="164" fontId="20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164" fontId="16" fillId="0" borderId="0" xfId="0" applyNumberFormat="1" applyFont="1" applyAlignment="1">
      <alignment horizontal="center"/>
    </xf>
    <xf numFmtId="0" fontId="18" fillId="0" borderId="0" xfId="0" applyFont="1"/>
    <xf numFmtId="164" fontId="23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8" xfId="0" applyFont="1" applyBorder="1" applyAlignment="1">
      <alignment horizontal="left"/>
    </xf>
    <xf numFmtId="164" fontId="27" fillId="0" borderId="8" xfId="0" applyNumberFormat="1" applyFont="1" applyBorder="1" applyAlignment="1">
      <alignment horizontal="center"/>
    </xf>
    <xf numFmtId="0" fontId="28" fillId="0" borderId="8" xfId="0" applyFont="1" applyBorder="1"/>
    <xf numFmtId="0" fontId="28" fillId="0" borderId="8" xfId="0" applyFont="1" applyBorder="1" applyAlignment="1">
      <alignment horizontal="left"/>
    </xf>
    <xf numFmtId="0" fontId="26" fillId="0" borderId="8" xfId="0" applyFont="1" applyBorder="1"/>
    <xf numFmtId="0" fontId="27" fillId="0" borderId="8" xfId="0" applyFont="1" applyBorder="1"/>
    <xf numFmtId="3" fontId="27" fillId="0" borderId="8" xfId="0" applyNumberFormat="1" applyFont="1" applyBorder="1"/>
    <xf numFmtId="4" fontId="27" fillId="0" borderId="8" xfId="0" applyNumberFormat="1" applyFont="1" applyBorder="1"/>
    <xf numFmtId="0" fontId="26" fillId="0" borderId="8" xfId="0" applyFont="1" applyBorder="1" applyAlignment="1">
      <alignment horizontal="center"/>
    </xf>
    <xf numFmtId="0" fontId="2" fillId="0" borderId="1" xfId="0" applyFont="1" applyBorder="1"/>
    <xf numFmtId="0" fontId="16" fillId="11" borderId="0" xfId="0" applyFont="1" applyFill="1" applyAlignment="1">
      <alignment horizontal="center"/>
    </xf>
    <xf numFmtId="0" fontId="16" fillId="11" borderId="9" xfId="0" applyFont="1" applyFill="1" applyBorder="1" applyAlignment="1">
      <alignment horizontal="center"/>
    </xf>
    <xf numFmtId="0" fontId="17" fillId="11" borderId="9" xfId="0" applyFont="1" applyFill="1" applyBorder="1" applyAlignment="1">
      <alignment horizontal="center"/>
    </xf>
    <xf numFmtId="164" fontId="17" fillId="11" borderId="9" xfId="0" applyNumberFormat="1" applyFont="1" applyFill="1" applyBorder="1" applyAlignment="1">
      <alignment horizontal="center"/>
    </xf>
    <xf numFmtId="0" fontId="17" fillId="11" borderId="9" xfId="0" applyFont="1" applyFill="1" applyBorder="1" applyAlignment="1">
      <alignment horizontal="left"/>
    </xf>
    <xf numFmtId="0" fontId="16" fillId="11" borderId="9" xfId="0" applyFont="1" applyFill="1" applyBorder="1"/>
    <xf numFmtId="3" fontId="16" fillId="11" borderId="9" xfId="0" applyNumberFormat="1" applyFont="1" applyFill="1" applyBorder="1" applyAlignment="1">
      <alignment horizontal="center"/>
    </xf>
    <xf numFmtId="4" fontId="16" fillId="11" borderId="9" xfId="0" applyNumberFormat="1" applyFont="1" applyFill="1" applyBorder="1" applyAlignment="1">
      <alignment horizontal="center"/>
    </xf>
    <xf numFmtId="9" fontId="9" fillId="0" borderId="0" xfId="0" applyNumberFormat="1" applyFont="1"/>
    <xf numFmtId="0" fontId="29" fillId="4" borderId="0" xfId="0" applyFont="1" applyFill="1" applyAlignment="1">
      <alignment horizontal="center"/>
    </xf>
    <xf numFmtId="0" fontId="29" fillId="4" borderId="3" xfId="0" applyFont="1" applyFill="1" applyBorder="1" applyAlignment="1">
      <alignment horizontal="center"/>
    </xf>
    <xf numFmtId="0" fontId="29" fillId="4" borderId="4" xfId="0" applyFont="1" applyFill="1" applyBorder="1" applyAlignment="1">
      <alignment horizontal="center"/>
    </xf>
    <xf numFmtId="164" fontId="29" fillId="4" borderId="4" xfId="0" applyNumberFormat="1" applyFont="1" applyFill="1" applyBorder="1" applyAlignment="1">
      <alignment horizontal="center"/>
    </xf>
    <xf numFmtId="0" fontId="30" fillId="4" borderId="4" xfId="0" applyFont="1" applyFill="1" applyBorder="1"/>
    <xf numFmtId="49" fontId="31" fillId="4" borderId="3" xfId="0" applyNumberFormat="1" applyFont="1" applyFill="1" applyBorder="1" applyAlignment="1">
      <alignment horizontal="right"/>
    </xf>
    <xf numFmtId="49" fontId="32" fillId="4" borderId="4" xfId="0" applyNumberFormat="1" applyFont="1" applyFill="1" applyBorder="1" applyAlignment="1">
      <alignment horizontal="center"/>
    </xf>
    <xf numFmtId="3" fontId="29" fillId="4" borderId="4" xfId="0" applyNumberFormat="1" applyFont="1" applyFill="1" applyBorder="1"/>
    <xf numFmtId="0" fontId="29" fillId="5" borderId="4" xfId="0" applyFont="1" applyFill="1" applyBorder="1" applyAlignment="1">
      <alignment horizontal="center"/>
    </xf>
    <xf numFmtId="4" fontId="33" fillId="4" borderId="3" xfId="0" applyNumberFormat="1" applyFont="1" applyFill="1" applyBorder="1"/>
    <xf numFmtId="3" fontId="34" fillId="4" borderId="4" xfId="0" applyNumberFormat="1" applyFont="1" applyFill="1" applyBorder="1"/>
    <xf numFmtId="0" fontId="29" fillId="4" borderId="4" xfId="0" applyFont="1" applyFill="1" applyBorder="1"/>
    <xf numFmtId="0" fontId="35" fillId="4" borderId="0" xfId="0" applyFont="1" applyFill="1"/>
    <xf numFmtId="0" fontId="29" fillId="9" borderId="4" xfId="0" applyFont="1" applyFill="1" applyBorder="1" applyAlignment="1">
      <alignment horizontal="center"/>
    </xf>
    <xf numFmtId="0" fontId="33" fillId="3" borderId="3" xfId="0" applyFont="1" applyFill="1" applyBorder="1" applyAlignment="1">
      <alignment horizontal="center"/>
    </xf>
    <xf numFmtId="0" fontId="33" fillId="3" borderId="4" xfId="0" applyFont="1" applyFill="1" applyBorder="1" applyAlignment="1">
      <alignment horizontal="center"/>
    </xf>
    <xf numFmtId="164" fontId="33" fillId="3" borderId="4" xfId="0" applyNumberFormat="1" applyFont="1" applyFill="1" applyBorder="1" applyAlignment="1">
      <alignment horizontal="center"/>
    </xf>
    <xf numFmtId="0" fontId="36" fillId="3" borderId="4" xfId="0" applyFont="1" applyFill="1" applyBorder="1"/>
    <xf numFmtId="49" fontId="37" fillId="3" borderId="3" xfId="0" applyNumberFormat="1" applyFont="1" applyFill="1" applyBorder="1" applyAlignment="1">
      <alignment horizontal="right"/>
    </xf>
    <xf numFmtId="49" fontId="32" fillId="3" borderId="4" xfId="0" applyNumberFormat="1" applyFont="1" applyFill="1" applyBorder="1" applyAlignment="1">
      <alignment horizontal="center"/>
    </xf>
    <xf numFmtId="3" fontId="33" fillId="3" borderId="4" xfId="0" applyNumberFormat="1" applyFont="1" applyFill="1" applyBorder="1"/>
    <xf numFmtId="0" fontId="33" fillId="5" borderId="4" xfId="0" applyFont="1" applyFill="1" applyBorder="1" applyAlignment="1">
      <alignment horizontal="center"/>
    </xf>
    <xf numFmtId="4" fontId="33" fillId="3" borderId="3" xfId="0" applyNumberFormat="1" applyFont="1" applyFill="1" applyBorder="1"/>
    <xf numFmtId="3" fontId="16" fillId="3" borderId="4" xfId="0" applyNumberFormat="1" applyFont="1" applyFill="1" applyBorder="1"/>
    <xf numFmtId="0" fontId="33" fillId="3" borderId="4" xfId="0" applyFont="1" applyFill="1" applyBorder="1"/>
    <xf numFmtId="3" fontId="29" fillId="3" borderId="4" xfId="0" applyNumberFormat="1" applyFont="1" applyFill="1" applyBorder="1"/>
    <xf numFmtId="11" fontId="29" fillId="4" borderId="4" xfId="0" applyNumberFormat="1" applyFont="1" applyFill="1" applyBorder="1" applyAlignment="1">
      <alignment horizontal="center"/>
    </xf>
    <xf numFmtId="3" fontId="16" fillId="4" borderId="4" xfId="0" applyNumberFormat="1" applyFont="1" applyFill="1" applyBorder="1"/>
    <xf numFmtId="3" fontId="33" fillId="4" borderId="4" xfId="0" applyNumberFormat="1" applyFont="1" applyFill="1" applyBorder="1"/>
    <xf numFmtId="0" fontId="33" fillId="4" borderId="4" xfId="0" applyFont="1" applyFill="1" applyBorder="1"/>
    <xf numFmtId="0" fontId="29" fillId="3" borderId="0" xfId="0" applyFont="1" applyFill="1" applyAlignment="1">
      <alignment horizontal="center"/>
    </xf>
    <xf numFmtId="0" fontId="29" fillId="3" borderId="3" xfId="0" applyFont="1" applyFill="1" applyBorder="1" applyAlignment="1">
      <alignment horizontal="center"/>
    </xf>
    <xf numFmtId="0" fontId="29" fillId="3" borderId="4" xfId="0" applyFont="1" applyFill="1" applyBorder="1" applyAlignment="1">
      <alignment horizontal="center"/>
    </xf>
    <xf numFmtId="164" fontId="29" fillId="3" borderId="4" xfId="0" applyNumberFormat="1" applyFont="1" applyFill="1" applyBorder="1" applyAlignment="1">
      <alignment horizontal="center"/>
    </xf>
    <xf numFmtId="0" fontId="30" fillId="3" borderId="4" xfId="0" applyFont="1" applyFill="1" applyBorder="1"/>
    <xf numFmtId="49" fontId="31" fillId="3" borderId="3" xfId="0" applyNumberFormat="1" applyFont="1" applyFill="1" applyBorder="1" applyAlignment="1">
      <alignment horizontal="right"/>
    </xf>
    <xf numFmtId="3" fontId="34" fillId="3" borderId="4" xfId="0" applyNumberFormat="1" applyFont="1" applyFill="1" applyBorder="1"/>
    <xf numFmtId="0" fontId="29" fillId="3" borderId="4" xfId="0" applyFont="1" applyFill="1" applyBorder="1"/>
    <xf numFmtId="0" fontId="29" fillId="7" borderId="4" xfId="0" applyFont="1" applyFill="1" applyBorder="1" applyAlignment="1">
      <alignment horizontal="center"/>
    </xf>
    <xf numFmtId="9" fontId="35" fillId="6" borderId="0" xfId="0" applyNumberFormat="1" applyFont="1" applyFill="1"/>
    <xf numFmtId="0" fontId="29" fillId="13" borderId="4" xfId="0" applyFont="1" applyFill="1" applyBorder="1" applyAlignment="1">
      <alignment horizontal="center"/>
    </xf>
    <xf numFmtId="9" fontId="35" fillId="4" borderId="0" xfId="0" applyNumberFormat="1" applyFont="1" applyFill="1"/>
    <xf numFmtId="9" fontId="35" fillId="9" borderId="0" xfId="0" applyNumberFormat="1" applyFont="1" applyFill="1"/>
    <xf numFmtId="0" fontId="38" fillId="5" borderId="4" xfId="0" applyFont="1" applyFill="1" applyBorder="1" applyAlignment="1">
      <alignment horizontal="center"/>
    </xf>
    <xf numFmtId="0" fontId="33" fillId="4" borderId="3" xfId="0" applyFont="1" applyFill="1" applyBorder="1" applyAlignment="1">
      <alignment horizontal="center"/>
    </xf>
    <xf numFmtId="0" fontId="33" fillId="4" borderId="4" xfId="0" applyFont="1" applyFill="1" applyBorder="1" applyAlignment="1">
      <alignment horizontal="center"/>
    </xf>
    <xf numFmtId="164" fontId="33" fillId="4" borderId="4" xfId="0" applyNumberFormat="1" applyFont="1" applyFill="1" applyBorder="1" applyAlignment="1">
      <alignment horizontal="center"/>
    </xf>
    <xf numFmtId="0" fontId="39" fillId="4" borderId="4" xfId="0" applyFont="1" applyFill="1" applyBorder="1"/>
    <xf numFmtId="49" fontId="37" fillId="4" borderId="3" xfId="0" applyNumberFormat="1" applyFont="1" applyFill="1" applyBorder="1" applyAlignment="1">
      <alignment horizontal="right"/>
    </xf>
    <xf numFmtId="0" fontId="35" fillId="3" borderId="0" xfId="0" applyFont="1" applyFill="1"/>
    <xf numFmtId="0" fontId="33" fillId="4" borderId="3" xfId="0" applyFont="1" applyFill="1" applyBorder="1"/>
    <xf numFmtId="0" fontId="40" fillId="4" borderId="4" xfId="0" applyFont="1" applyFill="1" applyBorder="1"/>
    <xf numFmtId="9" fontId="41" fillId="9" borderId="0" xfId="0" applyNumberFormat="1" applyFont="1" applyFill="1"/>
    <xf numFmtId="0" fontId="29" fillId="15" borderId="4" xfId="0" applyFont="1" applyFill="1" applyBorder="1" applyAlignment="1">
      <alignment horizontal="center"/>
    </xf>
    <xf numFmtId="49" fontId="29" fillId="0" borderId="3" xfId="0" applyNumberFormat="1" applyFont="1" applyBorder="1" applyAlignment="1">
      <alignment horizontal="right"/>
    </xf>
    <xf numFmtId="49" fontId="42" fillId="16" borderId="4" xfId="0" applyNumberFormat="1" applyFont="1" applyFill="1" applyBorder="1" applyAlignment="1">
      <alignment horizontal="center"/>
    </xf>
    <xf numFmtId="49" fontId="29" fillId="3" borderId="3" xfId="0" applyNumberFormat="1" applyFont="1" applyFill="1" applyBorder="1" applyAlignment="1">
      <alignment horizontal="right"/>
    </xf>
    <xf numFmtId="49" fontId="31" fillId="0" borderId="3" xfId="0" applyNumberFormat="1" applyFont="1" applyBorder="1" applyAlignment="1">
      <alignment horizontal="right"/>
    </xf>
    <xf numFmtId="49" fontId="32" fillId="16" borderId="4" xfId="0" applyNumberFormat="1" applyFont="1" applyFill="1" applyBorder="1" applyAlignment="1">
      <alignment horizontal="center"/>
    </xf>
    <xf numFmtId="0" fontId="29" fillId="17" borderId="4" xfId="0" applyFont="1" applyFill="1" applyBorder="1" applyAlignment="1">
      <alignment horizontal="center"/>
    </xf>
    <xf numFmtId="0" fontId="2" fillId="4" borderId="1" xfId="0" applyFont="1" applyFill="1" applyBorder="1"/>
    <xf numFmtId="164" fontId="2" fillId="4" borderId="1" xfId="0" applyNumberFormat="1" applyFont="1" applyFill="1" applyBorder="1"/>
    <xf numFmtId="164" fontId="29" fillId="4" borderId="1" xfId="0" applyNumberFormat="1" applyFont="1" applyFill="1" applyBorder="1" applyAlignment="1">
      <alignment horizontal="center"/>
    </xf>
    <xf numFmtId="0" fontId="29" fillId="4" borderId="1" xfId="0" applyFont="1" applyFill="1" applyBorder="1" applyAlignment="1">
      <alignment horizontal="center"/>
    </xf>
    <xf numFmtId="0" fontId="30" fillId="4" borderId="1" xfId="0" applyFont="1" applyFill="1" applyBorder="1"/>
    <xf numFmtId="0" fontId="17" fillId="4" borderId="2" xfId="0" applyFont="1" applyFill="1" applyBorder="1" applyAlignment="1">
      <alignment horizontal="left"/>
    </xf>
    <xf numFmtId="3" fontId="2" fillId="4" borderId="2" xfId="0" applyNumberFormat="1" applyFont="1" applyFill="1" applyBorder="1"/>
    <xf numFmtId="0" fontId="43" fillId="4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9" fillId="4" borderId="0" xfId="0" applyNumberFormat="1" applyFont="1" applyFill="1" applyAlignment="1">
      <alignment horizontal="center"/>
    </xf>
    <xf numFmtId="0" fontId="34" fillId="4" borderId="1" xfId="0" applyFont="1" applyFill="1" applyBorder="1" applyAlignment="1">
      <alignment horizontal="center"/>
    </xf>
    <xf numFmtId="3" fontId="1" fillId="4" borderId="2" xfId="0" applyNumberFormat="1" applyFont="1" applyFill="1" applyBorder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34" fillId="4" borderId="0" xfId="0" applyFont="1" applyFill="1"/>
    <xf numFmtId="3" fontId="1" fillId="4" borderId="0" xfId="0" applyNumberFormat="1" applyFont="1" applyFill="1"/>
    <xf numFmtId="4" fontId="2" fillId="4" borderId="0" xfId="0" applyNumberFormat="1" applyFont="1" applyFill="1"/>
    <xf numFmtId="0" fontId="2" fillId="4" borderId="0" xfId="0" applyFont="1" applyFill="1"/>
    <xf numFmtId="0" fontId="34" fillId="4" borderId="10" xfId="0" applyFont="1" applyFill="1" applyBorder="1" applyAlignment="1">
      <alignment horizontal="center"/>
    </xf>
    <xf numFmtId="3" fontId="1" fillId="4" borderId="11" xfId="0" applyNumberFormat="1" applyFont="1" applyFill="1" applyBorder="1"/>
    <xf numFmtId="0" fontId="16" fillId="4" borderId="0" xfId="0" applyFont="1" applyFill="1"/>
    <xf numFmtId="0" fontId="2" fillId="4" borderId="0" xfId="0" applyFont="1" applyFill="1" applyAlignment="1">
      <alignment horizontal="left"/>
    </xf>
    <xf numFmtId="4" fontId="1" fillId="4" borderId="0" xfId="0" applyNumberFormat="1" applyFont="1" applyFill="1"/>
    <xf numFmtId="164" fontId="1" fillId="4" borderId="0" xfId="0" applyNumberFormat="1" applyFont="1" applyFill="1"/>
    <xf numFmtId="164" fontId="19" fillId="4" borderId="0" xfId="0" applyNumberFormat="1" applyFont="1" applyFill="1"/>
    <xf numFmtId="0" fontId="16" fillId="4" borderId="10" xfId="0" applyFont="1" applyFill="1" applyBorder="1" applyAlignment="1">
      <alignment horizontal="center"/>
    </xf>
    <xf numFmtId="3" fontId="44" fillId="4" borderId="11" xfId="0" applyNumberFormat="1" applyFont="1" applyFill="1" applyBorder="1"/>
    <xf numFmtId="0" fontId="44" fillId="4" borderId="0" xfId="0" applyFont="1" applyFill="1" applyAlignment="1">
      <alignment horizontal="left"/>
    </xf>
    <xf numFmtId="3" fontId="44" fillId="4" borderId="2" xfId="0" applyNumberFormat="1" applyFont="1" applyFill="1" applyBorder="1"/>
    <xf numFmtId="164" fontId="9" fillId="0" borderId="0" xfId="0" applyNumberFormat="1" applyFont="1"/>
    <xf numFmtId="4" fontId="9" fillId="0" borderId="0" xfId="0" applyNumberFormat="1" applyFont="1"/>
    <xf numFmtId="0" fontId="38" fillId="0" borderId="0" xfId="0" applyFont="1"/>
    <xf numFmtId="0" fontId="45" fillId="0" borderId="0" xfId="0" applyFont="1"/>
    <xf numFmtId="0" fontId="46" fillId="0" borderId="0" xfId="0" applyFont="1" applyAlignment="1">
      <alignment horizontal="center"/>
    </xf>
    <xf numFmtId="0" fontId="47" fillId="4" borderId="0" xfId="0" applyFont="1" applyFill="1"/>
    <xf numFmtId="0" fontId="46" fillId="0" borderId="0" xfId="0" applyFont="1" applyAlignment="1">
      <alignment horizontal="left"/>
    </xf>
    <xf numFmtId="165" fontId="48" fillId="0" borderId="0" xfId="0" applyNumberFormat="1" applyFont="1" applyAlignment="1">
      <alignment horizontal="center"/>
    </xf>
    <xf numFmtId="0" fontId="49" fillId="0" borderId="0" xfId="0" applyFont="1"/>
    <xf numFmtId="0" fontId="46" fillId="0" borderId="0" xfId="0" applyFont="1"/>
    <xf numFmtId="0" fontId="50" fillId="0" borderId="0" xfId="0" applyFont="1" applyAlignment="1">
      <alignment horizontal="left"/>
    </xf>
    <xf numFmtId="0" fontId="51" fillId="0" borderId="8" xfId="0" applyFont="1" applyBorder="1" applyAlignment="1">
      <alignment horizontal="center"/>
    </xf>
    <xf numFmtId="0" fontId="50" fillId="0" borderId="8" xfId="0" applyFont="1" applyBorder="1" applyAlignment="1">
      <alignment horizontal="center"/>
    </xf>
    <xf numFmtId="0" fontId="50" fillId="0" borderId="8" xfId="0" applyFont="1" applyBorder="1"/>
    <xf numFmtId="0" fontId="52" fillId="0" borderId="8" xfId="0" applyFont="1" applyBorder="1"/>
    <xf numFmtId="0" fontId="38" fillId="18" borderId="1" xfId="0" applyFont="1" applyFill="1" applyBorder="1" applyAlignment="1">
      <alignment horizontal="center"/>
    </xf>
    <xf numFmtId="0" fontId="46" fillId="18" borderId="9" xfId="0" applyFont="1" applyFill="1" applyBorder="1" applyAlignment="1">
      <alignment horizontal="center"/>
    </xf>
    <xf numFmtId="0" fontId="46" fillId="18" borderId="4" xfId="0" applyFont="1" applyFill="1" applyBorder="1" applyAlignment="1">
      <alignment horizontal="center"/>
    </xf>
    <xf numFmtId="0" fontId="38" fillId="4" borderId="3" xfId="0" applyFont="1" applyFill="1" applyBorder="1" applyAlignment="1">
      <alignment horizontal="center"/>
    </xf>
    <xf numFmtId="0" fontId="53" fillId="4" borderId="4" xfId="0" applyFont="1" applyFill="1" applyBorder="1" applyAlignment="1">
      <alignment horizontal="center"/>
    </xf>
    <xf numFmtId="164" fontId="54" fillId="4" borderId="4" xfId="0" applyNumberFormat="1" applyFont="1" applyFill="1" applyBorder="1" applyAlignment="1">
      <alignment horizontal="center"/>
    </xf>
    <xf numFmtId="0" fontId="1" fillId="4" borderId="4" xfId="0" applyFont="1" applyFill="1" applyBorder="1"/>
    <xf numFmtId="0" fontId="55" fillId="4" borderId="4" xfId="0" applyFont="1" applyFill="1" applyBorder="1"/>
    <xf numFmtId="3" fontId="55" fillId="4" borderId="4" xfId="0" applyNumberFormat="1" applyFont="1" applyFill="1" applyBorder="1"/>
    <xf numFmtId="2" fontId="55" fillId="4" borderId="4" xfId="0" applyNumberFormat="1" applyFont="1" applyFill="1" applyBorder="1" applyAlignment="1">
      <alignment horizontal="right"/>
    </xf>
    <xf numFmtId="3" fontId="1" fillId="4" borderId="4" xfId="0" applyNumberFormat="1" applyFont="1" applyFill="1" applyBorder="1"/>
    <xf numFmtId="166" fontId="38" fillId="4" borderId="4" xfId="0" applyNumberFormat="1" applyFont="1" applyFill="1" applyBorder="1" applyAlignment="1">
      <alignment horizontal="right"/>
    </xf>
    <xf numFmtId="1" fontId="47" fillId="4" borderId="4" xfId="0" applyNumberFormat="1" applyFont="1" applyFill="1" applyBorder="1" applyAlignment="1">
      <alignment horizontal="right"/>
    </xf>
    <xf numFmtId="2" fontId="29" fillId="4" borderId="3" xfId="0" applyNumberFormat="1" applyFont="1" applyFill="1" applyBorder="1" applyAlignment="1">
      <alignment horizontal="right"/>
    </xf>
    <xf numFmtId="1" fontId="55" fillId="4" borderId="4" xfId="0" applyNumberFormat="1" applyFont="1" applyFill="1" applyBorder="1" applyAlignment="1">
      <alignment horizontal="right"/>
    </xf>
    <xf numFmtId="1" fontId="29" fillId="4" borderId="3" xfId="0" applyNumberFormat="1" applyFont="1" applyFill="1" applyBorder="1" applyAlignment="1">
      <alignment horizontal="right"/>
    </xf>
    <xf numFmtId="1" fontId="38" fillId="4" borderId="4" xfId="0" applyNumberFormat="1" applyFont="1" applyFill="1" applyBorder="1" applyAlignment="1">
      <alignment horizontal="right"/>
    </xf>
    <xf numFmtId="166" fontId="38" fillId="4" borderId="3" xfId="0" applyNumberFormat="1" applyFont="1" applyFill="1" applyBorder="1" applyAlignment="1">
      <alignment horizontal="right"/>
    </xf>
    <xf numFmtId="2" fontId="56" fillId="4" borderId="4" xfId="0" applyNumberFormat="1" applyFont="1" applyFill="1" applyBorder="1" applyAlignment="1">
      <alignment horizontal="right"/>
    </xf>
    <xf numFmtId="2" fontId="38" fillId="4" borderId="3" xfId="0" applyNumberFormat="1" applyFont="1" applyFill="1" applyBorder="1" applyAlignment="1">
      <alignment horizontal="right"/>
    </xf>
    <xf numFmtId="1" fontId="38" fillId="4" borderId="3" xfId="0" applyNumberFormat="1" applyFont="1" applyFill="1" applyBorder="1" applyAlignment="1">
      <alignment horizontal="right"/>
    </xf>
    <xf numFmtId="3" fontId="46" fillId="4" borderId="4" xfId="0" applyNumberFormat="1" applyFont="1" applyFill="1" applyBorder="1"/>
    <xf numFmtId="0" fontId="46" fillId="4" borderId="4" xfId="0" applyFont="1" applyFill="1" applyBorder="1"/>
    <xf numFmtId="0" fontId="38" fillId="3" borderId="3" xfId="0" applyFont="1" applyFill="1" applyBorder="1" applyAlignment="1">
      <alignment horizontal="center"/>
    </xf>
    <xf numFmtId="0" fontId="53" fillId="3" borderId="4" xfId="0" applyFont="1" applyFill="1" applyBorder="1" applyAlignment="1">
      <alignment horizontal="center"/>
    </xf>
    <xf numFmtId="164" fontId="54" fillId="3" borderId="4" xfId="0" applyNumberFormat="1" applyFont="1" applyFill="1" applyBorder="1" applyAlignment="1">
      <alignment horizontal="center"/>
    </xf>
    <xf numFmtId="0" fontId="1" fillId="3" borderId="4" xfId="0" applyFont="1" applyFill="1" applyBorder="1"/>
    <xf numFmtId="0" fontId="55" fillId="3" borderId="4" xfId="0" applyFont="1" applyFill="1" applyBorder="1"/>
    <xf numFmtId="3" fontId="55" fillId="3" borderId="4" xfId="0" applyNumberFormat="1" applyFont="1" applyFill="1" applyBorder="1"/>
    <xf numFmtId="2" fontId="38" fillId="3" borderId="3" xfId="0" applyNumberFormat="1" applyFont="1" applyFill="1" applyBorder="1" applyAlignment="1">
      <alignment horizontal="right"/>
    </xf>
    <xf numFmtId="3" fontId="1" fillId="3" borderId="4" xfId="0" applyNumberFormat="1" applyFont="1" applyFill="1" applyBorder="1"/>
    <xf numFmtId="1" fontId="38" fillId="3" borderId="3" xfId="0" applyNumberFormat="1" applyFont="1" applyFill="1" applyBorder="1" applyAlignment="1">
      <alignment horizontal="right"/>
    </xf>
    <xf numFmtId="167" fontId="38" fillId="4" borderId="3" xfId="0" applyNumberFormat="1" applyFont="1" applyFill="1" applyBorder="1" applyAlignment="1">
      <alignment horizontal="center"/>
    </xf>
    <xf numFmtId="3" fontId="2" fillId="3" borderId="4" xfId="0" applyNumberFormat="1" applyFont="1" applyFill="1" applyBorder="1"/>
    <xf numFmtId="0" fontId="46" fillId="4" borderId="0" xfId="0" applyFont="1" applyFill="1"/>
    <xf numFmtId="0" fontId="46" fillId="4" borderId="2" xfId="0" applyFont="1" applyFill="1" applyBorder="1"/>
    <xf numFmtId="0" fontId="46" fillId="4" borderId="2" xfId="0" applyFont="1" applyFill="1" applyBorder="1" applyAlignment="1">
      <alignment horizontal="right"/>
    </xf>
    <xf numFmtId="3" fontId="46" fillId="4" borderId="2" xfId="0" applyNumberFormat="1" applyFont="1" applyFill="1" applyBorder="1"/>
    <xf numFmtId="3" fontId="46" fillId="4" borderId="2" xfId="0" applyNumberFormat="1" applyFont="1" applyFill="1" applyBorder="1" applyAlignment="1">
      <alignment horizontal="right"/>
    </xf>
    <xf numFmtId="1" fontId="46" fillId="4" borderId="2" xfId="0" applyNumberFormat="1" applyFont="1" applyFill="1" applyBorder="1" applyAlignment="1">
      <alignment horizontal="right"/>
    </xf>
    <xf numFmtId="0" fontId="55" fillId="0" borderId="0" xfId="0" applyFont="1"/>
    <xf numFmtId="0" fontId="1" fillId="0" borderId="0" xfId="0" applyFont="1"/>
    <xf numFmtId="0" fontId="55" fillId="0" borderId="1" xfId="0" applyFont="1" applyBorder="1" applyAlignment="1">
      <alignment horizontal="center"/>
    </xf>
    <xf numFmtId="3" fontId="46" fillId="0" borderId="2" xfId="0" applyNumberFormat="1" applyFont="1" applyBorder="1" applyAlignment="1">
      <alignment horizontal="right"/>
    </xf>
    <xf numFmtId="164" fontId="55" fillId="0" borderId="0" xfId="0" applyNumberFormat="1" applyFont="1"/>
    <xf numFmtId="3" fontId="46" fillId="0" borderId="11" xfId="0" applyNumberFormat="1" applyFont="1" applyBorder="1" applyAlignment="1">
      <alignment horizontal="right"/>
    </xf>
    <xf numFmtId="0" fontId="55" fillId="4" borderId="0" xfId="0" applyFont="1" applyFill="1"/>
    <xf numFmtId="0" fontId="55" fillId="0" borderId="13" xfId="0" applyFont="1" applyBorder="1" applyAlignment="1">
      <alignment horizontal="center"/>
    </xf>
    <xf numFmtId="3" fontId="46" fillId="0" borderId="14" xfId="0" applyNumberFormat="1" applyFont="1" applyBorder="1" applyAlignment="1">
      <alignment horizontal="right"/>
    </xf>
    <xf numFmtId="0" fontId="55" fillId="0" borderId="10" xfId="0" applyFont="1" applyBorder="1" applyAlignment="1">
      <alignment horizontal="center"/>
    </xf>
    <xf numFmtId="0" fontId="47" fillId="0" borderId="0" xfId="0" applyFont="1"/>
    <xf numFmtId="0" fontId="57" fillId="0" borderId="0" xfId="0" applyFont="1"/>
    <xf numFmtId="0" fontId="55" fillId="0" borderId="15" xfId="0" applyFont="1" applyBorder="1" applyAlignment="1">
      <alignment horizontal="center"/>
    </xf>
    <xf numFmtId="3" fontId="46" fillId="0" borderId="4" xfId="0" applyNumberFormat="1" applyFont="1" applyBorder="1" applyAlignment="1">
      <alignment horizontal="right"/>
    </xf>
    <xf numFmtId="0" fontId="47" fillId="4" borderId="0" xfId="0" applyFont="1" applyFill="1" applyAlignment="1">
      <alignment horizontal="right"/>
    </xf>
    <xf numFmtId="0" fontId="2" fillId="5" borderId="0" xfId="0" applyFont="1" applyFill="1" applyAlignment="1">
      <alignment horizontal="left"/>
    </xf>
    <xf numFmtId="0" fontId="47" fillId="5" borderId="0" xfId="0" applyFont="1" applyFill="1"/>
    <xf numFmtId="0" fontId="46" fillId="18" borderId="11" xfId="0" applyFont="1" applyFill="1" applyBorder="1" applyAlignment="1">
      <alignment horizontal="center"/>
    </xf>
    <xf numFmtId="0" fontId="38" fillId="5" borderId="3" xfId="0" applyFont="1" applyFill="1" applyBorder="1" applyAlignment="1">
      <alignment horizontal="center"/>
    </xf>
    <xf numFmtId="0" fontId="53" fillId="5" borderId="4" xfId="0" applyFont="1" applyFill="1" applyBorder="1" applyAlignment="1">
      <alignment horizontal="center"/>
    </xf>
    <xf numFmtId="0" fontId="58" fillId="5" borderId="3" xfId="0" applyFont="1" applyFill="1" applyBorder="1" applyAlignment="1">
      <alignment horizontal="center"/>
    </xf>
    <xf numFmtId="164" fontId="54" fillId="5" borderId="4" xfId="0" applyNumberFormat="1" applyFont="1" applyFill="1" applyBorder="1" applyAlignment="1">
      <alignment horizontal="center"/>
    </xf>
    <xf numFmtId="0" fontId="1" fillId="5" borderId="4" xfId="0" applyFont="1" applyFill="1" applyBorder="1"/>
    <xf numFmtId="0" fontId="55" fillId="5" borderId="4" xfId="0" applyFont="1" applyFill="1" applyBorder="1"/>
    <xf numFmtId="3" fontId="55" fillId="5" borderId="4" xfId="0" applyNumberFormat="1" applyFont="1" applyFill="1" applyBorder="1"/>
    <xf numFmtId="0" fontId="55" fillId="4" borderId="4" xfId="0" applyFont="1" applyFill="1" applyBorder="1" applyAlignment="1">
      <alignment horizontal="right"/>
    </xf>
    <xf numFmtId="0" fontId="59" fillId="5" borderId="10" xfId="0" applyFont="1" applyFill="1" applyBorder="1" applyAlignment="1">
      <alignment horizontal="center"/>
    </xf>
    <xf numFmtId="0" fontId="60" fillId="5" borderId="10" xfId="0" applyFont="1" applyFill="1" applyBorder="1" applyAlignment="1">
      <alignment horizontal="center"/>
    </xf>
    <xf numFmtId="164" fontId="54" fillId="5" borderId="10" xfId="0" applyNumberFormat="1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1" fillId="5" borderId="10" xfId="0" applyFont="1" applyFill="1" applyBorder="1"/>
    <xf numFmtId="0" fontId="55" fillId="5" borderId="10" xfId="0" applyFont="1" applyFill="1" applyBorder="1"/>
    <xf numFmtId="3" fontId="55" fillId="5" borderId="10" xfId="0" applyNumberFormat="1" applyFont="1" applyFill="1" applyBorder="1"/>
    <xf numFmtId="3" fontId="55" fillId="4" borderId="10" xfId="0" applyNumberFormat="1" applyFont="1" applyFill="1" applyBorder="1"/>
    <xf numFmtId="0" fontId="55" fillId="4" borderId="10" xfId="0" applyFont="1" applyFill="1" applyBorder="1"/>
    <xf numFmtId="0" fontId="55" fillId="4" borderId="10" xfId="0" applyFont="1" applyFill="1" applyBorder="1" applyAlignment="1">
      <alignment horizontal="right"/>
    </xf>
    <xf numFmtId="3" fontId="1" fillId="4" borderId="10" xfId="0" applyNumberFormat="1" applyFont="1" applyFill="1" applyBorder="1"/>
    <xf numFmtId="0" fontId="59" fillId="3" borderId="1" xfId="0" applyFont="1" applyFill="1" applyBorder="1" applyAlignment="1">
      <alignment horizontal="center"/>
    </xf>
    <xf numFmtId="164" fontId="54" fillId="3" borderId="1" xfId="0" applyNumberFormat="1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55" fillId="4" borderId="1" xfId="0" applyFont="1" applyFill="1" applyBorder="1"/>
    <xf numFmtId="3" fontId="55" fillId="4" borderId="1" xfId="0" applyNumberFormat="1" applyFont="1" applyFill="1" applyBorder="1"/>
    <xf numFmtId="0" fontId="55" fillId="4" borderId="1" xfId="0" applyFont="1" applyFill="1" applyBorder="1" applyAlignment="1">
      <alignment horizontal="right"/>
    </xf>
    <xf numFmtId="3" fontId="1" fillId="4" borderId="1" xfId="0" applyNumberFormat="1" applyFont="1" applyFill="1" applyBorder="1"/>
    <xf numFmtId="0" fontId="60" fillId="4" borderId="2" xfId="0" applyFont="1" applyFill="1" applyBorder="1" applyAlignment="1">
      <alignment horizontal="center"/>
    </xf>
    <xf numFmtId="0" fontId="59" fillId="4" borderId="1" xfId="0" applyFont="1" applyFill="1" applyBorder="1" applyAlignment="1">
      <alignment horizontal="center"/>
    </xf>
    <xf numFmtId="164" fontId="54" fillId="4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53" fillId="4" borderId="2" xfId="0" applyFont="1" applyFill="1" applyBorder="1" applyAlignment="1">
      <alignment horizontal="center"/>
    </xf>
    <xf numFmtId="0" fontId="53" fillId="4" borderId="1" xfId="0" applyFont="1" applyFill="1" applyBorder="1" applyAlignment="1">
      <alignment horizontal="center"/>
    </xf>
    <xf numFmtId="3" fontId="38" fillId="4" borderId="1" xfId="0" applyNumberFormat="1" applyFont="1" applyFill="1" applyBorder="1" applyAlignment="1">
      <alignment horizontal="right"/>
    </xf>
    <xf numFmtId="0" fontId="38" fillId="4" borderId="1" xfId="0" applyFont="1" applyFill="1" applyBorder="1"/>
    <xf numFmtId="168" fontId="47" fillId="4" borderId="1" xfId="0" applyNumberFormat="1" applyFont="1" applyFill="1" applyBorder="1" applyAlignment="1">
      <alignment horizontal="right"/>
    </xf>
    <xf numFmtId="168" fontId="47" fillId="4" borderId="1" xfId="0" applyNumberFormat="1" applyFont="1" applyFill="1" applyBorder="1"/>
    <xf numFmtId="0" fontId="53" fillId="3" borderId="2" xfId="0" applyFont="1" applyFill="1" applyBorder="1" applyAlignment="1">
      <alignment horizontal="center"/>
    </xf>
    <xf numFmtId="0" fontId="53" fillId="3" borderId="1" xfId="0" applyFont="1" applyFill="1" applyBorder="1" applyAlignment="1">
      <alignment horizontal="center"/>
    </xf>
    <xf numFmtId="169" fontId="38" fillId="4" borderId="1" xfId="0" applyNumberFormat="1" applyFont="1" applyFill="1" applyBorder="1" applyAlignment="1">
      <alignment horizontal="right"/>
    </xf>
    <xf numFmtId="0" fontId="60" fillId="4" borderId="1" xfId="0" applyFont="1" applyFill="1" applyBorder="1" applyAlignment="1">
      <alignment horizontal="center"/>
    </xf>
    <xf numFmtId="0" fontId="60" fillId="3" borderId="2" xfId="0" applyFont="1" applyFill="1" applyBorder="1" applyAlignment="1">
      <alignment horizontal="center"/>
    </xf>
    <xf numFmtId="169" fontId="61" fillId="4" borderId="1" xfId="0" applyNumberFormat="1" applyFont="1" applyFill="1" applyBorder="1" applyAlignment="1">
      <alignment horizontal="right"/>
    </xf>
    <xf numFmtId="0" fontId="61" fillId="4" borderId="1" xfId="0" applyFont="1" applyFill="1" applyBorder="1"/>
    <xf numFmtId="0" fontId="38" fillId="7" borderId="3" xfId="0" applyFont="1" applyFill="1" applyBorder="1" applyAlignment="1">
      <alignment horizontal="center"/>
    </xf>
    <xf numFmtId="0" fontId="60" fillId="7" borderId="2" xfId="0" applyFont="1" applyFill="1" applyBorder="1" applyAlignment="1">
      <alignment horizontal="center"/>
    </xf>
    <xf numFmtId="0" fontId="59" fillId="7" borderId="1" xfId="0" applyFont="1" applyFill="1" applyBorder="1" applyAlignment="1">
      <alignment horizontal="center"/>
    </xf>
    <xf numFmtId="164" fontId="54" fillId="7" borderId="1" xfId="0" applyNumberFormat="1" applyFont="1" applyFill="1" applyBorder="1" applyAlignment="1">
      <alignment horizontal="center"/>
    </xf>
    <xf numFmtId="0" fontId="29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53" fillId="5" borderId="2" xfId="0" applyFont="1" applyFill="1" applyBorder="1" applyAlignment="1">
      <alignment horizontal="center"/>
    </xf>
    <xf numFmtId="0" fontId="53" fillId="5" borderId="1" xfId="0" applyFont="1" applyFill="1" applyBorder="1" applyAlignment="1">
      <alignment horizontal="center"/>
    </xf>
    <xf numFmtId="164" fontId="54" fillId="5" borderId="1" xfId="0" applyNumberFormat="1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55" fillId="5" borderId="1" xfId="0" applyFont="1" applyFill="1" applyBorder="1"/>
    <xf numFmtId="3" fontId="38" fillId="5" borderId="1" xfId="0" applyNumberFormat="1" applyFont="1" applyFill="1" applyBorder="1" applyAlignment="1">
      <alignment horizontal="right"/>
    </xf>
    <xf numFmtId="0" fontId="38" fillId="5" borderId="1" xfId="0" applyFont="1" applyFill="1" applyBorder="1"/>
    <xf numFmtId="0" fontId="60" fillId="3" borderId="1" xfId="0" applyFont="1" applyFill="1" applyBorder="1" applyAlignment="1">
      <alignment horizontal="center"/>
    </xf>
    <xf numFmtId="0" fontId="59" fillId="5" borderId="1" xfId="0" applyFont="1" applyFill="1" applyBorder="1" applyAlignment="1">
      <alignment horizontal="center"/>
    </xf>
    <xf numFmtId="169" fontId="38" fillId="4" borderId="1" xfId="0" applyNumberFormat="1" applyFont="1" applyFill="1" applyBorder="1"/>
    <xf numFmtId="0" fontId="53" fillId="4" borderId="16" xfId="0" applyFont="1" applyFill="1" applyBorder="1" applyAlignment="1">
      <alignment horizontal="center"/>
    </xf>
    <xf numFmtId="0" fontId="53" fillId="4" borderId="15" xfId="0" applyFont="1" applyFill="1" applyBorder="1" applyAlignment="1">
      <alignment horizontal="center"/>
    </xf>
    <xf numFmtId="164" fontId="54" fillId="4" borderId="15" xfId="0" applyNumberFormat="1" applyFont="1" applyFill="1" applyBorder="1" applyAlignment="1">
      <alignment horizontal="center"/>
    </xf>
    <xf numFmtId="0" fontId="29" fillId="4" borderId="15" xfId="0" applyFont="1" applyFill="1" applyBorder="1" applyAlignment="1">
      <alignment horizontal="center"/>
    </xf>
    <xf numFmtId="0" fontId="1" fillId="4" borderId="15" xfId="0" applyFont="1" applyFill="1" applyBorder="1"/>
    <xf numFmtId="0" fontId="55" fillId="4" borderId="15" xfId="0" applyFont="1" applyFill="1" applyBorder="1"/>
    <xf numFmtId="3" fontId="38" fillId="4" borderId="15" xfId="0" applyNumberFormat="1" applyFont="1" applyFill="1" applyBorder="1" applyAlignment="1">
      <alignment horizontal="right"/>
    </xf>
    <xf numFmtId="0" fontId="38" fillId="4" borderId="15" xfId="0" applyFont="1" applyFill="1" applyBorder="1"/>
    <xf numFmtId="3" fontId="55" fillId="4" borderId="15" xfId="0" applyNumberFormat="1" applyFont="1" applyFill="1" applyBorder="1"/>
    <xf numFmtId="0" fontId="55" fillId="4" borderId="15" xfId="0" applyFont="1" applyFill="1" applyBorder="1" applyAlignment="1">
      <alignment horizontal="right"/>
    </xf>
    <xf numFmtId="3" fontId="1" fillId="4" borderId="15" xfId="0" applyNumberFormat="1" applyFont="1" applyFill="1" applyBorder="1"/>
    <xf numFmtId="11" fontId="29" fillId="3" borderId="4" xfId="0" applyNumberFormat="1" applyFont="1" applyFill="1" applyBorder="1" applyAlignment="1">
      <alignment horizontal="center"/>
    </xf>
    <xf numFmtId="3" fontId="38" fillId="4" borderId="3" xfId="0" applyNumberFormat="1" applyFont="1" applyFill="1" applyBorder="1" applyAlignment="1">
      <alignment horizontal="right"/>
    </xf>
    <xf numFmtId="0" fontId="38" fillId="4" borderId="4" xfId="0" applyFont="1" applyFill="1" applyBorder="1"/>
    <xf numFmtId="169" fontId="38" fillId="4" borderId="3" xfId="0" applyNumberFormat="1" applyFont="1" applyFill="1" applyBorder="1" applyAlignment="1">
      <alignment horizontal="right"/>
    </xf>
    <xf numFmtId="3" fontId="38" fillId="5" borderId="3" xfId="0" applyNumberFormat="1" applyFont="1" applyFill="1" applyBorder="1" applyAlignment="1">
      <alignment horizontal="right"/>
    </xf>
    <xf numFmtId="0" fontId="46" fillId="0" borderId="2" xfId="0" applyFont="1" applyBorder="1"/>
    <xf numFmtId="0" fontId="46" fillId="0" borderId="2" xfId="0" applyFont="1" applyBorder="1" applyAlignment="1">
      <alignment horizontal="right"/>
    </xf>
    <xf numFmtId="3" fontId="46" fillId="0" borderId="2" xfId="0" applyNumberFormat="1" applyFont="1" applyBorder="1"/>
    <xf numFmtId="3" fontId="46" fillId="0" borderId="1" xfId="0" applyNumberFormat="1" applyFont="1" applyBorder="1" applyAlignment="1">
      <alignment horizontal="right"/>
    </xf>
    <xf numFmtId="0" fontId="47" fillId="3" borderId="0" xfId="0" applyFont="1" applyFill="1" applyAlignment="1">
      <alignment horizontal="right"/>
    </xf>
    <xf numFmtId="0" fontId="50" fillId="0" borderId="8" xfId="0" applyFont="1" applyBorder="1" applyAlignment="1">
      <alignment horizontal="left"/>
    </xf>
    <xf numFmtId="0" fontId="38" fillId="0" borderId="3" xfId="0" applyFont="1" applyBorder="1" applyAlignment="1">
      <alignment horizontal="center"/>
    </xf>
    <xf numFmtId="170" fontId="38" fillId="0" borderId="10" xfId="0" applyNumberFormat="1" applyFont="1" applyBorder="1" applyAlignment="1">
      <alignment horizontal="right"/>
    </xf>
    <xf numFmtId="3" fontId="38" fillId="4" borderId="11" xfId="0" applyNumberFormat="1" applyFont="1" applyFill="1" applyBorder="1"/>
    <xf numFmtId="0" fontId="38" fillId="4" borderId="11" xfId="0" applyFont="1" applyFill="1" applyBorder="1"/>
    <xf numFmtId="0" fontId="38" fillId="0" borderId="10" xfId="0" applyFont="1" applyBorder="1"/>
    <xf numFmtId="3" fontId="38" fillId="0" borderId="11" xfId="0" applyNumberFormat="1" applyFont="1" applyBorder="1"/>
    <xf numFmtId="0" fontId="38" fillId="0" borderId="11" xfId="0" applyFont="1" applyBorder="1"/>
    <xf numFmtId="3" fontId="38" fillId="0" borderId="15" xfId="0" applyNumberFormat="1" applyFont="1" applyBorder="1"/>
    <xf numFmtId="0" fontId="38" fillId="0" borderId="3" xfId="0" applyFont="1" applyBorder="1"/>
    <xf numFmtId="0" fontId="38" fillId="0" borderId="15" xfId="0" applyFont="1" applyBorder="1"/>
    <xf numFmtId="3" fontId="38" fillId="0" borderId="16" xfId="0" applyNumberFormat="1" applyFont="1" applyBorder="1"/>
    <xf numFmtId="0" fontId="61" fillId="0" borderId="1" xfId="0" applyFont="1" applyBorder="1"/>
    <xf numFmtId="3" fontId="61" fillId="0" borderId="2" xfId="0" applyNumberFormat="1" applyFont="1" applyBorder="1"/>
    <xf numFmtId="0" fontId="61" fillId="0" borderId="2" xfId="0" applyFont="1" applyBorder="1"/>
    <xf numFmtId="0" fontId="40" fillId="2" borderId="0" xfId="0" applyFont="1" applyFill="1"/>
    <xf numFmtId="0" fontId="63" fillId="2" borderId="0" xfId="0" applyFont="1" applyFill="1"/>
    <xf numFmtId="0" fontId="38" fillId="2" borderId="0" xfId="0" applyFont="1" applyFill="1"/>
    <xf numFmtId="0" fontId="35" fillId="2" borderId="0" xfId="0" applyFont="1" applyFill="1"/>
    <xf numFmtId="3" fontId="1" fillId="0" borderId="0" xfId="0" applyNumberFormat="1" applyFont="1" applyAlignment="1">
      <alignment horizontal="right"/>
    </xf>
    <xf numFmtId="171" fontId="55" fillId="0" borderId="0" xfId="0" applyNumberFormat="1" applyFont="1" applyAlignment="1">
      <alignment horizontal="right"/>
    </xf>
    <xf numFmtId="3" fontId="55" fillId="0" borderId="0" xfId="0" applyNumberFormat="1" applyFont="1" applyAlignment="1">
      <alignment horizontal="right"/>
    </xf>
    <xf numFmtId="0" fontId="55" fillId="4" borderId="10" xfId="0" applyFont="1" applyFill="1" applyBorder="1" applyAlignment="1">
      <alignment horizontal="center"/>
    </xf>
    <xf numFmtId="3" fontId="46" fillId="4" borderId="11" xfId="0" applyNumberFormat="1" applyFont="1" applyFill="1" applyBorder="1"/>
    <xf numFmtId="3" fontId="46" fillId="4" borderId="11" xfId="0" applyNumberFormat="1" applyFont="1" applyFill="1" applyBorder="1" applyAlignment="1">
      <alignment horizontal="right"/>
    </xf>
    <xf numFmtId="3" fontId="47" fillId="0" borderId="0" xfId="0" applyNumberFormat="1" applyFont="1" applyAlignment="1">
      <alignment horizontal="right"/>
    </xf>
    <xf numFmtId="3" fontId="38" fillId="0" borderId="0" xfId="0" applyNumberFormat="1" applyFont="1" applyAlignment="1">
      <alignment horizontal="right"/>
    </xf>
    <xf numFmtId="3" fontId="38" fillId="0" borderId="0" xfId="0" applyNumberFormat="1" applyFont="1"/>
    <xf numFmtId="3" fontId="47" fillId="0" borderId="0" xfId="0" applyNumberFormat="1" applyFont="1"/>
    <xf numFmtId="3" fontId="47" fillId="3" borderId="0" xfId="0" applyNumberFormat="1" applyFont="1" applyFill="1" applyAlignment="1">
      <alignment horizontal="right"/>
    </xf>
    <xf numFmtId="171" fontId="38" fillId="0" borderId="0" xfId="0" applyNumberFormat="1" applyFont="1" applyAlignment="1">
      <alignment horizontal="right"/>
    </xf>
    <xf numFmtId="3" fontId="38" fillId="3" borderId="0" xfId="0" applyNumberFormat="1" applyFont="1" applyFill="1" applyAlignment="1">
      <alignment horizontal="right"/>
    </xf>
    <xf numFmtId="164" fontId="38" fillId="0" borderId="10" xfId="0" applyNumberFormat="1" applyFont="1" applyBorder="1"/>
    <xf numFmtId="164" fontId="38" fillId="0" borderId="10" xfId="0" applyNumberFormat="1" applyFont="1" applyBorder="1" applyAlignment="1">
      <alignment horizontal="right"/>
    </xf>
    <xf numFmtId="164" fontId="38" fillId="0" borderId="15" xfId="0" applyNumberFormat="1" applyFont="1" applyBorder="1"/>
    <xf numFmtId="164" fontId="38" fillId="0" borderId="3" xfId="0" applyNumberFormat="1" applyFont="1" applyBorder="1"/>
    <xf numFmtId="0" fontId="64" fillId="14" borderId="4" xfId="0" applyFont="1" applyFill="1" applyBorder="1" applyAlignment="1">
      <alignment horizontal="center"/>
    </xf>
    <xf numFmtId="0" fontId="64" fillId="4" borderId="4" xfId="0" applyFont="1" applyFill="1" applyBorder="1" applyAlignment="1">
      <alignment horizontal="center"/>
    </xf>
    <xf numFmtId="170" fontId="54" fillId="4" borderId="4" xfId="0" applyNumberFormat="1" applyFont="1" applyFill="1" applyBorder="1" applyAlignment="1">
      <alignment horizontal="center"/>
    </xf>
    <xf numFmtId="0" fontId="54" fillId="4" borderId="4" xfId="0" applyFont="1" applyFill="1" applyBorder="1" applyAlignment="1">
      <alignment horizontal="center"/>
    </xf>
    <xf numFmtId="3" fontId="2" fillId="0" borderId="0" xfId="0" applyNumberFormat="1" applyFont="1"/>
    <xf numFmtId="3" fontId="40" fillId="2" borderId="0" xfId="0" applyNumberFormat="1" applyFont="1" applyFill="1"/>
    <xf numFmtId="171" fontId="55" fillId="0" borderId="0" xfId="0" applyNumberFormat="1" applyFont="1"/>
    <xf numFmtId="3" fontId="55" fillId="0" borderId="0" xfId="0" applyNumberFormat="1" applyFont="1"/>
    <xf numFmtId="0" fontId="46" fillId="0" borderId="11" xfId="0" applyFont="1" applyBorder="1" applyAlignment="1">
      <alignment horizontal="right"/>
    </xf>
    <xf numFmtId="168" fontId="47" fillId="0" borderId="0" xfId="0" applyNumberFormat="1" applyFont="1"/>
    <xf numFmtId="0" fontId="46" fillId="0" borderId="1" xfId="0" applyFont="1" applyBorder="1"/>
    <xf numFmtId="0" fontId="66" fillId="0" borderId="0" xfId="0" applyFont="1"/>
    <xf numFmtId="14" fontId="67" fillId="0" borderId="21" xfId="0" applyNumberFormat="1" applyFont="1" applyBorder="1" applyAlignment="1">
      <alignment horizontal="center"/>
    </xf>
    <xf numFmtId="168" fontId="67" fillId="0" borderId="22" xfId="0" applyNumberFormat="1" applyFont="1" applyBorder="1" applyAlignment="1">
      <alignment horizontal="center"/>
    </xf>
    <xf numFmtId="0" fontId="67" fillId="0" borderId="22" xfId="0" applyFont="1" applyBorder="1" applyAlignment="1">
      <alignment horizontal="center"/>
    </xf>
    <xf numFmtId="168" fontId="67" fillId="0" borderId="23" xfId="0" applyNumberFormat="1" applyFont="1" applyBorder="1" applyAlignment="1">
      <alignment horizontal="center"/>
    </xf>
    <xf numFmtId="168" fontId="67" fillId="0" borderId="24" xfId="0" applyNumberFormat="1" applyFont="1" applyBorder="1" applyAlignment="1">
      <alignment horizontal="center"/>
    </xf>
    <xf numFmtId="168" fontId="68" fillId="13" borderId="25" xfId="0" applyNumberFormat="1" applyFont="1" applyFill="1" applyBorder="1" applyAlignment="1">
      <alignment horizontal="center"/>
    </xf>
    <xf numFmtId="14" fontId="47" fillId="0" borderId="26" xfId="0" applyNumberFormat="1" applyFont="1" applyBorder="1" applyAlignment="1">
      <alignment horizontal="right" wrapText="1"/>
    </xf>
    <xf numFmtId="168" fontId="66" fillId="0" borderId="27" xfId="0" applyNumberFormat="1" applyFont="1" applyBorder="1"/>
    <xf numFmtId="0" fontId="47" fillId="4" borderId="27" xfId="0" applyFont="1" applyFill="1" applyBorder="1" applyAlignment="1">
      <alignment wrapText="1"/>
    </xf>
    <xf numFmtId="3" fontId="47" fillId="4" borderId="28" xfId="0" applyNumberFormat="1" applyFont="1" applyFill="1" applyBorder="1" applyAlignment="1">
      <alignment horizontal="right" wrapText="1"/>
    </xf>
    <xf numFmtId="3" fontId="66" fillId="0" borderId="29" xfId="0" applyNumberFormat="1" applyFont="1" applyBorder="1"/>
    <xf numFmtId="3" fontId="67" fillId="0" borderId="30" xfId="0" applyNumberFormat="1" applyFont="1" applyBorder="1" applyAlignment="1">
      <alignment horizontal="center"/>
    </xf>
    <xf numFmtId="3" fontId="67" fillId="0" borderId="0" xfId="0" applyNumberFormat="1" applyFont="1" applyAlignment="1">
      <alignment horizontal="center"/>
    </xf>
    <xf numFmtId="14" fontId="47" fillId="0" borderId="31" xfId="0" applyNumberFormat="1" applyFont="1" applyBorder="1" applyAlignment="1">
      <alignment horizontal="right" wrapText="1"/>
    </xf>
    <xf numFmtId="168" fontId="66" fillId="0" borderId="13" xfId="0" applyNumberFormat="1" applyFont="1" applyBorder="1"/>
    <xf numFmtId="168" fontId="47" fillId="4" borderId="13" xfId="0" applyNumberFormat="1" applyFont="1" applyFill="1" applyBorder="1" applyAlignment="1">
      <alignment wrapText="1"/>
    </xf>
    <xf numFmtId="3" fontId="66" fillId="4" borderId="32" xfId="0" applyNumberFormat="1" applyFont="1" applyFill="1" applyBorder="1"/>
    <xf numFmtId="3" fontId="67" fillId="0" borderId="33" xfId="0" applyNumberFormat="1" applyFont="1" applyBorder="1" applyAlignment="1">
      <alignment horizontal="center"/>
    </xf>
    <xf numFmtId="3" fontId="67" fillId="0" borderId="32" xfId="0" applyNumberFormat="1" applyFont="1" applyBorder="1" applyAlignment="1">
      <alignment horizontal="center"/>
    </xf>
    <xf numFmtId="3" fontId="67" fillId="0" borderId="25" xfId="0" applyNumberFormat="1" applyFont="1" applyBorder="1" applyAlignment="1">
      <alignment horizontal="center"/>
    </xf>
    <xf numFmtId="3" fontId="55" fillId="4" borderId="4" xfId="0" applyNumberFormat="1" applyFont="1" applyFill="1" applyBorder="1" applyAlignment="1">
      <alignment horizontal="right"/>
    </xf>
    <xf numFmtId="164" fontId="66" fillId="4" borderId="4" xfId="0" applyNumberFormat="1" applyFont="1" applyFill="1" applyBorder="1"/>
    <xf numFmtId="168" fontId="66" fillId="4" borderId="3" xfId="0" applyNumberFormat="1" applyFont="1" applyFill="1" applyBorder="1"/>
    <xf numFmtId="168" fontId="47" fillId="4" borderId="34" xfId="0" applyNumberFormat="1" applyFont="1" applyFill="1" applyBorder="1"/>
    <xf numFmtId="3" fontId="47" fillId="4" borderId="34" xfId="0" applyNumberFormat="1" applyFont="1" applyFill="1" applyBorder="1" applyAlignment="1">
      <alignment horizontal="right"/>
    </xf>
    <xf numFmtId="3" fontId="66" fillId="4" borderId="12" xfId="0" applyNumberFormat="1" applyFont="1" applyFill="1" applyBorder="1"/>
    <xf numFmtId="3" fontId="67" fillId="0" borderId="29" xfId="0" applyNumberFormat="1" applyFont="1" applyBorder="1" applyAlignment="1">
      <alignment horizontal="center"/>
    </xf>
    <xf numFmtId="3" fontId="66" fillId="0" borderId="0" xfId="0" applyNumberFormat="1" applyFont="1"/>
    <xf numFmtId="0" fontId="66" fillId="0" borderId="1" xfId="0" applyFont="1" applyBorder="1"/>
    <xf numFmtId="168" fontId="68" fillId="4" borderId="3" xfId="0" applyNumberFormat="1" applyFont="1" applyFill="1" applyBorder="1" applyAlignment="1">
      <alignment horizontal="center"/>
    </xf>
    <xf numFmtId="0" fontId="69" fillId="0" borderId="1" xfId="0" applyFont="1" applyBorder="1"/>
    <xf numFmtId="0" fontId="67" fillId="4" borderId="3" xfId="0" applyFont="1" applyFill="1" applyBorder="1" applyAlignment="1">
      <alignment horizontal="center"/>
    </xf>
    <xf numFmtId="3" fontId="67" fillId="4" borderId="12" xfId="0" applyNumberFormat="1" applyFont="1" applyFill="1" applyBorder="1" applyAlignment="1">
      <alignment horizontal="center"/>
    </xf>
    <xf numFmtId="164" fontId="66" fillId="4" borderId="14" xfId="0" applyNumberFormat="1" applyFont="1" applyFill="1" applyBorder="1"/>
    <xf numFmtId="168" fontId="66" fillId="4" borderId="35" xfId="0" applyNumberFormat="1" applyFont="1" applyFill="1" applyBorder="1"/>
    <xf numFmtId="0" fontId="66" fillId="4" borderId="35" xfId="0" applyFont="1" applyFill="1" applyBorder="1"/>
    <xf numFmtId="3" fontId="66" fillId="4" borderId="36" xfId="0" applyNumberFormat="1" applyFont="1" applyFill="1" applyBorder="1"/>
    <xf numFmtId="3" fontId="68" fillId="0" borderId="36" xfId="0" applyNumberFormat="1" applyFont="1" applyBorder="1" applyAlignment="1">
      <alignment horizontal="center"/>
    </xf>
    <xf numFmtId="164" fontId="67" fillId="4" borderId="37" xfId="0" applyNumberFormat="1" applyFont="1" applyFill="1" applyBorder="1" applyAlignment="1">
      <alignment horizontal="center"/>
    </xf>
    <xf numFmtId="168" fontId="68" fillId="4" borderId="10" xfId="0" applyNumberFormat="1" applyFont="1" applyFill="1" applyBorder="1" applyAlignment="1">
      <alignment horizontal="center"/>
    </xf>
    <xf numFmtId="0" fontId="67" fillId="4" borderId="10" xfId="0" applyFont="1" applyFill="1" applyBorder="1" applyAlignment="1">
      <alignment horizontal="center"/>
    </xf>
    <xf numFmtId="3" fontId="67" fillId="4" borderId="38" xfId="0" applyNumberFormat="1" applyFont="1" applyFill="1" applyBorder="1" applyAlignment="1">
      <alignment horizontal="center"/>
    </xf>
    <xf numFmtId="3" fontId="66" fillId="4" borderId="38" xfId="0" applyNumberFormat="1" applyFont="1" applyFill="1" applyBorder="1"/>
    <xf numFmtId="14" fontId="66" fillId="4" borderId="39" xfId="0" applyNumberFormat="1" applyFont="1" applyFill="1" applyBorder="1"/>
    <xf numFmtId="168" fontId="66" fillId="4" borderId="1" xfId="0" applyNumberFormat="1" applyFont="1" applyFill="1" applyBorder="1"/>
    <xf numFmtId="0" fontId="67" fillId="4" borderId="1" xfId="0" applyFont="1" applyFill="1" applyBorder="1" applyAlignment="1">
      <alignment horizontal="center"/>
    </xf>
    <xf numFmtId="3" fontId="67" fillId="4" borderId="34" xfId="0" applyNumberFormat="1" applyFont="1" applyFill="1" applyBorder="1" applyAlignment="1">
      <alignment horizontal="center"/>
    </xf>
    <xf numFmtId="3" fontId="66" fillId="4" borderId="34" xfId="0" applyNumberFormat="1" applyFont="1" applyFill="1" applyBorder="1"/>
    <xf numFmtId="3" fontId="67" fillId="0" borderId="17" xfId="0" applyNumberFormat="1" applyFont="1" applyBorder="1" applyAlignment="1">
      <alignment horizontal="center"/>
    </xf>
    <xf numFmtId="164" fontId="55" fillId="4" borderId="4" xfId="0" applyNumberFormat="1" applyFont="1" applyFill="1" applyBorder="1"/>
    <xf numFmtId="14" fontId="66" fillId="4" borderId="40" xfId="0" applyNumberFormat="1" applyFont="1" applyFill="1" applyBorder="1"/>
    <xf numFmtId="168" fontId="66" fillId="4" borderId="41" xfId="0" applyNumberFormat="1" applyFont="1" applyFill="1" applyBorder="1"/>
    <xf numFmtId="0" fontId="66" fillId="4" borderId="41" xfId="0" applyFont="1" applyFill="1" applyBorder="1"/>
    <xf numFmtId="3" fontId="66" fillId="4" borderId="42" xfId="0" applyNumberFormat="1" applyFont="1" applyFill="1" applyBorder="1"/>
    <xf numFmtId="164" fontId="47" fillId="0" borderId="43" xfId="0" applyNumberFormat="1" applyFont="1" applyBorder="1" applyAlignment="1">
      <alignment horizontal="right" wrapText="1"/>
    </xf>
    <xf numFmtId="168" fontId="67" fillId="0" borderId="44" xfId="0" applyNumberFormat="1" applyFont="1" applyBorder="1" applyAlignment="1">
      <alignment horizontal="center"/>
    </xf>
    <xf numFmtId="3" fontId="47" fillId="0" borderId="45" xfId="0" applyNumberFormat="1" applyFont="1" applyBorder="1" applyAlignment="1">
      <alignment horizontal="right" wrapText="1"/>
    </xf>
    <xf numFmtId="14" fontId="66" fillId="0" borderId="43" xfId="0" applyNumberFormat="1" applyFont="1" applyBorder="1"/>
    <xf numFmtId="168" fontId="66" fillId="0" borderId="44" xfId="0" applyNumberFormat="1" applyFont="1" applyBorder="1"/>
    <xf numFmtId="14" fontId="66" fillId="0" borderId="46" xfId="0" applyNumberFormat="1" applyFont="1" applyBorder="1"/>
    <xf numFmtId="168" fontId="66" fillId="0" borderId="47" xfId="0" applyNumberFormat="1" applyFont="1" applyBorder="1"/>
    <xf numFmtId="0" fontId="69" fillId="0" borderId="15" xfId="0" applyFont="1" applyBorder="1"/>
    <xf numFmtId="3" fontId="47" fillId="0" borderId="48" xfId="0" applyNumberFormat="1" applyFont="1" applyBorder="1" applyAlignment="1">
      <alignment horizontal="right" wrapText="1"/>
    </xf>
    <xf numFmtId="3" fontId="66" fillId="0" borderId="12" xfId="0" applyNumberFormat="1" applyFont="1" applyBorder="1"/>
    <xf numFmtId="3" fontId="67" fillId="0" borderId="49" xfId="0" applyNumberFormat="1" applyFont="1" applyBorder="1" applyAlignment="1">
      <alignment horizontal="center"/>
    </xf>
    <xf numFmtId="164" fontId="38" fillId="0" borderId="1" xfId="0" applyNumberFormat="1" applyFont="1" applyBorder="1"/>
    <xf numFmtId="168" fontId="38" fillId="0" borderId="1" xfId="0" applyNumberFormat="1" applyFont="1" applyBorder="1"/>
    <xf numFmtId="0" fontId="38" fillId="0" borderId="1" xfId="0" applyFont="1" applyBorder="1"/>
    <xf numFmtId="3" fontId="47" fillId="0" borderId="1" xfId="0" applyNumberFormat="1" applyFont="1" applyBorder="1"/>
    <xf numFmtId="3" fontId="70" fillId="0" borderId="1" xfId="0" applyNumberFormat="1" applyFont="1" applyBorder="1"/>
    <xf numFmtId="3" fontId="70" fillId="0" borderId="0" xfId="0" applyNumberFormat="1" applyFont="1"/>
    <xf numFmtId="4" fontId="46" fillId="0" borderId="2" xfId="0" applyNumberFormat="1" applyFont="1" applyBorder="1" applyAlignment="1">
      <alignment horizontal="right"/>
    </xf>
    <xf numFmtId="168" fontId="61" fillId="0" borderId="1" xfId="0" applyNumberFormat="1" applyFont="1" applyBorder="1"/>
    <xf numFmtId="3" fontId="46" fillId="0" borderId="0" xfId="0" applyNumberFormat="1" applyFont="1"/>
    <xf numFmtId="4" fontId="46" fillId="0" borderId="0" xfId="0" applyNumberFormat="1" applyFont="1"/>
    <xf numFmtId="168" fontId="2" fillId="0" borderId="0" xfId="0" applyNumberFormat="1" applyFont="1"/>
    <xf numFmtId="0" fontId="55" fillId="0" borderId="0" xfId="0" applyFont="1" applyAlignment="1">
      <alignment horizontal="right"/>
    </xf>
    <xf numFmtId="168" fontId="40" fillId="2" borderId="0" xfId="0" applyNumberFormat="1" applyFont="1" applyFill="1"/>
    <xf numFmtId="0" fontId="46" fillId="4" borderId="11" xfId="0" applyFont="1" applyFill="1" applyBorder="1"/>
    <xf numFmtId="171" fontId="57" fillId="0" borderId="0" xfId="0" applyNumberFormat="1" applyFont="1"/>
    <xf numFmtId="3" fontId="57" fillId="0" borderId="0" xfId="0" applyNumberFormat="1" applyFont="1"/>
    <xf numFmtId="168" fontId="9" fillId="0" borderId="0" xfId="0" applyNumberFormat="1" applyFont="1"/>
    <xf numFmtId="0" fontId="2" fillId="0" borderId="0" xfId="0" applyFont="1"/>
    <xf numFmtId="0" fontId="0" fillId="0" borderId="0" xfId="0"/>
    <xf numFmtId="0" fontId="2" fillId="4" borderId="12" xfId="0" applyFont="1" applyFill="1" applyBorder="1" applyAlignment="1">
      <alignment horizontal="left"/>
    </xf>
    <xf numFmtId="164" fontId="17" fillId="0" borderId="0" xfId="0" applyNumberFormat="1" applyFont="1" applyAlignment="1">
      <alignment horizontal="left"/>
    </xf>
    <xf numFmtId="164" fontId="19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21" fillId="0" borderId="0" xfId="0" applyNumberFormat="1" applyFont="1" applyAlignment="1">
      <alignment horizontal="center"/>
    </xf>
    <xf numFmtId="0" fontId="22" fillId="0" borderId="6" xfId="0" applyFont="1" applyBorder="1" applyAlignment="1">
      <alignment horizontal="center"/>
    </xf>
    <xf numFmtId="0" fontId="25" fillId="0" borderId="7" xfId="0" applyFont="1" applyBorder="1"/>
    <xf numFmtId="164" fontId="21" fillId="0" borderId="8" xfId="0" applyNumberFormat="1" applyFont="1" applyBorder="1" applyAlignment="1">
      <alignment horizontal="center"/>
    </xf>
    <xf numFmtId="0" fontId="25" fillId="0" borderId="8" xfId="0" applyFont="1" applyBorder="1"/>
    <xf numFmtId="0" fontId="55" fillId="0" borderId="0" xfId="0" applyFont="1"/>
    <xf numFmtId="0" fontId="46" fillId="0" borderId="0" xfId="0" applyFont="1" applyAlignment="1">
      <alignment horizontal="center"/>
    </xf>
    <xf numFmtId="165" fontId="45" fillId="0" borderId="0" xfId="0" applyNumberFormat="1" applyFont="1" applyAlignment="1">
      <alignment horizontal="center"/>
    </xf>
    <xf numFmtId="11" fontId="46" fillId="0" borderId="0" xfId="0" applyNumberFormat="1" applyFont="1" applyAlignment="1">
      <alignment horizontal="center"/>
    </xf>
    <xf numFmtId="0" fontId="62" fillId="0" borderId="17" xfId="0" applyFont="1" applyBorder="1" applyAlignment="1">
      <alignment horizontal="center"/>
    </xf>
    <xf numFmtId="0" fontId="25" fillId="0" borderId="5" xfId="0" applyFont="1" applyBorder="1"/>
    <xf numFmtId="0" fontId="25" fillId="0" borderId="2" xfId="0" applyFont="1" applyBorder="1"/>
    <xf numFmtId="0" fontId="61" fillId="0" borderId="17" xfId="0" applyFont="1" applyBorder="1" applyAlignment="1">
      <alignment horizontal="center"/>
    </xf>
    <xf numFmtId="0" fontId="65" fillId="0" borderId="18" xfId="0" applyFont="1" applyBorder="1" applyAlignment="1">
      <alignment horizontal="center"/>
    </xf>
    <xf numFmtId="0" fontId="25" fillId="0" borderId="19" xfId="0" applyFont="1" applyBorder="1"/>
    <xf numFmtId="0" fontId="25" fillId="0" borderId="20" xfId="0" applyFont="1" applyBorder="1"/>
    <xf numFmtId="0" fontId="71" fillId="0" borderId="50" xfId="0" applyFont="1" applyBorder="1" applyAlignment="1">
      <alignment horizontal="center"/>
    </xf>
    <xf numFmtId="0" fontId="25" fillId="0" borderId="16" xfId="0" applyFont="1" applyBorder="1"/>
    <xf numFmtId="0" fontId="55" fillId="0" borderId="8" xfId="0" applyFont="1" applyBorder="1"/>
    <xf numFmtId="0" fontId="25" fillId="0" borderId="11" xfId="0" applyFont="1" applyBorder="1"/>
    <xf numFmtId="0" fontId="72" fillId="4" borderId="0" xfId="0" applyFont="1" applyFill="1" applyAlignment="1">
      <alignment horizontal="center"/>
    </xf>
    <xf numFmtId="0" fontId="72" fillId="4" borderId="3" xfId="0" applyFont="1" applyFill="1" applyBorder="1" applyAlignment="1">
      <alignment horizontal="center"/>
    </xf>
    <xf numFmtId="0" fontId="72" fillId="4" borderId="4" xfId="0" applyFont="1" applyFill="1" applyBorder="1" applyAlignment="1">
      <alignment horizontal="center"/>
    </xf>
    <xf numFmtId="164" fontId="72" fillId="4" borderId="4" xfId="0" applyNumberFormat="1" applyFont="1" applyFill="1" applyBorder="1" applyAlignment="1">
      <alignment horizontal="center"/>
    </xf>
    <xf numFmtId="0" fontId="72" fillId="4" borderId="4" xfId="0" applyFont="1" applyFill="1" applyBorder="1"/>
    <xf numFmtId="49" fontId="73" fillId="4" borderId="4" xfId="0" applyNumberFormat="1" applyFont="1" applyFill="1" applyBorder="1" applyAlignment="1">
      <alignment horizontal="center"/>
    </xf>
    <xf numFmtId="3" fontId="72" fillId="4" borderId="4" xfId="0" applyNumberFormat="1" applyFont="1" applyFill="1" applyBorder="1"/>
    <xf numFmtId="4" fontId="72" fillId="4" borderId="3" xfId="0" applyNumberFormat="1" applyFont="1" applyFill="1" applyBorder="1"/>
    <xf numFmtId="3" fontId="31" fillId="4" borderId="4" xfId="0" applyNumberFormat="1" applyFont="1" applyFill="1" applyBorder="1"/>
    <xf numFmtId="9" fontId="72" fillId="9" borderId="0" xfId="0" applyNumberFormat="1" applyFont="1" applyFill="1"/>
    <xf numFmtId="0" fontId="7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ide_Project/PhuPhatCorp/web_v2/reference/Xe%20Nho&#777;%2005_2026.xlsx" TargetMode="External"/><Relationship Id="rId2" Type="http://schemas.openxmlformats.org/officeDocument/2006/relationships/externalLinkPath" Target="/Users/hungnguyen09/Side_Project/PhuPhatCorp/web_v2/reference/Xe%20Nho&#777;%2005_2026.xlsx" TargetMode="External"/><Relationship Id="rId1" Type="http://schemas.openxmlformats.org/officeDocument/2006/relationships/externalLinkPath" Target="/Users/hungnguyen09/Side_Project/PhuPhatCorp/web_v2/reference/Xe%20Nho&#777;%2005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xe"/>
      <sheetName val="ma"/>
      <sheetName val="XE NHỎ"/>
      <sheetName val="XE LỚN"/>
      <sheetName val="TRUNG CHUYỂN"/>
      <sheetName val="50H-88294"/>
      <sheetName val="50H-74619"/>
      <sheetName val="50H-87442"/>
    </sheetNames>
    <sheetDataSet>
      <sheetData sheetId="0">
        <row r="1">
          <cell r="A1" t="str">
            <v>MA</v>
          </cell>
          <cell r="B1" t="str">
            <v>SỐ XE</v>
          </cell>
        </row>
        <row r="3">
          <cell r="A3" t="str">
            <v>B Tâm</v>
          </cell>
          <cell r="B3" t="str">
            <v>50H-70216</v>
          </cell>
        </row>
        <row r="4">
          <cell r="A4" t="str">
            <v>F Y</v>
          </cell>
          <cell r="B4" t="str">
            <v>50H-55116</v>
          </cell>
        </row>
        <row r="5">
          <cell r="A5" t="str">
            <v>Y THANH</v>
          </cell>
          <cell r="B5" t="str">
            <v>50H-69501</v>
          </cell>
        </row>
        <row r="6">
          <cell r="A6" t="str">
            <v>Q HẢI</v>
          </cell>
          <cell r="B6" t="str">
            <v>50H-64316</v>
          </cell>
        </row>
        <row r="7">
          <cell r="A7" t="str">
            <v>N QUỐC</v>
          </cell>
          <cell r="B7" t="str">
            <v>50H-50999</v>
          </cell>
        </row>
        <row r="8">
          <cell r="A8" t="str">
            <v>Ư LỪA</v>
          </cell>
          <cell r="B8" t="str">
            <v>50E-164,61</v>
          </cell>
        </row>
        <row r="9">
          <cell r="A9" t="str">
            <v>V LUÂN</v>
          </cell>
          <cell r="B9" t="str">
            <v>51H -88294</v>
          </cell>
        </row>
        <row r="10">
          <cell r="A10" t="str">
            <v>C SƠN</v>
          </cell>
          <cell r="B10" t="str">
            <v>50H-74619</v>
          </cell>
        </row>
        <row r="11">
          <cell r="A11" t="str">
            <v>A LỢI</v>
          </cell>
          <cell r="B11" t="str">
            <v>50H 87442</v>
          </cell>
        </row>
        <row r="12">
          <cell r="A12" t="str">
            <v>W HIẾU</v>
          </cell>
          <cell r="B12" t="str">
            <v>50H-64470</v>
          </cell>
        </row>
        <row r="13">
          <cell r="A13" t="str">
            <v>M HƯNG</v>
          </cell>
          <cell r="B13" t="str">
            <v>50H-66445</v>
          </cell>
        </row>
        <row r="14">
          <cell r="A14" t="str">
            <v>R THI</v>
          </cell>
          <cell r="B14" t="str">
            <v>50H-55161</v>
          </cell>
        </row>
        <row r="15">
          <cell r="A15" t="str">
            <v>LONG</v>
          </cell>
          <cell r="B15" t="str">
            <v>50H-55443</v>
          </cell>
        </row>
        <row r="16">
          <cell r="A16" t="str">
            <v>T ANH</v>
          </cell>
          <cell r="B16" t="str">
            <v>50H-54580</v>
          </cell>
        </row>
        <row r="17">
          <cell r="A17" t="str">
            <v>O VƯƠNG</v>
          </cell>
          <cell r="B17" t="str">
            <v>50H-63174</v>
          </cell>
        </row>
        <row r="18">
          <cell r="A18" t="str">
            <v>N QUỐC</v>
          </cell>
          <cell r="B18" t="str">
            <v>50H-50999</v>
          </cell>
        </row>
        <row r="20">
          <cell r="A20" t="str">
            <v>L1 THÀNH</v>
          </cell>
          <cell r="B20" t="str">
            <v>50E-648.73</v>
          </cell>
        </row>
        <row r="21">
          <cell r="A21" t="str">
            <v>L2 MẾN</v>
          </cell>
          <cell r="B21" t="str">
            <v>50E-654.34</v>
          </cell>
        </row>
        <row r="22">
          <cell r="A22" t="str">
            <v>L3 HOÀ</v>
          </cell>
          <cell r="B22" t="str">
            <v>50E-324,01</v>
          </cell>
        </row>
        <row r="23">
          <cell r="A23" t="str">
            <v>L4 QUẠY</v>
          </cell>
          <cell r="B23" t="str">
            <v>50H-87055</v>
          </cell>
        </row>
        <row r="24">
          <cell r="A24" t="str">
            <v>L5 MINH</v>
          </cell>
          <cell r="B24" t="str">
            <v>50E-757,74</v>
          </cell>
        </row>
        <row r="25">
          <cell r="A25" t="str">
            <v>L6 PHƯƠNG</v>
          </cell>
          <cell r="B25" t="str">
            <v>50H-75206</v>
          </cell>
        </row>
        <row r="26">
          <cell r="A26" t="str">
            <v>L7 KHANG</v>
          </cell>
          <cell r="B26" t="str">
            <v>50H-66347</v>
          </cell>
        </row>
        <row r="29">
          <cell r="A29" t="str">
            <v>L8 NHANH</v>
          </cell>
          <cell r="B29" t="str">
            <v>50E-758,73</v>
          </cell>
        </row>
        <row r="30">
          <cell r="A30" t="str">
            <v>L9 ÂN</v>
          </cell>
          <cell r="B30" t="str">
            <v>50H-55294</v>
          </cell>
        </row>
        <row r="31">
          <cell r="A31" t="str">
            <v>L10 HOÀNG</v>
          </cell>
          <cell r="B31" t="str">
            <v>50H-55129</v>
          </cell>
        </row>
        <row r="32">
          <cell r="A32" t="str">
            <v>L11 HẢI</v>
          </cell>
          <cell r="B32" t="str">
            <v>50H-69717</v>
          </cell>
        </row>
        <row r="34">
          <cell r="A34" t="str">
            <v>L</v>
          </cell>
          <cell r="B34" t="str">
            <v>50H-19623</v>
          </cell>
        </row>
        <row r="35">
          <cell r="A35" t="str">
            <v>x1</v>
          </cell>
          <cell r="B35" t="str">
            <v>51C-81056</v>
          </cell>
        </row>
        <row r="36">
          <cell r="A36" t="str">
            <v>x2</v>
          </cell>
          <cell r="B36" t="str">
            <v>50H-11822</v>
          </cell>
        </row>
        <row r="37">
          <cell r="A37" t="str">
            <v>X4</v>
          </cell>
          <cell r="B37" t="str">
            <v>62H-01887</v>
          </cell>
        </row>
        <row r="38">
          <cell r="A38" t="str">
            <v>P VŨ</v>
          </cell>
          <cell r="B38" t="str">
            <v>50H-60635</v>
          </cell>
        </row>
        <row r="39">
          <cell r="A39" t="str">
            <v>U THANH</v>
          </cell>
          <cell r="B39" t="str">
            <v>50H-92136</v>
          </cell>
        </row>
        <row r="40">
          <cell r="A40" t="str">
            <v>Y1</v>
          </cell>
          <cell r="B40" t="str">
            <v>50H-55829</v>
          </cell>
        </row>
        <row r="41">
          <cell r="A41" t="str">
            <v>I THI</v>
          </cell>
          <cell r="B41" t="str">
            <v>50H-86564</v>
          </cell>
        </row>
        <row r="42">
          <cell r="A42" t="str">
            <v>E</v>
          </cell>
          <cell r="B42" t="str">
            <v>47H-02023</v>
          </cell>
        </row>
        <row r="43">
          <cell r="A43" t="str">
            <v>Z</v>
          </cell>
          <cell r="B43" t="str">
            <v>50H-44024</v>
          </cell>
        </row>
        <row r="44">
          <cell r="A44" t="str">
            <v>E1</v>
          </cell>
          <cell r="B44" t="str">
            <v>51D-38021</v>
          </cell>
        </row>
        <row r="45">
          <cell r="A45" t="str">
            <v>A DUNG</v>
          </cell>
          <cell r="B45" t="str">
            <v>50E-565,21</v>
          </cell>
        </row>
        <row r="46">
          <cell r="A46" t="str">
            <v>THUẬN</v>
          </cell>
          <cell r="B46" t="str">
            <v>50H-44328</v>
          </cell>
        </row>
        <row r="47">
          <cell r="A47" t="str">
            <v>TI</v>
          </cell>
          <cell r="B47" t="str">
            <v>61H-12700</v>
          </cell>
        </row>
        <row r="48">
          <cell r="A48" t="str">
            <v>T T</v>
          </cell>
          <cell r="B48" t="str">
            <v>85H-01932</v>
          </cell>
        </row>
      </sheetData>
      <sheetData sheetId="1">
        <row r="1">
          <cell r="A1" t="str">
            <v>MA</v>
          </cell>
          <cell r="B1" t="str">
            <v>TUYEN</v>
          </cell>
          <cell r="C1" t="str">
            <v>OTO 5</v>
          </cell>
        </row>
        <row r="2">
          <cell r="A2" t="str">
            <v>NT</v>
          </cell>
          <cell r="B2" t="str">
            <v>NHA TRANG</v>
          </cell>
        </row>
        <row r="3">
          <cell r="A3" t="str">
            <v>NHOA</v>
          </cell>
          <cell r="B3" t="str">
            <v>NINH HÒA</v>
          </cell>
        </row>
        <row r="4">
          <cell r="A4" t="str">
            <v>CR</v>
          </cell>
          <cell r="B4" t="str">
            <v>CAM RANH</v>
          </cell>
        </row>
        <row r="5">
          <cell r="A5" t="str">
            <v>CLANH</v>
          </cell>
          <cell r="B5" t="str">
            <v>CAO LÃNH</v>
          </cell>
          <cell r="C5">
            <v>280000</v>
          </cell>
        </row>
        <row r="6">
          <cell r="A6" t="str">
            <v>LKX</v>
          </cell>
          <cell r="B6" t="str">
            <v>LONG KHÁNH XÁ</v>
          </cell>
          <cell r="C6">
            <v>244000</v>
          </cell>
        </row>
        <row r="7">
          <cell r="A7" t="str">
            <v>LKP</v>
          </cell>
          <cell r="B7" t="str">
            <v xml:space="preserve">LONG KHÁNH PALLET </v>
          </cell>
          <cell r="C7">
            <v>244000</v>
          </cell>
        </row>
        <row r="9">
          <cell r="A9" t="str">
            <v>AJLH</v>
          </cell>
          <cell r="B9" t="str">
            <v>AJ LONG HẬU</v>
          </cell>
          <cell r="C9">
            <v>600000</v>
          </cell>
        </row>
        <row r="10">
          <cell r="A10" t="str">
            <v>ndfc</v>
          </cell>
          <cell r="B10" t="str">
            <v>Chuyển Hàng ndfc</v>
          </cell>
          <cell r="C10">
            <v>410000</v>
          </cell>
        </row>
        <row r="11">
          <cell r="A11" t="str">
            <v>N6</v>
          </cell>
          <cell r="B11" t="str">
            <v>NDFC 6 CHUYẾN</v>
          </cell>
          <cell r="C11">
            <v>300000</v>
          </cell>
        </row>
        <row r="12">
          <cell r="A12" t="str">
            <v>calo</v>
          </cell>
          <cell r="B12" t="str">
            <v>Chuyển hàng Calofic</v>
          </cell>
          <cell r="C12">
            <v>180000</v>
          </cell>
        </row>
        <row r="13">
          <cell r="A13" t="str">
            <v>CL1</v>
          </cell>
          <cell r="B13" t="str">
            <v>CH Calofic 13c</v>
          </cell>
          <cell r="C13">
            <v>140000</v>
          </cell>
        </row>
        <row r="14">
          <cell r="A14" t="str">
            <v>clun</v>
          </cell>
          <cell r="B14" t="str">
            <v>CALOFIC - UNI ( xe nhỏ )</v>
          </cell>
          <cell r="C14">
            <v>300000</v>
          </cell>
        </row>
        <row r="15">
          <cell r="A15" t="str">
            <v>cluni</v>
          </cell>
          <cell r="B15" t="str">
            <v>CALOFIC - UNI ( xe lớn )</v>
          </cell>
          <cell r="C15">
            <v>400000</v>
          </cell>
        </row>
        <row r="16">
          <cell r="A16" t="str">
            <v>CLMXL</v>
          </cell>
          <cell r="B16" t="str">
            <v>COOP LÊ MINH XUÂN ( XE LỚN )</v>
          </cell>
          <cell r="C16">
            <v>200000</v>
          </cell>
        </row>
        <row r="17">
          <cell r="A17" t="str">
            <v>UNCLG</v>
          </cell>
          <cell r="B17" t="str">
            <v>UNI - CALOFIC ( CHUYỂN GẠO )</v>
          </cell>
          <cell r="C17">
            <v>100000</v>
          </cell>
        </row>
        <row r="19">
          <cell r="A19" t="str">
            <v>MCC</v>
          </cell>
          <cell r="B19" t="str">
            <v>Chuyển hàng MCC</v>
          </cell>
          <cell r="C19">
            <v>414000</v>
          </cell>
        </row>
        <row r="20">
          <cell r="A20" t="str">
            <v>M6</v>
          </cell>
          <cell r="B20" t="str">
            <v>MCC 6 CHUYẾN</v>
          </cell>
          <cell r="C20">
            <v>300000</v>
          </cell>
        </row>
        <row r="21">
          <cell r="A21" t="str">
            <v>Q6X</v>
          </cell>
          <cell r="B21" t="str">
            <v>PHẠM ANH QUẬN 6 XÁ</v>
          </cell>
          <cell r="C21">
            <v>200000</v>
          </cell>
        </row>
        <row r="22">
          <cell r="A22" t="str">
            <v>Q6P</v>
          </cell>
          <cell r="B22" t="str">
            <v>PHẠM ANH QUẬN 6 PALLET</v>
          </cell>
          <cell r="C22">
            <v>200000</v>
          </cell>
        </row>
        <row r="23">
          <cell r="A23" t="str">
            <v>Q8X</v>
          </cell>
          <cell r="B23" t="str">
            <v>QUẬN 8 XÁ</v>
          </cell>
          <cell r="C23">
            <v>200000</v>
          </cell>
        </row>
        <row r="24">
          <cell r="A24" t="str">
            <v>Q8P</v>
          </cell>
          <cell r="B24" t="str">
            <v>QUẬN 8 PALLET</v>
          </cell>
          <cell r="C24">
            <v>200000</v>
          </cell>
        </row>
        <row r="25">
          <cell r="A25" t="str">
            <v>Q9X</v>
          </cell>
          <cell r="B25" t="str">
            <v>QUẬN 9 XÁ</v>
          </cell>
          <cell r="C25">
            <v>200000</v>
          </cell>
        </row>
        <row r="26">
          <cell r="A26" t="str">
            <v>Q9P</v>
          </cell>
          <cell r="B26" t="str">
            <v>QUẬN 9 PALLET</v>
          </cell>
          <cell r="C26">
            <v>200000</v>
          </cell>
        </row>
        <row r="27">
          <cell r="A27" t="str">
            <v>PMVX</v>
          </cell>
          <cell r="B27" t="str">
            <v>PHAN MINH VŨ-BIÊN HOÀ XÁ</v>
          </cell>
          <cell r="C27">
            <v>238000</v>
          </cell>
        </row>
        <row r="28">
          <cell r="A28" t="str">
            <v>PMVP</v>
          </cell>
          <cell r="B28" t="str">
            <v>PHAN MINH VŨ-BIÊN HOÀ PALLET</v>
          </cell>
          <cell r="C28">
            <v>238000</v>
          </cell>
        </row>
        <row r="29">
          <cell r="A29" t="str">
            <v>SIL</v>
          </cell>
          <cell r="B29" t="str">
            <v>SILVER NANO ĐỨC HOÀ</v>
          </cell>
          <cell r="C29">
            <v>212000</v>
          </cell>
        </row>
        <row r="30">
          <cell r="A30" t="str">
            <v>UNI</v>
          </cell>
          <cell r="B30" t="str">
            <v>Unidepot</v>
          </cell>
          <cell r="C30">
            <v>273000</v>
          </cell>
        </row>
        <row r="31">
          <cell r="A31" t="str">
            <v>SAPA</v>
          </cell>
          <cell r="B31" t="str">
            <v>SAPA LONG AN</v>
          </cell>
          <cell r="C31">
            <v>210000</v>
          </cell>
        </row>
        <row r="32">
          <cell r="A32" t="str">
            <v>kery</v>
          </cell>
          <cell r="B32" t="str">
            <v>KERRY BÌNH DƯƠNG</v>
          </cell>
          <cell r="C32">
            <v>232000</v>
          </cell>
        </row>
        <row r="33">
          <cell r="A33" t="str">
            <v>BR</v>
          </cell>
          <cell r="B33" t="str">
            <v>HỮU LINH - BÀ RỊA</v>
          </cell>
          <cell r="C33">
            <v>262000</v>
          </cell>
        </row>
        <row r="34">
          <cell r="A34" t="str">
            <v>OPAS</v>
          </cell>
          <cell r="B34" t="str">
            <v>OPAS</v>
          </cell>
          <cell r="C34">
            <v>360000</v>
          </cell>
        </row>
        <row r="35">
          <cell r="A35" t="str">
            <v>UG</v>
          </cell>
          <cell r="B35" t="str">
            <v>ÚT GIAO LONG AN</v>
          </cell>
          <cell r="C35">
            <v>212000</v>
          </cell>
        </row>
        <row r="36">
          <cell r="A36" t="str">
            <v>UGN</v>
          </cell>
          <cell r="B36" t="str">
            <v>ÚT GIAO LONG AN XE NHỎ</v>
          </cell>
          <cell r="C36">
            <v>900000</v>
          </cell>
        </row>
        <row r="37">
          <cell r="A37" t="str">
            <v>AAV</v>
          </cell>
          <cell r="B37" t="str">
            <v>ANH ANH VŨ</v>
          </cell>
          <cell r="C37">
            <v>220000</v>
          </cell>
        </row>
        <row r="38">
          <cell r="A38" t="str">
            <v>TLX</v>
          </cell>
          <cell r="B38" t="str">
            <v>TUẤN LỘC Q7 XÁ</v>
          </cell>
          <cell r="C38">
            <v>200000</v>
          </cell>
        </row>
        <row r="39">
          <cell r="A39" t="str">
            <v>TLP</v>
          </cell>
          <cell r="B39" t="str">
            <v>TUẤN LỘC Q7 PALLET</v>
          </cell>
          <cell r="C39">
            <v>200000</v>
          </cell>
        </row>
        <row r="40">
          <cell r="A40" t="str">
            <v>Q9</v>
          </cell>
          <cell r="B40" t="str">
            <v>QUẬN 9</v>
          </cell>
          <cell r="C40">
            <v>800000</v>
          </cell>
        </row>
        <row r="41">
          <cell r="A41" t="str">
            <v>Q8</v>
          </cell>
          <cell r="B41" t="str">
            <v>QUẬN 8</v>
          </cell>
          <cell r="C41">
            <v>800000</v>
          </cell>
        </row>
        <row r="42">
          <cell r="A42" t="str">
            <v>Q7</v>
          </cell>
          <cell r="B42" t="str">
            <v>PHÚC LỘC PHÁT QUẬN 7</v>
          </cell>
          <cell r="C42">
            <v>800000</v>
          </cell>
        </row>
        <row r="43">
          <cell r="A43" t="str">
            <v>PABT</v>
          </cell>
          <cell r="B43" t="str">
            <v>PHẠM ANH BÌNH TÂN</v>
          </cell>
          <cell r="C43">
            <v>800000</v>
          </cell>
        </row>
        <row r="44">
          <cell r="A44" t="str">
            <v>patp</v>
          </cell>
          <cell r="B44" t="str">
            <v>PHẠM ANH TÂN PHÚ</v>
          </cell>
          <cell r="C44">
            <v>800000</v>
          </cell>
        </row>
        <row r="45">
          <cell r="A45" t="str">
            <v>PAHM</v>
          </cell>
          <cell r="B45" t="str">
            <v>PHẠM ANH HÓC MÔN</v>
          </cell>
          <cell r="C45">
            <v>800000</v>
          </cell>
        </row>
        <row r="46">
          <cell r="A46" t="str">
            <v>TP2</v>
          </cell>
          <cell r="B46" t="str">
            <v>TP2 GÒ VẤP</v>
          </cell>
          <cell r="C46">
            <v>800000</v>
          </cell>
        </row>
        <row r="47">
          <cell r="A47" t="str">
            <v>NL</v>
          </cell>
          <cell r="B47" t="str">
            <v>NGỌC LAN L.AN</v>
          </cell>
        </row>
        <row r="48">
          <cell r="A48" t="str">
            <v>THTDH</v>
          </cell>
          <cell r="B48" t="str">
            <v>TÂN HÙNG THÁI ĐỨC HOÀ</v>
          </cell>
          <cell r="C48">
            <v>210000</v>
          </cell>
        </row>
        <row r="49">
          <cell r="A49" t="str">
            <v>KVBC</v>
          </cell>
          <cell r="B49" t="str">
            <v>KIẾN VƯƠNG BÌNH CHÁNH</v>
          </cell>
          <cell r="C49">
            <v>190000</v>
          </cell>
        </row>
        <row r="50">
          <cell r="A50" t="str">
            <v>mifa</v>
          </cell>
          <cell r="B50" t="str">
            <v>MIFA TÂN TẠO</v>
          </cell>
          <cell r="C50">
            <v>200000</v>
          </cell>
        </row>
        <row r="51">
          <cell r="A51" t="str">
            <v>mf</v>
          </cell>
          <cell r="B51" t="str">
            <v>MIFA TÂN TẠO XE NHỎ ( KBX )</v>
          </cell>
          <cell r="C51">
            <v>800000</v>
          </cell>
        </row>
        <row r="52">
          <cell r="A52" t="str">
            <v>BP</v>
          </cell>
          <cell r="B52" t="str">
            <v>BÌNH PHƯỚC</v>
          </cell>
        </row>
        <row r="53">
          <cell r="A53" t="str">
            <v>BT</v>
          </cell>
          <cell r="B53" t="str">
            <v>BÌNH TRÍ</v>
          </cell>
          <cell r="C53">
            <v>212000</v>
          </cell>
        </row>
        <row r="54">
          <cell r="A54" t="str">
            <v>BHCDL</v>
          </cell>
          <cell r="B54" t="str">
            <v>BHX CẦN ĐƯƠC XL</v>
          </cell>
          <cell r="C54">
            <v>210000</v>
          </cell>
        </row>
        <row r="55">
          <cell r="A55" t="str">
            <v>MKR</v>
          </cell>
          <cell r="B55" t="str">
            <v>MAKARA</v>
          </cell>
          <cell r="C55">
            <v>200000</v>
          </cell>
        </row>
        <row r="56">
          <cell r="A56" t="str">
            <v>TN</v>
          </cell>
          <cell r="B56" t="str">
            <v>TÂY NINH</v>
          </cell>
        </row>
        <row r="57">
          <cell r="A57" t="str">
            <v>VL</v>
          </cell>
          <cell r="B57" t="str">
            <v>PHÔI VIỆT LONG</v>
          </cell>
        </row>
        <row r="58">
          <cell r="A58" t="str">
            <v>SD</v>
          </cell>
          <cell r="B58" t="str">
            <v>SA ĐÉC</v>
          </cell>
        </row>
        <row r="59">
          <cell r="A59" t="str">
            <v>TNOTX</v>
          </cell>
          <cell r="B59" t="str">
            <v>THỐT NỐT XÁ</v>
          </cell>
          <cell r="C59">
            <v>370000</v>
          </cell>
        </row>
        <row r="60">
          <cell r="A60" t="str">
            <v>CD</v>
          </cell>
          <cell r="B60" t="str">
            <v>CHÂU ĐỐC</v>
          </cell>
        </row>
        <row r="61">
          <cell r="A61" t="str">
            <v>HG</v>
          </cell>
          <cell r="B61" t="str">
            <v>HẬU GAING</v>
          </cell>
        </row>
        <row r="62">
          <cell r="A62" t="str">
            <v>HT</v>
          </cell>
          <cell r="B62" t="str">
            <v>HÀ TIÊN</v>
          </cell>
        </row>
        <row r="63">
          <cell r="A63" t="str">
            <v>PQ</v>
          </cell>
          <cell r="B63" t="str">
            <v>PHÚ QUỐC</v>
          </cell>
        </row>
        <row r="64">
          <cell r="A64" t="str">
            <v>NE3</v>
          </cell>
          <cell r="B64" t="str">
            <v>NESTLE 3-7</v>
          </cell>
          <cell r="C64">
            <v>442000</v>
          </cell>
        </row>
        <row r="65">
          <cell r="A65" t="str">
            <v>NE7</v>
          </cell>
          <cell r="B65" t="str">
            <v>NESTLE 7-10</v>
          </cell>
          <cell r="C65">
            <v>393000</v>
          </cell>
        </row>
        <row r="66">
          <cell r="A66" t="str">
            <v>NE10</v>
          </cell>
          <cell r="B66" t="str">
            <v>NESTLE &gt;10</v>
          </cell>
          <cell r="C66">
            <v>363000</v>
          </cell>
        </row>
        <row r="67">
          <cell r="A67" t="str">
            <v>NDNA</v>
          </cell>
          <cell r="B67" t="str">
            <v>NDFC - NAIC BẾN LỨC</v>
          </cell>
          <cell r="C67">
            <v>2400000</v>
          </cell>
        </row>
        <row r="68">
          <cell r="A68" t="str">
            <v>NAUN</v>
          </cell>
          <cell r="B68" t="str">
            <v>NAIC -UNI</v>
          </cell>
          <cell r="C68">
            <v>2400000</v>
          </cell>
        </row>
        <row r="69">
          <cell r="A69" t="str">
            <v>nta</v>
          </cell>
          <cell r="B69" t="str">
            <v>NHẬT TRÚC ANH TRẢNG BOM</v>
          </cell>
          <cell r="C69">
            <v>240000</v>
          </cell>
        </row>
        <row r="70">
          <cell r="A70" t="str">
            <v>TCLA</v>
          </cell>
          <cell r="B70" t="str">
            <v>TRUE CARE LONG AN</v>
          </cell>
          <cell r="C70">
            <v>220000</v>
          </cell>
        </row>
        <row r="71">
          <cell r="A71" t="str">
            <v>QXT</v>
          </cell>
          <cell r="B71" t="str">
            <v>QUANG XUÂN TRƯỜNG P.GIÁO</v>
          </cell>
          <cell r="C71">
            <v>230000</v>
          </cell>
        </row>
        <row r="72">
          <cell r="A72" t="str">
            <v>GHTGP</v>
          </cell>
          <cell r="B72" t="str">
            <v>GIA HOÀNG TIỀN GIANG PALLET</v>
          </cell>
          <cell r="C72">
            <v>230000</v>
          </cell>
        </row>
        <row r="73">
          <cell r="A73" t="str">
            <v>GHTGX</v>
          </cell>
          <cell r="B73" t="str">
            <v>GIA HOÀNG TIỀN GIANG XÁ</v>
          </cell>
          <cell r="C73">
            <v>230000</v>
          </cell>
        </row>
        <row r="74">
          <cell r="A74" t="str">
            <v>KVVL</v>
          </cell>
          <cell r="B74" t="str">
            <v>KIÊN VƯƠNG VĨNH LONG</v>
          </cell>
          <cell r="C74">
            <v>260000</v>
          </cell>
        </row>
        <row r="75">
          <cell r="A75" t="str">
            <v>LXUN</v>
          </cell>
          <cell r="B75" t="str">
            <v>LONG XUYÊN - UNI</v>
          </cell>
          <cell r="C75">
            <v>200000</v>
          </cell>
        </row>
        <row r="76">
          <cell r="A76" t="str">
            <v>TTHOA</v>
          </cell>
          <cell r="B76" t="str">
            <v>THẮNG THOA PHƯƠNG LÂM</v>
          </cell>
          <cell r="C76">
            <v>300000</v>
          </cell>
        </row>
        <row r="77">
          <cell r="A77" t="str">
            <v>WIPRO</v>
          </cell>
          <cell r="B77" t="str">
            <v>WIPRO THUẬN AN BD</v>
          </cell>
          <cell r="C77">
            <v>230000</v>
          </cell>
        </row>
        <row r="78">
          <cell r="A78" t="str">
            <v>vtpl</v>
          </cell>
          <cell r="B78" t="str">
            <v>VŨNG TÀU PALLET</v>
          </cell>
          <cell r="C78">
            <v>250000</v>
          </cell>
        </row>
        <row r="79">
          <cell r="A79" t="str">
            <v>AFST</v>
          </cell>
          <cell r="B79" t="str">
            <v>ANFOOD SÓNG THẦN</v>
          </cell>
          <cell r="C79">
            <v>230000</v>
          </cell>
        </row>
        <row r="80">
          <cell r="A80" t="str">
            <v>HMPHM</v>
          </cell>
          <cell r="B80" t="str">
            <v>HOÀNG MINH PHÁT HÓC MÔN</v>
          </cell>
          <cell r="C80">
            <v>200000</v>
          </cell>
        </row>
        <row r="81">
          <cell r="A81" t="str">
            <v>hcvml</v>
          </cell>
          <cell r="B81" t="str">
            <v>HÓA CHẤT VIỆT MỸ XE LỚN</v>
          </cell>
          <cell r="C81">
            <v>200000</v>
          </cell>
        </row>
        <row r="82">
          <cell r="A82" t="str">
            <v>HCSV</v>
          </cell>
          <cell r="B82" t="str">
            <v>HOÁ CHẤT SEN VIỆT BÊN CÁT XE LỚN</v>
          </cell>
          <cell r="C82">
            <v>230000</v>
          </cell>
        </row>
        <row r="83">
          <cell r="A83" t="str">
            <v>HCSVN</v>
          </cell>
          <cell r="B83" t="str">
            <v>HOÁ CHẤT SEN VIỆT ĐÔNG NAI XE NHỎ</v>
          </cell>
          <cell r="C83">
            <v>900000</v>
          </cell>
        </row>
        <row r="84">
          <cell r="A84" t="str">
            <v>HLP</v>
          </cell>
          <cell r="B84" t="str">
            <v>HƯNG LONG PHÁT</v>
          </cell>
          <cell r="C84">
            <v>200000</v>
          </cell>
        </row>
        <row r="85">
          <cell r="A85" t="str">
            <v>xnkttv</v>
          </cell>
          <cell r="B85" t="str">
            <v>XUẤT NHẬP KHẢU T.T.V</v>
          </cell>
          <cell r="C85">
            <v>200000</v>
          </cell>
        </row>
        <row r="86">
          <cell r="A86" t="str">
            <v>HHLXP</v>
          </cell>
          <cell r="B86" t="str">
            <v>HIỆP HƯNG LONG XUYÊN PALLET</v>
          </cell>
          <cell r="C86">
            <v>370000</v>
          </cell>
        </row>
        <row r="87">
          <cell r="A87" t="str">
            <v>VNXL</v>
          </cell>
          <cell r="B87" t="str">
            <v>VỊ NGỌT HAPPY XE LỚN</v>
          </cell>
          <cell r="C87">
            <v>200000</v>
          </cell>
        </row>
        <row r="88">
          <cell r="A88" t="str">
            <v>K50L</v>
          </cell>
          <cell r="B88" t="str">
            <v>METRO KHO 50 XE LỚN</v>
          </cell>
          <cell r="C88">
            <v>200000</v>
          </cell>
        </row>
        <row r="89">
          <cell r="A89" t="str">
            <v>JOXL</v>
          </cell>
          <cell r="B89" t="str">
            <v>JOLIBEE XE LỚN</v>
          </cell>
          <cell r="C89">
            <v>200000</v>
          </cell>
        </row>
        <row r="90">
          <cell r="A90" t="str">
            <v>phcc</v>
          </cell>
          <cell r="B90" t="str">
            <v>PHÚC HẢO CỦ CHI</v>
          </cell>
          <cell r="C90">
            <v>230000</v>
          </cell>
        </row>
        <row r="91">
          <cell r="A91" t="str">
            <v>small</v>
          </cell>
          <cell r="B91" t="str">
            <v>SMALLFORTUNE</v>
          </cell>
          <cell r="C91">
            <v>210000</v>
          </cell>
        </row>
        <row r="92">
          <cell r="A92" t="str">
            <v>CTMK</v>
          </cell>
          <cell r="B92" t="str">
            <v>CÔNG TY MEKONG</v>
          </cell>
          <cell r="C92">
            <v>220000</v>
          </cell>
        </row>
        <row r="93">
          <cell r="A93" t="str">
            <v>VNA</v>
          </cell>
          <cell r="B93" t="str">
            <v>VINH NAM ANH</v>
          </cell>
          <cell r="C93">
            <v>200000</v>
          </cell>
        </row>
        <row r="100">
          <cell r="A100" t="str">
            <v>AJ3</v>
          </cell>
          <cell r="B100" t="str">
            <v>AJNOMOTO 3-7</v>
          </cell>
          <cell r="C100">
            <v>442000</v>
          </cell>
        </row>
        <row r="101">
          <cell r="A101" t="str">
            <v>AJ7</v>
          </cell>
          <cell r="B101" t="str">
            <v>AJNOMOTO 7-10</v>
          </cell>
          <cell r="C101">
            <v>393000</v>
          </cell>
        </row>
        <row r="102">
          <cell r="A102" t="str">
            <v>AJ10</v>
          </cell>
          <cell r="B102" t="str">
            <v>AJNOMOTO &gt;10</v>
          </cell>
          <cell r="C102">
            <v>363000</v>
          </cell>
        </row>
        <row r="103">
          <cell r="A103" t="str">
            <v>AH</v>
          </cell>
          <cell r="B103" t="str">
            <v>AH THUẬN AN</v>
          </cell>
          <cell r="C103">
            <v>900000</v>
          </cell>
        </row>
        <row r="104">
          <cell r="A104" t="str">
            <v>AMI</v>
          </cell>
          <cell r="B104" t="str">
            <v>AMIGO ĐỨC HOÀ ( K BX )</v>
          </cell>
          <cell r="C104">
            <v>900000</v>
          </cell>
        </row>
        <row r="105">
          <cell r="A105" t="str">
            <v>AJNO</v>
          </cell>
          <cell r="B105" t="str">
            <v>AJNOMOTO L.THÀNH</v>
          </cell>
          <cell r="C105">
            <v>1000000</v>
          </cell>
        </row>
        <row r="106">
          <cell r="A106" t="str">
            <v>ABC</v>
          </cell>
          <cell r="B106" t="str">
            <v>ABC BACKERRY Q6</v>
          </cell>
          <cell r="C106">
            <v>800000</v>
          </cell>
        </row>
        <row r="107">
          <cell r="A107" t="str">
            <v>aa</v>
          </cell>
          <cell r="B107" t="str">
            <v>Á ÂU BT</v>
          </cell>
          <cell r="C107">
            <v>800000</v>
          </cell>
        </row>
        <row r="108">
          <cell r="A108" t="str">
            <v>ACE</v>
          </cell>
          <cell r="B108" t="str">
            <v>ACECOOK TÂN PHÚ</v>
          </cell>
          <cell r="C108">
            <v>800000</v>
          </cell>
        </row>
        <row r="109">
          <cell r="A109" t="str">
            <v>AT</v>
          </cell>
          <cell r="B109" t="str">
            <v>ÂN THÁI LTK Q10</v>
          </cell>
          <cell r="C109">
            <v>800000</v>
          </cell>
        </row>
        <row r="110">
          <cell r="A110" t="str">
            <v>AG</v>
          </cell>
          <cell r="B110" t="str">
            <v>AGIFISH TÂN BÌNH</v>
          </cell>
          <cell r="C110">
            <v>800000</v>
          </cell>
        </row>
        <row r="111">
          <cell r="A111" t="str">
            <v>agr</v>
          </cell>
          <cell r="B111" t="str">
            <v xml:space="preserve">Agrex SG </v>
          </cell>
          <cell r="C111">
            <v>800000</v>
          </cell>
        </row>
        <row r="112">
          <cell r="A112" t="str">
            <v>APIS</v>
          </cell>
          <cell r="B112" t="str">
            <v>APIS ( KBX )</v>
          </cell>
          <cell r="C112">
            <v>800000</v>
          </cell>
        </row>
        <row r="113">
          <cell r="A113" t="str">
            <v>API</v>
          </cell>
          <cell r="B113" t="str">
            <v>APIS TRÃ TANK ( KBX )</v>
          </cell>
          <cell r="C113">
            <v>400000</v>
          </cell>
        </row>
        <row r="114">
          <cell r="A114" t="str">
            <v>abY</v>
          </cell>
          <cell r="B114" t="str">
            <v>ABY SHOP GÒ VẤP</v>
          </cell>
          <cell r="C114">
            <v>800000</v>
          </cell>
        </row>
        <row r="115">
          <cell r="A115" t="str">
            <v>ANBS</v>
          </cell>
          <cell r="B115" t="str">
            <v>ANBS TÂN PHÚ</v>
          </cell>
          <cell r="C115">
            <v>800000</v>
          </cell>
        </row>
        <row r="116">
          <cell r="A116" t="str">
            <v>ASIA</v>
          </cell>
          <cell r="B116" t="str">
            <v>ASIASHINE</v>
          </cell>
          <cell r="C116">
            <v>800000</v>
          </cell>
        </row>
        <row r="117">
          <cell r="A117" t="str">
            <v>AF</v>
          </cell>
          <cell r="B117" t="str">
            <v>ANFOOD Q12 ( K BX )</v>
          </cell>
          <cell r="C117">
            <v>800000</v>
          </cell>
        </row>
        <row r="118">
          <cell r="A118" t="str">
            <v>AMER</v>
          </cell>
          <cell r="B118" t="str">
            <v>AMERICA HERITAGE</v>
          </cell>
          <cell r="C118">
            <v>900000</v>
          </cell>
        </row>
        <row r="120">
          <cell r="A120" t="str">
            <v>BIVY</v>
          </cell>
          <cell r="B120" t="str">
            <v>BIVY BÌNH CHÁNH</v>
          </cell>
          <cell r="C120">
            <v>800000</v>
          </cell>
        </row>
        <row r="121">
          <cell r="A121" t="str">
            <v>BIBI</v>
          </cell>
          <cell r="B121" t="str">
            <v>BIBICA MIỀN TÂY ( KBX )</v>
          </cell>
          <cell r="C121">
            <v>900000</v>
          </cell>
        </row>
        <row r="122">
          <cell r="A122" t="str">
            <v>btay</v>
          </cell>
          <cell r="B122" t="str">
            <v>Bình Tây - Quận 7 ( KBX )</v>
          </cell>
          <cell r="C122">
            <v>800000</v>
          </cell>
        </row>
        <row r="123">
          <cell r="A123" t="str">
            <v>BLONG</v>
          </cell>
          <cell r="B123" t="str">
            <v>BẢO LONG</v>
          </cell>
          <cell r="C123">
            <v>800000</v>
          </cell>
        </row>
        <row r="124">
          <cell r="A124" t="str">
            <v>BBBH</v>
          </cell>
          <cell r="B124" t="str">
            <v>BIBICA BIÊN HOÀ ( KBX )</v>
          </cell>
          <cell r="C124">
            <v>900000</v>
          </cell>
        </row>
        <row r="125">
          <cell r="A125" t="str">
            <v>BF</v>
          </cell>
          <cell r="B125" t="str">
            <v>BEST FOOD</v>
          </cell>
          <cell r="C125">
            <v>900000</v>
          </cell>
        </row>
        <row r="126">
          <cell r="A126" t="str">
            <v>BTRI</v>
          </cell>
          <cell r="B126" t="str">
            <v>BÌNH TRÍ-LONG AN</v>
          </cell>
          <cell r="C126">
            <v>900000</v>
          </cell>
        </row>
        <row r="127">
          <cell r="A127" t="str">
            <v>IFH</v>
          </cell>
          <cell r="B127" t="str">
            <v>IFH TÂN UYÊN</v>
          </cell>
          <cell r="C127">
            <v>1000000</v>
          </cell>
        </row>
        <row r="128">
          <cell r="A128" t="str">
            <v>BV</v>
          </cell>
          <cell r="B128" t="str">
            <v>BÁNH VÀNG HIỆP PHƯỚC</v>
          </cell>
          <cell r="C128">
            <v>400000</v>
          </cell>
        </row>
        <row r="129">
          <cell r="A129" t="str">
            <v>BCD</v>
          </cell>
          <cell r="B129" t="str">
            <v>BÉ CẦN ĐƯỚC ( K BX ) DI AN</v>
          </cell>
          <cell r="C129">
            <v>900000</v>
          </cell>
        </row>
        <row r="130">
          <cell r="A130" t="str">
            <v>BDBM</v>
          </cell>
          <cell r="B130" t="str">
            <v>BINH DƯƠNG BRANCH MAXIDI ( KBX )</v>
          </cell>
          <cell r="C130">
            <v>900000</v>
          </cell>
        </row>
        <row r="132">
          <cell r="A132" t="str">
            <v>cnhl</v>
          </cell>
          <cell r="B132" t="str">
            <v>CÁ NGỪ HẠ LONG</v>
          </cell>
          <cell r="C132">
            <v>800000</v>
          </cell>
        </row>
        <row r="133">
          <cell r="A133" t="str">
            <v>CTT</v>
          </cell>
          <cell r="B133" t="str">
            <v>CHÂU TRƯỜNG THỊNH</v>
          </cell>
          <cell r="C133">
            <v>800000</v>
          </cell>
        </row>
        <row r="134">
          <cell r="A134" t="str">
            <v>CH207</v>
          </cell>
          <cell r="B134" t="str">
            <v>CH 207</v>
          </cell>
          <cell r="C134">
            <v>800000</v>
          </cell>
        </row>
        <row r="135">
          <cell r="A135" t="str">
            <v>CC</v>
          </cell>
          <cell r="B135" t="str">
            <v>CON CƯNG BÌNH DƯƠNG</v>
          </cell>
          <cell r="C135">
            <v>900000</v>
          </cell>
        </row>
        <row r="136">
          <cell r="A136" t="str">
            <v>CP</v>
          </cell>
          <cell r="B136" t="str">
            <v>CỔ PHẦN TRANG NHÀ BÈ</v>
          </cell>
          <cell r="C136">
            <v>800000</v>
          </cell>
        </row>
        <row r="137">
          <cell r="A137" t="str">
            <v>CH</v>
          </cell>
          <cell r="B137" t="str">
            <v>CÁT HẢI LONG HẬU</v>
          </cell>
          <cell r="C137">
            <v>800000</v>
          </cell>
        </row>
        <row r="138">
          <cell r="A138" t="str">
            <v>casa</v>
          </cell>
          <cell r="B138" t="str">
            <v>Casabella - Q7</v>
          </cell>
          <cell r="C138">
            <v>800000</v>
          </cell>
        </row>
        <row r="139">
          <cell r="A139" t="str">
            <v>CLm</v>
          </cell>
          <cell r="B139" t="str">
            <v>CHOLIMEX VĨNH LỘC ( K BX )</v>
          </cell>
          <cell r="C139">
            <v>800000</v>
          </cell>
        </row>
        <row r="140">
          <cell r="A140" t="str">
            <v>clmla</v>
          </cell>
          <cell r="B140" t="str">
            <v>CHOLIMEX LONG AN ( K BX )</v>
          </cell>
          <cell r="C140">
            <v>900000</v>
          </cell>
        </row>
        <row r="141">
          <cell r="A141" t="str">
            <v>clmbc</v>
          </cell>
          <cell r="B141" t="str">
            <v>CHOLIMEX BINH CHÁNH ( KBX )</v>
          </cell>
          <cell r="C141">
            <v>800000</v>
          </cell>
        </row>
        <row r="142">
          <cell r="A142" t="str">
            <v>CHCL</v>
          </cell>
          <cell r="B142" t="str">
            <v>CẨM HƯƠNG CHƠ LỚN ( K BX )</v>
          </cell>
          <cell r="C142">
            <v>800000</v>
          </cell>
        </row>
        <row r="143">
          <cell r="A143" t="str">
            <v>CMC</v>
          </cell>
          <cell r="B143" t="str">
            <v>CHERMICAL ĐỨC HOÀ</v>
          </cell>
          <cell r="C143">
            <v>900000</v>
          </cell>
        </row>
        <row r="144">
          <cell r="A144" t="str">
            <v>CFPV</v>
          </cell>
          <cell r="B144" t="str">
            <v>CAFE PHƯƠNG VY TÂN UYÊN</v>
          </cell>
          <cell r="C144">
            <v>1000000</v>
          </cell>
        </row>
        <row r="145">
          <cell r="A145" t="str">
            <v>clvlh</v>
          </cell>
          <cell r="B145" t="str">
            <v>CLV LONG HẬU ( K BX )</v>
          </cell>
          <cell r="C145">
            <v>400000</v>
          </cell>
        </row>
        <row r="146">
          <cell r="A146" t="str">
            <v>CTYS</v>
          </cell>
          <cell r="B146" t="str">
            <v>CTY SUPREME ( KBX )</v>
          </cell>
          <cell r="C146">
            <v>1100000</v>
          </cell>
        </row>
        <row r="147">
          <cell r="A147" t="str">
            <v>CTSP</v>
          </cell>
          <cell r="B147" t="str">
            <v>CTY SAPA</v>
          </cell>
          <cell r="C147">
            <v>900000</v>
          </cell>
        </row>
        <row r="148">
          <cell r="A148" t="str">
            <v>TLV</v>
          </cell>
          <cell r="B148" t="str">
            <v>TÂN LÚA VÀNG ( KBX )</v>
          </cell>
          <cell r="C148">
            <v>800000</v>
          </cell>
        </row>
        <row r="150">
          <cell r="A150" t="str">
            <v>3KSH</v>
          </cell>
          <cell r="B150" t="str">
            <v>3KS H.T.PHÁT ( K BX )</v>
          </cell>
          <cell r="C150">
            <v>700000</v>
          </cell>
        </row>
        <row r="151">
          <cell r="A151" t="str">
            <v>3ksd</v>
          </cell>
          <cell r="B151" t="str">
            <v>3KS ĐỨC HOÀ</v>
          </cell>
          <cell r="C151">
            <v>1000000</v>
          </cell>
        </row>
        <row r="152">
          <cell r="A152" t="str">
            <v>3KSDA</v>
          </cell>
          <cell r="B152" t="str">
            <v>3ks DĨ AN ( K BX )</v>
          </cell>
          <cell r="C152">
            <v>900000</v>
          </cell>
        </row>
        <row r="153">
          <cell r="A153" t="str">
            <v>3KSTP</v>
          </cell>
          <cell r="B153" t="str">
            <v>3KS TÂN PHÚ ( K BX )</v>
          </cell>
          <cell r="C153">
            <v>900000</v>
          </cell>
        </row>
        <row r="154">
          <cell r="A154" t="str">
            <v>DMH</v>
          </cell>
          <cell r="B154" t="str">
            <v>ĐẠT MẠNH HÙNG LONG THÀNH</v>
          </cell>
          <cell r="C154">
            <v>900000</v>
          </cell>
        </row>
        <row r="155">
          <cell r="A155" t="str">
            <v>DT</v>
          </cell>
          <cell r="B155" t="str">
            <v>ĐỨC THANH</v>
          </cell>
          <cell r="C155">
            <v>800000</v>
          </cell>
        </row>
        <row r="156">
          <cell r="A156" t="str">
            <v>DDC</v>
          </cell>
          <cell r="B156" t="str">
            <v>DƯƠNG DƯƠNG CHÂU</v>
          </cell>
          <cell r="C156">
            <v>800000</v>
          </cell>
        </row>
        <row r="157">
          <cell r="A157" t="str">
            <v>dhg</v>
          </cell>
          <cell r="B157" t="str">
            <v>Dược Hậu Giang</v>
          </cell>
          <cell r="C157">
            <v>800000</v>
          </cell>
        </row>
        <row r="158">
          <cell r="A158" t="str">
            <v>dary</v>
          </cell>
          <cell r="B158" t="str">
            <v>DARY NHÀ BÈ</v>
          </cell>
          <cell r="C158">
            <v>400000</v>
          </cell>
        </row>
        <row r="159">
          <cell r="A159" t="str">
            <v>dpd</v>
          </cell>
          <cell r="B159" t="str">
            <v>Dược Phương Đông</v>
          </cell>
          <cell r="C159">
            <v>800000</v>
          </cell>
        </row>
        <row r="160">
          <cell r="A160" t="str">
            <v>dpn</v>
          </cell>
          <cell r="B160" t="str">
            <v>Dược Phương Nam</v>
          </cell>
          <cell r="C160">
            <v>800000</v>
          </cell>
        </row>
        <row r="161">
          <cell r="A161" t="str">
            <v>DPL</v>
          </cell>
          <cell r="B161" t="str">
            <v>DƯỢC PHƯƠNG LILIUM</v>
          </cell>
          <cell r="C161">
            <v>800000</v>
          </cell>
        </row>
        <row r="162">
          <cell r="A162" t="str">
            <v>DUSA</v>
          </cell>
          <cell r="B162" t="str">
            <v>DƯỢC PHẨM USA-NIC</v>
          </cell>
          <cell r="C162">
            <v>800000</v>
          </cell>
        </row>
        <row r="163">
          <cell r="A163" t="str">
            <v>DN</v>
          </cell>
          <cell r="B163" t="str">
            <v>ĐÔNG NAM</v>
          </cell>
          <cell r="C163">
            <v>800000</v>
          </cell>
        </row>
        <row r="164">
          <cell r="A164" t="str">
            <v>DL</v>
          </cell>
          <cell r="B164" t="str">
            <v>DUY LINH</v>
          </cell>
          <cell r="C164">
            <v>800000</v>
          </cell>
        </row>
        <row r="165">
          <cell r="A165" t="str">
            <v>DDT</v>
          </cell>
          <cell r="B165" t="str">
            <v>ĐẠI ĐIỀN TÂM -C.CHI</v>
          </cell>
          <cell r="C165">
            <v>900000</v>
          </cell>
        </row>
        <row r="166">
          <cell r="A166" t="str">
            <v>DK</v>
          </cell>
          <cell r="B166" t="str">
            <v>D&amp;K</v>
          </cell>
          <cell r="C166">
            <v>900000</v>
          </cell>
        </row>
        <row r="167">
          <cell r="A167" t="str">
            <v>DNG</v>
          </cell>
          <cell r="B167" t="str">
            <v>ĐẠT NGỌC</v>
          </cell>
          <cell r="C167">
            <v>800000</v>
          </cell>
        </row>
        <row r="168">
          <cell r="A168" t="str">
            <v>DLVN</v>
          </cell>
          <cell r="B168" t="str">
            <v>ĐÔNG LIM VINA L.THÀNH ( KBX )</v>
          </cell>
          <cell r="C168">
            <v>900000</v>
          </cell>
        </row>
        <row r="169">
          <cell r="A169" t="str">
            <v>DTO</v>
          </cell>
          <cell r="B169" t="str">
            <v xml:space="preserve">ĐỨC TỎ </v>
          </cell>
          <cell r="C169">
            <v>800000</v>
          </cell>
        </row>
        <row r="170">
          <cell r="A170" t="str">
            <v>dpTD</v>
          </cell>
          <cell r="B170" t="str">
            <v>D,P THỦ ĐỨC ( K BX)</v>
          </cell>
          <cell r="C170">
            <v>800000</v>
          </cell>
        </row>
        <row r="171">
          <cell r="A171" t="str">
            <v>ĐTMTX</v>
          </cell>
          <cell r="B171" t="str">
            <v>ĐÔNG THANH MỸ THO XÁ</v>
          </cell>
          <cell r="C171">
            <v>230000</v>
          </cell>
        </row>
        <row r="172">
          <cell r="A172" t="str">
            <v>ĐTMTP</v>
          </cell>
          <cell r="B172" t="str">
            <v>ĐÔNG THANH MỸ THO PALLET</v>
          </cell>
          <cell r="C172">
            <v>230000</v>
          </cell>
        </row>
        <row r="173">
          <cell r="A173" t="str">
            <v>ECOP</v>
          </cell>
          <cell r="B173" t="str">
            <v>EARTH COOP</v>
          </cell>
          <cell r="C173">
            <v>1200000</v>
          </cell>
        </row>
        <row r="174">
          <cell r="A174" t="str">
            <v>DHT</v>
          </cell>
          <cell r="B174" t="str">
            <v>ĐẠI HƯNG THỊNH BD ( KBX )</v>
          </cell>
          <cell r="C174">
            <v>900000</v>
          </cell>
        </row>
        <row r="175">
          <cell r="A175" t="str">
            <v>DQ</v>
          </cell>
          <cell r="B175" t="str">
            <v>ĐÔNG QUÂN</v>
          </cell>
          <cell r="C175">
            <v>800000</v>
          </cell>
        </row>
        <row r="177">
          <cell r="A177" t="str">
            <v>mt</v>
          </cell>
          <cell r="B177" t="str">
            <v>Minh Tâm ( H.môn)</v>
          </cell>
          <cell r="C177">
            <v>800000</v>
          </cell>
        </row>
        <row r="178">
          <cell r="A178" t="str">
            <v>MILA</v>
          </cell>
          <cell r="B178" t="str">
            <v>MILANO</v>
          </cell>
          <cell r="C178">
            <v>900000</v>
          </cell>
        </row>
        <row r="179">
          <cell r="A179" t="str">
            <v>MP</v>
          </cell>
          <cell r="B179" t="str">
            <v>MINH PHONG Q.12</v>
          </cell>
          <cell r="C179">
            <v>800000</v>
          </cell>
        </row>
        <row r="180">
          <cell r="A180" t="str">
            <v>MKH</v>
          </cell>
          <cell r="B180" t="str">
            <v>MÃ KIM HUỆ</v>
          </cell>
          <cell r="C180">
            <v>800000</v>
          </cell>
        </row>
        <row r="181">
          <cell r="A181" t="str">
            <v>MASAN</v>
          </cell>
          <cell r="B181" t="str">
            <v>MASAN B.DƯƠNG</v>
          </cell>
          <cell r="C181">
            <v>900000</v>
          </cell>
        </row>
        <row r="182">
          <cell r="A182" t="str">
            <v>MB</v>
          </cell>
          <cell r="B182" t="str">
            <v>MEBIPHAR</v>
          </cell>
          <cell r="C182" t="str">
            <v/>
          </cell>
        </row>
        <row r="183">
          <cell r="A183" t="str">
            <v>mnvt</v>
          </cell>
          <cell r="B183" t="str">
            <v>MN VĨNH THẠNH</v>
          </cell>
          <cell r="C183">
            <v>800000</v>
          </cell>
        </row>
        <row r="184">
          <cell r="A184" t="str">
            <v>MARI</v>
          </cell>
          <cell r="B184" t="str">
            <v>MARICO</v>
          </cell>
          <cell r="C184">
            <v>800000</v>
          </cell>
        </row>
        <row r="185">
          <cell r="A185" t="str">
            <v>MIA</v>
          </cell>
          <cell r="B185" t="str">
            <v>MỸ PHẨM MIA Q6</v>
          </cell>
          <cell r="C185">
            <v>800000</v>
          </cell>
        </row>
        <row r="186">
          <cell r="A186" t="str">
            <v>MK</v>
          </cell>
          <cell r="B186" t="str">
            <v>MINH KHANG HM(K BX)</v>
          </cell>
          <cell r="C186">
            <v>800000</v>
          </cell>
        </row>
        <row r="187">
          <cell r="A187" t="str">
            <v>MPSG</v>
          </cell>
          <cell r="B187" t="str">
            <v>MỸ PHẨM SG Q2 (K BX )</v>
          </cell>
          <cell r="C187">
            <v>800000</v>
          </cell>
        </row>
        <row r="188">
          <cell r="A188" t="str">
            <v>MGVP</v>
          </cell>
          <cell r="B188" t="str">
            <v>MEGA VIỆT PHÁT L.HẬU ( K BX )</v>
          </cell>
          <cell r="C188">
            <v>400000</v>
          </cell>
        </row>
        <row r="189">
          <cell r="A189" t="str">
            <v>MPNT</v>
          </cell>
          <cell r="B189" t="str">
            <v>MỸ PHẨM LG VINA ( KBX )</v>
          </cell>
          <cell r="C189">
            <v>900000</v>
          </cell>
        </row>
        <row r="190">
          <cell r="A190" t="str">
            <v>MPLH</v>
          </cell>
          <cell r="B190" t="str">
            <v>MỸ PHẨM LAN HẢO ( KBX )</v>
          </cell>
          <cell r="C190">
            <v>800000</v>
          </cell>
        </row>
        <row r="192">
          <cell r="A192" t="str">
            <v>NAICNDN</v>
          </cell>
          <cell r="B192" t="str">
            <v>NDFC - NAIC BẾN LỨC XE NHỎ</v>
          </cell>
          <cell r="C192">
            <v>900000</v>
          </cell>
        </row>
        <row r="193">
          <cell r="A193" t="str">
            <v>NTAN</v>
          </cell>
          <cell r="B193" t="str">
            <v>NHỰT TÂN</v>
          </cell>
          <cell r="C193">
            <v>900000</v>
          </cell>
        </row>
        <row r="194">
          <cell r="A194" t="str">
            <v>NIC</v>
          </cell>
          <cell r="B194" t="str">
            <v>NIC PHARMA</v>
          </cell>
          <cell r="C194">
            <v>800000</v>
          </cell>
        </row>
        <row r="195">
          <cell r="A195" t="str">
            <v>NP</v>
          </cell>
          <cell r="B195" t="str">
            <v>NAM PHƯƠNG CU CHI ( KBX )</v>
          </cell>
          <cell r="C195">
            <v>800000</v>
          </cell>
        </row>
        <row r="196">
          <cell r="A196" t="str">
            <v>NH</v>
          </cell>
          <cell r="B196" t="str">
            <v>N.HƯNG Q.6</v>
          </cell>
          <cell r="C196">
            <v>800000</v>
          </cell>
        </row>
        <row r="197">
          <cell r="A197" t="str">
            <v>NNH</v>
          </cell>
          <cell r="B197" t="str">
            <v>N.N.HƯNG</v>
          </cell>
          <cell r="C197">
            <v>800000</v>
          </cell>
        </row>
        <row r="198">
          <cell r="A198" t="str">
            <v>NTRU</v>
          </cell>
          <cell r="B198" t="str">
            <v>NGUYỄN TRƯƠNG</v>
          </cell>
          <cell r="C198">
            <v>800000</v>
          </cell>
        </row>
        <row r="199">
          <cell r="A199" t="str">
            <v>NT</v>
          </cell>
          <cell r="B199" t="str">
            <v>NGÂN TRANG Q.5</v>
          </cell>
          <cell r="C199">
            <v>800000</v>
          </cell>
        </row>
        <row r="200">
          <cell r="A200" t="str">
            <v>NT12</v>
          </cell>
          <cell r="B200" t="str">
            <v>NGÂN TRANG Q.12</v>
          </cell>
          <cell r="C200">
            <v>800000</v>
          </cell>
        </row>
        <row r="201">
          <cell r="A201" t="str">
            <v>NN</v>
          </cell>
          <cell r="B201" t="str">
            <v>NGÀ NĂM</v>
          </cell>
          <cell r="C201">
            <v>800000</v>
          </cell>
        </row>
        <row r="202">
          <cell r="A202" t="str">
            <v>NV</v>
          </cell>
          <cell r="B202" t="str">
            <v>NAM VIỆT ĐỖ ( K BX )</v>
          </cell>
          <cell r="C202">
            <v>800000</v>
          </cell>
        </row>
        <row r="203">
          <cell r="A203" t="str">
            <v>NVT</v>
          </cell>
          <cell r="B203" t="str">
            <v>N.V.ĐỖ TL10</v>
          </cell>
          <cell r="C203">
            <v>800000</v>
          </cell>
        </row>
        <row r="204">
          <cell r="A204" t="str">
            <v>NVH</v>
          </cell>
          <cell r="B204" t="str">
            <v>NAM VIỆT ĐỖ H.MÔN ( K BX)</v>
          </cell>
          <cell r="C204">
            <v>800000</v>
          </cell>
        </row>
        <row r="205">
          <cell r="A205" t="str">
            <v>NDFC</v>
          </cell>
          <cell r="B205" t="str">
            <v>TRUNG CHUYỂN</v>
          </cell>
          <cell r="C205">
            <v>600000</v>
          </cell>
        </row>
        <row r="206">
          <cell r="A206" t="str">
            <v>nth</v>
          </cell>
          <cell r="B206" t="str">
            <v>Như Thùy</v>
          </cell>
          <cell r="C206">
            <v>800000</v>
          </cell>
        </row>
        <row r="207">
          <cell r="A207" t="str">
            <v>nvhau</v>
          </cell>
          <cell r="B207" t="str">
            <v>NGUYỄN VĂN HẬU</v>
          </cell>
          <cell r="C207">
            <v>800000</v>
          </cell>
        </row>
        <row r="208">
          <cell r="A208" t="str">
            <v>NSG</v>
          </cell>
          <cell r="B208" t="str">
            <v>NAM SÀI GÒN</v>
          </cell>
          <cell r="C208">
            <v>800000</v>
          </cell>
        </row>
        <row r="209">
          <cell r="A209" t="str">
            <v>NNY</v>
          </cell>
          <cell r="B209" t="str">
            <v>NGỌC NHƯ Ý</v>
          </cell>
          <cell r="C209">
            <v>800000</v>
          </cell>
        </row>
        <row r="210">
          <cell r="A210" t="str">
            <v>NUTRI</v>
          </cell>
          <cell r="B210" t="str">
            <v>NUTRIDIAMON- BH</v>
          </cell>
          <cell r="C210">
            <v>900000</v>
          </cell>
        </row>
        <row r="211">
          <cell r="A211" t="str">
            <v>UNIBEN</v>
          </cell>
          <cell r="B211" t="str">
            <v>UNIBEN TÂN UYÊN</v>
          </cell>
          <cell r="C211">
            <v>1000000</v>
          </cell>
        </row>
        <row r="212">
          <cell r="A212" t="str">
            <v>NS</v>
          </cell>
          <cell r="B212" t="str">
            <v>NISSIN TÂN UYÊN ( K BX)</v>
          </cell>
          <cell r="C212">
            <v>1000000</v>
          </cell>
        </row>
        <row r="213">
          <cell r="A213" t="str">
            <v>NHDT</v>
          </cell>
          <cell r="B213" t="str">
            <v>NAM HUY Đ.THÁP CỦ CHI</v>
          </cell>
          <cell r="C213">
            <v>900000</v>
          </cell>
        </row>
        <row r="214">
          <cell r="A214" t="str">
            <v>NHUY</v>
          </cell>
          <cell r="B214" t="str">
            <v>NAM HUY Đ.THÁP ( KBX )</v>
          </cell>
          <cell r="C214">
            <v>800000</v>
          </cell>
        </row>
        <row r="215">
          <cell r="A215" t="str">
            <v>NUP</v>
          </cell>
          <cell r="B215" t="str">
            <v>NUPLEX BIÊN HOÀ</v>
          </cell>
          <cell r="C215">
            <v>900000</v>
          </cell>
        </row>
        <row r="216">
          <cell r="A216" t="str">
            <v>NES</v>
          </cell>
          <cell r="B216" t="str">
            <v>NESTLE LONG BÌNH ( KBX)</v>
          </cell>
          <cell r="C216">
            <v>900000</v>
          </cell>
        </row>
        <row r="217">
          <cell r="A217" t="str">
            <v>NET</v>
          </cell>
          <cell r="B217" t="str">
            <v>NET LONG THÀNH (K BX )</v>
          </cell>
          <cell r="C217">
            <v>900000</v>
          </cell>
        </row>
        <row r="218">
          <cell r="A218" t="str">
            <v>NUTI</v>
          </cell>
          <cell r="B218" t="str">
            <v>NUTIFOOD ( K BX )</v>
          </cell>
          <cell r="C218">
            <v>900000</v>
          </cell>
        </row>
        <row r="219">
          <cell r="A219" t="str">
            <v>NTBC</v>
          </cell>
          <cell r="B219" t="str">
            <v>NUTRIBIZ BẾN CÁT ( K BX )</v>
          </cell>
          <cell r="C219">
            <v>1200000</v>
          </cell>
        </row>
        <row r="220">
          <cell r="A220" t="str">
            <v>NDA</v>
          </cell>
          <cell r="B220" t="str">
            <v>NDA</v>
          </cell>
          <cell r="C220">
            <v>800000</v>
          </cell>
        </row>
        <row r="221">
          <cell r="A221" t="str">
            <v>NEWL</v>
          </cell>
          <cell r="B221" t="str">
            <v>NEW LIFE ( KBX )</v>
          </cell>
          <cell r="C221">
            <v>900000</v>
          </cell>
        </row>
        <row r="222">
          <cell r="A222" t="str">
            <v>NPHU</v>
          </cell>
          <cell r="B222" t="str">
            <v>NGHIỆP PHÚ ( KBX )</v>
          </cell>
          <cell r="C222">
            <v>800000</v>
          </cell>
        </row>
        <row r="223">
          <cell r="A223" t="str">
            <v>NLANG</v>
          </cell>
          <cell r="B223" t="str">
            <v>NGỌC LANG</v>
          </cell>
          <cell r="C223">
            <v>900000</v>
          </cell>
        </row>
        <row r="224">
          <cell r="A224" t="str">
            <v>NNM</v>
          </cell>
          <cell r="B224" t="str">
            <v>NHỰA NGỌC MINH ( KBX)</v>
          </cell>
          <cell r="C224">
            <v>800000</v>
          </cell>
        </row>
        <row r="226">
          <cell r="A226" t="str">
            <v>PNL</v>
          </cell>
          <cell r="B226" t="str">
            <v>PHẠM NGUYÊN L.AN</v>
          </cell>
          <cell r="C226">
            <v>900000</v>
          </cell>
        </row>
        <row r="227">
          <cell r="A227" t="str">
            <v>PN</v>
          </cell>
          <cell r="B227" t="str">
            <v>PHẠM NGUYÊN B.TÂN</v>
          </cell>
          <cell r="C227">
            <v>800000</v>
          </cell>
        </row>
        <row r="228">
          <cell r="A228" t="str">
            <v>PP</v>
          </cell>
          <cell r="B228" t="str">
            <v>PHONG PHÚ -BC</v>
          </cell>
          <cell r="C228">
            <v>800000</v>
          </cell>
        </row>
        <row r="229">
          <cell r="A229" t="str">
            <v>PT</v>
          </cell>
          <cell r="B229" t="str">
            <v>PHÚC THỊNH VINA ( K BX )</v>
          </cell>
          <cell r="C229">
            <v>800000</v>
          </cell>
        </row>
        <row r="230">
          <cell r="A230" t="str">
            <v>PNAM</v>
          </cell>
          <cell r="B230" t="str">
            <v>PHƯƠNG NAM ( K BX)</v>
          </cell>
          <cell r="C230">
            <v>800000</v>
          </cell>
        </row>
        <row r="231">
          <cell r="A231" t="str">
            <v>pd</v>
          </cell>
          <cell r="B231" t="str">
            <v>PHƯƠNG ĐÔNG</v>
          </cell>
          <cell r="C231">
            <v>800000</v>
          </cell>
        </row>
        <row r="232">
          <cell r="A232" t="str">
            <v>papa</v>
          </cell>
          <cell r="B232" t="str">
            <v>Paparotti Tân Phú</v>
          </cell>
          <cell r="C232">
            <v>800000</v>
          </cell>
        </row>
        <row r="233">
          <cell r="A233" t="str">
            <v>PHAM</v>
          </cell>
          <cell r="B233" t="str">
            <v>PHẠM ASSET ( K BX )</v>
          </cell>
          <cell r="C233">
            <v>800000</v>
          </cell>
        </row>
        <row r="234">
          <cell r="A234" t="str">
            <v>PANH</v>
          </cell>
          <cell r="B234" t="str">
            <v>PHÚC ANH - B.THẠNH</v>
          </cell>
          <cell r="C234">
            <v>800000</v>
          </cell>
        </row>
        <row r="235">
          <cell r="A235" t="str">
            <v>PVY</v>
          </cell>
          <cell r="B235" t="str">
            <v>Phương Vy- Bình Thạnh</v>
          </cell>
          <cell r="C235">
            <v>800000</v>
          </cell>
        </row>
        <row r="236">
          <cell r="A236" t="str">
            <v>pviet</v>
          </cell>
          <cell r="B236" t="str">
            <v>PHỞ VIỆT - B.DƯƠNG</v>
          </cell>
          <cell r="C236">
            <v>900000</v>
          </cell>
        </row>
        <row r="237">
          <cell r="A237" t="str">
            <v>pe</v>
          </cell>
          <cell r="B237" t="str">
            <v>PERPETTI</v>
          </cell>
          <cell r="C237">
            <v>900000</v>
          </cell>
        </row>
        <row r="238">
          <cell r="A238" t="str">
            <v>pv</v>
          </cell>
          <cell r="B238" t="str">
            <v>PHONG VÂN ( K BX )</v>
          </cell>
          <cell r="C238">
            <v>800000</v>
          </cell>
        </row>
        <row r="239">
          <cell r="A239" t="str">
            <v>PVG</v>
          </cell>
          <cell r="B239" t="str">
            <v>PHONG VÂN - GÒ VẤP ( K BX )</v>
          </cell>
          <cell r="C239">
            <v>800000</v>
          </cell>
        </row>
        <row r="240">
          <cell r="A240" t="str">
            <v>PY</v>
          </cell>
          <cell r="B240" t="str">
            <v>PHƯƠNG YẾN</v>
          </cell>
          <cell r="C240">
            <v>800000</v>
          </cell>
        </row>
        <row r="241">
          <cell r="A241" t="str">
            <v>PHV</v>
          </cell>
          <cell r="B241" t="str">
            <v>PHÚ HOÀNG VINH</v>
          </cell>
          <cell r="C241">
            <v>800000</v>
          </cell>
        </row>
        <row r="242">
          <cell r="A242" t="str">
            <v>P&amp;T</v>
          </cell>
          <cell r="B242" t="str">
            <v>P&amp;T THUẬN AN</v>
          </cell>
          <cell r="C242">
            <v>900000</v>
          </cell>
        </row>
        <row r="243">
          <cell r="A243" t="str">
            <v>PAA</v>
          </cell>
          <cell r="B243" t="str">
            <v>PHÁT AN AN-C.GIUỘC</v>
          </cell>
          <cell r="C243">
            <v>800000</v>
          </cell>
        </row>
        <row r="244">
          <cell r="A244" t="str">
            <v>POYUN</v>
          </cell>
          <cell r="B244" t="str">
            <v>POYUN TÂN UYÊN</v>
          </cell>
          <cell r="C244">
            <v>1200000</v>
          </cell>
        </row>
        <row r="245">
          <cell r="A245" t="str">
            <v>ppm</v>
          </cell>
          <cell r="B245" t="str">
            <v>PHẠM PHAN MES CỦ CHI ( K BX )</v>
          </cell>
          <cell r="C245">
            <v>900000</v>
          </cell>
        </row>
        <row r="246">
          <cell r="A246" t="str">
            <v>PPLA</v>
          </cell>
          <cell r="B246" t="str">
            <v>PHẠM PHAN LONG AN</v>
          </cell>
          <cell r="C246">
            <v>900000</v>
          </cell>
        </row>
        <row r="247">
          <cell r="A247" t="str">
            <v>PYtb</v>
          </cell>
          <cell r="B247" t="str">
            <v>POYUN TRẢNG BOM</v>
          </cell>
          <cell r="C247">
            <v>1100000</v>
          </cell>
        </row>
        <row r="248">
          <cell r="A248" t="str">
            <v>P&amp;V</v>
          </cell>
          <cell r="B248" t="str">
            <v>P&amp;V GÒ VẤP</v>
          </cell>
          <cell r="C248">
            <v>800000</v>
          </cell>
        </row>
        <row r="249">
          <cell r="A249" t="str">
            <v>PPL</v>
          </cell>
          <cell r="B249" t="str">
            <v>PHẠM PHAN SLES Đ.HOÀ ( K BX)</v>
          </cell>
          <cell r="C249">
            <v>900000</v>
          </cell>
        </row>
        <row r="250">
          <cell r="A250" t="str">
            <v>PTHAI</v>
          </cell>
          <cell r="B250" t="str">
            <v>PHÚ THÁI BD ( K BX )</v>
          </cell>
          <cell r="C250">
            <v>900000</v>
          </cell>
        </row>
        <row r="251">
          <cell r="A251" t="str">
            <v>PMVN</v>
          </cell>
          <cell r="B251" t="str">
            <v>PHAN MINH VŨ XE NHỎ XÁ</v>
          </cell>
          <cell r="C251">
            <v>1500000</v>
          </cell>
        </row>
        <row r="252">
          <cell r="A252" t="str">
            <v>PC</v>
          </cell>
          <cell r="B252" t="str">
            <v>PHƯỚC CƯỜNG FL</v>
          </cell>
          <cell r="C252">
            <v>800000</v>
          </cell>
        </row>
        <row r="255">
          <cell r="A255" t="str">
            <v>lthp</v>
          </cell>
          <cell r="B255" t="str">
            <v>LỘC THIÊN HƯNG PHÁT</v>
          </cell>
          <cell r="C255">
            <v>900000</v>
          </cell>
        </row>
        <row r="256">
          <cell r="A256" t="str">
            <v>ltd</v>
          </cell>
          <cell r="B256" t="str">
            <v>Lê Trọng Đạt</v>
          </cell>
          <cell r="C256">
            <v>800000</v>
          </cell>
        </row>
        <row r="257">
          <cell r="A257" t="str">
            <v>lc</v>
          </cell>
          <cell r="B257" t="str">
            <v>Lacos - Long An</v>
          </cell>
          <cell r="C257">
            <v>900000</v>
          </cell>
        </row>
        <row r="258">
          <cell r="A258" t="str">
            <v>LG</v>
          </cell>
          <cell r="B258" t="str">
            <v>LÊ GIA THỦ ĐỨC</v>
          </cell>
          <cell r="C258">
            <v>800000</v>
          </cell>
        </row>
        <row r="259">
          <cell r="A259" t="str">
            <v>LBD</v>
          </cell>
          <cell r="B259" t="str">
            <v>LÂM BÌNH DƯƠNG</v>
          </cell>
          <cell r="C259">
            <v>900000</v>
          </cell>
        </row>
        <row r="260">
          <cell r="A260" t="str">
            <v>lww</v>
          </cell>
          <cell r="B260" t="str">
            <v>Liwayway</v>
          </cell>
          <cell r="C260">
            <v>900000</v>
          </cell>
        </row>
        <row r="261">
          <cell r="A261" t="str">
            <v>LV</v>
          </cell>
          <cell r="B261" t="str">
            <v>LÃ VÕ</v>
          </cell>
          <cell r="C261">
            <v>800000</v>
          </cell>
        </row>
        <row r="262">
          <cell r="A262" t="str">
            <v>LTAN</v>
          </cell>
          <cell r="B262" t="str">
            <v>LAM TÂN T.ĐỨC ( K BX)</v>
          </cell>
          <cell r="C262">
            <v>800000</v>
          </cell>
        </row>
        <row r="263">
          <cell r="A263" t="str">
            <v>LHT</v>
          </cell>
          <cell r="B263" t="str">
            <v>LÊ HUY THIÊN -BH</v>
          </cell>
          <cell r="C263">
            <v>900000</v>
          </cell>
        </row>
        <row r="264">
          <cell r="A264" t="str">
            <v>LONA</v>
          </cell>
          <cell r="B264" t="str">
            <v>LONA TD Q6</v>
          </cell>
          <cell r="C264">
            <v>800000</v>
          </cell>
        </row>
        <row r="265">
          <cell r="A265" t="str">
            <v>lotha</v>
          </cell>
          <cell r="B265" t="str">
            <v>LOTHAMILK</v>
          </cell>
          <cell r="C265">
            <v>800000</v>
          </cell>
        </row>
        <row r="266">
          <cell r="A266" t="str">
            <v>LTMP</v>
          </cell>
          <cell r="B266" t="str">
            <v>LOTTE MỸ  PHƯỚC</v>
          </cell>
          <cell r="C266">
            <v>1200000</v>
          </cell>
        </row>
        <row r="267">
          <cell r="A267" t="str">
            <v>LGLA</v>
          </cell>
          <cell r="B267" t="str">
            <v>CT LG L.AN ( K BX )</v>
          </cell>
          <cell r="C267">
            <v>900000</v>
          </cell>
        </row>
        <row r="268">
          <cell r="A268" t="str">
            <v>lnguyen</v>
          </cell>
          <cell r="B268" t="str">
            <v>LIÊN NGUYỄN B.CHÁNH</v>
          </cell>
          <cell r="C268">
            <v>800000</v>
          </cell>
        </row>
        <row r="269">
          <cell r="A269" t="str">
            <v>LILIUM</v>
          </cell>
          <cell r="B269" t="str">
            <v>LILIUM CẦN GIUỘC</v>
          </cell>
          <cell r="C269">
            <v>800000</v>
          </cell>
        </row>
        <row r="270">
          <cell r="A270" t="str">
            <v>lcf</v>
          </cell>
          <cell r="B270" t="str">
            <v>LC FOOD ( KBX )</v>
          </cell>
          <cell r="C270">
            <v>1300000</v>
          </cell>
        </row>
        <row r="271">
          <cell r="A271" t="str">
            <v>LCC</v>
          </cell>
          <cell r="B271" t="str">
            <v>LACHENCO</v>
          </cell>
          <cell r="C271">
            <v>900000</v>
          </cell>
        </row>
        <row r="273">
          <cell r="A273" t="str">
            <v>kp</v>
          </cell>
          <cell r="B273" t="str">
            <v>Khang Phát</v>
          </cell>
          <cell r="C273">
            <v>800000</v>
          </cell>
        </row>
        <row r="274">
          <cell r="A274" t="str">
            <v>khc</v>
          </cell>
          <cell r="B274" t="str">
            <v>KIM HẢI CHÂU</v>
          </cell>
          <cell r="C274">
            <v>900000</v>
          </cell>
        </row>
        <row r="275">
          <cell r="A275" t="str">
            <v>KM</v>
          </cell>
          <cell r="B275" t="str">
            <v>KIM MÃ</v>
          </cell>
          <cell r="C275">
            <v>800000</v>
          </cell>
        </row>
        <row r="276">
          <cell r="A276" t="str">
            <v>KFC</v>
          </cell>
          <cell r="B276" t="str">
            <v>KFC GÒ VẤP ( K BX )</v>
          </cell>
          <cell r="C276">
            <v>800000</v>
          </cell>
        </row>
        <row r="277">
          <cell r="A277" t="str">
            <v>KF</v>
          </cell>
          <cell r="B277" t="str">
            <v>KING FOOD</v>
          </cell>
          <cell r="C277">
            <v>900000</v>
          </cell>
        </row>
        <row r="278">
          <cell r="A278" t="str">
            <v>KV</v>
          </cell>
          <cell r="B278" t="str">
            <v>KIẾN VƯƠNG ( KBX )</v>
          </cell>
          <cell r="C278">
            <v>800000</v>
          </cell>
        </row>
        <row r="279">
          <cell r="A279" t="str">
            <v>KR</v>
          </cell>
          <cell r="B279" t="str">
            <v>KERRY THUẬN AN</v>
          </cell>
          <cell r="C279">
            <v>900000</v>
          </cell>
        </row>
        <row r="280">
          <cell r="A280" t="str">
            <v>KITA</v>
          </cell>
          <cell r="B280" t="str">
            <v>KITAMURA Q12</v>
          </cell>
          <cell r="C280">
            <v>800000</v>
          </cell>
        </row>
        <row r="281">
          <cell r="A281" t="str">
            <v>KDMK</v>
          </cell>
          <cell r="B281" t="str">
            <v>KÉO DÁN MINH KHANG H.MÔN ( KBX )</v>
          </cell>
          <cell r="C281">
            <v>800000</v>
          </cell>
        </row>
        <row r="282">
          <cell r="A282" t="str">
            <v>KVU</v>
          </cell>
          <cell r="B282" t="str">
            <v>KỲ VŨ ( K BX )</v>
          </cell>
          <cell r="C282">
            <v>800000</v>
          </cell>
        </row>
        <row r="283">
          <cell r="A283" t="str">
            <v>KIDO</v>
          </cell>
          <cell r="B283" t="str">
            <v xml:space="preserve">KIDO CỦ CHI </v>
          </cell>
          <cell r="C283">
            <v>900000</v>
          </cell>
        </row>
        <row r="284">
          <cell r="A284" t="str">
            <v>KD</v>
          </cell>
          <cell r="B284" t="str">
            <v>KINH ĐÔ</v>
          </cell>
          <cell r="C284">
            <v>1000000</v>
          </cell>
        </row>
        <row r="285">
          <cell r="A285" t="str">
            <v>KOP</v>
          </cell>
          <cell r="B285" t="str">
            <v>KOP Q9 ( K BX )</v>
          </cell>
          <cell r="C285">
            <v>800000</v>
          </cell>
        </row>
        <row r="286">
          <cell r="A286" t="str">
            <v>ks</v>
          </cell>
          <cell r="B286" t="str">
            <v>KUSAN Q9 ( K BX )</v>
          </cell>
          <cell r="C286">
            <v>800000</v>
          </cell>
        </row>
        <row r="287">
          <cell r="A287" t="str">
            <v>kopdh</v>
          </cell>
          <cell r="B287" t="str">
            <v>KOP ĐỨC HÒA ( K BX )</v>
          </cell>
          <cell r="C287">
            <v>900000</v>
          </cell>
        </row>
        <row r="288">
          <cell r="A288" t="str">
            <v>KRE</v>
          </cell>
          <cell r="B288" t="str">
            <v>KREATORS ( KBX )</v>
          </cell>
          <cell r="C288">
            <v>1000000</v>
          </cell>
        </row>
        <row r="290">
          <cell r="A290" t="str">
            <v>GTT</v>
          </cell>
          <cell r="B290" t="str">
            <v>GIÀY THÁI THỊNH ( kbx )</v>
          </cell>
          <cell r="C290">
            <v>800000</v>
          </cell>
        </row>
        <row r="291">
          <cell r="A291" t="str">
            <v>GST</v>
          </cell>
          <cell r="B291" t="str">
            <v>GA SÓNG THẦN</v>
          </cell>
          <cell r="C291">
            <v>900000</v>
          </cell>
        </row>
        <row r="292">
          <cell r="A292" t="str">
            <v>GB</v>
          </cell>
          <cell r="B292" t="str">
            <v>PHÂN BÓN GIA BẢO</v>
          </cell>
          <cell r="C292">
            <v>800000</v>
          </cell>
        </row>
        <row r="293">
          <cell r="A293" t="str">
            <v>GK</v>
          </cell>
          <cell r="B293" t="str">
            <v>GIA KHANG</v>
          </cell>
          <cell r="C293">
            <v>800000</v>
          </cell>
        </row>
        <row r="294">
          <cell r="A294" t="str">
            <v>GKP</v>
          </cell>
          <cell r="B294" t="str">
            <v>GIA KHANG PHÁT</v>
          </cell>
          <cell r="C294">
            <v>800000</v>
          </cell>
        </row>
        <row r="295">
          <cell r="A295" t="str">
            <v>GN</v>
          </cell>
          <cell r="B295" t="str">
            <v>GN FOOD LONG HẬU</v>
          </cell>
          <cell r="C295">
            <v>600000</v>
          </cell>
        </row>
        <row r="296">
          <cell r="A296" t="str">
            <v>gp</v>
          </cell>
          <cell r="B296" t="str">
            <v>Grand Place</v>
          </cell>
          <cell r="C296">
            <v>900000</v>
          </cell>
        </row>
        <row r="297">
          <cell r="A297" t="str">
            <v>GD</v>
          </cell>
          <cell r="B297" t="str">
            <v>GOLD D</v>
          </cell>
          <cell r="C297">
            <v>800000</v>
          </cell>
        </row>
        <row r="298">
          <cell r="A298" t="str">
            <v>GV</v>
          </cell>
          <cell r="B298" t="str">
            <v>GOLD VIỆT B.CHÁNH ( K BX)</v>
          </cell>
          <cell r="C298">
            <v>800000</v>
          </cell>
        </row>
        <row r="299">
          <cell r="A299" t="str">
            <v>GOLS</v>
          </cell>
          <cell r="B299" t="str">
            <v>GOLDEN SWORD</v>
          </cell>
          <cell r="C299">
            <v>800000</v>
          </cell>
        </row>
        <row r="300">
          <cell r="A300" t="str">
            <v>AGRO</v>
          </cell>
          <cell r="B300" t="str">
            <v>AGRONALIS</v>
          </cell>
          <cell r="C300">
            <v>800000</v>
          </cell>
        </row>
        <row r="302">
          <cell r="A302" t="str">
            <v>QMK</v>
          </cell>
          <cell r="B302" t="str">
            <v>QUANG MINH KHANG</v>
          </cell>
          <cell r="C302">
            <v>800000</v>
          </cell>
        </row>
        <row r="303">
          <cell r="A303" t="str">
            <v>TANT</v>
          </cell>
          <cell r="B303" t="str">
            <v>TẤN TƯỜNG</v>
          </cell>
          <cell r="C303">
            <v>800000</v>
          </cell>
        </row>
        <row r="304">
          <cell r="A304" t="str">
            <v>TMH</v>
          </cell>
          <cell r="B304" t="str">
            <v>TRẦN MỸ HƯƠNG</v>
          </cell>
          <cell r="C304">
            <v>800000</v>
          </cell>
        </row>
        <row r="305">
          <cell r="A305" t="str">
            <v>TPHAT</v>
          </cell>
          <cell r="B305" t="str">
            <v>THIỆN PHÁT</v>
          </cell>
          <cell r="C305">
            <v>800000</v>
          </cell>
        </row>
        <row r="306">
          <cell r="A306" t="str">
            <v>TPXT</v>
          </cell>
          <cell r="B306" t="str">
            <v>TP XU THẾ</v>
          </cell>
          <cell r="C306">
            <v>800000</v>
          </cell>
        </row>
        <row r="307">
          <cell r="A307" t="str">
            <v>THAO</v>
          </cell>
          <cell r="B307" t="str">
            <v>THẢO NGUYÊN BT</v>
          </cell>
          <cell r="C307">
            <v>800000</v>
          </cell>
        </row>
        <row r="308">
          <cell r="A308" t="str">
            <v>THT</v>
          </cell>
          <cell r="B308" t="str">
            <v>TÂN HÙNG THÁI</v>
          </cell>
          <cell r="C308">
            <v>800000</v>
          </cell>
        </row>
        <row r="309">
          <cell r="A309" t="str">
            <v>TT</v>
          </cell>
          <cell r="B309" t="str">
            <v>THƯ TRÚC</v>
          </cell>
          <cell r="C309">
            <v>800000</v>
          </cell>
        </row>
        <row r="310">
          <cell r="A310" t="str">
            <v>TP</v>
          </cell>
          <cell r="B310" t="str">
            <v>THỌ PHÁT</v>
          </cell>
          <cell r="C310">
            <v>500000</v>
          </cell>
        </row>
        <row r="311">
          <cell r="A311" t="str">
            <v>tx</v>
          </cell>
          <cell r="B311" t="str">
            <v>THANH XUÂN</v>
          </cell>
          <cell r="C311">
            <v>800000</v>
          </cell>
        </row>
        <row r="312">
          <cell r="A312" t="str">
            <v>tnh</v>
          </cell>
          <cell r="B312" t="str">
            <v>Tân Nhất Hương</v>
          </cell>
          <cell r="C312">
            <v>800000</v>
          </cell>
        </row>
        <row r="313">
          <cell r="A313" t="str">
            <v>THEW</v>
          </cell>
          <cell r="B313" t="str">
            <v>THEWAY - B.TÂN</v>
          </cell>
          <cell r="C313">
            <v>800000</v>
          </cell>
        </row>
        <row r="314">
          <cell r="A314" t="str">
            <v>TC</v>
          </cell>
          <cell r="B314" t="str">
            <v>TRUE CARE</v>
          </cell>
          <cell r="C314">
            <v>800000</v>
          </cell>
        </row>
        <row r="315">
          <cell r="A315" t="str">
            <v>TG</v>
          </cell>
          <cell r="B315" t="str">
            <v>THÁI GIANG</v>
          </cell>
          <cell r="C315">
            <v>800000</v>
          </cell>
        </row>
        <row r="316">
          <cell r="A316" t="str">
            <v>tbl</v>
          </cell>
          <cell r="B316" t="str">
            <v>TBL-Q12</v>
          </cell>
          <cell r="C316">
            <v>800000</v>
          </cell>
        </row>
        <row r="317">
          <cell r="A317" t="str">
            <v>tbltd</v>
          </cell>
          <cell r="B317" t="str">
            <v>TBL-THỦ ĐỨC</v>
          </cell>
          <cell r="C317">
            <v>800000</v>
          </cell>
        </row>
        <row r="318">
          <cell r="A318" t="str">
            <v>TTC</v>
          </cell>
          <cell r="B318" t="str">
            <v>TÂN TOÀN CẦU</v>
          </cell>
          <cell r="C318">
            <v>800000</v>
          </cell>
        </row>
        <row r="319">
          <cell r="A319" t="str">
            <v>TD</v>
          </cell>
          <cell r="B319" t="str">
            <v>TRÍ ĐỨC CỦ CHI</v>
          </cell>
          <cell r="C319">
            <v>900000</v>
          </cell>
        </row>
        <row r="320">
          <cell r="A320" t="str">
            <v>TMSB</v>
          </cell>
          <cell r="B320" t="str">
            <v>TM SB Q6</v>
          </cell>
          <cell r="C320">
            <v>800000</v>
          </cell>
        </row>
        <row r="321">
          <cell r="A321" t="str">
            <v>trop</v>
          </cell>
          <cell r="B321" t="str">
            <v>TROPICAL</v>
          </cell>
          <cell r="C321">
            <v>800000</v>
          </cell>
        </row>
        <row r="322">
          <cell r="A322" t="str">
            <v>TM</v>
          </cell>
          <cell r="B322" t="str">
            <v>THANH MINH Q6</v>
          </cell>
          <cell r="C322">
            <v>800000</v>
          </cell>
        </row>
        <row r="323">
          <cell r="A323" t="str">
            <v>TOPF</v>
          </cell>
          <cell r="B323" t="str">
            <v>TOPFOOD</v>
          </cell>
          <cell r="C323">
            <v>900000</v>
          </cell>
        </row>
        <row r="324">
          <cell r="A324" t="str">
            <v>TBP</v>
          </cell>
          <cell r="B324" t="str">
            <v>TÂN BẢO PHÁT</v>
          </cell>
          <cell r="C324">
            <v>800000</v>
          </cell>
        </row>
        <row r="325">
          <cell r="A325" t="str">
            <v>MIA</v>
          </cell>
          <cell r="B325" t="str">
            <v>THỰC PHẨM MIA-Q6</v>
          </cell>
          <cell r="C325">
            <v>800000</v>
          </cell>
        </row>
        <row r="326">
          <cell r="A326" t="str">
            <v>TV</v>
          </cell>
          <cell r="B326" t="str">
            <v>CT TÙNG VIỆT NHƠN TRẠCH (KBX)</v>
          </cell>
          <cell r="C326">
            <v>900000</v>
          </cell>
        </row>
        <row r="327">
          <cell r="A327" t="str">
            <v>TLLT</v>
          </cell>
          <cell r="B327" t="str">
            <v>T.LONG L.THÀNH (K BX)</v>
          </cell>
          <cell r="C327">
            <v>900000</v>
          </cell>
        </row>
        <row r="328">
          <cell r="A328" t="str">
            <v>TILI</v>
          </cell>
          <cell r="B328" t="str">
            <v>TILICO TÊN LỬA</v>
          </cell>
          <cell r="C328">
            <v>800000</v>
          </cell>
        </row>
        <row r="329">
          <cell r="A329" t="str">
            <v>TTP</v>
          </cell>
          <cell r="B329" t="str">
            <v>THÀNH THÀNH PHÁT B.CHÁNH ( K BX)</v>
          </cell>
          <cell r="C329">
            <v>800000</v>
          </cell>
        </row>
        <row r="330">
          <cell r="A330" t="str">
            <v>TAB</v>
          </cell>
          <cell r="B330" t="str">
            <v>TA BAKER Q,12</v>
          </cell>
          <cell r="C330">
            <v>800000</v>
          </cell>
        </row>
        <row r="331">
          <cell r="A331" t="str">
            <v>TPLS</v>
          </cell>
          <cell r="B331" t="str">
            <v>THỰC PHẨM LONG SƠN ( KBX )</v>
          </cell>
          <cell r="C331">
            <v>900000</v>
          </cell>
        </row>
        <row r="332">
          <cell r="A332" t="str">
            <v>TNF</v>
          </cell>
          <cell r="B332" t="str">
            <v>TOÀN NGUYỄN FOOD</v>
          </cell>
          <cell r="C332">
            <v>800000</v>
          </cell>
        </row>
        <row r="333">
          <cell r="A333" t="str">
            <v>TSINH</v>
          </cell>
          <cell r="B333" t="str">
            <v>TRƯỜNG SINH ( KBX )</v>
          </cell>
          <cell r="C333">
            <v>800000</v>
          </cell>
        </row>
        <row r="335">
          <cell r="A335" t="str">
            <v>HDQT</v>
          </cell>
          <cell r="B335" t="str">
            <v>HOÁ DƯỢC QUỐC TẾ SG ( KBX )</v>
          </cell>
          <cell r="C335">
            <v>800000</v>
          </cell>
        </row>
        <row r="336">
          <cell r="A336" t="str">
            <v>HCVM</v>
          </cell>
          <cell r="B336" t="str">
            <v>HOÁ CHẤT VIỆT MỸ</v>
          </cell>
          <cell r="C336">
            <v>800000</v>
          </cell>
        </row>
        <row r="337">
          <cell r="A337" t="str">
            <v>HCVML</v>
          </cell>
          <cell r="B337" t="str">
            <v>HOÁ CHẤT VIỆT MỸ ( XE LỚN )</v>
          </cell>
          <cell r="C337">
            <v>800000</v>
          </cell>
        </row>
        <row r="338">
          <cell r="A338" t="str">
            <v>HBK</v>
          </cell>
          <cell r="B338" t="str">
            <v>HƯƠNG BAKI</v>
          </cell>
          <cell r="C338">
            <v>800000</v>
          </cell>
        </row>
        <row r="339">
          <cell r="A339" t="str">
            <v>HMAI</v>
          </cell>
          <cell r="B339" t="str">
            <v>HOA MAI</v>
          </cell>
          <cell r="C339">
            <v>800000</v>
          </cell>
        </row>
        <row r="340">
          <cell r="A340" t="str">
            <v>HCAC</v>
          </cell>
          <cell r="B340" t="str">
            <v>Hóa chất Á Châu</v>
          </cell>
          <cell r="C340">
            <v>800000</v>
          </cell>
        </row>
        <row r="341">
          <cell r="A341" t="str">
            <v>HCT</v>
          </cell>
          <cell r="B341" t="str">
            <v>Hct Family Food</v>
          </cell>
          <cell r="C341">
            <v>800000</v>
          </cell>
        </row>
        <row r="342">
          <cell r="A342" t="str">
            <v>HA</v>
          </cell>
          <cell r="B342" t="str">
            <v>HỒNG Á ( K BX )</v>
          </cell>
          <cell r="C342">
            <v>800000</v>
          </cell>
        </row>
        <row r="343">
          <cell r="A343" t="str">
            <v>HL</v>
          </cell>
          <cell r="B343" t="str">
            <v>HÂN LÊ HÓC MÔN</v>
          </cell>
          <cell r="C343">
            <v>800000</v>
          </cell>
        </row>
        <row r="344">
          <cell r="A344" t="str">
            <v>HXL</v>
          </cell>
          <cell r="B344" t="str">
            <v>HOÀNG XUÂN LONG</v>
          </cell>
          <cell r="C344">
            <v>800000</v>
          </cell>
        </row>
        <row r="345">
          <cell r="A345" t="str">
            <v>hanh</v>
          </cell>
          <cell r="B345" t="str">
            <v>Hoàng Anh</v>
          </cell>
          <cell r="C345">
            <v>800000</v>
          </cell>
        </row>
        <row r="346">
          <cell r="A346" t="str">
            <v>hp</v>
          </cell>
          <cell r="B346" t="str">
            <v>HƯNG PHÁT</v>
          </cell>
          <cell r="C346">
            <v>800000</v>
          </cell>
        </row>
        <row r="347">
          <cell r="A347" t="str">
            <v>HV</v>
          </cell>
          <cell r="B347" t="str">
            <v>HẠT VÀNG - LONG AN</v>
          </cell>
          <cell r="C347">
            <v>900000</v>
          </cell>
        </row>
        <row r="348">
          <cell r="A348" t="str">
            <v>HCL</v>
          </cell>
          <cell r="B348" t="str">
            <v>HÀ CẨM LiỀNG</v>
          </cell>
          <cell r="C348">
            <v>800000</v>
          </cell>
        </row>
        <row r="349">
          <cell r="A349" t="str">
            <v>HPHU</v>
          </cell>
          <cell r="B349" t="str">
            <v>HÂN PHÚ</v>
          </cell>
          <cell r="C349">
            <v>800000</v>
          </cell>
        </row>
        <row r="350">
          <cell r="A350" t="str">
            <v>HPHAT</v>
          </cell>
          <cell r="B350" t="str">
            <v>HỒNG PHÁT</v>
          </cell>
          <cell r="C350">
            <v>800000</v>
          </cell>
        </row>
        <row r="351">
          <cell r="A351" t="str">
            <v>HY</v>
          </cell>
          <cell r="B351" t="str">
            <v>HOÀNG YẾN</v>
          </cell>
          <cell r="C351">
            <v>800000</v>
          </cell>
        </row>
        <row r="352">
          <cell r="A352" t="str">
            <v>hmp</v>
          </cell>
          <cell r="B352" t="str">
            <v>HOÀNG MINH PHÁT</v>
          </cell>
          <cell r="C352">
            <v>800000</v>
          </cell>
        </row>
        <row r="353">
          <cell r="A353" t="str">
            <v>HQ</v>
          </cell>
          <cell r="B353" t="str">
            <v>HƯNG QUẾ</v>
          </cell>
          <cell r="C353">
            <v>800000</v>
          </cell>
        </row>
        <row r="354">
          <cell r="A354" t="str">
            <v>HPHUC</v>
          </cell>
          <cell r="B354" t="str">
            <v>HOÀ PHÚC</v>
          </cell>
          <cell r="C354">
            <v>800000</v>
          </cell>
        </row>
        <row r="355">
          <cell r="A355" t="str">
            <v>htg</v>
          </cell>
          <cell r="B355" t="str">
            <v>HT GOLD-V.LỘC ( K BX)</v>
          </cell>
          <cell r="C355">
            <v>800000</v>
          </cell>
        </row>
        <row r="356">
          <cell r="A356" t="str">
            <v>HNM</v>
          </cell>
          <cell r="B356" t="str">
            <v>HANOIMILK TÂN UYÊN ( KBX )</v>
          </cell>
          <cell r="C356">
            <v>1000000</v>
          </cell>
        </row>
        <row r="357">
          <cell r="A357" t="str">
            <v>HIM</v>
          </cell>
          <cell r="B357" t="str">
            <v>HIM NHƠN TRẠCH</v>
          </cell>
          <cell r="C357">
            <v>900000</v>
          </cell>
        </row>
        <row r="358">
          <cell r="A358" t="str">
            <v>H2TD</v>
          </cell>
          <cell r="B358" t="str">
            <v>H2CHEMICAL TĐ ( K BX)</v>
          </cell>
          <cell r="C358">
            <v>800000</v>
          </cell>
        </row>
        <row r="359">
          <cell r="A359" t="str">
            <v>HH</v>
          </cell>
          <cell r="B359" t="str">
            <v>HIẾN HIỆU XUÂN LỘC</v>
          </cell>
          <cell r="C359">
            <v>1500000</v>
          </cell>
        </row>
        <row r="360">
          <cell r="A360" t="str">
            <v>HNGOC</v>
          </cell>
          <cell r="B360" t="str">
            <v>HỒNG NGỌC AN LẠC</v>
          </cell>
          <cell r="C360">
            <v>800000</v>
          </cell>
        </row>
        <row r="361">
          <cell r="A361" t="str">
            <v>HTHANH</v>
          </cell>
          <cell r="B361" t="str">
            <v>HAI THANH KCN HP</v>
          </cell>
          <cell r="C361">
            <v>400000</v>
          </cell>
        </row>
        <row r="362">
          <cell r="A362" t="str">
            <v>HUB</v>
          </cell>
          <cell r="B362" t="str">
            <v>HUBCAKE</v>
          </cell>
          <cell r="C362">
            <v>800000</v>
          </cell>
        </row>
        <row r="363">
          <cell r="A363" t="str">
            <v>HN</v>
          </cell>
          <cell r="B363" t="str">
            <v>HỮU NGHỊ ( KBX )</v>
          </cell>
          <cell r="C363">
            <v>800000</v>
          </cell>
        </row>
        <row r="364">
          <cell r="A364" t="str">
            <v>HD</v>
          </cell>
          <cell r="B364" t="str">
            <v>HẢI ĐĂNG</v>
          </cell>
          <cell r="C364">
            <v>900000</v>
          </cell>
        </row>
        <row r="366">
          <cell r="A366" t="str">
            <v>SHT</v>
          </cell>
          <cell r="B366" t="str">
            <v>SONG HỒNG TÂN ( KBX )</v>
          </cell>
          <cell r="C366">
            <v>900000</v>
          </cell>
        </row>
        <row r="367">
          <cell r="A367" t="str">
            <v>sgm</v>
          </cell>
          <cell r="B367" t="str">
            <v>SÀI GÒN MILK ( K BX )</v>
          </cell>
          <cell r="C367">
            <v>800000</v>
          </cell>
        </row>
        <row r="368">
          <cell r="A368" t="str">
            <v>sthm</v>
          </cell>
          <cell r="B368" t="str">
            <v>Stella - Hóc Môn</v>
          </cell>
          <cell r="C368">
            <v>800000</v>
          </cell>
        </row>
        <row r="369">
          <cell r="A369" t="str">
            <v>spm</v>
          </cell>
          <cell r="B369" t="str">
            <v>SPM TÂN TẠO</v>
          </cell>
          <cell r="C369">
            <v>800000</v>
          </cell>
        </row>
        <row r="370">
          <cell r="A370" t="str">
            <v>SAF</v>
          </cell>
          <cell r="B370" t="str">
            <v>SAF VIỆT</v>
          </cell>
          <cell r="C370">
            <v>900000</v>
          </cell>
        </row>
        <row r="371">
          <cell r="A371" t="str">
            <v>sumi</v>
          </cell>
          <cell r="B371" t="str">
            <v>SUMIMOTO</v>
          </cell>
          <cell r="C371">
            <v>800000</v>
          </cell>
        </row>
        <row r="372">
          <cell r="A372" t="str">
            <v>SAP</v>
          </cell>
          <cell r="B372" t="str">
            <v>SAPRIMCO</v>
          </cell>
          <cell r="C372">
            <v>800000</v>
          </cell>
        </row>
        <row r="373">
          <cell r="A373" t="str">
            <v>SEA</v>
          </cell>
          <cell r="B373" t="str">
            <v>SEASPIMEX</v>
          </cell>
          <cell r="C373">
            <v>800000</v>
          </cell>
        </row>
        <row r="374">
          <cell r="A374" t="str">
            <v>sun</v>
          </cell>
          <cell r="B374" t="str">
            <v>SUNNY TECH THUẬN AN</v>
          </cell>
          <cell r="C374">
            <v>900000</v>
          </cell>
        </row>
        <row r="375">
          <cell r="A375" t="str">
            <v>STD</v>
          </cell>
          <cell r="B375" t="str">
            <v>SAO THÁI DƯƠNG</v>
          </cell>
          <cell r="C375">
            <v>800000</v>
          </cell>
        </row>
        <row r="376">
          <cell r="A376" t="str">
            <v>SEMBA</v>
          </cell>
          <cell r="B376" t="str">
            <v>SEMBA TOHKA</v>
          </cell>
          <cell r="C376">
            <v>900000</v>
          </cell>
        </row>
        <row r="377">
          <cell r="A377" t="str">
            <v>SILV</v>
          </cell>
          <cell r="B377" t="str">
            <v>SILVER NANO</v>
          </cell>
          <cell r="C377">
            <v>900000</v>
          </cell>
        </row>
        <row r="379">
          <cell r="A379" t="str">
            <v>US</v>
          </cell>
          <cell r="B379" t="str">
            <v>US PHARMA (KBX )</v>
          </cell>
          <cell r="C379">
            <v>900000</v>
          </cell>
        </row>
        <row r="380">
          <cell r="A380" t="str">
            <v>JO</v>
          </cell>
          <cell r="B380" t="str">
            <v>JOLIBEE</v>
          </cell>
          <cell r="C380">
            <v>900000</v>
          </cell>
        </row>
        <row r="381">
          <cell r="A381" t="str">
            <v>OR</v>
          </cell>
          <cell r="B381" t="str">
            <v>ORION VINA</v>
          </cell>
          <cell r="C381">
            <v>900000</v>
          </cell>
        </row>
        <row r="382">
          <cell r="A382" t="str">
            <v>ocm</v>
          </cell>
          <cell r="B382" t="str">
            <v>OCM ĐỨC HOÀ ( K BX )</v>
          </cell>
          <cell r="C382">
            <v>900000</v>
          </cell>
        </row>
        <row r="383">
          <cell r="A383" t="str">
            <v>OMD</v>
          </cell>
          <cell r="B383" t="str">
            <v>OMD BÌNH CHÁNH ( KBX )</v>
          </cell>
          <cell r="C383">
            <v>800000</v>
          </cell>
        </row>
        <row r="384">
          <cell r="A384" t="str">
            <v>OMDHM</v>
          </cell>
          <cell r="B384" t="str">
            <v>OMD HÓC MÔN ( KBX )</v>
          </cell>
          <cell r="C384">
            <v>800000</v>
          </cell>
        </row>
        <row r="385">
          <cell r="A385" t="str">
            <v>OMDTD</v>
          </cell>
          <cell r="B385" t="str">
            <v>OMD THỦ ĐỨC ( KBX )</v>
          </cell>
          <cell r="C385">
            <v>800000</v>
          </cell>
        </row>
        <row r="386">
          <cell r="A386" t="str">
            <v>ima</v>
          </cell>
          <cell r="B386" t="str">
            <v>Imanaka Đồng Nai</v>
          </cell>
          <cell r="C386">
            <v>900000</v>
          </cell>
        </row>
        <row r="387">
          <cell r="A387" t="str">
            <v>IU</v>
          </cell>
          <cell r="B387" t="str">
            <v>HÀNG IU</v>
          </cell>
          <cell r="C387">
            <v>800000</v>
          </cell>
        </row>
        <row r="388">
          <cell r="A388" t="str">
            <v>FLE</v>
          </cell>
          <cell r="B388" t="str">
            <v>FLEMING BIÊN HÒA</v>
          </cell>
          <cell r="C388">
            <v>900000</v>
          </cell>
        </row>
        <row r="389">
          <cell r="A389" t="str">
            <v>RB</v>
          </cell>
          <cell r="B389" t="str">
            <v xml:space="preserve">R&amp;B FOOD </v>
          </cell>
          <cell r="C389">
            <v>800000</v>
          </cell>
        </row>
        <row r="390">
          <cell r="A390" t="str">
            <v>RBFLH</v>
          </cell>
          <cell r="B390" t="str">
            <v>R&amp;B FOOD LONG HẬU</v>
          </cell>
          <cell r="C390">
            <v>900000</v>
          </cell>
        </row>
        <row r="391">
          <cell r="A391" t="str">
            <v>3kstd</v>
          </cell>
          <cell r="B391" t="str">
            <v>3KS THỦ ĐỨC</v>
          </cell>
          <cell r="C391">
            <v>900000</v>
          </cell>
        </row>
        <row r="392">
          <cell r="A392" t="str">
            <v>3KSCG</v>
          </cell>
          <cell r="B392" t="str">
            <v>3KS CẦN GIUỘC ( K BX )</v>
          </cell>
          <cell r="C392">
            <v>900000</v>
          </cell>
        </row>
        <row r="393">
          <cell r="A393" t="str">
            <v>3KSHTP</v>
          </cell>
          <cell r="B393" t="str">
            <v>3KS HUỲNH TẤN PHÁT ( K BX)</v>
          </cell>
          <cell r="C393">
            <v>700000</v>
          </cell>
        </row>
        <row r="394">
          <cell r="A394" t="str">
            <v>3KSCH</v>
          </cell>
          <cell r="B394" t="str">
            <v>3KS CẨM HƯƠNG ( K BX )</v>
          </cell>
          <cell r="C394">
            <v>900000</v>
          </cell>
        </row>
        <row r="395">
          <cell r="A395" t="str">
            <v>3KSDH</v>
          </cell>
          <cell r="B395" t="str">
            <v>3KS ĐỨC HÒA</v>
          </cell>
          <cell r="C395">
            <v>1200000</v>
          </cell>
        </row>
        <row r="396">
          <cell r="A396" t="str">
            <v>3KSTP</v>
          </cell>
          <cell r="B396" t="str">
            <v>3KS TÂN PHÚ ( K BX )</v>
          </cell>
          <cell r="C396">
            <v>900000</v>
          </cell>
        </row>
        <row r="398">
          <cell r="A398" t="str">
            <v>VLC</v>
          </cell>
          <cell r="B398" t="str">
            <v>VILACO ( KBX )</v>
          </cell>
          <cell r="C398">
            <v>900000</v>
          </cell>
        </row>
        <row r="399">
          <cell r="A399" t="str">
            <v>VINAS</v>
          </cell>
          <cell r="B399" t="str">
            <v>VINASOY ( KBX )</v>
          </cell>
          <cell r="C399">
            <v>800000</v>
          </cell>
        </row>
        <row r="400">
          <cell r="A400" t="str">
            <v>VTN</v>
          </cell>
          <cell r="B400" t="str">
            <v>Võ Thành Nhân</v>
          </cell>
          <cell r="C400">
            <v>1000000</v>
          </cell>
        </row>
        <row r="401">
          <cell r="A401" t="str">
            <v>KK</v>
          </cell>
          <cell r="B401" t="str">
            <v>KIM KÊ</v>
          </cell>
          <cell r="C401">
            <v>800000</v>
          </cell>
        </row>
        <row r="402">
          <cell r="A402" t="str">
            <v>VV</v>
          </cell>
          <cell r="B402" t="str">
            <v>VI VI</v>
          </cell>
          <cell r="C402">
            <v>800000</v>
          </cell>
        </row>
        <row r="403">
          <cell r="A403" t="str">
            <v>vnbc</v>
          </cell>
          <cell r="B403" t="str">
            <v>VỊ NGỌT HAPPY BÊN CÁT ( KBX )</v>
          </cell>
          <cell r="C403">
            <v>1100000</v>
          </cell>
        </row>
        <row r="404">
          <cell r="A404" t="str">
            <v>VNHP</v>
          </cell>
          <cell r="B404" t="str">
            <v>VỊ NGỌT HAPPY ( K BX )</v>
          </cell>
          <cell r="C404">
            <v>800000</v>
          </cell>
        </row>
        <row r="405">
          <cell r="A405" t="str">
            <v>VMP</v>
          </cell>
          <cell r="B405" t="str">
            <v>VŨ MỸ PHỤNG ( K BX )</v>
          </cell>
          <cell r="C405">
            <v>800000</v>
          </cell>
        </row>
        <row r="406">
          <cell r="A406" t="str">
            <v>VP</v>
          </cell>
          <cell r="B406" t="str">
            <v>Vũ Phúc</v>
          </cell>
          <cell r="C406">
            <v>800000</v>
          </cell>
        </row>
        <row r="407">
          <cell r="A407" t="str">
            <v>VINA</v>
          </cell>
          <cell r="B407" t="str">
            <v>VINASEN</v>
          </cell>
          <cell r="C407">
            <v>800000</v>
          </cell>
        </row>
        <row r="408">
          <cell r="A408" t="str">
            <v>vinaf</v>
          </cell>
          <cell r="B408" t="str">
            <v>VINAFOOD KYOEI</v>
          </cell>
          <cell r="C408">
            <v>800000</v>
          </cell>
        </row>
        <row r="409">
          <cell r="A409" t="str">
            <v>VIVA</v>
          </cell>
          <cell r="B409" t="str">
            <v>VIVA CARA</v>
          </cell>
          <cell r="C409">
            <v>800000</v>
          </cell>
        </row>
        <row r="410">
          <cell r="A410" t="str">
            <v>VTH</v>
          </cell>
          <cell r="B410" t="str">
            <v>VĨNH THẠNH</v>
          </cell>
          <cell r="C410">
            <v>800000</v>
          </cell>
        </row>
        <row r="411">
          <cell r="A411" t="str">
            <v>VSS</v>
          </cell>
          <cell r="B411" t="str">
            <v>VISSAN ( KBX )</v>
          </cell>
          <cell r="C411">
            <v>800000</v>
          </cell>
        </row>
        <row r="412">
          <cell r="A412" t="str">
            <v>VTV</v>
          </cell>
          <cell r="B412" t="str">
            <v>VƯƠNG TƯỜNG VÂN</v>
          </cell>
          <cell r="C412">
            <v>800000</v>
          </cell>
        </row>
        <row r="413">
          <cell r="A413" t="str">
            <v>vphat</v>
          </cell>
          <cell r="B413" t="str">
            <v>VẠN PHÁT</v>
          </cell>
          <cell r="C413">
            <v>800000</v>
          </cell>
        </row>
        <row r="414">
          <cell r="A414" t="str">
            <v>VIVI</v>
          </cell>
          <cell r="B414" t="str">
            <v>VIVI CACA L.HẬU</v>
          </cell>
          <cell r="C414">
            <v>500000</v>
          </cell>
        </row>
        <row r="415">
          <cell r="A415" t="str">
            <v>VPG</v>
          </cell>
          <cell r="B415" t="str">
            <v>VĨNH PHONG</v>
          </cell>
          <cell r="C415">
            <v>800000</v>
          </cell>
        </row>
        <row r="416">
          <cell r="A416" t="str">
            <v>VICO</v>
          </cell>
          <cell r="B416" t="str">
            <v>VICO BÌNH DƯƠNG ( K BX )</v>
          </cell>
          <cell r="C416">
            <v>1000000</v>
          </cell>
        </row>
        <row r="417">
          <cell r="A417">
            <v>2</v>
          </cell>
          <cell r="B417" t="str">
            <v>Vĩnh Nam Anh ( k bx )</v>
          </cell>
          <cell r="C417">
            <v>900000</v>
          </cell>
        </row>
        <row r="418">
          <cell r="A418" t="str">
            <v>VNP</v>
          </cell>
          <cell r="B418" t="str">
            <v>VINA PRIDE LONG HẬU</v>
          </cell>
          <cell r="C418">
            <v>500000</v>
          </cell>
        </row>
        <row r="419">
          <cell r="A419" t="str">
            <v>vh</v>
          </cell>
          <cell r="B419" t="str">
            <v>VĨ HUY BẾN LỨC ( K BX )</v>
          </cell>
          <cell r="C419">
            <v>900000</v>
          </cell>
        </row>
        <row r="420">
          <cell r="A420" t="str">
            <v>vphuc</v>
          </cell>
          <cell r="B420" t="str">
            <v>VĨNH PHÚC</v>
          </cell>
          <cell r="C420">
            <v>800000</v>
          </cell>
        </row>
        <row r="421">
          <cell r="A421" t="str">
            <v>VINAS</v>
          </cell>
          <cell r="B421" t="str">
            <v>VINA SEAFOOD L.HẬU</v>
          </cell>
          <cell r="C421">
            <v>800000</v>
          </cell>
        </row>
        <row r="422">
          <cell r="A422" t="str">
            <v>VPLH</v>
          </cell>
          <cell r="B422" t="str">
            <v>V.PHÁT L.HẬU (K BX)</v>
          </cell>
          <cell r="C422">
            <v>600000</v>
          </cell>
        </row>
        <row r="423">
          <cell r="A423" t="str">
            <v>VHCS</v>
          </cell>
          <cell r="B423" t="str">
            <v>VĂN HẬU CHỢ SẶC ( KBX)</v>
          </cell>
          <cell r="C423">
            <v>900000</v>
          </cell>
        </row>
        <row r="424">
          <cell r="A424" t="str">
            <v>VHTP</v>
          </cell>
          <cell r="B424" t="str">
            <v xml:space="preserve">VĂN HẬU T.PHÚ </v>
          </cell>
          <cell r="C424">
            <v>800000</v>
          </cell>
        </row>
        <row r="425">
          <cell r="A425" t="str">
            <v>VHLH</v>
          </cell>
          <cell r="B425" t="str">
            <v>VĂN HẬU LONG HƯNG ( KBX )</v>
          </cell>
          <cell r="C425">
            <v>800000</v>
          </cell>
        </row>
        <row r="426">
          <cell r="A426" t="str">
            <v>VHQ8</v>
          </cell>
          <cell r="B426" t="str">
            <v>VĂN HẬU Q8 ( K BX )</v>
          </cell>
          <cell r="C426">
            <v>800000</v>
          </cell>
        </row>
        <row r="427">
          <cell r="A427" t="str">
            <v>VHLA</v>
          </cell>
          <cell r="B427" t="str">
            <v>VĂN HẬU LONG AN</v>
          </cell>
          <cell r="C427">
            <v>900000</v>
          </cell>
        </row>
        <row r="428">
          <cell r="A428" t="str">
            <v>VHBD</v>
          </cell>
          <cell r="B428" t="str">
            <v>V.HẬU LÂM BD ( K BX)</v>
          </cell>
          <cell r="C428">
            <v>900000</v>
          </cell>
        </row>
        <row r="429">
          <cell r="A429" t="str">
            <v>VTPBD</v>
          </cell>
          <cell r="B429" t="str">
            <v>VIỆT TIÊN PHÚ BD ( K BX )</v>
          </cell>
          <cell r="C429">
            <v>1100000</v>
          </cell>
        </row>
        <row r="430">
          <cell r="A430" t="str">
            <v>VHCC</v>
          </cell>
          <cell r="B430" t="str">
            <v>VĂN HẬU CỦ CHI</v>
          </cell>
          <cell r="C430">
            <v>900000</v>
          </cell>
        </row>
        <row r="431">
          <cell r="A431" t="str">
            <v>VVL</v>
          </cell>
          <cell r="B431" t="str">
            <v>VẠN VẠN LỢI</v>
          </cell>
          <cell r="C431">
            <v>800000</v>
          </cell>
        </row>
        <row r="433">
          <cell r="A433" t="str">
            <v>INTER</v>
          </cell>
          <cell r="B433" t="str">
            <v>INTER PHARMA T.AN ( KBX )</v>
          </cell>
          <cell r="C433">
            <v>900000</v>
          </cell>
        </row>
        <row r="440">
          <cell r="A440" t="str">
            <v>urc</v>
          </cell>
          <cell r="B440" t="str">
            <v>URC TÂN UYÊN ( K BX )</v>
          </cell>
          <cell r="C440">
            <v>1000000</v>
          </cell>
        </row>
        <row r="443">
          <cell r="A443" t="str">
            <v>SENV</v>
          </cell>
          <cell r="B443" t="str">
            <v>SEN VIỆT ( K BX )</v>
          </cell>
          <cell r="C443">
            <v>800000</v>
          </cell>
        </row>
        <row r="444">
          <cell r="A444" t="str">
            <v>XV</v>
          </cell>
          <cell r="B444" t="str">
            <v>XUÂN VÂN ( K BX )</v>
          </cell>
          <cell r="C444">
            <v>800000</v>
          </cell>
        </row>
        <row r="445">
          <cell r="A445" t="str">
            <v>xnktl</v>
          </cell>
          <cell r="B445" t="str">
            <v>XNK THỦY LONG</v>
          </cell>
          <cell r="C445">
            <v>800000</v>
          </cell>
        </row>
        <row r="446">
          <cell r="A446" t="str">
            <v>XNK</v>
          </cell>
          <cell r="B446" t="str">
            <v>XNK LONG AN ( CÓ BX )</v>
          </cell>
          <cell r="C446">
            <v>900000</v>
          </cell>
        </row>
        <row r="447">
          <cell r="A447" t="str">
            <v>XT</v>
          </cell>
          <cell r="B447" t="str">
            <v>XUÂN THUỶ</v>
          </cell>
          <cell r="C447">
            <v>800000</v>
          </cell>
        </row>
        <row r="448">
          <cell r="A448" t="str">
            <v>XK</v>
          </cell>
          <cell r="B448" t="str">
            <v>XK LONG AN</v>
          </cell>
          <cell r="C448">
            <v>900000</v>
          </cell>
        </row>
        <row r="449">
          <cell r="A449" t="str">
            <v>XBHP</v>
          </cell>
          <cell r="B449" t="str">
            <v>XÀ BÔNG HẠNH PHƯỚC ( KBX )</v>
          </cell>
          <cell r="C449">
            <v>800000</v>
          </cell>
        </row>
        <row r="451">
          <cell r="A451" t="str">
            <v>ICF</v>
          </cell>
          <cell r="B451" t="str">
            <v>IC FOOD TÂN PHÚ</v>
          </cell>
          <cell r="C451">
            <v>800000</v>
          </cell>
        </row>
        <row r="453">
          <cell r="A453" t="str">
            <v>YL</v>
          </cell>
          <cell r="B453" t="str">
            <v>YILIN</v>
          </cell>
          <cell r="C453">
            <v>800000</v>
          </cell>
        </row>
        <row r="454">
          <cell r="A454" t="str">
            <v>YG</v>
          </cell>
          <cell r="B454" t="str">
            <v>Y GIANG LONG AN</v>
          </cell>
          <cell r="C454">
            <v>900000</v>
          </cell>
        </row>
        <row r="455">
          <cell r="A455" t="str">
            <v>UNIP</v>
          </cell>
          <cell r="B455" t="str">
            <v>UNIPRESIDEN</v>
          </cell>
          <cell r="C455">
            <v>900000</v>
          </cell>
        </row>
        <row r="456">
          <cell r="A456" t="str">
            <v>BTA</v>
          </cell>
          <cell r="B456" t="str">
            <v>BÌNH TÂN</v>
          </cell>
          <cell r="C456">
            <v>800000</v>
          </cell>
        </row>
        <row r="457">
          <cell r="A457" t="str">
            <v>BCHA</v>
          </cell>
          <cell r="B457" t="str">
            <v>BÌNH CHÁNH</v>
          </cell>
          <cell r="C457">
            <v>800000</v>
          </cell>
        </row>
        <row r="458">
          <cell r="A458" t="str">
            <v>HN</v>
          </cell>
          <cell r="B458" t="str">
            <v>HƯƠNG NHÂN Q.9</v>
          </cell>
          <cell r="C458">
            <v>800000</v>
          </cell>
        </row>
        <row r="459">
          <cell r="A459" t="str">
            <v>Vtau</v>
          </cell>
          <cell r="B459" t="str">
            <v>VŨNG TÀU</v>
          </cell>
          <cell r="C459">
            <v>800000</v>
          </cell>
        </row>
        <row r="460">
          <cell r="A460" t="str">
            <v>ccvt</v>
          </cell>
          <cell r="B460" t="str">
            <v>Củ Chi - Vũng Tàu</v>
          </cell>
          <cell r="C460">
            <v>900000</v>
          </cell>
        </row>
        <row r="461">
          <cell r="A461" t="str">
            <v>ccq5</v>
          </cell>
          <cell r="B461" t="str">
            <v>Củ Chi - Quận 5</v>
          </cell>
          <cell r="C461">
            <v>900000</v>
          </cell>
        </row>
        <row r="463">
          <cell r="A463" t="str">
            <v>GVAP</v>
          </cell>
          <cell r="B463" t="str">
            <v>GO VAP</v>
          </cell>
          <cell r="C463">
            <v>800000</v>
          </cell>
        </row>
        <row r="464">
          <cell r="A464" t="str">
            <v>CCHI</v>
          </cell>
          <cell r="B464" t="str">
            <v>CU CHI</v>
          </cell>
          <cell r="C464">
            <v>900000</v>
          </cell>
        </row>
        <row r="465">
          <cell r="A465" t="str">
            <v>BT</v>
          </cell>
          <cell r="B465" t="str">
            <v>BÌNH THẠNH</v>
          </cell>
          <cell r="C465">
            <v>800000</v>
          </cell>
        </row>
        <row r="466">
          <cell r="A466" t="str">
            <v>HM</v>
          </cell>
          <cell r="B466" t="str">
            <v>HÓC MÔN</v>
          </cell>
          <cell r="C466">
            <v>800000</v>
          </cell>
        </row>
        <row r="467">
          <cell r="A467" t="str">
            <v>TDUC</v>
          </cell>
          <cell r="B467" t="str">
            <v>THU DUC</v>
          </cell>
          <cell r="C467">
            <v>800000</v>
          </cell>
        </row>
        <row r="468">
          <cell r="A468" t="str">
            <v>TH</v>
          </cell>
          <cell r="B468" t="str">
            <v>TRẢ HÀNG</v>
          </cell>
          <cell r="C468">
            <v>800000</v>
          </cell>
        </row>
        <row r="469">
          <cell r="A469" t="str">
            <v>K50</v>
          </cell>
          <cell r="B469" t="str">
            <v>METRO KHO 50</v>
          </cell>
          <cell r="C469">
            <v>800000</v>
          </cell>
        </row>
        <row r="470">
          <cell r="A470" t="str">
            <v>MTBP</v>
          </cell>
          <cell r="B470" t="str">
            <v>M. BÌNH PHÚ</v>
          </cell>
          <cell r="C470">
            <v>800000</v>
          </cell>
        </row>
        <row r="471">
          <cell r="A471" t="str">
            <v>MTHP</v>
          </cell>
          <cell r="B471" t="str">
            <v>M. HIỆP PHÚ</v>
          </cell>
          <cell r="C471">
            <v>800000</v>
          </cell>
        </row>
        <row r="472">
          <cell r="A472" t="str">
            <v>MTAP</v>
          </cell>
          <cell r="B472" t="str">
            <v>M. AN PHÚ</v>
          </cell>
          <cell r="C472">
            <v>800000</v>
          </cell>
        </row>
        <row r="473">
          <cell r="A473" t="str">
            <v>MTBH</v>
          </cell>
          <cell r="B473" t="str">
            <v>METRO BIEN HOA</v>
          </cell>
          <cell r="C473">
            <v>900000</v>
          </cell>
        </row>
        <row r="474">
          <cell r="A474" t="str">
            <v>mhp</v>
          </cell>
          <cell r="B474" t="str">
            <v>METRO HƯNG PHÚ</v>
          </cell>
          <cell r="C474">
            <v>800000</v>
          </cell>
        </row>
        <row r="475">
          <cell r="A475" t="str">
            <v>mtbd</v>
          </cell>
          <cell r="B475" t="str">
            <v>METRO BÌNH DƯƠNG</v>
          </cell>
          <cell r="C475">
            <v>800000</v>
          </cell>
        </row>
        <row r="477">
          <cell r="A477" t="str">
            <v>VBD</v>
          </cell>
          <cell r="B477" t="str">
            <v>VINCOM BÌNH DƯƠNG</v>
          </cell>
          <cell r="C477">
            <v>900000</v>
          </cell>
        </row>
        <row r="478">
          <cell r="A478" t="str">
            <v>VHG</v>
          </cell>
          <cell r="B478" t="str">
            <v>VINCOM HƯNG GIA</v>
          </cell>
          <cell r="C478">
            <v>800000</v>
          </cell>
        </row>
        <row r="479">
          <cell r="A479" t="str">
            <v>VQ7</v>
          </cell>
          <cell r="B479" t="str">
            <v>VINT QUẬN 7</v>
          </cell>
          <cell r="C479">
            <v>800000</v>
          </cell>
        </row>
        <row r="480">
          <cell r="A480" t="str">
            <v>VLM</v>
          </cell>
          <cell r="B480" t="str">
            <v>VINT LANDMARK</v>
          </cell>
          <cell r="C480">
            <v>800000</v>
          </cell>
        </row>
        <row r="481">
          <cell r="A481" t="str">
            <v>vtd</v>
          </cell>
          <cell r="B481" t="str">
            <v>VINCOM THẢO ĐIỀN</v>
          </cell>
          <cell r="C481">
            <v>800000</v>
          </cell>
        </row>
        <row r="482">
          <cell r="A482" t="str">
            <v>VTDUC</v>
          </cell>
          <cell r="B482" t="str">
            <v>VIN THỦ ĐỨC</v>
          </cell>
          <cell r="C482">
            <v>800000</v>
          </cell>
        </row>
        <row r="483">
          <cell r="A483" t="str">
            <v>VBC</v>
          </cell>
          <cell r="B483" t="str">
            <v>VINCOM BÀU CÁT</v>
          </cell>
          <cell r="C483">
            <v>800000</v>
          </cell>
        </row>
        <row r="484">
          <cell r="A484" t="str">
            <v>VBT</v>
          </cell>
          <cell r="B484" t="str">
            <v>VINCOM BÌNH TRƯNG</v>
          </cell>
          <cell r="C484">
            <v>800000</v>
          </cell>
        </row>
        <row r="485">
          <cell r="A485" t="str">
            <v>V32</v>
          </cell>
          <cell r="B485" t="str">
            <v>VIN 3/2</v>
          </cell>
          <cell r="C485">
            <v>800000</v>
          </cell>
        </row>
        <row r="486">
          <cell r="A486" t="str">
            <v>VCH</v>
          </cell>
          <cell r="B486" t="str">
            <v>VIN CỘNG HÒA</v>
          </cell>
          <cell r="C486">
            <v>800000</v>
          </cell>
        </row>
        <row r="487">
          <cell r="A487" t="str">
            <v>VNL</v>
          </cell>
          <cell r="B487" t="str">
            <v>VIN NAM LONG</v>
          </cell>
          <cell r="C487">
            <v>800000</v>
          </cell>
        </row>
        <row r="488">
          <cell r="A488" t="str">
            <v>VLVV</v>
          </cell>
          <cell r="B488" t="str">
            <v>VINCOM LÊ VĂN VIỆT</v>
          </cell>
          <cell r="C488">
            <v>800000</v>
          </cell>
        </row>
        <row r="489">
          <cell r="A489" t="str">
            <v>CQ8</v>
          </cell>
          <cell r="B489" t="str">
            <v>COOP TUY LÝ VƯƠNG</v>
          </cell>
          <cell r="C489">
            <v>800000</v>
          </cell>
        </row>
        <row r="490">
          <cell r="A490" t="str">
            <v>CPL</v>
          </cell>
          <cell r="B490" t="str">
            <v>COOP PHÚ LÂM</v>
          </cell>
          <cell r="C490">
            <v>800000</v>
          </cell>
        </row>
        <row r="491">
          <cell r="A491" t="str">
            <v>CQT</v>
          </cell>
          <cell r="B491" t="str">
            <v>COOP QUANG TRUNG</v>
          </cell>
          <cell r="C491">
            <v>800000</v>
          </cell>
        </row>
        <row r="492">
          <cell r="A492" t="str">
            <v>CNK</v>
          </cell>
          <cell r="B492" t="str">
            <v>COOP NGUYỄN KiỆM</v>
          </cell>
          <cell r="C492">
            <v>800000</v>
          </cell>
        </row>
        <row r="493">
          <cell r="A493" t="str">
            <v>CNL</v>
          </cell>
          <cell r="B493" t="str">
            <v>COOP NHIÊU LỘC</v>
          </cell>
          <cell r="C493">
            <v>800000</v>
          </cell>
        </row>
        <row r="494">
          <cell r="A494" t="str">
            <v>CBT</v>
          </cell>
          <cell r="B494" t="str">
            <v>COOP BÌNH TÂN</v>
          </cell>
          <cell r="C494">
            <v>800000</v>
          </cell>
        </row>
        <row r="495">
          <cell r="A495" t="str">
            <v>CBT2</v>
          </cell>
          <cell r="B495" t="str">
            <v>COOP BÌNH TÂN 2</v>
          </cell>
          <cell r="C495">
            <v>800000</v>
          </cell>
        </row>
        <row r="496">
          <cell r="A496" t="str">
            <v>CHB</v>
          </cell>
          <cell r="B496" t="str">
            <v>COOP HÒA BÌNH</v>
          </cell>
          <cell r="C496">
            <v>800000</v>
          </cell>
        </row>
        <row r="497">
          <cell r="A497" t="str">
            <v>CRM</v>
          </cell>
          <cell r="B497" t="str">
            <v>COOP RACH MiỄU</v>
          </cell>
          <cell r="C497">
            <v>800000</v>
          </cell>
        </row>
        <row r="498">
          <cell r="A498" t="str">
            <v>CCVA</v>
          </cell>
          <cell r="B498" t="str">
            <v>COOP C.V.AN</v>
          </cell>
          <cell r="C498">
            <v>800000</v>
          </cell>
        </row>
        <row r="499">
          <cell r="A499" t="str">
            <v>CPVC</v>
          </cell>
          <cell r="B499" t="str">
            <v>COOP PHẠM VĂN CHIÊU</v>
          </cell>
          <cell r="C499">
            <v>800000</v>
          </cell>
        </row>
        <row r="500">
          <cell r="A500" t="str">
            <v>CTL</v>
          </cell>
          <cell r="B500" t="str">
            <v>COOP THẮNG LỢI</v>
          </cell>
          <cell r="C500">
            <v>800000</v>
          </cell>
        </row>
        <row r="501">
          <cell r="A501" t="str">
            <v>cnat</v>
          </cell>
          <cell r="B501" t="str">
            <v>COOP NGUYỄN ẢNH THỦ</v>
          </cell>
          <cell r="C501">
            <v>800000</v>
          </cell>
        </row>
        <row r="502">
          <cell r="A502" t="str">
            <v>CDVC</v>
          </cell>
          <cell r="B502" t="str">
            <v>COOP ĐỒNG VĂN CÔNG</v>
          </cell>
          <cell r="C502">
            <v>800000</v>
          </cell>
        </row>
        <row r="503">
          <cell r="A503" t="str">
            <v>CXL</v>
          </cell>
          <cell r="B503" t="str">
            <v>COOP XA LỘ HN</v>
          </cell>
          <cell r="C503">
            <v>800000</v>
          </cell>
        </row>
        <row r="504">
          <cell r="A504" t="str">
            <v>CHTP</v>
          </cell>
          <cell r="B504" t="str">
            <v>COOP HUỲNH TẤN PHÁT</v>
          </cell>
          <cell r="C504">
            <v>800000</v>
          </cell>
        </row>
        <row r="505">
          <cell r="A505" t="str">
            <v>CPVH</v>
          </cell>
          <cell r="B505" t="str">
            <v>COOP PHAN VĂN HỚN</v>
          </cell>
          <cell r="C505">
            <v>800000</v>
          </cell>
        </row>
        <row r="506">
          <cell r="A506" t="str">
            <v>CPVD</v>
          </cell>
          <cell r="B506" t="str">
            <v>COOP PHẠM VĂN ĐỒNG</v>
          </cell>
          <cell r="C506">
            <v>800000</v>
          </cell>
        </row>
        <row r="507">
          <cell r="A507" t="str">
            <v>CHM</v>
          </cell>
          <cell r="B507" t="str">
            <v>COOP HÓC MÔN</v>
          </cell>
          <cell r="C507">
            <v>800000</v>
          </cell>
        </row>
        <row r="508">
          <cell r="A508" t="str">
            <v>CCC</v>
          </cell>
          <cell r="B508" t="str">
            <v>COOP CỦ CHI</v>
          </cell>
          <cell r="C508">
            <v>800000</v>
          </cell>
        </row>
        <row r="509">
          <cell r="A509" t="str">
            <v>CSVH</v>
          </cell>
          <cell r="B509" t="str">
            <v>COOP SƯ VẠN HẠNH</v>
          </cell>
          <cell r="C509">
            <v>800000</v>
          </cell>
        </row>
        <row r="510">
          <cell r="A510" t="str">
            <v>CLTK</v>
          </cell>
          <cell r="B510" t="str">
            <v>COOP LÝ THƯỜNG KIỆT</v>
          </cell>
          <cell r="C510">
            <v>800000</v>
          </cell>
        </row>
        <row r="511">
          <cell r="A511" t="str">
            <v>CTM</v>
          </cell>
          <cell r="B511" t="str">
            <v>COOP THÁP MƯỜI</v>
          </cell>
          <cell r="C511">
            <v>800000</v>
          </cell>
        </row>
        <row r="512">
          <cell r="A512" t="str">
            <v>CNVQ</v>
          </cell>
          <cell r="B512" t="str">
            <v>COOP NGUYỄN VĂN QUỲ</v>
          </cell>
          <cell r="C512">
            <v>800000</v>
          </cell>
        </row>
        <row r="513">
          <cell r="A513" t="str">
            <v>CTP</v>
          </cell>
          <cell r="B513" t="str">
            <v>COOP TÂN PHONG</v>
          </cell>
          <cell r="C513">
            <v>800000</v>
          </cell>
        </row>
        <row r="514">
          <cell r="A514" t="str">
            <v>CNB</v>
          </cell>
          <cell r="B514" t="str">
            <v>COOP NGUYỄN BÌNH</v>
          </cell>
          <cell r="C514">
            <v>800000</v>
          </cell>
        </row>
        <row r="515">
          <cell r="A515" t="str">
            <v>chv</v>
          </cell>
          <cell r="B515" t="str">
            <v>COOP Hùng Vương</v>
          </cell>
          <cell r="C515">
            <v>800000</v>
          </cell>
        </row>
        <row r="516">
          <cell r="A516" t="str">
            <v>CLT</v>
          </cell>
          <cell r="B516" t="str">
            <v>COOP LINH TRUNG</v>
          </cell>
          <cell r="C516">
            <v>800000</v>
          </cell>
        </row>
        <row r="517">
          <cell r="A517" t="str">
            <v>cbd</v>
          </cell>
          <cell r="B517" t="str">
            <v>COOP BÌNH DƯƠNG</v>
          </cell>
          <cell r="C517">
            <v>900000</v>
          </cell>
        </row>
        <row r="518">
          <cell r="A518" t="str">
            <v>CVT</v>
          </cell>
          <cell r="B518" t="str">
            <v>COOP VỆ TINH BD</v>
          </cell>
          <cell r="C518">
            <v>900000</v>
          </cell>
        </row>
        <row r="519">
          <cell r="A519" t="str">
            <v>ccq</v>
          </cell>
          <cell r="B519" t="str">
            <v>COOP CỐNG QUỲNH</v>
          </cell>
          <cell r="C519">
            <v>800000</v>
          </cell>
        </row>
        <row r="520">
          <cell r="A520" t="str">
            <v>clmx</v>
          </cell>
          <cell r="B520" t="str">
            <v>COOP LÊ MINH XUÂN</v>
          </cell>
          <cell r="C520">
            <v>800000</v>
          </cell>
        </row>
        <row r="521">
          <cell r="A521" t="str">
            <v>cst</v>
          </cell>
          <cell r="B521" t="str">
            <v>COOP SỐNG THẦN</v>
          </cell>
          <cell r="C521">
            <v>800000</v>
          </cell>
        </row>
        <row r="523">
          <cell r="A523" t="str">
            <v>BCAL</v>
          </cell>
          <cell r="B523" t="str">
            <v>BIG C AN LAC</v>
          </cell>
          <cell r="C523">
            <v>800000</v>
          </cell>
        </row>
        <row r="524">
          <cell r="A524" t="str">
            <v>BCMD</v>
          </cell>
          <cell r="B524" t="str">
            <v>BC MIỀN ĐÔNG</v>
          </cell>
          <cell r="C524">
            <v>800000</v>
          </cell>
        </row>
        <row r="525">
          <cell r="A525" t="str">
            <v>BCPT</v>
          </cell>
          <cell r="B525" t="str">
            <v>BC PHÚ THẠNH</v>
          </cell>
          <cell r="C525">
            <v>800000</v>
          </cell>
        </row>
        <row r="526">
          <cell r="A526" t="str">
            <v>BCTC</v>
          </cell>
          <cell r="B526" t="str">
            <v>BC TRƯỜNG CHINH</v>
          </cell>
          <cell r="C526">
            <v>800000</v>
          </cell>
        </row>
        <row r="527">
          <cell r="A527" t="str">
            <v>BCGV</v>
          </cell>
          <cell r="B527" t="str">
            <v>BC GÒ VẤP</v>
          </cell>
          <cell r="C527">
            <v>800000</v>
          </cell>
        </row>
        <row r="528">
          <cell r="A528" t="str">
            <v>BCAP</v>
          </cell>
          <cell r="B528" t="str">
            <v>BC AN PHÚ</v>
          </cell>
          <cell r="C528">
            <v>800000</v>
          </cell>
        </row>
        <row r="529">
          <cell r="A529" t="str">
            <v>BCTH</v>
          </cell>
          <cell r="B529" t="str">
            <v>BIG C TÂN HIỆP</v>
          </cell>
          <cell r="C529">
            <v>900000</v>
          </cell>
        </row>
        <row r="530">
          <cell r="A530" t="str">
            <v>BCDN</v>
          </cell>
          <cell r="B530" t="str">
            <v>BIG C ĐỒNG NAI</v>
          </cell>
          <cell r="C530">
            <v>900000</v>
          </cell>
        </row>
        <row r="531">
          <cell r="A531" t="str">
            <v>BCA</v>
          </cell>
          <cell r="B531" t="str">
            <v>BIG C ÂU CƠ</v>
          </cell>
          <cell r="C531">
            <v>800000</v>
          </cell>
        </row>
        <row r="532">
          <cell r="A532" t="str">
            <v>NCT</v>
          </cell>
          <cell r="B532" t="str">
            <v>BC NEW CTY</v>
          </cell>
          <cell r="C532">
            <v>800000</v>
          </cell>
        </row>
        <row r="533">
          <cell r="A533" t="str">
            <v>BCtD</v>
          </cell>
          <cell r="B533" t="str">
            <v>BC THẢO ĐIỀN</v>
          </cell>
          <cell r="C533">
            <v>800000</v>
          </cell>
        </row>
        <row r="534">
          <cell r="A534" t="str">
            <v>BCBD</v>
          </cell>
          <cell r="B534" t="str">
            <v>BIG C BÌNH DƯƠNG</v>
          </cell>
          <cell r="C534">
            <v>800000</v>
          </cell>
        </row>
        <row r="535">
          <cell r="A535" t="str">
            <v>BCNT</v>
          </cell>
          <cell r="B535" t="str">
            <v>BIG C NHƠN TRẠCH</v>
          </cell>
          <cell r="C535">
            <v>1000000</v>
          </cell>
        </row>
        <row r="536">
          <cell r="A536" t="str">
            <v>BCDA</v>
          </cell>
          <cell r="B536" t="str">
            <v>BIG C BIG C DĨ AN</v>
          </cell>
          <cell r="C536">
            <v>900000</v>
          </cell>
        </row>
        <row r="537">
          <cell r="A537" t="str">
            <v>BCML</v>
          </cell>
          <cell r="B537" t="str">
            <v>EB MOON LIGHT</v>
          </cell>
          <cell r="C537">
            <v>800000</v>
          </cell>
        </row>
        <row r="538">
          <cell r="A538" t="str">
            <v>BCTU</v>
          </cell>
          <cell r="B538" t="str">
            <v>BIG C TÂN UYÊN</v>
          </cell>
          <cell r="C538">
            <v>1000000</v>
          </cell>
        </row>
        <row r="539">
          <cell r="A539" t="str">
            <v>BTT</v>
          </cell>
          <cell r="B539" t="str">
            <v>BHX TÂN TẠO</v>
          </cell>
          <cell r="C539">
            <v>800000</v>
          </cell>
        </row>
        <row r="540">
          <cell r="A540" t="str">
            <v>BTNP</v>
          </cell>
          <cell r="B540" t="str">
            <v>BHX TĂNG NHƠN PHÚ</v>
          </cell>
          <cell r="C540">
            <v>800000</v>
          </cell>
        </row>
        <row r="541">
          <cell r="A541" t="str">
            <v>BCC</v>
          </cell>
          <cell r="B541" t="str">
            <v>BHX CỦ CHI</v>
          </cell>
          <cell r="C541">
            <v>800000</v>
          </cell>
        </row>
        <row r="542">
          <cell r="A542" t="str">
            <v>BHM</v>
          </cell>
          <cell r="B542" t="str">
            <v>BHX HÓC MÔN</v>
          </cell>
          <cell r="C542">
            <v>800000</v>
          </cell>
        </row>
        <row r="543">
          <cell r="A543" t="str">
            <v>B13</v>
          </cell>
          <cell r="B543" t="str">
            <v>BHX QuỐC LỘ 13</v>
          </cell>
          <cell r="C543">
            <v>800000</v>
          </cell>
        </row>
        <row r="544">
          <cell r="A544" t="str">
            <v>B12</v>
          </cell>
          <cell r="B544" t="str">
            <v>BHX QUẬN 12</v>
          </cell>
          <cell r="C544">
            <v>800000</v>
          </cell>
        </row>
        <row r="545">
          <cell r="A545" t="str">
            <v>bgv</v>
          </cell>
          <cell r="B545" t="str">
            <v>BHX GÒ VẤP</v>
          </cell>
          <cell r="C545">
            <v>800000</v>
          </cell>
        </row>
        <row r="546">
          <cell r="A546" t="str">
            <v>BBT</v>
          </cell>
          <cell r="B546" t="str">
            <v>BHX BÌNH TÂN</v>
          </cell>
          <cell r="C546">
            <v>800000</v>
          </cell>
        </row>
        <row r="547">
          <cell r="A547" t="str">
            <v>BBT2</v>
          </cell>
          <cell r="B547" t="str">
            <v>BHX BÌNH TÂN 2</v>
          </cell>
          <cell r="C547">
            <v>800000</v>
          </cell>
        </row>
        <row r="548">
          <cell r="A548" t="str">
            <v>BTQN</v>
          </cell>
          <cell r="B548" t="str">
            <v>BHX T.QUANG NGHỊ</v>
          </cell>
          <cell r="C548">
            <v>800000</v>
          </cell>
        </row>
        <row r="549">
          <cell r="A549" t="str">
            <v>BQ6</v>
          </cell>
          <cell r="B549" t="str">
            <v>BHX QuẬN 6</v>
          </cell>
          <cell r="C549">
            <v>800000</v>
          </cell>
        </row>
        <row r="550">
          <cell r="A550" t="str">
            <v>BVL</v>
          </cell>
          <cell r="B550" t="str">
            <v>BHX ( VL)</v>
          </cell>
          <cell r="C550">
            <v>800000</v>
          </cell>
        </row>
        <row r="551">
          <cell r="A551" t="str">
            <v>BTDN</v>
          </cell>
          <cell r="B551" t="str">
            <v>BHX ( TĐN)</v>
          </cell>
          <cell r="C551">
            <v>800000</v>
          </cell>
        </row>
        <row r="552">
          <cell r="A552" t="str">
            <v>BHCD</v>
          </cell>
          <cell r="B552" t="str">
            <v>BHX CẦN ĐƯỚC</v>
          </cell>
          <cell r="C552">
            <v>900000</v>
          </cell>
        </row>
        <row r="553">
          <cell r="A553" t="str">
            <v>BLB</v>
          </cell>
          <cell r="B553" t="str">
            <v>BHX LONG BÌNH</v>
          </cell>
          <cell r="C553">
            <v>900000</v>
          </cell>
        </row>
        <row r="554">
          <cell r="A554" t="str">
            <v>Bnb</v>
          </cell>
          <cell r="B554" t="str">
            <v>BHX NHÀ BÈ</v>
          </cell>
          <cell r="C554">
            <v>400000</v>
          </cell>
        </row>
        <row r="555">
          <cell r="A555" t="str">
            <v>BXA</v>
          </cell>
          <cell r="B555" t="str">
            <v>BHX XUYÊN Á</v>
          </cell>
          <cell r="C555">
            <v>900000</v>
          </cell>
        </row>
        <row r="556">
          <cell r="A556" t="str">
            <v>bdh</v>
          </cell>
          <cell r="B556" t="str">
            <v>BHX ĐỨC HÒA</v>
          </cell>
          <cell r="C556">
            <v>900000</v>
          </cell>
        </row>
        <row r="557">
          <cell r="A557" t="str">
            <v>bav</v>
          </cell>
          <cell r="B557" t="str">
            <v>BHX AVAKID- LONG HẬU</v>
          </cell>
          <cell r="C557">
            <v>400000</v>
          </cell>
        </row>
        <row r="558">
          <cell r="A558" t="str">
            <v>BHTA</v>
          </cell>
          <cell r="B558" t="str">
            <v>BHX THUẬN AN</v>
          </cell>
          <cell r="C558">
            <v>900000</v>
          </cell>
        </row>
        <row r="559">
          <cell r="A559" t="str">
            <v>CITI</v>
          </cell>
          <cell r="B559" t="str">
            <v>CITIMART - Q7</v>
          </cell>
          <cell r="C559">
            <v>800000</v>
          </cell>
        </row>
        <row r="560">
          <cell r="A560" t="str">
            <v>AEON</v>
          </cell>
          <cell r="B560" t="str">
            <v>AEON BÌNH TÂN</v>
          </cell>
          <cell r="C560">
            <v>800000</v>
          </cell>
        </row>
        <row r="561">
          <cell r="A561" t="str">
            <v>ATP</v>
          </cell>
          <cell r="B561" t="str">
            <v>AEON TÂN PHÚ</v>
          </cell>
          <cell r="C561">
            <v>800000</v>
          </cell>
        </row>
        <row r="562">
          <cell r="A562" t="str">
            <v>A12</v>
          </cell>
          <cell r="B562" t="str">
            <v>AEON QUẬN 12</v>
          </cell>
          <cell r="C562">
            <v>800000</v>
          </cell>
        </row>
        <row r="563">
          <cell r="A563" t="str">
            <v>AES</v>
          </cell>
          <cell r="B563" t="str">
            <v>AEON SORA B.DƯƠNG</v>
          </cell>
          <cell r="C563">
            <v>800000</v>
          </cell>
        </row>
        <row r="564">
          <cell r="A564" t="str">
            <v>ARDC</v>
          </cell>
          <cell r="B564" t="str">
            <v>AEON RDC Q12</v>
          </cell>
          <cell r="C564">
            <v>800000</v>
          </cell>
        </row>
        <row r="565">
          <cell r="A565" t="str">
            <v>AQ7</v>
          </cell>
          <cell r="B565" t="str">
            <v>AEON QUẬN 7</v>
          </cell>
          <cell r="C565">
            <v>800000</v>
          </cell>
        </row>
        <row r="566">
          <cell r="A566" t="str">
            <v>A8</v>
          </cell>
          <cell r="B566" t="str">
            <v>AEON QUẬN 8</v>
          </cell>
          <cell r="C566">
            <v>800000</v>
          </cell>
        </row>
        <row r="567">
          <cell r="A567" t="str">
            <v>ABD</v>
          </cell>
          <cell r="B567" t="str">
            <v>AEON BÌNH DƯƠNG</v>
          </cell>
          <cell r="C567">
            <v>900000</v>
          </cell>
        </row>
        <row r="568">
          <cell r="A568" t="str">
            <v>EMTĐ</v>
          </cell>
          <cell r="B568" t="str">
            <v>E MART THỦ ĐỨC</v>
          </cell>
          <cell r="C568">
            <v>800000</v>
          </cell>
        </row>
        <row r="569">
          <cell r="A569" t="str">
            <v>EM</v>
          </cell>
          <cell r="B569" t="str">
            <v>E MART GÒ VẤP</v>
          </cell>
          <cell r="C569">
            <v>800000</v>
          </cell>
        </row>
        <row r="570">
          <cell r="A570" t="str">
            <v>EMS</v>
          </cell>
          <cell r="B570" t="str">
            <v>E MART SALA</v>
          </cell>
          <cell r="C570">
            <v>800000</v>
          </cell>
        </row>
        <row r="571">
          <cell r="A571" t="str">
            <v>EMP</v>
          </cell>
          <cell r="B571" t="str">
            <v>EMART P.H.ÍCH</v>
          </cell>
          <cell r="C571">
            <v>800000</v>
          </cell>
        </row>
        <row r="572">
          <cell r="A572" t="str">
            <v>NVC</v>
          </cell>
          <cell r="B572" t="str">
            <v>NGUYỄN VĂN CỪ</v>
          </cell>
          <cell r="C572">
            <v>800000</v>
          </cell>
        </row>
        <row r="573">
          <cell r="A573" t="str">
            <v>LOTE</v>
          </cell>
          <cell r="B573" t="str">
            <v>LOTTEMART-Q7</v>
          </cell>
          <cell r="C573">
            <v>800000</v>
          </cell>
        </row>
        <row r="574">
          <cell r="A574" t="str">
            <v>LTPT</v>
          </cell>
          <cell r="B574" t="str">
            <v>LOTTE-PHU THO</v>
          </cell>
          <cell r="C574">
            <v>800000</v>
          </cell>
        </row>
        <row r="575">
          <cell r="A575" t="str">
            <v>LTGV</v>
          </cell>
          <cell r="B575" t="str">
            <v>LOTTE-GÒ VẤP</v>
          </cell>
          <cell r="C575">
            <v>800000</v>
          </cell>
        </row>
        <row r="576">
          <cell r="A576" t="str">
            <v>LTDN</v>
          </cell>
          <cell r="B576" t="str">
            <v>LOTTE ĐỒNG NAI</v>
          </cell>
          <cell r="C576">
            <v>900000</v>
          </cell>
        </row>
        <row r="577">
          <cell r="A577" t="str">
            <v>LTTB</v>
          </cell>
          <cell r="B577" t="str">
            <v>LOTTE-TÂN BÌNH</v>
          </cell>
          <cell r="C577">
            <v>800000</v>
          </cell>
        </row>
        <row r="578">
          <cell r="A578" t="str">
            <v>LTBD</v>
          </cell>
          <cell r="B578" t="str">
            <v>LOTTE BÌNH DƯƠNG</v>
          </cell>
          <cell r="C578">
            <v>800000</v>
          </cell>
        </row>
        <row r="581">
          <cell r="A581" t="str">
            <v>CL</v>
          </cell>
          <cell r="B581" t="str">
            <v>CẢNG CÁT LÁI</v>
          </cell>
          <cell r="C581">
            <v>800000</v>
          </cell>
        </row>
        <row r="582">
          <cell r="A582" t="str">
            <v>UNI</v>
          </cell>
          <cell r="B582" t="str">
            <v>CHUYỂN HÀNG UNI</v>
          </cell>
          <cell r="C582">
            <v>800000</v>
          </cell>
        </row>
        <row r="583">
          <cell r="A583" t="str">
            <v>ND</v>
          </cell>
          <cell r="B583" t="str">
            <v>NAM DƯƠNG</v>
          </cell>
          <cell r="C583">
            <v>800000</v>
          </cell>
        </row>
        <row r="584">
          <cell r="A584" t="str">
            <v>DVH</v>
          </cell>
          <cell r="B584" t="str">
            <v>ĐẠI ViỆT HƯƠNG TP</v>
          </cell>
          <cell r="C584">
            <v>800000</v>
          </cell>
        </row>
        <row r="585">
          <cell r="A585" t="str">
            <v>stvt</v>
          </cell>
          <cell r="B585" t="str">
            <v>SATRA VIETTEL</v>
          </cell>
          <cell r="C585">
            <v>800000</v>
          </cell>
        </row>
        <row r="586">
          <cell r="A586" t="str">
            <v>SBD</v>
          </cell>
          <cell r="B586" t="str">
            <v>SATRA BÌNH ĐIỀN</v>
          </cell>
          <cell r="C586">
            <v>800000</v>
          </cell>
        </row>
        <row r="587">
          <cell r="A587" t="str">
            <v>SSG</v>
          </cell>
          <cell r="B587" t="str">
            <v>SATRA SÀI GÒN</v>
          </cell>
          <cell r="C587">
            <v>800000</v>
          </cell>
        </row>
        <row r="588">
          <cell r="A588" t="str">
            <v>SPH</v>
          </cell>
          <cell r="B588" t="str">
            <v>SATRA PHẠM HÙNG</v>
          </cell>
          <cell r="C588">
            <v>800000</v>
          </cell>
        </row>
        <row r="589">
          <cell r="A589" t="str">
            <v>SCT</v>
          </cell>
          <cell r="B589" t="str">
            <v>SATRA CẦN THƠ</v>
          </cell>
          <cell r="C589">
            <v>800000</v>
          </cell>
        </row>
        <row r="590">
          <cell r="A590" t="str">
            <v>scc</v>
          </cell>
          <cell r="B590" t="str">
            <v>SATRA CỦ CHI</v>
          </cell>
          <cell r="C590">
            <v>900000</v>
          </cell>
        </row>
        <row r="591">
          <cell r="A591" t="str">
            <v>STX</v>
          </cell>
          <cell r="B591" t="str">
            <v>SATRA TX TAX</v>
          </cell>
          <cell r="C591">
            <v>800000</v>
          </cell>
        </row>
        <row r="592">
          <cell r="A592" t="str">
            <v>svvk</v>
          </cell>
          <cell r="B592" t="str">
            <v>SATRA VÕ VĂN KIỆT</v>
          </cell>
          <cell r="C592">
            <v>800000</v>
          </cell>
        </row>
        <row r="593">
          <cell r="A593" t="str">
            <v>stbd</v>
          </cell>
          <cell r="B593" t="str">
            <v>SATRA BÌNH DƯƠNG</v>
          </cell>
          <cell r="C593">
            <v>900000</v>
          </cell>
        </row>
        <row r="594">
          <cell r="A594" t="str">
            <v>SFOOD</v>
          </cell>
          <cell r="B594" t="str">
            <v>SATRA FOOD</v>
          </cell>
          <cell r="C594">
            <v>800000</v>
          </cell>
        </row>
        <row r="595">
          <cell r="B595" t="str">
            <v>1 ĐIỂM</v>
          </cell>
        </row>
        <row r="596">
          <cell r="A596" t="str">
            <v>fyar</v>
          </cell>
          <cell r="B596" t="str">
            <v>FOOKYIK - ARDA</v>
          </cell>
          <cell r="C596">
            <v>950000</v>
          </cell>
        </row>
        <row r="597">
          <cell r="A597" t="str">
            <v>SFY</v>
          </cell>
          <cell r="B597" t="str">
            <v>STUDIO - FOOKYIL</v>
          </cell>
          <cell r="C597">
            <v>1500000</v>
          </cell>
        </row>
        <row r="598">
          <cell r="A598" t="str">
            <v>FYS</v>
          </cell>
          <cell r="B598" t="str">
            <v>FOOKYIK - STUDIO</v>
          </cell>
          <cell r="C598">
            <v>1500000</v>
          </cell>
        </row>
        <row r="599">
          <cell r="A599" t="str">
            <v>FYAA</v>
          </cell>
          <cell r="B599" t="str">
            <v>FOOKYIK</v>
          </cell>
          <cell r="C599">
            <v>1400000</v>
          </cell>
        </row>
        <row r="600">
          <cell r="A600" t="str">
            <v>LLFY</v>
          </cell>
          <cell r="B600" t="str">
            <v>LILY 19 - FOOKYIL</v>
          </cell>
          <cell r="C600">
            <v>1500000</v>
          </cell>
        </row>
        <row r="601">
          <cell r="A601" t="str">
            <v>l1fy</v>
          </cell>
          <cell r="B601" t="str">
            <v>LAB 1 - FOOOKYIL</v>
          </cell>
          <cell r="C601">
            <v>1500000</v>
          </cell>
        </row>
        <row r="602">
          <cell r="A602" t="str">
            <v>SA</v>
          </cell>
          <cell r="B602" t="str">
            <v>STUDIO</v>
          </cell>
          <cell r="C602">
            <v>1500000</v>
          </cell>
        </row>
        <row r="603">
          <cell r="A603" t="str">
            <v>AS</v>
          </cell>
          <cell r="B603" t="str">
            <v>AA</v>
          </cell>
          <cell r="C603">
            <v>1500000</v>
          </cell>
        </row>
        <row r="604">
          <cell r="A604" t="str">
            <v>AL1</v>
          </cell>
          <cell r="B604" t="str">
            <v>AA</v>
          </cell>
          <cell r="C604">
            <v>1500000</v>
          </cell>
        </row>
        <row r="605">
          <cell r="A605" t="str">
            <v>L1A</v>
          </cell>
          <cell r="B605" t="str">
            <v>LAB 1</v>
          </cell>
          <cell r="C605">
            <v>1500000</v>
          </cell>
        </row>
        <row r="606">
          <cell r="A606" t="str">
            <v>ALL</v>
          </cell>
          <cell r="B606" t="str">
            <v>AA</v>
          </cell>
          <cell r="C606">
            <v>1500000</v>
          </cell>
        </row>
        <row r="607">
          <cell r="A607" t="str">
            <v>BLLL</v>
          </cell>
          <cell r="B607" t="str">
            <v>BẾN LỨC</v>
          </cell>
          <cell r="C607">
            <v>1250000</v>
          </cell>
        </row>
        <row r="610">
          <cell r="A610" t="str">
            <v>SK1</v>
          </cell>
          <cell r="B610" t="str">
            <v>STUDIO- KAISER 1</v>
          </cell>
          <cell r="C610">
            <v>1300000</v>
          </cell>
        </row>
        <row r="611">
          <cell r="A611" t="str">
            <v>K1S</v>
          </cell>
          <cell r="B611" t="str">
            <v>KAISER 1- STUDIO</v>
          </cell>
          <cell r="C611">
            <v>1300000</v>
          </cell>
        </row>
        <row r="612">
          <cell r="A612" t="str">
            <v>K1V</v>
          </cell>
          <cell r="B612" t="str">
            <v>KAISER 1 - VTP</v>
          </cell>
          <cell r="C612">
            <v>1250000</v>
          </cell>
        </row>
        <row r="613">
          <cell r="A613" t="str">
            <v>QTFY</v>
          </cell>
          <cell r="B613" t="str">
            <v>QUỐC TRƯỞNG -FOOKYIL</v>
          </cell>
          <cell r="C613">
            <v>1300000</v>
          </cell>
        </row>
        <row r="614">
          <cell r="A614" t="str">
            <v>VK1</v>
          </cell>
          <cell r="B614" t="str">
            <v>VTP - KAISER 1</v>
          </cell>
          <cell r="C614">
            <v>1250000</v>
          </cell>
        </row>
        <row r="615">
          <cell r="A615" t="str">
            <v>K1L1</v>
          </cell>
          <cell r="B615" t="str">
            <v>KAISER 1 - LAB 1</v>
          </cell>
          <cell r="C615">
            <v>1500000</v>
          </cell>
        </row>
        <row r="616">
          <cell r="A616" t="str">
            <v>LK1</v>
          </cell>
          <cell r="B616" t="str">
            <v>LAB 1 - KAISER 1</v>
          </cell>
          <cell r="C616">
            <v>1500000</v>
          </cell>
        </row>
        <row r="617">
          <cell r="A617" t="str">
            <v>K2S</v>
          </cell>
          <cell r="B617" t="str">
            <v>KAISER 2 - STUDIO</v>
          </cell>
          <cell r="C617">
            <v>1400000</v>
          </cell>
        </row>
        <row r="618">
          <cell r="A618" t="str">
            <v>SK2</v>
          </cell>
          <cell r="B618" t="str">
            <v>STUDIO - KAISER 2</v>
          </cell>
          <cell r="C618">
            <v>1400000</v>
          </cell>
        </row>
        <row r="619">
          <cell r="A619" t="str">
            <v>K2L1</v>
          </cell>
          <cell r="B619" t="str">
            <v>KAISER 2 - LAB 1</v>
          </cell>
          <cell r="C619">
            <v>1500000</v>
          </cell>
        </row>
        <row r="620">
          <cell r="A620" t="str">
            <v>L1K2</v>
          </cell>
          <cell r="B620" t="str">
            <v>LAB 1 - K2</v>
          </cell>
          <cell r="C620">
            <v>1500000</v>
          </cell>
        </row>
        <row r="621">
          <cell r="A621" t="str">
            <v>LLK2</v>
          </cell>
          <cell r="B621" t="str">
            <v>LILY - K2</v>
          </cell>
          <cell r="C621">
            <v>1500000</v>
          </cell>
        </row>
        <row r="622">
          <cell r="A622" t="str">
            <v>VS</v>
          </cell>
          <cell r="B622" t="str">
            <v>VTP - STUDIO</v>
          </cell>
          <cell r="C622">
            <v>950000</v>
          </cell>
        </row>
        <row r="623">
          <cell r="A623" t="str">
            <v>SV</v>
          </cell>
          <cell r="B623" t="str">
            <v>STUDIO - VTP</v>
          </cell>
          <cell r="C623">
            <v>950000</v>
          </cell>
        </row>
        <row r="624">
          <cell r="A624" t="str">
            <v>SLL</v>
          </cell>
          <cell r="B624" t="str">
            <v>STUDIO - LILY</v>
          </cell>
          <cell r="C624">
            <v>950000</v>
          </cell>
        </row>
        <row r="625">
          <cell r="A625" t="str">
            <v>smg</v>
          </cell>
          <cell r="B625" t="str">
            <v>STUDIO</v>
          </cell>
          <cell r="C625">
            <v>950000</v>
          </cell>
        </row>
        <row r="627">
          <cell r="A627" t="str">
            <v>LLS</v>
          </cell>
          <cell r="B627" t="str">
            <v>LILY - STUDIO</v>
          </cell>
          <cell r="C627">
            <v>950000</v>
          </cell>
        </row>
        <row r="628">
          <cell r="A628" t="str">
            <v>SUL</v>
          </cell>
          <cell r="B628" t="str">
            <v>STUDIO</v>
          </cell>
          <cell r="C628">
            <v>1000000</v>
          </cell>
        </row>
        <row r="629">
          <cell r="A629" t="str">
            <v>ULS</v>
          </cell>
          <cell r="B629" t="str">
            <v>UL</v>
          </cell>
          <cell r="C629">
            <v>1000000</v>
          </cell>
        </row>
        <row r="630">
          <cell r="A630" t="str">
            <v>ULL1</v>
          </cell>
          <cell r="B630" t="str">
            <v>UL</v>
          </cell>
          <cell r="C630">
            <v>950000</v>
          </cell>
        </row>
        <row r="631">
          <cell r="A631" t="str">
            <v>L1UL</v>
          </cell>
          <cell r="B631" t="str">
            <v>LAB 1</v>
          </cell>
          <cell r="C631">
            <v>950000</v>
          </cell>
        </row>
        <row r="632">
          <cell r="A632" t="str">
            <v>SBM</v>
          </cell>
          <cell r="B632" t="str">
            <v>STUDIO</v>
          </cell>
          <cell r="C632">
            <v>1300000</v>
          </cell>
        </row>
        <row r="633">
          <cell r="A633" t="str">
            <v>BMS</v>
          </cell>
          <cell r="B633" t="str">
            <v>BOMEI</v>
          </cell>
          <cell r="C633">
            <v>1300000</v>
          </cell>
        </row>
        <row r="634">
          <cell r="A634" t="str">
            <v>bmll</v>
          </cell>
          <cell r="B634" t="str">
            <v>BOMEI</v>
          </cell>
          <cell r="C634">
            <v>1400000</v>
          </cell>
        </row>
        <row r="635">
          <cell r="A635" t="str">
            <v>LLBM</v>
          </cell>
          <cell r="B635" t="str">
            <v>LILY</v>
          </cell>
          <cell r="C635">
            <v>1400000</v>
          </cell>
        </row>
        <row r="636">
          <cell r="A636" t="str">
            <v>QTL</v>
          </cell>
          <cell r="B636" t="str">
            <v>QUỐC TRƯỞNG</v>
          </cell>
          <cell r="C636">
            <v>1100000</v>
          </cell>
        </row>
        <row r="637">
          <cell r="A637" t="str">
            <v>LQT</v>
          </cell>
          <cell r="B637" t="str">
            <v>LAB 1</v>
          </cell>
          <cell r="C637">
            <v>1100000</v>
          </cell>
        </row>
        <row r="638">
          <cell r="A638" t="str">
            <v>SGLL</v>
          </cell>
          <cell r="B638" t="str">
            <v>SAIGON RIVER - LILY</v>
          </cell>
          <cell r="C638">
            <v>1200000</v>
          </cell>
        </row>
        <row r="639">
          <cell r="A639" t="str">
            <v>SGM</v>
          </cell>
          <cell r="B639" t="str">
            <v>SAIGON RIVER - MTS</v>
          </cell>
          <cell r="C639">
            <v>1250000</v>
          </cell>
        </row>
        <row r="640">
          <cell r="A640" t="str">
            <v>MSG</v>
          </cell>
          <cell r="B640" t="str">
            <v>MTS - SG RIVER</v>
          </cell>
          <cell r="C640">
            <v>1250000</v>
          </cell>
        </row>
        <row r="642">
          <cell r="A642" t="str">
            <v>LLSG</v>
          </cell>
          <cell r="B642" t="str">
            <v>LILY - SÀI GÒN RIVER</v>
          </cell>
          <cell r="C642">
            <v>1200000</v>
          </cell>
        </row>
        <row r="644">
          <cell r="A644" t="str">
            <v>SGRLL</v>
          </cell>
          <cell r="B644" t="str">
            <v>SAIGON RIVER - LILY</v>
          </cell>
          <cell r="C644">
            <v>1200000</v>
          </cell>
        </row>
        <row r="645">
          <cell r="A645" t="str">
            <v>sgRs</v>
          </cell>
          <cell r="B645" t="str">
            <v>SAIGON RIVER - STUDIO</v>
          </cell>
          <cell r="C645">
            <v>1100000</v>
          </cell>
        </row>
        <row r="646">
          <cell r="A646" t="str">
            <v>SSGR</v>
          </cell>
          <cell r="B646" t="str">
            <v>STUDIO - SG RIVER</v>
          </cell>
          <cell r="C646">
            <v>1100000</v>
          </cell>
        </row>
        <row r="647">
          <cell r="A647" t="str">
            <v>SGRAR</v>
          </cell>
          <cell r="B647" t="str">
            <v>SAIGON RIVER -ARDA</v>
          </cell>
          <cell r="C647">
            <v>1400000</v>
          </cell>
        </row>
        <row r="648">
          <cell r="A648" t="str">
            <v>ARSGR</v>
          </cell>
          <cell r="B648" t="str">
            <v>ARDA - SG RIVER</v>
          </cell>
          <cell r="C648">
            <v>1400000</v>
          </cell>
        </row>
        <row r="649">
          <cell r="A649" t="str">
            <v>sgrm</v>
          </cell>
          <cell r="B649" t="str">
            <v>SAIGON RIVER - MTS</v>
          </cell>
          <cell r="C649">
            <v>1200000</v>
          </cell>
        </row>
        <row r="650">
          <cell r="A650" t="str">
            <v>VLL</v>
          </cell>
          <cell r="B650" t="str">
            <v>VTP - LILY</v>
          </cell>
          <cell r="C650">
            <v>950000</v>
          </cell>
        </row>
        <row r="651">
          <cell r="A651" t="str">
            <v>LLV</v>
          </cell>
          <cell r="B651" t="str">
            <v>LILY - VTP</v>
          </cell>
          <cell r="C651">
            <v>950000</v>
          </cell>
        </row>
        <row r="652">
          <cell r="A652" t="str">
            <v>VM</v>
          </cell>
          <cell r="B652" t="str">
            <v>VTP - MTS</v>
          </cell>
          <cell r="C652">
            <v>1100000</v>
          </cell>
        </row>
        <row r="653">
          <cell r="A653" t="str">
            <v>MV</v>
          </cell>
          <cell r="B653" t="str">
            <v>MTS VTP</v>
          </cell>
          <cell r="C653">
            <v>1100000</v>
          </cell>
        </row>
        <row r="654">
          <cell r="A654" t="str">
            <v>TA3LL</v>
          </cell>
          <cell r="B654" t="str">
            <v>TA3- LILY</v>
          </cell>
          <cell r="C654">
            <v>950000</v>
          </cell>
        </row>
        <row r="655">
          <cell r="A655" t="str">
            <v>LLTA3</v>
          </cell>
          <cell r="B655" t="str">
            <v>LILY 19 TA1</v>
          </cell>
          <cell r="C655">
            <v>950000</v>
          </cell>
        </row>
        <row r="656">
          <cell r="A656" t="str">
            <v>LTA3</v>
          </cell>
          <cell r="B656" t="str">
            <v>LAB 1 TA3</v>
          </cell>
          <cell r="C656">
            <v>950000</v>
          </cell>
        </row>
        <row r="657">
          <cell r="A657" t="str">
            <v>TA3L</v>
          </cell>
          <cell r="B657" t="str">
            <v>TA3 - LILY</v>
          </cell>
          <cell r="C657">
            <v>950000</v>
          </cell>
        </row>
        <row r="658">
          <cell r="A658" t="str">
            <v>STML</v>
          </cell>
          <cell r="B658" t="str">
            <v>STUDIO</v>
          </cell>
          <cell r="C658">
            <v>950000</v>
          </cell>
        </row>
        <row r="659">
          <cell r="A659" t="str">
            <v>TMLS</v>
          </cell>
          <cell r="B659" t="str">
            <v>TML</v>
          </cell>
          <cell r="C659">
            <v>950000</v>
          </cell>
        </row>
        <row r="660">
          <cell r="A660" t="str">
            <v>STA3</v>
          </cell>
          <cell r="B660" t="str">
            <v>STUDIO - TA3</v>
          </cell>
          <cell r="C660">
            <v>950000</v>
          </cell>
        </row>
        <row r="661">
          <cell r="A661" t="str">
            <v>TA3S</v>
          </cell>
          <cell r="B661" t="str">
            <v>TA3 - STUDIO</v>
          </cell>
          <cell r="C661">
            <v>950000</v>
          </cell>
        </row>
        <row r="662">
          <cell r="A662" t="str">
            <v>VL1</v>
          </cell>
          <cell r="B662" t="str">
            <v>VTP LAB 1</v>
          </cell>
          <cell r="C662">
            <v>1000000</v>
          </cell>
        </row>
        <row r="663">
          <cell r="A663" t="str">
            <v>L1V</v>
          </cell>
          <cell r="B663" t="str">
            <v>LAB 1 - VTP</v>
          </cell>
          <cell r="C663">
            <v>1000000</v>
          </cell>
        </row>
        <row r="664">
          <cell r="A664" t="str">
            <v>TA1L1</v>
          </cell>
          <cell r="B664" t="str">
            <v>TA1 - LAB 1</v>
          </cell>
          <cell r="C664">
            <v>1000000</v>
          </cell>
        </row>
        <row r="665">
          <cell r="A665" t="str">
            <v>TA1AR</v>
          </cell>
          <cell r="B665" t="str">
            <v>TA1 - ARDA</v>
          </cell>
          <cell r="C665">
            <v>1500000</v>
          </cell>
        </row>
        <row r="666">
          <cell r="A666" t="str">
            <v>ta1vt</v>
          </cell>
          <cell r="B666" t="str">
            <v>TA1 - VIETSTONE</v>
          </cell>
          <cell r="C666">
            <v>1300000</v>
          </cell>
        </row>
        <row r="667">
          <cell r="A667" t="str">
            <v>SVT</v>
          </cell>
          <cell r="B667" t="str">
            <v>STUDIO - VIETSTONE</v>
          </cell>
          <cell r="C667">
            <v>1200000</v>
          </cell>
        </row>
        <row r="668">
          <cell r="A668" t="str">
            <v>vtfy</v>
          </cell>
          <cell r="B668" t="str">
            <v>VIETSTONE - FOOKYIL</v>
          </cell>
          <cell r="C668">
            <v>1000000</v>
          </cell>
        </row>
        <row r="671">
          <cell r="A671" t="str">
            <v>L1TA1</v>
          </cell>
          <cell r="B671" t="str">
            <v>LAB 1 - TA1</v>
          </cell>
          <cell r="C671">
            <v>1000000</v>
          </cell>
        </row>
        <row r="672">
          <cell r="A672" t="str">
            <v>STA1</v>
          </cell>
          <cell r="B672" t="str">
            <v>STUDIO - TA1</v>
          </cell>
          <cell r="C672">
            <v>950000</v>
          </cell>
        </row>
        <row r="673">
          <cell r="A673" t="str">
            <v>TA1S</v>
          </cell>
          <cell r="B673" t="str">
            <v>TA1 - STUDIO</v>
          </cell>
          <cell r="C673">
            <v>950000</v>
          </cell>
        </row>
        <row r="674">
          <cell r="A674" t="str">
            <v>TA1UL</v>
          </cell>
          <cell r="B674" t="str">
            <v>TA1</v>
          </cell>
          <cell r="C674">
            <v>1100000</v>
          </cell>
        </row>
        <row r="675">
          <cell r="A675" t="str">
            <v>ARDA</v>
          </cell>
          <cell r="B675" t="str">
            <v>ARDA</v>
          </cell>
          <cell r="C675">
            <v>1500000</v>
          </cell>
        </row>
        <row r="676">
          <cell r="A676" t="str">
            <v>TA1SB</v>
          </cell>
          <cell r="B676" t="str">
            <v>TA1</v>
          </cell>
          <cell r="C676">
            <v>1400000</v>
          </cell>
        </row>
        <row r="677">
          <cell r="A677" t="str">
            <v>k1sb</v>
          </cell>
          <cell r="B677" t="str">
            <v>KAISER 1</v>
          </cell>
          <cell r="C677">
            <v>1400000</v>
          </cell>
        </row>
        <row r="679">
          <cell r="A679" t="str">
            <v>L1S</v>
          </cell>
          <cell r="B679" t="str">
            <v>LAB 1 - STUDIO</v>
          </cell>
          <cell r="C679">
            <v>950000</v>
          </cell>
        </row>
        <row r="680">
          <cell r="A680" t="str">
            <v>SL1</v>
          </cell>
          <cell r="B680" t="str">
            <v>STUDIO - LAB 1</v>
          </cell>
          <cell r="C680">
            <v>950000</v>
          </cell>
        </row>
        <row r="681">
          <cell r="A681" t="str">
            <v>L1FY</v>
          </cell>
          <cell r="B681" t="str">
            <v>LAB 1 - FOOKYI;</v>
          </cell>
          <cell r="C681">
            <v>1500000</v>
          </cell>
        </row>
        <row r="682">
          <cell r="A682" t="str">
            <v>FYL1</v>
          </cell>
          <cell r="B682" t="str">
            <v>FOOKYIK - LAB 1</v>
          </cell>
          <cell r="C682">
            <v>1500000</v>
          </cell>
        </row>
        <row r="683">
          <cell r="A683" t="str">
            <v>L1B</v>
          </cell>
          <cell r="B683" t="str">
            <v>LAB 1 -BOMEI</v>
          </cell>
          <cell r="C683">
            <v>1400000</v>
          </cell>
        </row>
        <row r="684">
          <cell r="A684" t="str">
            <v>BL1</v>
          </cell>
          <cell r="B684" t="str">
            <v>BOMEI - LAB 1</v>
          </cell>
          <cell r="C684">
            <v>1400000</v>
          </cell>
        </row>
        <row r="685">
          <cell r="A685" t="str">
            <v>MS</v>
          </cell>
          <cell r="B685" t="str">
            <v>MTS -STUDIO</v>
          </cell>
          <cell r="C685">
            <v>1100000</v>
          </cell>
        </row>
        <row r="686">
          <cell r="A686" t="str">
            <v>SM</v>
          </cell>
          <cell r="B686" t="str">
            <v>STUDIO - MTS</v>
          </cell>
          <cell r="C686">
            <v>1100000</v>
          </cell>
        </row>
        <row r="687">
          <cell r="A687" t="str">
            <v>L1AK</v>
          </cell>
          <cell r="B687" t="str">
            <v>LAB 1</v>
          </cell>
          <cell r="C687">
            <v>1150000</v>
          </cell>
        </row>
        <row r="688">
          <cell r="A688" t="str">
            <v>AKL1</v>
          </cell>
          <cell r="B688" t="str">
            <v>AKZO - LAB 1</v>
          </cell>
          <cell r="C688">
            <v>1150000</v>
          </cell>
        </row>
        <row r="689">
          <cell r="A689" t="str">
            <v>ML1</v>
          </cell>
          <cell r="B689" t="str">
            <v>MTS - LAB 1</v>
          </cell>
          <cell r="C689">
            <v>1000000</v>
          </cell>
        </row>
        <row r="690">
          <cell r="A690" t="str">
            <v>q1l1</v>
          </cell>
          <cell r="B690" t="str">
            <v>QUẬN 1</v>
          </cell>
          <cell r="C690">
            <v>950000</v>
          </cell>
        </row>
        <row r="691">
          <cell r="A691" t="str">
            <v>MLL</v>
          </cell>
          <cell r="B691" t="str">
            <v>MTS - STUDIO</v>
          </cell>
          <cell r="C691">
            <v>1100000</v>
          </cell>
        </row>
        <row r="692">
          <cell r="A692" t="str">
            <v>L1M</v>
          </cell>
          <cell r="B692" t="str">
            <v>LAB 1 MTS</v>
          </cell>
          <cell r="C692">
            <v>1100000</v>
          </cell>
        </row>
        <row r="693">
          <cell r="A693" t="str">
            <v>TPAR</v>
          </cell>
          <cell r="B693" t="str">
            <v>TPLAND</v>
          </cell>
          <cell r="C693">
            <v>1250000</v>
          </cell>
        </row>
        <row r="694">
          <cell r="A694" t="str">
            <v>var</v>
          </cell>
          <cell r="B694" t="str">
            <v>VTP</v>
          </cell>
          <cell r="C694">
            <v>1400000</v>
          </cell>
        </row>
        <row r="695">
          <cell r="A695" t="str">
            <v>arv</v>
          </cell>
          <cell r="B695" t="str">
            <v>ARDA</v>
          </cell>
          <cell r="C695">
            <v>1400000</v>
          </cell>
        </row>
        <row r="696">
          <cell r="A696" t="str">
            <v>ARS</v>
          </cell>
          <cell r="B696" t="str">
            <v>ARDA</v>
          </cell>
          <cell r="C696">
            <v>1500000</v>
          </cell>
        </row>
        <row r="697">
          <cell r="A697" t="str">
            <v>SAR</v>
          </cell>
          <cell r="B697" t="str">
            <v>STUDIO</v>
          </cell>
          <cell r="C697">
            <v>1500000</v>
          </cell>
        </row>
        <row r="698">
          <cell r="A698" t="str">
            <v>ARL1</v>
          </cell>
          <cell r="B698" t="str">
            <v>ARDA</v>
          </cell>
          <cell r="C698">
            <v>1500000</v>
          </cell>
        </row>
        <row r="699">
          <cell r="A699" t="str">
            <v>GVL1</v>
          </cell>
          <cell r="B699" t="str">
            <v>GỖ VIỆT</v>
          </cell>
          <cell r="C699">
            <v>1100000</v>
          </cell>
        </row>
        <row r="700">
          <cell r="A700" t="str">
            <v>L1AR</v>
          </cell>
          <cell r="B700" t="str">
            <v>LAB 1</v>
          </cell>
          <cell r="C700">
            <v>1500000</v>
          </cell>
        </row>
        <row r="701">
          <cell r="A701" t="str">
            <v>ARA</v>
          </cell>
          <cell r="B701" t="str">
            <v>ARDA</v>
          </cell>
          <cell r="C701">
            <v>1300000</v>
          </cell>
        </row>
        <row r="702">
          <cell r="A702" t="str">
            <v>ARCL</v>
          </cell>
          <cell r="B702" t="str">
            <v>ARDA</v>
          </cell>
          <cell r="C702">
            <v>1500000</v>
          </cell>
        </row>
        <row r="703">
          <cell r="A703" t="str">
            <v>ARQ8</v>
          </cell>
          <cell r="B703" t="str">
            <v>ARDA</v>
          </cell>
          <cell r="C703">
            <v>1500000</v>
          </cell>
        </row>
        <row r="704">
          <cell r="A704" t="str">
            <v>ARQ7</v>
          </cell>
          <cell r="B704" t="str">
            <v>ARDA</v>
          </cell>
          <cell r="C704">
            <v>1500000</v>
          </cell>
        </row>
        <row r="705">
          <cell r="A705" t="str">
            <v>q7s</v>
          </cell>
          <cell r="B705" t="str">
            <v>QUẬN 7</v>
          </cell>
          <cell r="C705">
            <v>1100000</v>
          </cell>
        </row>
        <row r="709">
          <cell r="A709" t="str">
            <v>CLAR</v>
          </cell>
          <cell r="B709" t="str">
            <v>CÁT LÁI</v>
          </cell>
          <cell r="C709">
            <v>1500000</v>
          </cell>
        </row>
        <row r="710">
          <cell r="A710" t="str">
            <v>MAR</v>
          </cell>
          <cell r="B710" t="str">
            <v>MTS</v>
          </cell>
          <cell r="C710">
            <v>1500000</v>
          </cell>
        </row>
        <row r="711">
          <cell r="A711" t="str">
            <v>ARM</v>
          </cell>
          <cell r="B711" t="str">
            <v>ARDA</v>
          </cell>
          <cell r="C711">
            <v>1500000</v>
          </cell>
        </row>
        <row r="712">
          <cell r="A712" t="str">
            <v>SCL</v>
          </cell>
          <cell r="B712" t="str">
            <v>STUDIO</v>
          </cell>
          <cell r="C712">
            <v>1000000</v>
          </cell>
        </row>
        <row r="713">
          <cell r="A713" t="str">
            <v>CLS</v>
          </cell>
          <cell r="B713" t="str">
            <v>CÁT LÁI</v>
          </cell>
          <cell r="C713">
            <v>1000000</v>
          </cell>
        </row>
        <row r="714">
          <cell r="A714" t="str">
            <v>l1cl</v>
          </cell>
          <cell r="B714" t="str">
            <v>LAB 1</v>
          </cell>
          <cell r="C714">
            <v>950000</v>
          </cell>
        </row>
        <row r="715">
          <cell r="A715" t="str">
            <v>cll1</v>
          </cell>
          <cell r="B715" t="str">
            <v>CÁT LÁI</v>
          </cell>
          <cell r="C715">
            <v>950000</v>
          </cell>
        </row>
        <row r="716">
          <cell r="A716" t="str">
            <v>stp</v>
          </cell>
          <cell r="B716" t="str">
            <v>STUDIO</v>
          </cell>
          <cell r="C716">
            <v>1100000</v>
          </cell>
        </row>
        <row r="717">
          <cell r="A717" t="str">
            <v>TPS</v>
          </cell>
          <cell r="B717" t="str">
            <v>TPLAND</v>
          </cell>
          <cell r="C717">
            <v>1100000</v>
          </cell>
        </row>
        <row r="718">
          <cell r="A718" t="str">
            <v>L1TP</v>
          </cell>
          <cell r="B718" t="str">
            <v>LAB 1</v>
          </cell>
          <cell r="C718">
            <v>1200000</v>
          </cell>
        </row>
        <row r="719">
          <cell r="A719" t="str">
            <v>TPL1</v>
          </cell>
          <cell r="B719" t="str">
            <v>TPLAND</v>
          </cell>
          <cell r="C719">
            <v>1200000</v>
          </cell>
        </row>
        <row r="720">
          <cell r="A720" t="str">
            <v>tpll</v>
          </cell>
          <cell r="B720" t="str">
            <v>TPLAND</v>
          </cell>
          <cell r="C720">
            <v>1200000</v>
          </cell>
        </row>
        <row r="721">
          <cell r="A721" t="str">
            <v>lltp</v>
          </cell>
          <cell r="B721" t="str">
            <v>LILY</v>
          </cell>
          <cell r="C721">
            <v>1200000</v>
          </cell>
        </row>
        <row r="722">
          <cell r="A722" t="str">
            <v>STL</v>
          </cell>
          <cell r="B722" t="str">
            <v>STUDIO</v>
          </cell>
          <cell r="C722">
            <v>950000</v>
          </cell>
        </row>
        <row r="723">
          <cell r="A723" t="str">
            <v>TLS</v>
          </cell>
          <cell r="B723" t="str">
            <v>TULIP - STUDIO</v>
          </cell>
          <cell r="C723">
            <v>950000</v>
          </cell>
        </row>
        <row r="724">
          <cell r="A724" t="str">
            <v>LLA</v>
          </cell>
          <cell r="B724" t="str">
            <v xml:space="preserve">LILY 19 </v>
          </cell>
          <cell r="C724">
            <v>1500000</v>
          </cell>
        </row>
        <row r="725">
          <cell r="A725" t="str">
            <v>LLAR</v>
          </cell>
          <cell r="B725" t="str">
            <v>LILY 19</v>
          </cell>
          <cell r="C725">
            <v>1500000</v>
          </cell>
        </row>
        <row r="726">
          <cell r="A726" t="str">
            <v>LLPL</v>
          </cell>
          <cell r="B726" t="str">
            <v>LILY 19</v>
          </cell>
          <cell r="C726">
            <v>1400000</v>
          </cell>
        </row>
        <row r="727">
          <cell r="A727" t="str">
            <v>LLDN</v>
          </cell>
          <cell r="B727" t="str">
            <v>LILY 19</v>
          </cell>
        </row>
        <row r="729">
          <cell r="B729" t="str">
            <v>2 ĐIỂM</v>
          </cell>
        </row>
        <row r="730">
          <cell r="A730" t="str">
            <v>sk1k2</v>
          </cell>
          <cell r="B730" t="str">
            <v>STUDIO- K1-K2</v>
          </cell>
          <cell r="C730">
            <v>1500000</v>
          </cell>
        </row>
        <row r="731">
          <cell r="A731" t="str">
            <v>k2k1s</v>
          </cell>
          <cell r="B731" t="str">
            <v>KAISER 1 + 2 - STUDIO</v>
          </cell>
          <cell r="C731">
            <v>1500000</v>
          </cell>
        </row>
        <row r="732">
          <cell r="A732" t="str">
            <v>sfyk1</v>
          </cell>
          <cell r="B732" t="str">
            <v>STUDIO - FOOOKYIL</v>
          </cell>
          <cell r="C732">
            <v>1500000</v>
          </cell>
        </row>
        <row r="733">
          <cell r="A733" t="str">
            <v>LLSFY</v>
          </cell>
          <cell r="B733" t="str">
            <v>LILY 19 + STUDIO</v>
          </cell>
          <cell r="C733">
            <v>1500000</v>
          </cell>
        </row>
        <row r="734">
          <cell r="A734" t="str">
            <v>LLSK2</v>
          </cell>
          <cell r="B734" t="str">
            <v>LILY 19</v>
          </cell>
          <cell r="C734">
            <v>1500000</v>
          </cell>
        </row>
        <row r="735">
          <cell r="A735" t="str">
            <v>SK1AR</v>
          </cell>
          <cell r="B735" t="str">
            <v>STUDIO</v>
          </cell>
          <cell r="C735">
            <v>1500000</v>
          </cell>
        </row>
        <row r="736">
          <cell r="A736" t="str">
            <v>SK2AR</v>
          </cell>
          <cell r="B736" t="str">
            <v>STUDIO</v>
          </cell>
          <cell r="C736">
            <v>1500000</v>
          </cell>
        </row>
        <row r="737">
          <cell r="A737" t="str">
            <v>STA13</v>
          </cell>
          <cell r="B737" t="str">
            <v>STUDIO</v>
          </cell>
          <cell r="C737">
            <v>1500000</v>
          </cell>
        </row>
        <row r="738">
          <cell r="A738" t="str">
            <v>K2VS</v>
          </cell>
          <cell r="B738" t="str">
            <v>KAISER 2</v>
          </cell>
          <cell r="C738">
            <v>1500000</v>
          </cell>
        </row>
        <row r="739">
          <cell r="A739" t="str">
            <v>SVK2</v>
          </cell>
          <cell r="B739" t="str">
            <v>STUDIO</v>
          </cell>
          <cell r="C739">
            <v>1500000</v>
          </cell>
        </row>
        <row r="740">
          <cell r="A740" t="str">
            <v>SFYK2</v>
          </cell>
          <cell r="B740" t="str">
            <v>STUDIO</v>
          </cell>
          <cell r="C740">
            <v>1500000</v>
          </cell>
        </row>
        <row r="741">
          <cell r="A741" t="str">
            <v>ARK1ll</v>
          </cell>
          <cell r="B741" t="str">
            <v>ARDA + KAISER 1</v>
          </cell>
          <cell r="C741">
            <v>1500000</v>
          </cell>
        </row>
        <row r="742">
          <cell r="A742" t="str">
            <v>llsvt</v>
          </cell>
          <cell r="B742" t="str">
            <v>LILY 19 + STUDIO</v>
          </cell>
          <cell r="C742">
            <v>1400000</v>
          </cell>
        </row>
        <row r="743">
          <cell r="B743" t="str">
            <v>3 ĐIỂM</v>
          </cell>
        </row>
        <row r="744">
          <cell r="A744" t="str">
            <v>ARK2K1S</v>
          </cell>
          <cell r="B744" t="str">
            <v>ARDA + KAISER 2 + KAISER 1</v>
          </cell>
        </row>
        <row r="745">
          <cell r="A745" t="str">
            <v>sk1k2ar</v>
          </cell>
          <cell r="B745" t="str">
            <v>STUDIO</v>
          </cell>
        </row>
        <row r="746">
          <cell r="A746" t="str">
            <v>mllar</v>
          </cell>
          <cell r="B746" t="str">
            <v>MTS</v>
          </cell>
        </row>
        <row r="748">
          <cell r="A748" t="str">
            <v>LSK1AR</v>
          </cell>
          <cell r="B748" t="str">
            <v>LAB 1</v>
          </cell>
        </row>
        <row r="749">
          <cell r="A749" t="str">
            <v>ml1s</v>
          </cell>
          <cell r="B749" t="str">
            <v>MTS + LAB 1</v>
          </cell>
          <cell r="C749">
            <v>1200000</v>
          </cell>
        </row>
        <row r="750">
          <cell r="A750" t="str">
            <v>l1vtfy</v>
          </cell>
          <cell r="B750" t="str">
            <v>LAB 1</v>
          </cell>
          <cell r="C750">
            <v>1500000</v>
          </cell>
        </row>
        <row r="751">
          <cell r="A751" t="str">
            <v>llk1k2</v>
          </cell>
          <cell r="B751" t="str">
            <v>LILY 19</v>
          </cell>
          <cell r="C751">
            <v>1500000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0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2" t="s">
        <v>1</v>
      </c>
    </row>
    <row r="2" spans="1:2" ht="15.75" customHeight="1">
      <c r="A2" s="3"/>
      <c r="B2" s="4"/>
    </row>
    <row r="3" spans="1:2" ht="15.75" customHeight="1">
      <c r="A3" s="5" t="s">
        <v>2</v>
      </c>
      <c r="B3" s="6" t="s">
        <v>3</v>
      </c>
    </row>
    <row r="4" spans="1:2" ht="15.75" customHeight="1">
      <c r="A4" s="7" t="s">
        <v>4</v>
      </c>
      <c r="B4" s="8" t="s">
        <v>5</v>
      </c>
    </row>
    <row r="5" spans="1:2" ht="15.75" customHeight="1">
      <c r="A5" s="3" t="s">
        <v>6</v>
      </c>
      <c r="B5" s="4" t="s">
        <v>7</v>
      </c>
    </row>
    <row r="6" spans="1:2" ht="15.75" customHeight="1">
      <c r="A6" s="3" t="s">
        <v>8</v>
      </c>
      <c r="B6" s="4" t="s">
        <v>9</v>
      </c>
    </row>
    <row r="7" spans="1:2" ht="15.75" customHeight="1">
      <c r="A7" s="9" t="s">
        <v>10</v>
      </c>
      <c r="B7" s="10" t="s">
        <v>11</v>
      </c>
    </row>
    <row r="8" spans="1:2" ht="15.75" customHeight="1">
      <c r="A8" s="3" t="s">
        <v>12</v>
      </c>
      <c r="B8" s="4" t="s">
        <v>13</v>
      </c>
    </row>
    <row r="9" spans="1:2" ht="15.75" customHeight="1">
      <c r="A9" s="3" t="s">
        <v>14</v>
      </c>
      <c r="B9" s="4" t="s">
        <v>15</v>
      </c>
    </row>
    <row r="10" spans="1:2" ht="15.75" customHeight="1">
      <c r="A10" s="3" t="s">
        <v>16</v>
      </c>
      <c r="B10" s="4" t="s">
        <v>17</v>
      </c>
    </row>
    <row r="11" spans="1:2" ht="15.75" customHeight="1">
      <c r="A11" s="11" t="s">
        <v>18</v>
      </c>
      <c r="B11" s="12" t="s">
        <v>17</v>
      </c>
    </row>
    <row r="12" spans="1:2" ht="15.75" customHeight="1">
      <c r="A12" s="3" t="s">
        <v>19</v>
      </c>
      <c r="B12" s="4" t="s">
        <v>20</v>
      </c>
    </row>
    <row r="13" spans="1:2" ht="15.75" customHeight="1">
      <c r="A13" s="13" t="s">
        <v>21</v>
      </c>
      <c r="B13" s="14" t="s">
        <v>22</v>
      </c>
    </row>
    <row r="14" spans="1:2" ht="15.75" customHeight="1">
      <c r="A14" s="13" t="s">
        <v>23</v>
      </c>
      <c r="B14" s="14" t="s">
        <v>24</v>
      </c>
    </row>
    <row r="15" spans="1:2" ht="15.75" customHeight="1">
      <c r="A15" s="3" t="s">
        <v>25</v>
      </c>
      <c r="B15" s="15" t="s">
        <v>26</v>
      </c>
    </row>
    <row r="16" spans="1:2" ht="15.75" customHeight="1">
      <c r="A16" s="3" t="s">
        <v>27</v>
      </c>
      <c r="B16" s="4" t="s">
        <v>28</v>
      </c>
    </row>
    <row r="17" spans="1:2" ht="15.75" customHeight="1">
      <c r="A17" s="3" t="s">
        <v>29</v>
      </c>
      <c r="B17" s="4" t="s">
        <v>30</v>
      </c>
    </row>
    <row r="18" spans="1:2" ht="15.75" customHeight="1">
      <c r="A18" s="11" t="s">
        <v>31</v>
      </c>
      <c r="B18" s="12" t="s">
        <v>30</v>
      </c>
    </row>
    <row r="19" spans="1:2" ht="15.75" customHeight="1">
      <c r="A19" s="11" t="s">
        <v>32</v>
      </c>
      <c r="B19" s="12" t="s">
        <v>17</v>
      </c>
    </row>
    <row r="20" spans="1:2" ht="15.75" customHeight="1">
      <c r="A20" s="3" t="s">
        <v>33</v>
      </c>
      <c r="B20" s="4" t="s">
        <v>13</v>
      </c>
    </row>
    <row r="21" spans="1:2" ht="15.75" customHeight="1">
      <c r="A21" s="3" t="s">
        <v>34</v>
      </c>
      <c r="B21" s="14" t="s">
        <v>22</v>
      </c>
    </row>
    <row r="22" spans="1:2" ht="15.75" customHeight="1">
      <c r="A22" s="3"/>
      <c r="B22" s="15"/>
    </row>
    <row r="23" spans="1:2" ht="15.75" customHeight="1">
      <c r="A23" s="3" t="s">
        <v>35</v>
      </c>
      <c r="B23" s="16" t="s">
        <v>36</v>
      </c>
    </row>
    <row r="24" spans="1:2" ht="15.75" customHeight="1">
      <c r="A24" s="3" t="s">
        <v>37</v>
      </c>
      <c r="B24" s="15" t="s">
        <v>38</v>
      </c>
    </row>
    <row r="25" spans="1:2" ht="15.75" customHeight="1">
      <c r="A25" s="3" t="s">
        <v>39</v>
      </c>
      <c r="B25" s="4" t="s">
        <v>40</v>
      </c>
    </row>
    <row r="26" spans="1:2" ht="15.75" customHeight="1">
      <c r="A26" s="3" t="s">
        <v>41</v>
      </c>
      <c r="B26" s="15" t="s">
        <v>42</v>
      </c>
    </row>
    <row r="27" spans="1:2" ht="15.75" customHeight="1">
      <c r="A27" s="3" t="s">
        <v>43</v>
      </c>
      <c r="B27" s="4" t="s">
        <v>44</v>
      </c>
    </row>
    <row r="28" spans="1:2" ht="15.75" customHeight="1">
      <c r="A28" s="3" t="s">
        <v>45</v>
      </c>
      <c r="B28" s="15" t="s">
        <v>46</v>
      </c>
    </row>
    <row r="29" spans="1:2" ht="15.75" customHeight="1">
      <c r="A29" s="3"/>
      <c r="B29" s="4"/>
    </row>
    <row r="30" spans="1:2" ht="15.75" customHeight="1">
      <c r="A30" s="3" t="s">
        <v>47</v>
      </c>
      <c r="B30" s="4" t="s">
        <v>48</v>
      </c>
    </row>
    <row r="31" spans="1:2" ht="15.75" customHeight="1">
      <c r="A31" s="11" t="s">
        <v>49</v>
      </c>
      <c r="B31" s="17" t="s">
        <v>50</v>
      </c>
    </row>
    <row r="32" spans="1:2" ht="15.75" customHeight="1">
      <c r="A32" s="11" t="s">
        <v>51</v>
      </c>
      <c r="B32" s="18" t="s">
        <v>38</v>
      </c>
    </row>
    <row r="33" spans="1:2" ht="15.75" customHeight="1">
      <c r="A33" s="3" t="s">
        <v>52</v>
      </c>
      <c r="B33" s="4" t="s">
        <v>53</v>
      </c>
    </row>
    <row r="34" spans="1:2" ht="15.75" customHeight="1">
      <c r="A34" s="3" t="s">
        <v>54</v>
      </c>
      <c r="B34" s="4" t="s">
        <v>55</v>
      </c>
    </row>
    <row r="35" spans="1:2" ht="15.75" customHeight="1">
      <c r="A35" s="3" t="s">
        <v>56</v>
      </c>
      <c r="B35" s="4" t="s">
        <v>57</v>
      </c>
    </row>
    <row r="36" spans="1:2" ht="15.75" customHeight="1">
      <c r="A36" s="3"/>
      <c r="B36" s="4"/>
    </row>
    <row r="37" spans="1:2" ht="15.75" customHeight="1">
      <c r="A37" s="3" t="s">
        <v>58</v>
      </c>
      <c r="B37" s="4" t="s">
        <v>59</v>
      </c>
    </row>
    <row r="38" spans="1:2" ht="15.75" customHeight="1">
      <c r="A38" s="3" t="s">
        <v>60</v>
      </c>
      <c r="B38" s="4" t="s">
        <v>61</v>
      </c>
    </row>
    <row r="39" spans="1:2" ht="15.75" customHeight="1">
      <c r="A39" s="3" t="s">
        <v>62</v>
      </c>
      <c r="B39" s="4" t="s">
        <v>63</v>
      </c>
    </row>
    <row r="40" spans="1:2" ht="15.75" customHeight="1">
      <c r="A40" s="3" t="s">
        <v>64</v>
      </c>
      <c r="B40" s="4" t="s">
        <v>65</v>
      </c>
    </row>
    <row r="41" spans="1:2" ht="15.75" customHeight="1">
      <c r="A41" s="3" t="s">
        <v>66</v>
      </c>
      <c r="B41" s="15" t="s">
        <v>67</v>
      </c>
    </row>
    <row r="42" spans="1:2" ht="15.75" customHeight="1">
      <c r="A42" s="3" t="s">
        <v>68</v>
      </c>
      <c r="B42" s="15" t="s">
        <v>69</v>
      </c>
    </row>
    <row r="43" spans="1:2" ht="15.75" customHeight="1">
      <c r="A43" s="3" t="s">
        <v>70</v>
      </c>
      <c r="B43" s="4" t="s">
        <v>71</v>
      </c>
    </row>
    <row r="44" spans="1:2" ht="15.75" customHeight="1">
      <c r="A44" s="3" t="s">
        <v>72</v>
      </c>
      <c r="B44" s="4" t="s">
        <v>73</v>
      </c>
    </row>
    <row r="45" spans="1:2" ht="15.75" customHeight="1">
      <c r="A45" s="3" t="s">
        <v>74</v>
      </c>
      <c r="B45" s="4" t="s">
        <v>75</v>
      </c>
    </row>
    <row r="46" spans="1:2" ht="13">
      <c r="A46" s="3" t="s">
        <v>76</v>
      </c>
      <c r="B46" s="4" t="s">
        <v>77</v>
      </c>
    </row>
    <row r="47" spans="1:2" ht="13">
      <c r="A47" s="19" t="s">
        <v>78</v>
      </c>
      <c r="B47" s="20" t="s">
        <v>79</v>
      </c>
    </row>
    <row r="48" spans="1:2" ht="13">
      <c r="A48" s="3" t="s">
        <v>80</v>
      </c>
      <c r="B48" s="4" t="s">
        <v>81</v>
      </c>
    </row>
    <row r="49" spans="1:2" ht="13">
      <c r="A49" s="19" t="s">
        <v>82</v>
      </c>
      <c r="B49" s="20" t="s">
        <v>83</v>
      </c>
    </row>
    <row r="50" spans="1:2" ht="13">
      <c r="A50" s="3" t="s">
        <v>84</v>
      </c>
      <c r="B50" s="4" t="s">
        <v>85</v>
      </c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231"/>
  <sheetViews>
    <sheetView workbookViewId="0"/>
  </sheetViews>
  <sheetFormatPr baseColWidth="10" defaultColWidth="12.6640625" defaultRowHeight="15.75" customHeight="1"/>
  <cols>
    <col min="1" max="1" width="8.33203125" customWidth="1"/>
    <col min="2" max="2" width="28.6640625" customWidth="1"/>
    <col min="3" max="3" width="16.83203125" customWidth="1"/>
  </cols>
  <sheetData>
    <row r="1" spans="1:3">
      <c r="A1" s="21" t="s">
        <v>0</v>
      </c>
      <c r="B1" s="2" t="s">
        <v>86</v>
      </c>
      <c r="C1" s="22" t="s">
        <v>87</v>
      </c>
    </row>
    <row r="2" spans="1:3" ht="15.75" customHeight="1">
      <c r="A2" s="5" t="s">
        <v>88</v>
      </c>
      <c r="B2" s="6" t="s">
        <v>89</v>
      </c>
      <c r="C2" s="23"/>
    </row>
    <row r="3" spans="1:3" ht="15.75" customHeight="1">
      <c r="A3" s="5" t="s">
        <v>90</v>
      </c>
      <c r="B3" s="6" t="s">
        <v>91</v>
      </c>
      <c r="C3" s="23"/>
    </row>
    <row r="4" spans="1:3" ht="15.75" customHeight="1">
      <c r="A4" s="5" t="s">
        <v>92</v>
      </c>
      <c r="B4" s="6" t="s">
        <v>93</v>
      </c>
      <c r="C4" s="23"/>
    </row>
    <row r="5" spans="1:3" ht="15.75" customHeight="1">
      <c r="A5" s="5" t="s">
        <v>94</v>
      </c>
      <c r="B5" s="6" t="s">
        <v>95</v>
      </c>
      <c r="C5" s="23">
        <v>280000</v>
      </c>
    </row>
    <row r="6" spans="1:3" ht="15.75" customHeight="1">
      <c r="A6" s="5" t="s">
        <v>96</v>
      </c>
      <c r="B6" s="6" t="s">
        <v>97</v>
      </c>
      <c r="C6" s="23">
        <v>244000</v>
      </c>
    </row>
    <row r="7" spans="1:3" ht="15.75" customHeight="1">
      <c r="A7" s="5" t="s">
        <v>98</v>
      </c>
      <c r="B7" s="6" t="s">
        <v>99</v>
      </c>
      <c r="C7" s="23">
        <v>244000</v>
      </c>
    </row>
    <row r="8" spans="1:3" ht="15.75" customHeight="1">
      <c r="A8" s="5"/>
      <c r="B8" s="6"/>
      <c r="C8" s="23"/>
    </row>
    <row r="9" spans="1:3" ht="15.75" customHeight="1">
      <c r="A9" s="5" t="s">
        <v>100</v>
      </c>
      <c r="B9" s="6" t="s">
        <v>101</v>
      </c>
      <c r="C9" s="23">
        <v>600000</v>
      </c>
    </row>
    <row r="10" spans="1:3" ht="15.75" customHeight="1">
      <c r="A10" s="5" t="s">
        <v>102</v>
      </c>
      <c r="B10" s="6" t="s">
        <v>103</v>
      </c>
      <c r="C10" s="23">
        <v>410000</v>
      </c>
    </row>
    <row r="11" spans="1:3" ht="15.75" customHeight="1">
      <c r="A11" s="5" t="s">
        <v>104</v>
      </c>
      <c r="B11" s="6" t="s">
        <v>105</v>
      </c>
      <c r="C11" s="23">
        <v>300000</v>
      </c>
    </row>
    <row r="12" spans="1:3" ht="15.75" customHeight="1">
      <c r="A12" s="5" t="s">
        <v>106</v>
      </c>
      <c r="B12" s="6" t="s">
        <v>107</v>
      </c>
      <c r="C12" s="23">
        <v>180000</v>
      </c>
    </row>
    <row r="13" spans="1:3" ht="15.75" customHeight="1">
      <c r="A13" s="5" t="s">
        <v>108</v>
      </c>
      <c r="B13" s="6" t="s">
        <v>109</v>
      </c>
      <c r="C13" s="23">
        <v>140000</v>
      </c>
    </row>
    <row r="14" spans="1:3" ht="15.75" customHeight="1">
      <c r="A14" s="5" t="s">
        <v>110</v>
      </c>
      <c r="B14" s="6" t="s">
        <v>111</v>
      </c>
      <c r="C14" s="23">
        <v>300000</v>
      </c>
    </row>
    <row r="15" spans="1:3" ht="15.75" customHeight="1">
      <c r="A15" s="5" t="s">
        <v>112</v>
      </c>
      <c r="B15" s="6" t="s">
        <v>113</v>
      </c>
      <c r="C15" s="23">
        <v>400000</v>
      </c>
    </row>
    <row r="16" spans="1:3" ht="15.75" customHeight="1">
      <c r="A16" s="5" t="s">
        <v>114</v>
      </c>
      <c r="B16" s="6" t="s">
        <v>115</v>
      </c>
      <c r="C16" s="23">
        <v>200000</v>
      </c>
    </row>
    <row r="17" spans="1:3" ht="15.75" customHeight="1">
      <c r="A17" s="5" t="s">
        <v>116</v>
      </c>
      <c r="B17" s="6" t="s">
        <v>117</v>
      </c>
      <c r="C17" s="23">
        <v>100000</v>
      </c>
    </row>
    <row r="18" spans="1:3" ht="15.75" customHeight="1">
      <c r="A18" s="5"/>
      <c r="B18" s="6"/>
      <c r="C18" s="23"/>
    </row>
    <row r="19" spans="1:3" ht="15.75" customHeight="1">
      <c r="A19" s="5" t="s">
        <v>118</v>
      </c>
      <c r="B19" s="6" t="s">
        <v>119</v>
      </c>
      <c r="C19" s="23">
        <v>414000</v>
      </c>
    </row>
    <row r="20" spans="1:3" ht="15.75" customHeight="1">
      <c r="A20" s="5" t="s">
        <v>120</v>
      </c>
      <c r="B20" s="6" t="s">
        <v>121</v>
      </c>
      <c r="C20" s="23">
        <v>300000</v>
      </c>
    </row>
    <row r="21" spans="1:3" ht="15.75" customHeight="1">
      <c r="A21" s="5" t="s">
        <v>122</v>
      </c>
      <c r="B21" s="6" t="s">
        <v>123</v>
      </c>
      <c r="C21" s="23">
        <v>200000</v>
      </c>
    </row>
    <row r="22" spans="1:3" ht="15.75" customHeight="1">
      <c r="A22" s="24" t="s">
        <v>124</v>
      </c>
      <c r="B22" s="6" t="s">
        <v>125</v>
      </c>
      <c r="C22" s="23">
        <v>200000</v>
      </c>
    </row>
    <row r="23" spans="1:3" ht="15.75" customHeight="1">
      <c r="A23" s="24" t="s">
        <v>126</v>
      </c>
      <c r="B23" s="25" t="s">
        <v>127</v>
      </c>
      <c r="C23" s="23">
        <v>200000</v>
      </c>
    </row>
    <row r="24" spans="1:3" ht="15.75" customHeight="1">
      <c r="A24" s="24" t="s">
        <v>128</v>
      </c>
      <c r="B24" s="25" t="s">
        <v>129</v>
      </c>
      <c r="C24" s="23">
        <v>200000</v>
      </c>
    </row>
    <row r="25" spans="1:3" ht="15.75" customHeight="1">
      <c r="A25" s="24" t="s">
        <v>130</v>
      </c>
      <c r="B25" s="25" t="s">
        <v>131</v>
      </c>
      <c r="C25" s="23">
        <v>200000</v>
      </c>
    </row>
    <row r="26" spans="1:3" ht="15.75" customHeight="1">
      <c r="A26" s="24" t="s">
        <v>132</v>
      </c>
      <c r="B26" s="25" t="s">
        <v>133</v>
      </c>
      <c r="C26" s="23">
        <v>200000</v>
      </c>
    </row>
    <row r="27" spans="1:3" ht="15.75" customHeight="1">
      <c r="A27" s="24" t="s">
        <v>134</v>
      </c>
      <c r="B27" s="25" t="s">
        <v>135</v>
      </c>
      <c r="C27" s="23">
        <v>238000</v>
      </c>
    </row>
    <row r="28" spans="1:3" ht="15.75" customHeight="1">
      <c r="A28" s="24" t="s">
        <v>136</v>
      </c>
      <c r="B28" s="25" t="s">
        <v>137</v>
      </c>
      <c r="C28" s="23">
        <v>238000</v>
      </c>
    </row>
    <row r="29" spans="1:3" ht="15.75" customHeight="1">
      <c r="A29" s="24" t="s">
        <v>138</v>
      </c>
      <c r="B29" s="25" t="s">
        <v>139</v>
      </c>
      <c r="C29" s="23">
        <v>212000</v>
      </c>
    </row>
    <row r="30" spans="1:3" ht="15.75" customHeight="1">
      <c r="A30" s="24" t="s">
        <v>140</v>
      </c>
      <c r="B30" s="25" t="s">
        <v>141</v>
      </c>
      <c r="C30" s="23">
        <v>273000</v>
      </c>
    </row>
    <row r="31" spans="1:3" ht="15.75" customHeight="1">
      <c r="A31" s="24" t="s">
        <v>142</v>
      </c>
      <c r="B31" s="25" t="s">
        <v>143</v>
      </c>
      <c r="C31" s="23">
        <v>210000</v>
      </c>
    </row>
    <row r="32" spans="1:3" ht="15.75" customHeight="1">
      <c r="A32" s="24" t="s">
        <v>144</v>
      </c>
      <c r="B32" s="25" t="s">
        <v>145</v>
      </c>
      <c r="C32" s="23">
        <v>232000</v>
      </c>
    </row>
    <row r="33" spans="1:3" ht="15.75" customHeight="1">
      <c r="A33" s="24" t="s">
        <v>146</v>
      </c>
      <c r="B33" s="25" t="s">
        <v>147</v>
      </c>
      <c r="C33" s="23">
        <v>262000</v>
      </c>
    </row>
    <row r="34" spans="1:3" ht="15.75" customHeight="1">
      <c r="A34" s="24"/>
      <c r="B34" s="25"/>
      <c r="C34" s="23"/>
    </row>
    <row r="35" spans="1:3" ht="15.75" customHeight="1">
      <c r="A35" s="24" t="s">
        <v>148</v>
      </c>
      <c r="B35" s="25" t="s">
        <v>149</v>
      </c>
      <c r="C35" s="23">
        <v>212000</v>
      </c>
    </row>
    <row r="36" spans="1:3" ht="15.75" customHeight="1">
      <c r="A36" s="24" t="s">
        <v>150</v>
      </c>
      <c r="B36" s="25" t="s">
        <v>151</v>
      </c>
      <c r="C36" s="23">
        <v>900000</v>
      </c>
    </row>
    <row r="37" spans="1:3" ht="15.75" customHeight="1">
      <c r="A37" s="24" t="s">
        <v>152</v>
      </c>
      <c r="B37" s="25" t="s">
        <v>153</v>
      </c>
      <c r="C37" s="23">
        <v>220000</v>
      </c>
    </row>
    <row r="38" spans="1:3" ht="15.75" customHeight="1">
      <c r="A38" s="24" t="s">
        <v>154</v>
      </c>
      <c r="B38" s="25" t="s">
        <v>155</v>
      </c>
      <c r="C38" s="23">
        <v>200000</v>
      </c>
    </row>
    <row r="39" spans="1:3" ht="15.75" customHeight="1">
      <c r="A39" s="24" t="s">
        <v>156</v>
      </c>
      <c r="B39" s="25" t="s">
        <v>157</v>
      </c>
      <c r="C39" s="23">
        <v>200000</v>
      </c>
    </row>
    <row r="40" spans="1:3" ht="15.75" customHeight="1">
      <c r="A40" s="24" t="s">
        <v>158</v>
      </c>
      <c r="B40" s="25" t="s">
        <v>159</v>
      </c>
      <c r="C40" s="23">
        <v>800000</v>
      </c>
    </row>
    <row r="41" spans="1:3" ht="15.75" customHeight="1">
      <c r="A41" s="24" t="s">
        <v>160</v>
      </c>
      <c r="B41" s="25" t="s">
        <v>161</v>
      </c>
      <c r="C41" s="23">
        <v>800000</v>
      </c>
    </row>
    <row r="42" spans="1:3" ht="15.75" customHeight="1">
      <c r="A42" s="24" t="s">
        <v>162</v>
      </c>
      <c r="B42" s="25" t="s">
        <v>163</v>
      </c>
      <c r="C42" s="23">
        <v>800000</v>
      </c>
    </row>
    <row r="43" spans="1:3" ht="15.75" customHeight="1">
      <c r="A43" s="24" t="s">
        <v>164</v>
      </c>
      <c r="B43" s="25" t="s">
        <v>165</v>
      </c>
      <c r="C43" s="23">
        <v>800000</v>
      </c>
    </row>
    <row r="44" spans="1:3" ht="15.75" customHeight="1">
      <c r="A44" s="24" t="s">
        <v>166</v>
      </c>
      <c r="B44" s="25" t="s">
        <v>167</v>
      </c>
      <c r="C44" s="23">
        <v>800000</v>
      </c>
    </row>
    <row r="45" spans="1:3" ht="15.75" customHeight="1">
      <c r="A45" s="24" t="s">
        <v>168</v>
      </c>
      <c r="B45" s="25" t="s">
        <v>169</v>
      </c>
      <c r="C45" s="23">
        <v>800000</v>
      </c>
    </row>
    <row r="46" spans="1:3" ht="13">
      <c r="A46" s="24" t="s">
        <v>170</v>
      </c>
      <c r="B46" s="25" t="s">
        <v>171</v>
      </c>
      <c r="C46" s="23">
        <v>800000</v>
      </c>
    </row>
    <row r="47" spans="1:3" ht="13">
      <c r="A47" s="24" t="s">
        <v>172</v>
      </c>
      <c r="B47" s="25" t="s">
        <v>173</v>
      </c>
      <c r="C47" s="23"/>
    </row>
    <row r="48" spans="1:3" ht="13">
      <c r="A48" s="24" t="s">
        <v>174</v>
      </c>
      <c r="B48" s="25" t="s">
        <v>175</v>
      </c>
      <c r="C48" s="23">
        <v>210000</v>
      </c>
    </row>
    <row r="49" spans="1:3" ht="13">
      <c r="A49" s="24" t="s">
        <v>176</v>
      </c>
      <c r="B49" s="25" t="s">
        <v>177</v>
      </c>
      <c r="C49" s="23">
        <v>190000</v>
      </c>
    </row>
    <row r="50" spans="1:3" ht="13">
      <c r="A50" s="24" t="s">
        <v>178</v>
      </c>
      <c r="B50" s="25" t="s">
        <v>179</v>
      </c>
      <c r="C50" s="23">
        <v>200000</v>
      </c>
    </row>
    <row r="51" spans="1:3" ht="13">
      <c r="A51" s="24" t="s">
        <v>180</v>
      </c>
      <c r="B51" s="25" t="s">
        <v>181</v>
      </c>
      <c r="C51" s="23">
        <v>800000</v>
      </c>
    </row>
    <row r="52" spans="1:3" ht="13">
      <c r="A52" s="24" t="s">
        <v>182</v>
      </c>
      <c r="B52" s="25" t="s">
        <v>183</v>
      </c>
      <c r="C52" s="23"/>
    </row>
    <row r="53" spans="1:3" ht="13">
      <c r="A53" s="5" t="s">
        <v>184</v>
      </c>
      <c r="B53" s="6" t="s">
        <v>185</v>
      </c>
      <c r="C53" s="23">
        <v>212000</v>
      </c>
    </row>
    <row r="54" spans="1:3" ht="13">
      <c r="A54" s="5" t="s">
        <v>186</v>
      </c>
      <c r="B54" s="6" t="s">
        <v>187</v>
      </c>
      <c r="C54" s="23">
        <v>200000</v>
      </c>
    </row>
    <row r="55" spans="1:3" ht="13">
      <c r="A55" s="5" t="s">
        <v>188</v>
      </c>
      <c r="B55" s="6" t="s">
        <v>189</v>
      </c>
      <c r="C55" s="23"/>
    </row>
    <row r="56" spans="1:3" ht="13">
      <c r="A56" s="24" t="s">
        <v>190</v>
      </c>
      <c r="B56" s="25" t="s">
        <v>191</v>
      </c>
      <c r="C56" s="23"/>
    </row>
    <row r="57" spans="1:3" ht="13">
      <c r="A57" s="24" t="s">
        <v>192</v>
      </c>
      <c r="B57" s="25" t="s">
        <v>193</v>
      </c>
      <c r="C57" s="23"/>
    </row>
    <row r="58" spans="1:3" ht="13">
      <c r="A58" s="24" t="s">
        <v>194</v>
      </c>
      <c r="B58" s="25" t="s">
        <v>195</v>
      </c>
      <c r="C58" s="23">
        <v>370000</v>
      </c>
    </row>
    <row r="59" spans="1:3" ht="13">
      <c r="A59" s="24" t="s">
        <v>196</v>
      </c>
      <c r="B59" s="25" t="s">
        <v>197</v>
      </c>
      <c r="C59" s="23"/>
    </row>
    <row r="60" spans="1:3" ht="13">
      <c r="A60" s="24" t="s">
        <v>198</v>
      </c>
      <c r="B60" s="25" t="s">
        <v>199</v>
      </c>
      <c r="C60" s="23"/>
    </row>
    <row r="61" spans="1:3" ht="13">
      <c r="A61" s="24" t="s">
        <v>200</v>
      </c>
      <c r="B61" s="25" t="s">
        <v>201</v>
      </c>
      <c r="C61" s="23"/>
    </row>
    <row r="62" spans="1:3" ht="13">
      <c r="A62" s="24" t="s">
        <v>202</v>
      </c>
      <c r="B62" s="25" t="s">
        <v>203</v>
      </c>
      <c r="C62" s="23"/>
    </row>
    <row r="63" spans="1:3" ht="13">
      <c r="A63" s="24" t="s">
        <v>204</v>
      </c>
      <c r="B63" s="25" t="s">
        <v>205</v>
      </c>
      <c r="C63" s="23">
        <v>442000</v>
      </c>
    </row>
    <row r="64" spans="1:3" ht="13">
      <c r="A64" s="24" t="s">
        <v>206</v>
      </c>
      <c r="B64" s="25" t="s">
        <v>207</v>
      </c>
      <c r="C64" s="23">
        <v>393000</v>
      </c>
    </row>
    <row r="65" spans="1:3" ht="13">
      <c r="A65" s="24" t="s">
        <v>208</v>
      </c>
      <c r="B65" s="25" t="s">
        <v>209</v>
      </c>
      <c r="C65" s="23">
        <v>363000</v>
      </c>
    </row>
    <row r="66" spans="1:3" ht="13">
      <c r="A66" s="24" t="s">
        <v>210</v>
      </c>
      <c r="B66" s="25" t="s">
        <v>211</v>
      </c>
      <c r="C66" s="23">
        <v>2400000</v>
      </c>
    </row>
    <row r="67" spans="1:3" ht="13">
      <c r="A67" s="24" t="s">
        <v>212</v>
      </c>
      <c r="B67" s="25" t="s">
        <v>213</v>
      </c>
      <c r="C67" s="23">
        <v>2400000</v>
      </c>
    </row>
    <row r="68" spans="1:3" ht="13">
      <c r="A68" s="24" t="s">
        <v>214</v>
      </c>
      <c r="B68" s="25" t="s">
        <v>215</v>
      </c>
      <c r="C68" s="23">
        <v>240000</v>
      </c>
    </row>
    <row r="69" spans="1:3" ht="13">
      <c r="A69" s="24" t="s">
        <v>216</v>
      </c>
      <c r="B69" s="25" t="s">
        <v>217</v>
      </c>
      <c r="C69" s="23">
        <v>220000</v>
      </c>
    </row>
    <row r="70" spans="1:3" ht="13">
      <c r="A70" s="24" t="s">
        <v>218</v>
      </c>
      <c r="B70" s="25" t="s">
        <v>219</v>
      </c>
      <c r="C70" s="23">
        <v>230000</v>
      </c>
    </row>
    <row r="71" spans="1:3" ht="13">
      <c r="A71" s="24" t="s">
        <v>220</v>
      </c>
      <c r="B71" s="25" t="s">
        <v>221</v>
      </c>
      <c r="C71" s="23">
        <v>230000</v>
      </c>
    </row>
    <row r="72" spans="1:3" ht="13">
      <c r="A72" s="24" t="s">
        <v>222</v>
      </c>
      <c r="B72" s="25" t="s">
        <v>223</v>
      </c>
      <c r="C72" s="23">
        <v>230000</v>
      </c>
    </row>
    <row r="73" spans="1:3" ht="13">
      <c r="A73" s="24" t="s">
        <v>224</v>
      </c>
      <c r="B73" s="25" t="s">
        <v>225</v>
      </c>
      <c r="C73" s="23">
        <v>260000</v>
      </c>
    </row>
    <row r="74" spans="1:3" ht="13">
      <c r="A74" s="24" t="s">
        <v>226</v>
      </c>
      <c r="B74" s="25" t="s">
        <v>227</v>
      </c>
      <c r="C74" s="23">
        <v>200000</v>
      </c>
    </row>
    <row r="75" spans="1:3" ht="13">
      <c r="A75" s="24" t="s">
        <v>228</v>
      </c>
      <c r="B75" s="25" t="s">
        <v>229</v>
      </c>
      <c r="C75" s="23">
        <v>300000</v>
      </c>
    </row>
    <row r="76" spans="1:3" ht="13">
      <c r="A76" s="24" t="s">
        <v>230</v>
      </c>
      <c r="B76" s="25" t="s">
        <v>231</v>
      </c>
      <c r="C76" s="23">
        <v>230000</v>
      </c>
    </row>
    <row r="77" spans="1:3" ht="13">
      <c r="A77" s="24" t="s">
        <v>232</v>
      </c>
      <c r="B77" s="25" t="s">
        <v>233</v>
      </c>
      <c r="C77" s="23">
        <v>250000</v>
      </c>
    </row>
    <row r="78" spans="1:3" ht="13">
      <c r="A78" s="24" t="s">
        <v>234</v>
      </c>
      <c r="B78" s="25" t="s">
        <v>235</v>
      </c>
      <c r="C78" s="23">
        <v>230000</v>
      </c>
    </row>
    <row r="79" spans="1:3" ht="13">
      <c r="A79" s="24" t="s">
        <v>236</v>
      </c>
      <c r="B79" s="25" t="s">
        <v>237</v>
      </c>
      <c r="C79" s="23">
        <v>200000</v>
      </c>
    </row>
    <row r="80" spans="1:3" ht="13">
      <c r="A80" s="24" t="s">
        <v>238</v>
      </c>
      <c r="B80" s="25" t="s">
        <v>239</v>
      </c>
      <c r="C80" s="23">
        <v>200000</v>
      </c>
    </row>
    <row r="81" spans="1:4" ht="13">
      <c r="A81" s="26" t="s">
        <v>240</v>
      </c>
      <c r="B81" s="27" t="s">
        <v>241</v>
      </c>
      <c r="C81" s="28">
        <v>230000</v>
      </c>
    </row>
    <row r="82" spans="1:4" ht="13">
      <c r="A82" s="24" t="s">
        <v>242</v>
      </c>
      <c r="B82" s="25" t="s">
        <v>243</v>
      </c>
      <c r="C82" s="23">
        <v>900000</v>
      </c>
    </row>
    <row r="83" spans="1:4" ht="13">
      <c r="A83" s="24" t="s">
        <v>244</v>
      </c>
      <c r="B83" s="25" t="s">
        <v>245</v>
      </c>
      <c r="C83" s="23">
        <v>200000</v>
      </c>
    </row>
    <row r="84" spans="1:4" ht="13">
      <c r="A84" s="24" t="s">
        <v>246</v>
      </c>
      <c r="B84" s="25" t="s">
        <v>247</v>
      </c>
      <c r="C84" s="23">
        <v>370000</v>
      </c>
    </row>
    <row r="85" spans="1:4" ht="13">
      <c r="A85" s="24" t="s">
        <v>248</v>
      </c>
      <c r="B85" s="25" t="s">
        <v>249</v>
      </c>
      <c r="C85" s="23">
        <v>200000</v>
      </c>
    </row>
    <row r="86" spans="1:4" ht="13">
      <c r="A86" s="24" t="s">
        <v>250</v>
      </c>
      <c r="B86" s="25" t="s">
        <v>251</v>
      </c>
      <c r="C86" s="23">
        <v>200000</v>
      </c>
    </row>
    <row r="87" spans="1:4" ht="13">
      <c r="A87" s="24" t="s">
        <v>252</v>
      </c>
      <c r="B87" s="25" t="s">
        <v>253</v>
      </c>
      <c r="C87" s="23">
        <v>200000</v>
      </c>
    </row>
    <row r="88" spans="1:4" ht="13">
      <c r="A88" s="24"/>
      <c r="B88" s="25"/>
      <c r="C88" s="23"/>
    </row>
    <row r="89" spans="1:4" ht="13">
      <c r="A89" s="24"/>
      <c r="B89" s="25"/>
      <c r="C89" s="23"/>
    </row>
    <row r="90" spans="1:4" ht="13">
      <c r="A90" s="24" t="s">
        <v>254</v>
      </c>
      <c r="B90" s="25" t="s">
        <v>255</v>
      </c>
      <c r="C90" s="23">
        <v>442000</v>
      </c>
    </row>
    <row r="91" spans="1:4" ht="13">
      <c r="A91" s="24" t="s">
        <v>256</v>
      </c>
      <c r="B91" s="25" t="s">
        <v>257</v>
      </c>
      <c r="C91" s="23">
        <v>393000</v>
      </c>
    </row>
    <row r="92" spans="1:4" ht="13">
      <c r="A92" s="24" t="s">
        <v>258</v>
      </c>
      <c r="B92" s="25" t="s">
        <v>259</v>
      </c>
      <c r="C92" s="23">
        <v>363000</v>
      </c>
    </row>
    <row r="93" spans="1:4" ht="13">
      <c r="A93" s="29" t="s">
        <v>260</v>
      </c>
      <c r="B93" s="30" t="s">
        <v>261</v>
      </c>
      <c r="C93" s="23">
        <v>900000</v>
      </c>
    </row>
    <row r="94" spans="1:4" ht="13">
      <c r="A94" s="29" t="s">
        <v>262</v>
      </c>
      <c r="B94" s="30" t="s">
        <v>263</v>
      </c>
      <c r="C94" s="23">
        <v>900000</v>
      </c>
      <c r="D94" s="31" t="s">
        <v>264</v>
      </c>
    </row>
    <row r="95" spans="1:4" ht="13">
      <c r="A95" s="29" t="s">
        <v>265</v>
      </c>
      <c r="B95" s="30" t="s">
        <v>266</v>
      </c>
      <c r="C95" s="23">
        <v>1000000</v>
      </c>
    </row>
    <row r="96" spans="1:4" ht="13">
      <c r="A96" s="29" t="s">
        <v>267</v>
      </c>
      <c r="B96" s="30" t="s">
        <v>268</v>
      </c>
      <c r="C96" s="23">
        <v>800000</v>
      </c>
    </row>
    <row r="97" spans="1:4" ht="13">
      <c r="A97" s="29" t="s">
        <v>269</v>
      </c>
      <c r="B97" s="30" t="s">
        <v>270</v>
      </c>
      <c r="C97" s="23">
        <v>800000</v>
      </c>
    </row>
    <row r="98" spans="1:4" ht="13">
      <c r="A98" s="29" t="s">
        <v>271</v>
      </c>
      <c r="B98" s="30" t="s">
        <v>272</v>
      </c>
      <c r="C98" s="23">
        <v>800000</v>
      </c>
    </row>
    <row r="99" spans="1:4" ht="13">
      <c r="A99" s="29" t="s">
        <v>273</v>
      </c>
      <c r="B99" s="30" t="s">
        <v>274</v>
      </c>
      <c r="C99" s="23">
        <v>800000</v>
      </c>
    </row>
    <row r="100" spans="1:4" ht="13">
      <c r="A100" s="29" t="s">
        <v>275</v>
      </c>
      <c r="B100" s="30" t="s">
        <v>276</v>
      </c>
      <c r="C100" s="23">
        <v>800000</v>
      </c>
    </row>
    <row r="101" spans="1:4" ht="13">
      <c r="A101" s="29" t="s">
        <v>277</v>
      </c>
      <c r="B101" s="30" t="s">
        <v>278</v>
      </c>
      <c r="C101" s="23">
        <v>800000</v>
      </c>
      <c r="D101" s="31" t="s">
        <v>264</v>
      </c>
    </row>
    <row r="102" spans="1:4" ht="13">
      <c r="A102" s="29" t="s">
        <v>279</v>
      </c>
      <c r="B102" s="30" t="s">
        <v>280</v>
      </c>
      <c r="C102" s="23">
        <v>800000</v>
      </c>
    </row>
    <row r="103" spans="1:4" ht="13">
      <c r="A103" s="29" t="s">
        <v>281</v>
      </c>
      <c r="B103" s="30" t="s">
        <v>282</v>
      </c>
      <c r="C103" s="23">
        <v>400000</v>
      </c>
    </row>
    <row r="104" spans="1:4" ht="13">
      <c r="A104" s="29" t="s">
        <v>283</v>
      </c>
      <c r="B104" s="30" t="s">
        <v>284</v>
      </c>
      <c r="C104" s="23">
        <v>800000</v>
      </c>
    </row>
    <row r="105" spans="1:4" ht="13">
      <c r="A105" s="29" t="s">
        <v>285</v>
      </c>
      <c r="B105" s="30" t="s">
        <v>286</v>
      </c>
      <c r="C105" s="23">
        <v>800000</v>
      </c>
    </row>
    <row r="106" spans="1:4" ht="13">
      <c r="A106" s="29" t="s">
        <v>287</v>
      </c>
      <c r="B106" s="30" t="s">
        <v>288</v>
      </c>
      <c r="C106" s="23">
        <v>800000</v>
      </c>
    </row>
    <row r="107" spans="1:4" ht="13">
      <c r="A107" s="29" t="s">
        <v>289</v>
      </c>
      <c r="B107" s="30" t="s">
        <v>290</v>
      </c>
      <c r="C107" s="23">
        <v>800000</v>
      </c>
      <c r="D107" s="31" t="s">
        <v>264</v>
      </c>
    </row>
    <row r="108" spans="1:4" ht="13">
      <c r="A108" s="29" t="s">
        <v>291</v>
      </c>
      <c r="B108" s="30" t="s">
        <v>292</v>
      </c>
      <c r="C108" s="23">
        <v>900000</v>
      </c>
    </row>
    <row r="109" spans="1:4" ht="13">
      <c r="A109" s="29"/>
      <c r="B109" s="30"/>
      <c r="C109" s="23"/>
    </row>
    <row r="110" spans="1:4" ht="13">
      <c r="A110" s="29" t="s">
        <v>293</v>
      </c>
      <c r="B110" s="30" t="s">
        <v>294</v>
      </c>
      <c r="C110" s="23">
        <v>800000</v>
      </c>
    </row>
    <row r="111" spans="1:4" ht="13">
      <c r="A111" s="29" t="s">
        <v>295</v>
      </c>
      <c r="B111" s="30" t="s">
        <v>296</v>
      </c>
      <c r="C111" s="23">
        <v>900000</v>
      </c>
      <c r="D111" s="31" t="s">
        <v>264</v>
      </c>
    </row>
    <row r="112" spans="1:4" ht="13">
      <c r="A112" s="29" t="s">
        <v>297</v>
      </c>
      <c r="B112" s="30" t="s">
        <v>298</v>
      </c>
      <c r="C112" s="23">
        <v>800000</v>
      </c>
      <c r="D112" s="31" t="s">
        <v>264</v>
      </c>
    </row>
    <row r="113" spans="1:4" ht="13">
      <c r="A113" s="29" t="s">
        <v>299</v>
      </c>
      <c r="B113" s="30" t="s">
        <v>300</v>
      </c>
      <c r="C113" s="23">
        <v>800000</v>
      </c>
    </row>
    <row r="114" spans="1:4" ht="13">
      <c r="A114" s="29" t="s">
        <v>301</v>
      </c>
      <c r="B114" s="30" t="s">
        <v>302</v>
      </c>
      <c r="C114" s="23">
        <v>900000</v>
      </c>
      <c r="D114" s="31" t="s">
        <v>264</v>
      </c>
    </row>
    <row r="115" spans="1:4" ht="13">
      <c r="A115" s="29" t="s">
        <v>303</v>
      </c>
      <c r="B115" s="30" t="s">
        <v>304</v>
      </c>
      <c r="C115" s="23">
        <v>900000</v>
      </c>
    </row>
    <row r="116" spans="1:4" ht="13">
      <c r="A116" s="29" t="s">
        <v>305</v>
      </c>
      <c r="B116" s="30" t="s">
        <v>306</v>
      </c>
      <c r="C116" s="23">
        <v>900000</v>
      </c>
    </row>
    <row r="117" spans="1:4" ht="13">
      <c r="A117" s="29" t="s">
        <v>307</v>
      </c>
      <c r="B117" s="30" t="s">
        <v>308</v>
      </c>
      <c r="C117" s="23">
        <v>1000000</v>
      </c>
    </row>
    <row r="118" spans="1:4" ht="13">
      <c r="A118" s="29" t="s">
        <v>309</v>
      </c>
      <c r="B118" s="30" t="s">
        <v>310</v>
      </c>
      <c r="C118" s="23">
        <v>400000</v>
      </c>
      <c r="D118" s="31" t="s">
        <v>311</v>
      </c>
    </row>
    <row r="119" spans="1:4" ht="13">
      <c r="A119" s="29" t="s">
        <v>312</v>
      </c>
      <c r="B119" s="30" t="s">
        <v>313</v>
      </c>
      <c r="C119" s="23">
        <v>900000</v>
      </c>
      <c r="D119" s="31" t="s">
        <v>264</v>
      </c>
    </row>
    <row r="120" spans="1:4" ht="13">
      <c r="A120" s="29" t="s">
        <v>314</v>
      </c>
      <c r="B120" s="30" t="s">
        <v>315</v>
      </c>
      <c r="C120" s="23">
        <v>900000</v>
      </c>
    </row>
    <row r="121" spans="1:4" ht="13">
      <c r="A121" s="29"/>
      <c r="B121" s="30"/>
      <c r="C121" s="23"/>
    </row>
    <row r="122" spans="1:4" ht="13">
      <c r="A122" s="29" t="s">
        <v>316</v>
      </c>
      <c r="B122" s="30" t="s">
        <v>317</v>
      </c>
      <c r="C122" s="23">
        <v>800000</v>
      </c>
    </row>
    <row r="123" spans="1:4" ht="13">
      <c r="A123" s="29" t="s">
        <v>318</v>
      </c>
      <c r="B123" s="30" t="s">
        <v>319</v>
      </c>
      <c r="C123" s="23">
        <v>800000</v>
      </c>
    </row>
    <row r="124" spans="1:4" ht="13">
      <c r="A124" s="29" t="s">
        <v>320</v>
      </c>
      <c r="B124" s="30" t="s">
        <v>321</v>
      </c>
      <c r="C124" s="23">
        <v>800000</v>
      </c>
    </row>
    <row r="125" spans="1:4" ht="13">
      <c r="A125" s="29" t="s">
        <v>322</v>
      </c>
      <c r="B125" s="30" t="s">
        <v>323</v>
      </c>
      <c r="C125" s="23">
        <v>900000</v>
      </c>
    </row>
    <row r="126" spans="1:4" ht="13">
      <c r="A126" s="29" t="s">
        <v>324</v>
      </c>
      <c r="B126" s="30" t="s">
        <v>325</v>
      </c>
      <c r="C126" s="23">
        <v>800000</v>
      </c>
    </row>
    <row r="127" spans="1:4" ht="13">
      <c r="A127" s="29" t="s">
        <v>326</v>
      </c>
      <c r="B127" s="30" t="s">
        <v>327</v>
      </c>
      <c r="C127" s="23">
        <v>800000</v>
      </c>
    </row>
    <row r="128" spans="1:4" ht="13">
      <c r="A128" s="29" t="s">
        <v>328</v>
      </c>
      <c r="B128" s="30" t="s">
        <v>329</v>
      </c>
      <c r="C128" s="23">
        <v>800000</v>
      </c>
    </row>
    <row r="129" spans="1:7" ht="13">
      <c r="A129" s="29" t="s">
        <v>330</v>
      </c>
      <c r="B129" s="30" t="s">
        <v>331</v>
      </c>
      <c r="C129" s="23">
        <v>800000</v>
      </c>
      <c r="D129" s="31" t="s">
        <v>264</v>
      </c>
    </row>
    <row r="130" spans="1:7" ht="13">
      <c r="A130" s="29" t="s">
        <v>332</v>
      </c>
      <c r="B130" s="30" t="s">
        <v>333</v>
      </c>
      <c r="C130" s="23">
        <v>900000</v>
      </c>
      <c r="D130" s="31" t="s">
        <v>264</v>
      </c>
      <c r="G130" s="32"/>
    </row>
    <row r="131" spans="1:7" ht="13">
      <c r="A131" s="29" t="s">
        <v>334</v>
      </c>
      <c r="B131" s="30" t="s">
        <v>335</v>
      </c>
      <c r="C131" s="23">
        <v>800000</v>
      </c>
      <c r="D131" s="31"/>
    </row>
    <row r="132" spans="1:7" ht="13">
      <c r="A132" s="29" t="s">
        <v>336</v>
      </c>
      <c r="B132" s="30" t="s">
        <v>337</v>
      </c>
      <c r="C132" s="23">
        <v>800000</v>
      </c>
      <c r="D132" s="31" t="s">
        <v>264</v>
      </c>
    </row>
    <row r="133" spans="1:7" ht="13">
      <c r="A133" s="29" t="s">
        <v>338</v>
      </c>
      <c r="B133" s="30" t="s">
        <v>339</v>
      </c>
      <c r="C133" s="23">
        <v>900000</v>
      </c>
    </row>
    <row r="134" spans="1:7" ht="13">
      <c r="A134" s="29" t="s">
        <v>340</v>
      </c>
      <c r="B134" s="30" t="s">
        <v>341</v>
      </c>
      <c r="C134" s="23">
        <v>1000000</v>
      </c>
    </row>
    <row r="135" spans="1:7" ht="13">
      <c r="A135" s="29" t="s">
        <v>342</v>
      </c>
      <c r="B135" s="30" t="s">
        <v>343</v>
      </c>
      <c r="C135" s="23">
        <v>400000</v>
      </c>
    </row>
    <row r="136" spans="1:7" ht="13">
      <c r="A136" s="29" t="s">
        <v>344</v>
      </c>
      <c r="B136" s="30" t="s">
        <v>345</v>
      </c>
      <c r="C136" s="23">
        <v>1100000</v>
      </c>
    </row>
    <row r="137" spans="1:7" ht="13">
      <c r="A137" s="29" t="s">
        <v>346</v>
      </c>
      <c r="B137" s="30" t="s">
        <v>347</v>
      </c>
      <c r="C137" s="23">
        <v>900000</v>
      </c>
    </row>
    <row r="138" spans="1:7" ht="13">
      <c r="A138" s="29" t="s">
        <v>348</v>
      </c>
      <c r="B138" s="30" t="s">
        <v>349</v>
      </c>
      <c r="C138" s="23">
        <v>800000</v>
      </c>
    </row>
    <row r="139" spans="1:7" ht="13">
      <c r="A139" s="29"/>
      <c r="B139" s="30"/>
      <c r="C139" s="23"/>
    </row>
    <row r="140" spans="1:7" ht="13">
      <c r="A140" s="29" t="s">
        <v>350</v>
      </c>
      <c r="B140" s="30" t="s">
        <v>351</v>
      </c>
      <c r="C140" s="23">
        <v>700000</v>
      </c>
    </row>
    <row r="141" spans="1:7" ht="13">
      <c r="A141" s="29" t="s">
        <v>352</v>
      </c>
      <c r="B141" s="30" t="s">
        <v>353</v>
      </c>
      <c r="C141" s="23">
        <v>1000000</v>
      </c>
    </row>
    <row r="142" spans="1:7" ht="13">
      <c r="A142" s="29" t="s">
        <v>354</v>
      </c>
      <c r="B142" s="30" t="s">
        <v>355</v>
      </c>
      <c r="C142" s="23">
        <v>900000</v>
      </c>
    </row>
    <row r="143" spans="1:7" ht="13">
      <c r="A143" s="29" t="s">
        <v>356</v>
      </c>
      <c r="B143" s="30" t="s">
        <v>357</v>
      </c>
      <c r="C143" s="23">
        <v>900000</v>
      </c>
    </row>
    <row r="144" spans="1:7" ht="13">
      <c r="A144" s="29" t="s">
        <v>358</v>
      </c>
      <c r="B144" s="33" t="s">
        <v>359</v>
      </c>
      <c r="C144" s="23">
        <v>900000</v>
      </c>
    </row>
    <row r="145" spans="1:4" ht="13">
      <c r="A145" s="29" t="s">
        <v>360</v>
      </c>
      <c r="B145" s="30" t="s">
        <v>361</v>
      </c>
      <c r="C145" s="23">
        <v>800000</v>
      </c>
    </row>
    <row r="146" spans="1:4" ht="13">
      <c r="A146" s="29" t="s">
        <v>362</v>
      </c>
      <c r="B146" s="30" t="s">
        <v>363</v>
      </c>
      <c r="C146" s="23">
        <v>800000</v>
      </c>
    </row>
    <row r="147" spans="1:4" ht="13">
      <c r="A147" s="29" t="s">
        <v>364</v>
      </c>
      <c r="B147" s="30" t="s">
        <v>365</v>
      </c>
      <c r="C147" s="23">
        <v>800000</v>
      </c>
    </row>
    <row r="148" spans="1:4" ht="13">
      <c r="A148" s="29" t="s">
        <v>366</v>
      </c>
      <c r="B148" s="30" t="s">
        <v>367</v>
      </c>
      <c r="C148" s="23">
        <v>400000</v>
      </c>
    </row>
    <row r="149" spans="1:4" ht="13">
      <c r="A149" s="29" t="s">
        <v>368</v>
      </c>
      <c r="B149" s="30" t="s">
        <v>369</v>
      </c>
      <c r="C149" s="23">
        <v>800000</v>
      </c>
    </row>
    <row r="150" spans="1:4" ht="13">
      <c r="A150" s="29" t="s">
        <v>370</v>
      </c>
      <c r="B150" s="30" t="s">
        <v>371</v>
      </c>
      <c r="C150" s="23">
        <v>800000</v>
      </c>
    </row>
    <row r="151" spans="1:4" ht="13">
      <c r="A151" s="29" t="s">
        <v>372</v>
      </c>
      <c r="B151" s="30" t="s">
        <v>373</v>
      </c>
      <c r="C151" s="23">
        <v>800000</v>
      </c>
    </row>
    <row r="152" spans="1:4" ht="13">
      <c r="A152" s="29" t="s">
        <v>374</v>
      </c>
      <c r="B152" s="30" t="s">
        <v>375</v>
      </c>
      <c r="C152" s="23">
        <v>800000</v>
      </c>
    </row>
    <row r="153" spans="1:4" ht="13">
      <c r="A153" s="29" t="s">
        <v>376</v>
      </c>
      <c r="B153" s="30" t="s">
        <v>377</v>
      </c>
      <c r="C153" s="23">
        <v>800000</v>
      </c>
    </row>
    <row r="154" spans="1:4" ht="13">
      <c r="A154" s="29" t="s">
        <v>378</v>
      </c>
      <c r="B154" s="30" t="s">
        <v>379</v>
      </c>
      <c r="C154" s="23">
        <v>800000</v>
      </c>
    </row>
    <row r="155" spans="1:4" ht="13">
      <c r="A155" s="29" t="s">
        <v>380</v>
      </c>
      <c r="B155" s="30" t="s">
        <v>381</v>
      </c>
      <c r="C155" s="23">
        <v>900000</v>
      </c>
    </row>
    <row r="156" spans="1:4" ht="13">
      <c r="A156" s="29" t="s">
        <v>382</v>
      </c>
      <c r="B156" s="30" t="s">
        <v>383</v>
      </c>
      <c r="C156" s="23">
        <v>900000</v>
      </c>
    </row>
    <row r="157" spans="1:4" ht="13">
      <c r="A157" s="29" t="s">
        <v>384</v>
      </c>
      <c r="B157" s="30" t="s">
        <v>385</v>
      </c>
      <c r="C157" s="23">
        <v>800000</v>
      </c>
    </row>
    <row r="158" spans="1:4" ht="13">
      <c r="A158" s="29" t="s">
        <v>386</v>
      </c>
      <c r="B158" s="30" t="s">
        <v>387</v>
      </c>
      <c r="C158" s="23">
        <v>900000</v>
      </c>
      <c r="D158" s="31" t="s">
        <v>388</v>
      </c>
    </row>
    <row r="159" spans="1:4" ht="13">
      <c r="A159" s="29" t="s">
        <v>389</v>
      </c>
      <c r="B159" s="30" t="s">
        <v>390</v>
      </c>
      <c r="C159" s="23">
        <v>800000</v>
      </c>
    </row>
    <row r="160" spans="1:4" ht="13">
      <c r="A160" s="29" t="s">
        <v>391</v>
      </c>
      <c r="B160" s="30" t="s">
        <v>392</v>
      </c>
      <c r="C160" s="23">
        <v>800000</v>
      </c>
    </row>
    <row r="161" spans="1:26" ht="13">
      <c r="A161" s="29" t="s">
        <v>393</v>
      </c>
      <c r="B161" s="30" t="s">
        <v>394</v>
      </c>
      <c r="C161" s="23">
        <v>230000</v>
      </c>
    </row>
    <row r="162" spans="1:26" ht="13">
      <c r="A162" s="29" t="s">
        <v>395</v>
      </c>
      <c r="B162" s="30" t="s">
        <v>396</v>
      </c>
      <c r="C162" s="23">
        <v>230000</v>
      </c>
    </row>
    <row r="163" spans="1:26" ht="13">
      <c r="A163" s="29" t="s">
        <v>397</v>
      </c>
      <c r="B163" s="30" t="s">
        <v>398</v>
      </c>
      <c r="C163" s="23">
        <v>1200000</v>
      </c>
    </row>
    <row r="164" spans="1:26" ht="13">
      <c r="A164" s="34" t="s">
        <v>399</v>
      </c>
      <c r="B164" s="35" t="s">
        <v>400</v>
      </c>
      <c r="C164" s="23">
        <v>900000</v>
      </c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3">
      <c r="A165" s="34" t="s">
        <v>401</v>
      </c>
      <c r="B165" s="35" t="s">
        <v>402</v>
      </c>
      <c r="C165" s="23">
        <v>800000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3">
      <c r="A166" s="29"/>
      <c r="B166" s="30"/>
      <c r="C166" s="23"/>
    </row>
    <row r="167" spans="1:26" ht="13">
      <c r="A167" s="29" t="s">
        <v>403</v>
      </c>
      <c r="B167" s="30" t="s">
        <v>404</v>
      </c>
      <c r="C167" s="23">
        <v>800000</v>
      </c>
    </row>
    <row r="168" spans="1:26" ht="13">
      <c r="A168" s="29" t="s">
        <v>405</v>
      </c>
      <c r="B168" s="30" t="s">
        <v>406</v>
      </c>
      <c r="C168" s="23">
        <v>800000</v>
      </c>
    </row>
    <row r="169" spans="1:26" ht="13">
      <c r="A169" s="29" t="s">
        <v>407</v>
      </c>
      <c r="B169" s="30" t="s">
        <v>408</v>
      </c>
      <c r="C169" s="23">
        <v>800000</v>
      </c>
    </row>
    <row r="170" spans="1:26" ht="13">
      <c r="A170" s="29" t="s">
        <v>409</v>
      </c>
      <c r="B170" s="30" t="s">
        <v>410</v>
      </c>
      <c r="C170" s="23">
        <v>800000</v>
      </c>
    </row>
    <row r="171" spans="1:26" ht="13">
      <c r="A171" s="29" t="s">
        <v>411</v>
      </c>
      <c r="B171" s="30" t="s">
        <v>412</v>
      </c>
      <c r="C171" s="23">
        <v>900000</v>
      </c>
    </row>
    <row r="172" spans="1:26" ht="13">
      <c r="A172" s="29" t="s">
        <v>413</v>
      </c>
      <c r="B172" s="30" t="s">
        <v>414</v>
      </c>
      <c r="C172" s="36" t="s">
        <v>415</v>
      </c>
    </row>
    <row r="173" spans="1:26" ht="13">
      <c r="A173" s="29" t="s">
        <v>416</v>
      </c>
      <c r="B173" s="30" t="s">
        <v>417</v>
      </c>
      <c r="C173" s="23">
        <v>800000</v>
      </c>
    </row>
    <row r="174" spans="1:26" ht="13">
      <c r="A174" s="29" t="s">
        <v>418</v>
      </c>
      <c r="B174" s="30" t="s">
        <v>419</v>
      </c>
      <c r="C174" s="23">
        <v>800000</v>
      </c>
    </row>
    <row r="175" spans="1:26" ht="13">
      <c r="A175" s="29" t="s">
        <v>420</v>
      </c>
      <c r="B175" s="30" t="s">
        <v>421</v>
      </c>
      <c r="C175" s="23">
        <v>800000</v>
      </c>
    </row>
    <row r="176" spans="1:26" ht="13">
      <c r="A176" s="29" t="s">
        <v>422</v>
      </c>
      <c r="B176" s="30" t="s">
        <v>423</v>
      </c>
      <c r="C176" s="23">
        <v>800000</v>
      </c>
    </row>
    <row r="177" spans="1:26" ht="13">
      <c r="A177" s="29" t="s">
        <v>424</v>
      </c>
      <c r="B177" s="30" t="s">
        <v>425</v>
      </c>
      <c r="C177" s="23">
        <v>800000</v>
      </c>
    </row>
    <row r="178" spans="1:26" ht="13">
      <c r="A178" s="29" t="s">
        <v>426</v>
      </c>
      <c r="B178" s="30" t="s">
        <v>427</v>
      </c>
      <c r="C178" s="23">
        <v>400000</v>
      </c>
    </row>
    <row r="179" spans="1:26" ht="13">
      <c r="A179" s="34" t="s">
        <v>428</v>
      </c>
      <c r="B179" s="35" t="s">
        <v>429</v>
      </c>
      <c r="C179" s="23">
        <v>900000</v>
      </c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3">
      <c r="A180" s="29"/>
      <c r="B180" s="30"/>
      <c r="C180" s="23"/>
    </row>
    <row r="181" spans="1:26" ht="13">
      <c r="A181" s="29"/>
      <c r="B181" s="30"/>
      <c r="C181" s="23"/>
    </row>
    <row r="182" spans="1:26" ht="13">
      <c r="A182" s="29" t="s">
        <v>430</v>
      </c>
      <c r="B182" s="30" t="s">
        <v>431</v>
      </c>
      <c r="C182" s="23">
        <v>900000</v>
      </c>
    </row>
    <row r="183" spans="1:26" ht="13">
      <c r="A183" s="29" t="s">
        <v>432</v>
      </c>
      <c r="B183" s="30" t="s">
        <v>433</v>
      </c>
      <c r="C183" s="23">
        <v>900000</v>
      </c>
    </row>
    <row r="184" spans="1:26" ht="13">
      <c r="A184" s="29" t="s">
        <v>434</v>
      </c>
      <c r="B184" s="30" t="s">
        <v>435</v>
      </c>
      <c r="C184" s="23">
        <v>800000</v>
      </c>
    </row>
    <row r="185" spans="1:26" ht="13">
      <c r="A185" s="29" t="s">
        <v>436</v>
      </c>
      <c r="B185" s="30" t="s">
        <v>437</v>
      </c>
      <c r="C185" s="23">
        <v>800000</v>
      </c>
    </row>
    <row r="186" spans="1:26" ht="13">
      <c r="A186" s="29" t="s">
        <v>438</v>
      </c>
      <c r="B186" s="30" t="s">
        <v>439</v>
      </c>
      <c r="C186" s="23">
        <v>800000</v>
      </c>
    </row>
    <row r="187" spans="1:26" ht="13">
      <c r="A187" s="29" t="s">
        <v>440</v>
      </c>
      <c r="B187" s="30" t="s">
        <v>441</v>
      </c>
      <c r="C187" s="23">
        <v>800000</v>
      </c>
    </row>
    <row r="188" spans="1:26" ht="13">
      <c r="A188" s="29" t="s">
        <v>442</v>
      </c>
      <c r="B188" s="30" t="s">
        <v>443</v>
      </c>
      <c r="C188" s="23">
        <v>800000</v>
      </c>
    </row>
    <row r="189" spans="1:26" ht="13">
      <c r="A189" s="29" t="s">
        <v>88</v>
      </c>
      <c r="B189" s="30" t="s">
        <v>444</v>
      </c>
      <c r="C189" s="23">
        <v>800000</v>
      </c>
    </row>
    <row r="190" spans="1:26" ht="13">
      <c r="A190" s="29" t="s">
        <v>445</v>
      </c>
      <c r="B190" s="30" t="s">
        <v>446</v>
      </c>
      <c r="C190" s="23">
        <v>800000</v>
      </c>
    </row>
    <row r="191" spans="1:26" ht="13">
      <c r="A191" s="29" t="s">
        <v>447</v>
      </c>
      <c r="B191" s="30" t="s">
        <v>448</v>
      </c>
      <c r="C191" s="23">
        <v>800000</v>
      </c>
    </row>
    <row r="192" spans="1:26" ht="13">
      <c r="A192" s="29" t="s">
        <v>449</v>
      </c>
      <c r="B192" s="30" t="s">
        <v>450</v>
      </c>
      <c r="C192" s="23">
        <v>800000</v>
      </c>
    </row>
    <row r="193" spans="1:4" ht="13">
      <c r="A193" s="29" t="s">
        <v>451</v>
      </c>
      <c r="B193" s="30" t="s">
        <v>452</v>
      </c>
      <c r="C193" s="23">
        <v>800000</v>
      </c>
    </row>
    <row r="194" spans="1:4" ht="13">
      <c r="A194" s="29" t="s">
        <v>453</v>
      </c>
      <c r="B194" s="30" t="s">
        <v>454</v>
      </c>
      <c r="C194" s="23">
        <v>800000</v>
      </c>
    </row>
    <row r="195" spans="1:4" ht="13">
      <c r="A195" s="29" t="s">
        <v>455</v>
      </c>
      <c r="B195" s="30" t="s">
        <v>456</v>
      </c>
      <c r="C195" s="23">
        <v>600000</v>
      </c>
    </row>
    <row r="196" spans="1:4" ht="13">
      <c r="A196" s="29" t="s">
        <v>457</v>
      </c>
      <c r="B196" s="30" t="s">
        <v>458</v>
      </c>
      <c r="C196" s="23">
        <v>800000</v>
      </c>
      <c r="D196" s="31" t="s">
        <v>459</v>
      </c>
    </row>
    <row r="197" spans="1:4" ht="13">
      <c r="A197" s="29" t="s">
        <v>460</v>
      </c>
      <c r="B197" s="30" t="s">
        <v>461</v>
      </c>
      <c r="C197" s="23">
        <v>800000</v>
      </c>
    </row>
    <row r="198" spans="1:4" ht="13">
      <c r="A198" s="29" t="s">
        <v>462</v>
      </c>
      <c r="B198" s="30" t="s">
        <v>463</v>
      </c>
      <c r="C198" s="23">
        <v>800000</v>
      </c>
    </row>
    <row r="199" spans="1:4" ht="13">
      <c r="A199" s="29" t="s">
        <v>464</v>
      </c>
      <c r="B199" s="30" t="s">
        <v>465</v>
      </c>
      <c r="C199" s="23">
        <v>800000</v>
      </c>
    </row>
    <row r="200" spans="1:4" ht="13">
      <c r="A200" s="29" t="s">
        <v>466</v>
      </c>
      <c r="B200" s="30" t="s">
        <v>467</v>
      </c>
      <c r="C200" s="23">
        <v>900000</v>
      </c>
      <c r="D200" s="31" t="s">
        <v>311</v>
      </c>
    </row>
    <row r="201" spans="1:4" ht="13">
      <c r="A201" s="29" t="s">
        <v>468</v>
      </c>
      <c r="B201" s="30" t="s">
        <v>469</v>
      </c>
      <c r="C201" s="23">
        <v>1000000</v>
      </c>
    </row>
    <row r="202" spans="1:4" ht="13">
      <c r="A202" s="29" t="s">
        <v>470</v>
      </c>
      <c r="B202" s="30" t="s">
        <v>471</v>
      </c>
      <c r="C202" s="23">
        <v>1000000</v>
      </c>
    </row>
    <row r="203" spans="1:4" ht="13">
      <c r="A203" s="29" t="s">
        <v>472</v>
      </c>
      <c r="B203" s="30" t="s">
        <v>473</v>
      </c>
      <c r="C203" s="23">
        <v>900000</v>
      </c>
    </row>
    <row r="204" spans="1:4" ht="13">
      <c r="A204" s="29" t="s">
        <v>474</v>
      </c>
      <c r="B204" s="30" t="s">
        <v>475</v>
      </c>
      <c r="C204" s="23">
        <v>900000</v>
      </c>
    </row>
    <row r="205" spans="1:4" ht="13">
      <c r="A205" s="29" t="s">
        <v>476</v>
      </c>
      <c r="B205" s="30" t="s">
        <v>477</v>
      </c>
      <c r="C205" s="23">
        <v>900000</v>
      </c>
    </row>
    <row r="206" spans="1:4" ht="13">
      <c r="A206" s="29" t="s">
        <v>478</v>
      </c>
      <c r="B206" s="30" t="s">
        <v>479</v>
      </c>
      <c r="C206" s="23">
        <v>900000</v>
      </c>
    </row>
    <row r="207" spans="1:4" ht="13">
      <c r="A207" s="29" t="s">
        <v>480</v>
      </c>
      <c r="B207" s="30" t="s">
        <v>481</v>
      </c>
      <c r="C207" s="23">
        <v>900000</v>
      </c>
    </row>
    <row r="208" spans="1:4" ht="13">
      <c r="A208" s="29" t="s">
        <v>482</v>
      </c>
      <c r="B208" s="30" t="s">
        <v>483</v>
      </c>
      <c r="C208" s="23">
        <v>1200000</v>
      </c>
    </row>
    <row r="209" spans="1:3" ht="13">
      <c r="A209" s="29" t="s">
        <v>484</v>
      </c>
      <c r="B209" s="30" t="s">
        <v>484</v>
      </c>
      <c r="C209" s="23">
        <v>800000</v>
      </c>
    </row>
    <row r="210" spans="1:3" ht="13">
      <c r="A210" s="29" t="s">
        <v>485</v>
      </c>
      <c r="B210" s="30" t="s">
        <v>486</v>
      </c>
      <c r="C210" s="23">
        <v>900000</v>
      </c>
    </row>
    <row r="211" spans="1:3" ht="13">
      <c r="A211" s="29" t="s">
        <v>487</v>
      </c>
      <c r="B211" s="30" t="s">
        <v>488</v>
      </c>
      <c r="C211" s="23">
        <v>800000</v>
      </c>
    </row>
    <row r="212" spans="1:3" ht="13">
      <c r="A212" s="29" t="s">
        <v>489</v>
      </c>
      <c r="B212" s="30" t="s">
        <v>490</v>
      </c>
      <c r="C212" s="23">
        <v>900000</v>
      </c>
    </row>
    <row r="213" spans="1:3" ht="13">
      <c r="A213" s="29"/>
      <c r="B213" s="30"/>
      <c r="C213" s="23"/>
    </row>
    <row r="214" spans="1:3" ht="13">
      <c r="A214" s="29" t="s">
        <v>491</v>
      </c>
      <c r="B214" s="30" t="s">
        <v>492</v>
      </c>
      <c r="C214" s="23">
        <v>900000</v>
      </c>
    </row>
    <row r="215" spans="1:3" ht="13">
      <c r="A215" s="29" t="s">
        <v>493</v>
      </c>
      <c r="B215" s="30" t="s">
        <v>494</v>
      </c>
      <c r="C215" s="23">
        <v>800000</v>
      </c>
    </row>
    <row r="216" spans="1:3" ht="13">
      <c r="A216" s="29" t="s">
        <v>495</v>
      </c>
      <c r="B216" s="30" t="s">
        <v>496</v>
      </c>
      <c r="C216" s="23">
        <v>800000</v>
      </c>
    </row>
    <row r="217" spans="1:3" ht="13">
      <c r="A217" s="29" t="s">
        <v>497</v>
      </c>
      <c r="B217" s="30" t="s">
        <v>498</v>
      </c>
      <c r="C217" s="23">
        <v>800000</v>
      </c>
    </row>
    <row r="218" spans="1:3" ht="13">
      <c r="A218" s="29" t="s">
        <v>499</v>
      </c>
      <c r="B218" s="30" t="s">
        <v>500</v>
      </c>
      <c r="C218" s="23">
        <v>800000</v>
      </c>
    </row>
    <row r="219" spans="1:3" ht="13">
      <c r="A219" s="29" t="s">
        <v>501</v>
      </c>
      <c r="B219" s="30" t="s">
        <v>502</v>
      </c>
      <c r="C219" s="23">
        <v>800000</v>
      </c>
    </row>
    <row r="220" spans="1:3" ht="13">
      <c r="A220" s="29" t="s">
        <v>503</v>
      </c>
      <c r="B220" s="30" t="s">
        <v>504</v>
      </c>
      <c r="C220" s="23">
        <v>800000</v>
      </c>
    </row>
    <row r="221" spans="1:3" ht="13">
      <c r="A221" s="29" t="s">
        <v>505</v>
      </c>
      <c r="B221" s="30" t="s">
        <v>506</v>
      </c>
      <c r="C221" s="23">
        <v>800000</v>
      </c>
    </row>
    <row r="222" spans="1:3" ht="13">
      <c r="A222" s="29" t="s">
        <v>507</v>
      </c>
      <c r="B222" s="30" t="s">
        <v>508</v>
      </c>
      <c r="C222" s="23">
        <v>800000</v>
      </c>
    </row>
    <row r="223" spans="1:3" ht="13">
      <c r="A223" s="29" t="s">
        <v>509</v>
      </c>
      <c r="B223" s="30" t="s">
        <v>510</v>
      </c>
      <c r="C223" s="23">
        <v>800000</v>
      </c>
    </row>
    <row r="224" spans="1:3" ht="13">
      <c r="A224" s="29" t="s">
        <v>511</v>
      </c>
      <c r="B224" s="30" t="s">
        <v>512</v>
      </c>
      <c r="C224" s="23">
        <v>900000</v>
      </c>
    </row>
    <row r="225" spans="1:3" ht="13">
      <c r="A225" s="29" t="s">
        <v>513</v>
      </c>
      <c r="B225" s="30" t="s">
        <v>514</v>
      </c>
      <c r="C225" s="23">
        <v>900000</v>
      </c>
    </row>
    <row r="226" spans="1:3" ht="13">
      <c r="A226" s="29" t="s">
        <v>515</v>
      </c>
      <c r="B226" s="30" t="s">
        <v>516</v>
      </c>
      <c r="C226" s="23">
        <v>800000</v>
      </c>
    </row>
    <row r="227" spans="1:3" ht="13">
      <c r="A227" s="29" t="s">
        <v>517</v>
      </c>
      <c r="B227" s="30" t="s">
        <v>518</v>
      </c>
      <c r="C227" s="23">
        <v>800000</v>
      </c>
    </row>
    <row r="228" spans="1:3" ht="13">
      <c r="A228" s="29" t="s">
        <v>519</v>
      </c>
      <c r="B228" s="30" t="s">
        <v>520</v>
      </c>
      <c r="C228" s="23">
        <v>800000</v>
      </c>
    </row>
    <row r="229" spans="1:3" ht="13">
      <c r="A229" s="29" t="s">
        <v>521</v>
      </c>
      <c r="B229" s="30" t="s">
        <v>522</v>
      </c>
      <c r="C229" s="23">
        <v>800000</v>
      </c>
    </row>
    <row r="230" spans="1:3" ht="13">
      <c r="A230" s="29" t="s">
        <v>523</v>
      </c>
      <c r="B230" s="30" t="s">
        <v>524</v>
      </c>
      <c r="C230" s="23">
        <v>900000</v>
      </c>
    </row>
    <row r="231" spans="1:3" ht="13">
      <c r="A231" s="29" t="s">
        <v>525</v>
      </c>
      <c r="B231" s="30" t="s">
        <v>526</v>
      </c>
      <c r="C231" s="23">
        <v>800000</v>
      </c>
    </row>
    <row r="232" spans="1:3" ht="13">
      <c r="A232" s="29" t="s">
        <v>527</v>
      </c>
      <c r="B232" s="30" t="s">
        <v>528</v>
      </c>
      <c r="C232" s="23">
        <v>1200000</v>
      </c>
    </row>
    <row r="233" spans="1:3" ht="13">
      <c r="A233" s="29" t="s">
        <v>529</v>
      </c>
      <c r="B233" s="30" t="s">
        <v>530</v>
      </c>
      <c r="C233" s="23">
        <v>900000</v>
      </c>
    </row>
    <row r="234" spans="1:3" ht="13">
      <c r="A234" s="29" t="s">
        <v>531</v>
      </c>
      <c r="B234" s="30" t="s">
        <v>532</v>
      </c>
      <c r="C234" s="23">
        <v>900000</v>
      </c>
    </row>
    <row r="235" spans="1:3" ht="13">
      <c r="A235" s="29" t="s">
        <v>533</v>
      </c>
      <c r="B235" s="30" t="s">
        <v>534</v>
      </c>
      <c r="C235" s="23">
        <v>1100000</v>
      </c>
    </row>
    <row r="236" spans="1:3" ht="13">
      <c r="A236" s="29" t="s">
        <v>535</v>
      </c>
      <c r="B236" s="30" t="s">
        <v>536</v>
      </c>
      <c r="C236" s="23">
        <v>800000</v>
      </c>
    </row>
    <row r="237" spans="1:3" ht="13">
      <c r="A237" s="29" t="s">
        <v>537</v>
      </c>
      <c r="B237" s="30" t="s">
        <v>538</v>
      </c>
      <c r="C237" s="23">
        <v>900000</v>
      </c>
    </row>
    <row r="238" spans="1:3" ht="13">
      <c r="A238" s="29" t="s">
        <v>539</v>
      </c>
      <c r="B238" s="30" t="s">
        <v>540</v>
      </c>
      <c r="C238" s="23">
        <v>900000</v>
      </c>
    </row>
    <row r="239" spans="1:3" ht="13">
      <c r="A239" s="29" t="s">
        <v>541</v>
      </c>
      <c r="B239" s="30" t="s">
        <v>542</v>
      </c>
      <c r="C239" s="23">
        <v>1500000</v>
      </c>
    </row>
    <row r="240" spans="1:3" ht="13">
      <c r="A240" s="29" t="s">
        <v>543</v>
      </c>
      <c r="B240" s="30" t="s">
        <v>544</v>
      </c>
      <c r="C240" s="23">
        <v>800000</v>
      </c>
    </row>
    <row r="241" spans="1:8" ht="13">
      <c r="A241" s="29"/>
      <c r="B241" s="30"/>
      <c r="C241" s="23"/>
    </row>
    <row r="242" spans="1:8" ht="13">
      <c r="A242" s="29"/>
      <c r="B242" s="30"/>
      <c r="C242" s="23"/>
    </row>
    <row r="243" spans="1:8" ht="13">
      <c r="A243" s="29" t="s">
        <v>545</v>
      </c>
      <c r="B243" s="30" t="s">
        <v>546</v>
      </c>
      <c r="C243" s="23">
        <v>900000</v>
      </c>
    </row>
    <row r="244" spans="1:8" ht="13">
      <c r="A244" s="29" t="s">
        <v>547</v>
      </c>
      <c r="B244" s="30" t="s">
        <v>548</v>
      </c>
      <c r="C244" s="23">
        <v>800000</v>
      </c>
    </row>
    <row r="245" spans="1:8" ht="13">
      <c r="A245" s="29" t="s">
        <v>549</v>
      </c>
      <c r="B245" s="30" t="s">
        <v>550</v>
      </c>
      <c r="C245" s="23">
        <v>900000</v>
      </c>
    </row>
    <row r="246" spans="1:8" ht="13">
      <c r="A246" s="29" t="s">
        <v>551</v>
      </c>
      <c r="B246" s="30" t="s">
        <v>552</v>
      </c>
      <c r="C246" s="23">
        <v>800000</v>
      </c>
    </row>
    <row r="247" spans="1:8" ht="13">
      <c r="A247" s="29" t="s">
        <v>553</v>
      </c>
      <c r="B247" s="30" t="s">
        <v>554</v>
      </c>
      <c r="C247" s="23">
        <v>900000</v>
      </c>
    </row>
    <row r="248" spans="1:8" ht="13">
      <c r="A248" s="29" t="s">
        <v>555</v>
      </c>
      <c r="B248" s="30" t="s">
        <v>556</v>
      </c>
      <c r="C248" s="23">
        <v>900000</v>
      </c>
    </row>
    <row r="249" spans="1:8" ht="13">
      <c r="A249" s="29" t="s">
        <v>557</v>
      </c>
      <c r="B249" s="30" t="s">
        <v>558</v>
      </c>
      <c r="C249" s="23">
        <v>800000</v>
      </c>
    </row>
    <row r="250" spans="1:8" ht="13">
      <c r="A250" s="29" t="s">
        <v>559</v>
      </c>
      <c r="B250" s="30" t="s">
        <v>560</v>
      </c>
      <c r="C250" s="23">
        <v>800000</v>
      </c>
      <c r="H250" s="31" t="s">
        <v>561</v>
      </c>
    </row>
    <row r="251" spans="1:8" ht="13">
      <c r="A251" s="29" t="s">
        <v>562</v>
      </c>
      <c r="B251" s="30" t="s">
        <v>563</v>
      </c>
      <c r="C251" s="23">
        <v>900000</v>
      </c>
      <c r="H251" s="31" t="s">
        <v>564</v>
      </c>
    </row>
    <row r="252" spans="1:8" ht="13">
      <c r="A252" s="29" t="s">
        <v>565</v>
      </c>
      <c r="B252" s="30" t="s">
        <v>566</v>
      </c>
      <c r="C252" s="23">
        <v>800000</v>
      </c>
    </row>
    <row r="253" spans="1:8" ht="13">
      <c r="A253" s="29" t="s">
        <v>567</v>
      </c>
      <c r="B253" s="30" t="s">
        <v>568</v>
      </c>
      <c r="C253" s="23">
        <v>800000</v>
      </c>
    </row>
    <row r="254" spans="1:8" ht="13">
      <c r="A254" s="29" t="s">
        <v>569</v>
      </c>
      <c r="B254" s="30" t="s">
        <v>570</v>
      </c>
      <c r="C254" s="23">
        <v>1200000</v>
      </c>
    </row>
    <row r="255" spans="1:8" ht="13">
      <c r="A255" s="29" t="s">
        <v>571</v>
      </c>
      <c r="B255" s="30" t="s">
        <v>572</v>
      </c>
      <c r="C255" s="23">
        <v>900000</v>
      </c>
    </row>
    <row r="256" spans="1:8" ht="13">
      <c r="A256" s="29" t="s">
        <v>573</v>
      </c>
      <c r="B256" s="30" t="s">
        <v>574</v>
      </c>
      <c r="C256" s="23">
        <v>800000</v>
      </c>
    </row>
    <row r="257" spans="1:4" ht="13">
      <c r="A257" s="29" t="s">
        <v>575</v>
      </c>
      <c r="B257" s="30" t="s">
        <v>576</v>
      </c>
      <c r="C257" s="23">
        <v>800000</v>
      </c>
    </row>
    <row r="258" spans="1:4" ht="13">
      <c r="A258" s="29" t="s">
        <v>577</v>
      </c>
      <c r="B258" s="30" t="s">
        <v>578</v>
      </c>
      <c r="C258" s="23">
        <v>1300000</v>
      </c>
    </row>
    <row r="259" spans="1:4" ht="13">
      <c r="A259" s="29"/>
      <c r="B259" s="30"/>
      <c r="C259" s="23"/>
    </row>
    <row r="260" spans="1:4" ht="13">
      <c r="A260" s="24" t="s">
        <v>579</v>
      </c>
      <c r="B260" s="25" t="s">
        <v>580</v>
      </c>
      <c r="C260" s="23">
        <v>800000</v>
      </c>
    </row>
    <row r="261" spans="1:4" ht="13">
      <c r="A261" s="24" t="s">
        <v>581</v>
      </c>
      <c r="B261" s="25" t="s">
        <v>582</v>
      </c>
      <c r="C261" s="23">
        <v>800000</v>
      </c>
    </row>
    <row r="262" spans="1:4" ht="13">
      <c r="A262" s="24" t="s">
        <v>583</v>
      </c>
      <c r="B262" s="25" t="s">
        <v>584</v>
      </c>
      <c r="C262" s="23">
        <v>800000</v>
      </c>
    </row>
    <row r="263" spans="1:4" ht="13">
      <c r="A263" s="24" t="s">
        <v>585</v>
      </c>
      <c r="B263" s="25" t="s">
        <v>586</v>
      </c>
      <c r="C263" s="23">
        <v>800000</v>
      </c>
    </row>
    <row r="264" spans="1:4" ht="13">
      <c r="A264" s="24" t="s">
        <v>587</v>
      </c>
      <c r="B264" s="25" t="s">
        <v>588</v>
      </c>
      <c r="C264" s="23">
        <v>800000</v>
      </c>
    </row>
    <row r="265" spans="1:4" ht="13">
      <c r="A265" s="24" t="s">
        <v>589</v>
      </c>
      <c r="B265" s="25" t="s">
        <v>590</v>
      </c>
      <c r="C265" s="23">
        <v>900000</v>
      </c>
    </row>
    <row r="266" spans="1:4" ht="13">
      <c r="A266" s="24" t="s">
        <v>591</v>
      </c>
      <c r="B266" s="25" t="s">
        <v>592</v>
      </c>
      <c r="C266" s="23">
        <v>800000</v>
      </c>
    </row>
    <row r="267" spans="1:4" ht="13">
      <c r="A267" s="24" t="s">
        <v>593</v>
      </c>
      <c r="B267" s="25" t="s">
        <v>594</v>
      </c>
      <c r="C267" s="23">
        <v>800000</v>
      </c>
      <c r="D267" s="31" t="s">
        <v>388</v>
      </c>
    </row>
    <row r="268" spans="1:4" ht="13">
      <c r="A268" s="24" t="s">
        <v>595</v>
      </c>
      <c r="B268" s="25" t="s">
        <v>596</v>
      </c>
      <c r="C268" s="23">
        <v>800000</v>
      </c>
    </row>
    <row r="269" spans="1:4" ht="13">
      <c r="A269" s="32" t="s">
        <v>597</v>
      </c>
      <c r="B269" s="32" t="s">
        <v>598</v>
      </c>
      <c r="C269" s="32">
        <v>900000</v>
      </c>
    </row>
    <row r="270" spans="1:4" ht="13">
      <c r="A270" s="32" t="s">
        <v>599</v>
      </c>
      <c r="B270" s="32" t="s">
        <v>600</v>
      </c>
      <c r="C270" s="32">
        <v>1000000</v>
      </c>
    </row>
    <row r="271" spans="1:4" ht="13">
      <c r="A271" s="37" t="s">
        <v>601</v>
      </c>
      <c r="B271" s="38" t="s">
        <v>602</v>
      </c>
      <c r="C271" s="39">
        <v>800000</v>
      </c>
    </row>
    <row r="272" spans="1:4" ht="13">
      <c r="A272" s="37" t="s">
        <v>603</v>
      </c>
      <c r="B272" s="38" t="s">
        <v>604</v>
      </c>
      <c r="C272" s="39">
        <v>800000</v>
      </c>
    </row>
    <row r="273" spans="1:26" ht="13">
      <c r="A273" s="37" t="s">
        <v>605</v>
      </c>
      <c r="B273" s="38" t="s">
        <v>606</v>
      </c>
      <c r="C273" s="39">
        <v>900000</v>
      </c>
    </row>
    <row r="274" spans="1:26" ht="13">
      <c r="A274" s="37"/>
      <c r="B274" s="38"/>
      <c r="C274" s="39"/>
    </row>
    <row r="275" spans="1:26" ht="13">
      <c r="A275" s="37" t="s">
        <v>607</v>
      </c>
      <c r="B275" s="38" t="s">
        <v>608</v>
      </c>
      <c r="C275" s="39">
        <v>800000</v>
      </c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3">
      <c r="A276" s="24" t="s">
        <v>609</v>
      </c>
      <c r="B276" s="25" t="s">
        <v>610</v>
      </c>
      <c r="C276" s="23">
        <v>900000</v>
      </c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3">
      <c r="A277" s="24" t="s">
        <v>611</v>
      </c>
      <c r="B277" s="25" t="s">
        <v>612</v>
      </c>
      <c r="C277" s="23">
        <v>800000</v>
      </c>
    </row>
    <row r="278" spans="1:26" ht="13">
      <c r="A278" s="24" t="s">
        <v>613</v>
      </c>
      <c r="B278" s="25" t="s">
        <v>614</v>
      </c>
      <c r="C278" s="23">
        <v>800000</v>
      </c>
    </row>
    <row r="279" spans="1:26" ht="13">
      <c r="A279" s="24" t="s">
        <v>615</v>
      </c>
      <c r="B279" s="25" t="s">
        <v>616</v>
      </c>
      <c r="C279" s="23">
        <v>800000</v>
      </c>
    </row>
    <row r="280" spans="1:26" ht="13">
      <c r="A280" s="24" t="s">
        <v>617</v>
      </c>
      <c r="B280" s="25" t="s">
        <v>618</v>
      </c>
      <c r="C280" s="23">
        <v>600000</v>
      </c>
    </row>
    <row r="281" spans="1:26" ht="13">
      <c r="A281" s="24" t="s">
        <v>619</v>
      </c>
      <c r="B281" s="25" t="s">
        <v>620</v>
      </c>
      <c r="C281" s="23">
        <v>900000</v>
      </c>
    </row>
    <row r="282" spans="1:26" ht="13">
      <c r="A282" s="24" t="s">
        <v>621</v>
      </c>
      <c r="B282" s="25" t="s">
        <v>622</v>
      </c>
      <c r="C282" s="23">
        <v>800000</v>
      </c>
    </row>
    <row r="283" spans="1:26" ht="13">
      <c r="A283" s="24" t="s">
        <v>623</v>
      </c>
      <c r="B283" s="25" t="s">
        <v>624</v>
      </c>
      <c r="C283" s="23">
        <v>800000</v>
      </c>
    </row>
    <row r="284" spans="1:26" ht="13">
      <c r="A284" s="29" t="s">
        <v>625</v>
      </c>
      <c r="B284" s="40" t="s">
        <v>626</v>
      </c>
      <c r="C284" s="23">
        <v>800000</v>
      </c>
    </row>
    <row r="285" spans="1:26" ht="13">
      <c r="A285" s="29"/>
      <c r="B285" s="30"/>
      <c r="C285" s="23"/>
    </row>
    <row r="286" spans="1:26" ht="13">
      <c r="A286" s="29" t="s">
        <v>627</v>
      </c>
      <c r="B286" s="30" t="s">
        <v>628</v>
      </c>
      <c r="C286" s="23">
        <v>800000</v>
      </c>
    </row>
    <row r="287" spans="1:26" ht="13">
      <c r="A287" s="29"/>
      <c r="B287" s="30"/>
      <c r="C287" s="23"/>
    </row>
    <row r="288" spans="1:26" ht="13">
      <c r="A288" s="29" t="s">
        <v>629</v>
      </c>
      <c r="B288" s="30" t="s">
        <v>630</v>
      </c>
      <c r="C288" s="23">
        <v>800000</v>
      </c>
    </row>
    <row r="289" spans="1:3" ht="13">
      <c r="A289" s="29" t="s">
        <v>631</v>
      </c>
      <c r="B289" s="30" t="s">
        <v>632</v>
      </c>
      <c r="C289" s="23">
        <v>800000</v>
      </c>
    </row>
    <row r="290" spans="1:3" ht="13">
      <c r="A290" s="29" t="s">
        <v>633</v>
      </c>
      <c r="B290" s="30" t="s">
        <v>634</v>
      </c>
      <c r="C290" s="23">
        <v>800000</v>
      </c>
    </row>
    <row r="291" spans="1:3" ht="13">
      <c r="A291" s="29" t="s">
        <v>635</v>
      </c>
      <c r="B291" s="30" t="s">
        <v>636</v>
      </c>
      <c r="C291" s="23">
        <v>800000</v>
      </c>
    </row>
    <row r="292" spans="1:3" ht="13">
      <c r="A292" s="29" t="s">
        <v>637</v>
      </c>
      <c r="B292" s="30" t="s">
        <v>638</v>
      </c>
      <c r="C292" s="23">
        <v>800000</v>
      </c>
    </row>
    <row r="293" spans="1:3" ht="13">
      <c r="A293" s="29" t="s">
        <v>639</v>
      </c>
      <c r="B293" s="30" t="s">
        <v>640</v>
      </c>
      <c r="C293" s="23">
        <v>800000</v>
      </c>
    </row>
    <row r="294" spans="1:3" ht="13">
      <c r="A294" s="29" t="s">
        <v>641</v>
      </c>
      <c r="B294" s="30" t="s">
        <v>642</v>
      </c>
      <c r="C294" s="23">
        <v>500000</v>
      </c>
    </row>
    <row r="295" spans="1:3" ht="13">
      <c r="A295" s="29" t="s">
        <v>643</v>
      </c>
      <c r="B295" s="30" t="s">
        <v>644</v>
      </c>
      <c r="C295" s="23">
        <v>800000</v>
      </c>
    </row>
    <row r="296" spans="1:3" ht="13">
      <c r="A296" s="29" t="s">
        <v>645</v>
      </c>
      <c r="B296" s="30" t="s">
        <v>646</v>
      </c>
      <c r="C296" s="23">
        <v>800000</v>
      </c>
    </row>
    <row r="297" spans="1:3" ht="13">
      <c r="A297" s="29" t="s">
        <v>647</v>
      </c>
      <c r="B297" s="30" t="s">
        <v>648</v>
      </c>
      <c r="C297" s="23">
        <v>800000</v>
      </c>
    </row>
    <row r="298" spans="1:3" ht="13">
      <c r="A298" s="29" t="s">
        <v>649</v>
      </c>
      <c r="B298" s="30" t="s">
        <v>650</v>
      </c>
      <c r="C298" s="23">
        <v>800000</v>
      </c>
    </row>
    <row r="299" spans="1:3" ht="13">
      <c r="A299" s="29" t="s">
        <v>651</v>
      </c>
      <c r="B299" s="30" t="s">
        <v>652</v>
      </c>
      <c r="C299" s="23">
        <v>800000</v>
      </c>
    </row>
    <row r="300" spans="1:3" ht="13">
      <c r="A300" s="29" t="s">
        <v>653</v>
      </c>
      <c r="B300" s="30" t="s">
        <v>654</v>
      </c>
      <c r="C300" s="23">
        <v>800000</v>
      </c>
    </row>
    <row r="301" spans="1:3" ht="13">
      <c r="A301" s="29" t="s">
        <v>655</v>
      </c>
      <c r="B301" s="30" t="s">
        <v>656</v>
      </c>
      <c r="C301" s="23">
        <v>800000</v>
      </c>
    </row>
    <row r="302" spans="1:3" ht="13">
      <c r="A302" s="29" t="s">
        <v>657</v>
      </c>
      <c r="B302" s="30" t="s">
        <v>658</v>
      </c>
      <c r="C302" s="23">
        <v>800000</v>
      </c>
    </row>
    <row r="303" spans="1:3" ht="13">
      <c r="A303" s="29" t="s">
        <v>659</v>
      </c>
      <c r="B303" s="30" t="s">
        <v>660</v>
      </c>
      <c r="C303" s="23">
        <v>900000</v>
      </c>
    </row>
    <row r="304" spans="1:3" ht="13">
      <c r="A304" s="29" t="s">
        <v>661</v>
      </c>
      <c r="B304" s="30" t="s">
        <v>662</v>
      </c>
      <c r="C304" s="23">
        <v>800000</v>
      </c>
    </row>
    <row r="305" spans="1:3" ht="13">
      <c r="A305" s="29" t="s">
        <v>663</v>
      </c>
      <c r="B305" s="30" t="s">
        <v>664</v>
      </c>
      <c r="C305" s="23">
        <v>800000</v>
      </c>
    </row>
    <row r="306" spans="1:3" ht="13">
      <c r="A306" s="29" t="s">
        <v>665</v>
      </c>
      <c r="B306" s="30" t="s">
        <v>666</v>
      </c>
      <c r="C306" s="23">
        <v>800000</v>
      </c>
    </row>
    <row r="307" spans="1:3" ht="13">
      <c r="A307" s="29" t="s">
        <v>667</v>
      </c>
      <c r="B307" s="30" t="s">
        <v>668</v>
      </c>
      <c r="C307" s="23">
        <v>900000</v>
      </c>
    </row>
    <row r="308" spans="1:3" ht="13">
      <c r="A308" s="29" t="s">
        <v>669</v>
      </c>
      <c r="B308" s="30" t="s">
        <v>670</v>
      </c>
      <c r="C308" s="23">
        <v>800000</v>
      </c>
    </row>
    <row r="309" spans="1:3" ht="13">
      <c r="A309" s="29" t="s">
        <v>420</v>
      </c>
      <c r="B309" s="30" t="s">
        <v>671</v>
      </c>
      <c r="C309" s="23">
        <v>800000</v>
      </c>
    </row>
    <row r="310" spans="1:3" ht="13">
      <c r="A310" s="29" t="s">
        <v>672</v>
      </c>
      <c r="B310" s="30" t="s">
        <v>673</v>
      </c>
      <c r="C310" s="23">
        <v>900000</v>
      </c>
    </row>
    <row r="311" spans="1:3" ht="13">
      <c r="A311" s="29" t="s">
        <v>674</v>
      </c>
      <c r="B311" s="30" t="s">
        <v>675</v>
      </c>
      <c r="C311" s="23">
        <v>900000</v>
      </c>
    </row>
    <row r="312" spans="1:3" ht="13">
      <c r="A312" s="29" t="s">
        <v>676</v>
      </c>
      <c r="B312" s="30" t="s">
        <v>677</v>
      </c>
      <c r="C312" s="23">
        <v>800000</v>
      </c>
    </row>
    <row r="313" spans="1:3" ht="13">
      <c r="A313" s="29" t="s">
        <v>678</v>
      </c>
      <c r="B313" s="30" t="s">
        <v>679</v>
      </c>
      <c r="C313" s="23">
        <v>800000</v>
      </c>
    </row>
    <row r="314" spans="1:3" ht="13">
      <c r="A314" s="29" t="s">
        <v>680</v>
      </c>
      <c r="B314" s="30" t="s">
        <v>681</v>
      </c>
      <c r="C314" s="23">
        <v>800000</v>
      </c>
    </row>
    <row r="315" spans="1:3" ht="13">
      <c r="A315" s="29" t="s">
        <v>682</v>
      </c>
      <c r="B315" s="30" t="s">
        <v>683</v>
      </c>
      <c r="C315" s="23">
        <v>900000</v>
      </c>
    </row>
    <row r="316" spans="1:3" ht="13">
      <c r="A316" s="29" t="s">
        <v>684</v>
      </c>
      <c r="B316" s="30" t="s">
        <v>685</v>
      </c>
      <c r="C316" s="23">
        <v>800000</v>
      </c>
    </row>
    <row r="317" spans="1:3" ht="13">
      <c r="A317" s="29"/>
      <c r="B317" s="30"/>
      <c r="C317" s="23"/>
    </row>
    <row r="318" spans="1:3" ht="13">
      <c r="A318" s="29" t="s">
        <v>686</v>
      </c>
      <c r="B318" s="30" t="s">
        <v>687</v>
      </c>
      <c r="C318" s="23">
        <v>800000</v>
      </c>
    </row>
    <row r="319" spans="1:3" ht="14">
      <c r="A319" s="29" t="s">
        <v>688</v>
      </c>
      <c r="B319" s="41" t="s">
        <v>689</v>
      </c>
      <c r="C319" s="23">
        <v>800000</v>
      </c>
    </row>
    <row r="320" spans="1:3" ht="14">
      <c r="A320" s="29" t="s">
        <v>690</v>
      </c>
      <c r="B320" s="41" t="s">
        <v>691</v>
      </c>
      <c r="C320" s="23">
        <v>800000</v>
      </c>
    </row>
    <row r="321" spans="1:3" ht="13">
      <c r="A321" s="29" t="s">
        <v>692</v>
      </c>
      <c r="B321" s="30" t="s">
        <v>693</v>
      </c>
      <c r="C321" s="23">
        <v>800000</v>
      </c>
    </row>
    <row r="322" spans="1:3" ht="13">
      <c r="A322" s="29" t="s">
        <v>694</v>
      </c>
      <c r="B322" s="30" t="s">
        <v>695</v>
      </c>
      <c r="C322" s="23">
        <v>800000</v>
      </c>
    </row>
    <row r="323" spans="1:3" ht="13">
      <c r="A323" s="29" t="s">
        <v>696</v>
      </c>
      <c r="B323" s="30" t="s">
        <v>697</v>
      </c>
      <c r="C323" s="23">
        <v>800000</v>
      </c>
    </row>
    <row r="324" spans="1:3" ht="13">
      <c r="A324" s="29" t="s">
        <v>698</v>
      </c>
      <c r="B324" s="30" t="s">
        <v>699</v>
      </c>
      <c r="C324" s="23">
        <v>800000</v>
      </c>
    </row>
    <row r="325" spans="1:3" ht="13">
      <c r="A325" s="29" t="s">
        <v>700</v>
      </c>
      <c r="B325" s="30" t="s">
        <v>701</v>
      </c>
      <c r="C325" s="23">
        <v>800000</v>
      </c>
    </row>
    <row r="326" spans="1:3" ht="13">
      <c r="A326" s="29" t="s">
        <v>702</v>
      </c>
      <c r="B326" s="30" t="s">
        <v>703</v>
      </c>
      <c r="C326" s="23">
        <v>800000</v>
      </c>
    </row>
    <row r="327" spans="1:3" ht="13">
      <c r="A327" s="29" t="s">
        <v>704</v>
      </c>
      <c r="B327" s="30" t="s">
        <v>705</v>
      </c>
      <c r="C327" s="23">
        <v>800000</v>
      </c>
    </row>
    <row r="328" spans="1:3" ht="13">
      <c r="A328" s="29" t="s">
        <v>706</v>
      </c>
      <c r="B328" s="30" t="s">
        <v>707</v>
      </c>
      <c r="C328" s="23">
        <v>800000</v>
      </c>
    </row>
    <row r="329" spans="1:3" ht="13">
      <c r="A329" s="29" t="s">
        <v>708</v>
      </c>
      <c r="B329" s="30" t="s">
        <v>709</v>
      </c>
      <c r="C329" s="23">
        <v>800000</v>
      </c>
    </row>
    <row r="330" spans="1:3" ht="13">
      <c r="A330" s="29" t="s">
        <v>710</v>
      </c>
      <c r="B330" s="30" t="s">
        <v>711</v>
      </c>
      <c r="C330" s="23">
        <v>900000</v>
      </c>
    </row>
    <row r="331" spans="1:3" ht="13">
      <c r="A331" s="29" t="s">
        <v>712</v>
      </c>
      <c r="B331" s="30" t="s">
        <v>713</v>
      </c>
      <c r="C331" s="23">
        <v>800000</v>
      </c>
    </row>
    <row r="332" spans="1:3" ht="13">
      <c r="A332" s="29" t="s">
        <v>714</v>
      </c>
      <c r="B332" s="30" t="s">
        <v>715</v>
      </c>
      <c r="C332" s="23">
        <v>800000</v>
      </c>
    </row>
    <row r="333" spans="1:3" ht="13">
      <c r="A333" s="29" t="s">
        <v>716</v>
      </c>
      <c r="B333" s="30" t="s">
        <v>717</v>
      </c>
      <c r="C333" s="23">
        <v>800000</v>
      </c>
    </row>
    <row r="334" spans="1:3" ht="13">
      <c r="A334" s="29" t="s">
        <v>718</v>
      </c>
      <c r="B334" s="30" t="s">
        <v>719</v>
      </c>
      <c r="C334" s="23">
        <v>800000</v>
      </c>
    </row>
    <row r="335" spans="1:3" ht="13">
      <c r="A335" s="29" t="s">
        <v>720</v>
      </c>
      <c r="B335" s="30" t="s">
        <v>721</v>
      </c>
      <c r="C335" s="23">
        <v>800000</v>
      </c>
    </row>
    <row r="336" spans="1:3" ht="13">
      <c r="A336" s="29" t="s">
        <v>722</v>
      </c>
      <c r="B336" s="30" t="s">
        <v>723</v>
      </c>
      <c r="C336" s="23">
        <v>800000</v>
      </c>
    </row>
    <row r="337" spans="1:4" ht="13">
      <c r="A337" s="29" t="s">
        <v>724</v>
      </c>
      <c r="B337" s="30" t="s">
        <v>725</v>
      </c>
      <c r="C337" s="23">
        <v>800000</v>
      </c>
    </row>
    <row r="338" spans="1:4" ht="13">
      <c r="A338" s="29" t="s">
        <v>726</v>
      </c>
      <c r="B338" s="30" t="s">
        <v>727</v>
      </c>
      <c r="C338" s="23">
        <v>800000</v>
      </c>
    </row>
    <row r="339" spans="1:4" ht="13">
      <c r="A339" s="29" t="s">
        <v>728</v>
      </c>
      <c r="B339" s="30" t="s">
        <v>729</v>
      </c>
      <c r="C339" s="23">
        <v>1000000</v>
      </c>
      <c r="D339" s="31" t="s">
        <v>388</v>
      </c>
    </row>
    <row r="340" spans="1:4" ht="13">
      <c r="A340" s="29" t="s">
        <v>730</v>
      </c>
      <c r="B340" s="30" t="s">
        <v>731</v>
      </c>
      <c r="C340" s="23">
        <v>900000</v>
      </c>
      <c r="D340" s="31" t="s">
        <v>732</v>
      </c>
    </row>
    <row r="341" spans="1:4" ht="13">
      <c r="A341" s="29" t="s">
        <v>733</v>
      </c>
      <c r="B341" s="30" t="s">
        <v>734</v>
      </c>
      <c r="C341" s="23">
        <v>800000</v>
      </c>
    </row>
    <row r="342" spans="1:4" ht="13">
      <c r="A342" s="29" t="s">
        <v>735</v>
      </c>
      <c r="B342" s="30" t="s">
        <v>736</v>
      </c>
      <c r="C342" s="23">
        <v>1500000</v>
      </c>
    </row>
    <row r="343" spans="1:4" ht="13">
      <c r="A343" s="29" t="s">
        <v>737</v>
      </c>
      <c r="B343" s="30" t="s">
        <v>738</v>
      </c>
      <c r="C343" s="23">
        <v>800000</v>
      </c>
    </row>
    <row r="344" spans="1:4" ht="13">
      <c r="A344" s="29" t="s">
        <v>739</v>
      </c>
      <c r="B344" s="30" t="s">
        <v>740</v>
      </c>
      <c r="C344" s="23">
        <v>400000</v>
      </c>
    </row>
    <row r="345" spans="1:4" ht="13">
      <c r="A345" s="29" t="s">
        <v>741</v>
      </c>
      <c r="B345" s="30" t="s">
        <v>742</v>
      </c>
      <c r="C345" s="23">
        <v>800000</v>
      </c>
    </row>
    <row r="346" spans="1:4" ht="13">
      <c r="A346" s="29"/>
      <c r="B346" s="30"/>
      <c r="C346" s="23"/>
    </row>
    <row r="347" spans="1:4" ht="13">
      <c r="A347" s="29" t="s">
        <v>743</v>
      </c>
      <c r="B347" s="30" t="s">
        <v>744</v>
      </c>
      <c r="C347" s="23">
        <v>900000</v>
      </c>
    </row>
    <row r="348" spans="1:4" ht="13">
      <c r="A348" s="29" t="s">
        <v>745</v>
      </c>
      <c r="B348" s="30" t="s">
        <v>746</v>
      </c>
      <c r="C348" s="23">
        <v>800000</v>
      </c>
    </row>
    <row r="349" spans="1:4" ht="13">
      <c r="A349" s="29" t="s">
        <v>747</v>
      </c>
      <c r="B349" s="30" t="s">
        <v>748</v>
      </c>
      <c r="C349" s="23">
        <v>800000</v>
      </c>
    </row>
    <row r="350" spans="1:4" ht="13">
      <c r="A350" s="29" t="s">
        <v>749</v>
      </c>
      <c r="B350" s="30" t="s">
        <v>750</v>
      </c>
      <c r="C350" s="23">
        <v>800000</v>
      </c>
    </row>
    <row r="351" spans="1:4" ht="13">
      <c r="A351" s="29" t="s">
        <v>751</v>
      </c>
      <c r="B351" s="30" t="s">
        <v>752</v>
      </c>
      <c r="C351" s="23">
        <v>900000</v>
      </c>
    </row>
    <row r="352" spans="1:4" ht="13">
      <c r="A352" s="29" t="s">
        <v>753</v>
      </c>
      <c r="B352" s="30" t="s">
        <v>754</v>
      </c>
      <c r="C352" s="23">
        <v>800000</v>
      </c>
    </row>
    <row r="353" spans="1:4" ht="13">
      <c r="A353" s="29" t="s">
        <v>755</v>
      </c>
      <c r="B353" s="30" t="s">
        <v>756</v>
      </c>
      <c r="C353" s="23">
        <v>800000</v>
      </c>
    </row>
    <row r="354" spans="1:4" ht="13">
      <c r="A354" s="29" t="s">
        <v>757</v>
      </c>
      <c r="B354" s="30" t="s">
        <v>758</v>
      </c>
      <c r="C354" s="23">
        <v>800000</v>
      </c>
    </row>
    <row r="355" spans="1:4" ht="13">
      <c r="A355" s="29" t="s">
        <v>759</v>
      </c>
      <c r="B355" s="30" t="s">
        <v>760</v>
      </c>
      <c r="C355" s="23">
        <v>900000</v>
      </c>
    </row>
    <row r="356" spans="1:4" ht="14">
      <c r="A356" s="29" t="s">
        <v>761</v>
      </c>
      <c r="B356" s="41" t="s">
        <v>762</v>
      </c>
      <c r="C356" s="23">
        <v>800000</v>
      </c>
    </row>
    <row r="357" spans="1:4" ht="14">
      <c r="A357" s="29" t="s">
        <v>763</v>
      </c>
      <c r="B357" s="42" t="s">
        <v>764</v>
      </c>
      <c r="C357" s="23">
        <v>900000</v>
      </c>
    </row>
    <row r="358" spans="1:4" ht="13">
      <c r="A358" s="29"/>
      <c r="B358" s="30"/>
      <c r="C358" s="23"/>
    </row>
    <row r="359" spans="1:4" ht="13">
      <c r="A359" s="29" t="s">
        <v>765</v>
      </c>
      <c r="B359" s="30" t="s">
        <v>766</v>
      </c>
      <c r="C359" s="23">
        <v>900000</v>
      </c>
    </row>
    <row r="360" spans="1:4" ht="13">
      <c r="A360" s="29" t="s">
        <v>767</v>
      </c>
      <c r="B360" s="30" t="s">
        <v>768</v>
      </c>
      <c r="C360" s="23">
        <v>900000</v>
      </c>
    </row>
    <row r="361" spans="1:4" ht="13">
      <c r="A361" s="29" t="s">
        <v>769</v>
      </c>
      <c r="B361" s="30" t="s">
        <v>770</v>
      </c>
      <c r="C361" s="23">
        <v>900000</v>
      </c>
    </row>
    <row r="362" spans="1:4" ht="13">
      <c r="A362" s="29" t="s">
        <v>771</v>
      </c>
      <c r="B362" s="30" t="s">
        <v>772</v>
      </c>
      <c r="C362" s="23">
        <v>900000</v>
      </c>
    </row>
    <row r="363" spans="1:4" ht="13">
      <c r="A363" s="29" t="s">
        <v>773</v>
      </c>
      <c r="B363" s="30" t="s">
        <v>774</v>
      </c>
      <c r="C363" s="23">
        <v>800000</v>
      </c>
      <c r="D363" s="31" t="s">
        <v>388</v>
      </c>
    </row>
    <row r="364" spans="1:4" ht="13">
      <c r="A364" s="29" t="s">
        <v>775</v>
      </c>
      <c r="B364" s="30" t="s">
        <v>776</v>
      </c>
      <c r="C364" s="23">
        <v>800000</v>
      </c>
    </row>
    <row r="365" spans="1:4" ht="13">
      <c r="A365" s="29" t="s">
        <v>777</v>
      </c>
      <c r="B365" s="30" t="s">
        <v>778</v>
      </c>
      <c r="C365" s="23">
        <v>900000</v>
      </c>
    </row>
    <row r="366" spans="1:4" ht="13">
      <c r="A366" s="29" t="s">
        <v>779</v>
      </c>
      <c r="B366" s="30" t="s">
        <v>780</v>
      </c>
      <c r="C366" s="23">
        <v>800000</v>
      </c>
    </row>
    <row r="367" spans="1:4" ht="13">
      <c r="A367" s="29" t="s">
        <v>781</v>
      </c>
      <c r="B367" s="30" t="s">
        <v>782</v>
      </c>
      <c r="C367" s="23">
        <v>900000</v>
      </c>
    </row>
    <row r="368" spans="1:4" ht="13">
      <c r="A368" s="29" t="s">
        <v>783</v>
      </c>
      <c r="B368" s="30" t="s">
        <v>784</v>
      </c>
      <c r="C368" s="23">
        <v>800000</v>
      </c>
    </row>
    <row r="369" spans="1:3" ht="13">
      <c r="A369" s="29" t="s">
        <v>785</v>
      </c>
      <c r="B369" s="30" t="s">
        <v>786</v>
      </c>
      <c r="C369" s="23">
        <v>900000</v>
      </c>
    </row>
    <row r="370" spans="1:3" ht="13">
      <c r="A370" s="29" t="s">
        <v>787</v>
      </c>
      <c r="B370" s="30" t="s">
        <v>788</v>
      </c>
      <c r="C370" s="23">
        <v>900000</v>
      </c>
    </row>
    <row r="371" spans="1:3" ht="13">
      <c r="A371" s="29" t="s">
        <v>789</v>
      </c>
      <c r="B371" s="30" t="s">
        <v>790</v>
      </c>
      <c r="C371" s="23">
        <v>900000</v>
      </c>
    </row>
    <row r="372" spans="1:3" ht="13">
      <c r="A372" s="29" t="s">
        <v>791</v>
      </c>
      <c r="B372" s="30" t="s">
        <v>792</v>
      </c>
      <c r="C372" s="23">
        <v>700000</v>
      </c>
    </row>
    <row r="373" spans="1:3" ht="13">
      <c r="A373" s="29" t="s">
        <v>793</v>
      </c>
      <c r="B373" s="30" t="s">
        <v>794</v>
      </c>
      <c r="C373" s="23">
        <v>900000</v>
      </c>
    </row>
    <row r="374" spans="1:3" ht="13">
      <c r="A374" s="29" t="s">
        <v>795</v>
      </c>
      <c r="B374" s="30" t="s">
        <v>796</v>
      </c>
      <c r="C374" s="23">
        <v>1200000</v>
      </c>
    </row>
    <row r="375" spans="1:3" ht="13">
      <c r="A375" s="29" t="s">
        <v>356</v>
      </c>
      <c r="B375" s="30" t="s">
        <v>357</v>
      </c>
      <c r="C375" s="23">
        <v>900000</v>
      </c>
    </row>
    <row r="376" spans="1:3" ht="13">
      <c r="A376" s="29"/>
      <c r="B376" s="30"/>
      <c r="C376" s="23"/>
    </row>
    <row r="377" spans="1:3" ht="13">
      <c r="A377" s="29" t="s">
        <v>797</v>
      </c>
      <c r="B377" s="30" t="s">
        <v>798</v>
      </c>
      <c r="C377" s="23">
        <v>800000</v>
      </c>
    </row>
    <row r="378" spans="1:3" ht="13">
      <c r="A378" s="29" t="s">
        <v>799</v>
      </c>
      <c r="B378" s="30" t="s">
        <v>800</v>
      </c>
      <c r="C378" s="23">
        <v>1000000</v>
      </c>
    </row>
    <row r="379" spans="1:3" ht="13">
      <c r="A379" s="29" t="s">
        <v>801</v>
      </c>
      <c r="B379" s="30" t="s">
        <v>801</v>
      </c>
      <c r="C379" s="23">
        <v>800000</v>
      </c>
    </row>
    <row r="380" spans="1:3" ht="13">
      <c r="A380" s="29" t="s">
        <v>802</v>
      </c>
      <c r="B380" s="30" t="s">
        <v>803</v>
      </c>
      <c r="C380" s="23">
        <v>800000</v>
      </c>
    </row>
    <row r="381" spans="1:3" ht="13">
      <c r="A381" s="29" t="s">
        <v>804</v>
      </c>
      <c r="B381" s="30" t="s">
        <v>805</v>
      </c>
      <c r="C381" s="23">
        <v>1100000</v>
      </c>
    </row>
    <row r="382" spans="1:3" ht="13">
      <c r="A382" s="29" t="s">
        <v>806</v>
      </c>
      <c r="B382" s="30" t="s">
        <v>807</v>
      </c>
      <c r="C382" s="23">
        <v>800000</v>
      </c>
    </row>
    <row r="383" spans="1:3" ht="13">
      <c r="A383" s="29" t="s">
        <v>808</v>
      </c>
      <c r="B383" s="30" t="s">
        <v>809</v>
      </c>
      <c r="C383" s="23">
        <v>800000</v>
      </c>
    </row>
    <row r="384" spans="1:3" ht="13">
      <c r="A384" s="29" t="s">
        <v>810</v>
      </c>
      <c r="B384" s="30" t="s">
        <v>811</v>
      </c>
      <c r="C384" s="23">
        <v>800000</v>
      </c>
    </row>
    <row r="385" spans="1:4" ht="13">
      <c r="A385" s="29" t="s">
        <v>812</v>
      </c>
      <c r="B385" s="30" t="s">
        <v>813</v>
      </c>
      <c r="C385" s="23">
        <v>800000</v>
      </c>
    </row>
    <row r="386" spans="1:4" ht="13">
      <c r="A386" s="29" t="s">
        <v>814</v>
      </c>
      <c r="B386" s="30" t="s">
        <v>815</v>
      </c>
      <c r="C386" s="23">
        <v>800000</v>
      </c>
    </row>
    <row r="387" spans="1:4" ht="13">
      <c r="A387" s="29" t="s">
        <v>816</v>
      </c>
      <c r="B387" s="30" t="s">
        <v>817</v>
      </c>
      <c r="C387" s="23">
        <v>800000</v>
      </c>
    </row>
    <row r="388" spans="1:4" ht="13">
      <c r="A388" s="29" t="s">
        <v>818</v>
      </c>
      <c r="B388" s="30" t="s">
        <v>819</v>
      </c>
      <c r="C388" s="23">
        <v>800000</v>
      </c>
    </row>
    <row r="389" spans="1:4" ht="13">
      <c r="A389" s="29" t="s">
        <v>820</v>
      </c>
      <c r="B389" s="30" t="s">
        <v>821</v>
      </c>
      <c r="C389" s="23">
        <v>800000</v>
      </c>
    </row>
    <row r="390" spans="1:4" ht="13">
      <c r="A390" s="29" t="s">
        <v>822</v>
      </c>
      <c r="B390" s="30" t="s">
        <v>823</v>
      </c>
      <c r="C390" s="23">
        <v>800000</v>
      </c>
    </row>
    <row r="391" spans="1:4" ht="13">
      <c r="A391" s="29" t="s">
        <v>824</v>
      </c>
      <c r="B391" s="30" t="s">
        <v>825</v>
      </c>
      <c r="C391" s="23">
        <v>800000</v>
      </c>
    </row>
    <row r="392" spans="1:4" ht="13">
      <c r="A392" s="29" t="s">
        <v>826</v>
      </c>
      <c r="B392" s="30" t="s">
        <v>827</v>
      </c>
      <c r="C392" s="23">
        <v>500000</v>
      </c>
    </row>
    <row r="393" spans="1:4" ht="13">
      <c r="A393" s="29" t="s">
        <v>828</v>
      </c>
      <c r="B393" s="30" t="s">
        <v>829</v>
      </c>
      <c r="C393" s="23">
        <v>800000</v>
      </c>
    </row>
    <row r="394" spans="1:4" ht="13">
      <c r="A394" s="43" t="s">
        <v>830</v>
      </c>
      <c r="B394" s="43" t="s">
        <v>831</v>
      </c>
      <c r="C394" s="43">
        <v>1000000</v>
      </c>
    </row>
    <row r="395" spans="1:4" ht="13">
      <c r="A395" s="31">
        <v>2</v>
      </c>
      <c r="B395" s="31" t="s">
        <v>832</v>
      </c>
      <c r="C395" s="31">
        <v>900000</v>
      </c>
    </row>
    <row r="396" spans="1:4" ht="13">
      <c r="A396" s="31" t="s">
        <v>833</v>
      </c>
      <c r="B396" s="31" t="s">
        <v>834</v>
      </c>
      <c r="C396" s="31">
        <v>500000</v>
      </c>
    </row>
    <row r="397" spans="1:4" ht="13">
      <c r="A397" s="31" t="s">
        <v>835</v>
      </c>
      <c r="B397" s="31" t="s">
        <v>836</v>
      </c>
      <c r="C397" s="31">
        <v>900000</v>
      </c>
    </row>
    <row r="398" spans="1:4" ht="13">
      <c r="A398" s="31" t="s">
        <v>837</v>
      </c>
      <c r="B398" s="31" t="s">
        <v>838</v>
      </c>
      <c r="C398" s="31">
        <v>800000</v>
      </c>
    </row>
    <row r="399" spans="1:4" ht="13">
      <c r="A399" s="29" t="s">
        <v>797</v>
      </c>
      <c r="B399" s="30" t="s">
        <v>839</v>
      </c>
      <c r="C399" s="23">
        <v>800000</v>
      </c>
      <c r="D399" s="31"/>
    </row>
    <row r="400" spans="1:4" ht="13">
      <c r="A400" s="31" t="s">
        <v>840</v>
      </c>
      <c r="B400" s="31" t="s">
        <v>841</v>
      </c>
      <c r="C400" s="31">
        <v>600000</v>
      </c>
      <c r="D400" s="31"/>
    </row>
    <row r="401" spans="1:4" ht="13">
      <c r="A401" s="31" t="s">
        <v>842</v>
      </c>
      <c r="B401" s="31" t="s">
        <v>843</v>
      </c>
      <c r="C401" s="31">
        <v>900000</v>
      </c>
      <c r="D401" s="31"/>
    </row>
    <row r="402" spans="1:4" ht="13">
      <c r="A402" s="31" t="s">
        <v>844</v>
      </c>
      <c r="B402" s="31" t="s">
        <v>845</v>
      </c>
      <c r="C402" s="31">
        <v>800000</v>
      </c>
      <c r="D402" s="31"/>
    </row>
    <row r="403" spans="1:4" ht="13">
      <c r="A403" s="31" t="s">
        <v>846</v>
      </c>
      <c r="B403" s="31" t="s">
        <v>847</v>
      </c>
      <c r="C403" s="31">
        <v>800000</v>
      </c>
      <c r="D403" s="31"/>
    </row>
    <row r="404" spans="1:4" ht="13">
      <c r="A404" s="31" t="s">
        <v>848</v>
      </c>
      <c r="B404" s="31" t="s">
        <v>849</v>
      </c>
      <c r="C404" s="31">
        <v>800000</v>
      </c>
      <c r="D404" s="31"/>
    </row>
    <row r="405" spans="1:4" ht="13">
      <c r="A405" s="31" t="s">
        <v>850</v>
      </c>
      <c r="B405" s="31" t="s">
        <v>851</v>
      </c>
      <c r="C405" s="31">
        <v>900000</v>
      </c>
      <c r="D405" s="31"/>
    </row>
    <row r="406" spans="1:4" ht="13">
      <c r="A406" s="31" t="s">
        <v>852</v>
      </c>
      <c r="B406" s="31" t="s">
        <v>853</v>
      </c>
      <c r="C406" s="31">
        <v>900000</v>
      </c>
      <c r="D406" s="31"/>
    </row>
    <row r="407" spans="1:4" ht="13">
      <c r="A407" s="31" t="s">
        <v>854</v>
      </c>
      <c r="B407" s="31" t="s">
        <v>855</v>
      </c>
      <c r="C407" s="31">
        <v>1100000</v>
      </c>
      <c r="D407" s="31"/>
    </row>
    <row r="408" spans="1:4" ht="13">
      <c r="A408" s="31" t="s">
        <v>856</v>
      </c>
      <c r="B408" s="31" t="s">
        <v>857</v>
      </c>
      <c r="C408" s="31">
        <v>900000</v>
      </c>
      <c r="D408" s="31"/>
    </row>
    <row r="409" spans="1:4" ht="13">
      <c r="A409" s="31" t="s">
        <v>858</v>
      </c>
      <c r="B409" s="31" t="s">
        <v>859</v>
      </c>
      <c r="C409" s="31">
        <v>800000</v>
      </c>
      <c r="D409" s="31"/>
    </row>
    <row r="410" spans="1:4" ht="13">
      <c r="A410" s="31"/>
      <c r="B410" s="31"/>
      <c r="C410" s="31"/>
      <c r="D410" s="31"/>
    </row>
    <row r="411" spans="1:4" ht="13">
      <c r="A411" s="31" t="s">
        <v>860</v>
      </c>
      <c r="B411" s="31" t="s">
        <v>861</v>
      </c>
      <c r="C411" s="31">
        <v>900000</v>
      </c>
      <c r="D411" s="31" t="s">
        <v>388</v>
      </c>
    </row>
    <row r="416" spans="1:4" ht="13">
      <c r="A416" s="44"/>
      <c r="B416" s="45"/>
      <c r="C416" s="39"/>
    </row>
    <row r="417" spans="1:3" ht="13">
      <c r="A417" s="44"/>
      <c r="B417" s="45"/>
      <c r="C417" s="39"/>
    </row>
    <row r="418" spans="1:3" ht="13">
      <c r="A418" s="44" t="s">
        <v>862</v>
      </c>
      <c r="B418" s="45" t="s">
        <v>863</v>
      </c>
      <c r="C418" s="39">
        <v>1000000</v>
      </c>
    </row>
    <row r="419" spans="1:3" ht="13">
      <c r="A419" s="44"/>
      <c r="B419" s="45"/>
      <c r="C419" s="39"/>
    </row>
    <row r="420" spans="1:3" ht="13">
      <c r="A420" s="29"/>
      <c r="B420" s="30"/>
      <c r="C420" s="23"/>
    </row>
    <row r="421" spans="1:3" ht="13">
      <c r="A421" s="29" t="s">
        <v>864</v>
      </c>
      <c r="B421" s="30" t="s">
        <v>865</v>
      </c>
      <c r="C421" s="23">
        <v>800000</v>
      </c>
    </row>
    <row r="422" spans="1:3" ht="13">
      <c r="A422" s="29" t="s">
        <v>866</v>
      </c>
      <c r="B422" s="30" t="s">
        <v>867</v>
      </c>
      <c r="C422" s="23">
        <v>800000</v>
      </c>
    </row>
    <row r="423" spans="1:3" ht="13">
      <c r="A423" s="29" t="s">
        <v>868</v>
      </c>
      <c r="B423" s="30" t="s">
        <v>869</v>
      </c>
      <c r="C423" s="23">
        <v>800000</v>
      </c>
    </row>
    <row r="424" spans="1:3" ht="13">
      <c r="A424" s="29" t="s">
        <v>870</v>
      </c>
      <c r="B424" s="30" t="s">
        <v>871</v>
      </c>
      <c r="C424" s="23">
        <v>900000</v>
      </c>
    </row>
    <row r="425" spans="1:3" ht="13">
      <c r="A425" s="29" t="s">
        <v>872</v>
      </c>
      <c r="B425" s="30" t="s">
        <v>873</v>
      </c>
      <c r="C425" s="23">
        <v>800000</v>
      </c>
    </row>
    <row r="426" spans="1:3" ht="13">
      <c r="A426" s="29"/>
      <c r="B426" s="30"/>
      <c r="C426" s="23"/>
    </row>
    <row r="427" spans="1:3" ht="13">
      <c r="A427" s="29" t="s">
        <v>874</v>
      </c>
      <c r="B427" s="30" t="s">
        <v>875</v>
      </c>
      <c r="C427" s="23">
        <v>800000</v>
      </c>
    </row>
    <row r="428" spans="1:3" ht="13">
      <c r="A428" s="29"/>
      <c r="B428" s="30"/>
      <c r="C428" s="23"/>
    </row>
    <row r="429" spans="1:3" ht="13">
      <c r="A429" s="29" t="s">
        <v>876</v>
      </c>
      <c r="B429" s="30" t="s">
        <v>877</v>
      </c>
      <c r="C429" s="23">
        <v>800000</v>
      </c>
    </row>
    <row r="430" spans="1:3" ht="13">
      <c r="A430" s="29" t="s">
        <v>878</v>
      </c>
      <c r="B430" s="30" t="s">
        <v>879</v>
      </c>
      <c r="C430" s="23">
        <v>900000</v>
      </c>
    </row>
    <row r="431" spans="1:3" ht="13">
      <c r="A431" s="29" t="s">
        <v>880</v>
      </c>
      <c r="B431" s="30" t="s">
        <v>881</v>
      </c>
      <c r="C431" s="23">
        <v>900000</v>
      </c>
    </row>
    <row r="432" spans="1:3" ht="13">
      <c r="A432" s="46" t="s">
        <v>882</v>
      </c>
      <c r="B432" s="47" t="s">
        <v>883</v>
      </c>
      <c r="C432" s="23">
        <v>800000</v>
      </c>
    </row>
    <row r="433" spans="1:3" ht="13">
      <c r="A433" s="46" t="s">
        <v>884</v>
      </c>
      <c r="B433" s="47" t="s">
        <v>885</v>
      </c>
      <c r="C433" s="23">
        <v>800000</v>
      </c>
    </row>
    <row r="434" spans="1:3" ht="13">
      <c r="A434" s="46" t="s">
        <v>886</v>
      </c>
      <c r="B434" s="47" t="s">
        <v>887</v>
      </c>
      <c r="C434" s="23">
        <v>800000</v>
      </c>
    </row>
    <row r="435" spans="1:3" ht="13">
      <c r="A435" s="46" t="s">
        <v>888</v>
      </c>
      <c r="B435" s="47" t="s">
        <v>889</v>
      </c>
      <c r="C435" s="23">
        <v>800000</v>
      </c>
    </row>
    <row r="436" spans="1:3" ht="13">
      <c r="A436" s="46" t="s">
        <v>890</v>
      </c>
      <c r="B436" s="47" t="s">
        <v>891</v>
      </c>
      <c r="C436" s="23">
        <v>900000</v>
      </c>
    </row>
    <row r="437" spans="1:3" ht="13">
      <c r="A437" s="46" t="s">
        <v>892</v>
      </c>
      <c r="B437" s="47" t="s">
        <v>893</v>
      </c>
      <c r="C437" s="23">
        <v>900000</v>
      </c>
    </row>
    <row r="438" spans="1:3" ht="13">
      <c r="A438" s="5"/>
      <c r="B438" s="6"/>
      <c r="C438" s="23"/>
    </row>
    <row r="439" spans="1:3" ht="13">
      <c r="A439" s="5" t="s">
        <v>894</v>
      </c>
      <c r="B439" s="6" t="s">
        <v>895</v>
      </c>
      <c r="C439" s="23">
        <v>800000</v>
      </c>
    </row>
    <row r="440" spans="1:3" ht="13">
      <c r="A440" s="5" t="s">
        <v>896</v>
      </c>
      <c r="B440" s="6" t="s">
        <v>897</v>
      </c>
      <c r="C440" s="23">
        <v>900000</v>
      </c>
    </row>
    <row r="441" spans="1:3" ht="13">
      <c r="A441" s="5" t="s">
        <v>184</v>
      </c>
      <c r="B441" s="6" t="s">
        <v>898</v>
      </c>
      <c r="C441" s="23">
        <v>800000</v>
      </c>
    </row>
    <row r="442" spans="1:3" ht="13">
      <c r="A442" s="5" t="s">
        <v>899</v>
      </c>
      <c r="B442" s="6" t="s">
        <v>900</v>
      </c>
      <c r="C442" s="23">
        <v>800000</v>
      </c>
    </row>
    <row r="443" spans="1:3" ht="13">
      <c r="A443" s="5" t="s">
        <v>901</v>
      </c>
      <c r="B443" s="6" t="s">
        <v>902</v>
      </c>
      <c r="C443" s="23">
        <v>800000</v>
      </c>
    </row>
    <row r="444" spans="1:3" ht="13">
      <c r="A444" s="5" t="s">
        <v>903</v>
      </c>
      <c r="B444" s="6" t="s">
        <v>904</v>
      </c>
      <c r="C444" s="23">
        <v>800000</v>
      </c>
    </row>
    <row r="445" spans="1:3" ht="13">
      <c r="A445" s="48" t="s">
        <v>905</v>
      </c>
      <c r="B445" s="49" t="s">
        <v>906</v>
      </c>
      <c r="C445" s="23">
        <v>800000</v>
      </c>
    </row>
    <row r="446" spans="1:3" ht="13">
      <c r="A446" s="48" t="s">
        <v>907</v>
      </c>
      <c r="B446" s="49" t="s">
        <v>908</v>
      </c>
      <c r="C446" s="23">
        <v>800000</v>
      </c>
    </row>
    <row r="447" spans="1:3" ht="13">
      <c r="A447" s="48" t="s">
        <v>909</v>
      </c>
      <c r="B447" s="49" t="s">
        <v>910</v>
      </c>
      <c r="C447" s="23">
        <v>800000</v>
      </c>
    </row>
    <row r="448" spans="1:3" ht="13">
      <c r="A448" s="48" t="s">
        <v>911</v>
      </c>
      <c r="B448" s="49" t="s">
        <v>912</v>
      </c>
      <c r="C448" s="23">
        <v>800000</v>
      </c>
    </row>
    <row r="449" spans="1:26" ht="13">
      <c r="A449" s="48" t="s">
        <v>913</v>
      </c>
      <c r="B449" s="49" t="s">
        <v>914</v>
      </c>
      <c r="C449" s="23">
        <v>900000</v>
      </c>
    </row>
    <row r="450" spans="1:26" ht="13">
      <c r="A450" s="48" t="s">
        <v>915</v>
      </c>
      <c r="B450" s="49" t="s">
        <v>916</v>
      </c>
      <c r="C450" s="23">
        <v>800000</v>
      </c>
    </row>
    <row r="451" spans="1:26" ht="13">
      <c r="A451" s="48" t="s">
        <v>917</v>
      </c>
      <c r="B451" s="49" t="s">
        <v>918</v>
      </c>
      <c r="C451" s="23">
        <v>800000</v>
      </c>
    </row>
    <row r="452" spans="1:26" ht="13">
      <c r="A452" s="50"/>
      <c r="B452" s="51"/>
      <c r="C452" s="52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3">
      <c r="A453" s="54" t="s">
        <v>919</v>
      </c>
      <c r="B453" s="55" t="s">
        <v>920</v>
      </c>
      <c r="C453" s="23">
        <v>900000</v>
      </c>
    </row>
    <row r="454" spans="1:26" ht="13">
      <c r="A454" s="54" t="s">
        <v>921</v>
      </c>
      <c r="B454" s="55" t="s">
        <v>922</v>
      </c>
      <c r="C454" s="23">
        <v>800000</v>
      </c>
    </row>
    <row r="455" spans="1:26" ht="13">
      <c r="A455" s="54" t="s">
        <v>923</v>
      </c>
      <c r="B455" s="55" t="s">
        <v>924</v>
      </c>
      <c r="C455" s="23">
        <v>800000</v>
      </c>
    </row>
    <row r="456" spans="1:26" ht="13">
      <c r="A456" s="54" t="s">
        <v>925</v>
      </c>
      <c r="B456" s="55" t="s">
        <v>926</v>
      </c>
      <c r="C456" s="23">
        <v>800000</v>
      </c>
    </row>
    <row r="457" spans="1:26" ht="13">
      <c r="A457" s="54" t="s">
        <v>927</v>
      </c>
      <c r="B457" s="55" t="s">
        <v>928</v>
      </c>
      <c r="C457" s="23">
        <v>800000</v>
      </c>
    </row>
    <row r="458" spans="1:26" ht="13">
      <c r="A458" s="54" t="s">
        <v>929</v>
      </c>
      <c r="B458" s="55" t="s">
        <v>930</v>
      </c>
      <c r="C458" s="23">
        <v>800000</v>
      </c>
    </row>
    <row r="459" spans="1:26" ht="13">
      <c r="A459" s="54" t="s">
        <v>931</v>
      </c>
      <c r="B459" s="55" t="s">
        <v>932</v>
      </c>
      <c r="C459" s="23">
        <v>800000</v>
      </c>
    </row>
    <row r="460" spans="1:26" ht="13">
      <c r="A460" s="54" t="s">
        <v>933</v>
      </c>
      <c r="B460" s="55" t="s">
        <v>934</v>
      </c>
      <c r="C460" s="23">
        <v>800000</v>
      </c>
    </row>
    <row r="461" spans="1:26" ht="13">
      <c r="A461" s="54" t="s">
        <v>935</v>
      </c>
      <c r="B461" s="55" t="s">
        <v>936</v>
      </c>
      <c r="C461" s="23">
        <v>800000</v>
      </c>
    </row>
    <row r="462" spans="1:26" ht="13">
      <c r="A462" s="54" t="s">
        <v>937</v>
      </c>
      <c r="B462" s="55" t="s">
        <v>938</v>
      </c>
      <c r="C462" s="23">
        <v>800000</v>
      </c>
    </row>
    <row r="463" spans="1:26" ht="13">
      <c r="A463" s="54" t="s">
        <v>939</v>
      </c>
      <c r="B463" s="55" t="s">
        <v>940</v>
      </c>
      <c r="C463" s="23">
        <v>800000</v>
      </c>
    </row>
    <row r="464" spans="1:26" ht="13">
      <c r="A464" s="56" t="s">
        <v>941</v>
      </c>
      <c r="B464" s="57" t="s">
        <v>942</v>
      </c>
      <c r="C464" s="23">
        <v>800000</v>
      </c>
    </row>
    <row r="465" spans="1:3" ht="13">
      <c r="A465" s="56" t="s">
        <v>943</v>
      </c>
      <c r="B465" s="57" t="s">
        <v>944</v>
      </c>
      <c r="C465" s="23">
        <v>800000</v>
      </c>
    </row>
    <row r="466" spans="1:3" ht="13">
      <c r="A466" s="56" t="s">
        <v>945</v>
      </c>
      <c r="B466" s="57" t="s">
        <v>946</v>
      </c>
      <c r="C466" s="23">
        <v>800000</v>
      </c>
    </row>
    <row r="467" spans="1:3" ht="13">
      <c r="A467" s="56" t="s">
        <v>947</v>
      </c>
      <c r="B467" s="57" t="s">
        <v>948</v>
      </c>
      <c r="C467" s="23">
        <v>800000</v>
      </c>
    </row>
    <row r="468" spans="1:3" ht="13">
      <c r="A468" s="56" t="s">
        <v>949</v>
      </c>
      <c r="B468" s="57" t="s">
        <v>950</v>
      </c>
      <c r="C468" s="23">
        <v>800000</v>
      </c>
    </row>
    <row r="469" spans="1:3" ht="13">
      <c r="A469" s="56" t="s">
        <v>951</v>
      </c>
      <c r="B469" s="57" t="s">
        <v>952</v>
      </c>
      <c r="C469" s="23">
        <v>800000</v>
      </c>
    </row>
    <row r="470" spans="1:3" ht="13">
      <c r="A470" s="56" t="s">
        <v>953</v>
      </c>
      <c r="B470" s="57" t="s">
        <v>954</v>
      </c>
      <c r="C470" s="23">
        <v>800000</v>
      </c>
    </row>
    <row r="471" spans="1:3" ht="13">
      <c r="A471" s="56" t="s">
        <v>955</v>
      </c>
      <c r="B471" s="57" t="s">
        <v>956</v>
      </c>
      <c r="C471" s="23">
        <v>800000</v>
      </c>
    </row>
    <row r="472" spans="1:3" ht="13">
      <c r="A472" s="56" t="s">
        <v>957</v>
      </c>
      <c r="B472" s="57" t="s">
        <v>958</v>
      </c>
      <c r="C472" s="23">
        <v>800000</v>
      </c>
    </row>
    <row r="473" spans="1:3" ht="13">
      <c r="A473" s="56" t="s">
        <v>959</v>
      </c>
      <c r="B473" s="57" t="s">
        <v>960</v>
      </c>
      <c r="C473" s="23">
        <v>800000</v>
      </c>
    </row>
    <row r="474" spans="1:3" ht="13">
      <c r="A474" s="56" t="s">
        <v>961</v>
      </c>
      <c r="B474" s="57" t="s">
        <v>962</v>
      </c>
      <c r="C474" s="23">
        <v>800000</v>
      </c>
    </row>
    <row r="475" spans="1:3" ht="13">
      <c r="A475" s="56" t="s">
        <v>963</v>
      </c>
      <c r="B475" s="57" t="s">
        <v>964</v>
      </c>
      <c r="C475" s="23">
        <v>800000</v>
      </c>
    </row>
    <row r="476" spans="1:3" ht="13">
      <c r="A476" s="56" t="s">
        <v>965</v>
      </c>
      <c r="B476" s="57" t="s">
        <v>966</v>
      </c>
      <c r="C476" s="23">
        <v>800000</v>
      </c>
    </row>
    <row r="477" spans="1:3" ht="13">
      <c r="A477" s="56" t="s">
        <v>967</v>
      </c>
      <c r="B477" s="57" t="s">
        <v>968</v>
      </c>
      <c r="C477" s="23">
        <v>800000</v>
      </c>
    </row>
    <row r="478" spans="1:3" ht="13">
      <c r="A478" s="56" t="s">
        <v>969</v>
      </c>
      <c r="B478" s="57" t="s">
        <v>970</v>
      </c>
      <c r="C478" s="23">
        <v>800000</v>
      </c>
    </row>
    <row r="479" spans="1:3" ht="13">
      <c r="A479" s="56" t="s">
        <v>971</v>
      </c>
      <c r="B479" s="57" t="s">
        <v>972</v>
      </c>
      <c r="C479" s="23">
        <v>800000</v>
      </c>
    </row>
    <row r="480" spans="1:3" ht="13">
      <c r="A480" s="56" t="s">
        <v>973</v>
      </c>
      <c r="B480" s="57" t="s">
        <v>974</v>
      </c>
      <c r="C480" s="23">
        <v>800000</v>
      </c>
    </row>
    <row r="481" spans="1:3" ht="13">
      <c r="A481" s="56" t="s">
        <v>975</v>
      </c>
      <c r="B481" s="57" t="s">
        <v>976</v>
      </c>
      <c r="C481" s="23">
        <v>800000</v>
      </c>
    </row>
    <row r="482" spans="1:3" ht="13">
      <c r="A482" s="56" t="s">
        <v>977</v>
      </c>
      <c r="B482" s="57" t="s">
        <v>978</v>
      </c>
      <c r="C482" s="23">
        <v>800000</v>
      </c>
    </row>
    <row r="483" spans="1:3" ht="13">
      <c r="A483" s="56" t="s">
        <v>979</v>
      </c>
      <c r="B483" s="57" t="s">
        <v>980</v>
      </c>
      <c r="C483" s="23">
        <v>800000</v>
      </c>
    </row>
    <row r="484" spans="1:3" ht="13">
      <c r="A484" s="56" t="s">
        <v>981</v>
      </c>
      <c r="B484" s="57" t="s">
        <v>982</v>
      </c>
      <c r="C484" s="23">
        <v>800000</v>
      </c>
    </row>
    <row r="485" spans="1:3" ht="13">
      <c r="A485" s="56" t="s">
        <v>983</v>
      </c>
      <c r="B485" s="57" t="s">
        <v>984</v>
      </c>
      <c r="C485" s="23">
        <v>800000</v>
      </c>
    </row>
    <row r="486" spans="1:3" ht="13">
      <c r="A486" s="56" t="s">
        <v>985</v>
      </c>
      <c r="B486" s="57" t="s">
        <v>986</v>
      </c>
      <c r="C486" s="23">
        <v>800000</v>
      </c>
    </row>
    <row r="487" spans="1:3" ht="13">
      <c r="A487" s="56" t="s">
        <v>987</v>
      </c>
      <c r="B487" s="57" t="s">
        <v>988</v>
      </c>
      <c r="C487" s="23">
        <v>800000</v>
      </c>
    </row>
    <row r="488" spans="1:3" ht="13">
      <c r="A488" s="56" t="s">
        <v>989</v>
      </c>
      <c r="B488" s="57" t="s">
        <v>990</v>
      </c>
      <c r="C488" s="23">
        <v>800000</v>
      </c>
    </row>
    <row r="489" spans="1:3" ht="13">
      <c r="A489" s="56" t="s">
        <v>991</v>
      </c>
      <c r="B489" s="57" t="s">
        <v>992</v>
      </c>
      <c r="C489" s="23">
        <v>800000</v>
      </c>
    </row>
    <row r="490" spans="1:3" ht="13">
      <c r="A490" s="56" t="s">
        <v>993</v>
      </c>
      <c r="B490" s="57" t="s">
        <v>994</v>
      </c>
      <c r="C490" s="23">
        <v>800000</v>
      </c>
    </row>
    <row r="491" spans="1:3" ht="13">
      <c r="A491" s="56" t="s">
        <v>995</v>
      </c>
      <c r="B491" s="57" t="s">
        <v>996</v>
      </c>
      <c r="C491" s="23">
        <v>800000</v>
      </c>
    </row>
    <row r="492" spans="1:3" ht="13">
      <c r="A492" s="56" t="s">
        <v>997</v>
      </c>
      <c r="B492" s="57" t="s">
        <v>998</v>
      </c>
      <c r="C492" s="23">
        <v>900000</v>
      </c>
    </row>
    <row r="493" spans="1:3" ht="13">
      <c r="A493" s="56" t="s">
        <v>999</v>
      </c>
      <c r="B493" s="57" t="s">
        <v>1000</v>
      </c>
      <c r="C493" s="23">
        <v>900000</v>
      </c>
    </row>
    <row r="494" spans="1:3" ht="13">
      <c r="A494" s="56" t="s">
        <v>1001</v>
      </c>
      <c r="B494" s="57" t="s">
        <v>1002</v>
      </c>
      <c r="C494" s="23">
        <v>800000</v>
      </c>
    </row>
    <row r="495" spans="1:3" ht="13">
      <c r="A495" s="58" t="s">
        <v>1003</v>
      </c>
      <c r="B495" s="59" t="s">
        <v>1004</v>
      </c>
      <c r="C495" s="23">
        <v>800000</v>
      </c>
    </row>
    <row r="496" spans="1:3" ht="13">
      <c r="A496" s="58"/>
      <c r="B496" s="59"/>
      <c r="C496" s="23"/>
    </row>
    <row r="497" spans="1:3" ht="13">
      <c r="A497" s="58"/>
      <c r="B497" s="59"/>
      <c r="C497" s="23"/>
    </row>
    <row r="498" spans="1:3" ht="13">
      <c r="A498" s="58" t="s">
        <v>1005</v>
      </c>
      <c r="B498" s="59" t="s">
        <v>1006</v>
      </c>
      <c r="C498" s="23">
        <v>800000</v>
      </c>
    </row>
    <row r="499" spans="1:3" ht="13">
      <c r="A499" s="58" t="s">
        <v>1007</v>
      </c>
      <c r="B499" s="59" t="s">
        <v>1008</v>
      </c>
      <c r="C499" s="23">
        <v>800000</v>
      </c>
    </row>
    <row r="500" spans="1:3" ht="13">
      <c r="A500" s="58" t="s">
        <v>1009</v>
      </c>
      <c r="B500" s="59" t="s">
        <v>1010</v>
      </c>
      <c r="C500" s="23">
        <v>800000</v>
      </c>
    </row>
    <row r="501" spans="1:3" ht="13">
      <c r="A501" s="58" t="s">
        <v>1011</v>
      </c>
      <c r="B501" s="59" t="s">
        <v>1012</v>
      </c>
      <c r="C501" s="23">
        <v>800000</v>
      </c>
    </row>
    <row r="502" spans="1:3" ht="13">
      <c r="A502" s="58" t="s">
        <v>1013</v>
      </c>
      <c r="B502" s="59" t="s">
        <v>1014</v>
      </c>
      <c r="C502" s="23">
        <v>800000</v>
      </c>
    </row>
    <row r="503" spans="1:3" ht="13">
      <c r="A503" s="58" t="s">
        <v>1015</v>
      </c>
      <c r="B503" s="59" t="s">
        <v>1016</v>
      </c>
      <c r="C503" s="23">
        <v>800000</v>
      </c>
    </row>
    <row r="504" spans="1:3" ht="13">
      <c r="A504" s="58" t="s">
        <v>1017</v>
      </c>
      <c r="B504" s="59" t="s">
        <v>1018</v>
      </c>
      <c r="C504" s="23">
        <v>900000</v>
      </c>
    </row>
    <row r="505" spans="1:3" ht="13">
      <c r="A505" s="58" t="s">
        <v>1019</v>
      </c>
      <c r="B505" s="59" t="s">
        <v>1020</v>
      </c>
      <c r="C505" s="23">
        <v>900000</v>
      </c>
    </row>
    <row r="506" spans="1:3" ht="13">
      <c r="A506" s="58" t="s">
        <v>1021</v>
      </c>
      <c r="B506" s="59" t="s">
        <v>1022</v>
      </c>
      <c r="C506" s="23">
        <v>800000</v>
      </c>
    </row>
    <row r="507" spans="1:3" ht="13">
      <c r="A507" s="58" t="s">
        <v>1023</v>
      </c>
      <c r="B507" s="59" t="s">
        <v>1024</v>
      </c>
      <c r="C507" s="23">
        <v>800000</v>
      </c>
    </row>
    <row r="508" spans="1:3" ht="13">
      <c r="A508" s="58" t="s">
        <v>1025</v>
      </c>
      <c r="B508" s="59" t="s">
        <v>1026</v>
      </c>
      <c r="C508" s="23">
        <v>800000</v>
      </c>
    </row>
    <row r="509" spans="1:3" ht="13">
      <c r="A509" s="58" t="s">
        <v>1027</v>
      </c>
      <c r="B509" s="59" t="s">
        <v>1028</v>
      </c>
      <c r="C509" s="23">
        <v>800000</v>
      </c>
    </row>
    <row r="510" spans="1:3" ht="13">
      <c r="A510" s="58" t="s">
        <v>1029</v>
      </c>
      <c r="B510" s="59" t="s">
        <v>1030</v>
      </c>
      <c r="C510" s="23">
        <v>1000000</v>
      </c>
    </row>
    <row r="511" spans="1:3" ht="13">
      <c r="A511" s="58" t="s">
        <v>1031</v>
      </c>
      <c r="B511" s="59" t="s">
        <v>1032</v>
      </c>
      <c r="C511" s="23">
        <v>900000</v>
      </c>
    </row>
    <row r="512" spans="1:3" ht="13">
      <c r="A512" s="58" t="s">
        <v>1033</v>
      </c>
      <c r="B512" s="59" t="s">
        <v>1034</v>
      </c>
      <c r="C512" s="23">
        <v>800000</v>
      </c>
    </row>
    <row r="513" spans="1:3" ht="13">
      <c r="A513" s="58" t="s">
        <v>1035</v>
      </c>
      <c r="B513" s="59" t="s">
        <v>1036</v>
      </c>
      <c r="C513" s="23">
        <v>1000000</v>
      </c>
    </row>
    <row r="514" spans="1:3" ht="13">
      <c r="A514" s="60" t="s">
        <v>1037</v>
      </c>
      <c r="B514" s="61" t="s">
        <v>1038</v>
      </c>
      <c r="C514" s="23">
        <v>800000</v>
      </c>
    </row>
    <row r="515" spans="1:3" ht="13">
      <c r="A515" s="60" t="s">
        <v>1039</v>
      </c>
      <c r="B515" s="61" t="s">
        <v>1040</v>
      </c>
      <c r="C515" s="23">
        <v>800000</v>
      </c>
    </row>
    <row r="516" spans="1:3" ht="13">
      <c r="A516" s="60" t="s">
        <v>1041</v>
      </c>
      <c r="B516" s="61" t="s">
        <v>1042</v>
      </c>
      <c r="C516" s="23">
        <v>800000</v>
      </c>
    </row>
    <row r="517" spans="1:3" ht="13">
      <c r="A517" s="60" t="s">
        <v>1043</v>
      </c>
      <c r="B517" s="61" t="s">
        <v>1044</v>
      </c>
      <c r="C517" s="23">
        <v>800000</v>
      </c>
    </row>
    <row r="518" spans="1:3" ht="13">
      <c r="A518" s="60" t="s">
        <v>1045</v>
      </c>
      <c r="B518" s="61" t="s">
        <v>1046</v>
      </c>
      <c r="C518" s="23">
        <v>800000</v>
      </c>
    </row>
    <row r="519" spans="1:3" ht="13">
      <c r="A519" s="60" t="s">
        <v>1047</v>
      </c>
      <c r="B519" s="61" t="s">
        <v>1048</v>
      </c>
      <c r="C519" s="23">
        <v>800000</v>
      </c>
    </row>
    <row r="520" spans="1:3" ht="13">
      <c r="A520" s="60" t="s">
        <v>1049</v>
      </c>
      <c r="B520" s="61" t="s">
        <v>1050</v>
      </c>
      <c r="C520" s="23">
        <v>800000</v>
      </c>
    </row>
    <row r="521" spans="1:3" ht="13">
      <c r="A521" s="60" t="s">
        <v>1051</v>
      </c>
      <c r="B521" s="61" t="s">
        <v>1052</v>
      </c>
      <c r="C521" s="23">
        <v>800000</v>
      </c>
    </row>
    <row r="522" spans="1:3" ht="13">
      <c r="A522" s="60" t="s">
        <v>1053</v>
      </c>
      <c r="B522" s="61" t="s">
        <v>1054</v>
      </c>
      <c r="C522" s="23">
        <v>800000</v>
      </c>
    </row>
    <row r="523" spans="1:3" ht="13">
      <c r="A523" s="60" t="s">
        <v>1055</v>
      </c>
      <c r="B523" s="61" t="s">
        <v>1056</v>
      </c>
      <c r="C523" s="23">
        <v>800000</v>
      </c>
    </row>
    <row r="524" spans="1:3" ht="13">
      <c r="A524" s="60" t="s">
        <v>1057</v>
      </c>
      <c r="B524" s="61" t="s">
        <v>1058</v>
      </c>
      <c r="C524" s="23">
        <v>800000</v>
      </c>
    </row>
    <row r="525" spans="1:3" ht="13">
      <c r="A525" s="60" t="s">
        <v>1059</v>
      </c>
      <c r="B525" s="61" t="s">
        <v>1060</v>
      </c>
      <c r="C525" s="23">
        <v>800000</v>
      </c>
    </row>
    <row r="526" spans="1:3" ht="13">
      <c r="A526" s="60" t="s">
        <v>1061</v>
      </c>
      <c r="B526" s="61" t="s">
        <v>1062</v>
      </c>
      <c r="C526" s="23">
        <v>800000</v>
      </c>
    </row>
    <row r="527" spans="1:3" ht="13">
      <c r="A527" s="60" t="s">
        <v>1063</v>
      </c>
      <c r="B527" s="61" t="s">
        <v>1064</v>
      </c>
      <c r="C527" s="23">
        <v>900000</v>
      </c>
    </row>
    <row r="528" spans="1:3" ht="13">
      <c r="A528" s="60" t="s">
        <v>1065</v>
      </c>
      <c r="B528" s="61" t="s">
        <v>1066</v>
      </c>
      <c r="C528" s="23">
        <v>900000</v>
      </c>
    </row>
    <row r="529" spans="1:3" ht="13">
      <c r="A529" s="60" t="s">
        <v>1067</v>
      </c>
      <c r="B529" s="61" t="s">
        <v>1068</v>
      </c>
      <c r="C529" s="23">
        <v>400000</v>
      </c>
    </row>
    <row r="530" spans="1:3" ht="13">
      <c r="A530" s="60" t="s">
        <v>1069</v>
      </c>
      <c r="B530" s="61" t="s">
        <v>1070</v>
      </c>
      <c r="C530" s="23">
        <v>900000</v>
      </c>
    </row>
    <row r="531" spans="1:3" ht="13">
      <c r="A531" s="60" t="s">
        <v>1071</v>
      </c>
      <c r="B531" s="61" t="s">
        <v>1072</v>
      </c>
      <c r="C531" s="23">
        <v>900000</v>
      </c>
    </row>
    <row r="532" spans="1:3" ht="13">
      <c r="A532" s="60" t="s">
        <v>1073</v>
      </c>
      <c r="B532" s="61" t="s">
        <v>1074</v>
      </c>
      <c r="C532" s="23">
        <v>400000</v>
      </c>
    </row>
    <row r="533" spans="1:3" ht="13">
      <c r="A533" s="60" t="s">
        <v>1075</v>
      </c>
      <c r="B533" s="61" t="s">
        <v>1076</v>
      </c>
      <c r="C533" s="23">
        <v>900000</v>
      </c>
    </row>
    <row r="534" spans="1:3" ht="13">
      <c r="A534" s="5" t="s">
        <v>1077</v>
      </c>
      <c r="B534" s="6" t="s">
        <v>1078</v>
      </c>
      <c r="C534" s="23">
        <v>800000</v>
      </c>
    </row>
    <row r="535" spans="1:3" ht="13">
      <c r="A535" s="54" t="s">
        <v>1079</v>
      </c>
      <c r="B535" s="55" t="s">
        <v>1080</v>
      </c>
      <c r="C535" s="23">
        <v>800000</v>
      </c>
    </row>
    <row r="536" spans="1:3" ht="13">
      <c r="A536" s="54" t="s">
        <v>1081</v>
      </c>
      <c r="B536" s="55" t="s">
        <v>1082</v>
      </c>
      <c r="C536" s="23">
        <v>800000</v>
      </c>
    </row>
    <row r="537" spans="1:3" ht="13">
      <c r="A537" s="54" t="s">
        <v>1083</v>
      </c>
      <c r="B537" s="55" t="s">
        <v>1084</v>
      </c>
      <c r="C537" s="23">
        <v>800000</v>
      </c>
    </row>
    <row r="538" spans="1:3" ht="13">
      <c r="A538" s="54" t="s">
        <v>1085</v>
      </c>
      <c r="B538" s="55" t="s">
        <v>1086</v>
      </c>
      <c r="C538" s="23">
        <v>800000</v>
      </c>
    </row>
    <row r="539" spans="1:3" ht="13">
      <c r="A539" s="54" t="s">
        <v>1087</v>
      </c>
      <c r="B539" s="55" t="s">
        <v>1088</v>
      </c>
      <c r="C539" s="23">
        <v>800000</v>
      </c>
    </row>
    <row r="540" spans="1:3" ht="13">
      <c r="A540" s="54" t="s">
        <v>1089</v>
      </c>
      <c r="B540" s="55" t="s">
        <v>1090</v>
      </c>
      <c r="C540" s="23">
        <v>800000</v>
      </c>
    </row>
    <row r="541" spans="1:3" ht="13">
      <c r="A541" s="54" t="s">
        <v>1091</v>
      </c>
      <c r="B541" s="55" t="s">
        <v>1092</v>
      </c>
      <c r="C541" s="23">
        <v>800000</v>
      </c>
    </row>
    <row r="542" spans="1:3" ht="13">
      <c r="A542" s="54" t="s">
        <v>1093</v>
      </c>
      <c r="B542" s="55" t="s">
        <v>1094</v>
      </c>
      <c r="C542" s="23">
        <v>900000</v>
      </c>
    </row>
    <row r="543" spans="1:3" ht="13">
      <c r="A543" s="5" t="s">
        <v>1095</v>
      </c>
      <c r="B543" s="6" t="s">
        <v>1096</v>
      </c>
      <c r="C543" s="23">
        <v>800000</v>
      </c>
    </row>
    <row r="544" spans="1:3" ht="13">
      <c r="A544" s="5" t="s">
        <v>1097</v>
      </c>
      <c r="B544" s="6" t="s">
        <v>1098</v>
      </c>
      <c r="C544" s="23">
        <v>800000</v>
      </c>
    </row>
    <row r="545" spans="1:3" ht="13">
      <c r="A545" s="5" t="s">
        <v>1099</v>
      </c>
      <c r="B545" s="6" t="s">
        <v>1100</v>
      </c>
      <c r="C545" s="23">
        <v>800000</v>
      </c>
    </row>
    <row r="546" spans="1:3" ht="13">
      <c r="A546" s="5" t="s">
        <v>1101</v>
      </c>
      <c r="B546" s="6" t="s">
        <v>1102</v>
      </c>
      <c r="C546" s="23">
        <v>800000</v>
      </c>
    </row>
    <row r="547" spans="1:3" ht="13">
      <c r="A547" s="5" t="s">
        <v>1103</v>
      </c>
      <c r="B547" s="6" t="s">
        <v>1104</v>
      </c>
      <c r="C547" s="23">
        <v>800000</v>
      </c>
    </row>
    <row r="548" spans="1:3" ht="13">
      <c r="A548" s="54" t="s">
        <v>1105</v>
      </c>
      <c r="B548" s="55" t="s">
        <v>1106</v>
      </c>
      <c r="C548" s="23">
        <v>800000</v>
      </c>
    </row>
    <row r="549" spans="1:3" ht="13">
      <c r="A549" s="54" t="s">
        <v>1107</v>
      </c>
      <c r="B549" s="55" t="s">
        <v>1108</v>
      </c>
      <c r="C549" s="23">
        <v>800000</v>
      </c>
    </row>
    <row r="550" spans="1:3" ht="13">
      <c r="A550" s="54" t="s">
        <v>1109</v>
      </c>
      <c r="B550" s="55" t="s">
        <v>1110</v>
      </c>
      <c r="C550" s="23">
        <v>800000</v>
      </c>
    </row>
    <row r="551" spans="1:3" ht="13">
      <c r="A551" s="54" t="s">
        <v>1111</v>
      </c>
      <c r="B551" s="55" t="s">
        <v>1112</v>
      </c>
      <c r="C551" s="23">
        <v>900000</v>
      </c>
    </row>
    <row r="552" spans="1:3" ht="13">
      <c r="A552" s="54" t="s">
        <v>1113</v>
      </c>
      <c r="B552" s="55" t="s">
        <v>1114</v>
      </c>
      <c r="C552" s="23">
        <v>800000</v>
      </c>
    </row>
    <row r="553" spans="1:3" ht="13">
      <c r="A553" s="54" t="s">
        <v>1115</v>
      </c>
      <c r="B553" s="55" t="s">
        <v>1116</v>
      </c>
      <c r="C553" s="23">
        <v>800000</v>
      </c>
    </row>
    <row r="555" spans="1:3" ht="13">
      <c r="A555" s="5" t="s">
        <v>1117</v>
      </c>
      <c r="B555" s="6" t="s">
        <v>1118</v>
      </c>
      <c r="C555" s="23">
        <v>800000</v>
      </c>
    </row>
    <row r="556" spans="1:3" ht="13">
      <c r="A556" s="5" t="s">
        <v>140</v>
      </c>
      <c r="B556" s="6" t="s">
        <v>1119</v>
      </c>
      <c r="C556" s="23">
        <v>800000</v>
      </c>
    </row>
    <row r="557" spans="1:3" ht="13">
      <c r="A557" s="5" t="s">
        <v>1120</v>
      </c>
      <c r="B557" s="6" t="s">
        <v>1121</v>
      </c>
      <c r="C557" s="23">
        <v>800000</v>
      </c>
    </row>
    <row r="558" spans="1:3" ht="13">
      <c r="A558" s="5" t="s">
        <v>1122</v>
      </c>
      <c r="B558" s="6" t="s">
        <v>1123</v>
      </c>
      <c r="C558" s="23">
        <v>800000</v>
      </c>
    </row>
    <row r="559" spans="1:3" ht="13">
      <c r="A559" s="5" t="s">
        <v>1124</v>
      </c>
      <c r="B559" s="6" t="s">
        <v>1125</v>
      </c>
      <c r="C559" s="23">
        <v>800000</v>
      </c>
    </row>
    <row r="560" spans="1:3" ht="13">
      <c r="A560" s="5" t="s">
        <v>1126</v>
      </c>
      <c r="B560" s="6" t="s">
        <v>1127</v>
      </c>
      <c r="C560" s="23">
        <v>800000</v>
      </c>
    </row>
    <row r="561" spans="1:3" ht="13">
      <c r="A561" s="5" t="s">
        <v>1128</v>
      </c>
      <c r="B561" s="6" t="s">
        <v>1129</v>
      </c>
      <c r="C561" s="23">
        <v>800000</v>
      </c>
    </row>
    <row r="562" spans="1:3" ht="13">
      <c r="A562" s="62" t="s">
        <v>1130</v>
      </c>
      <c r="B562" s="63" t="s">
        <v>1131</v>
      </c>
      <c r="C562" s="23">
        <v>800000</v>
      </c>
    </row>
    <row r="563" spans="1:3" ht="13">
      <c r="A563" s="62" t="s">
        <v>1132</v>
      </c>
      <c r="B563" s="63" t="s">
        <v>1133</v>
      </c>
      <c r="C563" s="23">
        <v>800000</v>
      </c>
    </row>
    <row r="564" spans="1:3" ht="13">
      <c r="A564" s="62" t="s">
        <v>1134</v>
      </c>
      <c r="B564" s="63" t="s">
        <v>1135</v>
      </c>
      <c r="C564" s="64">
        <v>900000</v>
      </c>
    </row>
    <row r="565" spans="1:3" ht="13">
      <c r="A565" s="62" t="s">
        <v>1136</v>
      </c>
      <c r="B565" s="63" t="s">
        <v>1137</v>
      </c>
      <c r="C565" s="23">
        <v>800000</v>
      </c>
    </row>
    <row r="566" spans="1:3" ht="13">
      <c r="A566" s="62" t="s">
        <v>1138</v>
      </c>
      <c r="B566" s="63" t="s">
        <v>1139</v>
      </c>
      <c r="C566" s="23">
        <v>800000</v>
      </c>
    </row>
    <row r="567" spans="1:3" ht="13">
      <c r="A567" s="62" t="s">
        <v>1140</v>
      </c>
      <c r="B567" s="63" t="s">
        <v>1141</v>
      </c>
      <c r="C567" s="64">
        <v>900000</v>
      </c>
    </row>
    <row r="568" spans="1:3" ht="13">
      <c r="A568" s="62" t="s">
        <v>1142</v>
      </c>
      <c r="B568" s="65" t="s">
        <v>1143</v>
      </c>
      <c r="C568" s="66">
        <v>800000</v>
      </c>
    </row>
    <row r="569" spans="1:3" ht="13">
      <c r="A569" s="67"/>
      <c r="B569" s="67" t="s">
        <v>1144</v>
      </c>
      <c r="C569" s="66"/>
    </row>
    <row r="570" spans="1:3" ht="13">
      <c r="A570" s="62" t="s">
        <v>1145</v>
      </c>
      <c r="B570" s="63" t="s">
        <v>1146</v>
      </c>
      <c r="C570" s="68">
        <v>950000</v>
      </c>
    </row>
    <row r="571" spans="1:3" ht="13">
      <c r="A571" s="62" t="s">
        <v>1147</v>
      </c>
      <c r="B571" s="63" t="s">
        <v>1148</v>
      </c>
      <c r="C571" s="68">
        <v>1500000</v>
      </c>
    </row>
    <row r="572" spans="1:3" ht="13">
      <c r="A572" s="62" t="s">
        <v>1149</v>
      </c>
      <c r="B572" s="63" t="s">
        <v>1150</v>
      </c>
      <c r="C572" s="68">
        <v>1500000</v>
      </c>
    </row>
    <row r="573" spans="1:3" ht="13">
      <c r="A573" s="62" t="s">
        <v>1151</v>
      </c>
      <c r="B573" s="63" t="s">
        <v>1152</v>
      </c>
      <c r="C573" s="68">
        <v>1400000</v>
      </c>
    </row>
    <row r="574" spans="1:3" ht="13">
      <c r="A574" s="62" t="s">
        <v>1153</v>
      </c>
      <c r="B574" s="63" t="s">
        <v>1154</v>
      </c>
      <c r="C574" s="68">
        <v>1500000</v>
      </c>
    </row>
    <row r="575" spans="1:3" ht="13">
      <c r="A575" s="62" t="s">
        <v>1155</v>
      </c>
      <c r="B575" s="63" t="s">
        <v>1156</v>
      </c>
      <c r="C575" s="68">
        <v>1500000</v>
      </c>
    </row>
    <row r="576" spans="1:3" ht="13">
      <c r="A576" s="62" t="s">
        <v>1157</v>
      </c>
      <c r="B576" s="63" t="s">
        <v>1158</v>
      </c>
      <c r="C576" s="68">
        <v>1500000</v>
      </c>
    </row>
    <row r="577" spans="1:3" ht="13">
      <c r="A577" s="62" t="s">
        <v>1159</v>
      </c>
      <c r="B577" s="63" t="s">
        <v>1160</v>
      </c>
      <c r="C577" s="68">
        <v>1500000</v>
      </c>
    </row>
    <row r="578" spans="1:3" ht="13">
      <c r="A578" s="62" t="s">
        <v>1161</v>
      </c>
      <c r="B578" s="63" t="s">
        <v>1160</v>
      </c>
      <c r="C578" s="68">
        <v>1500000</v>
      </c>
    </row>
    <row r="579" spans="1:3" ht="13">
      <c r="A579" s="62" t="s">
        <v>1162</v>
      </c>
      <c r="B579" s="63" t="s">
        <v>1163</v>
      </c>
      <c r="C579" s="68">
        <v>1500000</v>
      </c>
    </row>
    <row r="580" spans="1:3" ht="13">
      <c r="A580" s="62" t="s">
        <v>1164</v>
      </c>
      <c r="B580" s="63" t="s">
        <v>1160</v>
      </c>
      <c r="C580" s="68">
        <v>1500000</v>
      </c>
    </row>
    <row r="581" spans="1:3" ht="13">
      <c r="A581" s="62" t="s">
        <v>1165</v>
      </c>
      <c r="B581" s="63" t="s">
        <v>1166</v>
      </c>
      <c r="C581" s="68">
        <v>1250000</v>
      </c>
    </row>
    <row r="582" spans="1:3" ht="13">
      <c r="A582" s="62"/>
      <c r="B582" s="63"/>
      <c r="C582" s="69"/>
    </row>
    <row r="583" spans="1:3" ht="13">
      <c r="A583" s="62"/>
      <c r="B583" s="63"/>
      <c r="C583" s="69"/>
    </row>
    <row r="584" spans="1:3" ht="13">
      <c r="A584" s="62" t="s">
        <v>1167</v>
      </c>
      <c r="B584" s="63" t="s">
        <v>1168</v>
      </c>
      <c r="C584" s="68">
        <v>1300000</v>
      </c>
    </row>
    <row r="585" spans="1:3" ht="13">
      <c r="A585" s="62" t="s">
        <v>1169</v>
      </c>
      <c r="B585" s="63" t="s">
        <v>1170</v>
      </c>
      <c r="C585" s="68">
        <v>1300000</v>
      </c>
    </row>
    <row r="586" spans="1:3" ht="13">
      <c r="A586" s="62" t="s">
        <v>1171</v>
      </c>
      <c r="B586" s="63" t="s">
        <v>1172</v>
      </c>
      <c r="C586" s="68">
        <v>1250000</v>
      </c>
    </row>
    <row r="587" spans="1:3" ht="13">
      <c r="A587" s="62" t="s">
        <v>1173</v>
      </c>
      <c r="B587" s="63" t="s">
        <v>1174</v>
      </c>
      <c r="C587" s="68">
        <v>1300000</v>
      </c>
    </row>
    <row r="588" spans="1:3" ht="13">
      <c r="A588" s="62" t="s">
        <v>1175</v>
      </c>
      <c r="B588" s="63" t="s">
        <v>1176</v>
      </c>
      <c r="C588" s="68">
        <v>1250000</v>
      </c>
    </row>
    <row r="589" spans="1:3" ht="13">
      <c r="A589" s="62" t="s">
        <v>1177</v>
      </c>
      <c r="B589" s="63" t="s">
        <v>1178</v>
      </c>
      <c r="C589" s="68">
        <v>1500000</v>
      </c>
    </row>
    <row r="590" spans="1:3" ht="13">
      <c r="A590" s="62" t="s">
        <v>1179</v>
      </c>
      <c r="B590" s="63" t="s">
        <v>1180</v>
      </c>
      <c r="C590" s="68">
        <v>1500000</v>
      </c>
    </row>
    <row r="591" spans="1:3" ht="13">
      <c r="A591" s="62" t="s">
        <v>1181</v>
      </c>
      <c r="B591" s="63" t="s">
        <v>1182</v>
      </c>
      <c r="C591" s="68">
        <v>1400000</v>
      </c>
    </row>
    <row r="592" spans="1:3" ht="13">
      <c r="A592" s="62" t="s">
        <v>1183</v>
      </c>
      <c r="B592" s="63" t="s">
        <v>1184</v>
      </c>
      <c r="C592" s="68">
        <v>1400000</v>
      </c>
    </row>
    <row r="593" spans="1:3" ht="13">
      <c r="A593" s="62" t="s">
        <v>1185</v>
      </c>
      <c r="B593" s="63" t="s">
        <v>1186</v>
      </c>
      <c r="C593" s="68">
        <v>1500000</v>
      </c>
    </row>
    <row r="594" spans="1:3" ht="13">
      <c r="A594" s="62" t="s">
        <v>1187</v>
      </c>
      <c r="B594" s="63" t="s">
        <v>1188</v>
      </c>
      <c r="C594" s="68">
        <v>1500000</v>
      </c>
    </row>
    <row r="595" spans="1:3" ht="13">
      <c r="A595" s="62" t="s">
        <v>1189</v>
      </c>
      <c r="B595" s="63" t="s">
        <v>1190</v>
      </c>
      <c r="C595" s="68">
        <v>1500000</v>
      </c>
    </row>
    <row r="596" spans="1:3" ht="13">
      <c r="A596" s="62" t="s">
        <v>1191</v>
      </c>
      <c r="B596" s="63" t="s">
        <v>1192</v>
      </c>
      <c r="C596" s="68">
        <v>950000</v>
      </c>
    </row>
    <row r="597" spans="1:3" ht="13">
      <c r="A597" s="62" t="s">
        <v>1193</v>
      </c>
      <c r="B597" s="63" t="s">
        <v>1194</v>
      </c>
      <c r="C597" s="68">
        <v>950000</v>
      </c>
    </row>
    <row r="598" spans="1:3" ht="13">
      <c r="A598" s="62" t="s">
        <v>1195</v>
      </c>
      <c r="B598" s="63" t="s">
        <v>1196</v>
      </c>
      <c r="C598" s="68">
        <v>950000</v>
      </c>
    </row>
    <row r="599" spans="1:3" ht="13">
      <c r="A599" s="62" t="s">
        <v>1197</v>
      </c>
      <c r="B599" s="63" t="s">
        <v>1158</v>
      </c>
      <c r="C599" s="68">
        <v>950000</v>
      </c>
    </row>
    <row r="600" spans="1:3" ht="13">
      <c r="A600" s="62"/>
      <c r="B600" s="63"/>
      <c r="C600" s="69"/>
    </row>
    <row r="601" spans="1:3" ht="13">
      <c r="A601" s="62" t="s">
        <v>1198</v>
      </c>
      <c r="B601" s="63" t="s">
        <v>1199</v>
      </c>
      <c r="C601" s="68">
        <v>950000</v>
      </c>
    </row>
    <row r="602" spans="1:3" ht="13">
      <c r="A602" s="62" t="s">
        <v>1200</v>
      </c>
      <c r="B602" s="63" t="s">
        <v>1158</v>
      </c>
      <c r="C602" s="68">
        <v>1000000</v>
      </c>
    </row>
    <row r="603" spans="1:3" ht="13">
      <c r="A603" s="62" t="s">
        <v>1201</v>
      </c>
      <c r="B603" s="63" t="s">
        <v>1202</v>
      </c>
      <c r="C603" s="68">
        <v>1000000</v>
      </c>
    </row>
    <row r="604" spans="1:3" ht="13">
      <c r="A604" s="62" t="s">
        <v>1203</v>
      </c>
      <c r="B604" s="63" t="s">
        <v>1202</v>
      </c>
      <c r="C604" s="68">
        <v>950000</v>
      </c>
    </row>
    <row r="605" spans="1:3" ht="13">
      <c r="A605" s="62" t="s">
        <v>1204</v>
      </c>
      <c r="B605" s="63" t="s">
        <v>1163</v>
      </c>
      <c r="C605" s="68">
        <v>950000</v>
      </c>
    </row>
    <row r="606" spans="1:3" ht="13">
      <c r="A606" s="62" t="s">
        <v>1205</v>
      </c>
      <c r="B606" s="63" t="s">
        <v>1158</v>
      </c>
      <c r="C606" s="68">
        <v>1300000</v>
      </c>
    </row>
    <row r="607" spans="1:3" ht="13">
      <c r="A607" s="62" t="s">
        <v>1206</v>
      </c>
      <c r="B607" s="63" t="s">
        <v>1207</v>
      </c>
      <c r="C607" s="68">
        <v>1300000</v>
      </c>
    </row>
    <row r="608" spans="1:3" ht="13">
      <c r="A608" s="62" t="s">
        <v>1208</v>
      </c>
      <c r="B608" s="63" t="s">
        <v>1207</v>
      </c>
      <c r="C608" s="68">
        <v>1400000</v>
      </c>
    </row>
    <row r="609" spans="1:3" ht="13">
      <c r="A609" s="62" t="s">
        <v>1209</v>
      </c>
      <c r="B609" s="63" t="s">
        <v>1210</v>
      </c>
      <c r="C609" s="68">
        <v>1400000</v>
      </c>
    </row>
    <row r="610" spans="1:3" ht="13">
      <c r="A610" s="62" t="s">
        <v>1211</v>
      </c>
      <c r="B610" s="63" t="s">
        <v>1212</v>
      </c>
      <c r="C610" s="68">
        <v>1100000</v>
      </c>
    </row>
    <row r="611" spans="1:3" ht="13">
      <c r="A611" s="62" t="s">
        <v>1213</v>
      </c>
      <c r="B611" s="63" t="s">
        <v>1163</v>
      </c>
      <c r="C611" s="68">
        <v>1100000</v>
      </c>
    </row>
    <row r="612" spans="1:3" ht="13">
      <c r="A612" s="62" t="s">
        <v>1214</v>
      </c>
      <c r="B612" s="63" t="s">
        <v>1215</v>
      </c>
      <c r="C612" s="68">
        <v>1200000</v>
      </c>
    </row>
    <row r="613" spans="1:3" ht="13">
      <c r="A613" s="62" t="s">
        <v>1216</v>
      </c>
      <c r="B613" s="63" t="s">
        <v>1217</v>
      </c>
      <c r="C613" s="68">
        <v>1250000</v>
      </c>
    </row>
    <row r="614" spans="1:3" ht="13">
      <c r="A614" s="62" t="s">
        <v>1218</v>
      </c>
      <c r="B614" s="65" t="s">
        <v>1219</v>
      </c>
      <c r="C614" s="68">
        <v>1250000</v>
      </c>
    </row>
    <row r="615" spans="1:3" ht="13">
      <c r="A615" s="62"/>
      <c r="B615" s="63"/>
      <c r="C615" s="69"/>
    </row>
    <row r="616" spans="1:3" ht="13">
      <c r="A616" s="62" t="s">
        <v>1220</v>
      </c>
      <c r="B616" s="63" t="s">
        <v>1221</v>
      </c>
      <c r="C616" s="68">
        <v>1200000</v>
      </c>
    </row>
    <row r="617" spans="1:3" ht="13">
      <c r="A617" s="62"/>
      <c r="B617" s="63"/>
      <c r="C617" s="69"/>
    </row>
    <row r="618" spans="1:3" ht="13">
      <c r="A618" s="62" t="s">
        <v>1222</v>
      </c>
      <c r="B618" s="63" t="s">
        <v>1215</v>
      </c>
      <c r="C618" s="68">
        <v>1200000</v>
      </c>
    </row>
    <row r="619" spans="1:3" ht="13">
      <c r="A619" s="62" t="s">
        <v>1223</v>
      </c>
      <c r="B619" s="63" t="s">
        <v>1224</v>
      </c>
      <c r="C619" s="68">
        <v>1100000</v>
      </c>
    </row>
    <row r="620" spans="1:3" ht="13">
      <c r="A620" s="62" t="s">
        <v>1225</v>
      </c>
      <c r="B620" s="63" t="s">
        <v>1226</v>
      </c>
      <c r="C620" s="68">
        <v>1100000</v>
      </c>
    </row>
    <row r="621" spans="1:3" ht="13">
      <c r="A621" s="62" t="s">
        <v>1227</v>
      </c>
      <c r="B621" s="63" t="s">
        <v>1228</v>
      </c>
      <c r="C621" s="68">
        <v>1400000</v>
      </c>
    </row>
    <row r="622" spans="1:3" ht="13">
      <c r="A622" s="62" t="s">
        <v>1229</v>
      </c>
      <c r="B622" s="63" t="s">
        <v>1230</v>
      </c>
      <c r="C622" s="68">
        <v>1400000</v>
      </c>
    </row>
    <row r="623" spans="1:3" ht="13">
      <c r="A623" s="62" t="s">
        <v>1231</v>
      </c>
      <c r="B623" s="63" t="s">
        <v>1217</v>
      </c>
      <c r="C623" s="68">
        <v>1200000</v>
      </c>
    </row>
    <row r="624" spans="1:3" ht="13">
      <c r="A624" s="62" t="s">
        <v>1232</v>
      </c>
      <c r="B624" s="63" t="s">
        <v>1233</v>
      </c>
      <c r="C624" s="68">
        <v>950000</v>
      </c>
    </row>
    <row r="625" spans="1:3" ht="13">
      <c r="A625" s="62" t="s">
        <v>1234</v>
      </c>
      <c r="B625" s="63" t="s">
        <v>1235</v>
      </c>
      <c r="C625" s="68">
        <v>950000</v>
      </c>
    </row>
    <row r="626" spans="1:3" ht="13">
      <c r="A626" s="62" t="s">
        <v>1236</v>
      </c>
      <c r="B626" s="63" t="s">
        <v>1237</v>
      </c>
      <c r="C626" s="70">
        <v>1100000</v>
      </c>
    </row>
    <row r="627" spans="1:3" ht="13">
      <c r="A627" s="62" t="s">
        <v>1238</v>
      </c>
      <c r="B627" s="63" t="s">
        <v>1239</v>
      </c>
      <c r="C627" s="70">
        <v>1100000</v>
      </c>
    </row>
    <row r="628" spans="1:3" ht="13">
      <c r="A628" s="62" t="s">
        <v>1240</v>
      </c>
      <c r="B628" s="63" t="s">
        <v>1241</v>
      </c>
      <c r="C628" s="68">
        <v>950000</v>
      </c>
    </row>
    <row r="629" spans="1:3" ht="13">
      <c r="A629" s="62" t="s">
        <v>1242</v>
      </c>
      <c r="B629" s="63" t="s">
        <v>1243</v>
      </c>
      <c r="C629" s="68">
        <v>950000</v>
      </c>
    </row>
    <row r="630" spans="1:3" ht="13">
      <c r="A630" s="62" t="s">
        <v>1244</v>
      </c>
      <c r="B630" s="63" t="s">
        <v>1245</v>
      </c>
      <c r="C630" s="68">
        <v>950000</v>
      </c>
    </row>
    <row r="631" spans="1:3" ht="13">
      <c r="A631" s="62" t="s">
        <v>1246</v>
      </c>
      <c r="B631" s="63" t="s">
        <v>1247</v>
      </c>
      <c r="C631" s="68">
        <v>950000</v>
      </c>
    </row>
    <row r="632" spans="1:3" ht="13">
      <c r="A632" s="62" t="s">
        <v>1248</v>
      </c>
      <c r="B632" s="63" t="s">
        <v>1158</v>
      </c>
      <c r="C632" s="68">
        <v>950000</v>
      </c>
    </row>
    <row r="633" spans="1:3" ht="13">
      <c r="A633" s="62" t="s">
        <v>1249</v>
      </c>
      <c r="B633" s="63" t="s">
        <v>1250</v>
      </c>
      <c r="C633" s="68">
        <v>950000</v>
      </c>
    </row>
    <row r="634" spans="1:3" ht="13">
      <c r="A634" s="62" t="s">
        <v>1251</v>
      </c>
      <c r="B634" s="63" t="s">
        <v>1252</v>
      </c>
      <c r="C634" s="68">
        <v>950000</v>
      </c>
    </row>
    <row r="635" spans="1:3" ht="13">
      <c r="A635" s="62" t="s">
        <v>1253</v>
      </c>
      <c r="B635" s="65" t="s">
        <v>1254</v>
      </c>
      <c r="C635" s="68">
        <v>950000</v>
      </c>
    </row>
    <row r="636" spans="1:3" ht="13">
      <c r="A636" s="62" t="s">
        <v>1255</v>
      </c>
      <c r="B636" s="63" t="s">
        <v>1256</v>
      </c>
      <c r="C636" s="68">
        <v>1000000</v>
      </c>
    </row>
    <row r="637" spans="1:3" ht="13">
      <c r="A637" s="62" t="s">
        <v>1257</v>
      </c>
      <c r="B637" s="63" t="s">
        <v>1258</v>
      </c>
      <c r="C637" s="68">
        <v>1000000</v>
      </c>
    </row>
    <row r="638" spans="1:3" ht="13">
      <c r="A638" s="62" t="s">
        <v>1259</v>
      </c>
      <c r="B638" s="63" t="s">
        <v>1260</v>
      </c>
      <c r="C638" s="68">
        <v>1000000</v>
      </c>
    </row>
    <row r="639" spans="1:3" ht="13">
      <c r="A639" s="62" t="s">
        <v>1261</v>
      </c>
      <c r="B639" s="63" t="s">
        <v>1262</v>
      </c>
      <c r="C639" s="68">
        <v>1500000</v>
      </c>
    </row>
    <row r="640" spans="1:3" ht="13">
      <c r="A640" s="62" t="s">
        <v>1263</v>
      </c>
      <c r="B640" s="63" t="s">
        <v>1264</v>
      </c>
      <c r="C640" s="68">
        <v>1300000</v>
      </c>
    </row>
    <row r="641" spans="1:3" ht="13">
      <c r="A641" s="62" t="s">
        <v>1265</v>
      </c>
      <c r="B641" s="63" t="s">
        <v>1266</v>
      </c>
      <c r="C641" s="68">
        <v>1200000</v>
      </c>
    </row>
    <row r="642" spans="1:3" ht="13">
      <c r="A642" s="62" t="s">
        <v>1267</v>
      </c>
      <c r="B642" s="65" t="s">
        <v>1268</v>
      </c>
      <c r="C642" s="68">
        <v>1000000</v>
      </c>
    </row>
    <row r="643" spans="1:3" ht="13">
      <c r="A643" s="62"/>
      <c r="B643" s="63"/>
      <c r="C643" s="69"/>
    </row>
    <row r="644" spans="1:3" ht="13">
      <c r="A644" s="62"/>
      <c r="B644" s="63"/>
      <c r="C644" s="69"/>
    </row>
    <row r="645" spans="1:3" ht="13">
      <c r="A645" s="62" t="s">
        <v>1269</v>
      </c>
      <c r="B645" s="63" t="s">
        <v>1270</v>
      </c>
      <c r="C645" s="68">
        <v>1000000</v>
      </c>
    </row>
    <row r="646" spans="1:3" ht="13">
      <c r="A646" s="62" t="s">
        <v>1271</v>
      </c>
      <c r="B646" s="63" t="s">
        <v>1272</v>
      </c>
      <c r="C646" s="68">
        <v>950000</v>
      </c>
    </row>
    <row r="647" spans="1:3" ht="13">
      <c r="A647" s="62" t="s">
        <v>1273</v>
      </c>
      <c r="B647" s="63" t="s">
        <v>1274</v>
      </c>
      <c r="C647" s="68">
        <v>950000</v>
      </c>
    </row>
    <row r="648" spans="1:3" ht="13">
      <c r="A648" s="62" t="s">
        <v>1275</v>
      </c>
      <c r="B648" s="63" t="s">
        <v>1276</v>
      </c>
      <c r="C648" s="68">
        <v>1100000</v>
      </c>
    </row>
    <row r="649" spans="1:3" ht="13">
      <c r="A649" s="62" t="s">
        <v>1277</v>
      </c>
      <c r="B649" s="63" t="s">
        <v>1277</v>
      </c>
      <c r="C649" s="68">
        <v>1500000</v>
      </c>
    </row>
    <row r="650" spans="1:3" ht="13">
      <c r="A650" s="62" t="s">
        <v>1278</v>
      </c>
      <c r="B650" s="63" t="s">
        <v>1276</v>
      </c>
      <c r="C650" s="68">
        <v>1400000</v>
      </c>
    </row>
    <row r="651" spans="1:3" ht="13">
      <c r="A651" s="62" t="s">
        <v>1279</v>
      </c>
      <c r="B651" s="63" t="s">
        <v>1280</v>
      </c>
      <c r="C651" s="68">
        <v>1400000</v>
      </c>
    </row>
    <row r="652" spans="1:3" ht="13">
      <c r="A652" s="62"/>
      <c r="B652" s="63"/>
      <c r="C652" s="69"/>
    </row>
    <row r="653" spans="1:3" ht="13">
      <c r="A653" s="62" t="s">
        <v>1281</v>
      </c>
      <c r="B653" s="63" t="s">
        <v>1282</v>
      </c>
      <c r="C653" s="68">
        <v>950000</v>
      </c>
    </row>
    <row r="654" spans="1:3" ht="13">
      <c r="A654" s="62" t="s">
        <v>1283</v>
      </c>
      <c r="B654" s="63" t="s">
        <v>1284</v>
      </c>
      <c r="C654" s="68">
        <v>950000</v>
      </c>
    </row>
    <row r="655" spans="1:3" ht="13">
      <c r="A655" s="62" t="s">
        <v>1285</v>
      </c>
      <c r="B655" s="63" t="s">
        <v>1286</v>
      </c>
      <c r="C655" s="68">
        <v>1500000</v>
      </c>
    </row>
    <row r="656" spans="1:3" ht="13">
      <c r="A656" s="62" t="s">
        <v>1287</v>
      </c>
      <c r="B656" s="63" t="s">
        <v>1288</v>
      </c>
      <c r="C656" s="68">
        <v>1500000</v>
      </c>
    </row>
    <row r="657" spans="1:3" ht="13">
      <c r="A657" s="62" t="s">
        <v>1289</v>
      </c>
      <c r="B657" s="63" t="s">
        <v>1290</v>
      </c>
      <c r="C657" s="68">
        <v>1400000</v>
      </c>
    </row>
    <row r="658" spans="1:3" ht="13">
      <c r="A658" s="62" t="s">
        <v>1291</v>
      </c>
      <c r="B658" s="63" t="s">
        <v>1292</v>
      </c>
      <c r="C658" s="68">
        <v>1400000</v>
      </c>
    </row>
    <row r="659" spans="1:3" ht="13">
      <c r="A659" s="62" t="s">
        <v>1293</v>
      </c>
      <c r="B659" s="63" t="s">
        <v>1294</v>
      </c>
      <c r="C659" s="68">
        <v>1100000</v>
      </c>
    </row>
    <row r="660" spans="1:3" ht="13">
      <c r="A660" s="62" t="s">
        <v>1295</v>
      </c>
      <c r="B660" s="63" t="s">
        <v>1296</v>
      </c>
      <c r="C660" s="68">
        <v>1100000</v>
      </c>
    </row>
    <row r="661" spans="1:3" ht="13">
      <c r="A661" s="62" t="s">
        <v>1297</v>
      </c>
      <c r="B661" s="63" t="s">
        <v>1163</v>
      </c>
      <c r="C661" s="68">
        <v>1150000</v>
      </c>
    </row>
    <row r="662" spans="1:3" ht="13">
      <c r="A662" s="62" t="s">
        <v>1298</v>
      </c>
      <c r="B662" s="63" t="s">
        <v>1299</v>
      </c>
      <c r="C662" s="68">
        <v>1150000</v>
      </c>
    </row>
    <row r="663" spans="1:3" ht="13">
      <c r="A663" s="62" t="s">
        <v>1300</v>
      </c>
      <c r="B663" s="63" t="s">
        <v>1301</v>
      </c>
      <c r="C663" s="68">
        <v>1000000</v>
      </c>
    </row>
    <row r="664" spans="1:3" ht="13">
      <c r="A664" s="62" t="s">
        <v>1302</v>
      </c>
      <c r="B664" s="63" t="s">
        <v>1303</v>
      </c>
      <c r="C664" s="68">
        <v>950000</v>
      </c>
    </row>
    <row r="665" spans="1:3" ht="13">
      <c r="A665" s="62" t="s">
        <v>1304</v>
      </c>
      <c r="B665" s="63" t="s">
        <v>1305</v>
      </c>
      <c r="C665" s="68">
        <v>1100000</v>
      </c>
    </row>
    <row r="666" spans="1:3" ht="13">
      <c r="A666" s="62" t="s">
        <v>1306</v>
      </c>
      <c r="B666" s="63" t="s">
        <v>1307</v>
      </c>
      <c r="C666" s="68">
        <v>1100000</v>
      </c>
    </row>
    <row r="667" spans="1:3" ht="13">
      <c r="A667" s="62" t="s">
        <v>1308</v>
      </c>
      <c r="B667" s="63" t="s">
        <v>1309</v>
      </c>
      <c r="C667" s="68">
        <v>1250000</v>
      </c>
    </row>
    <row r="668" spans="1:3" ht="13">
      <c r="A668" s="62" t="s">
        <v>1310</v>
      </c>
      <c r="B668" s="63" t="s">
        <v>1311</v>
      </c>
      <c r="C668" s="68">
        <v>1400000</v>
      </c>
    </row>
    <row r="669" spans="1:3" ht="13">
      <c r="A669" s="62" t="s">
        <v>1312</v>
      </c>
      <c r="B669" s="63" t="s">
        <v>1277</v>
      </c>
      <c r="C669" s="68">
        <v>1400000</v>
      </c>
    </row>
    <row r="670" spans="1:3" ht="13">
      <c r="A670" s="62" t="s">
        <v>1313</v>
      </c>
      <c r="B670" s="63" t="s">
        <v>1277</v>
      </c>
      <c r="C670" s="68">
        <v>1500000</v>
      </c>
    </row>
    <row r="671" spans="1:3" ht="13">
      <c r="A671" s="62" t="s">
        <v>1314</v>
      </c>
      <c r="B671" s="63" t="s">
        <v>1158</v>
      </c>
      <c r="C671" s="68">
        <v>1500000</v>
      </c>
    </row>
    <row r="672" spans="1:3" ht="13">
      <c r="A672" s="62" t="s">
        <v>1315</v>
      </c>
      <c r="B672" s="63" t="s">
        <v>1277</v>
      </c>
      <c r="C672" s="68">
        <v>1500000</v>
      </c>
    </row>
    <row r="673" spans="1:3" ht="13">
      <c r="A673" s="71" t="s">
        <v>1316</v>
      </c>
      <c r="B673" s="72" t="s">
        <v>1317</v>
      </c>
      <c r="C673" s="73">
        <v>1100000</v>
      </c>
    </row>
    <row r="674" spans="1:3" ht="13">
      <c r="A674" s="62" t="s">
        <v>1318</v>
      </c>
      <c r="B674" s="63" t="s">
        <v>1163</v>
      </c>
      <c r="C674" s="68">
        <v>1500000</v>
      </c>
    </row>
    <row r="675" spans="1:3" ht="13">
      <c r="A675" s="62" t="s">
        <v>1319</v>
      </c>
      <c r="B675" s="63" t="s">
        <v>1277</v>
      </c>
      <c r="C675" s="68">
        <v>1300000</v>
      </c>
    </row>
    <row r="676" spans="1:3" ht="13">
      <c r="A676" s="62" t="s">
        <v>1320</v>
      </c>
      <c r="B676" s="63" t="s">
        <v>1277</v>
      </c>
      <c r="C676" s="68">
        <v>1500000</v>
      </c>
    </row>
    <row r="677" spans="1:3" ht="13">
      <c r="A677" s="62" t="s">
        <v>1321</v>
      </c>
      <c r="B677" s="63" t="s">
        <v>1277</v>
      </c>
      <c r="C677" s="68">
        <v>1500000</v>
      </c>
    </row>
    <row r="678" spans="1:3" ht="13">
      <c r="A678" s="62" t="s">
        <v>1322</v>
      </c>
      <c r="B678" s="63" t="s">
        <v>1277</v>
      </c>
      <c r="C678" s="68">
        <v>1500000</v>
      </c>
    </row>
    <row r="679" spans="1:3" ht="13">
      <c r="A679" s="62" t="s">
        <v>1323</v>
      </c>
      <c r="B679" s="63" t="s">
        <v>1324</v>
      </c>
      <c r="C679" s="68">
        <v>1100000</v>
      </c>
    </row>
    <row r="680" spans="1:3" ht="13">
      <c r="A680" s="62"/>
      <c r="B680" s="63"/>
      <c r="C680" s="69"/>
    </row>
    <row r="681" spans="1:3" ht="13">
      <c r="A681" s="62"/>
      <c r="B681" s="63"/>
      <c r="C681" s="69"/>
    </row>
    <row r="682" spans="1:3" ht="13">
      <c r="A682" s="62"/>
      <c r="B682" s="63"/>
      <c r="C682" s="69"/>
    </row>
    <row r="683" spans="1:3" ht="13">
      <c r="A683" s="62" t="s">
        <v>1325</v>
      </c>
      <c r="B683" s="63" t="s">
        <v>1326</v>
      </c>
      <c r="C683" s="68">
        <v>1500000</v>
      </c>
    </row>
    <row r="684" spans="1:3" ht="13">
      <c r="A684" s="62" t="s">
        <v>1327</v>
      </c>
      <c r="B684" s="63" t="s">
        <v>1328</v>
      </c>
      <c r="C684" s="68">
        <v>1500000</v>
      </c>
    </row>
    <row r="685" spans="1:3" ht="13">
      <c r="A685" s="62" t="s">
        <v>1329</v>
      </c>
      <c r="B685" s="63" t="s">
        <v>1277</v>
      </c>
      <c r="C685" s="68">
        <v>1500000</v>
      </c>
    </row>
    <row r="686" spans="1:3" ht="13">
      <c r="A686" s="62" t="s">
        <v>1330</v>
      </c>
      <c r="B686" s="63" t="s">
        <v>1158</v>
      </c>
      <c r="C686" s="68">
        <v>1000000</v>
      </c>
    </row>
    <row r="687" spans="1:3" ht="13">
      <c r="A687" s="62" t="s">
        <v>1331</v>
      </c>
      <c r="B687" s="63" t="s">
        <v>1326</v>
      </c>
      <c r="C687" s="68">
        <v>1000000</v>
      </c>
    </row>
    <row r="688" spans="1:3" ht="13">
      <c r="A688" s="62" t="s">
        <v>1332</v>
      </c>
      <c r="B688" s="63" t="s">
        <v>1163</v>
      </c>
      <c r="C688" s="68">
        <v>950000</v>
      </c>
    </row>
    <row r="689" spans="1:3" ht="13">
      <c r="A689" s="62" t="s">
        <v>1333</v>
      </c>
      <c r="B689" s="63" t="s">
        <v>1326</v>
      </c>
      <c r="C689" s="68">
        <v>950000</v>
      </c>
    </row>
    <row r="690" spans="1:3" ht="13">
      <c r="A690" s="62" t="s">
        <v>1334</v>
      </c>
      <c r="B690" s="63" t="s">
        <v>1158</v>
      </c>
      <c r="C690" s="68">
        <v>1100000</v>
      </c>
    </row>
    <row r="691" spans="1:3" ht="13">
      <c r="A691" s="62" t="s">
        <v>1335</v>
      </c>
      <c r="B691" s="63" t="s">
        <v>1309</v>
      </c>
      <c r="C691" s="68">
        <v>1100000</v>
      </c>
    </row>
    <row r="692" spans="1:3" ht="13">
      <c r="A692" s="62" t="s">
        <v>1336</v>
      </c>
      <c r="B692" s="63" t="s">
        <v>1163</v>
      </c>
      <c r="C692" s="68">
        <v>1200000</v>
      </c>
    </row>
    <row r="693" spans="1:3" ht="13">
      <c r="A693" s="62" t="s">
        <v>1337</v>
      </c>
      <c r="B693" s="63" t="s">
        <v>1309</v>
      </c>
      <c r="C693" s="68">
        <v>1200000</v>
      </c>
    </row>
    <row r="694" spans="1:3" ht="13">
      <c r="A694" s="62" t="s">
        <v>1338</v>
      </c>
      <c r="B694" s="63" t="s">
        <v>1309</v>
      </c>
      <c r="C694" s="68">
        <v>1200000</v>
      </c>
    </row>
    <row r="695" spans="1:3" ht="13">
      <c r="A695" s="62" t="s">
        <v>1339</v>
      </c>
      <c r="B695" s="63" t="s">
        <v>1210</v>
      </c>
      <c r="C695" s="68">
        <v>1200000</v>
      </c>
    </row>
    <row r="696" spans="1:3" ht="13">
      <c r="A696" s="62" t="s">
        <v>1340</v>
      </c>
      <c r="B696" s="63" t="s">
        <v>1158</v>
      </c>
      <c r="C696" s="68">
        <v>950000</v>
      </c>
    </row>
    <row r="697" spans="1:3" ht="13">
      <c r="A697" s="62" t="s">
        <v>1341</v>
      </c>
      <c r="B697" s="63" t="s">
        <v>1342</v>
      </c>
      <c r="C697" s="68">
        <v>950000</v>
      </c>
    </row>
    <row r="698" spans="1:3" ht="13">
      <c r="A698" s="62" t="s">
        <v>1343</v>
      </c>
      <c r="B698" s="63" t="s">
        <v>1344</v>
      </c>
      <c r="C698" s="68">
        <v>1500000</v>
      </c>
    </row>
    <row r="699" spans="1:3" ht="13">
      <c r="A699" s="62" t="s">
        <v>1345</v>
      </c>
      <c r="B699" s="63" t="s">
        <v>1346</v>
      </c>
      <c r="C699" s="68">
        <v>1500000</v>
      </c>
    </row>
    <row r="700" spans="1:3" ht="13">
      <c r="A700" s="62" t="s">
        <v>1347</v>
      </c>
      <c r="B700" s="63" t="s">
        <v>1346</v>
      </c>
      <c r="C700" s="68">
        <v>1400000</v>
      </c>
    </row>
    <row r="701" spans="1:3" ht="13">
      <c r="A701" s="62" t="s">
        <v>1348</v>
      </c>
      <c r="B701" s="63" t="s">
        <v>1346</v>
      </c>
      <c r="C701" s="69"/>
    </row>
    <row r="702" spans="1:3" ht="13">
      <c r="A702" s="62"/>
      <c r="B702" s="63"/>
      <c r="C702" s="69"/>
    </row>
    <row r="703" spans="1:3" ht="13">
      <c r="A703" s="67"/>
      <c r="B703" s="67" t="s">
        <v>1349</v>
      </c>
      <c r="C703" s="69"/>
    </row>
    <row r="704" spans="1:3" ht="13">
      <c r="A704" s="62" t="s">
        <v>1350</v>
      </c>
      <c r="B704" s="63" t="s">
        <v>1351</v>
      </c>
      <c r="C704" s="68">
        <v>1500000</v>
      </c>
    </row>
    <row r="705" spans="1:3" ht="13">
      <c r="A705" s="62" t="s">
        <v>1352</v>
      </c>
      <c r="B705" s="65" t="s">
        <v>1353</v>
      </c>
      <c r="C705" s="68">
        <v>1500000</v>
      </c>
    </row>
    <row r="706" spans="1:3" ht="13">
      <c r="A706" s="62" t="s">
        <v>1354</v>
      </c>
      <c r="B706" s="63" t="s">
        <v>1355</v>
      </c>
      <c r="C706" s="68">
        <v>1500000</v>
      </c>
    </row>
    <row r="707" spans="1:3" ht="13">
      <c r="A707" s="62" t="s">
        <v>1356</v>
      </c>
      <c r="B707" s="63" t="s">
        <v>1357</v>
      </c>
      <c r="C707" s="68">
        <v>1500000</v>
      </c>
    </row>
    <row r="708" spans="1:3" ht="13">
      <c r="A708" s="62" t="s">
        <v>1358</v>
      </c>
      <c r="B708" s="63" t="s">
        <v>1346</v>
      </c>
      <c r="C708" s="68">
        <v>1500000</v>
      </c>
    </row>
    <row r="709" spans="1:3" ht="13">
      <c r="A709" s="62" t="s">
        <v>1359</v>
      </c>
      <c r="B709" s="63" t="s">
        <v>1158</v>
      </c>
      <c r="C709" s="68">
        <v>1500000</v>
      </c>
    </row>
    <row r="710" spans="1:3" ht="13">
      <c r="A710" s="62" t="s">
        <v>1360</v>
      </c>
      <c r="B710" s="63" t="s">
        <v>1158</v>
      </c>
      <c r="C710" s="68">
        <v>1500000</v>
      </c>
    </row>
    <row r="711" spans="1:3" ht="13">
      <c r="A711" s="62" t="s">
        <v>1361</v>
      </c>
      <c r="B711" s="63" t="s">
        <v>1158</v>
      </c>
      <c r="C711" s="68">
        <v>1500000</v>
      </c>
    </row>
    <row r="712" spans="1:3" ht="13">
      <c r="A712" s="62" t="s">
        <v>1362</v>
      </c>
      <c r="B712" s="63" t="s">
        <v>1363</v>
      </c>
      <c r="C712" s="68">
        <v>1500000</v>
      </c>
    </row>
    <row r="713" spans="1:3" ht="13">
      <c r="A713" s="62" t="s">
        <v>1364</v>
      </c>
      <c r="B713" s="63" t="s">
        <v>1158</v>
      </c>
      <c r="C713" s="68">
        <v>1500000</v>
      </c>
    </row>
    <row r="714" spans="1:3" ht="13">
      <c r="A714" s="62" t="s">
        <v>1365</v>
      </c>
      <c r="B714" s="63" t="s">
        <v>1158</v>
      </c>
      <c r="C714" s="68">
        <v>1500000</v>
      </c>
    </row>
    <row r="715" spans="1:3" ht="13">
      <c r="A715" s="62" t="s">
        <v>1366</v>
      </c>
      <c r="B715" s="63" t="s">
        <v>1367</v>
      </c>
      <c r="C715" s="68">
        <v>1500000</v>
      </c>
    </row>
    <row r="716" spans="1:3" ht="13">
      <c r="A716" s="62" t="s">
        <v>1368</v>
      </c>
      <c r="B716" s="63" t="s">
        <v>1357</v>
      </c>
      <c r="C716" s="68">
        <v>1400000</v>
      </c>
    </row>
    <row r="717" spans="1:3" ht="13">
      <c r="A717" s="62"/>
      <c r="B717" s="67" t="s">
        <v>1369</v>
      </c>
      <c r="C717" s="69"/>
    </row>
    <row r="718" spans="1:3" ht="13">
      <c r="A718" s="62" t="s">
        <v>1370</v>
      </c>
      <c r="B718" s="63" t="s">
        <v>1371</v>
      </c>
      <c r="C718" s="69"/>
    </row>
    <row r="719" spans="1:3" ht="13">
      <c r="A719" s="62" t="s">
        <v>1372</v>
      </c>
      <c r="B719" s="63" t="s">
        <v>1158</v>
      </c>
      <c r="C719" s="69"/>
    </row>
    <row r="720" spans="1:3" ht="13">
      <c r="A720" s="62" t="s">
        <v>1373</v>
      </c>
      <c r="B720" s="63" t="s">
        <v>1328</v>
      </c>
      <c r="C720" s="69"/>
    </row>
    <row r="721" spans="1:3" ht="13">
      <c r="A721" s="62"/>
      <c r="B721" s="63"/>
      <c r="C721" s="69"/>
    </row>
    <row r="722" spans="1:3" ht="13">
      <c r="A722" s="62" t="s">
        <v>1374</v>
      </c>
      <c r="B722" s="63" t="s">
        <v>1163</v>
      </c>
      <c r="C722" s="69"/>
    </row>
    <row r="723" spans="1:3" ht="13">
      <c r="A723" s="62" t="s">
        <v>1375</v>
      </c>
      <c r="B723" s="63" t="s">
        <v>1376</v>
      </c>
      <c r="C723" s="68">
        <v>1200000</v>
      </c>
    </row>
    <row r="724" spans="1:3" ht="13">
      <c r="A724" s="62" t="s">
        <v>1377</v>
      </c>
      <c r="B724" s="63" t="s">
        <v>1163</v>
      </c>
      <c r="C724" s="68">
        <v>1500000</v>
      </c>
    </row>
    <row r="725" spans="1:3" ht="13">
      <c r="A725" s="67" t="s">
        <v>1378</v>
      </c>
      <c r="B725" s="65" t="s">
        <v>1346</v>
      </c>
      <c r="C725" s="68">
        <v>1500000</v>
      </c>
    </row>
    <row r="726" spans="1:3" ht="13">
      <c r="C726" s="74"/>
    </row>
    <row r="727" spans="1:3" ht="13">
      <c r="C727" s="74"/>
    </row>
    <row r="728" spans="1:3" ht="13">
      <c r="C728" s="74"/>
    </row>
    <row r="729" spans="1:3" ht="13">
      <c r="C729" s="74"/>
    </row>
    <row r="730" spans="1:3" ht="13">
      <c r="C730" s="74"/>
    </row>
    <row r="731" spans="1:3" ht="13">
      <c r="C731" s="74"/>
    </row>
    <row r="732" spans="1:3" ht="13">
      <c r="C732" s="74"/>
    </row>
    <row r="733" spans="1:3" ht="13">
      <c r="C733" s="74"/>
    </row>
    <row r="734" spans="1:3" ht="13">
      <c r="C734" s="74"/>
    </row>
    <row r="735" spans="1:3" ht="13">
      <c r="C735" s="74"/>
    </row>
    <row r="736" spans="1:3" ht="13">
      <c r="C736" s="74"/>
    </row>
    <row r="737" spans="3:3" ht="13">
      <c r="C737" s="74"/>
    </row>
    <row r="738" spans="3:3" ht="13">
      <c r="C738" s="74"/>
    </row>
    <row r="739" spans="3:3" ht="13">
      <c r="C739" s="74"/>
    </row>
    <row r="740" spans="3:3" ht="13">
      <c r="C740" s="74"/>
    </row>
    <row r="741" spans="3:3" ht="13">
      <c r="C741" s="74"/>
    </row>
    <row r="742" spans="3:3" ht="13">
      <c r="C742" s="74"/>
    </row>
    <row r="743" spans="3:3" ht="13">
      <c r="C743" s="74"/>
    </row>
    <row r="744" spans="3:3" ht="13">
      <c r="C744" s="74"/>
    </row>
    <row r="745" spans="3:3" ht="13">
      <c r="C745" s="74"/>
    </row>
    <row r="746" spans="3:3" ht="13">
      <c r="C746" s="74"/>
    </row>
    <row r="747" spans="3:3" ht="13">
      <c r="C747" s="74"/>
    </row>
    <row r="748" spans="3:3" ht="13">
      <c r="C748" s="74"/>
    </row>
    <row r="749" spans="3:3" ht="13">
      <c r="C749" s="74"/>
    </row>
    <row r="750" spans="3:3" ht="13">
      <c r="C750" s="74"/>
    </row>
    <row r="751" spans="3:3" ht="13">
      <c r="C751" s="74"/>
    </row>
    <row r="752" spans="3:3" ht="13">
      <c r="C752" s="74"/>
    </row>
    <row r="753" spans="3:3" ht="13">
      <c r="C753" s="74"/>
    </row>
    <row r="754" spans="3:3" ht="13">
      <c r="C754" s="74"/>
    </row>
    <row r="755" spans="3:3" ht="13">
      <c r="C755" s="74"/>
    </row>
    <row r="756" spans="3:3" ht="13">
      <c r="C756" s="74"/>
    </row>
    <row r="757" spans="3:3" ht="13">
      <c r="C757" s="74"/>
    </row>
    <row r="758" spans="3:3" ht="13">
      <c r="C758" s="74"/>
    </row>
    <row r="759" spans="3:3" ht="13">
      <c r="C759" s="74"/>
    </row>
    <row r="760" spans="3:3" ht="13">
      <c r="C760" s="74"/>
    </row>
    <row r="761" spans="3:3" ht="13">
      <c r="C761" s="74"/>
    </row>
    <row r="762" spans="3:3" ht="13">
      <c r="C762" s="74"/>
    </row>
    <row r="763" spans="3:3" ht="13">
      <c r="C763" s="74"/>
    </row>
    <row r="764" spans="3:3" ht="13">
      <c r="C764" s="74"/>
    </row>
    <row r="765" spans="3:3" ht="13">
      <c r="C765" s="74"/>
    </row>
    <row r="766" spans="3:3" ht="13">
      <c r="C766" s="74"/>
    </row>
    <row r="767" spans="3:3" ht="13">
      <c r="C767" s="74"/>
    </row>
    <row r="768" spans="3:3" ht="13">
      <c r="C768" s="74"/>
    </row>
    <row r="769" spans="3:3" ht="13">
      <c r="C769" s="74"/>
    </row>
    <row r="770" spans="3:3" ht="13">
      <c r="C770" s="74"/>
    </row>
    <row r="771" spans="3:3" ht="13">
      <c r="C771" s="74"/>
    </row>
    <row r="772" spans="3:3" ht="13">
      <c r="C772" s="74"/>
    </row>
    <row r="773" spans="3:3" ht="13">
      <c r="C773" s="74"/>
    </row>
    <row r="774" spans="3:3" ht="13">
      <c r="C774" s="74"/>
    </row>
    <row r="775" spans="3:3" ht="13">
      <c r="C775" s="74"/>
    </row>
    <row r="776" spans="3:3" ht="13">
      <c r="C776" s="74"/>
    </row>
    <row r="777" spans="3:3" ht="13">
      <c r="C777" s="74"/>
    </row>
    <row r="778" spans="3:3" ht="13">
      <c r="C778" s="74"/>
    </row>
    <row r="779" spans="3:3" ht="13">
      <c r="C779" s="74"/>
    </row>
    <row r="780" spans="3:3" ht="13">
      <c r="C780" s="74"/>
    </row>
    <row r="781" spans="3:3" ht="13">
      <c r="C781" s="74"/>
    </row>
    <row r="782" spans="3:3" ht="13">
      <c r="C782" s="74"/>
    </row>
    <row r="783" spans="3:3" ht="13">
      <c r="C783" s="74"/>
    </row>
    <row r="784" spans="3:3" ht="13">
      <c r="C784" s="74"/>
    </row>
    <row r="785" spans="3:3" ht="13">
      <c r="C785" s="74"/>
    </row>
    <row r="786" spans="3:3" ht="13">
      <c r="C786" s="74"/>
    </row>
    <row r="787" spans="3:3" ht="13">
      <c r="C787" s="74"/>
    </row>
    <row r="788" spans="3:3" ht="13">
      <c r="C788" s="74"/>
    </row>
    <row r="789" spans="3:3" ht="13">
      <c r="C789" s="74"/>
    </row>
    <row r="790" spans="3:3" ht="13">
      <c r="C790" s="74"/>
    </row>
    <row r="791" spans="3:3" ht="13">
      <c r="C791" s="74"/>
    </row>
    <row r="792" spans="3:3" ht="13">
      <c r="C792" s="74"/>
    </row>
    <row r="793" spans="3:3" ht="13">
      <c r="C793" s="74"/>
    </row>
    <row r="794" spans="3:3" ht="13">
      <c r="C794" s="74"/>
    </row>
    <row r="795" spans="3:3" ht="13">
      <c r="C795" s="74"/>
    </row>
    <row r="796" spans="3:3" ht="13">
      <c r="C796" s="74"/>
    </row>
    <row r="797" spans="3:3" ht="13">
      <c r="C797" s="74"/>
    </row>
    <row r="798" spans="3:3" ht="13">
      <c r="C798" s="74"/>
    </row>
    <row r="799" spans="3:3" ht="13">
      <c r="C799" s="74"/>
    </row>
    <row r="800" spans="3:3" ht="13">
      <c r="C800" s="74"/>
    </row>
    <row r="801" spans="3:3" ht="13">
      <c r="C801" s="74"/>
    </row>
    <row r="802" spans="3:3" ht="13">
      <c r="C802" s="74"/>
    </row>
    <row r="803" spans="3:3" ht="13">
      <c r="C803" s="74"/>
    </row>
    <row r="804" spans="3:3" ht="13">
      <c r="C804" s="74"/>
    </row>
    <row r="805" spans="3:3" ht="13">
      <c r="C805" s="74"/>
    </row>
    <row r="806" spans="3:3" ht="13">
      <c r="C806" s="74"/>
    </row>
    <row r="807" spans="3:3" ht="13">
      <c r="C807" s="74"/>
    </row>
    <row r="808" spans="3:3" ht="13">
      <c r="C808" s="74"/>
    </row>
    <row r="809" spans="3:3" ht="13">
      <c r="C809" s="74"/>
    </row>
    <row r="810" spans="3:3" ht="13">
      <c r="C810" s="74"/>
    </row>
    <row r="811" spans="3:3" ht="13">
      <c r="C811" s="74"/>
    </row>
    <row r="812" spans="3:3" ht="13">
      <c r="C812" s="74"/>
    </row>
    <row r="813" spans="3:3" ht="13">
      <c r="C813" s="74"/>
    </row>
    <row r="814" spans="3:3" ht="13">
      <c r="C814" s="74"/>
    </row>
    <row r="815" spans="3:3" ht="13">
      <c r="C815" s="74"/>
    </row>
    <row r="816" spans="3:3" ht="13">
      <c r="C816" s="74"/>
    </row>
    <row r="817" spans="3:3" ht="13">
      <c r="C817" s="74"/>
    </row>
    <row r="818" spans="3:3" ht="13">
      <c r="C818" s="74"/>
    </row>
    <row r="819" spans="3:3" ht="13">
      <c r="C819" s="74"/>
    </row>
    <row r="820" spans="3:3" ht="13">
      <c r="C820" s="74"/>
    </row>
    <row r="821" spans="3:3" ht="13">
      <c r="C821" s="74"/>
    </row>
    <row r="822" spans="3:3" ht="13">
      <c r="C822" s="74"/>
    </row>
    <row r="823" spans="3:3" ht="13">
      <c r="C823" s="74"/>
    </row>
    <row r="824" spans="3:3" ht="13">
      <c r="C824" s="74"/>
    </row>
    <row r="825" spans="3:3" ht="13">
      <c r="C825" s="74"/>
    </row>
    <row r="826" spans="3:3" ht="13">
      <c r="C826" s="74"/>
    </row>
    <row r="827" spans="3:3" ht="13">
      <c r="C827" s="74"/>
    </row>
    <row r="828" spans="3:3" ht="13">
      <c r="C828" s="74"/>
    </row>
    <row r="829" spans="3:3" ht="13">
      <c r="C829" s="74"/>
    </row>
    <row r="830" spans="3:3" ht="13">
      <c r="C830" s="74"/>
    </row>
    <row r="831" spans="3:3" ht="13">
      <c r="C831" s="74"/>
    </row>
    <row r="832" spans="3:3" ht="13">
      <c r="C832" s="74"/>
    </row>
    <row r="833" spans="3:3" ht="13">
      <c r="C833" s="74"/>
    </row>
    <row r="834" spans="3:3" ht="13">
      <c r="C834" s="74"/>
    </row>
    <row r="835" spans="3:3" ht="13">
      <c r="C835" s="74"/>
    </row>
    <row r="836" spans="3:3" ht="13">
      <c r="C836" s="74"/>
    </row>
    <row r="837" spans="3:3" ht="13">
      <c r="C837" s="74"/>
    </row>
    <row r="838" spans="3:3" ht="13">
      <c r="C838" s="74"/>
    </row>
    <row r="839" spans="3:3" ht="13">
      <c r="C839" s="74"/>
    </row>
    <row r="840" spans="3:3" ht="13">
      <c r="C840" s="74"/>
    </row>
    <row r="841" spans="3:3" ht="13">
      <c r="C841" s="74"/>
    </row>
    <row r="842" spans="3:3" ht="13">
      <c r="C842" s="74"/>
    </row>
    <row r="843" spans="3:3" ht="13">
      <c r="C843" s="74"/>
    </row>
    <row r="844" spans="3:3" ht="13">
      <c r="C844" s="74"/>
    </row>
    <row r="845" spans="3:3" ht="13">
      <c r="C845" s="74"/>
    </row>
    <row r="846" spans="3:3" ht="13">
      <c r="C846" s="74"/>
    </row>
    <row r="847" spans="3:3" ht="13">
      <c r="C847" s="74"/>
    </row>
    <row r="848" spans="3:3" ht="13">
      <c r="C848" s="74"/>
    </row>
    <row r="849" spans="3:3" ht="13">
      <c r="C849" s="74"/>
    </row>
    <row r="850" spans="3:3" ht="13">
      <c r="C850" s="74"/>
    </row>
    <row r="851" spans="3:3" ht="13">
      <c r="C851" s="74"/>
    </row>
    <row r="852" spans="3:3" ht="13">
      <c r="C852" s="74"/>
    </row>
    <row r="853" spans="3:3" ht="13">
      <c r="C853" s="74"/>
    </row>
    <row r="854" spans="3:3" ht="13">
      <c r="C854" s="74"/>
    </row>
    <row r="855" spans="3:3" ht="13">
      <c r="C855" s="74"/>
    </row>
    <row r="856" spans="3:3" ht="13">
      <c r="C856" s="74"/>
    </row>
    <row r="857" spans="3:3" ht="13">
      <c r="C857" s="74"/>
    </row>
    <row r="858" spans="3:3" ht="13">
      <c r="C858" s="74"/>
    </row>
    <row r="859" spans="3:3" ht="13">
      <c r="C859" s="74"/>
    </row>
    <row r="860" spans="3:3" ht="13">
      <c r="C860" s="74"/>
    </row>
    <row r="861" spans="3:3" ht="13">
      <c r="C861" s="74"/>
    </row>
    <row r="862" spans="3:3" ht="13">
      <c r="C862" s="74"/>
    </row>
    <row r="863" spans="3:3" ht="13">
      <c r="C863" s="74"/>
    </row>
    <row r="864" spans="3:3" ht="13">
      <c r="C864" s="74"/>
    </row>
    <row r="865" spans="3:3" ht="13">
      <c r="C865" s="74"/>
    </row>
    <row r="866" spans="3:3" ht="13">
      <c r="C866" s="74"/>
    </row>
    <row r="867" spans="3:3" ht="13">
      <c r="C867" s="74"/>
    </row>
    <row r="868" spans="3:3" ht="13">
      <c r="C868" s="74"/>
    </row>
    <row r="869" spans="3:3" ht="13">
      <c r="C869" s="74"/>
    </row>
    <row r="870" spans="3:3" ht="13">
      <c r="C870" s="74"/>
    </row>
    <row r="871" spans="3:3" ht="13">
      <c r="C871" s="74"/>
    </row>
    <row r="872" spans="3:3" ht="13">
      <c r="C872" s="74"/>
    </row>
    <row r="873" spans="3:3" ht="13">
      <c r="C873" s="74"/>
    </row>
    <row r="874" spans="3:3" ht="13">
      <c r="C874" s="74"/>
    </row>
    <row r="875" spans="3:3" ht="13">
      <c r="C875" s="74"/>
    </row>
    <row r="876" spans="3:3" ht="13">
      <c r="C876" s="74"/>
    </row>
    <row r="877" spans="3:3" ht="13">
      <c r="C877" s="74"/>
    </row>
    <row r="878" spans="3:3" ht="13">
      <c r="C878" s="74"/>
    </row>
    <row r="879" spans="3:3" ht="13">
      <c r="C879" s="74"/>
    </row>
    <row r="880" spans="3:3" ht="13">
      <c r="C880" s="74"/>
    </row>
    <row r="881" spans="3:3" ht="13">
      <c r="C881" s="74"/>
    </row>
    <row r="882" spans="3:3" ht="13">
      <c r="C882" s="74"/>
    </row>
    <row r="883" spans="3:3" ht="13">
      <c r="C883" s="74"/>
    </row>
    <row r="884" spans="3:3" ht="13">
      <c r="C884" s="74"/>
    </row>
    <row r="885" spans="3:3" ht="13">
      <c r="C885" s="74"/>
    </row>
    <row r="886" spans="3:3" ht="13">
      <c r="C886" s="74"/>
    </row>
    <row r="887" spans="3:3" ht="13">
      <c r="C887" s="74"/>
    </row>
    <row r="888" spans="3:3" ht="13">
      <c r="C888" s="74"/>
    </row>
    <row r="889" spans="3:3" ht="13">
      <c r="C889" s="74"/>
    </row>
    <row r="890" spans="3:3" ht="13">
      <c r="C890" s="74"/>
    </row>
    <row r="891" spans="3:3" ht="13">
      <c r="C891" s="74"/>
    </row>
    <row r="892" spans="3:3" ht="13">
      <c r="C892" s="74"/>
    </row>
    <row r="893" spans="3:3" ht="13">
      <c r="C893" s="74"/>
    </row>
    <row r="894" spans="3:3" ht="13">
      <c r="C894" s="74"/>
    </row>
    <row r="895" spans="3:3" ht="13">
      <c r="C895" s="74"/>
    </row>
    <row r="896" spans="3:3" ht="13">
      <c r="C896" s="74"/>
    </row>
    <row r="897" spans="3:3" ht="13">
      <c r="C897" s="74"/>
    </row>
    <row r="898" spans="3:3" ht="13">
      <c r="C898" s="74"/>
    </row>
    <row r="899" spans="3:3" ht="13">
      <c r="C899" s="74"/>
    </row>
    <row r="900" spans="3:3" ht="13">
      <c r="C900" s="74"/>
    </row>
    <row r="901" spans="3:3" ht="13">
      <c r="C901" s="74"/>
    </row>
    <row r="902" spans="3:3" ht="13">
      <c r="C902" s="74"/>
    </row>
    <row r="903" spans="3:3" ht="13">
      <c r="C903" s="74"/>
    </row>
    <row r="904" spans="3:3" ht="13">
      <c r="C904" s="74"/>
    </row>
    <row r="905" spans="3:3" ht="13">
      <c r="C905" s="74"/>
    </row>
    <row r="906" spans="3:3" ht="13">
      <c r="C906" s="74"/>
    </row>
    <row r="907" spans="3:3" ht="13">
      <c r="C907" s="74"/>
    </row>
    <row r="908" spans="3:3" ht="13">
      <c r="C908" s="74"/>
    </row>
    <row r="909" spans="3:3" ht="13">
      <c r="C909" s="74"/>
    </row>
    <row r="910" spans="3:3" ht="13">
      <c r="C910" s="74"/>
    </row>
    <row r="911" spans="3:3" ht="13">
      <c r="C911" s="74"/>
    </row>
    <row r="912" spans="3:3" ht="13">
      <c r="C912" s="74"/>
    </row>
    <row r="913" spans="3:3" ht="13">
      <c r="C913" s="74"/>
    </row>
    <row r="914" spans="3:3" ht="13">
      <c r="C914" s="74"/>
    </row>
    <row r="915" spans="3:3" ht="13">
      <c r="C915" s="74"/>
    </row>
    <row r="916" spans="3:3" ht="13">
      <c r="C916" s="74"/>
    </row>
    <row r="917" spans="3:3" ht="13">
      <c r="C917" s="74"/>
    </row>
    <row r="918" spans="3:3" ht="13">
      <c r="C918" s="74"/>
    </row>
    <row r="919" spans="3:3" ht="13">
      <c r="C919" s="74"/>
    </row>
    <row r="920" spans="3:3" ht="13">
      <c r="C920" s="74"/>
    </row>
    <row r="921" spans="3:3" ht="13">
      <c r="C921" s="74"/>
    </row>
    <row r="922" spans="3:3" ht="13">
      <c r="C922" s="74"/>
    </row>
    <row r="923" spans="3:3" ht="13">
      <c r="C923" s="74"/>
    </row>
    <row r="924" spans="3:3" ht="13">
      <c r="C924" s="74"/>
    </row>
    <row r="925" spans="3:3" ht="13">
      <c r="C925" s="74"/>
    </row>
    <row r="926" spans="3:3" ht="13">
      <c r="C926" s="74"/>
    </row>
    <row r="927" spans="3:3" ht="13">
      <c r="C927" s="74"/>
    </row>
    <row r="928" spans="3:3" ht="13">
      <c r="C928" s="74"/>
    </row>
    <row r="929" spans="3:3" ht="13">
      <c r="C929" s="74"/>
    </row>
    <row r="930" spans="3:3" ht="13">
      <c r="C930" s="74"/>
    </row>
    <row r="931" spans="3:3" ht="13">
      <c r="C931" s="74"/>
    </row>
    <row r="932" spans="3:3" ht="13">
      <c r="C932" s="74"/>
    </row>
    <row r="933" spans="3:3" ht="13">
      <c r="C933" s="74"/>
    </row>
    <row r="934" spans="3:3" ht="13">
      <c r="C934" s="74"/>
    </row>
    <row r="935" spans="3:3" ht="13">
      <c r="C935" s="74"/>
    </row>
    <row r="936" spans="3:3" ht="13">
      <c r="C936" s="74"/>
    </row>
    <row r="937" spans="3:3" ht="13">
      <c r="C937" s="74"/>
    </row>
    <row r="938" spans="3:3" ht="13">
      <c r="C938" s="74"/>
    </row>
    <row r="939" spans="3:3" ht="13">
      <c r="C939" s="74"/>
    </row>
    <row r="940" spans="3:3" ht="13">
      <c r="C940" s="74"/>
    </row>
    <row r="941" spans="3:3" ht="13">
      <c r="C941" s="74"/>
    </row>
    <row r="942" spans="3:3" ht="13">
      <c r="C942" s="74"/>
    </row>
    <row r="943" spans="3:3" ht="13">
      <c r="C943" s="74"/>
    </row>
    <row r="944" spans="3:3" ht="13">
      <c r="C944" s="74"/>
    </row>
    <row r="945" spans="3:3" ht="13">
      <c r="C945" s="74"/>
    </row>
    <row r="946" spans="3:3" ht="13">
      <c r="C946" s="74"/>
    </row>
    <row r="947" spans="3:3" ht="13">
      <c r="C947" s="74"/>
    </row>
    <row r="948" spans="3:3" ht="13">
      <c r="C948" s="74"/>
    </row>
    <row r="949" spans="3:3" ht="13">
      <c r="C949" s="74"/>
    </row>
    <row r="950" spans="3:3" ht="13">
      <c r="C950" s="74"/>
    </row>
    <row r="951" spans="3:3" ht="13">
      <c r="C951" s="74"/>
    </row>
    <row r="952" spans="3:3" ht="13">
      <c r="C952" s="74"/>
    </row>
    <row r="953" spans="3:3" ht="13">
      <c r="C953" s="74"/>
    </row>
    <row r="954" spans="3:3" ht="13">
      <c r="C954" s="74"/>
    </row>
    <row r="955" spans="3:3" ht="13">
      <c r="C955" s="74"/>
    </row>
    <row r="956" spans="3:3" ht="13">
      <c r="C956" s="74"/>
    </row>
    <row r="957" spans="3:3" ht="13">
      <c r="C957" s="74"/>
    </row>
    <row r="958" spans="3:3" ht="13">
      <c r="C958" s="74"/>
    </row>
    <row r="959" spans="3:3" ht="13">
      <c r="C959" s="74"/>
    </row>
    <row r="960" spans="3:3" ht="13">
      <c r="C960" s="74"/>
    </row>
    <row r="961" spans="3:3" ht="13">
      <c r="C961" s="74"/>
    </row>
    <row r="962" spans="3:3" ht="13">
      <c r="C962" s="74"/>
    </row>
    <row r="963" spans="3:3" ht="13">
      <c r="C963" s="74"/>
    </row>
    <row r="964" spans="3:3" ht="13">
      <c r="C964" s="74"/>
    </row>
    <row r="965" spans="3:3" ht="13">
      <c r="C965" s="74"/>
    </row>
    <row r="966" spans="3:3" ht="13">
      <c r="C966" s="74"/>
    </row>
    <row r="967" spans="3:3" ht="13">
      <c r="C967" s="74"/>
    </row>
    <row r="968" spans="3:3" ht="13">
      <c r="C968" s="74"/>
    </row>
    <row r="969" spans="3:3" ht="13">
      <c r="C969" s="74"/>
    </row>
    <row r="970" spans="3:3" ht="13">
      <c r="C970" s="74"/>
    </row>
    <row r="971" spans="3:3" ht="13">
      <c r="C971" s="74"/>
    </row>
    <row r="972" spans="3:3" ht="13">
      <c r="C972" s="74"/>
    </row>
    <row r="973" spans="3:3" ht="13">
      <c r="C973" s="74"/>
    </row>
    <row r="974" spans="3:3" ht="13">
      <c r="C974" s="74"/>
    </row>
    <row r="975" spans="3:3" ht="13">
      <c r="C975" s="74"/>
    </row>
    <row r="976" spans="3:3" ht="13">
      <c r="C976" s="74"/>
    </row>
    <row r="977" spans="3:3" ht="13">
      <c r="C977" s="74"/>
    </row>
    <row r="978" spans="3:3" ht="13">
      <c r="C978" s="74"/>
    </row>
    <row r="979" spans="3:3" ht="13">
      <c r="C979" s="74"/>
    </row>
    <row r="980" spans="3:3" ht="13">
      <c r="C980" s="74"/>
    </row>
    <row r="981" spans="3:3" ht="13">
      <c r="C981" s="74"/>
    </row>
    <row r="982" spans="3:3" ht="13">
      <c r="C982" s="74"/>
    </row>
    <row r="983" spans="3:3" ht="13">
      <c r="C983" s="74"/>
    </row>
    <row r="984" spans="3:3" ht="13">
      <c r="C984" s="74"/>
    </row>
    <row r="985" spans="3:3" ht="13">
      <c r="C985" s="74"/>
    </row>
    <row r="986" spans="3:3" ht="13">
      <c r="C986" s="74"/>
    </row>
    <row r="987" spans="3:3" ht="13">
      <c r="C987" s="74"/>
    </row>
    <row r="988" spans="3:3" ht="13">
      <c r="C988" s="74"/>
    </row>
    <row r="989" spans="3:3" ht="13">
      <c r="C989" s="74"/>
    </row>
    <row r="990" spans="3:3" ht="13">
      <c r="C990" s="74"/>
    </row>
    <row r="991" spans="3:3" ht="13">
      <c r="C991" s="74"/>
    </row>
    <row r="992" spans="3:3" ht="13">
      <c r="C992" s="74"/>
    </row>
    <row r="993" spans="3:3" ht="13">
      <c r="C993" s="74"/>
    </row>
    <row r="994" spans="3:3" ht="13">
      <c r="C994" s="74"/>
    </row>
    <row r="995" spans="3:3" ht="13">
      <c r="C995" s="74"/>
    </row>
    <row r="996" spans="3:3" ht="13">
      <c r="C996" s="74"/>
    </row>
    <row r="997" spans="3:3" ht="13">
      <c r="C997" s="74"/>
    </row>
    <row r="998" spans="3:3" ht="13">
      <c r="C998" s="74"/>
    </row>
    <row r="999" spans="3:3" ht="13">
      <c r="C999" s="74"/>
    </row>
    <row r="1000" spans="3:3" ht="13">
      <c r="C1000" s="74"/>
    </row>
    <row r="1001" spans="3:3" ht="13">
      <c r="C1001" s="74"/>
    </row>
    <row r="1002" spans="3:3" ht="13">
      <c r="C1002" s="74"/>
    </row>
    <row r="1003" spans="3:3" ht="13">
      <c r="C1003" s="74"/>
    </row>
    <row r="1004" spans="3:3" ht="13">
      <c r="C1004" s="74"/>
    </row>
    <row r="1005" spans="3:3" ht="13">
      <c r="C1005" s="74"/>
    </row>
    <row r="1006" spans="3:3" ht="13">
      <c r="C1006" s="74"/>
    </row>
    <row r="1007" spans="3:3" ht="13">
      <c r="C1007" s="74"/>
    </row>
    <row r="1008" spans="3:3" ht="13">
      <c r="C1008" s="74"/>
    </row>
    <row r="1009" spans="3:3" ht="13">
      <c r="C1009" s="74"/>
    </row>
    <row r="1010" spans="3:3" ht="13">
      <c r="C1010" s="74"/>
    </row>
    <row r="1011" spans="3:3" ht="13">
      <c r="C1011" s="74"/>
    </row>
    <row r="1012" spans="3:3" ht="13">
      <c r="C1012" s="74"/>
    </row>
    <row r="1013" spans="3:3" ht="13">
      <c r="C1013" s="74"/>
    </row>
    <row r="1014" spans="3:3" ht="13">
      <c r="C1014" s="74"/>
    </row>
    <row r="1015" spans="3:3" ht="13">
      <c r="C1015" s="74"/>
    </row>
    <row r="1016" spans="3:3" ht="13">
      <c r="C1016" s="74"/>
    </row>
    <row r="1017" spans="3:3" ht="13">
      <c r="C1017" s="74"/>
    </row>
    <row r="1018" spans="3:3" ht="13">
      <c r="C1018" s="74"/>
    </row>
    <row r="1019" spans="3:3" ht="13">
      <c r="C1019" s="74"/>
    </row>
    <row r="1020" spans="3:3" ht="13">
      <c r="C1020" s="74"/>
    </row>
    <row r="1021" spans="3:3" ht="13">
      <c r="C1021" s="74"/>
    </row>
    <row r="1022" spans="3:3" ht="13">
      <c r="C1022" s="74"/>
    </row>
    <row r="1023" spans="3:3" ht="13">
      <c r="C1023" s="74"/>
    </row>
    <row r="1024" spans="3:3" ht="13">
      <c r="C1024" s="74"/>
    </row>
    <row r="1025" spans="3:3" ht="13">
      <c r="C1025" s="74"/>
    </row>
    <row r="1026" spans="3:3" ht="13">
      <c r="C1026" s="74"/>
    </row>
    <row r="1027" spans="3:3" ht="13">
      <c r="C1027" s="74"/>
    </row>
    <row r="1028" spans="3:3" ht="13">
      <c r="C1028" s="74"/>
    </row>
    <row r="1029" spans="3:3" ht="13">
      <c r="C1029" s="74"/>
    </row>
    <row r="1030" spans="3:3" ht="13">
      <c r="C1030" s="74"/>
    </row>
    <row r="1031" spans="3:3" ht="13">
      <c r="C1031" s="74"/>
    </row>
    <row r="1032" spans="3:3" ht="13">
      <c r="C1032" s="74"/>
    </row>
    <row r="1033" spans="3:3" ht="13">
      <c r="C1033" s="74"/>
    </row>
    <row r="1034" spans="3:3" ht="13">
      <c r="C1034" s="74"/>
    </row>
    <row r="1035" spans="3:3" ht="13">
      <c r="C1035" s="74"/>
    </row>
    <row r="1036" spans="3:3" ht="13">
      <c r="C1036" s="74"/>
    </row>
    <row r="1037" spans="3:3" ht="13">
      <c r="C1037" s="74"/>
    </row>
    <row r="1038" spans="3:3" ht="13">
      <c r="C1038" s="74"/>
    </row>
    <row r="1039" spans="3:3" ht="13">
      <c r="C1039" s="74"/>
    </row>
    <row r="1040" spans="3:3" ht="13">
      <c r="C1040" s="74"/>
    </row>
    <row r="1041" spans="3:3" ht="13">
      <c r="C1041" s="74"/>
    </row>
    <row r="1042" spans="3:3" ht="13">
      <c r="C1042" s="74"/>
    </row>
    <row r="1043" spans="3:3" ht="13">
      <c r="C1043" s="74"/>
    </row>
    <row r="1044" spans="3:3" ht="13">
      <c r="C1044" s="74"/>
    </row>
    <row r="1045" spans="3:3" ht="13">
      <c r="C1045" s="74"/>
    </row>
    <row r="1046" spans="3:3" ht="13">
      <c r="C1046" s="74"/>
    </row>
    <row r="1047" spans="3:3" ht="13">
      <c r="C1047" s="74"/>
    </row>
    <row r="1048" spans="3:3" ht="13">
      <c r="C1048" s="74"/>
    </row>
    <row r="1049" spans="3:3" ht="13">
      <c r="C1049" s="74"/>
    </row>
    <row r="1050" spans="3:3" ht="13">
      <c r="C1050" s="74"/>
    </row>
    <row r="1051" spans="3:3" ht="13">
      <c r="C1051" s="74"/>
    </row>
    <row r="1052" spans="3:3" ht="13">
      <c r="C1052" s="74"/>
    </row>
    <row r="1053" spans="3:3" ht="13">
      <c r="C1053" s="74"/>
    </row>
    <row r="1054" spans="3:3" ht="13">
      <c r="C1054" s="74"/>
    </row>
    <row r="1055" spans="3:3" ht="13">
      <c r="C1055" s="74"/>
    </row>
    <row r="1056" spans="3:3" ht="13">
      <c r="C1056" s="74"/>
    </row>
    <row r="1057" spans="3:3" ht="13">
      <c r="C1057" s="74"/>
    </row>
    <row r="1058" spans="3:3" ht="13">
      <c r="C1058" s="74"/>
    </row>
    <row r="1059" spans="3:3" ht="13">
      <c r="C1059" s="74"/>
    </row>
    <row r="1060" spans="3:3" ht="13">
      <c r="C1060" s="74"/>
    </row>
    <row r="1061" spans="3:3" ht="13">
      <c r="C1061" s="74"/>
    </row>
    <row r="1062" spans="3:3" ht="13">
      <c r="C1062" s="74"/>
    </row>
    <row r="1063" spans="3:3" ht="13">
      <c r="C1063" s="74"/>
    </row>
    <row r="1064" spans="3:3" ht="13">
      <c r="C1064" s="74"/>
    </row>
    <row r="1065" spans="3:3" ht="13">
      <c r="C1065" s="74"/>
    </row>
    <row r="1066" spans="3:3" ht="13">
      <c r="C1066" s="74"/>
    </row>
    <row r="1067" spans="3:3" ht="13">
      <c r="C1067" s="74"/>
    </row>
    <row r="1068" spans="3:3" ht="13">
      <c r="C1068" s="74"/>
    </row>
    <row r="1069" spans="3:3" ht="13">
      <c r="C1069" s="74"/>
    </row>
    <row r="1070" spans="3:3" ht="13">
      <c r="C1070" s="74"/>
    </row>
    <row r="1071" spans="3:3" ht="13">
      <c r="C1071" s="74"/>
    </row>
    <row r="1072" spans="3:3" ht="13">
      <c r="C1072" s="74"/>
    </row>
    <row r="1073" spans="3:3" ht="13">
      <c r="C1073" s="74"/>
    </row>
    <row r="1074" spans="3:3" ht="13">
      <c r="C1074" s="74"/>
    </row>
    <row r="1075" spans="3:3" ht="13">
      <c r="C1075" s="74"/>
    </row>
    <row r="1076" spans="3:3" ht="13">
      <c r="C1076" s="74"/>
    </row>
    <row r="1077" spans="3:3" ht="13">
      <c r="C1077" s="74"/>
    </row>
    <row r="1078" spans="3:3" ht="13">
      <c r="C1078" s="74"/>
    </row>
    <row r="1079" spans="3:3" ht="13">
      <c r="C1079" s="74"/>
    </row>
    <row r="1080" spans="3:3" ht="13">
      <c r="C1080" s="74"/>
    </row>
    <row r="1081" spans="3:3" ht="13">
      <c r="C1081" s="74"/>
    </row>
    <row r="1082" spans="3:3" ht="13">
      <c r="C1082" s="74"/>
    </row>
    <row r="1083" spans="3:3" ht="13">
      <c r="C1083" s="74"/>
    </row>
    <row r="1084" spans="3:3" ht="13">
      <c r="C1084" s="74"/>
    </row>
    <row r="1085" spans="3:3" ht="13">
      <c r="C1085" s="74"/>
    </row>
    <row r="1086" spans="3:3" ht="13">
      <c r="C1086" s="74"/>
    </row>
    <row r="1087" spans="3:3" ht="13">
      <c r="C1087" s="74"/>
    </row>
    <row r="1088" spans="3:3" ht="13">
      <c r="C1088" s="74"/>
    </row>
    <row r="1089" spans="3:3" ht="13">
      <c r="C1089" s="74"/>
    </row>
    <row r="1090" spans="3:3" ht="13">
      <c r="C1090" s="74"/>
    </row>
    <row r="1091" spans="3:3" ht="13">
      <c r="C1091" s="74"/>
    </row>
    <row r="1092" spans="3:3" ht="13">
      <c r="C1092" s="74"/>
    </row>
    <row r="1093" spans="3:3" ht="13">
      <c r="C1093" s="74"/>
    </row>
    <row r="1094" spans="3:3" ht="13">
      <c r="C1094" s="74"/>
    </row>
    <row r="1095" spans="3:3" ht="13">
      <c r="C1095" s="74"/>
    </row>
    <row r="1096" spans="3:3" ht="13">
      <c r="C1096" s="74"/>
    </row>
    <row r="1097" spans="3:3" ht="13">
      <c r="C1097" s="74"/>
    </row>
    <row r="1098" spans="3:3" ht="13">
      <c r="C1098" s="74"/>
    </row>
    <row r="1099" spans="3:3" ht="13">
      <c r="C1099" s="74"/>
    </row>
    <row r="1100" spans="3:3" ht="13">
      <c r="C1100" s="74"/>
    </row>
    <row r="1101" spans="3:3" ht="13">
      <c r="C1101" s="74"/>
    </row>
    <row r="1102" spans="3:3" ht="13">
      <c r="C1102" s="74"/>
    </row>
    <row r="1103" spans="3:3" ht="13">
      <c r="C1103" s="74"/>
    </row>
    <row r="1104" spans="3:3" ht="13">
      <c r="C1104" s="74"/>
    </row>
    <row r="1105" spans="3:3" ht="13">
      <c r="C1105" s="74"/>
    </row>
    <row r="1106" spans="3:3" ht="13">
      <c r="C1106" s="74"/>
    </row>
    <row r="1107" spans="3:3" ht="13">
      <c r="C1107" s="74"/>
    </row>
    <row r="1108" spans="3:3" ht="13">
      <c r="C1108" s="74"/>
    </row>
    <row r="1109" spans="3:3" ht="13">
      <c r="C1109" s="74"/>
    </row>
    <row r="1110" spans="3:3" ht="13">
      <c r="C1110" s="74"/>
    </row>
    <row r="1111" spans="3:3" ht="13">
      <c r="C1111" s="74"/>
    </row>
    <row r="1112" spans="3:3" ht="13">
      <c r="C1112" s="74"/>
    </row>
    <row r="1113" spans="3:3" ht="13">
      <c r="C1113" s="74"/>
    </row>
    <row r="1114" spans="3:3" ht="13">
      <c r="C1114" s="74"/>
    </row>
    <row r="1115" spans="3:3" ht="13">
      <c r="C1115" s="74"/>
    </row>
    <row r="1116" spans="3:3" ht="13">
      <c r="C1116" s="74"/>
    </row>
    <row r="1117" spans="3:3" ht="13">
      <c r="C1117" s="74"/>
    </row>
    <row r="1118" spans="3:3" ht="13">
      <c r="C1118" s="74"/>
    </row>
    <row r="1119" spans="3:3" ht="13">
      <c r="C1119" s="74"/>
    </row>
    <row r="1120" spans="3:3" ht="13">
      <c r="C1120" s="74"/>
    </row>
    <row r="1121" spans="3:3" ht="13">
      <c r="C1121" s="74"/>
    </row>
    <row r="1122" spans="3:3" ht="13">
      <c r="C1122" s="74"/>
    </row>
    <row r="1123" spans="3:3" ht="13">
      <c r="C1123" s="74"/>
    </row>
    <row r="1124" spans="3:3" ht="13">
      <c r="C1124" s="74"/>
    </row>
    <row r="1125" spans="3:3" ht="13">
      <c r="C1125" s="74"/>
    </row>
    <row r="1126" spans="3:3" ht="13">
      <c r="C1126" s="74"/>
    </row>
    <row r="1127" spans="3:3" ht="13">
      <c r="C1127" s="74"/>
    </row>
    <row r="1128" spans="3:3" ht="13">
      <c r="C1128" s="74"/>
    </row>
    <row r="1129" spans="3:3" ht="13">
      <c r="C1129" s="74"/>
    </row>
    <row r="1130" spans="3:3" ht="13">
      <c r="C1130" s="74"/>
    </row>
    <row r="1131" spans="3:3" ht="13">
      <c r="C1131" s="74"/>
    </row>
    <row r="1132" spans="3:3" ht="13">
      <c r="C1132" s="74"/>
    </row>
    <row r="1133" spans="3:3" ht="13">
      <c r="C1133" s="74"/>
    </row>
    <row r="1134" spans="3:3" ht="13">
      <c r="C1134" s="74"/>
    </row>
    <row r="1135" spans="3:3" ht="13">
      <c r="C1135" s="74"/>
    </row>
    <row r="1136" spans="3:3" ht="13">
      <c r="C1136" s="74"/>
    </row>
    <row r="1137" spans="3:3" ht="13">
      <c r="C1137" s="74"/>
    </row>
    <row r="1138" spans="3:3" ht="13">
      <c r="C1138" s="74"/>
    </row>
    <row r="1139" spans="3:3" ht="13">
      <c r="C1139" s="74"/>
    </row>
    <row r="1140" spans="3:3" ht="13">
      <c r="C1140" s="74"/>
    </row>
    <row r="1141" spans="3:3" ht="13">
      <c r="C1141" s="74"/>
    </row>
    <row r="1142" spans="3:3" ht="13">
      <c r="C1142" s="74"/>
    </row>
    <row r="1143" spans="3:3" ht="13">
      <c r="C1143" s="74"/>
    </row>
    <row r="1144" spans="3:3" ht="13">
      <c r="C1144" s="74"/>
    </row>
    <row r="1145" spans="3:3" ht="13">
      <c r="C1145" s="74"/>
    </row>
    <row r="1146" spans="3:3" ht="13">
      <c r="C1146" s="74"/>
    </row>
    <row r="1147" spans="3:3" ht="13">
      <c r="C1147" s="74"/>
    </row>
    <row r="1148" spans="3:3" ht="13">
      <c r="C1148" s="74"/>
    </row>
    <row r="1149" spans="3:3" ht="13">
      <c r="C1149" s="74"/>
    </row>
    <row r="1150" spans="3:3" ht="13">
      <c r="C1150" s="74"/>
    </row>
    <row r="1151" spans="3:3" ht="13">
      <c r="C1151" s="74"/>
    </row>
    <row r="1152" spans="3:3" ht="13">
      <c r="C1152" s="74"/>
    </row>
    <row r="1153" spans="3:3" ht="13">
      <c r="C1153" s="74"/>
    </row>
    <row r="1154" spans="3:3" ht="13">
      <c r="C1154" s="74"/>
    </row>
    <row r="1155" spans="3:3" ht="13">
      <c r="C1155" s="74"/>
    </row>
    <row r="1156" spans="3:3" ht="13">
      <c r="C1156" s="74"/>
    </row>
    <row r="1157" spans="3:3" ht="13">
      <c r="C1157" s="74"/>
    </row>
    <row r="1158" spans="3:3" ht="13">
      <c r="C1158" s="74"/>
    </row>
    <row r="1159" spans="3:3" ht="13">
      <c r="C1159" s="74"/>
    </row>
    <row r="1160" spans="3:3" ht="13">
      <c r="C1160" s="74"/>
    </row>
    <row r="1161" spans="3:3" ht="13">
      <c r="C1161" s="74"/>
    </row>
    <row r="1162" spans="3:3" ht="13">
      <c r="C1162" s="74"/>
    </row>
    <row r="1163" spans="3:3" ht="13">
      <c r="C1163" s="74"/>
    </row>
    <row r="1164" spans="3:3" ht="13">
      <c r="C1164" s="74"/>
    </row>
    <row r="1165" spans="3:3" ht="13">
      <c r="C1165" s="74"/>
    </row>
    <row r="1166" spans="3:3" ht="13">
      <c r="C1166" s="74"/>
    </row>
    <row r="1167" spans="3:3" ht="13">
      <c r="C1167" s="74"/>
    </row>
    <row r="1168" spans="3:3" ht="13">
      <c r="C1168" s="74"/>
    </row>
    <row r="1169" spans="3:3" ht="13">
      <c r="C1169" s="74"/>
    </row>
    <row r="1170" spans="3:3" ht="13">
      <c r="C1170" s="74"/>
    </row>
    <row r="1171" spans="3:3" ht="13">
      <c r="C1171" s="74"/>
    </row>
    <row r="1172" spans="3:3" ht="13">
      <c r="C1172" s="74"/>
    </row>
    <row r="1173" spans="3:3" ht="13">
      <c r="C1173" s="74"/>
    </row>
    <row r="1174" spans="3:3" ht="13">
      <c r="C1174" s="74"/>
    </row>
    <row r="1175" spans="3:3" ht="13">
      <c r="C1175" s="74"/>
    </row>
    <row r="1176" spans="3:3" ht="13">
      <c r="C1176" s="74"/>
    </row>
    <row r="1177" spans="3:3" ht="13">
      <c r="C1177" s="74"/>
    </row>
    <row r="1178" spans="3:3" ht="13">
      <c r="C1178" s="74"/>
    </row>
    <row r="1179" spans="3:3" ht="13">
      <c r="C1179" s="74"/>
    </row>
    <row r="1180" spans="3:3" ht="13">
      <c r="C1180" s="74"/>
    </row>
    <row r="1181" spans="3:3" ht="13">
      <c r="C1181" s="74"/>
    </row>
    <row r="1182" spans="3:3" ht="13">
      <c r="C1182" s="74"/>
    </row>
    <row r="1183" spans="3:3" ht="13">
      <c r="C1183" s="74"/>
    </row>
    <row r="1184" spans="3:3" ht="13">
      <c r="C1184" s="74"/>
    </row>
    <row r="1185" spans="3:3" ht="13">
      <c r="C1185" s="74"/>
    </row>
    <row r="1186" spans="3:3" ht="13">
      <c r="C1186" s="74"/>
    </row>
    <row r="1187" spans="3:3" ht="13">
      <c r="C1187" s="74"/>
    </row>
    <row r="1188" spans="3:3" ht="13">
      <c r="C1188" s="74"/>
    </row>
    <row r="1189" spans="3:3" ht="13">
      <c r="C1189" s="74"/>
    </row>
    <row r="1190" spans="3:3" ht="13">
      <c r="C1190" s="74"/>
    </row>
    <row r="1191" spans="3:3" ht="13">
      <c r="C1191" s="74"/>
    </row>
    <row r="1192" spans="3:3" ht="13">
      <c r="C1192" s="74"/>
    </row>
    <row r="1193" spans="3:3" ht="13">
      <c r="C1193" s="74"/>
    </row>
    <row r="1194" spans="3:3" ht="13">
      <c r="C1194" s="74"/>
    </row>
    <row r="1195" spans="3:3" ht="13">
      <c r="C1195" s="74"/>
    </row>
    <row r="1196" spans="3:3" ht="13">
      <c r="C1196" s="74"/>
    </row>
    <row r="1197" spans="3:3" ht="13">
      <c r="C1197" s="74"/>
    </row>
    <row r="1198" spans="3:3" ht="13">
      <c r="C1198" s="74"/>
    </row>
    <row r="1199" spans="3:3" ht="13">
      <c r="C1199" s="74"/>
    </row>
    <row r="1200" spans="3:3" ht="13">
      <c r="C1200" s="74"/>
    </row>
    <row r="1201" spans="3:3" ht="13">
      <c r="C1201" s="74"/>
    </row>
    <row r="1202" spans="3:3" ht="13">
      <c r="C1202" s="74"/>
    </row>
    <row r="1203" spans="3:3" ht="13">
      <c r="C1203" s="74"/>
    </row>
    <row r="1204" spans="3:3" ht="13">
      <c r="C1204" s="74"/>
    </row>
    <row r="1205" spans="3:3" ht="13">
      <c r="C1205" s="74"/>
    </row>
    <row r="1206" spans="3:3" ht="13">
      <c r="C1206" s="74"/>
    </row>
    <row r="1207" spans="3:3" ht="13">
      <c r="C1207" s="74"/>
    </row>
    <row r="1208" spans="3:3" ht="13">
      <c r="C1208" s="74"/>
    </row>
    <row r="1209" spans="3:3" ht="13">
      <c r="C1209" s="74"/>
    </row>
    <row r="1210" spans="3:3" ht="13">
      <c r="C1210" s="74"/>
    </row>
    <row r="1211" spans="3:3" ht="13">
      <c r="C1211" s="74"/>
    </row>
    <row r="1212" spans="3:3" ht="13">
      <c r="C1212" s="74"/>
    </row>
    <row r="1213" spans="3:3" ht="13">
      <c r="C1213" s="74"/>
    </row>
    <row r="1214" spans="3:3" ht="13">
      <c r="C1214" s="74"/>
    </row>
    <row r="1215" spans="3:3" ht="13">
      <c r="C1215" s="74"/>
    </row>
    <row r="1216" spans="3:3" ht="13">
      <c r="C1216" s="74"/>
    </row>
    <row r="1217" spans="3:3" ht="13">
      <c r="C1217" s="74"/>
    </row>
    <row r="1218" spans="3:3" ht="13">
      <c r="C1218" s="74"/>
    </row>
    <row r="1219" spans="3:3" ht="13">
      <c r="C1219" s="74"/>
    </row>
    <row r="1220" spans="3:3" ht="13">
      <c r="C1220" s="74"/>
    </row>
    <row r="1221" spans="3:3" ht="13">
      <c r="C1221" s="74"/>
    </row>
    <row r="1222" spans="3:3" ht="13">
      <c r="C1222" s="74"/>
    </row>
    <row r="1223" spans="3:3" ht="13">
      <c r="C1223" s="74"/>
    </row>
    <row r="1224" spans="3:3" ht="13">
      <c r="C1224" s="74"/>
    </row>
    <row r="1225" spans="3:3" ht="13">
      <c r="C1225" s="74"/>
    </row>
    <row r="1226" spans="3:3" ht="13">
      <c r="C1226" s="74"/>
    </row>
    <row r="1227" spans="3:3" ht="13">
      <c r="C1227" s="74"/>
    </row>
    <row r="1228" spans="3:3" ht="13">
      <c r="C1228" s="74"/>
    </row>
    <row r="1229" spans="3:3" ht="13">
      <c r="C1229" s="74"/>
    </row>
    <row r="1230" spans="3:3" ht="13">
      <c r="C1230" s="74"/>
    </row>
    <row r="1231" spans="3:3" ht="13">
      <c r="C1231" s="74"/>
    </row>
  </sheetData>
  <autoFilter ref="A1:C8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A1507"/>
  <sheetViews>
    <sheetView tabSelected="1" workbookViewId="0">
      <pane ySplit="7" topLeftCell="A8" activePane="bottomLeft" state="frozen"/>
      <selection pane="bottomLeft" activeCell="A9" sqref="A9"/>
    </sheetView>
  </sheetViews>
  <sheetFormatPr baseColWidth="10" defaultColWidth="12.6640625" defaultRowHeight="15.75" customHeight="1"/>
  <cols>
    <col min="1" max="1" width="4.83203125" customWidth="1"/>
    <col min="6" max="6" width="24" customWidth="1"/>
    <col min="7" max="7" width="50.83203125" customWidth="1"/>
    <col min="8" max="8" width="12.6640625" customWidth="1"/>
    <col min="9" max="9" width="14.83203125" customWidth="1"/>
    <col min="10" max="10" width="17.1640625" customWidth="1"/>
    <col min="11" max="11" width="6.83203125" customWidth="1"/>
    <col min="12" max="12" width="13.83203125" customWidth="1"/>
    <col min="13" max="13" width="12.83203125" customWidth="1"/>
    <col min="14" max="14" width="20.1640625" customWidth="1"/>
    <col min="15" max="15" width="4.1640625" customWidth="1"/>
    <col min="16" max="16" width="13.5" customWidth="1"/>
  </cols>
  <sheetData>
    <row r="1" spans="1:27" ht="15" hidden="1">
      <c r="A1" s="75"/>
      <c r="B1" s="75" t="s">
        <v>1379</v>
      </c>
      <c r="C1" s="76"/>
      <c r="D1" s="484" t="s">
        <v>1380</v>
      </c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</row>
    <row r="2" spans="1:27" ht="15" hidden="1">
      <c r="A2" s="75"/>
      <c r="B2" s="75"/>
      <c r="C2" s="77"/>
      <c r="D2" s="485" t="s">
        <v>1381</v>
      </c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</row>
    <row r="3" spans="1:27" ht="16" hidden="1">
      <c r="A3" s="78"/>
      <c r="B3" s="78"/>
      <c r="C3" s="79"/>
      <c r="D3" s="486" t="s">
        <v>1382</v>
      </c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81"/>
      <c r="Q3" s="81"/>
    </row>
    <row r="4" spans="1:27" ht="15" hidden="1">
      <c r="A4" s="75"/>
      <c r="B4" s="75"/>
      <c r="C4" s="82"/>
      <c r="D4" s="487">
        <v>45961</v>
      </c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83"/>
      <c r="Q4" s="488" t="s">
        <v>1383</v>
      </c>
    </row>
    <row r="5" spans="1:27" ht="16" hidden="1">
      <c r="A5" s="75"/>
      <c r="B5" s="75" t="s">
        <v>1379</v>
      </c>
      <c r="C5" s="82"/>
      <c r="D5" s="84" t="s">
        <v>1384</v>
      </c>
      <c r="E5" s="481"/>
      <c r="F5" s="482"/>
      <c r="G5" s="85"/>
      <c r="H5" s="85"/>
      <c r="I5" s="81"/>
      <c r="J5" s="86" t="s">
        <v>1385</v>
      </c>
      <c r="K5" s="486"/>
      <c r="L5" s="482"/>
      <c r="M5" s="482"/>
      <c r="N5" s="482"/>
      <c r="O5" s="80"/>
      <c r="P5" s="81"/>
      <c r="Q5" s="489"/>
    </row>
    <row r="6" spans="1:27" ht="16" hidden="1">
      <c r="A6" s="87"/>
      <c r="B6" s="88"/>
      <c r="C6" s="89"/>
      <c r="D6" s="490"/>
      <c r="E6" s="491"/>
      <c r="F6" s="90"/>
      <c r="G6" s="91"/>
      <c r="H6" s="91"/>
      <c r="I6" s="92"/>
      <c r="J6" s="92"/>
      <c r="K6" s="93" t="s">
        <v>1386</v>
      </c>
      <c r="L6" s="94"/>
      <c r="M6" s="95"/>
      <c r="N6" s="93"/>
      <c r="O6" s="93"/>
      <c r="P6" s="96" t="e">
        <v>#N/A</v>
      </c>
      <c r="Q6" s="97"/>
    </row>
    <row r="7" spans="1:27" ht="15">
      <c r="A7" s="98" t="s">
        <v>1387</v>
      </c>
      <c r="B7" s="99" t="s">
        <v>1388</v>
      </c>
      <c r="C7" s="100"/>
      <c r="D7" s="101" t="s">
        <v>1389</v>
      </c>
      <c r="E7" s="100" t="s">
        <v>1390</v>
      </c>
      <c r="F7" s="100" t="s">
        <v>1391</v>
      </c>
      <c r="G7" s="102"/>
      <c r="H7" s="102" t="s">
        <v>1392</v>
      </c>
      <c r="I7" s="99" t="s">
        <v>1392</v>
      </c>
      <c r="J7" s="99" t="s">
        <v>1393</v>
      </c>
      <c r="K7" s="103" t="s">
        <v>1394</v>
      </c>
      <c r="L7" s="104" t="s">
        <v>1395</v>
      </c>
      <c r="M7" s="105" t="s">
        <v>1396</v>
      </c>
      <c r="N7" s="99" t="s">
        <v>1393</v>
      </c>
      <c r="O7" s="99" t="s">
        <v>1397</v>
      </c>
      <c r="P7" s="99" t="s">
        <v>1398</v>
      </c>
      <c r="Q7" s="99" t="s">
        <v>1399</v>
      </c>
      <c r="R7" s="106"/>
    </row>
    <row r="8" spans="1:27" ht="14">
      <c r="A8" s="507">
        <v>10</v>
      </c>
      <c r="B8" s="508" t="s">
        <v>1822</v>
      </c>
      <c r="C8" s="509" t="s">
        <v>1490</v>
      </c>
      <c r="D8" s="510">
        <v>46146</v>
      </c>
      <c r="E8" s="509" t="str">
        <f>VLOOKUP($C8,[1]xe!$A:$B,2,0)</f>
        <v>50H-44024</v>
      </c>
      <c r="F8" s="511" t="str">
        <f>VLOOKUP($B8,[1]ma!$A:$B,2,0)</f>
        <v>HÂN LÊ HÓC MÔN</v>
      </c>
      <c r="G8" s="112" t="s">
        <v>2678</v>
      </c>
      <c r="H8" s="512" t="s">
        <v>2679</v>
      </c>
      <c r="I8" s="513"/>
      <c r="J8" s="509"/>
      <c r="K8" s="514">
        <v>2</v>
      </c>
      <c r="L8" s="515">
        <f t="shared" ref="L8" si="0">K8*50000</f>
        <v>100000</v>
      </c>
      <c r="M8" s="513"/>
      <c r="N8" s="511"/>
      <c r="O8" s="511">
        <v>1</v>
      </c>
      <c r="P8" s="513">
        <f>VLOOKUP($B8,[1]ma!$A:$C,3,0)</f>
        <v>800000</v>
      </c>
      <c r="Q8" s="132">
        <v>880000</v>
      </c>
      <c r="R8" s="516">
        <v>0.1</v>
      </c>
      <c r="S8" s="517"/>
      <c r="T8" s="517"/>
      <c r="U8" s="517"/>
      <c r="V8" s="517"/>
      <c r="W8" s="517"/>
      <c r="X8" s="517"/>
      <c r="Y8" s="517"/>
      <c r="Z8" s="517"/>
      <c r="AA8" s="517"/>
    </row>
    <row r="9" spans="1:27" ht="15">
      <c r="A9" s="107">
        <v>1</v>
      </c>
      <c r="B9" s="108" t="s">
        <v>1097</v>
      </c>
      <c r="C9" s="109" t="s">
        <v>64</v>
      </c>
      <c r="D9" s="110">
        <v>46083</v>
      </c>
      <c r="E9" s="109" t="str">
        <f>VLOOKUP($C9,xe!$A:$B,2,0)</f>
        <v>50H-60635</v>
      </c>
      <c r="F9" s="111" t="str">
        <f>VLOOKUP($B9,ma!$A:$B,2,0)</f>
        <v>E MART GÒ VẤP</v>
      </c>
      <c r="G9" s="112" t="s">
        <v>1400</v>
      </c>
      <c r="H9" s="113" t="s">
        <v>1401</v>
      </c>
      <c r="I9" s="114"/>
      <c r="J9" s="115" t="s">
        <v>140</v>
      </c>
      <c r="K9" s="116">
        <v>1.6</v>
      </c>
      <c r="L9" s="117">
        <f t="shared" ref="L9:L16" si="1">K9*50000</f>
        <v>80000</v>
      </c>
      <c r="M9" s="114"/>
      <c r="N9" s="118"/>
      <c r="O9" s="118">
        <v>1</v>
      </c>
      <c r="P9" s="114">
        <f>VLOOKUP($B9,ma!$A:$C,3,0)</f>
        <v>800000</v>
      </c>
      <c r="Q9" s="114">
        <f>VLOOKUP($B9,ma!$A:$C,3,0)</f>
        <v>800000</v>
      </c>
      <c r="R9" s="119"/>
      <c r="S9" s="119"/>
      <c r="T9" s="119"/>
      <c r="U9" s="119"/>
      <c r="V9" s="119"/>
      <c r="W9" s="119"/>
      <c r="X9" s="119"/>
      <c r="Y9" s="119"/>
      <c r="Z9" s="119"/>
      <c r="AA9" s="119"/>
    </row>
    <row r="10" spans="1:27" ht="15">
      <c r="A10" s="107">
        <f t="shared" ref="A10:A15" si="2">A9+1</f>
        <v>2</v>
      </c>
      <c r="B10" s="108" t="s">
        <v>1097</v>
      </c>
      <c r="C10" s="109" t="s">
        <v>68</v>
      </c>
      <c r="D10" s="110">
        <v>46083</v>
      </c>
      <c r="E10" s="109" t="str">
        <f>VLOOKUP($C10,xe!$A:$B,2,0)</f>
        <v>50H-55829</v>
      </c>
      <c r="F10" s="111" t="str">
        <f>VLOOKUP($B10,ma!$A:$B,2,0)</f>
        <v>E MART GÒ VẤP</v>
      </c>
      <c r="G10" s="112" t="s">
        <v>1402</v>
      </c>
      <c r="H10" s="113" t="s">
        <v>1401</v>
      </c>
      <c r="I10" s="114"/>
      <c r="J10" s="115" t="s">
        <v>140</v>
      </c>
      <c r="K10" s="116">
        <v>1.6</v>
      </c>
      <c r="L10" s="117">
        <f t="shared" si="1"/>
        <v>80000</v>
      </c>
      <c r="M10" s="114"/>
      <c r="N10" s="118"/>
      <c r="O10" s="118">
        <v>1</v>
      </c>
      <c r="P10" s="114">
        <f>VLOOKUP($B10,ma!$A:$C,3,0)</f>
        <v>800000</v>
      </c>
      <c r="Q10" s="114">
        <f>VLOOKUP($B10,ma!$A:$C,3,0)</f>
        <v>800000</v>
      </c>
      <c r="R10" s="119"/>
      <c r="S10" s="119"/>
      <c r="T10" s="119"/>
      <c r="U10" s="119"/>
      <c r="V10" s="119"/>
      <c r="W10" s="119"/>
      <c r="X10" s="119"/>
      <c r="Y10" s="119"/>
      <c r="Z10" s="119"/>
      <c r="AA10" s="119"/>
    </row>
    <row r="11" spans="1:27" ht="15">
      <c r="A11" s="107">
        <f t="shared" si="2"/>
        <v>3</v>
      </c>
      <c r="B11" s="108" t="s">
        <v>1097</v>
      </c>
      <c r="C11" s="109" t="s">
        <v>70</v>
      </c>
      <c r="D11" s="110">
        <v>46083</v>
      </c>
      <c r="E11" s="109" t="str">
        <f>VLOOKUP($C11,xe!$A:$B,2,0)</f>
        <v>50H-86564</v>
      </c>
      <c r="F11" s="111" t="str">
        <f>VLOOKUP($B11,ma!$A:$B,2,0)</f>
        <v>E MART GÒ VẤP</v>
      </c>
      <c r="G11" s="112" t="s">
        <v>1403</v>
      </c>
      <c r="H11" s="113" t="s">
        <v>1401</v>
      </c>
      <c r="I11" s="114"/>
      <c r="J11" s="115" t="s">
        <v>140</v>
      </c>
      <c r="K11" s="116">
        <v>1.6</v>
      </c>
      <c r="L11" s="117">
        <f t="shared" si="1"/>
        <v>80000</v>
      </c>
      <c r="M11" s="114"/>
      <c r="N11" s="118"/>
      <c r="O11" s="118">
        <v>1</v>
      </c>
      <c r="P11" s="114">
        <f>VLOOKUP($B11,ma!$A:$C,3,0)</f>
        <v>800000</v>
      </c>
      <c r="Q11" s="114">
        <f>VLOOKUP($B11,ma!$A:$C,3,0)</f>
        <v>800000</v>
      </c>
      <c r="R11" s="119"/>
      <c r="S11" s="119"/>
      <c r="T11" s="119"/>
      <c r="U11" s="119"/>
      <c r="V11" s="119"/>
      <c r="W11" s="119"/>
      <c r="X11" s="119"/>
      <c r="Y11" s="119"/>
      <c r="Z11" s="119"/>
      <c r="AA11" s="119"/>
    </row>
    <row r="12" spans="1:27" ht="15">
      <c r="A12" s="107">
        <f t="shared" si="2"/>
        <v>4</v>
      </c>
      <c r="B12" s="108" t="s">
        <v>911</v>
      </c>
      <c r="C12" s="109" t="s">
        <v>1404</v>
      </c>
      <c r="D12" s="110">
        <v>46083</v>
      </c>
      <c r="E12" s="109" t="str">
        <f>VLOOKUP($C12,xe!$A:$B,2,0)</f>
        <v>51C-81056</v>
      </c>
      <c r="F12" s="111" t="str">
        <f>VLOOKUP($B12,ma!$A:$B,2,0)</f>
        <v>M. AN PHÚ</v>
      </c>
      <c r="G12" s="112" t="s">
        <v>1405</v>
      </c>
      <c r="H12" s="113" t="s">
        <v>1406</v>
      </c>
      <c r="I12" s="114"/>
      <c r="J12" s="120" t="s">
        <v>1407</v>
      </c>
      <c r="K12" s="116">
        <v>2</v>
      </c>
      <c r="L12" s="117">
        <f t="shared" si="1"/>
        <v>100000</v>
      </c>
      <c r="M12" s="114"/>
      <c r="N12" s="118"/>
      <c r="O12" s="118">
        <v>1</v>
      </c>
      <c r="P12" s="114">
        <f>VLOOKUP($B12,ma!$A:$C,3,0)</f>
        <v>800000</v>
      </c>
      <c r="Q12" s="114">
        <f>VLOOKUP($B12,ma!$A:$C,3,0)</f>
        <v>800000</v>
      </c>
      <c r="R12" s="119"/>
      <c r="S12" s="119"/>
      <c r="T12" s="119"/>
      <c r="U12" s="119"/>
      <c r="V12" s="119"/>
      <c r="W12" s="119"/>
      <c r="X12" s="119"/>
      <c r="Y12" s="119"/>
      <c r="Z12" s="119"/>
      <c r="AA12" s="119"/>
    </row>
    <row r="13" spans="1:27" ht="15">
      <c r="A13" s="107">
        <f t="shared" si="2"/>
        <v>5</v>
      </c>
      <c r="B13" s="108" t="s">
        <v>911</v>
      </c>
      <c r="C13" s="109" t="s">
        <v>1408</v>
      </c>
      <c r="D13" s="110">
        <v>46083</v>
      </c>
      <c r="E13" s="109" t="str">
        <f>VLOOKUP($C13,xe!$A:$B,2,0)</f>
        <v>50H-11822</v>
      </c>
      <c r="F13" s="111" t="str">
        <f>VLOOKUP($B13,ma!$A:$B,2,0)</f>
        <v>M. AN PHÚ</v>
      </c>
      <c r="G13" s="112" t="s">
        <v>1405</v>
      </c>
      <c r="H13" s="113" t="s">
        <v>1406</v>
      </c>
      <c r="I13" s="114"/>
      <c r="J13" s="120" t="s">
        <v>1407</v>
      </c>
      <c r="K13" s="116">
        <v>2</v>
      </c>
      <c r="L13" s="117">
        <f t="shared" si="1"/>
        <v>100000</v>
      </c>
      <c r="M13" s="114"/>
      <c r="N13" s="118"/>
      <c r="O13" s="118">
        <v>1</v>
      </c>
      <c r="P13" s="114">
        <f>VLOOKUP($B13,ma!$A:$C,3,0)</f>
        <v>800000</v>
      </c>
      <c r="Q13" s="114">
        <f>VLOOKUP($B13,ma!$A:$C,3,0)</f>
        <v>800000</v>
      </c>
      <c r="R13" s="119"/>
      <c r="S13" s="119"/>
      <c r="T13" s="119"/>
      <c r="U13" s="119"/>
      <c r="V13" s="119"/>
      <c r="W13" s="119"/>
      <c r="X13" s="119"/>
      <c r="Y13" s="119"/>
      <c r="Z13" s="119"/>
      <c r="AA13" s="119"/>
    </row>
    <row r="14" spans="1:27" ht="15">
      <c r="A14" s="107">
        <f t="shared" si="2"/>
        <v>6</v>
      </c>
      <c r="B14" s="121" t="s">
        <v>1409</v>
      </c>
      <c r="C14" s="122" t="s">
        <v>76</v>
      </c>
      <c r="D14" s="123">
        <v>46083</v>
      </c>
      <c r="E14" s="122" t="str">
        <f>VLOOKUP($C14,xe!$A:$B,2,0)</f>
        <v>51D-38021</v>
      </c>
      <c r="F14" s="124" t="str">
        <f>VLOOKUP($B14,ma!$A:$B,2,0)</f>
        <v>SATRA VIETTEL</v>
      </c>
      <c r="G14" s="125" t="s">
        <v>1410</v>
      </c>
      <c r="H14" s="126" t="s">
        <v>1401</v>
      </c>
      <c r="I14" s="127"/>
      <c r="J14" s="128" t="s">
        <v>1411</v>
      </c>
      <c r="K14" s="129">
        <v>1</v>
      </c>
      <c r="L14" s="130">
        <f t="shared" si="1"/>
        <v>50000</v>
      </c>
      <c r="M14" s="127"/>
      <c r="N14" s="131"/>
      <c r="O14" s="131">
        <v>1</v>
      </c>
      <c r="P14" s="127">
        <v>200000</v>
      </c>
      <c r="Q14" s="127">
        <v>200000</v>
      </c>
      <c r="R14" s="119"/>
      <c r="S14" s="119"/>
      <c r="T14" s="119"/>
      <c r="U14" s="119"/>
      <c r="V14" s="119"/>
      <c r="W14" s="119"/>
      <c r="X14" s="119"/>
      <c r="Y14" s="119"/>
      <c r="Z14" s="119"/>
      <c r="AA14" s="119"/>
    </row>
    <row r="15" spans="1:27" ht="15">
      <c r="A15" s="107">
        <f t="shared" si="2"/>
        <v>7</v>
      </c>
      <c r="B15" s="121" t="s">
        <v>1409</v>
      </c>
      <c r="C15" s="122" t="s">
        <v>8</v>
      </c>
      <c r="D15" s="123">
        <v>46083</v>
      </c>
      <c r="E15" s="122" t="str">
        <f>VLOOKUP($C15,xe!$A:$B,2,0)</f>
        <v>50H-64316</v>
      </c>
      <c r="F15" s="124" t="str">
        <f>VLOOKUP($B15,ma!$A:$B,2,0)</f>
        <v>SATRA VIETTEL</v>
      </c>
      <c r="G15" s="125" t="s">
        <v>1412</v>
      </c>
      <c r="H15" s="126" t="s">
        <v>1412</v>
      </c>
      <c r="I15" s="127"/>
      <c r="J15" s="128" t="s">
        <v>1413</v>
      </c>
      <c r="K15" s="129">
        <v>2.2000000000000002</v>
      </c>
      <c r="L15" s="130">
        <f t="shared" si="1"/>
        <v>110000.00000000001</v>
      </c>
      <c r="M15" s="127"/>
      <c r="N15" s="131"/>
      <c r="O15" s="131">
        <v>1</v>
      </c>
      <c r="P15" s="127">
        <f>VLOOKUP($B15,ma!$A:$C,3,0)</f>
        <v>800000</v>
      </c>
      <c r="Q15" s="127">
        <f>VLOOKUP($B15,ma!$A:$C,3,0)</f>
        <v>800000</v>
      </c>
      <c r="R15" s="119"/>
      <c r="S15" s="119"/>
      <c r="T15" s="119"/>
      <c r="U15" s="119"/>
      <c r="V15" s="119"/>
      <c r="W15" s="119"/>
      <c r="X15" s="119"/>
      <c r="Y15" s="119"/>
      <c r="Z15" s="119"/>
      <c r="AA15" s="119"/>
    </row>
    <row r="16" spans="1:27" ht="15">
      <c r="A16" s="107">
        <f>A14+1</f>
        <v>7</v>
      </c>
      <c r="B16" s="108" t="s">
        <v>1409</v>
      </c>
      <c r="C16" s="109" t="s">
        <v>72</v>
      </c>
      <c r="D16" s="110">
        <v>46083</v>
      </c>
      <c r="E16" s="109" t="str">
        <f>VLOOKUP($C16,xe!$A:$B,2,0)</f>
        <v>47H-02023</v>
      </c>
      <c r="F16" s="111" t="str">
        <f>VLOOKUP($B16,ma!$A:$B,2,0)</f>
        <v>SATRA VIETTEL</v>
      </c>
      <c r="G16" s="112" t="s">
        <v>1414</v>
      </c>
      <c r="H16" s="113" t="s">
        <v>1406</v>
      </c>
      <c r="I16" s="114"/>
      <c r="J16" s="109"/>
      <c r="K16" s="116">
        <v>2.2000000000000002</v>
      </c>
      <c r="L16" s="117">
        <f t="shared" si="1"/>
        <v>110000.00000000001</v>
      </c>
      <c r="M16" s="114"/>
      <c r="N16" s="118"/>
      <c r="O16" s="118">
        <v>1</v>
      </c>
      <c r="P16" s="114">
        <f>VLOOKUP($B16,ma!$A:$C,3,0)</f>
        <v>800000</v>
      </c>
      <c r="Q16" s="114">
        <f>VLOOKUP($B16,ma!$A:$C,3,0)</f>
        <v>800000</v>
      </c>
      <c r="R16" s="119"/>
      <c r="S16" s="119"/>
      <c r="T16" s="119"/>
      <c r="U16" s="119"/>
      <c r="V16" s="119"/>
      <c r="W16" s="119"/>
      <c r="X16" s="119"/>
      <c r="Y16" s="119"/>
      <c r="Z16" s="119"/>
      <c r="AA16" s="119"/>
    </row>
    <row r="17" spans="1:27" ht="15">
      <c r="A17" s="107">
        <f t="shared" ref="A17:A41" si="3">A16+1</f>
        <v>8</v>
      </c>
      <c r="B17" s="108" t="s">
        <v>583</v>
      </c>
      <c r="C17" s="109" t="s">
        <v>66</v>
      </c>
      <c r="D17" s="110">
        <v>46083</v>
      </c>
      <c r="E17" s="109" t="str">
        <f>VLOOKUP($C17,xe!$A:$B,2,0)</f>
        <v>50H-92136</v>
      </c>
      <c r="F17" s="111" t="str">
        <f>VLOOKUP($B17,ma!$A:$B,2,0)</f>
        <v>KFC GÒ VẤP ( K BX )</v>
      </c>
      <c r="G17" s="112" t="s">
        <v>1415</v>
      </c>
      <c r="H17" s="113" t="s">
        <v>1406</v>
      </c>
      <c r="I17" s="114"/>
      <c r="J17" s="115" t="s">
        <v>455</v>
      </c>
      <c r="K17" s="116">
        <v>2</v>
      </c>
      <c r="L17" s="130">
        <v>100000</v>
      </c>
      <c r="M17" s="127"/>
      <c r="N17" s="131" t="s">
        <v>1416</v>
      </c>
      <c r="O17" s="118">
        <v>1</v>
      </c>
      <c r="P17" s="114">
        <f>VLOOKUP($B17,ma!$A:$C,3,0)</f>
        <v>800000</v>
      </c>
      <c r="Q17" s="114">
        <f>VLOOKUP($B17,ma!$A:$C,3,0)</f>
        <v>800000</v>
      </c>
      <c r="R17" s="119"/>
      <c r="S17" s="119"/>
      <c r="T17" s="119"/>
      <c r="U17" s="119"/>
      <c r="V17" s="119"/>
      <c r="W17" s="119"/>
      <c r="X17" s="119"/>
      <c r="Y17" s="119"/>
      <c r="Z17" s="119"/>
      <c r="AA17" s="119"/>
    </row>
    <row r="18" spans="1:27" ht="15">
      <c r="A18" s="107">
        <f t="shared" si="3"/>
        <v>9</v>
      </c>
      <c r="B18" s="108" t="s">
        <v>583</v>
      </c>
      <c r="C18" s="109" t="s">
        <v>62</v>
      </c>
      <c r="D18" s="110">
        <v>46083</v>
      </c>
      <c r="E18" s="109" t="str">
        <f>VLOOKUP($C18,xe!$A:$B,2,0)</f>
        <v>62H-01887</v>
      </c>
      <c r="F18" s="111" t="str">
        <f>VLOOKUP($B18,ma!$A:$B,2,0)</f>
        <v>KFC GÒ VẤP ( K BX )</v>
      </c>
      <c r="G18" s="112" t="s">
        <v>1417</v>
      </c>
      <c r="H18" s="113" t="s">
        <v>1406</v>
      </c>
      <c r="I18" s="114"/>
      <c r="J18" s="115" t="s">
        <v>455</v>
      </c>
      <c r="K18" s="116">
        <v>2</v>
      </c>
      <c r="L18" s="130">
        <f t="shared" ref="L18:L24" si="4">K18*50000</f>
        <v>100000</v>
      </c>
      <c r="M18" s="127"/>
      <c r="N18" s="131" t="s">
        <v>1416</v>
      </c>
      <c r="O18" s="118">
        <v>1</v>
      </c>
      <c r="P18" s="114">
        <f>VLOOKUP($B18,ma!$A:$C,3,0)</f>
        <v>800000</v>
      </c>
      <c r="Q18" s="114">
        <f>VLOOKUP($B18,ma!$A:$C,3,0)</f>
        <v>800000</v>
      </c>
      <c r="R18" s="119"/>
      <c r="S18" s="119"/>
      <c r="T18" s="119"/>
      <c r="U18" s="119"/>
      <c r="V18" s="119"/>
      <c r="W18" s="119"/>
      <c r="X18" s="119"/>
      <c r="Y18" s="119"/>
      <c r="Z18" s="119"/>
      <c r="AA18" s="119"/>
    </row>
    <row r="19" spans="1:27" ht="15">
      <c r="A19" s="107">
        <f t="shared" si="3"/>
        <v>10</v>
      </c>
      <c r="B19" s="108" t="s">
        <v>583</v>
      </c>
      <c r="C19" s="109" t="s">
        <v>29</v>
      </c>
      <c r="D19" s="110">
        <v>46083</v>
      </c>
      <c r="E19" s="109" t="str">
        <f>VLOOKUP($C19,xe!$A:$B,2,0)</f>
        <v>50H-74619</v>
      </c>
      <c r="F19" s="111" t="str">
        <f>VLOOKUP($B19,ma!$A:$B,2,0)</f>
        <v>KFC GÒ VẤP ( K BX )</v>
      </c>
      <c r="G19" s="112" t="s">
        <v>1418</v>
      </c>
      <c r="H19" s="113" t="s">
        <v>1406</v>
      </c>
      <c r="I19" s="114"/>
      <c r="J19" s="115" t="s">
        <v>455</v>
      </c>
      <c r="K19" s="116">
        <v>2</v>
      </c>
      <c r="L19" s="130">
        <f t="shared" si="4"/>
        <v>100000</v>
      </c>
      <c r="M19" s="132"/>
      <c r="N19" s="131" t="s">
        <v>1416</v>
      </c>
      <c r="O19" s="118">
        <v>1</v>
      </c>
      <c r="P19" s="114">
        <f>VLOOKUP($B19,ma!$A:$C,3,0)</f>
        <v>800000</v>
      </c>
      <c r="Q19" s="114">
        <f>VLOOKUP($B19,ma!$A:$C,3,0)</f>
        <v>800000</v>
      </c>
      <c r="R19" s="119"/>
      <c r="S19" s="119"/>
      <c r="T19" s="119"/>
      <c r="U19" s="119"/>
      <c r="V19" s="119"/>
      <c r="W19" s="119"/>
      <c r="X19" s="119"/>
      <c r="Y19" s="119"/>
      <c r="Z19" s="119"/>
      <c r="AA19" s="119"/>
    </row>
    <row r="20" spans="1:27" ht="15">
      <c r="A20" s="107">
        <f t="shared" si="3"/>
        <v>11</v>
      </c>
      <c r="B20" s="108" t="s">
        <v>583</v>
      </c>
      <c r="C20" s="109" t="s">
        <v>23</v>
      </c>
      <c r="D20" s="110">
        <v>46083</v>
      </c>
      <c r="E20" s="109" t="str">
        <f>VLOOKUP($C20,xe!$A:$B,2,0)</f>
        <v>50H 87442</v>
      </c>
      <c r="F20" s="111" t="str">
        <f>VLOOKUP($B20,ma!$A:$B,2,0)</f>
        <v>KFC GÒ VẤP ( K BX )</v>
      </c>
      <c r="G20" s="112" t="s">
        <v>1419</v>
      </c>
      <c r="H20" s="113" t="s">
        <v>1406</v>
      </c>
      <c r="I20" s="114"/>
      <c r="J20" s="115" t="s">
        <v>455</v>
      </c>
      <c r="K20" s="116">
        <v>2</v>
      </c>
      <c r="L20" s="130">
        <f t="shared" si="4"/>
        <v>100000</v>
      </c>
      <c r="M20" s="132"/>
      <c r="N20" s="131" t="s">
        <v>1416</v>
      </c>
      <c r="O20" s="118">
        <v>1</v>
      </c>
      <c r="P20" s="114">
        <f>VLOOKUP($B20,ma!$A:$C,3,0)</f>
        <v>800000</v>
      </c>
      <c r="Q20" s="114">
        <f>VLOOKUP($B20,ma!$A:$C,3,0)</f>
        <v>800000</v>
      </c>
      <c r="R20" s="119"/>
      <c r="S20" s="119"/>
      <c r="T20" s="119"/>
      <c r="U20" s="119"/>
      <c r="V20" s="119"/>
      <c r="W20" s="119"/>
      <c r="X20" s="119"/>
      <c r="Y20" s="119"/>
      <c r="Z20" s="119"/>
      <c r="AA20" s="119"/>
    </row>
    <row r="21" spans="1:27" ht="15">
      <c r="A21" s="107">
        <f t="shared" si="3"/>
        <v>12</v>
      </c>
      <c r="B21" s="108" t="s">
        <v>1128</v>
      </c>
      <c r="C21" s="109" t="s">
        <v>27</v>
      </c>
      <c r="D21" s="110">
        <v>46083</v>
      </c>
      <c r="E21" s="109" t="str">
        <f>VLOOKUP($C21,xe!$A:$B,2,0)</f>
        <v>50H-55443</v>
      </c>
      <c r="F21" s="111" t="str">
        <f>VLOOKUP($B21,ma!$A:$B,2,0)</f>
        <v>SATRA SÀI GÒN</v>
      </c>
      <c r="G21" s="112" t="s">
        <v>1420</v>
      </c>
      <c r="H21" s="113" t="s">
        <v>1406</v>
      </c>
      <c r="I21" s="114"/>
      <c r="J21" s="109"/>
      <c r="K21" s="116">
        <v>2</v>
      </c>
      <c r="L21" s="117">
        <f t="shared" si="4"/>
        <v>100000</v>
      </c>
      <c r="M21" s="114"/>
      <c r="N21" s="118"/>
      <c r="O21" s="118">
        <v>1</v>
      </c>
      <c r="P21" s="114">
        <f>VLOOKUP($B21,ma!$A:$C,3,0)</f>
        <v>800000</v>
      </c>
      <c r="Q21" s="114">
        <f>VLOOKUP($B21,ma!$A:$C,3,0)</f>
        <v>800000</v>
      </c>
      <c r="R21" s="119"/>
      <c r="S21" s="119"/>
      <c r="T21" s="119"/>
      <c r="U21" s="119"/>
      <c r="V21" s="119"/>
      <c r="W21" s="119"/>
      <c r="X21" s="119"/>
      <c r="Y21" s="119"/>
      <c r="Z21" s="119"/>
      <c r="AA21" s="119"/>
    </row>
    <row r="22" spans="1:27" ht="15">
      <c r="A22" s="107">
        <f t="shared" si="3"/>
        <v>13</v>
      </c>
      <c r="B22" s="108" t="s">
        <v>1128</v>
      </c>
      <c r="C22" s="109" t="s">
        <v>21</v>
      </c>
      <c r="D22" s="110">
        <v>46083</v>
      </c>
      <c r="E22" s="109" t="str">
        <f>VLOOKUP($C22,xe!$A:$B,2,0)</f>
        <v>50H-66445</v>
      </c>
      <c r="F22" s="111" t="str">
        <f>VLOOKUP($B22,ma!$A:$B,2,0)</f>
        <v>SATRA SÀI GÒN</v>
      </c>
      <c r="G22" s="112" t="s">
        <v>1421</v>
      </c>
      <c r="H22" s="113" t="s">
        <v>1406</v>
      </c>
      <c r="I22" s="114"/>
      <c r="J22" s="109"/>
      <c r="K22" s="116">
        <v>2.2000000000000002</v>
      </c>
      <c r="L22" s="117">
        <f t="shared" si="4"/>
        <v>110000.00000000001</v>
      </c>
      <c r="M22" s="114"/>
      <c r="N22" s="118"/>
      <c r="O22" s="118">
        <v>1</v>
      </c>
      <c r="P22" s="114">
        <f>VLOOKUP($B22,ma!$A:$C,3,0)</f>
        <v>800000</v>
      </c>
      <c r="Q22" s="114">
        <f>VLOOKUP($B22,ma!$A:$C,3,0)</f>
        <v>800000</v>
      </c>
      <c r="R22" s="119"/>
      <c r="S22" s="119"/>
      <c r="T22" s="119"/>
      <c r="U22" s="119"/>
      <c r="V22" s="119"/>
      <c r="W22" s="119"/>
      <c r="X22" s="119"/>
      <c r="Y22" s="119"/>
      <c r="Z22" s="119"/>
      <c r="AA22" s="119"/>
    </row>
    <row r="23" spans="1:27" ht="15">
      <c r="A23" s="107">
        <f t="shared" si="3"/>
        <v>14</v>
      </c>
      <c r="B23" s="108" t="s">
        <v>1128</v>
      </c>
      <c r="C23" s="109" t="s">
        <v>8</v>
      </c>
      <c r="D23" s="110">
        <v>46083</v>
      </c>
      <c r="E23" s="109" t="str">
        <f>VLOOKUP($C23,xe!$A:$B,2,0)</f>
        <v>50H-64316</v>
      </c>
      <c r="F23" s="111" t="str">
        <f>VLOOKUP($B23,ma!$A:$B,2,0)</f>
        <v>SATRA SÀI GÒN</v>
      </c>
      <c r="G23" s="112" t="s">
        <v>1422</v>
      </c>
      <c r="H23" s="113" t="s">
        <v>1406</v>
      </c>
      <c r="I23" s="114"/>
      <c r="J23" s="109"/>
      <c r="K23" s="116">
        <v>2</v>
      </c>
      <c r="L23" s="117">
        <f t="shared" si="4"/>
        <v>100000</v>
      </c>
      <c r="M23" s="114">
        <v>30000</v>
      </c>
      <c r="N23" s="118" t="s">
        <v>1423</v>
      </c>
      <c r="O23" s="118">
        <v>1</v>
      </c>
      <c r="P23" s="114">
        <f>VLOOKUP($B23,ma!$A:$C,3,0)</f>
        <v>800000</v>
      </c>
      <c r="Q23" s="114">
        <f>VLOOKUP($B23,ma!$A:$C,3,0)</f>
        <v>800000</v>
      </c>
      <c r="R23" s="119"/>
      <c r="S23" s="119"/>
      <c r="T23" s="119"/>
      <c r="U23" s="119"/>
      <c r="V23" s="119"/>
      <c r="W23" s="119"/>
      <c r="X23" s="119"/>
      <c r="Y23" s="119"/>
      <c r="Z23" s="119"/>
      <c r="AA23" s="119"/>
    </row>
    <row r="24" spans="1:27" ht="15">
      <c r="A24" s="107">
        <f t="shared" si="3"/>
        <v>15</v>
      </c>
      <c r="B24" s="108" t="s">
        <v>1128</v>
      </c>
      <c r="C24" s="109" t="s">
        <v>12</v>
      </c>
      <c r="D24" s="110">
        <v>46083</v>
      </c>
      <c r="E24" s="109" t="str">
        <f>VLOOKUP($C24,xe!$A:$B,2,0)</f>
        <v>50H-63174</v>
      </c>
      <c r="F24" s="111" t="str">
        <f>VLOOKUP($B24,ma!$A:$B,2,0)</f>
        <v>SATRA SÀI GÒN</v>
      </c>
      <c r="G24" s="112" t="s">
        <v>1424</v>
      </c>
      <c r="H24" s="113" t="s">
        <v>1406</v>
      </c>
      <c r="I24" s="114"/>
      <c r="J24" s="115" t="s">
        <v>1425</v>
      </c>
      <c r="K24" s="116">
        <v>2</v>
      </c>
      <c r="L24" s="117">
        <f t="shared" si="4"/>
        <v>100000</v>
      </c>
      <c r="M24" s="114"/>
      <c r="N24" s="118"/>
      <c r="O24" s="118">
        <v>1</v>
      </c>
      <c r="P24" s="114">
        <f>VLOOKUP($B24,ma!$A:$C,3,0)</f>
        <v>800000</v>
      </c>
      <c r="Q24" s="114">
        <f>VLOOKUP($B24,ma!$A:$C,3,0)</f>
        <v>800000</v>
      </c>
      <c r="R24" s="119"/>
      <c r="S24" s="119"/>
      <c r="T24" s="119"/>
      <c r="U24" s="119"/>
      <c r="V24" s="119"/>
      <c r="W24" s="119"/>
      <c r="X24" s="119"/>
      <c r="Y24" s="119"/>
      <c r="Z24" s="119"/>
      <c r="AA24" s="119"/>
    </row>
    <row r="25" spans="1:27" ht="15">
      <c r="A25" s="107">
        <f t="shared" si="3"/>
        <v>16</v>
      </c>
      <c r="B25" s="108" t="s">
        <v>583</v>
      </c>
      <c r="C25" s="109" t="s">
        <v>25</v>
      </c>
      <c r="D25" s="110">
        <v>46083</v>
      </c>
      <c r="E25" s="109" t="str">
        <f>VLOOKUP($C25,xe!$A:$B,2,0)</f>
        <v>50H-55161</v>
      </c>
      <c r="F25" s="111" t="str">
        <f>VLOOKUP($B25,ma!$A:$B,2,0)</f>
        <v>KFC GÒ VẤP ( K BX )</v>
      </c>
      <c r="G25" s="112" t="s">
        <v>1426</v>
      </c>
      <c r="H25" s="113" t="s">
        <v>1406</v>
      </c>
      <c r="I25" s="114"/>
      <c r="J25" s="109"/>
      <c r="K25" s="116">
        <v>2</v>
      </c>
      <c r="L25" s="117">
        <v>50000</v>
      </c>
      <c r="M25" s="114">
        <v>50000</v>
      </c>
      <c r="N25" s="118" t="s">
        <v>1427</v>
      </c>
      <c r="O25" s="118">
        <v>1</v>
      </c>
      <c r="P25" s="114">
        <f>VLOOKUP($B25,ma!$A:$C,3,0)</f>
        <v>800000</v>
      </c>
      <c r="Q25" s="114">
        <f>VLOOKUP($B25,ma!$A:$C,3,0)</f>
        <v>800000</v>
      </c>
      <c r="R25" s="119"/>
      <c r="S25" s="119"/>
      <c r="T25" s="119"/>
      <c r="U25" s="119"/>
      <c r="V25" s="119"/>
      <c r="W25" s="119"/>
      <c r="X25" s="119"/>
      <c r="Y25" s="119"/>
      <c r="Z25" s="119"/>
      <c r="AA25" s="119"/>
    </row>
    <row r="26" spans="1:27" ht="15">
      <c r="A26" s="107">
        <f t="shared" si="3"/>
        <v>17</v>
      </c>
      <c r="B26" s="108" t="s">
        <v>583</v>
      </c>
      <c r="C26" s="109" t="s">
        <v>78</v>
      </c>
      <c r="D26" s="110">
        <v>46083</v>
      </c>
      <c r="E26" s="133" t="str">
        <f>VLOOKUP($C26,xe!$A:$B,2,0)</f>
        <v>50E-565,21</v>
      </c>
      <c r="F26" s="111" t="str">
        <f>VLOOKUP($B26,ma!$A:$B,2,0)</f>
        <v>KFC GÒ VẤP ( K BX )</v>
      </c>
      <c r="G26" s="112" t="s">
        <v>1428</v>
      </c>
      <c r="H26" s="113" t="s">
        <v>1406</v>
      </c>
      <c r="I26" s="114"/>
      <c r="J26" s="109"/>
      <c r="K26" s="116">
        <v>2.2000000000000002</v>
      </c>
      <c r="L26" s="134"/>
      <c r="M26" s="135"/>
      <c r="N26" s="136"/>
      <c r="O26" s="118">
        <v>1</v>
      </c>
      <c r="P26" s="114">
        <f>VLOOKUP($B26,ma!$A:$C,3,0)</f>
        <v>800000</v>
      </c>
      <c r="Q26" s="114">
        <f>VLOOKUP($B26,ma!$A:$C,3,0)</f>
        <v>800000</v>
      </c>
      <c r="R26" s="119"/>
      <c r="S26" s="119"/>
      <c r="T26" s="119"/>
      <c r="U26" s="119"/>
      <c r="V26" s="119"/>
      <c r="W26" s="119"/>
      <c r="X26" s="119"/>
      <c r="Y26" s="119"/>
      <c r="Z26" s="119"/>
      <c r="AA26" s="119"/>
    </row>
    <row r="27" spans="1:27" ht="15">
      <c r="A27" s="107">
        <f t="shared" si="3"/>
        <v>18</v>
      </c>
      <c r="B27" s="108" t="s">
        <v>583</v>
      </c>
      <c r="C27" s="109" t="s">
        <v>6</v>
      </c>
      <c r="D27" s="110">
        <v>46083</v>
      </c>
      <c r="E27" s="109" t="str">
        <f>VLOOKUP($C27,xe!$A:$B,2,0)</f>
        <v>50H-69501</v>
      </c>
      <c r="F27" s="111" t="str">
        <f>VLOOKUP($B27,ma!$A:$B,2,0)</f>
        <v>KFC GÒ VẤP ( K BX )</v>
      </c>
      <c r="G27" s="112" t="s">
        <v>1429</v>
      </c>
      <c r="H27" s="113" t="s">
        <v>1406</v>
      </c>
      <c r="I27" s="114"/>
      <c r="J27" s="109"/>
      <c r="K27" s="116">
        <v>2.2000000000000002</v>
      </c>
      <c r="L27" s="117">
        <v>50000</v>
      </c>
      <c r="M27" s="114">
        <v>20000</v>
      </c>
      <c r="N27" s="118" t="s">
        <v>1430</v>
      </c>
      <c r="O27" s="118">
        <v>1</v>
      </c>
      <c r="P27" s="114">
        <f>VLOOKUP($B27,ma!$A:$C,3,0)</f>
        <v>800000</v>
      </c>
      <c r="Q27" s="114">
        <f>VLOOKUP($B27,ma!$A:$C,3,0)</f>
        <v>800000</v>
      </c>
      <c r="R27" s="119"/>
      <c r="S27" s="119"/>
      <c r="T27" s="119"/>
      <c r="U27" s="119"/>
      <c r="V27" s="119"/>
      <c r="W27" s="119"/>
      <c r="X27" s="119"/>
      <c r="Y27" s="119"/>
      <c r="Z27" s="119"/>
      <c r="AA27" s="119"/>
    </row>
    <row r="28" spans="1:27" ht="15">
      <c r="A28" s="107">
        <f t="shared" si="3"/>
        <v>19</v>
      </c>
      <c r="B28" s="108" t="s">
        <v>583</v>
      </c>
      <c r="C28" s="109" t="s">
        <v>16</v>
      </c>
      <c r="D28" s="110">
        <v>46083</v>
      </c>
      <c r="E28" s="109" t="str">
        <f>VLOOKUP($C28,xe!$A:$B,2,0)</f>
        <v>50H-54580</v>
      </c>
      <c r="F28" s="111" t="str">
        <f>VLOOKUP($B28,ma!$A:$B,2,0)</f>
        <v>KFC GÒ VẤP ( K BX )</v>
      </c>
      <c r="G28" s="112" t="s">
        <v>1431</v>
      </c>
      <c r="H28" s="113" t="s">
        <v>1406</v>
      </c>
      <c r="I28" s="114"/>
      <c r="J28" s="109"/>
      <c r="K28" s="116">
        <v>2.2000000000000002</v>
      </c>
      <c r="L28" s="117">
        <v>50000</v>
      </c>
      <c r="M28" s="114">
        <v>20000</v>
      </c>
      <c r="N28" s="118" t="s">
        <v>1427</v>
      </c>
      <c r="O28" s="118">
        <v>1</v>
      </c>
      <c r="P28" s="114">
        <f>VLOOKUP($B28,ma!$A:$C,3,0)</f>
        <v>800000</v>
      </c>
      <c r="Q28" s="114">
        <f>VLOOKUP($B28,ma!$A:$C,3,0)</f>
        <v>800000</v>
      </c>
      <c r="R28" s="119"/>
      <c r="S28" s="119"/>
      <c r="T28" s="119"/>
      <c r="U28" s="119"/>
      <c r="V28" s="119"/>
      <c r="W28" s="119"/>
      <c r="X28" s="119"/>
      <c r="Y28" s="119"/>
      <c r="Z28" s="119"/>
      <c r="AA28" s="119"/>
    </row>
    <row r="29" spans="1:27" ht="15">
      <c r="A29" s="107">
        <f t="shared" si="3"/>
        <v>20</v>
      </c>
      <c r="B29" s="108" t="s">
        <v>442</v>
      </c>
      <c r="C29" s="109" t="s">
        <v>1432</v>
      </c>
      <c r="D29" s="110">
        <v>46083</v>
      </c>
      <c r="E29" s="109" t="str">
        <f>VLOOKUP($C29,xe!$A:$B,2,0)</f>
        <v>50H-70216</v>
      </c>
      <c r="F29" s="111" t="str">
        <f>VLOOKUP($B29,ma!$A:$B,2,0)</f>
        <v>NGUYỄN TRƯƠNG</v>
      </c>
      <c r="G29" s="112" t="s">
        <v>1433</v>
      </c>
      <c r="H29" s="113" t="s">
        <v>1406</v>
      </c>
      <c r="I29" s="114"/>
      <c r="J29" s="109"/>
      <c r="K29" s="116">
        <v>2.2000000000000002</v>
      </c>
      <c r="L29" s="117">
        <f t="shared" ref="L29:L33" si="5">K29*50000</f>
        <v>110000.00000000001</v>
      </c>
      <c r="M29" s="114"/>
      <c r="N29" s="118"/>
      <c r="O29" s="118">
        <v>1</v>
      </c>
      <c r="P29" s="114">
        <f>VLOOKUP($B29,ma!$A:$C,3,0)</f>
        <v>800000</v>
      </c>
      <c r="Q29" s="114">
        <f>VLOOKUP($B29,ma!$A:$C,3,0)</f>
        <v>800000</v>
      </c>
      <c r="R29" s="119"/>
      <c r="S29" s="119"/>
      <c r="T29" s="119"/>
      <c r="U29" s="119"/>
      <c r="V29" s="119"/>
      <c r="W29" s="119"/>
      <c r="X29" s="119"/>
      <c r="Y29" s="119"/>
      <c r="Z29" s="119"/>
      <c r="AA29" s="119"/>
    </row>
    <row r="30" spans="1:27" ht="15">
      <c r="A30" s="107">
        <f t="shared" si="3"/>
        <v>21</v>
      </c>
      <c r="B30" s="108" t="s">
        <v>680</v>
      </c>
      <c r="C30" s="109" t="s">
        <v>10</v>
      </c>
      <c r="D30" s="110">
        <v>46083</v>
      </c>
      <c r="E30" s="109" t="str">
        <f>VLOOKUP($C30,xe!$A:$B,2,0)</f>
        <v>50H-50999</v>
      </c>
      <c r="F30" s="111" t="str">
        <f>VLOOKUP($B30,ma!$A:$B,2,0)</f>
        <v>TA BAKER Q,12</v>
      </c>
      <c r="G30" s="112" t="s">
        <v>1434</v>
      </c>
      <c r="H30" s="113" t="s">
        <v>1401</v>
      </c>
      <c r="I30" s="114"/>
      <c r="J30" s="109"/>
      <c r="K30" s="116">
        <v>1.4</v>
      </c>
      <c r="L30" s="117">
        <f t="shared" si="5"/>
        <v>70000</v>
      </c>
      <c r="M30" s="114"/>
      <c r="N30" s="118"/>
      <c r="O30" s="118">
        <v>1</v>
      </c>
      <c r="P30" s="114">
        <f>VLOOKUP($B30,ma!$A:$C,3,0)</f>
        <v>800000</v>
      </c>
      <c r="Q30" s="114">
        <f>VLOOKUP($B30,ma!$A:$C,3,0)</f>
        <v>800000</v>
      </c>
      <c r="R30" s="119"/>
      <c r="S30" s="119"/>
      <c r="T30" s="119"/>
      <c r="U30" s="119"/>
      <c r="V30" s="119"/>
      <c r="W30" s="119"/>
      <c r="X30" s="119"/>
      <c r="Y30" s="119"/>
      <c r="Z30" s="119"/>
      <c r="AA30" s="119"/>
    </row>
    <row r="31" spans="1:27" ht="15">
      <c r="A31" s="107">
        <f t="shared" si="3"/>
        <v>22</v>
      </c>
      <c r="B31" s="108" t="s">
        <v>680</v>
      </c>
      <c r="C31" s="109" t="s">
        <v>14</v>
      </c>
      <c r="D31" s="110">
        <v>46083</v>
      </c>
      <c r="E31" s="109" t="str">
        <f>VLOOKUP($C31,xe!$A:$B,2,0)</f>
        <v>50H-64470</v>
      </c>
      <c r="F31" s="111" t="str">
        <f>VLOOKUP($B31,ma!$A:$B,2,0)</f>
        <v>TA BAKER Q,12</v>
      </c>
      <c r="G31" s="112" t="s">
        <v>1435</v>
      </c>
      <c r="H31" s="113" t="s">
        <v>1401</v>
      </c>
      <c r="I31" s="114"/>
      <c r="J31" s="109"/>
      <c r="K31" s="116">
        <v>1.4</v>
      </c>
      <c r="L31" s="117">
        <f t="shared" si="5"/>
        <v>70000</v>
      </c>
      <c r="M31" s="114"/>
      <c r="N31" s="118"/>
      <c r="O31" s="118">
        <v>1</v>
      </c>
      <c r="P31" s="114">
        <f>VLOOKUP($B31,ma!$A:$C,3,0)</f>
        <v>800000</v>
      </c>
      <c r="Q31" s="114">
        <f>VLOOKUP($B31,ma!$A:$C,3,0)</f>
        <v>800000</v>
      </c>
      <c r="R31" s="119"/>
      <c r="S31" s="119"/>
      <c r="T31" s="119"/>
      <c r="U31" s="119"/>
      <c r="V31" s="119"/>
      <c r="W31" s="119"/>
      <c r="X31" s="119"/>
      <c r="Y31" s="119"/>
      <c r="Z31" s="119"/>
      <c r="AA31" s="119"/>
    </row>
    <row r="32" spans="1:27" ht="15">
      <c r="A32" s="107">
        <f t="shared" si="3"/>
        <v>23</v>
      </c>
      <c r="B32" s="108" t="s">
        <v>1436</v>
      </c>
      <c r="C32" s="109" t="s">
        <v>4</v>
      </c>
      <c r="D32" s="110">
        <v>46083</v>
      </c>
      <c r="E32" s="109" t="str">
        <f>VLOOKUP($C32,xe!$A:$B,2,0)</f>
        <v>50H-55116</v>
      </c>
      <c r="F32" s="111" t="str">
        <f>VLOOKUP($B32,ma!$A:$B,2,0)</f>
        <v>MN VĨNH THẠNH</v>
      </c>
      <c r="G32" s="112" t="s">
        <v>1437</v>
      </c>
      <c r="H32" s="113" t="s">
        <v>1406</v>
      </c>
      <c r="I32" s="114"/>
      <c r="J32" s="109"/>
      <c r="K32" s="116">
        <v>1</v>
      </c>
      <c r="L32" s="117">
        <f t="shared" si="5"/>
        <v>50000</v>
      </c>
      <c r="M32" s="114"/>
      <c r="N32" s="118"/>
      <c r="O32" s="118">
        <v>1</v>
      </c>
      <c r="P32" s="114">
        <f>VLOOKUP($B32,ma!$A:$C,3,0)</f>
        <v>800000</v>
      </c>
      <c r="Q32" s="114">
        <f>VLOOKUP($B32,ma!$A:$C,3,0)</f>
        <v>800000</v>
      </c>
      <c r="R32" s="119"/>
      <c r="S32" s="119"/>
      <c r="T32" s="119"/>
      <c r="U32" s="119"/>
      <c r="V32" s="119"/>
      <c r="W32" s="119"/>
      <c r="X32" s="119"/>
      <c r="Y32" s="119"/>
      <c r="Z32" s="119"/>
      <c r="AA32" s="119"/>
    </row>
    <row r="33" spans="1:27" ht="15">
      <c r="A33" s="107">
        <f t="shared" si="3"/>
        <v>24</v>
      </c>
      <c r="B33" s="108" t="s">
        <v>1438</v>
      </c>
      <c r="C33" s="109" t="s">
        <v>14</v>
      </c>
      <c r="D33" s="110">
        <v>46083</v>
      </c>
      <c r="E33" s="109" t="str">
        <f>VLOOKUP($C33,xe!$A:$B,2,0)</f>
        <v>50H-64470</v>
      </c>
      <c r="F33" s="111" t="str">
        <f>VLOOKUP($B33,ma!$A:$B,2,0)</f>
        <v>SPM TÂN TẠO</v>
      </c>
      <c r="G33" s="112" t="s">
        <v>1439</v>
      </c>
      <c r="H33" s="113" t="s">
        <v>1401</v>
      </c>
      <c r="I33" s="114">
        <v>10000</v>
      </c>
      <c r="J33" s="109"/>
      <c r="K33" s="116">
        <v>1.2</v>
      </c>
      <c r="L33" s="117">
        <f t="shared" si="5"/>
        <v>60000</v>
      </c>
      <c r="M33" s="114">
        <v>30000</v>
      </c>
      <c r="N33" s="118" t="s">
        <v>1423</v>
      </c>
      <c r="O33" s="118">
        <v>1</v>
      </c>
      <c r="P33" s="114">
        <f>VLOOKUP($B33,ma!$A:$C,3,0)</f>
        <v>800000</v>
      </c>
      <c r="Q33" s="114">
        <f>VLOOKUP($B33,ma!$A:$C,3,0)</f>
        <v>800000</v>
      </c>
      <c r="R33" s="119"/>
      <c r="S33" s="119"/>
      <c r="T33" s="119"/>
      <c r="U33" s="119"/>
      <c r="V33" s="119"/>
      <c r="W33" s="119"/>
      <c r="X33" s="119"/>
      <c r="Y33" s="119"/>
      <c r="Z33" s="119"/>
      <c r="AA33" s="119"/>
    </row>
    <row r="34" spans="1:27" ht="15">
      <c r="A34" s="107">
        <f t="shared" si="3"/>
        <v>25</v>
      </c>
      <c r="B34" s="108" t="s">
        <v>848</v>
      </c>
      <c r="C34" s="109" t="s">
        <v>1440</v>
      </c>
      <c r="D34" s="110">
        <v>46083</v>
      </c>
      <c r="E34" s="109" t="str">
        <f>VLOOKUP($C34,xe!$A:$B,2,0)</f>
        <v>51H -88294</v>
      </c>
      <c r="F34" s="111" t="str">
        <f>VLOOKUP($B34,ma!$A:$B,2,0)</f>
        <v>VĂN HẬU Q8 ( K BX )</v>
      </c>
      <c r="G34" s="112" t="s">
        <v>1412</v>
      </c>
      <c r="H34" s="113" t="s">
        <v>1412</v>
      </c>
      <c r="I34" s="114"/>
      <c r="J34" s="115" t="s">
        <v>1441</v>
      </c>
      <c r="K34" s="116">
        <v>2.2000000000000002</v>
      </c>
      <c r="L34" s="130">
        <v>200000</v>
      </c>
      <c r="M34" s="127"/>
      <c r="N34" s="131" t="s">
        <v>1416</v>
      </c>
      <c r="O34" s="118">
        <v>1</v>
      </c>
      <c r="P34" s="114">
        <f>VLOOKUP($B34,ma!$A:$C,3,0)</f>
        <v>800000</v>
      </c>
      <c r="Q34" s="114">
        <f>VLOOKUP($B34,ma!$A:$C,3,0)</f>
        <v>800000</v>
      </c>
      <c r="R34" s="119"/>
      <c r="S34" s="119"/>
      <c r="T34" s="119"/>
      <c r="U34" s="119"/>
      <c r="V34" s="119"/>
      <c r="W34" s="119"/>
      <c r="X34" s="119"/>
      <c r="Y34" s="119"/>
      <c r="Z34" s="119"/>
      <c r="AA34" s="119"/>
    </row>
    <row r="35" spans="1:27" ht="15">
      <c r="A35" s="107">
        <f t="shared" si="3"/>
        <v>26</v>
      </c>
      <c r="B35" s="108" t="s">
        <v>289</v>
      </c>
      <c r="C35" s="109" t="s">
        <v>16</v>
      </c>
      <c r="D35" s="110">
        <v>46083</v>
      </c>
      <c r="E35" s="109" t="str">
        <f>VLOOKUP($C35,xe!$A:$B,2,0)</f>
        <v>50H-54580</v>
      </c>
      <c r="F35" s="111" t="str">
        <f>VLOOKUP($B35,ma!$A:$B,2,0)</f>
        <v>ANFOOD Q12 ( K BX )</v>
      </c>
      <c r="G35" s="112" t="s">
        <v>1442</v>
      </c>
      <c r="H35" s="113" t="s">
        <v>1443</v>
      </c>
      <c r="I35" s="114"/>
      <c r="J35" s="109"/>
      <c r="K35" s="116">
        <v>2</v>
      </c>
      <c r="L35" s="117">
        <v>50000</v>
      </c>
      <c r="M35" s="114">
        <v>30000</v>
      </c>
      <c r="N35" s="118" t="s">
        <v>1423</v>
      </c>
      <c r="O35" s="118">
        <v>1</v>
      </c>
      <c r="P35" s="114">
        <f>VLOOKUP($B35,ma!$A:$C,3,0)</f>
        <v>800000</v>
      </c>
      <c r="Q35" s="114">
        <f>VLOOKUP($B35,ma!$A:$C,3,0)</f>
        <v>800000</v>
      </c>
      <c r="R35" s="119"/>
      <c r="S35" s="119"/>
      <c r="T35" s="119"/>
      <c r="U35" s="119"/>
      <c r="V35" s="119"/>
      <c r="W35" s="119"/>
      <c r="X35" s="119"/>
      <c r="Y35" s="119"/>
      <c r="Z35" s="119"/>
      <c r="AA35" s="119"/>
    </row>
    <row r="36" spans="1:27" ht="15">
      <c r="A36" s="107">
        <f t="shared" si="3"/>
        <v>27</v>
      </c>
      <c r="B36" s="108" t="s">
        <v>1063</v>
      </c>
      <c r="C36" s="109" t="s">
        <v>25</v>
      </c>
      <c r="D36" s="110">
        <v>46083</v>
      </c>
      <c r="E36" s="109" t="str">
        <f>VLOOKUP($C36,xe!$A:$B,2,0)</f>
        <v>50H-55161</v>
      </c>
      <c r="F36" s="111" t="str">
        <f>VLOOKUP($B36,ma!$A:$B,2,0)</f>
        <v>BHX CẦN ĐƯỚC</v>
      </c>
      <c r="G36" s="112" t="s">
        <v>1444</v>
      </c>
      <c r="H36" s="113" t="s">
        <v>1406</v>
      </c>
      <c r="I36" s="114"/>
      <c r="J36" s="109"/>
      <c r="K36" s="116">
        <v>2</v>
      </c>
      <c r="L36" s="134">
        <v>250000</v>
      </c>
      <c r="M36" s="114"/>
      <c r="N36" s="118"/>
      <c r="O36" s="118">
        <v>1</v>
      </c>
      <c r="P36" s="114">
        <f>VLOOKUP($B36,ma!$A:$C,3,0)</f>
        <v>900000</v>
      </c>
      <c r="Q36" s="114">
        <f>VLOOKUP($B36,ma!$A:$C,3,0)</f>
        <v>900000</v>
      </c>
      <c r="R36" s="119"/>
      <c r="S36" s="119"/>
      <c r="T36" s="119"/>
      <c r="U36" s="119"/>
      <c r="V36" s="119"/>
      <c r="W36" s="119"/>
      <c r="X36" s="119"/>
      <c r="Y36" s="119"/>
      <c r="Z36" s="119"/>
      <c r="AA36" s="119"/>
    </row>
    <row r="37" spans="1:27" ht="15">
      <c r="A37" s="107">
        <f t="shared" si="3"/>
        <v>28</v>
      </c>
      <c r="B37" s="108" t="s">
        <v>1063</v>
      </c>
      <c r="C37" s="109" t="s">
        <v>29</v>
      </c>
      <c r="D37" s="110">
        <v>46083</v>
      </c>
      <c r="E37" s="109" t="str">
        <f>VLOOKUP($C37,xe!$A:$B,2,0)</f>
        <v>50H-74619</v>
      </c>
      <c r="F37" s="111" t="str">
        <f>VLOOKUP($B37,ma!$A:$B,2,0)</f>
        <v>BHX CẦN ĐƯỚC</v>
      </c>
      <c r="G37" s="112" t="s">
        <v>1445</v>
      </c>
      <c r="H37" s="113" t="s">
        <v>1406</v>
      </c>
      <c r="I37" s="114"/>
      <c r="J37" s="109"/>
      <c r="K37" s="116">
        <v>2</v>
      </c>
      <c r="L37" s="134">
        <v>210000</v>
      </c>
      <c r="M37" s="114">
        <v>30000</v>
      </c>
      <c r="N37" s="118" t="s">
        <v>1423</v>
      </c>
      <c r="O37" s="118">
        <v>1</v>
      </c>
      <c r="P37" s="114">
        <f>VLOOKUP($B37,ma!$A:$C,3,0)</f>
        <v>900000</v>
      </c>
      <c r="Q37" s="114">
        <f>VLOOKUP($B37,ma!$A:$C,3,0)</f>
        <v>900000</v>
      </c>
      <c r="R37" s="119"/>
      <c r="S37" s="119"/>
      <c r="T37" s="119"/>
      <c r="U37" s="119"/>
      <c r="V37" s="119"/>
      <c r="W37" s="119"/>
      <c r="X37" s="119"/>
      <c r="Y37" s="119"/>
      <c r="Z37" s="119"/>
      <c r="AA37" s="119"/>
    </row>
    <row r="38" spans="1:27" ht="15">
      <c r="A38" s="107">
        <f t="shared" si="3"/>
        <v>29</v>
      </c>
      <c r="B38" s="108" t="s">
        <v>1069</v>
      </c>
      <c r="C38" s="109" t="s">
        <v>78</v>
      </c>
      <c r="D38" s="110">
        <v>46083</v>
      </c>
      <c r="E38" s="133" t="str">
        <f>VLOOKUP($C38,xe!$A:$B,2,0)</f>
        <v>50E-565,21</v>
      </c>
      <c r="F38" s="111" t="str">
        <f>VLOOKUP($B38,ma!$A:$B,2,0)</f>
        <v>BHX XUYÊN Á</v>
      </c>
      <c r="G38" s="112" t="s">
        <v>1446</v>
      </c>
      <c r="H38" s="113" t="s">
        <v>1401</v>
      </c>
      <c r="I38" s="114"/>
      <c r="J38" s="109"/>
      <c r="K38" s="116">
        <v>1.2</v>
      </c>
      <c r="L38" s="117">
        <f t="shared" ref="L38:L39" si="6">K38*80000</f>
        <v>96000</v>
      </c>
      <c r="M38" s="114"/>
      <c r="N38" s="118"/>
      <c r="O38" s="118">
        <v>1</v>
      </c>
      <c r="P38" s="114">
        <f>VLOOKUP($B38,ma!$A:$C,3,0)</f>
        <v>900000</v>
      </c>
      <c r="Q38" s="114">
        <f>VLOOKUP($B38,ma!$A:$C,3,0)</f>
        <v>900000</v>
      </c>
      <c r="R38" s="119"/>
      <c r="S38" s="119"/>
      <c r="T38" s="119"/>
      <c r="U38" s="119"/>
      <c r="V38" s="119"/>
      <c r="W38" s="119"/>
      <c r="X38" s="119"/>
      <c r="Y38" s="119"/>
      <c r="Z38" s="119"/>
      <c r="AA38" s="119"/>
    </row>
    <row r="39" spans="1:27" ht="15">
      <c r="A39" s="107">
        <f t="shared" si="3"/>
        <v>30</v>
      </c>
      <c r="B39" s="108" t="s">
        <v>1061</v>
      </c>
      <c r="C39" s="109" t="s">
        <v>74</v>
      </c>
      <c r="D39" s="110">
        <v>46083</v>
      </c>
      <c r="E39" s="109" t="str">
        <f>VLOOKUP($C39,xe!$A:$B,2,0)</f>
        <v>50H-44024</v>
      </c>
      <c r="F39" s="111" t="str">
        <f>VLOOKUP($B39,ma!$A:$B,2,0)</f>
        <v>BHX ( TĐN)</v>
      </c>
      <c r="G39" s="112" t="s">
        <v>1447</v>
      </c>
      <c r="H39" s="113" t="s">
        <v>1448</v>
      </c>
      <c r="I39" s="114"/>
      <c r="J39" s="109"/>
      <c r="K39" s="116">
        <v>1.8</v>
      </c>
      <c r="L39" s="117">
        <f t="shared" si="6"/>
        <v>144000</v>
      </c>
      <c r="M39" s="114"/>
      <c r="N39" s="118"/>
      <c r="O39" s="118">
        <v>1</v>
      </c>
      <c r="P39" s="114">
        <f>VLOOKUP($B39,ma!$A:$C,3,0)</f>
        <v>800000</v>
      </c>
      <c r="Q39" s="114">
        <f>VLOOKUP($B39,ma!$A:$C,3,0)</f>
        <v>800000</v>
      </c>
      <c r="R39" s="119"/>
      <c r="S39" s="119"/>
      <c r="T39" s="119"/>
      <c r="U39" s="119"/>
      <c r="V39" s="119"/>
      <c r="W39" s="119"/>
      <c r="X39" s="119"/>
      <c r="Y39" s="119"/>
      <c r="Z39" s="119"/>
      <c r="AA39" s="119"/>
    </row>
    <row r="40" spans="1:27" ht="15">
      <c r="A40" s="107">
        <f t="shared" si="3"/>
        <v>31</v>
      </c>
      <c r="B40" s="108" t="s">
        <v>1449</v>
      </c>
      <c r="C40" s="109" t="s">
        <v>4</v>
      </c>
      <c r="D40" s="110">
        <v>46083</v>
      </c>
      <c r="E40" s="109" t="str">
        <f>VLOOKUP($C40,xe!$A:$B,2,0)</f>
        <v>50H-55116</v>
      </c>
      <c r="F40" s="111" t="str">
        <f>VLOOKUP($B40,ma!$A:$B,2,0)</f>
        <v>BHX NHÀ BÈ</v>
      </c>
      <c r="G40" s="112" t="s">
        <v>1450</v>
      </c>
      <c r="H40" s="113" t="s">
        <v>1406</v>
      </c>
      <c r="I40" s="114"/>
      <c r="J40" s="109"/>
      <c r="K40" s="116">
        <v>1.6</v>
      </c>
      <c r="L40" s="117">
        <f>K40*50000</f>
        <v>80000</v>
      </c>
      <c r="M40" s="114"/>
      <c r="N40" s="118"/>
      <c r="O40" s="118">
        <v>1</v>
      </c>
      <c r="P40" s="114">
        <f>VLOOKUP($B40,ma!$A:$C,3,0)</f>
        <v>400000</v>
      </c>
      <c r="Q40" s="114">
        <f>VLOOKUP($B40,ma!$A:$C,3,0)</f>
        <v>400000</v>
      </c>
      <c r="R40" s="119"/>
      <c r="S40" s="119"/>
      <c r="T40" s="119"/>
      <c r="U40" s="119"/>
      <c r="V40" s="119"/>
      <c r="W40" s="119"/>
      <c r="X40" s="119"/>
      <c r="Y40" s="119"/>
      <c r="Z40" s="119"/>
      <c r="AA40" s="119"/>
    </row>
    <row r="41" spans="1:27" ht="15">
      <c r="A41" s="107">
        <f t="shared" si="3"/>
        <v>32</v>
      </c>
      <c r="B41" s="108" t="s">
        <v>1449</v>
      </c>
      <c r="C41" s="109" t="s">
        <v>1432</v>
      </c>
      <c r="D41" s="110">
        <v>46083</v>
      </c>
      <c r="E41" s="109" t="str">
        <f>VLOOKUP($C41,xe!$A:$B,2,0)</f>
        <v>50H-70216</v>
      </c>
      <c r="F41" s="111" t="str">
        <f>VLOOKUP($B41,ma!$A:$B,2,0)</f>
        <v>BHX NHÀ BÈ</v>
      </c>
      <c r="G41" s="112" t="s">
        <v>1451</v>
      </c>
      <c r="H41" s="113" t="s">
        <v>1406</v>
      </c>
      <c r="I41" s="114"/>
      <c r="J41" s="109"/>
      <c r="K41" s="116">
        <v>2</v>
      </c>
      <c r="L41" s="134">
        <v>210000</v>
      </c>
      <c r="M41" s="114"/>
      <c r="N41" s="118"/>
      <c r="O41" s="118">
        <v>1</v>
      </c>
      <c r="P41" s="114">
        <f>VLOOKUP($B41,ma!$A:$C,3,0)</f>
        <v>400000</v>
      </c>
      <c r="Q41" s="114">
        <f>VLOOKUP($B41,ma!$A:$C,3,0)</f>
        <v>400000</v>
      </c>
      <c r="R41" s="119"/>
      <c r="S41" s="119"/>
      <c r="T41" s="119"/>
      <c r="U41" s="119"/>
      <c r="V41" s="119"/>
      <c r="W41" s="119"/>
      <c r="X41" s="119"/>
      <c r="Y41" s="119"/>
      <c r="Z41" s="119"/>
      <c r="AA41" s="119"/>
    </row>
    <row r="42" spans="1:27" ht="15">
      <c r="A42" s="137">
        <v>1</v>
      </c>
      <c r="B42" s="138" t="s">
        <v>1452</v>
      </c>
      <c r="C42" s="139" t="s">
        <v>76</v>
      </c>
      <c r="D42" s="140">
        <v>46084</v>
      </c>
      <c r="E42" s="139" t="str">
        <f>VLOOKUP($C42,xe!$A:$B,2,0)</f>
        <v>51D-38021</v>
      </c>
      <c r="F42" s="141" t="str">
        <f>VLOOKUP($B42,ma!$A:$B,2,0)</f>
        <v>E MART SALA</v>
      </c>
      <c r="G42" s="142" t="s">
        <v>1453</v>
      </c>
      <c r="H42" s="126" t="s">
        <v>1401</v>
      </c>
      <c r="I42" s="132"/>
      <c r="J42" s="115" t="s">
        <v>140</v>
      </c>
      <c r="K42" s="129">
        <v>2.4</v>
      </c>
      <c r="L42" s="143">
        <f t="shared" ref="L42:L49" si="7">K42*50000</f>
        <v>120000</v>
      </c>
      <c r="M42" s="132"/>
      <c r="N42" s="144"/>
      <c r="O42" s="144">
        <v>1</v>
      </c>
      <c r="P42" s="132">
        <f>VLOOKUP($B42,ma!$A:$C,3,0)</f>
        <v>800000</v>
      </c>
      <c r="Q42" s="132">
        <f>VLOOKUP($B42,ma!$A:$C,3,0)</f>
        <v>800000</v>
      </c>
      <c r="R42" s="119"/>
      <c r="S42" s="119"/>
      <c r="T42" s="119"/>
      <c r="U42" s="119"/>
      <c r="V42" s="119"/>
      <c r="W42" s="119"/>
      <c r="X42" s="119"/>
      <c r="Y42" s="119"/>
      <c r="Z42" s="119"/>
      <c r="AA42" s="119"/>
    </row>
    <row r="43" spans="1:27" ht="15">
      <c r="A43" s="107">
        <f t="shared" ref="A43:A74" si="8">A42+1</f>
        <v>2</v>
      </c>
      <c r="B43" s="108" t="s">
        <v>110</v>
      </c>
      <c r="C43" s="109" t="s">
        <v>29</v>
      </c>
      <c r="D43" s="110">
        <v>46084</v>
      </c>
      <c r="E43" s="109" t="str">
        <f>VLOOKUP($C43,xe!$A:$B,2,0)</f>
        <v>50H-74619</v>
      </c>
      <c r="F43" s="111" t="str">
        <f>VLOOKUP($B43,ma!$A:$B,2,0)</f>
        <v>CALOFIC - UNI ( xe nhỏ )</v>
      </c>
      <c r="G43" s="112" t="s">
        <v>1454</v>
      </c>
      <c r="H43" s="113" t="s">
        <v>1443</v>
      </c>
      <c r="I43" s="114"/>
      <c r="J43" s="115" t="s">
        <v>140</v>
      </c>
      <c r="K43" s="116">
        <v>1</v>
      </c>
      <c r="L43" s="117">
        <f t="shared" si="7"/>
        <v>50000</v>
      </c>
      <c r="M43" s="114"/>
      <c r="N43" s="118"/>
      <c r="O43" s="118">
        <v>1</v>
      </c>
      <c r="P43" s="114">
        <f>VLOOKUP($B43,ma!$A:$C,3,0)</f>
        <v>300000</v>
      </c>
      <c r="Q43" s="114">
        <f>VLOOKUP($B43,ma!$A:$C,3,0)</f>
        <v>300000</v>
      </c>
      <c r="R43" s="119"/>
      <c r="S43" s="119"/>
      <c r="T43" s="119"/>
      <c r="U43" s="119"/>
      <c r="V43" s="119"/>
      <c r="W43" s="119"/>
      <c r="X43" s="119"/>
      <c r="Y43" s="119"/>
      <c r="Z43" s="119"/>
      <c r="AA43" s="119"/>
    </row>
    <row r="44" spans="1:27" ht="15">
      <c r="A44" s="107">
        <f t="shared" si="8"/>
        <v>3</v>
      </c>
      <c r="B44" s="108" t="s">
        <v>1455</v>
      </c>
      <c r="C44" s="109" t="s">
        <v>64</v>
      </c>
      <c r="D44" s="110">
        <v>46084</v>
      </c>
      <c r="E44" s="109" t="str">
        <f>VLOOKUP($C44,xe!$A:$B,2,0)</f>
        <v>50H-60635</v>
      </c>
      <c r="F44" s="111" t="str">
        <f>VLOOKUP($B44,ma!$A:$B,2,0)</f>
        <v>BC GÒ VẤP</v>
      </c>
      <c r="G44" s="112" t="s">
        <v>1456</v>
      </c>
      <c r="H44" s="113" t="s">
        <v>1401</v>
      </c>
      <c r="I44" s="114"/>
      <c r="J44" s="120" t="s">
        <v>1457</v>
      </c>
      <c r="K44" s="116">
        <v>1</v>
      </c>
      <c r="L44" s="117">
        <f t="shared" si="7"/>
        <v>50000</v>
      </c>
      <c r="M44" s="114"/>
      <c r="N44" s="118"/>
      <c r="O44" s="118">
        <v>1</v>
      </c>
      <c r="P44" s="114">
        <f>VLOOKUP($B44,ma!$A:$C,3,0)</f>
        <v>800000</v>
      </c>
      <c r="Q44" s="114">
        <f>VLOOKUP($B44,ma!$A:$C,3,0)</f>
        <v>800000</v>
      </c>
      <c r="R44" s="119"/>
      <c r="S44" s="119"/>
      <c r="T44" s="119"/>
      <c r="U44" s="119"/>
      <c r="V44" s="119"/>
      <c r="W44" s="119"/>
      <c r="X44" s="119"/>
      <c r="Y44" s="119"/>
      <c r="Z44" s="119"/>
      <c r="AA44" s="119"/>
    </row>
    <row r="45" spans="1:27" ht="15">
      <c r="A45" s="107">
        <f t="shared" si="8"/>
        <v>4</v>
      </c>
      <c r="B45" s="108" t="s">
        <v>1458</v>
      </c>
      <c r="C45" s="109" t="s">
        <v>1404</v>
      </c>
      <c r="D45" s="110">
        <v>46084</v>
      </c>
      <c r="E45" s="109" t="str">
        <f>VLOOKUP($C45,xe!$A:$B,2,0)</f>
        <v>51C-81056</v>
      </c>
      <c r="F45" s="111" t="str">
        <f>VLOOKUP($B45,ma!$A:$B,2,0)</f>
        <v>PHẠM ANH HÓC MÔN</v>
      </c>
      <c r="G45" s="112" t="s">
        <v>1459</v>
      </c>
      <c r="H45" s="113" t="s">
        <v>1460</v>
      </c>
      <c r="I45" s="114"/>
      <c r="J45" s="120" t="s">
        <v>1457</v>
      </c>
      <c r="K45" s="116">
        <v>1.6</v>
      </c>
      <c r="L45" s="117">
        <f t="shared" si="7"/>
        <v>80000</v>
      </c>
      <c r="M45" s="114"/>
      <c r="N45" s="118"/>
      <c r="O45" s="118">
        <v>1</v>
      </c>
      <c r="P45" s="114">
        <f>VLOOKUP($B45,ma!$A:$C,3,0)</f>
        <v>800000</v>
      </c>
      <c r="Q45" s="114">
        <f>VLOOKUP($B45,ma!$A:$C,3,0)</f>
        <v>800000</v>
      </c>
      <c r="R45" s="119"/>
      <c r="S45" s="119"/>
      <c r="T45" s="119"/>
      <c r="U45" s="119"/>
      <c r="V45" s="119"/>
      <c r="W45" s="119"/>
      <c r="X45" s="119"/>
      <c r="Y45" s="119"/>
      <c r="Z45" s="119"/>
      <c r="AA45" s="119"/>
    </row>
    <row r="46" spans="1:27" ht="15">
      <c r="A46" s="107">
        <f t="shared" si="8"/>
        <v>5</v>
      </c>
      <c r="B46" s="108" t="s">
        <v>1458</v>
      </c>
      <c r="C46" s="109" t="s">
        <v>66</v>
      </c>
      <c r="D46" s="110">
        <v>46084</v>
      </c>
      <c r="E46" s="109" t="str">
        <f>VLOOKUP($C46,xe!$A:$B,2,0)</f>
        <v>50H-92136</v>
      </c>
      <c r="F46" s="111" t="str">
        <f>VLOOKUP($B46,ma!$A:$B,2,0)</f>
        <v>PHẠM ANH HÓC MÔN</v>
      </c>
      <c r="G46" s="112" t="s">
        <v>1461</v>
      </c>
      <c r="H46" s="113" t="s">
        <v>1401</v>
      </c>
      <c r="I46" s="114"/>
      <c r="J46" s="120" t="s">
        <v>1457</v>
      </c>
      <c r="K46" s="116">
        <v>1.6</v>
      </c>
      <c r="L46" s="117">
        <f t="shared" si="7"/>
        <v>80000</v>
      </c>
      <c r="M46" s="114"/>
      <c r="N46" s="118"/>
      <c r="O46" s="118">
        <v>1</v>
      </c>
      <c r="P46" s="114">
        <f>VLOOKUP($B46,ma!$A:$C,3,0)</f>
        <v>800000</v>
      </c>
      <c r="Q46" s="114">
        <f>VLOOKUP($B46,ma!$A:$C,3,0)</f>
        <v>800000</v>
      </c>
      <c r="R46" s="119"/>
      <c r="S46" s="119"/>
      <c r="T46" s="119"/>
      <c r="U46" s="119"/>
      <c r="V46" s="119"/>
      <c r="W46" s="119"/>
      <c r="X46" s="119"/>
      <c r="Y46" s="119"/>
      <c r="Z46" s="119"/>
      <c r="AA46" s="119"/>
    </row>
    <row r="47" spans="1:27" ht="15">
      <c r="A47" s="107">
        <f t="shared" si="8"/>
        <v>6</v>
      </c>
      <c r="B47" s="108" t="s">
        <v>1462</v>
      </c>
      <c r="C47" s="109" t="s">
        <v>1440</v>
      </c>
      <c r="D47" s="110">
        <v>46084</v>
      </c>
      <c r="E47" s="109" t="str">
        <f>VLOOKUP($C47,xe!$A:$B,2,0)</f>
        <v>51H -88294</v>
      </c>
      <c r="F47" s="111" t="str">
        <f>VLOOKUP($B47,ma!$A:$B,2,0)</f>
        <v>M. AN PHÚ</v>
      </c>
      <c r="G47" s="112" t="s">
        <v>1463</v>
      </c>
      <c r="H47" s="113" t="s">
        <v>1401</v>
      </c>
      <c r="I47" s="114"/>
      <c r="J47" s="109"/>
      <c r="K47" s="116">
        <v>1.8</v>
      </c>
      <c r="L47" s="117">
        <f t="shared" si="7"/>
        <v>90000</v>
      </c>
      <c r="M47" s="114">
        <v>70000</v>
      </c>
      <c r="N47" s="118" t="s">
        <v>1464</v>
      </c>
      <c r="O47" s="118">
        <v>1</v>
      </c>
      <c r="P47" s="114">
        <f>VLOOKUP($B47,ma!$A:$C,3,0)</f>
        <v>800000</v>
      </c>
      <c r="Q47" s="114">
        <f>VLOOKUP($B47,ma!$A:$C,3,0)</f>
        <v>800000</v>
      </c>
      <c r="R47" s="119"/>
      <c r="S47" s="119"/>
      <c r="T47" s="119"/>
      <c r="U47" s="119"/>
      <c r="V47" s="119"/>
      <c r="W47" s="119"/>
      <c r="X47" s="119"/>
      <c r="Y47" s="119"/>
      <c r="Z47" s="119"/>
      <c r="AA47" s="119"/>
    </row>
    <row r="48" spans="1:27" ht="15">
      <c r="A48" s="107">
        <f t="shared" si="8"/>
        <v>7</v>
      </c>
      <c r="B48" s="108" t="s">
        <v>1462</v>
      </c>
      <c r="C48" s="109" t="s">
        <v>14</v>
      </c>
      <c r="D48" s="110">
        <v>46084</v>
      </c>
      <c r="E48" s="109" t="str">
        <f>VLOOKUP($C48,xe!$A:$B,2,0)</f>
        <v>50H-64470</v>
      </c>
      <c r="F48" s="111" t="str">
        <f>VLOOKUP($B48,ma!$A:$B,2,0)</f>
        <v>M. AN PHÚ</v>
      </c>
      <c r="G48" s="112" t="s">
        <v>1465</v>
      </c>
      <c r="H48" s="113" t="s">
        <v>1401</v>
      </c>
      <c r="I48" s="114"/>
      <c r="J48" s="109"/>
      <c r="K48" s="116">
        <v>1.6</v>
      </c>
      <c r="L48" s="117">
        <f t="shared" si="7"/>
        <v>80000</v>
      </c>
      <c r="M48" s="114">
        <v>80000</v>
      </c>
      <c r="N48" s="118" t="s">
        <v>1466</v>
      </c>
      <c r="O48" s="118">
        <v>1</v>
      </c>
      <c r="P48" s="114">
        <f>VLOOKUP($B48,ma!$A:$C,3,0)</f>
        <v>800000</v>
      </c>
      <c r="Q48" s="114">
        <f>VLOOKUP($B48,ma!$A:$C,3,0)</f>
        <v>800000</v>
      </c>
      <c r="R48" s="119"/>
      <c r="S48" s="119"/>
      <c r="T48" s="119"/>
      <c r="U48" s="119"/>
      <c r="V48" s="119"/>
      <c r="W48" s="119"/>
      <c r="X48" s="119"/>
      <c r="Y48" s="119"/>
      <c r="Z48" s="119"/>
      <c r="AA48" s="119"/>
    </row>
    <row r="49" spans="1:27" ht="15">
      <c r="A49" s="107">
        <f t="shared" si="8"/>
        <v>8</v>
      </c>
      <c r="B49" s="108" t="s">
        <v>1467</v>
      </c>
      <c r="C49" s="109" t="s">
        <v>72</v>
      </c>
      <c r="D49" s="110">
        <v>46084</v>
      </c>
      <c r="E49" s="109" t="str">
        <f>VLOOKUP($C49,xe!$A:$B,2,0)</f>
        <v>47H-02023</v>
      </c>
      <c r="F49" s="111" t="str">
        <f>VLOOKUP($B49,ma!$A:$B,2,0)</f>
        <v>LÊ GIA THỦ ĐỨC</v>
      </c>
      <c r="G49" s="112" t="s">
        <v>1468</v>
      </c>
      <c r="H49" s="113" t="s">
        <v>1401</v>
      </c>
      <c r="I49" s="114"/>
      <c r="J49" s="109"/>
      <c r="K49" s="116">
        <v>1.2</v>
      </c>
      <c r="L49" s="117">
        <f t="shared" si="7"/>
        <v>60000</v>
      </c>
      <c r="M49" s="114"/>
      <c r="N49" s="118"/>
      <c r="O49" s="118">
        <v>1</v>
      </c>
      <c r="P49" s="114">
        <f>VLOOKUP($B49,ma!$A:$C,3,0)</f>
        <v>800000</v>
      </c>
      <c r="Q49" s="114">
        <f>VLOOKUP($B49,ma!$A:$C,3,0)</f>
        <v>800000</v>
      </c>
      <c r="R49" s="119"/>
      <c r="S49" s="119"/>
      <c r="T49" s="119"/>
      <c r="U49" s="119"/>
      <c r="V49" s="119"/>
      <c r="W49" s="119"/>
      <c r="X49" s="119"/>
      <c r="Y49" s="119"/>
      <c r="Z49" s="119"/>
      <c r="AA49" s="119"/>
    </row>
    <row r="50" spans="1:27" ht="15">
      <c r="A50" s="107">
        <f t="shared" si="8"/>
        <v>9</v>
      </c>
      <c r="B50" s="108" t="s">
        <v>1469</v>
      </c>
      <c r="C50" s="109" t="s">
        <v>1408</v>
      </c>
      <c r="D50" s="110">
        <v>46084</v>
      </c>
      <c r="E50" s="109" t="str">
        <f>VLOOKUP($C50,xe!$A:$B,2,0)</f>
        <v>50H-11822</v>
      </c>
      <c r="F50" s="111" t="str">
        <f>VLOOKUP($B50,ma!$A:$B,2,0)</f>
        <v>US PHARMA (KBX )</v>
      </c>
      <c r="G50" s="112" t="s">
        <v>1470</v>
      </c>
      <c r="H50" s="113" t="s">
        <v>1401</v>
      </c>
      <c r="I50" s="114"/>
      <c r="J50" s="109"/>
      <c r="K50" s="116">
        <v>2.2000000000000002</v>
      </c>
      <c r="L50" s="117"/>
      <c r="M50" s="114"/>
      <c r="N50" s="118"/>
      <c r="O50" s="118">
        <v>1</v>
      </c>
      <c r="P50" s="114">
        <f>VLOOKUP($B50,ma!$A:$C,3,0)</f>
        <v>900000</v>
      </c>
      <c r="Q50" s="114">
        <f>VLOOKUP($B50,ma!$A:$C,3,0)</f>
        <v>900000</v>
      </c>
      <c r="R50" s="119"/>
      <c r="S50" s="119"/>
      <c r="T50" s="119"/>
      <c r="U50" s="119"/>
      <c r="V50" s="119"/>
      <c r="W50" s="119"/>
      <c r="X50" s="119"/>
      <c r="Y50" s="119"/>
      <c r="Z50" s="119"/>
      <c r="AA50" s="119"/>
    </row>
    <row r="51" spans="1:27" ht="15">
      <c r="A51" s="107">
        <f t="shared" si="8"/>
        <v>10</v>
      </c>
      <c r="B51" s="108" t="s">
        <v>1471</v>
      </c>
      <c r="C51" s="109" t="s">
        <v>70</v>
      </c>
      <c r="D51" s="110">
        <v>46084</v>
      </c>
      <c r="E51" s="109" t="str">
        <f>VLOOKUP($C51,xe!$A:$B,2,0)</f>
        <v>50H-86564</v>
      </c>
      <c r="F51" s="111" t="str">
        <f>VLOOKUP($B51,ma!$A:$B,2,0)</f>
        <v>VỊ NGỌT HAPPY ( K BX )</v>
      </c>
      <c r="G51" s="112" t="s">
        <v>1472</v>
      </c>
      <c r="H51" s="113" t="s">
        <v>1401</v>
      </c>
      <c r="I51" s="114"/>
      <c r="J51" s="109"/>
      <c r="K51" s="116">
        <v>1</v>
      </c>
      <c r="L51" s="117"/>
      <c r="M51" s="114"/>
      <c r="N51" s="118"/>
      <c r="O51" s="118">
        <v>1</v>
      </c>
      <c r="P51" s="114">
        <f>VLOOKUP($B51,ma!$A:$C,3,0)</f>
        <v>800000</v>
      </c>
      <c r="Q51" s="114">
        <f>VLOOKUP($B51,ma!$A:$C,3,0)</f>
        <v>800000</v>
      </c>
      <c r="R51" s="119"/>
      <c r="S51" s="119"/>
      <c r="T51" s="119"/>
      <c r="U51" s="119"/>
      <c r="V51" s="119"/>
      <c r="W51" s="119"/>
      <c r="X51" s="119"/>
      <c r="Y51" s="119"/>
      <c r="Z51" s="119"/>
      <c r="AA51" s="119"/>
    </row>
    <row r="52" spans="1:27" ht="15">
      <c r="A52" s="107">
        <f t="shared" si="8"/>
        <v>11</v>
      </c>
      <c r="B52" s="108" t="s">
        <v>1471</v>
      </c>
      <c r="C52" s="109" t="s">
        <v>68</v>
      </c>
      <c r="D52" s="110">
        <v>46084</v>
      </c>
      <c r="E52" s="109" t="str">
        <f>VLOOKUP($C52,xe!$A:$B,2,0)</f>
        <v>50H-55829</v>
      </c>
      <c r="F52" s="111" t="str">
        <f>VLOOKUP($B52,ma!$A:$B,2,0)</f>
        <v>VỊ NGỌT HAPPY ( K BX )</v>
      </c>
      <c r="G52" s="112" t="s">
        <v>1473</v>
      </c>
      <c r="H52" s="113" t="s">
        <v>1401</v>
      </c>
      <c r="I52" s="114"/>
      <c r="J52" s="109"/>
      <c r="K52" s="116">
        <v>1.4</v>
      </c>
      <c r="L52" s="117"/>
      <c r="M52" s="114"/>
      <c r="N52" s="118"/>
      <c r="O52" s="118">
        <v>1</v>
      </c>
      <c r="P52" s="114">
        <f>VLOOKUP($B52,ma!$A:$C,3,0)</f>
        <v>800000</v>
      </c>
      <c r="Q52" s="114">
        <f>VLOOKUP($B52,ma!$A:$C,3,0)</f>
        <v>800000</v>
      </c>
      <c r="R52" s="119"/>
      <c r="S52" s="119"/>
      <c r="T52" s="119"/>
      <c r="U52" s="119"/>
      <c r="V52" s="119"/>
      <c r="W52" s="119"/>
      <c r="X52" s="119"/>
      <c r="Y52" s="119"/>
      <c r="Z52" s="119"/>
      <c r="AA52" s="119"/>
    </row>
    <row r="53" spans="1:27" ht="15">
      <c r="A53" s="107">
        <f t="shared" si="8"/>
        <v>12</v>
      </c>
      <c r="B53" s="108" t="s">
        <v>1474</v>
      </c>
      <c r="C53" s="109" t="s">
        <v>23</v>
      </c>
      <c r="D53" s="110">
        <v>46084</v>
      </c>
      <c r="E53" s="109" t="str">
        <f>VLOOKUP($C53,xe!$A:$B,2,0)</f>
        <v>50H 87442</v>
      </c>
      <c r="F53" s="111" t="str">
        <f>VLOOKUP($B53,ma!$A:$B,2,0)</f>
        <v>NGUYỄN TRƯƠNG</v>
      </c>
      <c r="G53" s="112" t="s">
        <v>1475</v>
      </c>
      <c r="H53" s="113" t="s">
        <v>1401</v>
      </c>
      <c r="I53" s="114"/>
      <c r="J53" s="109"/>
      <c r="K53" s="116">
        <v>1.2</v>
      </c>
      <c r="L53" s="117">
        <f t="shared" ref="L53:L56" si="9">K53*50000</f>
        <v>60000</v>
      </c>
      <c r="M53" s="114"/>
      <c r="N53" s="118"/>
      <c r="O53" s="118">
        <v>1</v>
      </c>
      <c r="P53" s="114">
        <f>VLOOKUP($B53,ma!$A:$C,3,0)</f>
        <v>800000</v>
      </c>
      <c r="Q53" s="114">
        <f>VLOOKUP($B53,ma!$A:$C,3,0)</f>
        <v>800000</v>
      </c>
      <c r="R53" s="119"/>
      <c r="S53" s="119"/>
      <c r="T53" s="119"/>
      <c r="U53" s="119"/>
      <c r="V53" s="119"/>
      <c r="W53" s="119"/>
      <c r="X53" s="119"/>
      <c r="Y53" s="119"/>
      <c r="Z53" s="119"/>
      <c r="AA53" s="119"/>
    </row>
    <row r="54" spans="1:27" ht="15">
      <c r="A54" s="107">
        <f t="shared" si="8"/>
        <v>13</v>
      </c>
      <c r="B54" s="108" t="s">
        <v>1474</v>
      </c>
      <c r="C54" s="109" t="s">
        <v>6</v>
      </c>
      <c r="D54" s="110">
        <v>46084</v>
      </c>
      <c r="E54" s="109" t="str">
        <f>VLOOKUP($C54,xe!$A:$B,2,0)</f>
        <v>50H-69501</v>
      </c>
      <c r="F54" s="111" t="str">
        <f>VLOOKUP($B54,ma!$A:$B,2,0)</f>
        <v>NGUYỄN TRƯƠNG</v>
      </c>
      <c r="G54" s="112" t="s">
        <v>1476</v>
      </c>
      <c r="H54" s="113" t="s">
        <v>1401</v>
      </c>
      <c r="I54" s="114"/>
      <c r="J54" s="109"/>
      <c r="K54" s="116">
        <v>1.2</v>
      </c>
      <c r="L54" s="117">
        <f t="shared" si="9"/>
        <v>60000</v>
      </c>
      <c r="M54" s="114"/>
      <c r="N54" s="118"/>
      <c r="O54" s="118">
        <v>1</v>
      </c>
      <c r="P54" s="114">
        <f>VLOOKUP($B54,ma!$A:$C,3,0)</f>
        <v>800000</v>
      </c>
      <c r="Q54" s="114">
        <f>VLOOKUP($B54,ma!$A:$C,3,0)</f>
        <v>800000</v>
      </c>
      <c r="R54" s="119"/>
      <c r="S54" s="119"/>
      <c r="T54" s="119"/>
      <c r="U54" s="119"/>
      <c r="V54" s="119"/>
      <c r="W54" s="119"/>
      <c r="X54" s="119"/>
      <c r="Y54" s="119"/>
      <c r="Z54" s="119"/>
      <c r="AA54" s="119"/>
    </row>
    <row r="55" spans="1:27" ht="15">
      <c r="A55" s="107">
        <f t="shared" si="8"/>
        <v>14</v>
      </c>
      <c r="B55" s="108" t="s">
        <v>1477</v>
      </c>
      <c r="C55" s="109" t="s">
        <v>12</v>
      </c>
      <c r="D55" s="110">
        <v>46084</v>
      </c>
      <c r="E55" s="109" t="str">
        <f>VLOOKUP($C55,xe!$A:$B,2,0)</f>
        <v>50H-63174</v>
      </c>
      <c r="F55" s="111" t="str">
        <f>VLOOKUP($B55,ma!$A:$B,2,0)</f>
        <v>DƯƠNG DƯƠNG CHÂU</v>
      </c>
      <c r="G55" s="112" t="s">
        <v>1478</v>
      </c>
      <c r="H55" s="113" t="s">
        <v>1401</v>
      </c>
      <c r="I55" s="114"/>
      <c r="J55" s="109"/>
      <c r="K55" s="116">
        <v>1.8</v>
      </c>
      <c r="L55" s="117">
        <f t="shared" si="9"/>
        <v>90000</v>
      </c>
      <c r="M55" s="114"/>
      <c r="N55" s="118"/>
      <c r="O55" s="118">
        <v>1</v>
      </c>
      <c r="P55" s="114">
        <f>VLOOKUP($B55,ma!$A:$C,3,0)</f>
        <v>800000</v>
      </c>
      <c r="Q55" s="114">
        <f>VLOOKUP($B55,ma!$A:$C,3,0)</f>
        <v>800000</v>
      </c>
      <c r="R55" s="119"/>
      <c r="S55" s="119"/>
      <c r="T55" s="119"/>
      <c r="U55" s="119"/>
      <c r="V55" s="119"/>
      <c r="W55" s="119"/>
      <c r="X55" s="119"/>
      <c r="Y55" s="119"/>
      <c r="Z55" s="119"/>
      <c r="AA55" s="119"/>
    </row>
    <row r="56" spans="1:27" ht="15">
      <c r="A56" s="107">
        <f t="shared" si="8"/>
        <v>15</v>
      </c>
      <c r="B56" s="108" t="s">
        <v>1477</v>
      </c>
      <c r="C56" s="109" t="s">
        <v>27</v>
      </c>
      <c r="D56" s="110">
        <v>46084</v>
      </c>
      <c r="E56" s="109" t="str">
        <f>VLOOKUP($C56,xe!$A:$B,2,0)</f>
        <v>50H-55443</v>
      </c>
      <c r="F56" s="111" t="str">
        <f>VLOOKUP($B56,ma!$A:$B,2,0)</f>
        <v>DƯƠNG DƯƠNG CHÂU</v>
      </c>
      <c r="G56" s="112" t="s">
        <v>1479</v>
      </c>
      <c r="H56" s="113" t="s">
        <v>1401</v>
      </c>
      <c r="I56" s="114"/>
      <c r="J56" s="109"/>
      <c r="K56" s="116">
        <v>1.6</v>
      </c>
      <c r="L56" s="117">
        <f t="shared" si="9"/>
        <v>80000</v>
      </c>
      <c r="M56" s="114"/>
      <c r="N56" s="118"/>
      <c r="O56" s="118">
        <v>1</v>
      </c>
      <c r="P56" s="114">
        <f>VLOOKUP($B56,ma!$A:$C,3,0)</f>
        <v>800000</v>
      </c>
      <c r="Q56" s="114">
        <f>VLOOKUP($B56,ma!$A:$C,3,0)</f>
        <v>800000</v>
      </c>
      <c r="R56" s="119"/>
      <c r="S56" s="119"/>
      <c r="T56" s="119"/>
      <c r="U56" s="119"/>
      <c r="V56" s="119"/>
      <c r="W56" s="119"/>
      <c r="X56" s="119"/>
      <c r="Y56" s="119"/>
      <c r="Z56" s="119"/>
      <c r="AA56" s="119"/>
    </row>
    <row r="57" spans="1:27" ht="15">
      <c r="A57" s="107">
        <f t="shared" si="8"/>
        <v>16</v>
      </c>
      <c r="B57" s="108" t="s">
        <v>529</v>
      </c>
      <c r="C57" s="109" t="s">
        <v>21</v>
      </c>
      <c r="D57" s="110">
        <v>46084</v>
      </c>
      <c r="E57" s="109" t="str">
        <f>VLOOKUP($C57,xe!$A:$B,2,0)</f>
        <v>50H-66445</v>
      </c>
      <c r="F57" s="111" t="str">
        <f>VLOOKUP($B57,ma!$A:$B,2,0)</f>
        <v>PHẠM PHAN MES CỦ CHI ( K BX )</v>
      </c>
      <c r="G57" s="112" t="s">
        <v>1480</v>
      </c>
      <c r="H57" s="113" t="s">
        <v>1401</v>
      </c>
      <c r="I57" s="114"/>
      <c r="J57" s="109"/>
      <c r="K57" s="116">
        <v>1.6</v>
      </c>
      <c r="L57" s="134">
        <v>170000</v>
      </c>
      <c r="M57" s="114"/>
      <c r="N57" s="118"/>
      <c r="O57" s="118">
        <v>1</v>
      </c>
      <c r="P57" s="114">
        <f>VLOOKUP($B57,ma!$A:$C,3,0)</f>
        <v>900000</v>
      </c>
      <c r="Q57" s="114">
        <f>VLOOKUP($B57,ma!$A:$C,3,0)</f>
        <v>900000</v>
      </c>
      <c r="R57" s="119"/>
      <c r="S57" s="119"/>
      <c r="T57" s="119"/>
      <c r="U57" s="119"/>
      <c r="V57" s="119"/>
      <c r="W57" s="119"/>
      <c r="X57" s="119"/>
      <c r="Y57" s="119"/>
      <c r="Z57" s="119"/>
      <c r="AA57" s="119"/>
    </row>
    <row r="58" spans="1:27" ht="15">
      <c r="A58" s="107">
        <f t="shared" si="8"/>
        <v>17</v>
      </c>
      <c r="B58" s="108" t="s">
        <v>529</v>
      </c>
      <c r="C58" s="109" t="s">
        <v>62</v>
      </c>
      <c r="D58" s="110">
        <v>46084</v>
      </c>
      <c r="E58" s="109" t="str">
        <f>VLOOKUP($C58,xe!$A:$B,2,0)</f>
        <v>62H-01887</v>
      </c>
      <c r="F58" s="111" t="str">
        <f>VLOOKUP($B58,ma!$A:$B,2,0)</f>
        <v>PHẠM PHAN MES CỦ CHI ( K BX )</v>
      </c>
      <c r="G58" s="112" t="s">
        <v>1481</v>
      </c>
      <c r="H58" s="113" t="s">
        <v>1401</v>
      </c>
      <c r="I58" s="114"/>
      <c r="J58" s="109"/>
      <c r="K58" s="116">
        <v>1.6</v>
      </c>
      <c r="L58" s="117"/>
      <c r="M58" s="114"/>
      <c r="N58" s="118"/>
      <c r="O58" s="118">
        <v>1</v>
      </c>
      <c r="P58" s="114">
        <f>VLOOKUP($B58,ma!$A:$C,3,0)</f>
        <v>900000</v>
      </c>
      <c r="Q58" s="114">
        <f>VLOOKUP($B58,ma!$A:$C,3,0)</f>
        <v>900000</v>
      </c>
      <c r="R58" s="119"/>
      <c r="S58" s="119"/>
      <c r="T58" s="119"/>
      <c r="U58" s="119"/>
      <c r="V58" s="119"/>
      <c r="W58" s="119"/>
      <c r="X58" s="119"/>
      <c r="Y58" s="119"/>
      <c r="Z58" s="119"/>
      <c r="AA58" s="119"/>
    </row>
    <row r="59" spans="1:27" ht="15">
      <c r="A59" s="107">
        <f t="shared" si="8"/>
        <v>18</v>
      </c>
      <c r="B59" s="108" t="s">
        <v>503</v>
      </c>
      <c r="C59" s="109" t="s">
        <v>25</v>
      </c>
      <c r="D59" s="110">
        <v>46084</v>
      </c>
      <c r="E59" s="109" t="str">
        <f>VLOOKUP($C59,xe!$A:$B,2,0)</f>
        <v>50H-55161</v>
      </c>
      <c r="F59" s="111" t="str">
        <f>VLOOKUP($B59,ma!$A:$B,2,0)</f>
        <v>Paparotti Tân Phú</v>
      </c>
      <c r="G59" s="112" t="s">
        <v>1482</v>
      </c>
      <c r="H59" s="113" t="s">
        <v>1401</v>
      </c>
      <c r="I59" s="114"/>
      <c r="J59" s="109"/>
      <c r="K59" s="116">
        <v>1.2</v>
      </c>
      <c r="L59" s="117">
        <f>K59*50000</f>
        <v>60000</v>
      </c>
      <c r="M59" s="114"/>
      <c r="N59" s="118"/>
      <c r="O59" s="118">
        <v>1</v>
      </c>
      <c r="P59" s="114">
        <f>VLOOKUP($B59,ma!$A:$C,3,0)</f>
        <v>800000</v>
      </c>
      <c r="Q59" s="114">
        <f>VLOOKUP($B59,ma!$A:$C,3,0)</f>
        <v>800000</v>
      </c>
      <c r="R59" s="119"/>
      <c r="S59" s="119"/>
      <c r="T59" s="119"/>
      <c r="U59" s="119"/>
      <c r="V59" s="119"/>
      <c r="W59" s="119"/>
      <c r="X59" s="119"/>
      <c r="Y59" s="119"/>
      <c r="Z59" s="119"/>
      <c r="AA59" s="119"/>
    </row>
    <row r="60" spans="1:27" ht="15">
      <c r="A60" s="107">
        <f t="shared" si="8"/>
        <v>19</v>
      </c>
      <c r="B60" s="108" t="s">
        <v>314</v>
      </c>
      <c r="C60" s="109" t="s">
        <v>1432</v>
      </c>
      <c r="D60" s="110">
        <v>46084</v>
      </c>
      <c r="E60" s="109" t="str">
        <f>VLOOKUP($C60,xe!$A:$B,2,0)</f>
        <v>50H-70216</v>
      </c>
      <c r="F60" s="111" t="str">
        <f>VLOOKUP($B60,ma!$A:$B,2,0)</f>
        <v>BINH DƯƠNG BRANCH MAXIDI ( KBX )</v>
      </c>
      <c r="G60" s="112" t="s">
        <v>1405</v>
      </c>
      <c r="H60" s="113" t="s">
        <v>1401</v>
      </c>
      <c r="I60" s="114"/>
      <c r="J60" s="109"/>
      <c r="K60" s="116">
        <v>1.6</v>
      </c>
      <c r="L60" s="117">
        <v>50000</v>
      </c>
      <c r="M60" s="114"/>
      <c r="N60" s="118"/>
      <c r="O60" s="118">
        <v>1</v>
      </c>
      <c r="P60" s="114">
        <f>VLOOKUP($B60,ma!$A:$C,3,0)</f>
        <v>900000</v>
      </c>
      <c r="Q60" s="114">
        <f>VLOOKUP($B60,ma!$A:$C,3,0)</f>
        <v>900000</v>
      </c>
      <c r="R60" s="119"/>
      <c r="S60" s="119"/>
      <c r="T60" s="119"/>
      <c r="U60" s="119"/>
      <c r="V60" s="119"/>
      <c r="W60" s="119"/>
      <c r="X60" s="119"/>
      <c r="Y60" s="119"/>
      <c r="Z60" s="119"/>
      <c r="AA60" s="119"/>
    </row>
    <row r="61" spans="1:27" ht="15">
      <c r="A61" s="107">
        <f t="shared" si="8"/>
        <v>20</v>
      </c>
      <c r="B61" s="108" t="s">
        <v>314</v>
      </c>
      <c r="C61" s="109" t="s">
        <v>4</v>
      </c>
      <c r="D61" s="110">
        <v>46084</v>
      </c>
      <c r="E61" s="109" t="str">
        <f>VLOOKUP($C61,xe!$A:$B,2,0)</f>
        <v>50H-55116</v>
      </c>
      <c r="F61" s="111" t="str">
        <f>VLOOKUP($B61,ma!$A:$B,2,0)</f>
        <v>BINH DƯƠNG BRANCH MAXIDI ( KBX )</v>
      </c>
      <c r="G61" s="112" t="s">
        <v>1405</v>
      </c>
      <c r="H61" s="113" t="s">
        <v>1401</v>
      </c>
      <c r="I61" s="114"/>
      <c r="J61" s="109"/>
      <c r="K61" s="116">
        <v>1.6</v>
      </c>
      <c r="L61" s="117">
        <v>50000</v>
      </c>
      <c r="M61" s="114"/>
      <c r="N61" s="118"/>
      <c r="O61" s="118">
        <v>1</v>
      </c>
      <c r="P61" s="114">
        <f>VLOOKUP($B61,ma!$A:$C,3,0)</f>
        <v>900000</v>
      </c>
      <c r="Q61" s="114">
        <f>VLOOKUP($B61,ma!$A:$C,3,0)</f>
        <v>900000</v>
      </c>
      <c r="R61" s="119"/>
      <c r="S61" s="119"/>
      <c r="T61" s="119"/>
      <c r="U61" s="119"/>
      <c r="V61" s="119"/>
      <c r="W61" s="119"/>
      <c r="X61" s="119"/>
      <c r="Y61" s="119"/>
      <c r="Z61" s="119"/>
      <c r="AA61" s="119"/>
    </row>
    <row r="62" spans="1:27" ht="15">
      <c r="A62" s="107">
        <f t="shared" si="8"/>
        <v>21</v>
      </c>
      <c r="B62" s="108" t="s">
        <v>314</v>
      </c>
      <c r="C62" s="109" t="s">
        <v>74</v>
      </c>
      <c r="D62" s="110">
        <v>46084</v>
      </c>
      <c r="E62" s="109" t="str">
        <f>VLOOKUP($C62,xe!$A:$B,2,0)</f>
        <v>50H-44024</v>
      </c>
      <c r="F62" s="111" t="str">
        <f>VLOOKUP($B62,ma!$A:$B,2,0)</f>
        <v>BINH DƯƠNG BRANCH MAXIDI ( KBX )</v>
      </c>
      <c r="G62" s="112" t="s">
        <v>1405</v>
      </c>
      <c r="H62" s="113" t="s">
        <v>1401</v>
      </c>
      <c r="I62" s="114"/>
      <c r="J62" s="109"/>
      <c r="K62" s="116">
        <v>1.6</v>
      </c>
      <c r="L62" s="117"/>
      <c r="M62" s="114"/>
      <c r="N62" s="118"/>
      <c r="O62" s="118">
        <v>1</v>
      </c>
      <c r="P62" s="114">
        <f>VLOOKUP($B62,ma!$A:$C,3,0)</f>
        <v>900000</v>
      </c>
      <c r="Q62" s="114">
        <f>VLOOKUP($B62,ma!$A:$C,3,0)</f>
        <v>900000</v>
      </c>
      <c r="R62" s="119"/>
      <c r="S62" s="119"/>
      <c r="T62" s="119"/>
      <c r="U62" s="119"/>
      <c r="V62" s="119"/>
      <c r="W62" s="119"/>
      <c r="X62" s="119"/>
      <c r="Y62" s="119"/>
      <c r="Z62" s="119"/>
      <c r="AA62" s="119"/>
    </row>
    <row r="63" spans="1:27" ht="15">
      <c r="A63" s="107">
        <f t="shared" si="8"/>
        <v>22</v>
      </c>
      <c r="B63" s="108" t="s">
        <v>1483</v>
      </c>
      <c r="C63" s="109" t="s">
        <v>8</v>
      </c>
      <c r="D63" s="110">
        <v>46084</v>
      </c>
      <c r="E63" s="109" t="str">
        <f>VLOOKUP($C63,xe!$A:$B,2,0)</f>
        <v>50H-64316</v>
      </c>
      <c r="F63" s="111" t="str">
        <f>VLOOKUP($B63,ma!$A:$B,2,0)</f>
        <v>LIÊN NGUYỄN B.CHÁNH</v>
      </c>
      <c r="G63" s="112" t="s">
        <v>1484</v>
      </c>
      <c r="H63" s="113" t="s">
        <v>1443</v>
      </c>
      <c r="I63" s="114"/>
      <c r="J63" s="109"/>
      <c r="K63" s="116">
        <v>2.2000000000000002</v>
      </c>
      <c r="L63" s="117">
        <f t="shared" ref="L63:L65" si="10">K63*50000</f>
        <v>110000.00000000001</v>
      </c>
      <c r="M63" s="114"/>
      <c r="N63" s="118"/>
      <c r="O63" s="118">
        <v>1</v>
      </c>
      <c r="P63" s="114">
        <f>VLOOKUP($B63,ma!$A:$C,3,0)</f>
        <v>800000</v>
      </c>
      <c r="Q63" s="114">
        <f>VLOOKUP($B63,ma!$A:$C,3,0)</f>
        <v>800000</v>
      </c>
      <c r="R63" s="119"/>
      <c r="S63" s="119"/>
      <c r="T63" s="119"/>
      <c r="U63" s="119"/>
      <c r="V63" s="119"/>
      <c r="W63" s="119"/>
      <c r="X63" s="119"/>
      <c r="Y63" s="119"/>
      <c r="Z63" s="119"/>
      <c r="AA63" s="119"/>
    </row>
    <row r="64" spans="1:27" ht="15">
      <c r="A64" s="107">
        <f t="shared" si="8"/>
        <v>23</v>
      </c>
      <c r="B64" s="108" t="s">
        <v>507</v>
      </c>
      <c r="C64" s="109" t="s">
        <v>29</v>
      </c>
      <c r="D64" s="110">
        <v>46084</v>
      </c>
      <c r="E64" s="109" t="str">
        <f>VLOOKUP($C64,xe!$A:$B,2,0)</f>
        <v>50H-74619</v>
      </c>
      <c r="F64" s="111" t="str">
        <f>VLOOKUP($B64,ma!$A:$B,2,0)</f>
        <v>PHÚC ANH - B.THẠNH</v>
      </c>
      <c r="G64" s="112" t="s">
        <v>1485</v>
      </c>
      <c r="H64" s="113" t="s">
        <v>1443</v>
      </c>
      <c r="I64" s="114"/>
      <c r="J64" s="115" t="s">
        <v>140</v>
      </c>
      <c r="K64" s="116">
        <v>1.2</v>
      </c>
      <c r="L64" s="117">
        <f t="shared" si="10"/>
        <v>60000</v>
      </c>
      <c r="M64" s="114"/>
      <c r="N64" s="118"/>
      <c r="O64" s="118">
        <v>1</v>
      </c>
      <c r="P64" s="114">
        <f>VLOOKUP($B64,ma!$A:$C,3,0)</f>
        <v>800000</v>
      </c>
      <c r="Q64" s="114">
        <f>VLOOKUP($B64,ma!$A:$C,3,0)</f>
        <v>800000</v>
      </c>
      <c r="R64" s="119"/>
      <c r="S64" s="119"/>
      <c r="T64" s="119"/>
      <c r="U64" s="119"/>
      <c r="V64" s="119"/>
      <c r="W64" s="119"/>
      <c r="X64" s="119"/>
      <c r="Y64" s="119"/>
      <c r="Z64" s="119"/>
      <c r="AA64" s="119"/>
    </row>
    <row r="65" spans="1:27" ht="15">
      <c r="A65" s="107">
        <f t="shared" si="8"/>
        <v>24</v>
      </c>
      <c r="B65" s="108" t="s">
        <v>521</v>
      </c>
      <c r="C65" s="109" t="s">
        <v>16</v>
      </c>
      <c r="D65" s="110">
        <v>46084</v>
      </c>
      <c r="E65" s="109" t="str">
        <f>VLOOKUP($C65,xe!$A:$B,2,0)</f>
        <v>50H-54580</v>
      </c>
      <c r="F65" s="111" t="str">
        <f>VLOOKUP($B65,ma!$A:$B,2,0)</f>
        <v>PHÚ HOÀNG VINH</v>
      </c>
      <c r="G65" s="112" t="s">
        <v>1486</v>
      </c>
      <c r="H65" s="113" t="s">
        <v>1443</v>
      </c>
      <c r="I65" s="114"/>
      <c r="J65" s="115" t="s">
        <v>140</v>
      </c>
      <c r="K65" s="116">
        <v>1.8</v>
      </c>
      <c r="L65" s="117">
        <f t="shared" si="10"/>
        <v>90000</v>
      </c>
      <c r="M65" s="114"/>
      <c r="N65" s="118"/>
      <c r="O65" s="118">
        <v>1</v>
      </c>
      <c r="P65" s="114">
        <f>VLOOKUP($B65,ma!$A:$C,3,0)</f>
        <v>800000</v>
      </c>
      <c r="Q65" s="114">
        <f>VLOOKUP($B65,ma!$A:$C,3,0)</f>
        <v>800000</v>
      </c>
      <c r="R65" s="119"/>
      <c r="S65" s="119"/>
      <c r="T65" s="119"/>
      <c r="U65" s="119"/>
      <c r="V65" s="119"/>
      <c r="W65" s="119"/>
      <c r="X65" s="119"/>
      <c r="Y65" s="119"/>
      <c r="Z65" s="119"/>
      <c r="AA65" s="119"/>
    </row>
    <row r="66" spans="1:27" ht="15">
      <c r="A66" s="107">
        <f t="shared" si="8"/>
        <v>25</v>
      </c>
      <c r="B66" s="108" t="s">
        <v>856</v>
      </c>
      <c r="C66" s="109" t="s">
        <v>6</v>
      </c>
      <c r="D66" s="110">
        <v>46084</v>
      </c>
      <c r="E66" s="109" t="str">
        <f>VLOOKUP($C66,xe!$A:$B,2,0)</f>
        <v>50H-69501</v>
      </c>
      <c r="F66" s="111" t="str">
        <f>VLOOKUP($B66,ma!$A:$B,2,0)</f>
        <v>VĂN HẬU CỦ CHI</v>
      </c>
      <c r="G66" s="112" t="s">
        <v>1412</v>
      </c>
      <c r="H66" s="113" t="s">
        <v>1412</v>
      </c>
      <c r="I66" s="114"/>
      <c r="J66" s="109"/>
      <c r="K66" s="116">
        <v>1</v>
      </c>
      <c r="L66" s="134">
        <v>150000</v>
      </c>
      <c r="M66" s="114">
        <v>30000</v>
      </c>
      <c r="N66" s="118" t="s">
        <v>1423</v>
      </c>
      <c r="O66" s="118">
        <v>1</v>
      </c>
      <c r="P66" s="114">
        <f>VLOOKUP($B66,ma!$A:$C,3,0)</f>
        <v>900000</v>
      </c>
      <c r="Q66" s="114">
        <f>VLOOKUP($B66,ma!$A:$C,3,0)</f>
        <v>900000</v>
      </c>
      <c r="R66" s="119"/>
      <c r="S66" s="119"/>
      <c r="T66" s="119"/>
      <c r="U66" s="119"/>
      <c r="V66" s="119"/>
      <c r="W66" s="119"/>
      <c r="X66" s="119"/>
      <c r="Y66" s="119"/>
      <c r="Z66" s="119"/>
      <c r="AA66" s="119"/>
    </row>
    <row r="67" spans="1:27" ht="15">
      <c r="A67" s="107">
        <f t="shared" si="8"/>
        <v>26</v>
      </c>
      <c r="B67" s="108" t="s">
        <v>1487</v>
      </c>
      <c r="C67" s="109" t="s">
        <v>1488</v>
      </c>
      <c r="D67" s="110">
        <v>46084</v>
      </c>
      <c r="E67" s="109" t="str">
        <f>VLOOKUP($C67,xe!$A:$B,2,0)</f>
        <v>50H-66445</v>
      </c>
      <c r="F67" s="111" t="str">
        <f>VLOOKUP($B67,ma!$A:$B,2,0)</f>
        <v>VĂN HẬU Q8 ( K BX )</v>
      </c>
      <c r="G67" s="112" t="s">
        <v>1412</v>
      </c>
      <c r="H67" s="113" t="s">
        <v>1412</v>
      </c>
      <c r="I67" s="114"/>
      <c r="J67" s="109"/>
      <c r="K67" s="116">
        <v>2.2000000000000002</v>
      </c>
      <c r="L67" s="117">
        <v>50000</v>
      </c>
      <c r="M67" s="114">
        <v>30000</v>
      </c>
      <c r="N67" s="118" t="s">
        <v>1423</v>
      </c>
      <c r="O67" s="118">
        <v>1</v>
      </c>
      <c r="P67" s="114">
        <f>VLOOKUP($B67,ma!$A:$C,3,0)</f>
        <v>800000</v>
      </c>
      <c r="Q67" s="114">
        <f>VLOOKUP($B67,ma!$A:$C,3,0)</f>
        <v>800000</v>
      </c>
      <c r="R67" s="119"/>
      <c r="S67" s="119"/>
      <c r="T67" s="119"/>
      <c r="U67" s="119"/>
      <c r="V67" s="119"/>
      <c r="W67" s="119"/>
      <c r="X67" s="119"/>
      <c r="Y67" s="119"/>
      <c r="Z67" s="119"/>
      <c r="AA67" s="119"/>
    </row>
    <row r="68" spans="1:27" ht="15">
      <c r="A68" s="107">
        <f t="shared" si="8"/>
        <v>27</v>
      </c>
      <c r="B68" s="108" t="s">
        <v>1489</v>
      </c>
      <c r="C68" s="109" t="s">
        <v>1490</v>
      </c>
      <c r="D68" s="110">
        <v>46084</v>
      </c>
      <c r="E68" s="109" t="str">
        <f>VLOOKUP($C68,xe!$A:$B,2,0)</f>
        <v>50H-44024</v>
      </c>
      <c r="F68" s="111" t="str">
        <f>VLOOKUP($B68,ma!$A:$B,2,0)</f>
        <v>XUÂN VÂN ( K BX )</v>
      </c>
      <c r="G68" s="112" t="s">
        <v>1491</v>
      </c>
      <c r="H68" s="113" t="s">
        <v>1448</v>
      </c>
      <c r="I68" s="114"/>
      <c r="J68" s="109"/>
      <c r="K68" s="116">
        <v>1.8</v>
      </c>
      <c r="L68" s="117"/>
      <c r="M68" s="114"/>
      <c r="N68" s="118"/>
      <c r="O68" s="118">
        <v>1</v>
      </c>
      <c r="P68" s="114">
        <f>VLOOKUP($B68,ma!$A:$C,3,0)</f>
        <v>800000</v>
      </c>
      <c r="Q68" s="114">
        <f>VLOOKUP($B68,ma!$A:$C,3,0)</f>
        <v>800000</v>
      </c>
      <c r="R68" s="119"/>
      <c r="S68" s="119"/>
      <c r="T68" s="119"/>
      <c r="U68" s="119"/>
      <c r="V68" s="119"/>
      <c r="W68" s="119"/>
      <c r="X68" s="119"/>
      <c r="Y68" s="119"/>
      <c r="Z68" s="119"/>
      <c r="AA68" s="119"/>
    </row>
    <row r="69" spans="1:27" ht="15">
      <c r="A69" s="107">
        <f t="shared" si="8"/>
        <v>28</v>
      </c>
      <c r="B69" s="108" t="s">
        <v>1492</v>
      </c>
      <c r="C69" s="109" t="s">
        <v>1493</v>
      </c>
      <c r="D69" s="110">
        <v>46084</v>
      </c>
      <c r="E69" s="109" t="str">
        <f>VLOOKUP($C69,xe!$A:$B,2,0)</f>
        <v>50H-55161</v>
      </c>
      <c r="F69" s="111" t="str">
        <f>VLOOKUP($B69,ma!$A:$B,2,0)</f>
        <v>BHX NHÀ BÈ</v>
      </c>
      <c r="G69" s="112" t="s">
        <v>1494</v>
      </c>
      <c r="H69" s="113" t="s">
        <v>1401</v>
      </c>
      <c r="I69" s="114"/>
      <c r="J69" s="115" t="s">
        <v>455</v>
      </c>
      <c r="K69" s="116">
        <v>1.8</v>
      </c>
      <c r="L69" s="134">
        <v>200000</v>
      </c>
      <c r="M69" s="114">
        <v>30000</v>
      </c>
      <c r="N69" s="118" t="s">
        <v>1423</v>
      </c>
      <c r="O69" s="118">
        <v>1</v>
      </c>
      <c r="P69" s="114">
        <f>VLOOKUP($B69,ma!$A:$C,3,0)</f>
        <v>400000</v>
      </c>
      <c r="Q69" s="114">
        <f>VLOOKUP($B69,ma!$A:$C,3,0)</f>
        <v>400000</v>
      </c>
      <c r="R69" s="119"/>
      <c r="S69" s="119"/>
      <c r="T69" s="119"/>
      <c r="U69" s="119"/>
      <c r="V69" s="119"/>
      <c r="W69" s="119"/>
      <c r="X69" s="119"/>
      <c r="Y69" s="119"/>
      <c r="Z69" s="119"/>
      <c r="AA69" s="119"/>
    </row>
    <row r="70" spans="1:27" ht="15">
      <c r="A70" s="107">
        <f t="shared" si="8"/>
        <v>29</v>
      </c>
      <c r="B70" s="108" t="s">
        <v>1492</v>
      </c>
      <c r="C70" s="109" t="s">
        <v>1495</v>
      </c>
      <c r="D70" s="110">
        <v>46084</v>
      </c>
      <c r="E70" s="109" t="str">
        <f>VLOOKUP($C70,xe!$A:$B,2,0)</f>
        <v>50H-74619</v>
      </c>
      <c r="F70" s="111" t="str">
        <f>VLOOKUP($B70,ma!$A:$B,2,0)</f>
        <v>BHX NHÀ BÈ</v>
      </c>
      <c r="G70" s="112" t="s">
        <v>1496</v>
      </c>
      <c r="H70" s="113" t="s">
        <v>1460</v>
      </c>
      <c r="I70" s="114"/>
      <c r="J70" s="109"/>
      <c r="K70" s="116">
        <v>2.2000000000000002</v>
      </c>
      <c r="L70" s="134">
        <v>190000</v>
      </c>
      <c r="M70" s="114">
        <v>30000</v>
      </c>
      <c r="N70" s="118" t="s">
        <v>1423</v>
      </c>
      <c r="O70" s="118">
        <v>1</v>
      </c>
      <c r="P70" s="114">
        <f>VLOOKUP($B70,ma!$A:$C,3,0)</f>
        <v>400000</v>
      </c>
      <c r="Q70" s="114">
        <f>VLOOKUP($B70,ma!$A:$C,3,0)</f>
        <v>400000</v>
      </c>
      <c r="R70" s="119"/>
      <c r="S70" s="119"/>
      <c r="T70" s="119"/>
      <c r="U70" s="119"/>
      <c r="V70" s="119"/>
      <c r="W70" s="119"/>
      <c r="X70" s="119"/>
      <c r="Y70" s="119"/>
      <c r="Z70" s="119"/>
      <c r="AA70" s="119"/>
    </row>
    <row r="71" spans="1:27" ht="15">
      <c r="A71" s="107">
        <f t="shared" si="8"/>
        <v>30</v>
      </c>
      <c r="B71" s="108" t="s">
        <v>1492</v>
      </c>
      <c r="C71" s="109" t="s">
        <v>1497</v>
      </c>
      <c r="D71" s="110">
        <v>46084</v>
      </c>
      <c r="E71" s="109" t="str">
        <f>VLOOKUP($C71,xe!$A:$B,2,0)</f>
        <v>50H-54580</v>
      </c>
      <c r="F71" s="111" t="str">
        <f>VLOOKUP($B71,ma!$A:$B,2,0)</f>
        <v>BHX NHÀ BÈ</v>
      </c>
      <c r="G71" s="112" t="s">
        <v>1498</v>
      </c>
      <c r="H71" s="113" t="s">
        <v>1460</v>
      </c>
      <c r="I71" s="114"/>
      <c r="J71" s="109"/>
      <c r="K71" s="116">
        <v>2</v>
      </c>
      <c r="L71" s="134">
        <v>210000</v>
      </c>
      <c r="M71" s="114">
        <v>30000</v>
      </c>
      <c r="N71" s="118" t="s">
        <v>1423</v>
      </c>
      <c r="O71" s="118">
        <v>1</v>
      </c>
      <c r="P71" s="114">
        <f>VLOOKUP($B71,ma!$A:$C,3,0)</f>
        <v>400000</v>
      </c>
      <c r="Q71" s="114">
        <f>VLOOKUP($B71,ma!$A:$C,3,0)</f>
        <v>400000</v>
      </c>
      <c r="R71" s="119"/>
      <c r="S71" s="119"/>
      <c r="T71" s="119"/>
      <c r="U71" s="119"/>
      <c r="V71" s="119"/>
      <c r="W71" s="119"/>
      <c r="X71" s="119"/>
      <c r="Y71" s="119"/>
      <c r="Z71" s="119"/>
      <c r="AA71" s="119"/>
    </row>
    <row r="72" spans="1:27" ht="15">
      <c r="A72" s="107">
        <f t="shared" si="8"/>
        <v>31</v>
      </c>
      <c r="B72" s="108" t="s">
        <v>1499</v>
      </c>
      <c r="C72" s="109" t="s">
        <v>1500</v>
      </c>
      <c r="D72" s="110">
        <v>46084</v>
      </c>
      <c r="E72" s="109" t="str">
        <f>VLOOKUP($C72,xe!$A:$B,2,0)</f>
        <v>50H 87442</v>
      </c>
      <c r="F72" s="111" t="str">
        <f>VLOOKUP($B72,ma!$A:$B,2,0)</f>
        <v>BHX ( VL)</v>
      </c>
      <c r="G72" s="112" t="s">
        <v>1501</v>
      </c>
      <c r="H72" s="113" t="s">
        <v>1401</v>
      </c>
      <c r="I72" s="114"/>
      <c r="J72" s="109"/>
      <c r="K72" s="116">
        <v>1.8</v>
      </c>
      <c r="L72" s="134">
        <v>210000</v>
      </c>
      <c r="M72" s="114">
        <v>30000</v>
      </c>
      <c r="N72" s="118" t="s">
        <v>1423</v>
      </c>
      <c r="O72" s="118">
        <v>1</v>
      </c>
      <c r="P72" s="114">
        <f>VLOOKUP($B72,ma!$A:$C,3,0)</f>
        <v>800000</v>
      </c>
      <c r="Q72" s="114">
        <f>VLOOKUP($B72,ma!$A:$C,3,0)</f>
        <v>800000</v>
      </c>
      <c r="R72" s="119"/>
      <c r="S72" s="119"/>
      <c r="T72" s="119"/>
      <c r="U72" s="119"/>
      <c r="V72" s="119"/>
      <c r="W72" s="119"/>
      <c r="X72" s="119"/>
      <c r="Y72" s="119"/>
      <c r="Z72" s="119"/>
      <c r="AA72" s="119"/>
    </row>
    <row r="73" spans="1:27" ht="15">
      <c r="A73" s="107">
        <f t="shared" si="8"/>
        <v>32</v>
      </c>
      <c r="B73" s="108" t="s">
        <v>1499</v>
      </c>
      <c r="C73" s="109" t="s">
        <v>1502</v>
      </c>
      <c r="D73" s="110">
        <v>46084</v>
      </c>
      <c r="E73" s="109" t="str">
        <f>VLOOKUP($C73,xe!$A:$B,2,0)</f>
        <v>50H-63174</v>
      </c>
      <c r="F73" s="111" t="str">
        <f>VLOOKUP($B73,ma!$A:$B,2,0)</f>
        <v>BHX ( VL)</v>
      </c>
      <c r="G73" s="112" t="s">
        <v>1503</v>
      </c>
      <c r="H73" s="113" t="s">
        <v>1401</v>
      </c>
      <c r="I73" s="114"/>
      <c r="J73" s="115" t="s">
        <v>1504</v>
      </c>
      <c r="K73" s="116">
        <v>1</v>
      </c>
      <c r="L73" s="117">
        <f>K73*50000</f>
        <v>50000</v>
      </c>
      <c r="M73" s="114">
        <v>90000</v>
      </c>
      <c r="N73" s="118" t="s">
        <v>1505</v>
      </c>
      <c r="O73" s="118">
        <v>1</v>
      </c>
      <c r="P73" s="114">
        <f>VLOOKUP($B73,ma!$A:$C,3,0)</f>
        <v>800000</v>
      </c>
      <c r="Q73" s="114">
        <f>VLOOKUP($B73,ma!$A:$C,3,0)</f>
        <v>800000</v>
      </c>
      <c r="R73" s="119"/>
      <c r="S73" s="119"/>
      <c r="T73" s="119"/>
      <c r="U73" s="119"/>
      <c r="V73" s="119"/>
      <c r="W73" s="119"/>
      <c r="X73" s="119"/>
      <c r="Y73" s="119"/>
      <c r="Z73" s="119"/>
      <c r="AA73" s="119"/>
    </row>
    <row r="74" spans="1:27" ht="15">
      <c r="A74" s="107">
        <f t="shared" si="8"/>
        <v>33</v>
      </c>
      <c r="B74" s="108" t="s">
        <v>1499</v>
      </c>
      <c r="C74" s="109" t="s">
        <v>1506</v>
      </c>
      <c r="D74" s="110">
        <v>46084</v>
      </c>
      <c r="E74" s="109" t="str">
        <f>VLOOKUP($C74,xe!$A:$B,2,0)</f>
        <v>50H-55443</v>
      </c>
      <c r="F74" s="111" t="str">
        <f>VLOOKUP($B74,ma!$A:$B,2,0)</f>
        <v>BHX ( VL)</v>
      </c>
      <c r="G74" s="112" t="s">
        <v>1507</v>
      </c>
      <c r="H74" s="113" t="s">
        <v>1401</v>
      </c>
      <c r="I74" s="114"/>
      <c r="J74" s="115" t="s">
        <v>1508</v>
      </c>
      <c r="K74" s="116">
        <v>4</v>
      </c>
      <c r="L74" s="130">
        <v>420000</v>
      </c>
      <c r="M74" s="114">
        <v>30000</v>
      </c>
      <c r="N74" s="118" t="s">
        <v>1509</v>
      </c>
      <c r="O74" s="118">
        <v>1</v>
      </c>
      <c r="P74" s="114">
        <f>VLOOKUP($B74,ma!$A:$C,3,0)</f>
        <v>800000</v>
      </c>
      <c r="Q74" s="114">
        <f>VLOOKUP($B74,ma!$A:$C,3,0)</f>
        <v>800000</v>
      </c>
      <c r="R74" s="119"/>
      <c r="S74" s="119"/>
      <c r="T74" s="119"/>
      <c r="U74" s="119"/>
      <c r="V74" s="119"/>
      <c r="W74" s="119"/>
      <c r="X74" s="119"/>
      <c r="Y74" s="119"/>
      <c r="Z74" s="119"/>
      <c r="AA74" s="119"/>
    </row>
    <row r="75" spans="1:27" ht="15">
      <c r="A75" s="137">
        <v>1</v>
      </c>
      <c r="B75" s="138" t="s">
        <v>1510</v>
      </c>
      <c r="C75" s="139" t="s">
        <v>66</v>
      </c>
      <c r="D75" s="140">
        <v>46085</v>
      </c>
      <c r="E75" s="139" t="str">
        <f>VLOOKUP($C75,xe!$A:$B,2,0)</f>
        <v>50H-92136</v>
      </c>
      <c r="F75" s="141" t="str">
        <f>VLOOKUP($B75,ma!$A:$B,2,0)</f>
        <v>LOTTE-TÂN BÌNH</v>
      </c>
      <c r="G75" s="142" t="s">
        <v>1511</v>
      </c>
      <c r="H75" s="126" t="s">
        <v>1512</v>
      </c>
      <c r="I75" s="132"/>
      <c r="J75" s="115" t="s">
        <v>140</v>
      </c>
      <c r="K75" s="129">
        <v>1.2</v>
      </c>
      <c r="L75" s="143">
        <f t="shared" ref="L75:L79" si="11">K75*50000</f>
        <v>60000</v>
      </c>
      <c r="M75" s="132"/>
      <c r="N75" s="144"/>
      <c r="O75" s="144">
        <v>1</v>
      </c>
      <c r="P75" s="132">
        <f>VLOOKUP($B75,ma!$A:$C,3,0)</f>
        <v>800000</v>
      </c>
      <c r="Q75" s="132">
        <f>VLOOKUP($B75,ma!$A:$C,3,0)</f>
        <v>800000</v>
      </c>
      <c r="R75" s="119"/>
      <c r="S75" s="119"/>
      <c r="T75" s="119"/>
      <c r="U75" s="119"/>
      <c r="V75" s="119"/>
      <c r="W75" s="119"/>
      <c r="X75" s="119"/>
      <c r="Y75" s="119"/>
      <c r="Z75" s="119"/>
      <c r="AA75" s="119"/>
    </row>
    <row r="76" spans="1:27" ht="15">
      <c r="A76" s="107">
        <v>2</v>
      </c>
      <c r="B76" s="108" t="s">
        <v>1510</v>
      </c>
      <c r="C76" s="109" t="s">
        <v>68</v>
      </c>
      <c r="D76" s="110">
        <v>46085</v>
      </c>
      <c r="E76" s="109" t="str">
        <f>VLOOKUP($C76,xe!$A:$B,2,0)</f>
        <v>50H-55829</v>
      </c>
      <c r="F76" s="111" t="str">
        <f>VLOOKUP($B76,ma!$A:$B,2,0)</f>
        <v>LOTTE-TÂN BÌNH</v>
      </c>
      <c r="G76" s="112" t="s">
        <v>1513</v>
      </c>
      <c r="H76" s="113" t="s">
        <v>1512</v>
      </c>
      <c r="I76" s="114"/>
      <c r="J76" s="115" t="s">
        <v>140</v>
      </c>
      <c r="K76" s="116">
        <v>1.2</v>
      </c>
      <c r="L76" s="117">
        <f t="shared" si="11"/>
        <v>60000</v>
      </c>
      <c r="M76" s="114"/>
      <c r="N76" s="118"/>
      <c r="O76" s="118">
        <v>1</v>
      </c>
      <c r="P76" s="114">
        <f>VLOOKUP($B76,ma!$A:$C,3,0)</f>
        <v>800000</v>
      </c>
      <c r="Q76" s="114">
        <f>VLOOKUP($B76,ma!$A:$C,3,0)</f>
        <v>800000</v>
      </c>
      <c r="R76" s="119"/>
      <c r="S76" s="119"/>
      <c r="T76" s="119"/>
      <c r="U76" s="119"/>
      <c r="V76" s="119"/>
      <c r="W76" s="119"/>
      <c r="X76" s="119"/>
      <c r="Y76" s="119"/>
      <c r="Z76" s="119"/>
      <c r="AA76" s="119"/>
    </row>
    <row r="77" spans="1:27" ht="15">
      <c r="A77" s="107">
        <v>3</v>
      </c>
      <c r="B77" s="108" t="s">
        <v>1514</v>
      </c>
      <c r="C77" s="109" t="s">
        <v>64</v>
      </c>
      <c r="D77" s="110">
        <v>46085</v>
      </c>
      <c r="E77" s="109" t="str">
        <f>VLOOKUP($C77,xe!$A:$B,2,0)</f>
        <v>50H-60635</v>
      </c>
      <c r="F77" s="111" t="str">
        <f>VLOOKUP($B77,ma!$A:$B,2,0)</f>
        <v>EMART P.H.ÍCH</v>
      </c>
      <c r="G77" s="112" t="s">
        <v>1515</v>
      </c>
      <c r="H77" s="113" t="s">
        <v>1516</v>
      </c>
      <c r="I77" s="114"/>
      <c r="J77" s="115" t="s">
        <v>140</v>
      </c>
      <c r="K77" s="116">
        <v>2</v>
      </c>
      <c r="L77" s="117">
        <f t="shared" si="11"/>
        <v>100000</v>
      </c>
      <c r="M77" s="114"/>
      <c r="N77" s="118"/>
      <c r="O77" s="118">
        <v>1</v>
      </c>
      <c r="P77" s="114">
        <f>VLOOKUP($B77,ma!$A:$C,3,0)</f>
        <v>800000</v>
      </c>
      <c r="Q77" s="114">
        <f>VLOOKUP($B77,ma!$A:$C,3,0)</f>
        <v>800000</v>
      </c>
      <c r="R77" s="119"/>
      <c r="S77" s="119"/>
      <c r="T77" s="119"/>
      <c r="U77" s="119"/>
      <c r="V77" s="119"/>
      <c r="W77" s="119"/>
      <c r="X77" s="119"/>
      <c r="Y77" s="119"/>
      <c r="Z77" s="119"/>
      <c r="AA77" s="119"/>
    </row>
    <row r="78" spans="1:27" ht="15">
      <c r="A78" s="107">
        <v>4</v>
      </c>
      <c r="B78" s="108" t="s">
        <v>1514</v>
      </c>
      <c r="C78" s="109" t="s">
        <v>60</v>
      </c>
      <c r="D78" s="110">
        <v>46085</v>
      </c>
      <c r="E78" s="109" t="str">
        <f>VLOOKUP($C78,xe!$A:$B,2,0)</f>
        <v>50H-11822</v>
      </c>
      <c r="F78" s="111" t="str">
        <f>VLOOKUP($B78,ma!$A:$B,2,0)</f>
        <v>EMART P.H.ÍCH</v>
      </c>
      <c r="G78" s="112" t="s">
        <v>1517</v>
      </c>
      <c r="H78" s="113" t="s">
        <v>1516</v>
      </c>
      <c r="I78" s="114"/>
      <c r="J78" s="115" t="s">
        <v>140</v>
      </c>
      <c r="K78" s="116">
        <v>2</v>
      </c>
      <c r="L78" s="117">
        <f t="shared" si="11"/>
        <v>100000</v>
      </c>
      <c r="M78" s="114"/>
      <c r="N78" s="118"/>
      <c r="O78" s="118">
        <v>1</v>
      </c>
      <c r="P78" s="114">
        <f>VLOOKUP($B78,ma!$A:$C,3,0)</f>
        <v>800000</v>
      </c>
      <c r="Q78" s="114">
        <f>VLOOKUP($B78,ma!$A:$C,3,0)</f>
        <v>800000</v>
      </c>
      <c r="R78" s="119"/>
      <c r="S78" s="119"/>
      <c r="T78" s="119"/>
      <c r="U78" s="119"/>
      <c r="V78" s="119"/>
      <c r="W78" s="119"/>
      <c r="X78" s="119"/>
      <c r="Y78" s="119"/>
      <c r="Z78" s="119"/>
      <c r="AA78" s="119"/>
    </row>
    <row r="79" spans="1:27" ht="15">
      <c r="A79" s="107">
        <v>5</v>
      </c>
      <c r="B79" s="108" t="s">
        <v>166</v>
      </c>
      <c r="C79" s="109" t="s">
        <v>78</v>
      </c>
      <c r="D79" s="110">
        <v>46085</v>
      </c>
      <c r="E79" s="133" t="str">
        <f>VLOOKUP($C79,xe!$A:$B,2,0)</f>
        <v>50E-565,21</v>
      </c>
      <c r="F79" s="111" t="str">
        <f>VLOOKUP($B79,ma!$A:$B,2,0)</f>
        <v>PHẠM ANH TÂN PHÚ</v>
      </c>
      <c r="G79" s="112" t="s">
        <v>1518</v>
      </c>
      <c r="H79" s="113" t="s">
        <v>1460</v>
      </c>
      <c r="I79" s="114"/>
      <c r="J79" s="120" t="s">
        <v>1457</v>
      </c>
      <c r="K79" s="116">
        <v>2.2000000000000002</v>
      </c>
      <c r="L79" s="117">
        <f t="shared" si="11"/>
        <v>110000.00000000001</v>
      </c>
      <c r="M79" s="127">
        <v>15000</v>
      </c>
      <c r="N79" s="131" t="s">
        <v>1519</v>
      </c>
      <c r="O79" s="118">
        <v>1</v>
      </c>
      <c r="P79" s="114">
        <f>VLOOKUP($B79,ma!$A:$C,3,0)</f>
        <v>800000</v>
      </c>
      <c r="Q79" s="114">
        <f>VLOOKUP($B79,ma!$A:$C,3,0)</f>
        <v>800000</v>
      </c>
      <c r="R79" s="119"/>
      <c r="S79" s="119"/>
      <c r="T79" s="119"/>
      <c r="U79" s="119"/>
      <c r="V79" s="119"/>
      <c r="W79" s="119"/>
      <c r="X79" s="119"/>
      <c r="Y79" s="119"/>
      <c r="Z79" s="119"/>
      <c r="AA79" s="119"/>
    </row>
    <row r="80" spans="1:27" ht="15">
      <c r="A80" s="107">
        <v>6</v>
      </c>
      <c r="B80" s="108" t="s">
        <v>1520</v>
      </c>
      <c r="C80" s="109" t="s">
        <v>70</v>
      </c>
      <c r="D80" s="110">
        <v>46085</v>
      </c>
      <c r="E80" s="109" t="str">
        <f>VLOOKUP($C80,xe!$A:$B,2,0)</f>
        <v>50H-86564</v>
      </c>
      <c r="F80" s="111" t="str">
        <f>VLOOKUP($B80,ma!$A:$B,2,0)</f>
        <v>SEN VIỆT ( K BX )</v>
      </c>
      <c r="G80" s="112" t="s">
        <v>1521</v>
      </c>
      <c r="H80" s="113" t="s">
        <v>1401</v>
      </c>
      <c r="I80" s="114"/>
      <c r="J80" s="109"/>
      <c r="K80" s="116">
        <v>2.2000000000000002</v>
      </c>
      <c r="L80" s="117"/>
      <c r="M80" s="114"/>
      <c r="N80" s="118"/>
      <c r="O80" s="118">
        <v>1</v>
      </c>
      <c r="P80" s="114">
        <f>VLOOKUP($B80,ma!$A:$C,3,0)</f>
        <v>800000</v>
      </c>
      <c r="Q80" s="114">
        <f>VLOOKUP($B80,ma!$A:$C,3,0)</f>
        <v>800000</v>
      </c>
      <c r="R80" s="119"/>
      <c r="S80" s="119"/>
      <c r="T80" s="119"/>
      <c r="U80" s="119"/>
      <c r="V80" s="119"/>
      <c r="W80" s="119"/>
      <c r="X80" s="119"/>
      <c r="Y80" s="119"/>
      <c r="Z80" s="119"/>
      <c r="AA80" s="119"/>
    </row>
    <row r="81" spans="1:27" ht="15">
      <c r="A81" s="107">
        <v>7</v>
      </c>
      <c r="B81" s="108" t="s">
        <v>1499</v>
      </c>
      <c r="C81" s="109" t="s">
        <v>1522</v>
      </c>
      <c r="D81" s="110">
        <v>46085</v>
      </c>
      <c r="E81" s="109" t="str">
        <f>VLOOKUP($C81,xe!$A:$B,2,0)</f>
        <v>47H-02023</v>
      </c>
      <c r="F81" s="111" t="str">
        <f>VLOOKUP($B81,ma!$A:$B,2,0)</f>
        <v>BHX ( VL)</v>
      </c>
      <c r="G81" s="112" t="s">
        <v>1523</v>
      </c>
      <c r="H81" s="113" t="s">
        <v>1401</v>
      </c>
      <c r="I81" s="114"/>
      <c r="J81" s="115" t="s">
        <v>455</v>
      </c>
      <c r="K81" s="116">
        <v>2.2000000000000002</v>
      </c>
      <c r="L81" s="117">
        <f t="shared" ref="L81:L82" si="12">K81*80000</f>
        <v>176000</v>
      </c>
      <c r="M81" s="114"/>
      <c r="N81" s="118"/>
      <c r="O81" s="118">
        <v>1</v>
      </c>
      <c r="P81" s="114">
        <f>VLOOKUP($B81,ma!$A:$C,3,0)</f>
        <v>800000</v>
      </c>
      <c r="Q81" s="114">
        <f>VLOOKUP($B81,ma!$A:$C,3,0)</f>
        <v>800000</v>
      </c>
      <c r="R81" s="119"/>
      <c r="S81" s="119"/>
      <c r="T81" s="119"/>
      <c r="U81" s="119"/>
      <c r="V81" s="119"/>
      <c r="W81" s="119"/>
      <c r="X81" s="119"/>
      <c r="Y81" s="119"/>
      <c r="Z81" s="119"/>
      <c r="AA81" s="119"/>
    </row>
    <row r="82" spans="1:27" ht="15">
      <c r="A82" s="107">
        <v>8</v>
      </c>
      <c r="B82" s="108" t="s">
        <v>1499</v>
      </c>
      <c r="C82" s="109" t="s">
        <v>1524</v>
      </c>
      <c r="D82" s="110">
        <v>46085</v>
      </c>
      <c r="E82" s="109" t="str">
        <f>VLOOKUP($C82,xe!$A:$B,2,0)</f>
        <v>51D-38021</v>
      </c>
      <c r="F82" s="111" t="str">
        <f>VLOOKUP($B82,ma!$A:$B,2,0)</f>
        <v>BHX ( VL)</v>
      </c>
      <c r="G82" s="112" t="s">
        <v>1525</v>
      </c>
      <c r="H82" s="113" t="s">
        <v>1401</v>
      </c>
      <c r="I82" s="114"/>
      <c r="J82" s="115" t="s">
        <v>455</v>
      </c>
      <c r="K82" s="116">
        <v>2.2000000000000002</v>
      </c>
      <c r="L82" s="117">
        <f t="shared" si="12"/>
        <v>176000</v>
      </c>
      <c r="M82" s="114"/>
      <c r="N82" s="118"/>
      <c r="O82" s="118">
        <v>1</v>
      </c>
      <c r="P82" s="114">
        <f>VLOOKUP($B82,ma!$A:$C,3,0)</f>
        <v>800000</v>
      </c>
      <c r="Q82" s="114">
        <f>VLOOKUP($B82,ma!$A:$C,3,0)</f>
        <v>800000</v>
      </c>
      <c r="R82" s="119"/>
      <c r="S82" s="119"/>
      <c r="T82" s="119"/>
      <c r="U82" s="119"/>
      <c r="V82" s="119"/>
      <c r="W82" s="119"/>
      <c r="X82" s="119"/>
      <c r="Y82" s="119"/>
      <c r="Z82" s="119"/>
      <c r="AA82" s="119"/>
    </row>
    <row r="83" spans="1:27" ht="15">
      <c r="A83" s="107">
        <v>9</v>
      </c>
      <c r="B83" s="108" t="s">
        <v>1526</v>
      </c>
      <c r="C83" s="109" t="s">
        <v>1493</v>
      </c>
      <c r="D83" s="110">
        <v>46085</v>
      </c>
      <c r="E83" s="109" t="str">
        <f>VLOOKUP($C83,xe!$A:$B,2,0)</f>
        <v>50H-55161</v>
      </c>
      <c r="F83" s="111" t="str">
        <f>VLOOKUP($B83,ma!$A:$B,2,0)</f>
        <v xml:space="preserve">KIDO CỦ CHI </v>
      </c>
      <c r="G83" s="112" t="s">
        <v>1527</v>
      </c>
      <c r="H83" s="113" t="s">
        <v>1401</v>
      </c>
      <c r="I83" s="114"/>
      <c r="J83" s="109"/>
      <c r="K83" s="116">
        <v>1.2</v>
      </c>
      <c r="L83" s="117">
        <f t="shared" ref="L83:L84" si="13">K83*50000</f>
        <v>60000</v>
      </c>
      <c r="M83" s="114"/>
      <c r="N83" s="118"/>
      <c r="O83" s="118">
        <v>1</v>
      </c>
      <c r="P83" s="114">
        <f>VLOOKUP($B83,ma!$A:$C,3,0)</f>
        <v>900000</v>
      </c>
      <c r="Q83" s="114">
        <f>VLOOKUP($B83,ma!$A:$C,3,0)</f>
        <v>900000</v>
      </c>
      <c r="R83" s="119"/>
      <c r="S83" s="119"/>
      <c r="T83" s="119"/>
      <c r="U83" s="119"/>
      <c r="V83" s="119"/>
      <c r="W83" s="119"/>
      <c r="X83" s="119"/>
      <c r="Y83" s="119"/>
      <c r="Z83" s="119"/>
      <c r="AA83" s="119"/>
    </row>
    <row r="84" spans="1:27" ht="15">
      <c r="A84" s="107">
        <v>10</v>
      </c>
      <c r="B84" s="108" t="s">
        <v>1526</v>
      </c>
      <c r="C84" s="109" t="s">
        <v>14</v>
      </c>
      <c r="D84" s="110">
        <v>46085</v>
      </c>
      <c r="E84" s="109" t="str">
        <f>VLOOKUP($C84,xe!$A:$B,2,0)</f>
        <v>50H-64470</v>
      </c>
      <c r="F84" s="111" t="str">
        <f>VLOOKUP($B84,ma!$A:$B,2,0)</f>
        <v xml:space="preserve">KIDO CỦ CHI </v>
      </c>
      <c r="G84" s="112" t="s">
        <v>1528</v>
      </c>
      <c r="H84" s="113" t="s">
        <v>1516</v>
      </c>
      <c r="I84" s="114"/>
      <c r="J84" s="109"/>
      <c r="K84" s="116">
        <v>1.4</v>
      </c>
      <c r="L84" s="117">
        <f t="shared" si="13"/>
        <v>70000</v>
      </c>
      <c r="M84" s="114">
        <v>30000</v>
      </c>
      <c r="N84" s="118" t="s">
        <v>1423</v>
      </c>
      <c r="O84" s="118">
        <v>1</v>
      </c>
      <c r="P84" s="114">
        <f>VLOOKUP($B84,ma!$A:$C,3,0)</f>
        <v>900000</v>
      </c>
      <c r="Q84" s="114">
        <f>VLOOKUP($B84,ma!$A:$C,3,0)</f>
        <v>900000</v>
      </c>
      <c r="R84" s="119"/>
      <c r="S84" s="119"/>
      <c r="T84" s="119"/>
      <c r="U84" s="119"/>
      <c r="V84" s="119"/>
      <c r="W84" s="119"/>
      <c r="X84" s="119"/>
      <c r="Y84" s="119"/>
      <c r="Z84" s="119"/>
      <c r="AA84" s="119"/>
    </row>
    <row r="85" spans="1:27" ht="15">
      <c r="A85" s="107">
        <v>11</v>
      </c>
      <c r="B85" s="108" t="s">
        <v>1529</v>
      </c>
      <c r="C85" s="109" t="s">
        <v>8</v>
      </c>
      <c r="D85" s="110">
        <v>46085</v>
      </c>
      <c r="E85" s="109" t="str">
        <f>VLOOKUP($C85,xe!$A:$B,2,0)</f>
        <v>50H-64316</v>
      </c>
      <c r="F85" s="111" t="str">
        <f>VLOOKUP($B85,ma!$A:$B,2,0)</f>
        <v>MEGA VIỆT PHÁT L.HẬU ( K BX )</v>
      </c>
      <c r="G85" s="112" t="s">
        <v>1530</v>
      </c>
      <c r="H85" s="113" t="s">
        <v>1401</v>
      </c>
      <c r="I85" s="114"/>
      <c r="J85" s="109"/>
      <c r="K85" s="116">
        <v>1</v>
      </c>
      <c r="L85" s="117">
        <v>50000</v>
      </c>
      <c r="M85" s="114"/>
      <c r="N85" s="118"/>
      <c r="O85" s="118">
        <v>1</v>
      </c>
      <c r="P85" s="114">
        <f>VLOOKUP($B85,ma!$A:$C,3,0)</f>
        <v>400000</v>
      </c>
      <c r="Q85" s="114">
        <f>VLOOKUP($B85,ma!$A:$C,3,0)</f>
        <v>400000</v>
      </c>
      <c r="R85" s="119"/>
      <c r="S85" s="119"/>
      <c r="T85" s="119"/>
      <c r="U85" s="119"/>
      <c r="V85" s="119"/>
      <c r="W85" s="119"/>
      <c r="X85" s="119"/>
      <c r="Y85" s="119"/>
      <c r="Z85" s="119"/>
      <c r="AA85" s="119"/>
    </row>
    <row r="86" spans="1:27" ht="15">
      <c r="A86" s="107">
        <v>12</v>
      </c>
      <c r="B86" s="108" t="s">
        <v>1531</v>
      </c>
      <c r="C86" s="109" t="s">
        <v>1432</v>
      </c>
      <c r="D86" s="110">
        <v>46085</v>
      </c>
      <c r="E86" s="109" t="str">
        <f>VLOOKUP($C86,xe!$A:$B,2,0)</f>
        <v>50H-70216</v>
      </c>
      <c r="F86" s="111" t="str">
        <f>VLOOKUP($B86,ma!$A:$B,2,0)</f>
        <v>APIS ( KBX )</v>
      </c>
      <c r="G86" s="112" t="s">
        <v>1405</v>
      </c>
      <c r="H86" s="113" t="s">
        <v>1401</v>
      </c>
      <c r="I86" s="114"/>
      <c r="J86" s="109"/>
      <c r="K86" s="116">
        <v>2</v>
      </c>
      <c r="L86" s="117">
        <v>50000</v>
      </c>
      <c r="M86" s="114">
        <v>30000</v>
      </c>
      <c r="N86" s="118" t="s">
        <v>1423</v>
      </c>
      <c r="O86" s="118">
        <v>1</v>
      </c>
      <c r="P86" s="114">
        <f>VLOOKUP($B86,ma!$A:$C,3,0)</f>
        <v>800000</v>
      </c>
      <c r="Q86" s="114">
        <f>VLOOKUP($B86,ma!$A:$C,3,0)</f>
        <v>800000</v>
      </c>
      <c r="R86" s="119"/>
      <c r="S86" s="119"/>
      <c r="T86" s="119"/>
      <c r="U86" s="119"/>
      <c r="V86" s="119"/>
      <c r="W86" s="119"/>
      <c r="X86" s="119"/>
      <c r="Y86" s="119"/>
      <c r="Z86" s="119"/>
      <c r="AA86" s="119"/>
    </row>
    <row r="87" spans="1:27" ht="15">
      <c r="A87" s="107">
        <v>13</v>
      </c>
      <c r="B87" s="108" t="s">
        <v>1531</v>
      </c>
      <c r="C87" s="109" t="s">
        <v>6</v>
      </c>
      <c r="D87" s="110">
        <v>46085</v>
      </c>
      <c r="E87" s="109" t="str">
        <f>VLOOKUP($C87,xe!$A:$B,2,0)</f>
        <v>50H-69501</v>
      </c>
      <c r="F87" s="111" t="str">
        <f>VLOOKUP($B87,ma!$A:$B,2,0)</f>
        <v>APIS ( KBX )</v>
      </c>
      <c r="G87" s="112" t="s">
        <v>1405</v>
      </c>
      <c r="H87" s="113" t="s">
        <v>1401</v>
      </c>
      <c r="I87" s="114"/>
      <c r="J87" s="109"/>
      <c r="K87" s="116">
        <v>2</v>
      </c>
      <c r="L87" s="117">
        <v>50000</v>
      </c>
      <c r="M87" s="114"/>
      <c r="N87" s="118"/>
      <c r="O87" s="118">
        <v>1</v>
      </c>
      <c r="P87" s="114">
        <f>VLOOKUP($B87,ma!$A:$C,3,0)</f>
        <v>800000</v>
      </c>
      <c r="Q87" s="114">
        <f>VLOOKUP($B87,ma!$A:$C,3,0)</f>
        <v>800000</v>
      </c>
      <c r="R87" s="119"/>
      <c r="S87" s="119"/>
      <c r="T87" s="119"/>
      <c r="U87" s="119"/>
      <c r="V87" s="119"/>
      <c r="W87" s="119"/>
      <c r="X87" s="119"/>
      <c r="Y87" s="119"/>
      <c r="Z87" s="119"/>
      <c r="AA87" s="119"/>
    </row>
    <row r="88" spans="1:27" ht="15">
      <c r="A88" s="107">
        <v>14</v>
      </c>
      <c r="B88" s="108" t="s">
        <v>1532</v>
      </c>
      <c r="C88" s="109" t="s">
        <v>1440</v>
      </c>
      <c r="D88" s="110">
        <v>46085</v>
      </c>
      <c r="E88" s="109" t="str">
        <f>VLOOKUP($C88,xe!$A:$B,2,0)</f>
        <v>51H -88294</v>
      </c>
      <c r="F88" s="111" t="str">
        <f>VLOOKUP($B88,ma!$A:$B,2,0)</f>
        <v>VẠN VẠN LỢI</v>
      </c>
      <c r="G88" s="112" t="s">
        <v>1533</v>
      </c>
      <c r="H88" s="113" t="s">
        <v>1401</v>
      </c>
      <c r="I88" s="114"/>
      <c r="J88" s="109"/>
      <c r="K88" s="116">
        <v>1.4</v>
      </c>
      <c r="L88" s="117">
        <f>K88*50000</f>
        <v>70000</v>
      </c>
      <c r="M88" s="114"/>
      <c r="N88" s="118"/>
      <c r="O88" s="118">
        <v>1</v>
      </c>
      <c r="P88" s="114">
        <f>VLOOKUP($B88,ma!$A:$C,3,0)</f>
        <v>800000</v>
      </c>
      <c r="Q88" s="114">
        <f>VLOOKUP($B88,ma!$A:$C,3,0)</f>
        <v>800000</v>
      </c>
      <c r="R88" s="119"/>
      <c r="S88" s="119"/>
      <c r="T88" s="119"/>
      <c r="U88" s="119"/>
      <c r="V88" s="119"/>
      <c r="W88" s="119"/>
      <c r="X88" s="119"/>
      <c r="Y88" s="119"/>
      <c r="Z88" s="119"/>
      <c r="AA88" s="119"/>
    </row>
    <row r="89" spans="1:27" ht="15">
      <c r="A89" s="107">
        <v>15</v>
      </c>
      <c r="B89" s="108" t="s">
        <v>1489</v>
      </c>
      <c r="C89" s="109" t="s">
        <v>18</v>
      </c>
      <c r="D89" s="110">
        <v>46085</v>
      </c>
      <c r="E89" s="109" t="str">
        <f>VLOOKUP($C89,xe!$A:$B,2,0)</f>
        <v>50H-54580</v>
      </c>
      <c r="F89" s="111" t="str">
        <f>VLOOKUP($B89,ma!$A:$B,2,0)</f>
        <v>XUÂN VÂN ( K BX )</v>
      </c>
      <c r="G89" s="112" t="s">
        <v>1534</v>
      </c>
      <c r="H89" s="113" t="s">
        <v>1460</v>
      </c>
      <c r="I89" s="114"/>
      <c r="J89" s="109"/>
      <c r="K89" s="116">
        <v>2</v>
      </c>
      <c r="L89" s="117">
        <v>50000</v>
      </c>
      <c r="M89" s="114">
        <v>30000</v>
      </c>
      <c r="N89" s="118" t="s">
        <v>1423</v>
      </c>
      <c r="O89" s="118">
        <v>1</v>
      </c>
      <c r="P89" s="114">
        <f>VLOOKUP($B89,ma!$A:$C,3,0)</f>
        <v>800000</v>
      </c>
      <c r="Q89" s="114">
        <f>VLOOKUP($B89,ma!$A:$C,3,0)</f>
        <v>800000</v>
      </c>
      <c r="R89" s="119"/>
      <c r="S89" s="119"/>
      <c r="T89" s="119"/>
      <c r="U89" s="119"/>
      <c r="V89" s="119"/>
      <c r="W89" s="119"/>
      <c r="X89" s="119"/>
      <c r="Y89" s="119"/>
      <c r="Z89" s="119"/>
      <c r="AA89" s="119"/>
    </row>
    <row r="90" spans="1:27" ht="15">
      <c r="A90" s="107">
        <v>16</v>
      </c>
      <c r="B90" s="108" t="s">
        <v>1489</v>
      </c>
      <c r="C90" s="109" t="s">
        <v>31</v>
      </c>
      <c r="D90" s="110">
        <v>46085</v>
      </c>
      <c r="E90" s="109" t="str">
        <f>VLOOKUP($C90,xe!$A:$B,2,0)</f>
        <v>50H-74619</v>
      </c>
      <c r="F90" s="111" t="str">
        <f>VLOOKUP($B90,ma!$A:$B,2,0)</f>
        <v>XUÂN VÂN ( K BX )</v>
      </c>
      <c r="G90" s="112" t="s">
        <v>1535</v>
      </c>
      <c r="H90" s="113" t="s">
        <v>1460</v>
      </c>
      <c r="I90" s="114"/>
      <c r="J90" s="109"/>
      <c r="K90" s="116">
        <v>1.6</v>
      </c>
      <c r="L90" s="117">
        <v>50000</v>
      </c>
      <c r="M90" s="114"/>
      <c r="N90" s="118"/>
      <c r="O90" s="118">
        <v>1</v>
      </c>
      <c r="P90" s="114">
        <f>VLOOKUP($B90,ma!$A:$C,3,0)</f>
        <v>800000</v>
      </c>
      <c r="Q90" s="114">
        <f>VLOOKUP($B90,ma!$A:$C,3,0)</f>
        <v>800000</v>
      </c>
      <c r="R90" s="119"/>
      <c r="S90" s="119"/>
      <c r="T90" s="119"/>
      <c r="U90" s="119"/>
      <c r="V90" s="119"/>
      <c r="W90" s="119"/>
      <c r="X90" s="119"/>
      <c r="Y90" s="119"/>
      <c r="Z90" s="119"/>
      <c r="AA90" s="119"/>
    </row>
    <row r="91" spans="1:27" ht="15">
      <c r="A91" s="107">
        <v>17</v>
      </c>
      <c r="B91" s="108" t="s">
        <v>1489</v>
      </c>
      <c r="C91" s="109" t="s">
        <v>1488</v>
      </c>
      <c r="D91" s="110">
        <v>46085</v>
      </c>
      <c r="E91" s="109" t="str">
        <f>VLOOKUP($C91,xe!$A:$B,2,0)</f>
        <v>50H-66445</v>
      </c>
      <c r="F91" s="111" t="str">
        <f>VLOOKUP($B91,ma!$A:$B,2,0)</f>
        <v>XUÂN VÂN ( K BX )</v>
      </c>
      <c r="G91" s="112" t="s">
        <v>1536</v>
      </c>
      <c r="H91" s="113" t="s">
        <v>1460</v>
      </c>
      <c r="I91" s="114"/>
      <c r="J91" s="109"/>
      <c r="K91" s="116">
        <v>1.6</v>
      </c>
      <c r="L91" s="117">
        <v>50000</v>
      </c>
      <c r="M91" s="114"/>
      <c r="N91" s="118"/>
      <c r="O91" s="118">
        <v>1</v>
      </c>
      <c r="P91" s="114">
        <f>VLOOKUP($B91,ma!$A:$C,3,0)</f>
        <v>800000</v>
      </c>
      <c r="Q91" s="114">
        <f>VLOOKUP($B91,ma!$A:$C,3,0)</f>
        <v>800000</v>
      </c>
      <c r="R91" s="119"/>
      <c r="S91" s="119"/>
      <c r="T91" s="119"/>
      <c r="U91" s="119"/>
      <c r="V91" s="119"/>
      <c r="W91" s="119"/>
      <c r="X91" s="119"/>
      <c r="Y91" s="119"/>
      <c r="Z91" s="119"/>
      <c r="AA91" s="119"/>
    </row>
    <row r="92" spans="1:27" ht="15">
      <c r="A92" s="107">
        <v>18</v>
      </c>
      <c r="B92" s="108" t="s">
        <v>334</v>
      </c>
      <c r="C92" s="109" t="s">
        <v>8</v>
      </c>
      <c r="D92" s="110">
        <v>46085</v>
      </c>
      <c r="E92" s="109" t="str">
        <f>VLOOKUP($C92,xe!$A:$B,2,0)</f>
        <v>50H-64316</v>
      </c>
      <c r="F92" s="111" t="str">
        <f>VLOOKUP($B92,ma!$A:$B,2,0)</f>
        <v>CHOLIMEX BINH CHÁNH ( KBX )</v>
      </c>
      <c r="G92" s="112" t="s">
        <v>1537</v>
      </c>
      <c r="H92" s="113" t="s">
        <v>1401</v>
      </c>
      <c r="I92" s="114"/>
      <c r="J92" s="109"/>
      <c r="K92" s="116">
        <v>2</v>
      </c>
      <c r="L92" s="117">
        <v>50000</v>
      </c>
      <c r="M92" s="114">
        <v>20000</v>
      </c>
      <c r="N92" s="118" t="s">
        <v>1427</v>
      </c>
      <c r="O92" s="118">
        <v>1</v>
      </c>
      <c r="P92" s="114">
        <f>VLOOKUP($B92,ma!$A:$C,3,0)</f>
        <v>800000</v>
      </c>
      <c r="Q92" s="114">
        <f>VLOOKUP($B92,ma!$A:$C,3,0)</f>
        <v>800000</v>
      </c>
      <c r="R92" s="119"/>
      <c r="S92" s="119"/>
      <c r="T92" s="119"/>
      <c r="U92" s="119"/>
      <c r="V92" s="119"/>
      <c r="W92" s="119"/>
      <c r="X92" s="119"/>
      <c r="Y92" s="119"/>
      <c r="Z92" s="119"/>
      <c r="AA92" s="119"/>
    </row>
    <row r="93" spans="1:27" ht="15">
      <c r="A93" s="107">
        <v>19</v>
      </c>
      <c r="B93" s="108" t="s">
        <v>334</v>
      </c>
      <c r="C93" s="109" t="s">
        <v>1538</v>
      </c>
      <c r="D93" s="110">
        <v>46085</v>
      </c>
      <c r="E93" s="109" t="str">
        <f>VLOOKUP($C93,xe!$A:$B,2,0)</f>
        <v>62H-01887</v>
      </c>
      <c r="F93" s="111" t="str">
        <f>VLOOKUP($B93,ma!$A:$B,2,0)</f>
        <v>CHOLIMEX BINH CHÁNH ( KBX )</v>
      </c>
      <c r="G93" s="112" t="s">
        <v>1539</v>
      </c>
      <c r="H93" s="113" t="s">
        <v>1401</v>
      </c>
      <c r="I93" s="114"/>
      <c r="J93" s="109"/>
      <c r="K93" s="116">
        <v>1.2</v>
      </c>
      <c r="L93" s="117"/>
      <c r="M93" s="114"/>
      <c r="N93" s="118"/>
      <c r="O93" s="118">
        <v>1</v>
      </c>
      <c r="P93" s="114">
        <f>VLOOKUP($B93,ma!$A:$C,3,0)</f>
        <v>800000</v>
      </c>
      <c r="Q93" s="114">
        <f>VLOOKUP($B93,ma!$A:$C,3,0)</f>
        <v>800000</v>
      </c>
      <c r="R93" s="119"/>
      <c r="S93" s="119"/>
      <c r="T93" s="119"/>
      <c r="U93" s="119"/>
      <c r="V93" s="119"/>
      <c r="W93" s="119"/>
      <c r="X93" s="119"/>
      <c r="Y93" s="119"/>
      <c r="Z93" s="119"/>
      <c r="AA93" s="119"/>
    </row>
    <row r="94" spans="1:27" ht="15">
      <c r="A94" s="107">
        <v>20</v>
      </c>
      <c r="B94" s="108" t="s">
        <v>334</v>
      </c>
      <c r="C94" s="109" t="s">
        <v>1500</v>
      </c>
      <c r="D94" s="110">
        <v>46085</v>
      </c>
      <c r="E94" s="109" t="str">
        <f>VLOOKUP($C94,xe!$A:$B,2,0)</f>
        <v>50H 87442</v>
      </c>
      <c r="F94" s="111" t="str">
        <f>VLOOKUP($B94,ma!$A:$B,2,0)</f>
        <v>CHOLIMEX BINH CHÁNH ( KBX )</v>
      </c>
      <c r="G94" s="112" t="s">
        <v>1540</v>
      </c>
      <c r="H94" s="113" t="s">
        <v>1401</v>
      </c>
      <c r="I94" s="114"/>
      <c r="J94" s="109"/>
      <c r="K94" s="116">
        <v>2</v>
      </c>
      <c r="L94" s="117">
        <v>50000</v>
      </c>
      <c r="M94" s="114">
        <v>50000</v>
      </c>
      <c r="N94" s="118" t="s">
        <v>1541</v>
      </c>
      <c r="O94" s="118">
        <v>1</v>
      </c>
      <c r="P94" s="114">
        <f>VLOOKUP($B94,ma!$A:$C,3,0)</f>
        <v>800000</v>
      </c>
      <c r="Q94" s="114">
        <f>VLOOKUP($B94,ma!$A:$C,3,0)</f>
        <v>800000</v>
      </c>
      <c r="R94" s="119"/>
      <c r="S94" s="119"/>
      <c r="T94" s="119"/>
      <c r="U94" s="119"/>
      <c r="V94" s="119"/>
      <c r="W94" s="119"/>
      <c r="X94" s="119"/>
      <c r="Y94" s="119"/>
      <c r="Z94" s="119"/>
      <c r="AA94" s="119"/>
    </row>
    <row r="95" spans="1:27" ht="15">
      <c r="A95" s="107">
        <v>21</v>
      </c>
      <c r="B95" s="108" t="s">
        <v>1467</v>
      </c>
      <c r="C95" s="109" t="s">
        <v>1440</v>
      </c>
      <c r="D95" s="110">
        <v>46085</v>
      </c>
      <c r="E95" s="109" t="str">
        <f>VLOOKUP($C95,xe!$A:$B,2,0)</f>
        <v>51H -88294</v>
      </c>
      <c r="F95" s="111" t="str">
        <f>VLOOKUP($B95,ma!$A:$B,2,0)</f>
        <v>LÊ GIA THỦ ĐỨC</v>
      </c>
      <c r="G95" s="112" t="s">
        <v>1542</v>
      </c>
      <c r="H95" s="113" t="s">
        <v>1460</v>
      </c>
      <c r="I95" s="114"/>
      <c r="J95" s="109"/>
      <c r="K95" s="116">
        <v>1.2</v>
      </c>
      <c r="L95" s="117">
        <f>K95*50000</f>
        <v>60000</v>
      </c>
      <c r="M95" s="114"/>
      <c r="N95" s="118"/>
      <c r="O95" s="118">
        <v>1</v>
      </c>
      <c r="P95" s="114">
        <f>VLOOKUP($B95,ma!$A:$C,3,0)</f>
        <v>800000</v>
      </c>
      <c r="Q95" s="114">
        <f>VLOOKUP($B95,ma!$A:$C,3,0)</f>
        <v>800000</v>
      </c>
      <c r="R95" s="119"/>
      <c r="S95" s="119"/>
      <c r="T95" s="119"/>
      <c r="U95" s="119"/>
      <c r="V95" s="119"/>
      <c r="W95" s="119"/>
      <c r="X95" s="119"/>
      <c r="Y95" s="119"/>
      <c r="Z95" s="119"/>
      <c r="AA95" s="119"/>
    </row>
    <row r="96" spans="1:27" ht="15">
      <c r="A96" s="107">
        <v>22</v>
      </c>
      <c r="B96" s="108" t="s">
        <v>1059</v>
      </c>
      <c r="C96" s="109" t="s">
        <v>74</v>
      </c>
      <c r="D96" s="110">
        <v>46085</v>
      </c>
      <c r="E96" s="109" t="str">
        <f>VLOOKUP($C96,xe!$A:$B,2,0)</f>
        <v>50H-44024</v>
      </c>
      <c r="F96" s="111" t="str">
        <f>VLOOKUP($B96,ma!$A:$B,2,0)</f>
        <v>BHX ( VL)</v>
      </c>
      <c r="G96" s="112" t="s">
        <v>1543</v>
      </c>
      <c r="H96" s="113" t="s">
        <v>1448</v>
      </c>
      <c r="I96" s="114"/>
      <c r="J96" s="120" t="s">
        <v>1457</v>
      </c>
      <c r="K96" s="116">
        <v>2</v>
      </c>
      <c r="L96" s="117">
        <f>K96*80000</f>
        <v>160000</v>
      </c>
      <c r="M96" s="114"/>
      <c r="N96" s="118"/>
      <c r="O96" s="118">
        <v>1</v>
      </c>
      <c r="P96" s="114">
        <f>VLOOKUP($B96,ma!$A:$C,3,0)</f>
        <v>800000</v>
      </c>
      <c r="Q96" s="114">
        <f>VLOOKUP($B96,ma!$A:$C,3,0)</f>
        <v>800000</v>
      </c>
      <c r="R96" s="119"/>
      <c r="S96" s="119"/>
      <c r="T96" s="119"/>
      <c r="U96" s="119"/>
      <c r="V96" s="119"/>
      <c r="W96" s="119"/>
      <c r="X96" s="119"/>
      <c r="Y96" s="119"/>
      <c r="Z96" s="119"/>
      <c r="AA96" s="119"/>
    </row>
    <row r="97" spans="1:27" ht="15">
      <c r="A97" s="107">
        <v>23</v>
      </c>
      <c r="B97" s="108" t="s">
        <v>1449</v>
      </c>
      <c r="C97" s="109" t="s">
        <v>31</v>
      </c>
      <c r="D97" s="110">
        <v>46085</v>
      </c>
      <c r="E97" s="109" t="str">
        <f>VLOOKUP($C97,xe!$A:$B,2,0)</f>
        <v>50H-74619</v>
      </c>
      <c r="F97" s="111" t="str">
        <f>VLOOKUP($B97,ma!$A:$B,2,0)</f>
        <v>BHX NHÀ BÈ</v>
      </c>
      <c r="G97" s="112" t="s">
        <v>1544</v>
      </c>
      <c r="H97" s="113" t="s">
        <v>1460</v>
      </c>
      <c r="I97" s="114"/>
      <c r="J97" s="120" t="s">
        <v>1457</v>
      </c>
      <c r="K97" s="116">
        <v>1.6</v>
      </c>
      <c r="L97" s="134">
        <v>170000</v>
      </c>
      <c r="M97" s="114"/>
      <c r="N97" s="118"/>
      <c r="O97" s="118">
        <v>1</v>
      </c>
      <c r="P97" s="114">
        <f>VLOOKUP($B97,ma!$A:$C,3,0)</f>
        <v>400000</v>
      </c>
      <c r="Q97" s="114">
        <f>VLOOKUP($B97,ma!$A:$C,3,0)</f>
        <v>400000</v>
      </c>
      <c r="R97" s="119"/>
      <c r="S97" s="119"/>
      <c r="T97" s="119"/>
      <c r="U97" s="119"/>
      <c r="V97" s="119"/>
      <c r="W97" s="119"/>
      <c r="X97" s="119"/>
      <c r="Y97" s="119"/>
      <c r="Z97" s="119"/>
      <c r="AA97" s="119"/>
    </row>
    <row r="98" spans="1:27" ht="15">
      <c r="A98" s="107">
        <v>24</v>
      </c>
      <c r="B98" s="108" t="s">
        <v>801</v>
      </c>
      <c r="C98" s="109" t="s">
        <v>10</v>
      </c>
      <c r="D98" s="110">
        <v>46085</v>
      </c>
      <c r="E98" s="109" t="str">
        <f>VLOOKUP($C98,xe!$A:$B,2,0)</f>
        <v>50H-50999</v>
      </c>
      <c r="F98" s="111" t="str">
        <f>VLOOKUP($B98,ma!$A:$B,2,0)</f>
        <v>VFS</v>
      </c>
      <c r="G98" s="112" t="s">
        <v>1545</v>
      </c>
      <c r="H98" s="113" t="s">
        <v>1401</v>
      </c>
      <c r="I98" s="114"/>
      <c r="J98" s="109"/>
      <c r="K98" s="116">
        <v>1.4</v>
      </c>
      <c r="L98" s="117">
        <f t="shared" ref="L98:L99" si="14">K98*50000</f>
        <v>70000</v>
      </c>
      <c r="M98" s="114"/>
      <c r="N98" s="118"/>
      <c r="O98" s="118">
        <v>1</v>
      </c>
      <c r="P98" s="114">
        <f>VLOOKUP($B98,ma!$A:$C,3,0)</f>
        <v>800000</v>
      </c>
      <c r="Q98" s="114">
        <f>VLOOKUP($B98,ma!$A:$C,3,0)</f>
        <v>800000</v>
      </c>
      <c r="R98" s="119"/>
      <c r="S98" s="119"/>
      <c r="T98" s="119"/>
      <c r="U98" s="119"/>
      <c r="V98" s="119"/>
      <c r="W98" s="119"/>
      <c r="X98" s="119"/>
      <c r="Y98" s="119"/>
      <c r="Z98" s="119"/>
      <c r="AA98" s="119"/>
    </row>
    <row r="99" spans="1:27" ht="15">
      <c r="A99" s="107">
        <v>25</v>
      </c>
      <c r="B99" s="108" t="s">
        <v>801</v>
      </c>
      <c r="C99" s="109" t="s">
        <v>1546</v>
      </c>
      <c r="D99" s="110">
        <v>46085</v>
      </c>
      <c r="E99" s="109" t="str">
        <f>VLOOKUP($C99,xe!$A:$B,2,0)</f>
        <v>50H-54580</v>
      </c>
      <c r="F99" s="111" t="str">
        <f>VLOOKUP($B99,ma!$A:$B,2,0)</f>
        <v>VFS</v>
      </c>
      <c r="G99" s="112" t="s">
        <v>1547</v>
      </c>
      <c r="H99" s="113" t="s">
        <v>1401</v>
      </c>
      <c r="I99" s="114"/>
      <c r="J99" s="109"/>
      <c r="K99" s="116">
        <v>1.4</v>
      </c>
      <c r="L99" s="117">
        <f t="shared" si="14"/>
        <v>70000</v>
      </c>
      <c r="M99" s="114"/>
      <c r="N99" s="118"/>
      <c r="O99" s="118">
        <v>1</v>
      </c>
      <c r="P99" s="114">
        <f>VLOOKUP($B99,ma!$A:$C,3,0)</f>
        <v>800000</v>
      </c>
      <c r="Q99" s="114">
        <f>VLOOKUP($B99,ma!$A:$C,3,0)</f>
        <v>800000</v>
      </c>
      <c r="R99" s="119"/>
      <c r="S99" s="119"/>
      <c r="T99" s="119"/>
      <c r="U99" s="119"/>
      <c r="V99" s="119"/>
      <c r="W99" s="119"/>
      <c r="X99" s="119"/>
      <c r="Y99" s="119"/>
      <c r="Z99" s="119"/>
      <c r="AA99" s="119"/>
    </row>
    <row r="100" spans="1:27" ht="15">
      <c r="A100" s="107">
        <v>26</v>
      </c>
      <c r="B100" s="108" t="s">
        <v>846</v>
      </c>
      <c r="C100" s="109" t="s">
        <v>1493</v>
      </c>
      <c r="D100" s="110">
        <v>46085</v>
      </c>
      <c r="E100" s="109" t="str">
        <f>VLOOKUP($C100,xe!$A:$B,2,0)</f>
        <v>50H-55161</v>
      </c>
      <c r="F100" s="111" t="str">
        <f>VLOOKUP($B100,ma!$A:$B,2,0)</f>
        <v>VĂN HẬU LONG HƯNG ( KBX )</v>
      </c>
      <c r="G100" s="112" t="s">
        <v>1412</v>
      </c>
      <c r="H100" s="113" t="s">
        <v>1412</v>
      </c>
      <c r="I100" s="114"/>
      <c r="J100" s="109"/>
      <c r="K100" s="116">
        <v>2.2000000000000002</v>
      </c>
      <c r="L100" s="117">
        <v>50000</v>
      </c>
      <c r="M100" s="114">
        <v>30000</v>
      </c>
      <c r="N100" s="118" t="s">
        <v>1423</v>
      </c>
      <c r="O100" s="118">
        <v>1</v>
      </c>
      <c r="P100" s="114">
        <f>VLOOKUP($B100,ma!$A:$C,3,0)</f>
        <v>800000</v>
      </c>
      <c r="Q100" s="114">
        <f>VLOOKUP($B100,ma!$A:$C,3,0)</f>
        <v>800000</v>
      </c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</row>
    <row r="101" spans="1:27" ht="15">
      <c r="A101" s="107">
        <v>27</v>
      </c>
      <c r="B101" s="108" t="s">
        <v>846</v>
      </c>
      <c r="C101" s="109" t="s">
        <v>1488</v>
      </c>
      <c r="D101" s="110">
        <v>46085</v>
      </c>
      <c r="E101" s="109" t="str">
        <f>VLOOKUP($C101,xe!$A:$B,2,0)</f>
        <v>50H-66445</v>
      </c>
      <c r="F101" s="111" t="str">
        <f>VLOOKUP($B101,ma!$A:$B,2,0)</f>
        <v>VĂN HẬU LONG HƯNG ( KBX )</v>
      </c>
      <c r="G101" s="112" t="s">
        <v>1412</v>
      </c>
      <c r="H101" s="113" t="s">
        <v>1412</v>
      </c>
      <c r="I101" s="114"/>
      <c r="J101" s="109"/>
      <c r="K101" s="116">
        <v>2.2000000000000002</v>
      </c>
      <c r="L101" s="117">
        <v>50000</v>
      </c>
      <c r="M101" s="114"/>
      <c r="N101" s="118"/>
      <c r="O101" s="118">
        <v>1</v>
      </c>
      <c r="P101" s="114">
        <f>VLOOKUP($B101,ma!$A:$C,3,0)</f>
        <v>800000</v>
      </c>
      <c r="Q101" s="114">
        <f>VLOOKUP($B101,ma!$A:$C,3,0)</f>
        <v>800000</v>
      </c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</row>
    <row r="102" spans="1:27" ht="15">
      <c r="A102" s="107">
        <v>28</v>
      </c>
      <c r="B102" s="108" t="s">
        <v>1548</v>
      </c>
      <c r="C102" s="109" t="s">
        <v>1440</v>
      </c>
      <c r="D102" s="110">
        <v>46085</v>
      </c>
      <c r="E102" s="109" t="str">
        <f>VLOOKUP($C102,xe!$A:$B,2,0)</f>
        <v>51H -88294</v>
      </c>
      <c r="F102" s="111" t="str">
        <f>VLOOKUP($B102,ma!$A:$B,2,0)</f>
        <v>COOP LÊ MINH XUÂN</v>
      </c>
      <c r="G102" s="112" t="s">
        <v>1549</v>
      </c>
      <c r="H102" s="113" t="s">
        <v>1460</v>
      </c>
      <c r="I102" s="114"/>
      <c r="J102" s="115" t="s">
        <v>1550</v>
      </c>
      <c r="K102" s="116">
        <v>1.4</v>
      </c>
      <c r="L102" s="117">
        <f>K102*50000</f>
        <v>70000</v>
      </c>
      <c r="M102" s="114">
        <v>30000</v>
      </c>
      <c r="N102" s="118" t="s">
        <v>1423</v>
      </c>
      <c r="O102" s="118">
        <v>1</v>
      </c>
      <c r="P102" s="114">
        <f>VLOOKUP($B102,ma!$A:$C,3,0)</f>
        <v>800000</v>
      </c>
      <c r="Q102" s="114">
        <f>VLOOKUP($B102,ma!$A:$C,3,0)</f>
        <v>800000</v>
      </c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</row>
    <row r="103" spans="1:27" ht="15">
      <c r="A103" s="107">
        <v>29</v>
      </c>
      <c r="B103" s="108" t="s">
        <v>1061</v>
      </c>
      <c r="C103" s="109" t="s">
        <v>14</v>
      </c>
      <c r="D103" s="110">
        <v>46085</v>
      </c>
      <c r="E103" s="109" t="str">
        <f>VLOOKUP($C103,xe!$A:$B,2,0)</f>
        <v>50H-64470</v>
      </c>
      <c r="F103" s="111" t="str">
        <f>VLOOKUP($B103,ma!$A:$B,2,0)</f>
        <v>BHX ( TĐN)</v>
      </c>
      <c r="G103" s="112" t="s">
        <v>1551</v>
      </c>
      <c r="H103" s="113" t="s">
        <v>1448</v>
      </c>
      <c r="I103" s="114">
        <v>10000</v>
      </c>
      <c r="J103" s="109"/>
      <c r="K103" s="116">
        <v>2.2000000000000002</v>
      </c>
      <c r="L103" s="134">
        <v>210000</v>
      </c>
      <c r="M103" s="114"/>
      <c r="N103" s="118"/>
      <c r="O103" s="118">
        <v>1</v>
      </c>
      <c r="P103" s="114">
        <f>VLOOKUP($B103,ma!$A:$C,3,0)</f>
        <v>800000</v>
      </c>
      <c r="Q103" s="114">
        <f>VLOOKUP($B103,ma!$A:$C,3,0)</f>
        <v>800000</v>
      </c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</row>
    <row r="104" spans="1:27" ht="15">
      <c r="A104" s="107">
        <v>30</v>
      </c>
      <c r="B104" s="108" t="s">
        <v>1061</v>
      </c>
      <c r="C104" s="109" t="s">
        <v>1506</v>
      </c>
      <c r="D104" s="110">
        <v>46085</v>
      </c>
      <c r="E104" s="109" t="str">
        <f>VLOOKUP($C104,xe!$A:$B,2,0)</f>
        <v>50H-55443</v>
      </c>
      <c r="F104" s="111" t="str">
        <f>VLOOKUP($B104,ma!$A:$B,2,0)</f>
        <v>BHX ( TĐN)</v>
      </c>
      <c r="G104" s="112" t="s">
        <v>1552</v>
      </c>
      <c r="H104" s="113" t="s">
        <v>1448</v>
      </c>
      <c r="I104" s="114"/>
      <c r="J104" s="109"/>
      <c r="K104" s="116">
        <v>2.2000000000000002</v>
      </c>
      <c r="L104" s="134">
        <v>210000</v>
      </c>
      <c r="M104" s="114">
        <v>30000</v>
      </c>
      <c r="N104" s="118" t="s">
        <v>1423</v>
      </c>
      <c r="O104" s="118">
        <v>1</v>
      </c>
      <c r="P104" s="114">
        <f>VLOOKUP($B104,ma!$A:$C,3,0)</f>
        <v>800000</v>
      </c>
      <c r="Q104" s="114">
        <f>VLOOKUP($B104,ma!$A:$C,3,0)</f>
        <v>800000</v>
      </c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</row>
    <row r="105" spans="1:27" ht="15">
      <c r="A105" s="107">
        <f t="shared" ref="A105:A112" si="15">A104+1</f>
        <v>31</v>
      </c>
      <c r="B105" s="108" t="s">
        <v>1061</v>
      </c>
      <c r="C105" s="109" t="s">
        <v>31</v>
      </c>
      <c r="D105" s="110">
        <v>46085</v>
      </c>
      <c r="E105" s="109" t="str">
        <f>VLOOKUP($C105,xe!$A:$B,2,0)</f>
        <v>50H-74619</v>
      </c>
      <c r="F105" s="111" t="str">
        <f>VLOOKUP($B105,ma!$A:$B,2,0)</f>
        <v>BHX ( TĐN)</v>
      </c>
      <c r="G105" s="112" t="s">
        <v>1553</v>
      </c>
      <c r="H105" s="113" t="s">
        <v>1448</v>
      </c>
      <c r="I105" s="114">
        <v>10000</v>
      </c>
      <c r="J105" s="109"/>
      <c r="K105" s="116">
        <v>2.2000000000000002</v>
      </c>
      <c r="L105" s="134">
        <v>210000</v>
      </c>
      <c r="M105" s="114">
        <v>30000</v>
      </c>
      <c r="N105" s="118" t="s">
        <v>1423</v>
      </c>
      <c r="O105" s="118">
        <v>1</v>
      </c>
      <c r="P105" s="114">
        <f>VLOOKUP($B105,ma!$A:$C,3,0)</f>
        <v>800000</v>
      </c>
      <c r="Q105" s="114">
        <f>VLOOKUP($B105,ma!$A:$C,3,0)</f>
        <v>800000</v>
      </c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</row>
    <row r="106" spans="1:27" ht="15">
      <c r="A106" s="107">
        <f t="shared" si="15"/>
        <v>32</v>
      </c>
      <c r="B106" s="108" t="s">
        <v>1061</v>
      </c>
      <c r="C106" s="109" t="s">
        <v>1432</v>
      </c>
      <c r="D106" s="110">
        <v>46085</v>
      </c>
      <c r="E106" s="109" t="str">
        <f>VLOOKUP($C106,xe!$A:$B,2,0)</f>
        <v>50H-70216</v>
      </c>
      <c r="F106" s="111" t="str">
        <f>VLOOKUP($B106,ma!$A:$B,2,0)</f>
        <v>BHX ( TĐN)</v>
      </c>
      <c r="G106" s="112" t="s">
        <v>1554</v>
      </c>
      <c r="H106" s="113" t="s">
        <v>1448</v>
      </c>
      <c r="I106" s="114"/>
      <c r="J106" s="109"/>
      <c r="K106" s="116">
        <v>2.2000000000000002</v>
      </c>
      <c r="L106" s="134">
        <v>220000</v>
      </c>
      <c r="M106" s="114"/>
      <c r="N106" s="118"/>
      <c r="O106" s="118">
        <v>1</v>
      </c>
      <c r="P106" s="114">
        <f>VLOOKUP($B106,ma!$A:$C,3,0)</f>
        <v>800000</v>
      </c>
      <c r="Q106" s="114">
        <f>VLOOKUP($B106,ma!$A:$C,3,0)</f>
        <v>800000</v>
      </c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</row>
    <row r="107" spans="1:27" ht="15">
      <c r="A107" s="107">
        <f t="shared" si="15"/>
        <v>33</v>
      </c>
      <c r="B107" s="108" t="s">
        <v>1063</v>
      </c>
      <c r="C107" s="109" t="s">
        <v>1555</v>
      </c>
      <c r="D107" s="110">
        <v>46085</v>
      </c>
      <c r="E107" s="109" t="str">
        <f>VLOOKUP($C107,xe!$A:$B,2,0)</f>
        <v>50H-69501</v>
      </c>
      <c r="F107" s="111" t="str">
        <f>VLOOKUP($B107,ma!$A:$B,2,0)</f>
        <v>BHX CẦN ĐƯỚC</v>
      </c>
      <c r="G107" s="112" t="s">
        <v>1556</v>
      </c>
      <c r="H107" s="113" t="s">
        <v>1460</v>
      </c>
      <c r="I107" s="114"/>
      <c r="J107" s="109"/>
      <c r="K107" s="116">
        <v>2.2000000000000002</v>
      </c>
      <c r="L107" s="134">
        <v>270000</v>
      </c>
      <c r="M107" s="114">
        <v>30000</v>
      </c>
      <c r="N107" s="118" t="s">
        <v>1423</v>
      </c>
      <c r="O107" s="118">
        <v>1</v>
      </c>
      <c r="P107" s="114">
        <f>VLOOKUP($B107,ma!$A:$C,3,0)</f>
        <v>900000</v>
      </c>
      <c r="Q107" s="114">
        <f>VLOOKUP($B107,ma!$A:$C,3,0)</f>
        <v>900000</v>
      </c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</row>
    <row r="108" spans="1:27" ht="15">
      <c r="A108" s="107">
        <f t="shared" si="15"/>
        <v>34</v>
      </c>
      <c r="B108" s="108" t="s">
        <v>1063</v>
      </c>
      <c r="C108" s="109" t="s">
        <v>78</v>
      </c>
      <c r="D108" s="110">
        <v>46085</v>
      </c>
      <c r="E108" s="133" t="str">
        <f>VLOOKUP($C108,xe!$A:$B,2,0)</f>
        <v>50E-565,21</v>
      </c>
      <c r="F108" s="111" t="str">
        <f>VLOOKUP($B108,ma!$A:$B,2,0)</f>
        <v>BHX CẦN ĐƯỚC</v>
      </c>
      <c r="G108" s="112" t="s">
        <v>1557</v>
      </c>
      <c r="H108" s="113" t="s">
        <v>1460</v>
      </c>
      <c r="I108" s="114"/>
      <c r="J108" s="109"/>
      <c r="K108" s="116">
        <v>2</v>
      </c>
      <c r="L108" s="117">
        <f>K108*80000</f>
        <v>160000</v>
      </c>
      <c r="M108" s="114"/>
      <c r="N108" s="118"/>
      <c r="O108" s="118">
        <v>1</v>
      </c>
      <c r="P108" s="114">
        <f>VLOOKUP($B108,ma!$A:$C,3,0)</f>
        <v>900000</v>
      </c>
      <c r="Q108" s="114">
        <f>VLOOKUP($B108,ma!$A:$C,3,0)</f>
        <v>900000</v>
      </c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</row>
    <row r="109" spans="1:27" ht="15">
      <c r="A109" s="107">
        <f t="shared" si="15"/>
        <v>35</v>
      </c>
      <c r="B109" s="108" t="s">
        <v>1449</v>
      </c>
      <c r="C109" s="109" t="s">
        <v>10</v>
      </c>
      <c r="D109" s="110">
        <v>46085</v>
      </c>
      <c r="E109" s="109" t="str">
        <f>VLOOKUP($C109,xe!$A:$B,2,0)</f>
        <v>50H-50999</v>
      </c>
      <c r="F109" s="111" t="str">
        <f>VLOOKUP($B109,ma!$A:$B,2,0)</f>
        <v>BHX NHÀ BÈ</v>
      </c>
      <c r="G109" s="112" t="s">
        <v>1558</v>
      </c>
      <c r="H109" s="113" t="s">
        <v>1448</v>
      </c>
      <c r="I109" s="114"/>
      <c r="J109" s="109"/>
      <c r="K109" s="116">
        <v>1.4</v>
      </c>
      <c r="L109" s="117">
        <f>K109*50000</f>
        <v>70000</v>
      </c>
      <c r="M109" s="114"/>
      <c r="N109" s="118"/>
      <c r="O109" s="118">
        <v>1</v>
      </c>
      <c r="P109" s="114">
        <f>VLOOKUP($B109,ma!$A:$C,3,0)</f>
        <v>400000</v>
      </c>
      <c r="Q109" s="114">
        <f>VLOOKUP($B109,ma!$A:$C,3,0)</f>
        <v>400000</v>
      </c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</row>
    <row r="110" spans="1:27" ht="15">
      <c r="A110" s="107">
        <f t="shared" si="15"/>
        <v>36</v>
      </c>
      <c r="B110" s="108" t="s">
        <v>1449</v>
      </c>
      <c r="C110" s="109" t="s">
        <v>18</v>
      </c>
      <c r="D110" s="110">
        <v>46085</v>
      </c>
      <c r="E110" s="109" t="str">
        <f>VLOOKUP($C110,xe!$A:$B,2,0)</f>
        <v>50H-54580</v>
      </c>
      <c r="F110" s="111" t="str">
        <f>VLOOKUP($B110,ma!$A:$B,2,0)</f>
        <v>BHX NHÀ BÈ</v>
      </c>
      <c r="G110" s="112" t="s">
        <v>1559</v>
      </c>
      <c r="H110" s="113" t="s">
        <v>1448</v>
      </c>
      <c r="I110" s="114"/>
      <c r="J110" s="109"/>
      <c r="K110" s="116">
        <v>1.4</v>
      </c>
      <c r="L110" s="134">
        <v>210000</v>
      </c>
      <c r="M110" s="114"/>
      <c r="N110" s="118"/>
      <c r="O110" s="118">
        <v>1</v>
      </c>
      <c r="P110" s="114">
        <f>VLOOKUP($B110,ma!$A:$C,3,0)</f>
        <v>400000</v>
      </c>
      <c r="Q110" s="114">
        <f>VLOOKUP($B110,ma!$A:$C,3,0)</f>
        <v>400000</v>
      </c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</row>
    <row r="111" spans="1:27" ht="15">
      <c r="A111" s="107">
        <f t="shared" si="15"/>
        <v>37</v>
      </c>
      <c r="B111" s="108" t="s">
        <v>907</v>
      </c>
      <c r="C111" s="109" t="s">
        <v>1490</v>
      </c>
      <c r="D111" s="110">
        <v>46085</v>
      </c>
      <c r="E111" s="109" t="str">
        <f>VLOOKUP($C111,xe!$A:$B,2,0)</f>
        <v>50H-44024</v>
      </c>
      <c r="F111" s="111" t="str">
        <f>VLOOKUP($B111,ma!$A:$B,2,0)</f>
        <v>M. BÌNH PHÚ</v>
      </c>
      <c r="G111" s="112" t="s">
        <v>1560</v>
      </c>
      <c r="H111" s="113" t="s">
        <v>1448</v>
      </c>
      <c r="I111" s="114"/>
      <c r="J111" s="109"/>
      <c r="K111" s="116">
        <v>1.4</v>
      </c>
      <c r="L111" s="117">
        <f t="shared" ref="L111:L117" si="16">K111*50000</f>
        <v>70000</v>
      </c>
      <c r="M111" s="114"/>
      <c r="N111" s="118"/>
      <c r="O111" s="118">
        <v>1</v>
      </c>
      <c r="P111" s="114">
        <f>VLOOKUP($B111,ma!$A:$C,3,0)</f>
        <v>800000</v>
      </c>
      <c r="Q111" s="114">
        <f>VLOOKUP($B111,ma!$A:$C,3,0)</f>
        <v>800000</v>
      </c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</row>
    <row r="112" spans="1:27" ht="15">
      <c r="A112" s="107">
        <f t="shared" si="15"/>
        <v>38</v>
      </c>
      <c r="B112" s="108" t="s">
        <v>907</v>
      </c>
      <c r="C112" s="109" t="s">
        <v>1488</v>
      </c>
      <c r="D112" s="110">
        <v>46085</v>
      </c>
      <c r="E112" s="109" t="str">
        <f>VLOOKUP($C112,xe!$A:$B,2,0)</f>
        <v>50H-66445</v>
      </c>
      <c r="F112" s="111" t="str">
        <f>VLOOKUP($B112,ma!$A:$B,2,0)</f>
        <v>M. BÌNH PHÚ</v>
      </c>
      <c r="G112" s="112" t="s">
        <v>1561</v>
      </c>
      <c r="H112" s="113" t="s">
        <v>1512</v>
      </c>
      <c r="I112" s="114"/>
      <c r="J112" s="109"/>
      <c r="K112" s="116">
        <v>1.4</v>
      </c>
      <c r="L112" s="117">
        <f t="shared" si="16"/>
        <v>70000</v>
      </c>
      <c r="M112" s="114">
        <v>30000</v>
      </c>
      <c r="N112" s="118" t="s">
        <v>1423</v>
      </c>
      <c r="O112" s="118">
        <v>1</v>
      </c>
      <c r="P112" s="114">
        <f>VLOOKUP($B112,ma!$A:$C,3,0)</f>
        <v>800000</v>
      </c>
      <c r="Q112" s="114">
        <f>VLOOKUP($B112,ma!$A:$C,3,0)</f>
        <v>800000</v>
      </c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</row>
    <row r="113" spans="1:27" ht="15">
      <c r="A113" s="137">
        <v>1</v>
      </c>
      <c r="B113" s="138" t="s">
        <v>110</v>
      </c>
      <c r="C113" s="139" t="s">
        <v>1546</v>
      </c>
      <c r="D113" s="140">
        <v>46086</v>
      </c>
      <c r="E113" s="139" t="str">
        <f>VLOOKUP($C113,xe!$A:$B,2,0)</f>
        <v>50H-54580</v>
      </c>
      <c r="F113" s="141" t="str">
        <f>VLOOKUP($B113,ma!$A:$B,2,0)</f>
        <v>CALOFIC - UNI ( xe nhỏ )</v>
      </c>
      <c r="G113" s="142" t="s">
        <v>1412</v>
      </c>
      <c r="H113" s="126" t="s">
        <v>1412</v>
      </c>
      <c r="I113" s="132"/>
      <c r="J113" s="115" t="s">
        <v>140</v>
      </c>
      <c r="K113" s="129">
        <v>2</v>
      </c>
      <c r="L113" s="143">
        <f t="shared" si="16"/>
        <v>100000</v>
      </c>
      <c r="M113" s="132">
        <v>30000</v>
      </c>
      <c r="N113" s="118" t="s">
        <v>1423</v>
      </c>
      <c r="O113" s="144">
        <v>1</v>
      </c>
      <c r="P113" s="132">
        <f>VLOOKUP($B113,ma!$A:$C,3,0)</f>
        <v>300000</v>
      </c>
      <c r="Q113" s="132">
        <f>VLOOKUP($B113,ma!$A:$C,3,0)</f>
        <v>300000</v>
      </c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</row>
    <row r="114" spans="1:27" ht="15">
      <c r="A114" s="107">
        <f t="shared" ref="A114:A156" si="17">A113+1</f>
        <v>2</v>
      </c>
      <c r="B114" s="108" t="s">
        <v>110</v>
      </c>
      <c r="C114" s="109" t="s">
        <v>1502</v>
      </c>
      <c r="D114" s="110">
        <v>46086</v>
      </c>
      <c r="E114" s="109" t="str">
        <f>VLOOKUP($C114,xe!$A:$B,2,0)</f>
        <v>50H-63174</v>
      </c>
      <c r="F114" s="111" t="str">
        <f>VLOOKUP($B114,ma!$A:$B,2,0)</f>
        <v>CALOFIC - UNI ( xe nhỏ )</v>
      </c>
      <c r="G114" s="112" t="s">
        <v>1412</v>
      </c>
      <c r="H114" s="113" t="s">
        <v>1412</v>
      </c>
      <c r="I114" s="114"/>
      <c r="J114" s="115" t="s">
        <v>140</v>
      </c>
      <c r="K114" s="116">
        <v>2</v>
      </c>
      <c r="L114" s="117">
        <f t="shared" si="16"/>
        <v>100000</v>
      </c>
      <c r="M114" s="114"/>
      <c r="N114" s="118"/>
      <c r="O114" s="118">
        <v>1</v>
      </c>
      <c r="P114" s="114">
        <f>VLOOKUP($B114,ma!$A:$C,3,0)</f>
        <v>300000</v>
      </c>
      <c r="Q114" s="114">
        <f>VLOOKUP($B114,ma!$A:$C,3,0)</f>
        <v>300000</v>
      </c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</row>
    <row r="115" spans="1:27" ht="15">
      <c r="A115" s="107">
        <f t="shared" si="17"/>
        <v>3</v>
      </c>
      <c r="B115" s="108" t="s">
        <v>1562</v>
      </c>
      <c r="C115" s="109" t="s">
        <v>58</v>
      </c>
      <c r="D115" s="110">
        <v>46086</v>
      </c>
      <c r="E115" s="109" t="str">
        <f>VLOOKUP($C115,xe!$A:$B,2,0)</f>
        <v>51C-81056</v>
      </c>
      <c r="F115" s="111" t="str">
        <f>VLOOKUP($B115,ma!$A:$B,2,0)</f>
        <v>AEON TÂN PHÚ</v>
      </c>
      <c r="G115" s="112" t="s">
        <v>1563</v>
      </c>
      <c r="H115" s="113" t="s">
        <v>1564</v>
      </c>
      <c r="I115" s="114"/>
      <c r="J115" s="115" t="s">
        <v>140</v>
      </c>
      <c r="K115" s="116">
        <v>1.4</v>
      </c>
      <c r="L115" s="117">
        <f t="shared" si="16"/>
        <v>70000</v>
      </c>
      <c r="M115" s="114"/>
      <c r="N115" s="118"/>
      <c r="O115" s="118">
        <v>1</v>
      </c>
      <c r="P115" s="114">
        <f>VLOOKUP($B115,ma!$A:$C,3,0)</f>
        <v>800000</v>
      </c>
      <c r="Q115" s="114">
        <f>VLOOKUP($B115,ma!$A:$C,3,0)</f>
        <v>800000</v>
      </c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</row>
    <row r="116" spans="1:27" ht="15">
      <c r="A116" s="107">
        <f t="shared" si="17"/>
        <v>4</v>
      </c>
      <c r="B116" s="108" t="s">
        <v>1562</v>
      </c>
      <c r="C116" s="109" t="s">
        <v>60</v>
      </c>
      <c r="D116" s="110">
        <v>46086</v>
      </c>
      <c r="E116" s="109" t="str">
        <f>VLOOKUP($C116,xe!$A:$B,2,0)</f>
        <v>50H-11822</v>
      </c>
      <c r="F116" s="111" t="str">
        <f>VLOOKUP($B116,ma!$A:$B,2,0)</f>
        <v>AEON TÂN PHÚ</v>
      </c>
      <c r="G116" s="112" t="s">
        <v>1565</v>
      </c>
      <c r="H116" s="113" t="s">
        <v>1460</v>
      </c>
      <c r="I116" s="114"/>
      <c r="J116" s="115" t="s">
        <v>140</v>
      </c>
      <c r="K116" s="116">
        <v>1.4</v>
      </c>
      <c r="L116" s="117">
        <f t="shared" si="16"/>
        <v>70000</v>
      </c>
      <c r="M116" s="114"/>
      <c r="N116" s="118"/>
      <c r="O116" s="118">
        <v>1</v>
      </c>
      <c r="P116" s="114">
        <f>VLOOKUP($B116,ma!$A:$C,3,0)</f>
        <v>800000</v>
      </c>
      <c r="Q116" s="114">
        <f>VLOOKUP($B116,ma!$A:$C,3,0)</f>
        <v>800000</v>
      </c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</row>
    <row r="117" spans="1:27" ht="15">
      <c r="A117" s="107">
        <f t="shared" si="17"/>
        <v>5</v>
      </c>
      <c r="B117" s="108" t="s">
        <v>1562</v>
      </c>
      <c r="C117" s="109" t="s">
        <v>1538</v>
      </c>
      <c r="D117" s="110">
        <v>46086</v>
      </c>
      <c r="E117" s="109" t="str">
        <f>VLOOKUP($C117,xe!$A:$B,2,0)</f>
        <v>62H-01887</v>
      </c>
      <c r="F117" s="111" t="str">
        <f>VLOOKUP($B117,ma!$A:$B,2,0)</f>
        <v>AEON TÂN PHÚ</v>
      </c>
      <c r="G117" s="112" t="s">
        <v>1566</v>
      </c>
      <c r="H117" s="113" t="s">
        <v>1460</v>
      </c>
      <c r="I117" s="114"/>
      <c r="J117" s="115" t="s">
        <v>140</v>
      </c>
      <c r="K117" s="116">
        <v>1.4</v>
      </c>
      <c r="L117" s="117">
        <f t="shared" si="16"/>
        <v>70000</v>
      </c>
      <c r="M117" s="114"/>
      <c r="N117" s="118"/>
      <c r="O117" s="118">
        <v>1</v>
      </c>
      <c r="P117" s="114">
        <f>VLOOKUP($B117,ma!$A:$C,3,0)</f>
        <v>800000</v>
      </c>
      <c r="Q117" s="114">
        <f>VLOOKUP($B117,ma!$A:$C,3,0)</f>
        <v>800000</v>
      </c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</row>
    <row r="118" spans="1:27" ht="15">
      <c r="A118" s="107">
        <f t="shared" si="17"/>
        <v>6</v>
      </c>
      <c r="B118" s="108" t="s">
        <v>1520</v>
      </c>
      <c r="C118" s="109" t="s">
        <v>66</v>
      </c>
      <c r="D118" s="110">
        <v>46086</v>
      </c>
      <c r="E118" s="109" t="str">
        <f>VLOOKUP($C118,xe!$A:$B,2,0)</f>
        <v>50H-92136</v>
      </c>
      <c r="F118" s="111" t="str">
        <f>VLOOKUP($B118,ma!$A:$B,2,0)</f>
        <v>SEN VIỆT ( K BX )</v>
      </c>
      <c r="G118" s="112" t="s">
        <v>1567</v>
      </c>
      <c r="H118" s="113" t="s">
        <v>1460</v>
      </c>
      <c r="I118" s="114"/>
      <c r="J118" s="115" t="s">
        <v>118</v>
      </c>
      <c r="K118" s="116">
        <v>2</v>
      </c>
      <c r="L118" s="117"/>
      <c r="M118" s="114"/>
      <c r="N118" s="118"/>
      <c r="O118" s="118">
        <v>1</v>
      </c>
      <c r="P118" s="114">
        <f>VLOOKUP($B118,ma!$A:$C,3,0)</f>
        <v>800000</v>
      </c>
      <c r="Q118" s="114">
        <f>VLOOKUP($B118,ma!$A:$C,3,0)</f>
        <v>800000</v>
      </c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</row>
    <row r="119" spans="1:27" ht="15">
      <c r="A119" s="107">
        <f t="shared" si="17"/>
        <v>7</v>
      </c>
      <c r="B119" s="108" t="s">
        <v>1520</v>
      </c>
      <c r="C119" s="109" t="s">
        <v>1524</v>
      </c>
      <c r="D119" s="110">
        <v>46086</v>
      </c>
      <c r="E119" s="109" t="str">
        <f>VLOOKUP($C119,xe!$A:$B,2,0)</f>
        <v>51D-38021</v>
      </c>
      <c r="F119" s="111" t="str">
        <f>VLOOKUP($B119,ma!$A:$B,2,0)</f>
        <v>SEN VIỆT ( K BX )</v>
      </c>
      <c r="G119" s="112" t="s">
        <v>1568</v>
      </c>
      <c r="H119" s="113" t="s">
        <v>1564</v>
      </c>
      <c r="I119" s="114"/>
      <c r="J119" s="109"/>
      <c r="K119" s="116">
        <v>2.2000000000000002</v>
      </c>
      <c r="L119" s="117"/>
      <c r="M119" s="114"/>
      <c r="N119" s="118"/>
      <c r="O119" s="118">
        <v>1</v>
      </c>
      <c r="P119" s="114">
        <f>VLOOKUP($B119,ma!$A:$C,3,0)</f>
        <v>800000</v>
      </c>
      <c r="Q119" s="114">
        <f>VLOOKUP($B119,ma!$A:$C,3,0)</f>
        <v>800000</v>
      </c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</row>
    <row r="120" spans="1:27" ht="15">
      <c r="A120" s="107">
        <f t="shared" si="17"/>
        <v>8</v>
      </c>
      <c r="B120" s="108" t="s">
        <v>1520</v>
      </c>
      <c r="C120" s="109" t="s">
        <v>70</v>
      </c>
      <c r="D120" s="110">
        <v>46086</v>
      </c>
      <c r="E120" s="109" t="str">
        <f>VLOOKUP($C120,xe!$A:$B,2,0)</f>
        <v>50H-86564</v>
      </c>
      <c r="F120" s="111" t="str">
        <f>VLOOKUP($B120,ma!$A:$B,2,0)</f>
        <v>SEN VIỆT ( K BX )</v>
      </c>
      <c r="G120" s="112" t="s">
        <v>1569</v>
      </c>
      <c r="H120" s="113" t="s">
        <v>1564</v>
      </c>
      <c r="I120" s="114"/>
      <c r="J120" s="109"/>
      <c r="K120" s="116">
        <v>2</v>
      </c>
      <c r="L120" s="117"/>
      <c r="M120" s="114"/>
      <c r="N120" s="118"/>
      <c r="O120" s="118">
        <v>1</v>
      </c>
      <c r="P120" s="114">
        <f>VLOOKUP($B120,ma!$A:$C,3,0)</f>
        <v>800000</v>
      </c>
      <c r="Q120" s="114">
        <f>VLOOKUP($B120,ma!$A:$C,3,0)</f>
        <v>800000</v>
      </c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</row>
    <row r="121" spans="1:27" ht="15">
      <c r="A121" s="107">
        <f t="shared" si="17"/>
        <v>9</v>
      </c>
      <c r="B121" s="108" t="s">
        <v>1124</v>
      </c>
      <c r="C121" s="109" t="s">
        <v>64</v>
      </c>
      <c r="D121" s="110">
        <v>46086</v>
      </c>
      <c r="E121" s="109" t="str">
        <f>VLOOKUP($C121,xe!$A:$B,2,0)</f>
        <v>50H-60635</v>
      </c>
      <c r="F121" s="111" t="str">
        <f>VLOOKUP($B121,ma!$A:$B,2,0)</f>
        <v>SATRA VIETTEL</v>
      </c>
      <c r="G121" s="112" t="s">
        <v>1570</v>
      </c>
      <c r="H121" s="113" t="s">
        <v>1564</v>
      </c>
      <c r="I121" s="114"/>
      <c r="J121" s="115" t="s">
        <v>1571</v>
      </c>
      <c r="K121" s="116">
        <v>1</v>
      </c>
      <c r="L121" s="117">
        <f t="shared" ref="L121:L123" si="18">K121*50000</f>
        <v>50000</v>
      </c>
      <c r="M121" s="114"/>
      <c r="N121" s="118"/>
      <c r="O121" s="118">
        <v>1</v>
      </c>
      <c r="P121" s="127">
        <v>300000</v>
      </c>
      <c r="Q121" s="127">
        <v>300000</v>
      </c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</row>
    <row r="122" spans="1:27" ht="15">
      <c r="A122" s="107">
        <f t="shared" si="17"/>
        <v>10</v>
      </c>
      <c r="B122" s="108" t="s">
        <v>1124</v>
      </c>
      <c r="C122" s="109" t="s">
        <v>1522</v>
      </c>
      <c r="D122" s="110">
        <v>46086</v>
      </c>
      <c r="E122" s="109" t="str">
        <f>VLOOKUP($C122,xe!$A:$B,2,0)</f>
        <v>47H-02023</v>
      </c>
      <c r="F122" s="111" t="str">
        <f>VLOOKUP($B122,ma!$A:$B,2,0)</f>
        <v>SATRA VIETTEL</v>
      </c>
      <c r="G122" s="112" t="s">
        <v>1572</v>
      </c>
      <c r="H122" s="113" t="s">
        <v>1564</v>
      </c>
      <c r="I122" s="114"/>
      <c r="J122" s="115" t="s">
        <v>1573</v>
      </c>
      <c r="K122" s="116">
        <v>2</v>
      </c>
      <c r="L122" s="117">
        <f t="shared" si="18"/>
        <v>100000</v>
      </c>
      <c r="M122" s="114"/>
      <c r="N122" s="118"/>
      <c r="O122" s="118">
        <v>1</v>
      </c>
      <c r="P122" s="127">
        <v>1300000</v>
      </c>
      <c r="Q122" s="127">
        <v>1300000</v>
      </c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</row>
    <row r="123" spans="1:27" ht="15">
      <c r="A123" s="107">
        <f t="shared" si="17"/>
        <v>11</v>
      </c>
      <c r="B123" s="108" t="s">
        <v>1474</v>
      </c>
      <c r="C123" s="109" t="s">
        <v>1500</v>
      </c>
      <c r="D123" s="110">
        <v>46086</v>
      </c>
      <c r="E123" s="109" t="str">
        <f>VLOOKUP($C123,xe!$A:$B,2,0)</f>
        <v>50H 87442</v>
      </c>
      <c r="F123" s="111" t="str">
        <f>VLOOKUP($B123,ma!$A:$B,2,0)</f>
        <v>NGUYỄN TRƯƠNG</v>
      </c>
      <c r="G123" s="112" t="s">
        <v>1574</v>
      </c>
      <c r="H123" s="113" t="s">
        <v>1448</v>
      </c>
      <c r="I123" s="114"/>
      <c r="J123" s="109"/>
      <c r="K123" s="116">
        <v>2.2000000000000002</v>
      </c>
      <c r="L123" s="117">
        <f t="shared" si="18"/>
        <v>110000.00000000001</v>
      </c>
      <c r="M123" s="114">
        <v>40000</v>
      </c>
      <c r="N123" s="118" t="s">
        <v>1575</v>
      </c>
      <c r="O123" s="118">
        <v>1</v>
      </c>
      <c r="P123" s="114">
        <f>VLOOKUP($B123,ma!$A:$C,3,0)</f>
        <v>800000</v>
      </c>
      <c r="Q123" s="114">
        <f>VLOOKUP($B123,ma!$A:$C,3,0)</f>
        <v>800000</v>
      </c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</row>
    <row r="124" spans="1:27" ht="15">
      <c r="A124" s="107">
        <f t="shared" si="17"/>
        <v>12</v>
      </c>
      <c r="B124" s="108" t="s">
        <v>1576</v>
      </c>
      <c r="C124" s="109" t="s">
        <v>1577</v>
      </c>
      <c r="D124" s="110">
        <v>46086</v>
      </c>
      <c r="E124" s="109" t="str">
        <f>VLOOKUP($C124,xe!$A:$B,2,0)</f>
        <v>50H-63174</v>
      </c>
      <c r="F124" s="111" t="str">
        <f>VLOOKUP($B124,ma!$A:$B,2,0)</f>
        <v>HỒNG Á ( K BX )</v>
      </c>
      <c r="G124" s="112" t="s">
        <v>1578</v>
      </c>
      <c r="H124" s="113" t="s">
        <v>1448</v>
      </c>
      <c r="I124" s="114"/>
      <c r="J124" s="109"/>
      <c r="K124" s="116">
        <v>1</v>
      </c>
      <c r="L124" s="117">
        <v>50000</v>
      </c>
      <c r="M124" s="114"/>
      <c r="N124" s="118"/>
      <c r="O124" s="118">
        <v>1</v>
      </c>
      <c r="P124" s="114">
        <f>VLOOKUP($B124,ma!$A:$C,3,0)</f>
        <v>800000</v>
      </c>
      <c r="Q124" s="114">
        <f>VLOOKUP($B124,ma!$A:$C,3,0)</f>
        <v>800000</v>
      </c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</row>
    <row r="125" spans="1:27" ht="15">
      <c r="A125" s="107">
        <f t="shared" si="17"/>
        <v>13</v>
      </c>
      <c r="B125" s="108" t="s">
        <v>1579</v>
      </c>
      <c r="C125" s="109" t="s">
        <v>68</v>
      </c>
      <c r="D125" s="110">
        <v>46086</v>
      </c>
      <c r="E125" s="109" t="str">
        <f>VLOOKUP($C125,xe!$A:$B,2,0)</f>
        <v>50H-55829</v>
      </c>
      <c r="F125" s="111" t="str">
        <f>VLOOKUP($B125,ma!$A:$B,2,0)</f>
        <v>TILICO TÊN LỬA</v>
      </c>
      <c r="G125" s="112" t="s">
        <v>1580</v>
      </c>
      <c r="H125" s="113" t="s">
        <v>1460</v>
      </c>
      <c r="I125" s="114"/>
      <c r="J125" s="109"/>
      <c r="K125" s="116">
        <v>1</v>
      </c>
      <c r="L125" s="117">
        <f t="shared" ref="L125:L128" si="19">K125*50000</f>
        <v>50000</v>
      </c>
      <c r="M125" s="114"/>
      <c r="N125" s="118"/>
      <c r="O125" s="118">
        <v>1</v>
      </c>
      <c r="P125" s="114">
        <f>VLOOKUP($B125,ma!$A:$C,3,0)</f>
        <v>800000</v>
      </c>
      <c r="Q125" s="114">
        <f>VLOOKUP($B125,ma!$A:$C,3,0)</f>
        <v>800000</v>
      </c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</row>
    <row r="126" spans="1:27" ht="15">
      <c r="A126" s="107">
        <f t="shared" si="17"/>
        <v>14</v>
      </c>
      <c r="B126" s="108" t="s">
        <v>1579</v>
      </c>
      <c r="C126" s="109" t="s">
        <v>64</v>
      </c>
      <c r="D126" s="110">
        <v>46086</v>
      </c>
      <c r="E126" s="109" t="str">
        <f>VLOOKUP($C126,xe!$A:$B,2,0)</f>
        <v>50H-60635</v>
      </c>
      <c r="F126" s="111" t="str">
        <f>VLOOKUP($B126,ma!$A:$B,2,0)</f>
        <v>TILICO TÊN LỬA</v>
      </c>
      <c r="G126" s="112" t="s">
        <v>1581</v>
      </c>
      <c r="H126" s="113" t="s">
        <v>1516</v>
      </c>
      <c r="I126" s="114"/>
      <c r="J126" s="109"/>
      <c r="K126" s="116">
        <v>1.6</v>
      </c>
      <c r="L126" s="117">
        <f t="shared" si="19"/>
        <v>80000</v>
      </c>
      <c r="M126" s="114"/>
      <c r="N126" s="118"/>
      <c r="O126" s="118">
        <v>1</v>
      </c>
      <c r="P126" s="114">
        <f>VLOOKUP($B126,ma!$A:$C,3,0)</f>
        <v>800000</v>
      </c>
      <c r="Q126" s="114">
        <f>VLOOKUP($B126,ma!$A:$C,3,0)</f>
        <v>800000</v>
      </c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</row>
    <row r="127" spans="1:27" ht="15">
      <c r="A127" s="107">
        <f t="shared" si="17"/>
        <v>15</v>
      </c>
      <c r="B127" s="108" t="s">
        <v>1582</v>
      </c>
      <c r="C127" s="109" t="s">
        <v>1493</v>
      </c>
      <c r="D127" s="110">
        <v>46086</v>
      </c>
      <c r="E127" s="109" t="str">
        <f>VLOOKUP($C127,xe!$A:$B,2,0)</f>
        <v>50H-55161</v>
      </c>
      <c r="F127" s="111" t="str">
        <f>VLOOKUP($B127,ma!$A:$B,2,0)</f>
        <v>THỌ PHÁT</v>
      </c>
      <c r="G127" s="112" t="s">
        <v>1583</v>
      </c>
      <c r="H127" s="113" t="s">
        <v>1448</v>
      </c>
      <c r="I127" s="114"/>
      <c r="J127" s="109"/>
      <c r="K127" s="116">
        <v>1.4</v>
      </c>
      <c r="L127" s="117">
        <f t="shared" si="19"/>
        <v>70000</v>
      </c>
      <c r="M127" s="114">
        <v>30000</v>
      </c>
      <c r="N127" s="118" t="s">
        <v>1423</v>
      </c>
      <c r="O127" s="118">
        <v>1</v>
      </c>
      <c r="P127" s="114">
        <f>VLOOKUP($B127,ma!$A:$C,3,0)</f>
        <v>500000</v>
      </c>
      <c r="Q127" s="114">
        <f>VLOOKUP($B127,ma!$A:$C,3,0)</f>
        <v>500000</v>
      </c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</row>
    <row r="128" spans="1:27" ht="15">
      <c r="A128" s="107">
        <f t="shared" si="17"/>
        <v>16</v>
      </c>
      <c r="B128" s="108" t="s">
        <v>1582</v>
      </c>
      <c r="C128" s="109" t="s">
        <v>10</v>
      </c>
      <c r="D128" s="110">
        <v>46086</v>
      </c>
      <c r="E128" s="109" t="str">
        <f>VLOOKUP($C128,xe!$A:$B,2,0)</f>
        <v>50H-50999</v>
      </c>
      <c r="F128" s="111" t="str">
        <f>VLOOKUP($B128,ma!$A:$B,2,0)</f>
        <v>THỌ PHÁT</v>
      </c>
      <c r="G128" s="112" t="s">
        <v>1584</v>
      </c>
      <c r="H128" s="113" t="s">
        <v>1448</v>
      </c>
      <c r="I128" s="114"/>
      <c r="J128" s="109"/>
      <c r="K128" s="116">
        <v>1.4</v>
      </c>
      <c r="L128" s="117">
        <f t="shared" si="19"/>
        <v>70000</v>
      </c>
      <c r="M128" s="114"/>
      <c r="N128" s="118"/>
      <c r="O128" s="118">
        <v>1</v>
      </c>
      <c r="P128" s="114">
        <f>VLOOKUP($B128,ma!$A:$C,3,0)</f>
        <v>500000</v>
      </c>
      <c r="Q128" s="114">
        <f>VLOOKUP($B128,ma!$A:$C,3,0)</f>
        <v>500000</v>
      </c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</row>
    <row r="129" spans="1:27" ht="15">
      <c r="A129" s="107">
        <f t="shared" si="17"/>
        <v>17</v>
      </c>
      <c r="B129" s="108" t="s">
        <v>1489</v>
      </c>
      <c r="C129" s="109" t="s">
        <v>8</v>
      </c>
      <c r="D129" s="110">
        <v>46086</v>
      </c>
      <c r="E129" s="109" t="str">
        <f>VLOOKUP($C129,xe!$A:$B,2,0)</f>
        <v>50H-64316</v>
      </c>
      <c r="F129" s="111" t="str">
        <f>VLOOKUP($B129,ma!$A:$B,2,0)</f>
        <v>XUÂN VÂN ( K BX )</v>
      </c>
      <c r="G129" s="112" t="s">
        <v>1585</v>
      </c>
      <c r="H129" s="113" t="s">
        <v>1448</v>
      </c>
      <c r="I129" s="114"/>
      <c r="J129" s="115" t="s">
        <v>455</v>
      </c>
      <c r="K129" s="116">
        <v>2.2000000000000002</v>
      </c>
      <c r="L129" s="117">
        <v>50000</v>
      </c>
      <c r="M129" s="114"/>
      <c r="N129" s="118"/>
      <c r="O129" s="118">
        <v>1</v>
      </c>
      <c r="P129" s="114">
        <f>VLOOKUP($B129,ma!$A:$C,3,0)</f>
        <v>800000</v>
      </c>
      <c r="Q129" s="114">
        <f>VLOOKUP($B129,ma!$A:$C,3,0)</f>
        <v>800000</v>
      </c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</row>
    <row r="130" spans="1:27" ht="15">
      <c r="A130" s="107">
        <f t="shared" si="17"/>
        <v>18</v>
      </c>
      <c r="B130" s="108" t="s">
        <v>1489</v>
      </c>
      <c r="C130" s="109" t="s">
        <v>78</v>
      </c>
      <c r="D130" s="110">
        <v>46086</v>
      </c>
      <c r="E130" s="133" t="str">
        <f>VLOOKUP($C130,xe!$A:$B,2,0)</f>
        <v>50E-565,21</v>
      </c>
      <c r="F130" s="111" t="str">
        <f>VLOOKUP($B130,ma!$A:$B,2,0)</f>
        <v>XUÂN VÂN ( K BX )</v>
      </c>
      <c r="G130" s="112" t="s">
        <v>1586</v>
      </c>
      <c r="H130" s="113" t="s">
        <v>1460</v>
      </c>
      <c r="I130" s="114"/>
      <c r="J130" s="115" t="s">
        <v>455</v>
      </c>
      <c r="K130" s="116">
        <v>2.2000000000000002</v>
      </c>
      <c r="L130" s="117"/>
      <c r="M130" s="114"/>
      <c r="N130" s="118"/>
      <c r="O130" s="118">
        <v>1</v>
      </c>
      <c r="P130" s="114">
        <f>VLOOKUP($B130,ma!$A:$C,3,0)</f>
        <v>800000</v>
      </c>
      <c r="Q130" s="114">
        <f>VLOOKUP($B130,ma!$A:$C,3,0)</f>
        <v>800000</v>
      </c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</row>
    <row r="131" spans="1:27" ht="15">
      <c r="A131" s="107">
        <f t="shared" si="17"/>
        <v>19</v>
      </c>
      <c r="B131" s="108" t="s">
        <v>1489</v>
      </c>
      <c r="C131" s="109" t="s">
        <v>18</v>
      </c>
      <c r="D131" s="110">
        <v>46086</v>
      </c>
      <c r="E131" s="109" t="str">
        <f>VLOOKUP($C131,xe!$A:$B,2,0)</f>
        <v>50H-54580</v>
      </c>
      <c r="F131" s="111" t="str">
        <f>VLOOKUP($B131,ma!$A:$B,2,0)</f>
        <v>XUÂN VÂN ( K BX )</v>
      </c>
      <c r="G131" s="112" t="s">
        <v>1587</v>
      </c>
      <c r="H131" s="113" t="s">
        <v>1448</v>
      </c>
      <c r="I131" s="114"/>
      <c r="J131" s="109"/>
      <c r="K131" s="116">
        <v>1.8</v>
      </c>
      <c r="L131" s="117">
        <v>50000</v>
      </c>
      <c r="M131" s="114"/>
      <c r="N131" s="118"/>
      <c r="O131" s="118">
        <v>1</v>
      </c>
      <c r="P131" s="114">
        <f>VLOOKUP($B131,ma!$A:$C,3,0)</f>
        <v>800000</v>
      </c>
      <c r="Q131" s="114">
        <f>VLOOKUP($B131,ma!$A:$C,3,0)</f>
        <v>800000</v>
      </c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</row>
    <row r="132" spans="1:27" ht="15">
      <c r="A132" s="107">
        <f t="shared" si="17"/>
        <v>20</v>
      </c>
      <c r="B132" s="108" t="s">
        <v>1489</v>
      </c>
      <c r="C132" s="109" t="s">
        <v>6</v>
      </c>
      <c r="D132" s="110">
        <v>46086</v>
      </c>
      <c r="E132" s="109" t="str">
        <f>VLOOKUP($C132,xe!$A:$B,2,0)</f>
        <v>50H-69501</v>
      </c>
      <c r="F132" s="111" t="str">
        <f>VLOOKUP($B132,ma!$A:$B,2,0)</f>
        <v>XUÂN VÂN ( K BX )</v>
      </c>
      <c r="G132" s="112" t="s">
        <v>1588</v>
      </c>
      <c r="H132" s="113" t="s">
        <v>1448</v>
      </c>
      <c r="I132" s="114"/>
      <c r="J132" s="109"/>
      <c r="K132" s="116">
        <v>2</v>
      </c>
      <c r="L132" s="117">
        <v>50000</v>
      </c>
      <c r="M132" s="114"/>
      <c r="N132" s="118"/>
      <c r="O132" s="118">
        <v>1</v>
      </c>
      <c r="P132" s="114">
        <f>VLOOKUP($B132,ma!$A:$C,3,0)</f>
        <v>800000</v>
      </c>
      <c r="Q132" s="114">
        <f>VLOOKUP($B132,ma!$A:$C,3,0)</f>
        <v>800000</v>
      </c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</row>
    <row r="133" spans="1:27" ht="15">
      <c r="A133" s="107">
        <f t="shared" si="17"/>
        <v>21</v>
      </c>
      <c r="B133" s="108" t="s">
        <v>1489</v>
      </c>
      <c r="C133" s="109" t="s">
        <v>31</v>
      </c>
      <c r="D133" s="110">
        <v>46086</v>
      </c>
      <c r="E133" s="109" t="str">
        <f>VLOOKUP($C133,xe!$A:$B,2,0)</f>
        <v>50H-74619</v>
      </c>
      <c r="F133" s="111" t="str">
        <f>VLOOKUP($B133,ma!$A:$B,2,0)</f>
        <v>XUÂN VÂN ( K BX )</v>
      </c>
      <c r="G133" s="112" t="s">
        <v>1589</v>
      </c>
      <c r="H133" s="113" t="s">
        <v>1460</v>
      </c>
      <c r="I133" s="114"/>
      <c r="J133" s="109"/>
      <c r="K133" s="116">
        <v>2</v>
      </c>
      <c r="L133" s="117">
        <v>50000</v>
      </c>
      <c r="M133" s="114"/>
      <c r="N133" s="118"/>
      <c r="O133" s="118">
        <v>1</v>
      </c>
      <c r="P133" s="114">
        <f>VLOOKUP($B133,ma!$A:$C,3,0)</f>
        <v>800000</v>
      </c>
      <c r="Q133" s="114">
        <f>VLOOKUP($B133,ma!$A:$C,3,0)</f>
        <v>800000</v>
      </c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</row>
    <row r="134" spans="1:27" ht="15">
      <c r="A134" s="107">
        <f t="shared" si="17"/>
        <v>22</v>
      </c>
      <c r="B134" s="108" t="s">
        <v>1489</v>
      </c>
      <c r="C134" s="109" t="s">
        <v>8</v>
      </c>
      <c r="D134" s="110">
        <v>46086</v>
      </c>
      <c r="E134" s="109" t="str">
        <f>VLOOKUP($C134,xe!$A:$B,2,0)</f>
        <v>50H-64316</v>
      </c>
      <c r="F134" s="111" t="str">
        <f>VLOOKUP($B134,ma!$A:$B,2,0)</f>
        <v>XUÂN VÂN ( K BX )</v>
      </c>
      <c r="G134" s="112" t="s">
        <v>1590</v>
      </c>
      <c r="H134" s="113" t="s">
        <v>1448</v>
      </c>
      <c r="I134" s="114"/>
      <c r="J134" s="109"/>
      <c r="K134" s="116">
        <v>2</v>
      </c>
      <c r="L134" s="117">
        <v>50000</v>
      </c>
      <c r="M134" s="114">
        <v>30000</v>
      </c>
      <c r="N134" s="118" t="s">
        <v>1423</v>
      </c>
      <c r="O134" s="118">
        <v>1</v>
      </c>
      <c r="P134" s="114">
        <f>VLOOKUP($B134,ma!$A:$C,3,0)</f>
        <v>800000</v>
      </c>
      <c r="Q134" s="114">
        <f>VLOOKUP($B134,ma!$A:$C,3,0)</f>
        <v>800000</v>
      </c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</row>
    <row r="135" spans="1:27" ht="15">
      <c r="A135" s="107">
        <f t="shared" si="17"/>
        <v>23</v>
      </c>
      <c r="B135" s="108" t="s">
        <v>1591</v>
      </c>
      <c r="C135" s="109" t="s">
        <v>1440</v>
      </c>
      <c r="D135" s="110">
        <v>46086</v>
      </c>
      <c r="E135" s="109" t="str">
        <f>VLOOKUP($C135,xe!$A:$B,2,0)</f>
        <v>51H -88294</v>
      </c>
      <c r="F135" s="111" t="str">
        <f>VLOOKUP($B135,ma!$A:$B,2,0)</f>
        <v>DUY LINH</v>
      </c>
      <c r="G135" s="112" t="s">
        <v>1592</v>
      </c>
      <c r="H135" s="113" t="s">
        <v>1460</v>
      </c>
      <c r="I135" s="114">
        <v>10000</v>
      </c>
      <c r="J135" s="109"/>
      <c r="K135" s="116">
        <v>2.2000000000000002</v>
      </c>
      <c r="L135" s="117">
        <f t="shared" ref="L135:L136" si="20">K135*50000</f>
        <v>110000.00000000001</v>
      </c>
      <c r="M135" s="114"/>
      <c r="N135" s="118"/>
      <c r="O135" s="118">
        <v>1</v>
      </c>
      <c r="P135" s="114">
        <f>VLOOKUP($B135,ma!$A:$C,3,0)</f>
        <v>800000</v>
      </c>
      <c r="Q135" s="114">
        <f>VLOOKUP($B135,ma!$A:$C,3,0)</f>
        <v>800000</v>
      </c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</row>
    <row r="136" spans="1:27" ht="15">
      <c r="A136" s="107">
        <f t="shared" si="17"/>
        <v>24</v>
      </c>
      <c r="B136" s="108" t="s">
        <v>1593</v>
      </c>
      <c r="C136" s="109" t="s">
        <v>74</v>
      </c>
      <c r="D136" s="110">
        <v>46086</v>
      </c>
      <c r="E136" s="109" t="str">
        <f>VLOOKUP($C136,xe!$A:$B,2,0)</f>
        <v>50H-44024</v>
      </c>
      <c r="F136" s="111" t="str">
        <f>VLOOKUP($B136,ma!$A:$B,2,0)</f>
        <v>JOLIBEE</v>
      </c>
      <c r="G136" s="112" t="s">
        <v>1594</v>
      </c>
      <c r="H136" s="113" t="s">
        <v>1448</v>
      </c>
      <c r="I136" s="114"/>
      <c r="J136" s="109"/>
      <c r="K136" s="116">
        <v>1.8</v>
      </c>
      <c r="L136" s="117">
        <f t="shared" si="20"/>
        <v>90000</v>
      </c>
      <c r="M136" s="114"/>
      <c r="N136" s="118"/>
      <c r="O136" s="118">
        <v>1</v>
      </c>
      <c r="P136" s="114">
        <f>VLOOKUP($B136,ma!$A:$C,3,0)</f>
        <v>900000</v>
      </c>
      <c r="Q136" s="114">
        <f>VLOOKUP($B136,ma!$A:$C,3,0)</f>
        <v>900000</v>
      </c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</row>
    <row r="137" spans="1:27" ht="15">
      <c r="A137" s="107">
        <f t="shared" si="17"/>
        <v>25</v>
      </c>
      <c r="B137" s="108" t="s">
        <v>1593</v>
      </c>
      <c r="C137" s="109" t="s">
        <v>27</v>
      </c>
      <c r="D137" s="110">
        <v>46086</v>
      </c>
      <c r="E137" s="109" t="str">
        <f>VLOOKUP($C137,xe!$A:$B,2,0)</f>
        <v>50H-55443</v>
      </c>
      <c r="F137" s="111" t="str">
        <f>VLOOKUP($B137,ma!$A:$B,2,0)</f>
        <v>JOLIBEE</v>
      </c>
      <c r="G137" s="112" t="s">
        <v>1595</v>
      </c>
      <c r="H137" s="113" t="s">
        <v>1448</v>
      </c>
      <c r="I137" s="114"/>
      <c r="J137" s="109"/>
      <c r="K137" s="116">
        <v>1.8</v>
      </c>
      <c r="L137" s="134">
        <v>200000</v>
      </c>
      <c r="M137" s="114"/>
      <c r="N137" s="118"/>
      <c r="O137" s="118">
        <v>1</v>
      </c>
      <c r="P137" s="114">
        <f>VLOOKUP($B137,ma!$A:$C,3,0)</f>
        <v>900000</v>
      </c>
      <c r="Q137" s="114">
        <f>VLOOKUP($B137,ma!$A:$C,3,0)</f>
        <v>900000</v>
      </c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</row>
    <row r="138" spans="1:27" ht="15">
      <c r="A138" s="107">
        <f t="shared" si="17"/>
        <v>26</v>
      </c>
      <c r="B138" s="108" t="s">
        <v>1593</v>
      </c>
      <c r="C138" s="109" t="s">
        <v>14</v>
      </c>
      <c r="D138" s="110">
        <v>46086</v>
      </c>
      <c r="E138" s="109" t="str">
        <f>VLOOKUP($C138,xe!$A:$B,2,0)</f>
        <v>50H-64470</v>
      </c>
      <c r="F138" s="111" t="str">
        <f>VLOOKUP($B138,ma!$A:$B,2,0)</f>
        <v>JOLIBEE</v>
      </c>
      <c r="G138" s="112" t="s">
        <v>1596</v>
      </c>
      <c r="H138" s="113" t="s">
        <v>1448</v>
      </c>
      <c r="I138" s="114"/>
      <c r="J138" s="109"/>
      <c r="K138" s="116">
        <v>1.8</v>
      </c>
      <c r="L138" s="134">
        <v>210000</v>
      </c>
      <c r="M138" s="114"/>
      <c r="N138" s="118"/>
      <c r="O138" s="118">
        <v>1</v>
      </c>
      <c r="P138" s="114">
        <f>VLOOKUP($B138,ma!$A:$C,3,0)</f>
        <v>900000</v>
      </c>
      <c r="Q138" s="114">
        <f>VLOOKUP($B138,ma!$A:$C,3,0)</f>
        <v>900000</v>
      </c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</row>
    <row r="139" spans="1:27" ht="15">
      <c r="A139" s="107">
        <f t="shared" si="17"/>
        <v>27</v>
      </c>
      <c r="B139" s="108" t="s">
        <v>1597</v>
      </c>
      <c r="C139" s="109" t="s">
        <v>1432</v>
      </c>
      <c r="D139" s="110">
        <v>46086</v>
      </c>
      <c r="E139" s="109" t="str">
        <f>VLOOKUP($C139,xe!$A:$B,2,0)</f>
        <v>50H-70216</v>
      </c>
      <c r="F139" s="111" t="str">
        <f>VLOOKUP($B139,ma!$A:$B,2,0)</f>
        <v>3KS CẨM HƯƠNG ( K BX )</v>
      </c>
      <c r="G139" s="112" t="s">
        <v>1412</v>
      </c>
      <c r="H139" s="113" t="s">
        <v>1412</v>
      </c>
      <c r="I139" s="114"/>
      <c r="J139" s="109"/>
      <c r="K139" s="116">
        <v>2</v>
      </c>
      <c r="L139" s="117">
        <v>50000</v>
      </c>
      <c r="M139" s="114">
        <v>30000</v>
      </c>
      <c r="N139" s="118" t="s">
        <v>1423</v>
      </c>
      <c r="O139" s="118">
        <v>1</v>
      </c>
      <c r="P139" s="114">
        <f>VLOOKUP($B139,ma!$A:$C,3,0)</f>
        <v>900000</v>
      </c>
      <c r="Q139" s="114">
        <f>VLOOKUP($B139,ma!$A:$C,3,0)</f>
        <v>900000</v>
      </c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</row>
    <row r="140" spans="1:27" ht="15">
      <c r="A140" s="107">
        <f t="shared" si="17"/>
        <v>28</v>
      </c>
      <c r="B140" s="108" t="s">
        <v>1597</v>
      </c>
      <c r="C140" s="109" t="s">
        <v>1488</v>
      </c>
      <c r="D140" s="110">
        <v>46086</v>
      </c>
      <c r="E140" s="109" t="str">
        <f>VLOOKUP($C140,xe!$A:$B,2,0)</f>
        <v>50H-66445</v>
      </c>
      <c r="F140" s="111" t="str">
        <f>VLOOKUP($B140,ma!$A:$B,2,0)</f>
        <v>3KS CẨM HƯƠNG ( K BX )</v>
      </c>
      <c r="G140" s="112" t="s">
        <v>1412</v>
      </c>
      <c r="H140" s="113" t="s">
        <v>1412</v>
      </c>
      <c r="I140" s="114"/>
      <c r="J140" s="109"/>
      <c r="K140" s="116">
        <v>2</v>
      </c>
      <c r="L140" s="117">
        <v>50000</v>
      </c>
      <c r="M140" s="114"/>
      <c r="N140" s="118"/>
      <c r="O140" s="118">
        <v>1</v>
      </c>
      <c r="P140" s="114">
        <f>VLOOKUP($B140,ma!$A:$C,3,0)</f>
        <v>900000</v>
      </c>
      <c r="Q140" s="114">
        <f>VLOOKUP($B140,ma!$A:$C,3,0)</f>
        <v>900000</v>
      </c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</row>
    <row r="141" spans="1:27" ht="15">
      <c r="A141" s="107">
        <f t="shared" si="17"/>
        <v>29</v>
      </c>
      <c r="B141" s="108" t="s">
        <v>110</v>
      </c>
      <c r="C141" s="109" t="s">
        <v>1577</v>
      </c>
      <c r="D141" s="110">
        <v>46086</v>
      </c>
      <c r="E141" s="109" t="str">
        <f>VLOOKUP($C141,xe!$A:$B,2,0)</f>
        <v>50H-63174</v>
      </c>
      <c r="F141" s="111" t="str">
        <f>VLOOKUP($B141,ma!$A:$B,2,0)</f>
        <v>CALOFIC - UNI ( xe nhỏ )</v>
      </c>
      <c r="G141" s="112" t="s">
        <v>1412</v>
      </c>
      <c r="H141" s="113" t="s">
        <v>1412</v>
      </c>
      <c r="I141" s="114"/>
      <c r="J141" s="115" t="s">
        <v>140</v>
      </c>
      <c r="K141" s="116">
        <v>2</v>
      </c>
      <c r="L141" s="117">
        <f t="shared" ref="L141:L142" si="21">K141*50000</f>
        <v>100000</v>
      </c>
      <c r="M141" s="114"/>
      <c r="N141" s="118"/>
      <c r="O141" s="118">
        <v>1</v>
      </c>
      <c r="P141" s="114">
        <f>VLOOKUP($B141,ma!$A:$C,3,0)</f>
        <v>300000</v>
      </c>
      <c r="Q141" s="114">
        <f>VLOOKUP($B141,ma!$A:$C,3,0)</f>
        <v>300000</v>
      </c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</row>
    <row r="142" spans="1:27" ht="15">
      <c r="A142" s="107">
        <f t="shared" si="17"/>
        <v>30</v>
      </c>
      <c r="B142" s="108" t="s">
        <v>1598</v>
      </c>
      <c r="C142" s="109" t="s">
        <v>10</v>
      </c>
      <c r="D142" s="110">
        <v>46086</v>
      </c>
      <c r="E142" s="109" t="str">
        <f>VLOOKUP($C142,xe!$A:$B,2,0)</f>
        <v>50H-50999</v>
      </c>
      <c r="F142" s="111" t="str">
        <f>VLOOKUP($B142,ma!$A:$B,2,0)</f>
        <v>Vũ Phúc</v>
      </c>
      <c r="G142" s="112" t="s">
        <v>1599</v>
      </c>
      <c r="H142" s="113" t="s">
        <v>1564</v>
      </c>
      <c r="I142" s="114"/>
      <c r="J142" s="109"/>
      <c r="K142" s="116">
        <v>1.2</v>
      </c>
      <c r="L142" s="117">
        <f t="shared" si="21"/>
        <v>60000</v>
      </c>
      <c r="M142" s="114"/>
      <c r="N142" s="118"/>
      <c r="O142" s="118">
        <v>1</v>
      </c>
      <c r="P142" s="114">
        <f>VLOOKUP($B142,ma!$A:$C,3,0)</f>
        <v>800000</v>
      </c>
      <c r="Q142" s="114">
        <f>VLOOKUP($B142,ma!$A:$C,3,0)</f>
        <v>800000</v>
      </c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</row>
    <row r="143" spans="1:27" ht="15">
      <c r="A143" s="107">
        <f t="shared" si="17"/>
        <v>31</v>
      </c>
      <c r="B143" s="108" t="s">
        <v>1600</v>
      </c>
      <c r="C143" s="109" t="s">
        <v>6</v>
      </c>
      <c r="D143" s="110">
        <v>46086</v>
      </c>
      <c r="E143" s="109" t="str">
        <f>VLOOKUP($C143,xe!$A:$B,2,0)</f>
        <v>50H-69501</v>
      </c>
      <c r="F143" s="111" t="str">
        <f>VLOOKUP($B143,ma!$A:$B,2,0)</f>
        <v>GOLD VIỆT B.CHÁNH ( K BX)</v>
      </c>
      <c r="G143" s="112" t="s">
        <v>1412</v>
      </c>
      <c r="H143" s="113" t="s">
        <v>1412</v>
      </c>
      <c r="I143" s="114"/>
      <c r="J143" s="109"/>
      <c r="K143" s="116">
        <v>2</v>
      </c>
      <c r="L143" s="130">
        <v>100000</v>
      </c>
      <c r="M143" s="127">
        <v>30000</v>
      </c>
      <c r="N143" s="131" t="s">
        <v>1601</v>
      </c>
      <c r="O143" s="118">
        <v>1</v>
      </c>
      <c r="P143" s="114">
        <f>VLOOKUP($B143,ma!$A:$C,3,0)</f>
        <v>800000</v>
      </c>
      <c r="Q143" s="114">
        <f>VLOOKUP($B143,ma!$A:$C,3,0)</f>
        <v>800000</v>
      </c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</row>
    <row r="144" spans="1:27" ht="15">
      <c r="A144" s="107">
        <f t="shared" si="17"/>
        <v>32</v>
      </c>
      <c r="B144" s="108" t="s">
        <v>1600</v>
      </c>
      <c r="C144" s="109" t="s">
        <v>1493</v>
      </c>
      <c r="D144" s="110">
        <v>46086</v>
      </c>
      <c r="E144" s="109" t="str">
        <f>VLOOKUP($C144,xe!$A:$B,2,0)</f>
        <v>50H-55161</v>
      </c>
      <c r="F144" s="111" t="str">
        <f>VLOOKUP($B144,ma!$A:$B,2,0)</f>
        <v>GOLD VIỆT B.CHÁNH ( K BX)</v>
      </c>
      <c r="G144" s="112" t="s">
        <v>1412</v>
      </c>
      <c r="H144" s="113" t="s">
        <v>1412</v>
      </c>
      <c r="I144" s="114"/>
      <c r="J144" s="109"/>
      <c r="K144" s="116">
        <v>2</v>
      </c>
      <c r="L144" s="130">
        <v>100000</v>
      </c>
      <c r="M144" s="127"/>
      <c r="N144" s="131" t="s">
        <v>1416</v>
      </c>
      <c r="O144" s="118">
        <v>1</v>
      </c>
      <c r="P144" s="114">
        <f>VLOOKUP($B144,ma!$A:$C,3,0)</f>
        <v>800000</v>
      </c>
      <c r="Q144" s="114">
        <f>VLOOKUP($B144,ma!$A:$C,3,0)</f>
        <v>800000</v>
      </c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</row>
    <row r="145" spans="1:27" ht="15">
      <c r="A145" s="107">
        <f t="shared" si="17"/>
        <v>33</v>
      </c>
      <c r="B145" s="108" t="s">
        <v>1600</v>
      </c>
      <c r="C145" s="109" t="s">
        <v>1500</v>
      </c>
      <c r="D145" s="110">
        <v>46086</v>
      </c>
      <c r="E145" s="109" t="str">
        <f>VLOOKUP($C145,xe!$A:$B,2,0)</f>
        <v>50H 87442</v>
      </c>
      <c r="F145" s="111" t="str">
        <f>VLOOKUP($B145,ma!$A:$B,2,0)</f>
        <v>GOLD VIỆT B.CHÁNH ( K BX)</v>
      </c>
      <c r="G145" s="112" t="s">
        <v>1412</v>
      </c>
      <c r="H145" s="113" t="s">
        <v>1412</v>
      </c>
      <c r="I145" s="114"/>
      <c r="J145" s="109"/>
      <c r="K145" s="116">
        <v>2</v>
      </c>
      <c r="L145" s="130">
        <v>100000</v>
      </c>
      <c r="M145" s="127">
        <v>30000</v>
      </c>
      <c r="N145" s="131" t="s">
        <v>1416</v>
      </c>
      <c r="O145" s="118">
        <v>1</v>
      </c>
      <c r="P145" s="114">
        <f>VLOOKUP($B145,ma!$A:$C,3,0)</f>
        <v>800000</v>
      </c>
      <c r="Q145" s="114">
        <f>VLOOKUP($B145,ma!$A:$C,3,0)</f>
        <v>800000</v>
      </c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</row>
    <row r="146" spans="1:27" ht="15">
      <c r="A146" s="107">
        <f t="shared" si="17"/>
        <v>34</v>
      </c>
      <c r="B146" s="108" t="s">
        <v>1471</v>
      </c>
      <c r="C146" s="109" t="s">
        <v>68</v>
      </c>
      <c r="D146" s="110">
        <v>46086</v>
      </c>
      <c r="E146" s="109" t="str">
        <f>VLOOKUP($C146,xe!$A:$B,2,0)</f>
        <v>50H-55829</v>
      </c>
      <c r="F146" s="111" t="str">
        <f>VLOOKUP($B146,ma!$A:$B,2,0)</f>
        <v>VỊ NGỌT HAPPY ( K BX )</v>
      </c>
      <c r="G146" s="112" t="s">
        <v>1602</v>
      </c>
      <c r="H146" s="113" t="s">
        <v>1460</v>
      </c>
      <c r="I146" s="114"/>
      <c r="J146" s="109"/>
      <c r="K146" s="116">
        <v>1.8</v>
      </c>
      <c r="L146" s="117"/>
      <c r="M146" s="114"/>
      <c r="N146" s="118"/>
      <c r="O146" s="118">
        <v>1</v>
      </c>
      <c r="P146" s="114">
        <f>VLOOKUP($B146,ma!$A:$C,3,0)</f>
        <v>800000</v>
      </c>
      <c r="Q146" s="114">
        <f>VLOOKUP($B146,ma!$A:$C,3,0)</f>
        <v>800000</v>
      </c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</row>
    <row r="147" spans="1:27" ht="15">
      <c r="A147" s="107">
        <f t="shared" si="17"/>
        <v>35</v>
      </c>
      <c r="B147" s="108" t="s">
        <v>1483</v>
      </c>
      <c r="C147" s="109" t="s">
        <v>1506</v>
      </c>
      <c r="D147" s="110">
        <v>46086</v>
      </c>
      <c r="E147" s="109" t="str">
        <f>VLOOKUP($C147,xe!$A:$B,2,0)</f>
        <v>50H-55443</v>
      </c>
      <c r="F147" s="111" t="str">
        <f>VLOOKUP($B147,ma!$A:$B,2,0)</f>
        <v>LIÊN NGUYỄN B.CHÁNH</v>
      </c>
      <c r="G147" s="112" t="s">
        <v>1405</v>
      </c>
      <c r="H147" s="113" t="s">
        <v>1564</v>
      </c>
      <c r="I147" s="114"/>
      <c r="J147" s="109"/>
      <c r="K147" s="116">
        <v>1.2</v>
      </c>
      <c r="L147" s="117">
        <f>K147*50000</f>
        <v>60000</v>
      </c>
      <c r="M147" s="114">
        <v>30000</v>
      </c>
      <c r="N147" s="118" t="s">
        <v>1423</v>
      </c>
      <c r="O147" s="118">
        <v>1</v>
      </c>
      <c r="P147" s="114">
        <f>VLOOKUP($B147,ma!$A:$C,3,0)</f>
        <v>800000</v>
      </c>
      <c r="Q147" s="114">
        <f>VLOOKUP($B147,ma!$A:$C,3,0)</f>
        <v>800000</v>
      </c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</row>
    <row r="148" spans="1:27" ht="15">
      <c r="A148" s="107">
        <f t="shared" si="17"/>
        <v>36</v>
      </c>
      <c r="B148" s="108" t="s">
        <v>1603</v>
      </c>
      <c r="C148" s="109" t="s">
        <v>14</v>
      </c>
      <c r="D148" s="110">
        <v>46086</v>
      </c>
      <c r="E148" s="109" t="str">
        <f>VLOOKUP($C148,xe!$A:$B,2,0)</f>
        <v>50H-64470</v>
      </c>
      <c r="F148" s="111" t="str">
        <f>VLOOKUP($B148,ma!$A:$B,2,0)</f>
        <v>VŨ MỸ PHỤNG ( K BX )</v>
      </c>
      <c r="G148" s="112" t="s">
        <v>1412</v>
      </c>
      <c r="H148" s="113" t="s">
        <v>1412</v>
      </c>
      <c r="I148" s="114"/>
      <c r="J148" s="109"/>
      <c r="K148" s="116">
        <v>2.2000000000000002</v>
      </c>
      <c r="L148" s="117">
        <v>50000</v>
      </c>
      <c r="M148" s="135">
        <v>30000</v>
      </c>
      <c r="N148" s="118" t="s">
        <v>1423</v>
      </c>
      <c r="O148" s="118">
        <v>1</v>
      </c>
      <c r="P148" s="114">
        <f>VLOOKUP($B148,ma!$A:$C,3,0)</f>
        <v>800000</v>
      </c>
      <c r="Q148" s="114">
        <f>VLOOKUP($B148,ma!$A:$C,3,0)</f>
        <v>800000</v>
      </c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</row>
    <row r="149" spans="1:27" ht="15">
      <c r="A149" s="107">
        <f t="shared" si="17"/>
        <v>37</v>
      </c>
      <c r="B149" s="108" t="s">
        <v>1604</v>
      </c>
      <c r="C149" s="109" t="s">
        <v>18</v>
      </c>
      <c r="D149" s="110">
        <v>46086</v>
      </c>
      <c r="E149" s="109" t="str">
        <f>VLOOKUP($C149,xe!$A:$B,2,0)</f>
        <v>50H-54580</v>
      </c>
      <c r="F149" s="111" t="str">
        <f>VLOOKUP($B149,ma!$A:$B,2,0)</f>
        <v>BHX CẦN ĐƯỚC</v>
      </c>
      <c r="G149" s="112" t="s">
        <v>1605</v>
      </c>
      <c r="H149" s="113" t="s">
        <v>1460</v>
      </c>
      <c r="I149" s="114">
        <v>10000</v>
      </c>
      <c r="J149" s="109"/>
      <c r="K149" s="116">
        <v>2</v>
      </c>
      <c r="L149" s="134">
        <v>250000</v>
      </c>
      <c r="M149" s="114"/>
      <c r="N149" s="118"/>
      <c r="O149" s="118">
        <v>1</v>
      </c>
      <c r="P149" s="114">
        <f>VLOOKUP($B149,ma!$A:$C,3,0)</f>
        <v>900000</v>
      </c>
      <c r="Q149" s="114">
        <f>VLOOKUP($B149,ma!$A:$C,3,0)</f>
        <v>900000</v>
      </c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</row>
    <row r="150" spans="1:27" ht="15">
      <c r="A150" s="107">
        <f t="shared" si="17"/>
        <v>38</v>
      </c>
      <c r="B150" s="108" t="s">
        <v>1604</v>
      </c>
      <c r="C150" s="109" t="s">
        <v>78</v>
      </c>
      <c r="D150" s="110">
        <v>46086</v>
      </c>
      <c r="E150" s="133" t="str">
        <f>VLOOKUP($C150,xe!$A:$B,2,0)</f>
        <v>50E-565,21</v>
      </c>
      <c r="F150" s="111" t="str">
        <f>VLOOKUP($B150,ma!$A:$B,2,0)</f>
        <v>BHX CẦN ĐƯỚC</v>
      </c>
      <c r="G150" s="112" t="s">
        <v>1606</v>
      </c>
      <c r="H150" s="113" t="s">
        <v>1460</v>
      </c>
      <c r="I150" s="114"/>
      <c r="J150" s="109"/>
      <c r="K150" s="116">
        <v>2</v>
      </c>
      <c r="L150" s="117">
        <f>K150*80000</f>
        <v>160000</v>
      </c>
      <c r="M150" s="114"/>
      <c r="N150" s="118"/>
      <c r="O150" s="118">
        <v>1</v>
      </c>
      <c r="P150" s="114">
        <f>VLOOKUP($B150,ma!$A:$C,3,0)</f>
        <v>900000</v>
      </c>
      <c r="Q150" s="114">
        <f>VLOOKUP($B150,ma!$A:$C,3,0)</f>
        <v>900000</v>
      </c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</row>
    <row r="151" spans="1:27" ht="15">
      <c r="A151" s="107">
        <f t="shared" si="17"/>
        <v>39</v>
      </c>
      <c r="B151" s="108" t="s">
        <v>1604</v>
      </c>
      <c r="C151" s="109" t="s">
        <v>12</v>
      </c>
      <c r="D151" s="110">
        <v>46086</v>
      </c>
      <c r="E151" s="109" t="str">
        <f>VLOOKUP($C151,xe!$A:$B,2,0)</f>
        <v>50H-63174</v>
      </c>
      <c r="F151" s="111" t="str">
        <f>VLOOKUP($B151,ma!$A:$B,2,0)</f>
        <v>BHX CẦN ĐƯỚC</v>
      </c>
      <c r="G151" s="112" t="s">
        <v>1607</v>
      </c>
      <c r="H151" s="113" t="s">
        <v>1460</v>
      </c>
      <c r="I151" s="114"/>
      <c r="J151" s="109"/>
      <c r="K151" s="116">
        <v>2</v>
      </c>
      <c r="L151" s="134">
        <v>250000</v>
      </c>
      <c r="M151" s="114">
        <v>30000</v>
      </c>
      <c r="N151" s="118" t="s">
        <v>1423</v>
      </c>
      <c r="O151" s="118">
        <v>1</v>
      </c>
      <c r="P151" s="114">
        <f>VLOOKUP($B151,ma!$A:$C,3,0)</f>
        <v>900000</v>
      </c>
      <c r="Q151" s="114">
        <f>VLOOKUP($B151,ma!$A:$C,3,0)</f>
        <v>900000</v>
      </c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</row>
    <row r="152" spans="1:27" ht="15">
      <c r="A152" s="107">
        <f t="shared" si="17"/>
        <v>40</v>
      </c>
      <c r="B152" s="108" t="s">
        <v>1604</v>
      </c>
      <c r="C152" s="109" t="s">
        <v>31</v>
      </c>
      <c r="D152" s="110">
        <v>46086</v>
      </c>
      <c r="E152" s="109" t="str">
        <f>VLOOKUP($C152,xe!$A:$B,2,0)</f>
        <v>50H-74619</v>
      </c>
      <c r="F152" s="111" t="str">
        <f>VLOOKUP($B152,ma!$A:$B,2,0)</f>
        <v>BHX CẦN ĐƯỚC</v>
      </c>
      <c r="G152" s="112" t="s">
        <v>1608</v>
      </c>
      <c r="H152" s="113" t="s">
        <v>1460</v>
      </c>
      <c r="I152" s="114">
        <v>10000</v>
      </c>
      <c r="J152" s="109"/>
      <c r="K152" s="116">
        <v>2</v>
      </c>
      <c r="L152" s="134">
        <v>250000</v>
      </c>
      <c r="M152" s="114">
        <v>30000</v>
      </c>
      <c r="N152" s="118" t="s">
        <v>1423</v>
      </c>
      <c r="O152" s="118">
        <v>1</v>
      </c>
      <c r="P152" s="114">
        <f>VLOOKUP($B152,ma!$A:$C,3,0)</f>
        <v>900000</v>
      </c>
      <c r="Q152" s="114">
        <f>VLOOKUP($B152,ma!$A:$C,3,0)</f>
        <v>900000</v>
      </c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</row>
    <row r="153" spans="1:27" ht="15">
      <c r="A153" s="107">
        <f t="shared" si="17"/>
        <v>41</v>
      </c>
      <c r="B153" s="108" t="s">
        <v>1604</v>
      </c>
      <c r="C153" s="109" t="s">
        <v>21</v>
      </c>
      <c r="D153" s="110">
        <v>46086</v>
      </c>
      <c r="E153" s="109" t="str">
        <f>VLOOKUP($C153,xe!$A:$B,2,0)</f>
        <v>50H-66445</v>
      </c>
      <c r="F153" s="111" t="str">
        <f>VLOOKUP($B153,ma!$A:$B,2,0)</f>
        <v>BHX CẦN ĐƯỚC</v>
      </c>
      <c r="G153" s="112" t="s">
        <v>1609</v>
      </c>
      <c r="H153" s="113" t="s">
        <v>1460</v>
      </c>
      <c r="I153" s="114"/>
      <c r="J153" s="109"/>
      <c r="K153" s="116">
        <v>2</v>
      </c>
      <c r="L153" s="134">
        <v>250000</v>
      </c>
      <c r="M153" s="114"/>
      <c r="N153" s="118"/>
      <c r="O153" s="118">
        <v>1</v>
      </c>
      <c r="P153" s="114">
        <f>VLOOKUP($B153,ma!$A:$C,3,0)</f>
        <v>900000</v>
      </c>
      <c r="Q153" s="114">
        <f>VLOOKUP($B153,ma!$A:$C,3,0)</f>
        <v>900000</v>
      </c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</row>
    <row r="154" spans="1:27" ht="15">
      <c r="A154" s="107">
        <f t="shared" si="17"/>
        <v>42</v>
      </c>
      <c r="B154" s="108" t="s">
        <v>1462</v>
      </c>
      <c r="C154" s="109" t="s">
        <v>8</v>
      </c>
      <c r="D154" s="110">
        <v>46086</v>
      </c>
      <c r="E154" s="109" t="str">
        <f>VLOOKUP($C154,xe!$A:$B,2,0)</f>
        <v>50H-64316</v>
      </c>
      <c r="F154" s="111" t="str">
        <f>VLOOKUP($B154,ma!$A:$B,2,0)</f>
        <v>M. AN PHÚ</v>
      </c>
      <c r="G154" s="112" t="s">
        <v>1610</v>
      </c>
      <c r="H154" s="113" t="s">
        <v>1564</v>
      </c>
      <c r="I154" s="114"/>
      <c r="J154" s="109"/>
      <c r="K154" s="116">
        <v>2</v>
      </c>
      <c r="L154" s="117">
        <f t="shared" ref="L154:L160" si="22">K154*50000</f>
        <v>100000</v>
      </c>
      <c r="M154" s="114">
        <v>30000</v>
      </c>
      <c r="N154" s="118" t="s">
        <v>1430</v>
      </c>
      <c r="O154" s="118">
        <v>1</v>
      </c>
      <c r="P154" s="114">
        <f>VLOOKUP($B154,ma!$A:$C,3,0)</f>
        <v>800000</v>
      </c>
      <c r="Q154" s="114">
        <f>VLOOKUP($B154,ma!$A:$C,3,0)</f>
        <v>800000</v>
      </c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</row>
    <row r="155" spans="1:27" ht="15">
      <c r="A155" s="107">
        <f t="shared" si="17"/>
        <v>43</v>
      </c>
      <c r="B155" s="108" t="s">
        <v>489</v>
      </c>
      <c r="C155" s="109" t="s">
        <v>1432</v>
      </c>
      <c r="D155" s="110">
        <v>46086</v>
      </c>
      <c r="E155" s="109" t="str">
        <f>VLOOKUP($C155,xe!$A:$B,2,0)</f>
        <v>50H-70216</v>
      </c>
      <c r="F155" s="111" t="str">
        <f>VLOOKUP($B155,ma!$A:$B,2,0)</f>
        <v>NGỌC LANG</v>
      </c>
      <c r="G155" s="112" t="s">
        <v>1611</v>
      </c>
      <c r="H155" s="113" t="s">
        <v>1460</v>
      </c>
      <c r="I155" s="114"/>
      <c r="J155" s="109"/>
      <c r="K155" s="116">
        <v>2</v>
      </c>
      <c r="L155" s="117">
        <f t="shared" si="22"/>
        <v>100000</v>
      </c>
      <c r="M155" s="114"/>
      <c r="N155" s="118"/>
      <c r="O155" s="118">
        <v>1</v>
      </c>
      <c r="P155" s="114">
        <f>VLOOKUP($B155,ma!$A:$C,3,0)</f>
        <v>900000</v>
      </c>
      <c r="Q155" s="114">
        <f>VLOOKUP($B155,ma!$A:$C,3,0)</f>
        <v>900000</v>
      </c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</row>
    <row r="156" spans="1:27" ht="15">
      <c r="A156" s="107">
        <f t="shared" si="17"/>
        <v>44</v>
      </c>
      <c r="B156" s="108" t="s">
        <v>489</v>
      </c>
      <c r="C156" s="109" t="s">
        <v>1440</v>
      </c>
      <c r="D156" s="110">
        <v>46086</v>
      </c>
      <c r="E156" s="109" t="str">
        <f>VLOOKUP($C156,xe!$A:$B,2,0)</f>
        <v>51H -88294</v>
      </c>
      <c r="F156" s="111" t="str">
        <f>VLOOKUP($B156,ma!$A:$B,2,0)</f>
        <v>NGỌC LANG</v>
      </c>
      <c r="G156" s="112" t="s">
        <v>1612</v>
      </c>
      <c r="H156" s="113" t="s">
        <v>1460</v>
      </c>
      <c r="I156" s="114">
        <v>10000</v>
      </c>
      <c r="J156" s="109"/>
      <c r="K156" s="116">
        <v>2</v>
      </c>
      <c r="L156" s="117">
        <f t="shared" si="22"/>
        <v>100000</v>
      </c>
      <c r="M156" s="114">
        <v>30000</v>
      </c>
      <c r="N156" s="118" t="s">
        <v>1423</v>
      </c>
      <c r="O156" s="118">
        <v>1</v>
      </c>
      <c r="P156" s="114">
        <f>VLOOKUP($B156,ma!$A:$C,3,0)</f>
        <v>900000</v>
      </c>
      <c r="Q156" s="114">
        <f>VLOOKUP($B156,ma!$A:$C,3,0)</f>
        <v>900000</v>
      </c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</row>
    <row r="157" spans="1:27" ht="15">
      <c r="A157" s="137">
        <v>1</v>
      </c>
      <c r="B157" s="138" t="s">
        <v>1613</v>
      </c>
      <c r="C157" s="139" t="s">
        <v>64</v>
      </c>
      <c r="D157" s="140">
        <v>46087</v>
      </c>
      <c r="E157" s="139" t="str">
        <f>VLOOKUP($C157,xe!$A:$B,2,0)</f>
        <v>50H-60635</v>
      </c>
      <c r="F157" s="141" t="str">
        <f>VLOOKUP($B157,ma!$A:$B,2,0)</f>
        <v>LOTTE-GÒ VẤP</v>
      </c>
      <c r="G157" s="142" t="s">
        <v>1614</v>
      </c>
      <c r="H157" s="126" t="s">
        <v>1516</v>
      </c>
      <c r="I157" s="132"/>
      <c r="J157" s="115" t="s">
        <v>140</v>
      </c>
      <c r="K157" s="129">
        <v>1.8</v>
      </c>
      <c r="L157" s="143">
        <f t="shared" si="22"/>
        <v>90000</v>
      </c>
      <c r="M157" s="132"/>
      <c r="N157" s="144"/>
      <c r="O157" s="144">
        <v>1</v>
      </c>
      <c r="P157" s="132">
        <f>VLOOKUP($B157,ma!$A:$C,3,0)</f>
        <v>800000</v>
      </c>
      <c r="Q157" s="132">
        <f>VLOOKUP($B157,ma!$A:$C,3,0)</f>
        <v>800000</v>
      </c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</row>
    <row r="158" spans="1:27" ht="15">
      <c r="A158" s="107">
        <v>1</v>
      </c>
      <c r="B158" s="108" t="s">
        <v>1613</v>
      </c>
      <c r="C158" s="109" t="s">
        <v>64</v>
      </c>
      <c r="D158" s="110">
        <v>46087</v>
      </c>
      <c r="E158" s="109" t="str">
        <f>VLOOKUP($C158,xe!$A:$B,2,0)</f>
        <v>50H-60635</v>
      </c>
      <c r="F158" s="111" t="str">
        <f>VLOOKUP($B158,ma!$A:$B,2,0)</f>
        <v>LOTTE-GÒ VẤP</v>
      </c>
      <c r="G158" s="112" t="s">
        <v>1412</v>
      </c>
      <c r="H158" s="113" t="s">
        <v>1615</v>
      </c>
      <c r="I158" s="114"/>
      <c r="J158" s="145" t="s">
        <v>1616</v>
      </c>
      <c r="K158" s="116">
        <v>1</v>
      </c>
      <c r="L158" s="130">
        <f t="shared" si="22"/>
        <v>50000</v>
      </c>
      <c r="M158" s="127"/>
      <c r="N158" s="131"/>
      <c r="O158" s="131">
        <v>1</v>
      </c>
      <c r="P158" s="127">
        <v>300000</v>
      </c>
      <c r="Q158" s="127">
        <v>300000</v>
      </c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</row>
    <row r="159" spans="1:27" ht="15">
      <c r="A159" s="107">
        <f>A157+1</f>
        <v>2</v>
      </c>
      <c r="B159" s="108" t="s">
        <v>1514</v>
      </c>
      <c r="C159" s="109" t="s">
        <v>1524</v>
      </c>
      <c r="D159" s="110">
        <v>46087</v>
      </c>
      <c r="E159" s="109" t="str">
        <f>VLOOKUP($C159,xe!$A:$B,2,0)</f>
        <v>51D-38021</v>
      </c>
      <c r="F159" s="111" t="str">
        <f>VLOOKUP($B159,ma!$A:$B,2,0)</f>
        <v>EMART P.H.ÍCH</v>
      </c>
      <c r="G159" s="112" t="s">
        <v>1617</v>
      </c>
      <c r="H159" s="113" t="s">
        <v>1564</v>
      </c>
      <c r="I159" s="114"/>
      <c r="J159" s="115" t="s">
        <v>140</v>
      </c>
      <c r="K159" s="116">
        <v>2</v>
      </c>
      <c r="L159" s="117">
        <f t="shared" si="22"/>
        <v>100000</v>
      </c>
      <c r="M159" s="114"/>
      <c r="N159" s="118"/>
      <c r="O159" s="118">
        <v>1</v>
      </c>
      <c r="P159" s="114">
        <f>VLOOKUP($B159,ma!$A:$C,3,0)</f>
        <v>800000</v>
      </c>
      <c r="Q159" s="114">
        <f>VLOOKUP($B159,ma!$A:$C,3,0)</f>
        <v>800000</v>
      </c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</row>
    <row r="160" spans="1:27" ht="15">
      <c r="A160" s="107">
        <f t="shared" ref="A160:A202" si="23">A159+1</f>
        <v>3</v>
      </c>
      <c r="B160" s="108" t="s">
        <v>1514</v>
      </c>
      <c r="C160" s="109" t="s">
        <v>1522</v>
      </c>
      <c r="D160" s="110">
        <v>46087</v>
      </c>
      <c r="E160" s="109" t="str">
        <f>VLOOKUP($C160,xe!$A:$B,2,0)</f>
        <v>47H-02023</v>
      </c>
      <c r="F160" s="111" t="str">
        <f>VLOOKUP($B160,ma!$A:$B,2,0)</f>
        <v>EMART P.H.ÍCH</v>
      </c>
      <c r="G160" s="112" t="s">
        <v>1618</v>
      </c>
      <c r="H160" s="113" t="s">
        <v>1564</v>
      </c>
      <c r="I160" s="114"/>
      <c r="J160" s="115" t="s">
        <v>140</v>
      </c>
      <c r="K160" s="116">
        <v>2</v>
      </c>
      <c r="L160" s="117">
        <f t="shared" si="22"/>
        <v>100000</v>
      </c>
      <c r="M160" s="114"/>
      <c r="N160" s="118"/>
      <c r="O160" s="118">
        <v>1</v>
      </c>
      <c r="P160" s="114">
        <f>VLOOKUP($B160,ma!$A:$C,3,0)</f>
        <v>800000</v>
      </c>
      <c r="Q160" s="114">
        <f>VLOOKUP($B160,ma!$A:$C,3,0)</f>
        <v>800000</v>
      </c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</row>
    <row r="161" spans="1:27" ht="15">
      <c r="A161" s="107">
        <f t="shared" si="23"/>
        <v>4</v>
      </c>
      <c r="B161" s="108" t="s">
        <v>1499</v>
      </c>
      <c r="C161" s="109" t="s">
        <v>58</v>
      </c>
      <c r="D161" s="110">
        <v>46087</v>
      </c>
      <c r="E161" s="109" t="str">
        <f>VLOOKUP($C161,xe!$A:$B,2,0)</f>
        <v>51C-81056</v>
      </c>
      <c r="F161" s="111" t="str">
        <f>VLOOKUP($B161,ma!$A:$B,2,0)</f>
        <v>BHX ( VL)</v>
      </c>
      <c r="G161" s="112" t="s">
        <v>1619</v>
      </c>
      <c r="H161" s="113" t="s">
        <v>1620</v>
      </c>
      <c r="I161" s="114"/>
      <c r="J161" s="109"/>
      <c r="K161" s="116">
        <v>1.8</v>
      </c>
      <c r="L161" s="117">
        <f t="shared" ref="L161:L163" si="24">K161*80000</f>
        <v>144000</v>
      </c>
      <c r="M161" s="114"/>
      <c r="N161" s="118"/>
      <c r="O161" s="118">
        <v>1</v>
      </c>
      <c r="P161" s="114">
        <f>VLOOKUP($B161,ma!$A:$C,3,0)</f>
        <v>800000</v>
      </c>
      <c r="Q161" s="114">
        <f>VLOOKUP($B161,ma!$A:$C,3,0)</f>
        <v>800000</v>
      </c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</row>
    <row r="162" spans="1:27" ht="15">
      <c r="A162" s="107">
        <f t="shared" si="23"/>
        <v>5</v>
      </c>
      <c r="B162" s="108" t="s">
        <v>1499</v>
      </c>
      <c r="C162" s="109" t="s">
        <v>60</v>
      </c>
      <c r="D162" s="110">
        <v>46087</v>
      </c>
      <c r="E162" s="109" t="str">
        <f>VLOOKUP($C162,xe!$A:$B,2,0)</f>
        <v>50H-11822</v>
      </c>
      <c r="F162" s="111" t="str">
        <f>VLOOKUP($B162,ma!$A:$B,2,0)</f>
        <v>BHX ( VL)</v>
      </c>
      <c r="G162" s="112" t="s">
        <v>1621</v>
      </c>
      <c r="H162" s="113" t="s">
        <v>1620</v>
      </c>
      <c r="I162" s="114"/>
      <c r="J162" s="109"/>
      <c r="K162" s="116">
        <v>1.6</v>
      </c>
      <c r="L162" s="117">
        <f t="shared" si="24"/>
        <v>128000</v>
      </c>
      <c r="M162" s="114"/>
      <c r="N162" s="118"/>
      <c r="O162" s="118">
        <v>1</v>
      </c>
      <c r="P162" s="114">
        <f>VLOOKUP($B162,ma!$A:$C,3,0)</f>
        <v>800000</v>
      </c>
      <c r="Q162" s="114">
        <f>VLOOKUP($B162,ma!$A:$C,3,0)</f>
        <v>800000</v>
      </c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</row>
    <row r="163" spans="1:27" ht="15">
      <c r="A163" s="107">
        <f t="shared" si="23"/>
        <v>6</v>
      </c>
      <c r="B163" s="108" t="s">
        <v>1499</v>
      </c>
      <c r="C163" s="109" t="s">
        <v>1538</v>
      </c>
      <c r="D163" s="110">
        <v>46087</v>
      </c>
      <c r="E163" s="109" t="str">
        <f>VLOOKUP($C163,xe!$A:$B,2,0)</f>
        <v>62H-01887</v>
      </c>
      <c r="F163" s="111" t="str">
        <f>VLOOKUP($B163,ma!$A:$B,2,0)</f>
        <v>BHX ( VL)</v>
      </c>
      <c r="G163" s="112" t="s">
        <v>1622</v>
      </c>
      <c r="H163" s="113" t="s">
        <v>1620</v>
      </c>
      <c r="I163" s="114"/>
      <c r="J163" s="109"/>
      <c r="K163" s="116">
        <v>1.6</v>
      </c>
      <c r="L163" s="117">
        <f t="shared" si="24"/>
        <v>128000</v>
      </c>
      <c r="M163" s="114"/>
      <c r="N163" s="118"/>
      <c r="O163" s="118">
        <v>1</v>
      </c>
      <c r="P163" s="114">
        <f>VLOOKUP($B163,ma!$A:$C,3,0)</f>
        <v>800000</v>
      </c>
      <c r="Q163" s="114">
        <f>VLOOKUP($B163,ma!$A:$C,3,0)</f>
        <v>800000</v>
      </c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</row>
    <row r="164" spans="1:27" ht="15">
      <c r="A164" s="107">
        <f t="shared" si="23"/>
        <v>7</v>
      </c>
      <c r="B164" s="108" t="s">
        <v>1623</v>
      </c>
      <c r="C164" s="109" t="s">
        <v>66</v>
      </c>
      <c r="D164" s="110">
        <v>46087</v>
      </c>
      <c r="E164" s="109" t="str">
        <f>VLOOKUP($C164,xe!$A:$B,2,0)</f>
        <v>50H-92136</v>
      </c>
      <c r="F164" s="111" t="str">
        <f>VLOOKUP($B164,ma!$A:$B,2,0)</f>
        <v>PHONG VÂN - GÒ VẤP ( K BX )</v>
      </c>
      <c r="G164" s="112" t="s">
        <v>1624</v>
      </c>
      <c r="H164" s="113" t="s">
        <v>1516</v>
      </c>
      <c r="I164" s="114"/>
      <c r="J164" s="109"/>
      <c r="K164" s="116">
        <v>1.6</v>
      </c>
      <c r="L164" s="117"/>
      <c r="M164" s="114"/>
      <c r="N164" s="118"/>
      <c r="O164" s="118">
        <v>1</v>
      </c>
      <c r="P164" s="114">
        <f>VLOOKUP($B164,ma!$A:$C,3,0)</f>
        <v>800000</v>
      </c>
      <c r="Q164" s="114">
        <f>VLOOKUP($B164,ma!$A:$C,3,0)</f>
        <v>800000</v>
      </c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</row>
    <row r="165" spans="1:27" ht="15">
      <c r="A165" s="107">
        <f t="shared" si="23"/>
        <v>8</v>
      </c>
      <c r="B165" s="108" t="s">
        <v>864</v>
      </c>
      <c r="C165" s="109" t="s">
        <v>68</v>
      </c>
      <c r="D165" s="110">
        <v>46087</v>
      </c>
      <c r="E165" s="109" t="str">
        <f>VLOOKUP($C165,xe!$A:$B,2,0)</f>
        <v>50H-55829</v>
      </c>
      <c r="F165" s="111" t="str">
        <f>VLOOKUP($B165,ma!$A:$B,2,0)</f>
        <v>SEN VIỆT ( K BX )</v>
      </c>
      <c r="G165" s="112" t="s">
        <v>1625</v>
      </c>
      <c r="H165" s="113" t="s">
        <v>1516</v>
      </c>
      <c r="I165" s="114"/>
      <c r="J165" s="109"/>
      <c r="K165" s="116">
        <v>1.8</v>
      </c>
      <c r="L165" s="117"/>
      <c r="M165" s="114"/>
      <c r="N165" s="118"/>
      <c r="O165" s="118">
        <v>1</v>
      </c>
      <c r="P165" s="114">
        <f>VLOOKUP($B165,ma!$A:$C,3,0)</f>
        <v>800000</v>
      </c>
      <c r="Q165" s="114">
        <f>VLOOKUP($B165,ma!$A:$C,3,0)</f>
        <v>800000</v>
      </c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</row>
    <row r="166" spans="1:27" ht="15">
      <c r="A166" s="107">
        <f t="shared" si="23"/>
        <v>9</v>
      </c>
      <c r="B166" s="108" t="s">
        <v>289</v>
      </c>
      <c r="C166" s="109" t="s">
        <v>74</v>
      </c>
      <c r="D166" s="110">
        <v>46087</v>
      </c>
      <c r="E166" s="109" t="str">
        <f>VLOOKUP($C166,xe!$A:$B,2,0)</f>
        <v>50H-44024</v>
      </c>
      <c r="F166" s="111" t="str">
        <f>VLOOKUP($B166,ma!$A:$B,2,0)</f>
        <v>ANFOOD Q12 ( K BX )</v>
      </c>
      <c r="G166" s="112" t="s">
        <v>1626</v>
      </c>
      <c r="H166" s="113" t="s">
        <v>1516</v>
      </c>
      <c r="I166" s="114"/>
      <c r="J166" s="109"/>
      <c r="K166" s="116">
        <v>2</v>
      </c>
      <c r="L166" s="117"/>
      <c r="M166" s="114"/>
      <c r="N166" s="118"/>
      <c r="O166" s="118">
        <v>1</v>
      </c>
      <c r="P166" s="114">
        <f>VLOOKUP($B166,ma!$A:$C,3,0)</f>
        <v>800000</v>
      </c>
      <c r="Q166" s="114">
        <f>VLOOKUP($B166,ma!$A:$C,3,0)</f>
        <v>800000</v>
      </c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</row>
    <row r="167" spans="1:27" ht="15">
      <c r="A167" s="107">
        <f t="shared" si="23"/>
        <v>10</v>
      </c>
      <c r="B167" s="108" t="s">
        <v>289</v>
      </c>
      <c r="C167" s="109" t="s">
        <v>78</v>
      </c>
      <c r="D167" s="110">
        <v>46087</v>
      </c>
      <c r="E167" s="133" t="str">
        <f>VLOOKUP($C167,xe!$A:$B,2,0)</f>
        <v>50E-565,21</v>
      </c>
      <c r="F167" s="111" t="str">
        <f>VLOOKUP($B167,ma!$A:$B,2,0)</f>
        <v>ANFOOD Q12 ( K BX )</v>
      </c>
      <c r="G167" s="112" t="s">
        <v>1627</v>
      </c>
      <c r="H167" s="113" t="s">
        <v>1564</v>
      </c>
      <c r="I167" s="114"/>
      <c r="J167" s="109"/>
      <c r="K167" s="116">
        <v>2</v>
      </c>
      <c r="L167" s="117"/>
      <c r="M167" s="114"/>
      <c r="N167" s="118"/>
      <c r="O167" s="118">
        <v>1</v>
      </c>
      <c r="P167" s="114">
        <f>VLOOKUP($B167,ma!$A:$C,3,0)</f>
        <v>800000</v>
      </c>
      <c r="Q167" s="114">
        <f>VLOOKUP($B167,ma!$A:$C,3,0)</f>
        <v>800000</v>
      </c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</row>
    <row r="168" spans="1:27" ht="15">
      <c r="A168" s="107">
        <f t="shared" si="23"/>
        <v>11</v>
      </c>
      <c r="B168" s="108" t="s">
        <v>866</v>
      </c>
      <c r="C168" s="109" t="s">
        <v>1500</v>
      </c>
      <c r="D168" s="110">
        <v>46087</v>
      </c>
      <c r="E168" s="109" t="str">
        <f>VLOOKUP($C168,xe!$A:$B,2,0)</f>
        <v>50H 87442</v>
      </c>
      <c r="F168" s="111" t="str">
        <f>VLOOKUP($B168,ma!$A:$B,2,0)</f>
        <v>XUÂN VÂN ( K BX )</v>
      </c>
      <c r="G168" s="112" t="s">
        <v>1628</v>
      </c>
      <c r="H168" s="113" t="s">
        <v>1564</v>
      </c>
      <c r="I168" s="114"/>
      <c r="J168" s="109"/>
      <c r="K168" s="116">
        <v>1.8</v>
      </c>
      <c r="L168" s="117">
        <v>50000</v>
      </c>
      <c r="M168" s="114"/>
      <c r="N168" s="118"/>
      <c r="O168" s="118">
        <v>1</v>
      </c>
      <c r="P168" s="114">
        <f>VLOOKUP($B168,ma!$A:$C,3,0)</f>
        <v>800000</v>
      </c>
      <c r="Q168" s="114">
        <f>VLOOKUP($B168,ma!$A:$C,3,0)</f>
        <v>800000</v>
      </c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</row>
    <row r="169" spans="1:27" ht="15">
      <c r="A169" s="107">
        <f t="shared" si="23"/>
        <v>12</v>
      </c>
      <c r="B169" s="108" t="s">
        <v>866</v>
      </c>
      <c r="C169" s="109" t="s">
        <v>1440</v>
      </c>
      <c r="D169" s="110">
        <v>46087</v>
      </c>
      <c r="E169" s="109" t="str">
        <f>VLOOKUP($C169,xe!$A:$B,2,0)</f>
        <v>51H -88294</v>
      </c>
      <c r="F169" s="111" t="str">
        <f>VLOOKUP($B169,ma!$A:$B,2,0)</f>
        <v>XUÂN VÂN ( K BX )</v>
      </c>
      <c r="G169" s="112" t="s">
        <v>1629</v>
      </c>
      <c r="H169" s="113" t="s">
        <v>1564</v>
      </c>
      <c r="I169" s="114"/>
      <c r="J169" s="109"/>
      <c r="K169" s="116">
        <v>2</v>
      </c>
      <c r="L169" s="117">
        <v>50000</v>
      </c>
      <c r="M169" s="114"/>
      <c r="N169" s="118"/>
      <c r="O169" s="118">
        <v>1</v>
      </c>
      <c r="P169" s="114">
        <f>VLOOKUP($B169,ma!$A:$C,3,0)</f>
        <v>800000</v>
      </c>
      <c r="Q169" s="114">
        <f>VLOOKUP($B169,ma!$A:$C,3,0)</f>
        <v>800000</v>
      </c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</row>
    <row r="170" spans="1:27" ht="15">
      <c r="A170" s="107">
        <f t="shared" si="23"/>
        <v>13</v>
      </c>
      <c r="B170" s="108" t="s">
        <v>739</v>
      </c>
      <c r="C170" s="109" t="s">
        <v>1493</v>
      </c>
      <c r="D170" s="110">
        <v>46087</v>
      </c>
      <c r="E170" s="109" t="str">
        <f>VLOOKUP($C170,xe!$A:$B,2,0)</f>
        <v>50H-55161</v>
      </c>
      <c r="F170" s="111" t="str">
        <f>VLOOKUP($B170,ma!$A:$B,2,0)</f>
        <v>HAI THANH KCN HP</v>
      </c>
      <c r="G170" s="112" t="s">
        <v>1630</v>
      </c>
      <c r="H170" s="113" t="s">
        <v>1564</v>
      </c>
      <c r="I170" s="114"/>
      <c r="J170" s="109"/>
      <c r="K170" s="116">
        <v>1.2</v>
      </c>
      <c r="L170" s="117">
        <f t="shared" ref="L170:L172" si="25">K170*50000</f>
        <v>60000</v>
      </c>
      <c r="M170" s="114">
        <v>30000</v>
      </c>
      <c r="N170" s="118" t="s">
        <v>1423</v>
      </c>
      <c r="O170" s="118">
        <v>1</v>
      </c>
      <c r="P170" s="114">
        <f>VLOOKUP($B170,ma!$A:$C,3,0)</f>
        <v>400000</v>
      </c>
      <c r="Q170" s="114">
        <f>VLOOKUP($B170,ma!$A:$C,3,0)</f>
        <v>400000</v>
      </c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</row>
    <row r="171" spans="1:27" ht="15">
      <c r="A171" s="107">
        <f t="shared" si="23"/>
        <v>14</v>
      </c>
      <c r="B171" s="108" t="s">
        <v>739</v>
      </c>
      <c r="C171" s="109" t="s">
        <v>12</v>
      </c>
      <c r="D171" s="110">
        <v>46087</v>
      </c>
      <c r="E171" s="109" t="str">
        <f>VLOOKUP($C171,xe!$A:$B,2,0)</f>
        <v>50H-63174</v>
      </c>
      <c r="F171" s="111" t="str">
        <f>VLOOKUP($B171,ma!$A:$B,2,0)</f>
        <v>HAI THANH KCN HP</v>
      </c>
      <c r="G171" s="112" t="s">
        <v>1631</v>
      </c>
      <c r="H171" s="113" t="s">
        <v>1564</v>
      </c>
      <c r="I171" s="114"/>
      <c r="J171" s="109"/>
      <c r="K171" s="116">
        <v>1.2</v>
      </c>
      <c r="L171" s="117">
        <f t="shared" si="25"/>
        <v>60000</v>
      </c>
      <c r="M171" s="114"/>
      <c r="N171" s="118"/>
      <c r="O171" s="118">
        <v>1</v>
      </c>
      <c r="P171" s="114">
        <f>VLOOKUP($B171,ma!$A:$C,3,0)</f>
        <v>400000</v>
      </c>
      <c r="Q171" s="114">
        <f>VLOOKUP($B171,ma!$A:$C,3,0)</f>
        <v>400000</v>
      </c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</row>
    <row r="172" spans="1:27" ht="15">
      <c r="A172" s="107">
        <f t="shared" si="23"/>
        <v>15</v>
      </c>
      <c r="B172" s="108" t="s">
        <v>442</v>
      </c>
      <c r="C172" s="109" t="s">
        <v>31</v>
      </c>
      <c r="D172" s="110">
        <v>46087</v>
      </c>
      <c r="E172" s="109" t="str">
        <f>VLOOKUP($C172,xe!$A:$B,2,0)</f>
        <v>50H-74619</v>
      </c>
      <c r="F172" s="111" t="str">
        <f>VLOOKUP($B172,ma!$A:$B,2,0)</f>
        <v>NGUYỄN TRƯƠNG</v>
      </c>
      <c r="G172" s="112" t="s">
        <v>1632</v>
      </c>
      <c r="H172" s="113" t="s">
        <v>1516</v>
      </c>
      <c r="I172" s="114"/>
      <c r="J172" s="109"/>
      <c r="K172" s="116">
        <v>1.2</v>
      </c>
      <c r="L172" s="117">
        <f t="shared" si="25"/>
        <v>60000</v>
      </c>
      <c r="M172" s="114"/>
      <c r="N172" s="118"/>
      <c r="O172" s="118">
        <v>1</v>
      </c>
      <c r="P172" s="114">
        <f>VLOOKUP($B172,ma!$A:$C,3,0)</f>
        <v>800000</v>
      </c>
      <c r="Q172" s="114">
        <f>VLOOKUP($B172,ma!$A:$C,3,0)</f>
        <v>800000</v>
      </c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</row>
    <row r="173" spans="1:27" ht="15">
      <c r="A173" s="107">
        <f t="shared" si="23"/>
        <v>16</v>
      </c>
      <c r="B173" s="108" t="s">
        <v>856</v>
      </c>
      <c r="C173" s="109" t="s">
        <v>6</v>
      </c>
      <c r="D173" s="110">
        <v>46087</v>
      </c>
      <c r="E173" s="109" t="str">
        <f>VLOOKUP($C173,xe!$A:$B,2,0)</f>
        <v>50H-69501</v>
      </c>
      <c r="F173" s="111" t="str">
        <f>VLOOKUP($B173,ma!$A:$B,2,0)</f>
        <v>VĂN HẬU CỦ CHI</v>
      </c>
      <c r="G173" s="112" t="s">
        <v>1412</v>
      </c>
      <c r="H173" s="113" t="s">
        <v>1412</v>
      </c>
      <c r="I173" s="114"/>
      <c r="J173" s="115" t="s">
        <v>1633</v>
      </c>
      <c r="K173" s="116">
        <v>2.4</v>
      </c>
      <c r="L173" s="134">
        <v>190000</v>
      </c>
      <c r="M173" s="114"/>
      <c r="N173" s="118"/>
      <c r="O173" s="118">
        <v>1</v>
      </c>
      <c r="P173" s="114">
        <f>VLOOKUP($B173,ma!$A:$C,3,0)</f>
        <v>900000</v>
      </c>
      <c r="Q173" s="114">
        <f>VLOOKUP($B173,ma!$A:$C,3,0)</f>
        <v>900000</v>
      </c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</row>
    <row r="174" spans="1:27" ht="15">
      <c r="A174" s="107">
        <f t="shared" si="23"/>
        <v>17</v>
      </c>
      <c r="B174" s="108" t="s">
        <v>1436</v>
      </c>
      <c r="C174" s="109" t="s">
        <v>27</v>
      </c>
      <c r="D174" s="110">
        <v>46087</v>
      </c>
      <c r="E174" s="109" t="str">
        <f>VLOOKUP($C174,xe!$A:$B,2,0)</f>
        <v>50H-55443</v>
      </c>
      <c r="F174" s="111" t="str">
        <f>VLOOKUP($B174,ma!$A:$B,2,0)</f>
        <v>MN VĨNH THẠNH</v>
      </c>
      <c r="G174" s="112" t="s">
        <v>1634</v>
      </c>
      <c r="H174" s="113" t="s">
        <v>1635</v>
      </c>
      <c r="I174" s="114"/>
      <c r="J174" s="115" t="s">
        <v>1636</v>
      </c>
      <c r="K174" s="116">
        <v>1</v>
      </c>
      <c r="L174" s="117">
        <f t="shared" ref="L174:L175" si="26">K174*50000</f>
        <v>50000</v>
      </c>
      <c r="M174" s="114"/>
      <c r="N174" s="118"/>
      <c r="O174" s="118">
        <v>1</v>
      </c>
      <c r="P174" s="114">
        <f>VLOOKUP($B174,ma!$A:$C,3,0)</f>
        <v>800000</v>
      </c>
      <c r="Q174" s="114">
        <f>VLOOKUP($B174,ma!$A:$C,3,0)</f>
        <v>800000</v>
      </c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</row>
    <row r="175" spans="1:27" ht="15">
      <c r="A175" s="107">
        <f t="shared" si="23"/>
        <v>18</v>
      </c>
      <c r="B175" s="108" t="s">
        <v>432</v>
      </c>
      <c r="C175" s="109" t="s">
        <v>70</v>
      </c>
      <c r="D175" s="110">
        <v>46087</v>
      </c>
      <c r="E175" s="109" t="str">
        <f>VLOOKUP($C175,xe!$A:$B,2,0)</f>
        <v>50H-86564</v>
      </c>
      <c r="F175" s="111" t="str">
        <f>VLOOKUP($B175,ma!$A:$B,2,0)</f>
        <v>NHỰT TÂN</v>
      </c>
      <c r="G175" s="112" t="s">
        <v>1637</v>
      </c>
      <c r="H175" s="113" t="s">
        <v>1564</v>
      </c>
      <c r="I175" s="114"/>
      <c r="J175" s="109"/>
      <c r="K175" s="116">
        <v>2</v>
      </c>
      <c r="L175" s="117">
        <f t="shared" si="26"/>
        <v>100000</v>
      </c>
      <c r="M175" s="114"/>
      <c r="N175" s="118"/>
      <c r="O175" s="118">
        <v>1</v>
      </c>
      <c r="P175" s="114">
        <f>VLOOKUP($B175,ma!$A:$C,3,0)</f>
        <v>900000</v>
      </c>
      <c r="Q175" s="114">
        <f>VLOOKUP($B175,ma!$A:$C,3,0)</f>
        <v>900000</v>
      </c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</row>
    <row r="176" spans="1:27" ht="15">
      <c r="A176" s="107">
        <f t="shared" si="23"/>
        <v>19</v>
      </c>
      <c r="B176" s="108" t="s">
        <v>795</v>
      </c>
      <c r="C176" s="109" t="s">
        <v>27</v>
      </c>
      <c r="D176" s="110">
        <v>46087</v>
      </c>
      <c r="E176" s="109" t="str">
        <f>VLOOKUP($C176,xe!$A:$B,2,0)</f>
        <v>50H-55443</v>
      </c>
      <c r="F176" s="111" t="str">
        <f>VLOOKUP($B176,ma!$A:$B,2,0)</f>
        <v>3KS ĐỨC HÒA</v>
      </c>
      <c r="G176" s="112" t="s">
        <v>1412</v>
      </c>
      <c r="H176" s="113" t="s">
        <v>1412</v>
      </c>
      <c r="I176" s="114"/>
      <c r="J176" s="109"/>
      <c r="K176" s="116">
        <v>2.2000000000000002</v>
      </c>
      <c r="L176" s="130">
        <v>200000</v>
      </c>
      <c r="M176" s="127"/>
      <c r="N176" s="131" t="s">
        <v>1416</v>
      </c>
      <c r="O176" s="118">
        <v>1</v>
      </c>
      <c r="P176" s="114">
        <f>VLOOKUP($B176,ma!$A:$C,3,0)</f>
        <v>1200000</v>
      </c>
      <c r="Q176" s="114">
        <f>VLOOKUP($B176,ma!$A:$C,3,0)</f>
        <v>1200000</v>
      </c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</row>
    <row r="177" spans="1:27" ht="15">
      <c r="A177" s="107">
        <f t="shared" si="23"/>
        <v>20</v>
      </c>
      <c r="B177" s="108" t="s">
        <v>850</v>
      </c>
      <c r="C177" s="109" t="s">
        <v>1432</v>
      </c>
      <c r="D177" s="110">
        <v>46087</v>
      </c>
      <c r="E177" s="109" t="str">
        <f>VLOOKUP($C177,xe!$A:$B,2,0)</f>
        <v>50H-70216</v>
      </c>
      <c r="F177" s="111" t="str">
        <f>VLOOKUP($B177,ma!$A:$B,2,0)</f>
        <v>VĂN HẬU LONG AN</v>
      </c>
      <c r="G177" s="112" t="s">
        <v>1412</v>
      </c>
      <c r="H177" s="113" t="s">
        <v>1412</v>
      </c>
      <c r="I177" s="114"/>
      <c r="J177" s="109"/>
      <c r="K177" s="116">
        <v>2.2000000000000002</v>
      </c>
      <c r="L177" s="117">
        <f>K177*50000</f>
        <v>110000.00000000001</v>
      </c>
      <c r="M177" s="114">
        <v>30000</v>
      </c>
      <c r="N177" s="118" t="s">
        <v>1423</v>
      </c>
      <c r="O177" s="118">
        <v>1</v>
      </c>
      <c r="P177" s="114">
        <f>VLOOKUP($B177,ma!$A:$C,3,0)</f>
        <v>900000</v>
      </c>
      <c r="Q177" s="114">
        <f>VLOOKUP($B177,ma!$A:$C,3,0)</f>
        <v>900000</v>
      </c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</row>
    <row r="178" spans="1:27" ht="15">
      <c r="A178" s="107">
        <f t="shared" si="23"/>
        <v>21</v>
      </c>
      <c r="B178" s="108" t="s">
        <v>848</v>
      </c>
      <c r="C178" s="109" t="s">
        <v>1493</v>
      </c>
      <c r="D178" s="110">
        <v>46087</v>
      </c>
      <c r="E178" s="109" t="str">
        <f>VLOOKUP($C178,xe!$A:$B,2,0)</f>
        <v>50H-55161</v>
      </c>
      <c r="F178" s="111" t="str">
        <f>VLOOKUP($B178,ma!$A:$B,2,0)</f>
        <v>VĂN HẬU Q8 ( K BX )</v>
      </c>
      <c r="G178" s="112" t="s">
        <v>1412</v>
      </c>
      <c r="H178" s="113" t="s">
        <v>1412</v>
      </c>
      <c r="I178" s="114"/>
      <c r="J178" s="109"/>
      <c r="K178" s="116">
        <v>2.2000000000000002</v>
      </c>
      <c r="L178" s="117">
        <v>50000</v>
      </c>
      <c r="M178" s="114"/>
      <c r="N178" s="118"/>
      <c r="O178" s="118">
        <v>1</v>
      </c>
      <c r="P178" s="114">
        <f>VLOOKUP($B178,ma!$A:$C,3,0)</f>
        <v>800000</v>
      </c>
      <c r="Q178" s="114">
        <f>VLOOKUP($B178,ma!$A:$C,3,0)</f>
        <v>800000</v>
      </c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</row>
    <row r="179" spans="1:27" ht="15">
      <c r="A179" s="107">
        <f t="shared" si="23"/>
        <v>22</v>
      </c>
      <c r="B179" s="108" t="s">
        <v>848</v>
      </c>
      <c r="C179" s="109" t="s">
        <v>14</v>
      </c>
      <c r="D179" s="110">
        <v>46087</v>
      </c>
      <c r="E179" s="109" t="str">
        <f>VLOOKUP($C179,xe!$A:$B,2,0)</f>
        <v>50H-64470</v>
      </c>
      <c r="F179" s="111" t="str">
        <f>VLOOKUP($B179,ma!$A:$B,2,0)</f>
        <v>VĂN HẬU Q8 ( K BX )</v>
      </c>
      <c r="G179" s="112" t="s">
        <v>1412</v>
      </c>
      <c r="H179" s="113" t="s">
        <v>1412</v>
      </c>
      <c r="I179" s="114"/>
      <c r="J179" s="109"/>
      <c r="K179" s="116">
        <v>2.2000000000000002</v>
      </c>
      <c r="L179" s="117">
        <v>50000</v>
      </c>
      <c r="M179" s="114"/>
      <c r="N179" s="118"/>
      <c r="O179" s="118">
        <v>1</v>
      </c>
      <c r="P179" s="114">
        <f>VLOOKUP($B179,ma!$A:$C,3,0)</f>
        <v>800000</v>
      </c>
      <c r="Q179" s="114">
        <f>VLOOKUP($B179,ma!$A:$C,3,0)</f>
        <v>800000</v>
      </c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</row>
    <row r="180" spans="1:27" ht="15">
      <c r="A180" s="107">
        <f t="shared" si="23"/>
        <v>23</v>
      </c>
      <c r="B180" s="108" t="s">
        <v>822</v>
      </c>
      <c r="C180" s="109" t="s">
        <v>18</v>
      </c>
      <c r="D180" s="110">
        <v>46087</v>
      </c>
      <c r="E180" s="109" t="str">
        <f>VLOOKUP($C180,xe!$A:$B,2,0)</f>
        <v>50H-54580</v>
      </c>
      <c r="F180" s="111" t="str">
        <f>VLOOKUP($B180,ma!$A:$B,2,0)</f>
        <v>VƯƠNG TƯỜNG VÂN</v>
      </c>
      <c r="G180" s="112" t="s">
        <v>1638</v>
      </c>
      <c r="H180" s="113" t="s">
        <v>1564</v>
      </c>
      <c r="I180" s="114"/>
      <c r="J180" s="109"/>
      <c r="K180" s="116">
        <v>1.2</v>
      </c>
      <c r="L180" s="117">
        <f>K180*50000</f>
        <v>60000</v>
      </c>
      <c r="M180" s="114">
        <v>90000</v>
      </c>
      <c r="N180" s="118" t="s">
        <v>1639</v>
      </c>
      <c r="O180" s="118">
        <v>1</v>
      </c>
      <c r="P180" s="114">
        <f>VLOOKUP($B180,ma!$A:$C,3,0)</f>
        <v>800000</v>
      </c>
      <c r="Q180" s="114">
        <f>VLOOKUP($B180,ma!$A:$C,3,0)</f>
        <v>800000</v>
      </c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</row>
    <row r="181" spans="1:27" ht="15">
      <c r="A181" s="107">
        <f t="shared" si="23"/>
        <v>24</v>
      </c>
      <c r="B181" s="108" t="s">
        <v>515</v>
      </c>
      <c r="C181" s="109" t="s">
        <v>1500</v>
      </c>
      <c r="D181" s="110">
        <v>46087</v>
      </c>
      <c r="E181" s="109" t="str">
        <f>VLOOKUP($C181,xe!$A:$B,2,0)</f>
        <v>50H 87442</v>
      </c>
      <c r="F181" s="111" t="str">
        <f>VLOOKUP($B181,ma!$A:$B,2,0)</f>
        <v>PHONG VÂN ( K BX )</v>
      </c>
      <c r="G181" s="112" t="s">
        <v>1640</v>
      </c>
      <c r="H181" s="113" t="s">
        <v>1564</v>
      </c>
      <c r="I181" s="114"/>
      <c r="J181" s="109"/>
      <c r="K181" s="116">
        <v>1.8</v>
      </c>
      <c r="L181" s="117">
        <v>50000</v>
      </c>
      <c r="M181" s="114"/>
      <c r="N181" s="118"/>
      <c r="O181" s="118">
        <v>1</v>
      </c>
      <c r="P181" s="114">
        <f>VLOOKUP($B181,ma!$A:$C,3,0)</f>
        <v>800000</v>
      </c>
      <c r="Q181" s="114">
        <f>VLOOKUP($B181,ma!$A:$C,3,0)</f>
        <v>800000</v>
      </c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</row>
    <row r="182" spans="1:27" ht="15">
      <c r="A182" s="107">
        <f t="shared" si="23"/>
        <v>25</v>
      </c>
      <c r="B182" s="108" t="s">
        <v>515</v>
      </c>
      <c r="C182" s="109" t="s">
        <v>1502</v>
      </c>
      <c r="D182" s="110">
        <v>46087</v>
      </c>
      <c r="E182" s="109" t="str">
        <f>VLOOKUP($C182,xe!$A:$B,2,0)</f>
        <v>50H-63174</v>
      </c>
      <c r="F182" s="111" t="str">
        <f>VLOOKUP($B182,ma!$A:$B,2,0)</f>
        <v>PHONG VÂN ( K BX )</v>
      </c>
      <c r="G182" s="112" t="s">
        <v>1641</v>
      </c>
      <c r="H182" s="113" t="s">
        <v>1615</v>
      </c>
      <c r="I182" s="114"/>
      <c r="J182" s="109"/>
      <c r="K182" s="116">
        <v>1.6</v>
      </c>
      <c r="L182" s="117">
        <v>50000</v>
      </c>
      <c r="M182" s="114"/>
      <c r="N182" s="118"/>
      <c r="O182" s="118">
        <v>1</v>
      </c>
      <c r="P182" s="114">
        <f>VLOOKUP($B182,ma!$A:$C,3,0)</f>
        <v>800000</v>
      </c>
      <c r="Q182" s="114">
        <f>VLOOKUP($B182,ma!$A:$C,3,0)</f>
        <v>800000</v>
      </c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</row>
    <row r="183" spans="1:27" ht="15">
      <c r="A183" s="107">
        <f t="shared" si="23"/>
        <v>26</v>
      </c>
      <c r="B183" s="108" t="s">
        <v>515</v>
      </c>
      <c r="C183" s="109" t="s">
        <v>1642</v>
      </c>
      <c r="D183" s="110">
        <v>46087</v>
      </c>
      <c r="E183" s="109" t="str">
        <f>VLOOKUP($C183,xe!$A:$B,2,0)</f>
        <v>51H -88294</v>
      </c>
      <c r="F183" s="111" t="str">
        <f>VLOOKUP($B183,ma!$A:$B,2,0)</f>
        <v>PHONG VÂN ( K BX )</v>
      </c>
      <c r="G183" s="112" t="s">
        <v>1643</v>
      </c>
      <c r="H183" s="113" t="s">
        <v>1564</v>
      </c>
      <c r="I183" s="114"/>
      <c r="J183" s="109"/>
      <c r="K183" s="116">
        <v>1.8</v>
      </c>
      <c r="L183" s="117">
        <v>50000</v>
      </c>
      <c r="M183" s="114"/>
      <c r="N183" s="118"/>
      <c r="O183" s="118">
        <v>1</v>
      </c>
      <c r="P183" s="114">
        <f>VLOOKUP($B183,ma!$A:$C,3,0)</f>
        <v>800000</v>
      </c>
      <c r="Q183" s="114">
        <f>VLOOKUP($B183,ma!$A:$C,3,0)</f>
        <v>800000</v>
      </c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</row>
    <row r="184" spans="1:27" ht="15">
      <c r="A184" s="107">
        <f t="shared" si="23"/>
        <v>27</v>
      </c>
      <c r="B184" s="108" t="s">
        <v>515</v>
      </c>
      <c r="C184" s="109" t="s">
        <v>1500</v>
      </c>
      <c r="D184" s="110">
        <v>46087</v>
      </c>
      <c r="E184" s="109" t="str">
        <f>VLOOKUP($C184,xe!$A:$B,2,0)</f>
        <v>50H 87442</v>
      </c>
      <c r="F184" s="111" t="str">
        <f>VLOOKUP($B184,ma!$A:$B,2,0)</f>
        <v>PHONG VÂN ( K BX )</v>
      </c>
      <c r="G184" s="112" t="s">
        <v>1640</v>
      </c>
      <c r="H184" s="113" t="s">
        <v>1644</v>
      </c>
      <c r="I184" s="114"/>
      <c r="J184" s="109"/>
      <c r="K184" s="116">
        <v>1.8</v>
      </c>
      <c r="L184" s="117">
        <v>50000</v>
      </c>
      <c r="M184" s="114"/>
      <c r="N184" s="118"/>
      <c r="O184" s="118">
        <v>1</v>
      </c>
      <c r="P184" s="114">
        <f>VLOOKUP($B184,ma!$A:$C,3,0)</f>
        <v>800000</v>
      </c>
      <c r="Q184" s="114">
        <f>VLOOKUP($B184,ma!$A:$C,3,0)</f>
        <v>800000</v>
      </c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</row>
    <row r="185" spans="1:27" ht="15">
      <c r="A185" s="107">
        <f t="shared" si="23"/>
        <v>28</v>
      </c>
      <c r="B185" s="108" t="s">
        <v>277</v>
      </c>
      <c r="C185" s="109" t="s">
        <v>1488</v>
      </c>
      <c r="D185" s="110">
        <v>46087</v>
      </c>
      <c r="E185" s="109" t="str">
        <f>VLOOKUP($C185,xe!$A:$B,2,0)</f>
        <v>50H-66445</v>
      </c>
      <c r="F185" s="111" t="str">
        <f>VLOOKUP($B185,ma!$A:$B,2,0)</f>
        <v xml:space="preserve">Agrex SG </v>
      </c>
      <c r="G185" s="112" t="s">
        <v>1645</v>
      </c>
      <c r="H185" s="113" t="s">
        <v>1564</v>
      </c>
      <c r="I185" s="114"/>
      <c r="J185" s="109"/>
      <c r="K185" s="116">
        <v>1</v>
      </c>
      <c r="L185" s="117">
        <f t="shared" ref="L185:L188" si="27">K185*50000</f>
        <v>50000</v>
      </c>
      <c r="M185" s="114"/>
      <c r="N185" s="118"/>
      <c r="O185" s="118">
        <v>1</v>
      </c>
      <c r="P185" s="114">
        <f>VLOOKUP($B185,ma!$A:$C,3,0)</f>
        <v>800000</v>
      </c>
      <c r="Q185" s="114">
        <f>VLOOKUP($B185,ma!$A:$C,3,0)</f>
        <v>800000</v>
      </c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</row>
    <row r="186" spans="1:27" ht="15">
      <c r="A186" s="107">
        <f t="shared" si="23"/>
        <v>29</v>
      </c>
      <c r="B186" s="108" t="s">
        <v>1646</v>
      </c>
      <c r="C186" s="109" t="s">
        <v>1488</v>
      </c>
      <c r="D186" s="110">
        <v>46087</v>
      </c>
      <c r="E186" s="109" t="str">
        <f>VLOOKUP($C186,xe!$A:$B,2,0)</f>
        <v>50H-66445</v>
      </c>
      <c r="F186" s="111" t="str">
        <f>VLOOKUP($B186,ma!$A:$B,2,0)</f>
        <v>HUBCAKE</v>
      </c>
      <c r="G186" s="112" t="s">
        <v>1647</v>
      </c>
      <c r="H186" s="113" t="s">
        <v>1564</v>
      </c>
      <c r="I186" s="114"/>
      <c r="J186" s="109"/>
      <c r="K186" s="116">
        <v>1.2</v>
      </c>
      <c r="L186" s="117">
        <f t="shared" si="27"/>
        <v>60000</v>
      </c>
      <c r="M186" s="114">
        <v>30000</v>
      </c>
      <c r="N186" s="118" t="s">
        <v>1423</v>
      </c>
      <c r="O186" s="118">
        <v>1</v>
      </c>
      <c r="P186" s="114">
        <f>VLOOKUP($B186,ma!$A:$C,3,0)</f>
        <v>800000</v>
      </c>
      <c r="Q186" s="114">
        <f>VLOOKUP($B186,ma!$A:$C,3,0)</f>
        <v>800000</v>
      </c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</row>
    <row r="187" spans="1:27" ht="15">
      <c r="A187" s="107">
        <f t="shared" si="23"/>
        <v>30</v>
      </c>
      <c r="B187" s="108" t="s">
        <v>1648</v>
      </c>
      <c r="C187" s="109" t="s">
        <v>1649</v>
      </c>
      <c r="D187" s="110">
        <v>46087</v>
      </c>
      <c r="E187" s="109" t="str">
        <f>VLOOKUP($C187,xe!$A:$B,2,0)</f>
        <v>50H-92136</v>
      </c>
      <c r="F187" s="111" t="str">
        <f>VLOOKUP($B187,ma!$A:$B,2,0)</f>
        <v>PHÚ HOÀNG VINH</v>
      </c>
      <c r="G187" s="112" t="s">
        <v>1650</v>
      </c>
      <c r="H187" s="113" t="s">
        <v>1516</v>
      </c>
      <c r="I187" s="114"/>
      <c r="J187" s="115" t="s">
        <v>140</v>
      </c>
      <c r="K187" s="116">
        <v>2</v>
      </c>
      <c r="L187" s="117">
        <f t="shared" si="27"/>
        <v>100000</v>
      </c>
      <c r="M187" s="114"/>
      <c r="N187" s="118"/>
      <c r="O187" s="118">
        <v>1</v>
      </c>
      <c r="P187" s="114">
        <f>VLOOKUP($B187,ma!$A:$C,3,0)</f>
        <v>800000</v>
      </c>
      <c r="Q187" s="114">
        <f>VLOOKUP($B187,ma!$A:$C,3,0)</f>
        <v>800000</v>
      </c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</row>
    <row r="188" spans="1:27" ht="15">
      <c r="A188" s="107">
        <f t="shared" si="23"/>
        <v>31</v>
      </c>
      <c r="B188" s="108" t="s">
        <v>110</v>
      </c>
      <c r="C188" s="109" t="s">
        <v>1651</v>
      </c>
      <c r="D188" s="110">
        <v>46087</v>
      </c>
      <c r="E188" s="109" t="str">
        <f>VLOOKUP($C188,xe!$A:$B,2,0)</f>
        <v>50H-64316</v>
      </c>
      <c r="F188" s="111" t="str">
        <f>VLOOKUP($B188,ma!$A:$B,2,0)</f>
        <v>CALOFIC - UNI ( xe nhỏ )</v>
      </c>
      <c r="G188" s="112" t="s">
        <v>1652</v>
      </c>
      <c r="H188" s="113" t="s">
        <v>1564</v>
      </c>
      <c r="I188" s="114"/>
      <c r="J188" s="115" t="s">
        <v>140</v>
      </c>
      <c r="K188" s="116">
        <v>2</v>
      </c>
      <c r="L188" s="117">
        <f t="shared" si="27"/>
        <v>100000</v>
      </c>
      <c r="M188" s="114">
        <v>30000</v>
      </c>
      <c r="N188" s="118" t="s">
        <v>1423</v>
      </c>
      <c r="O188" s="118">
        <v>1</v>
      </c>
      <c r="P188" s="114">
        <f>VLOOKUP($B188,ma!$A:$C,3,0)</f>
        <v>300000</v>
      </c>
      <c r="Q188" s="114">
        <f>VLOOKUP($B188,ma!$A:$C,3,0)</f>
        <v>300000</v>
      </c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</row>
    <row r="189" spans="1:27" ht="15">
      <c r="A189" s="107">
        <f t="shared" si="23"/>
        <v>32</v>
      </c>
      <c r="B189" s="108" t="s">
        <v>1653</v>
      </c>
      <c r="C189" s="109" t="s">
        <v>1490</v>
      </c>
      <c r="D189" s="110">
        <v>46087</v>
      </c>
      <c r="E189" s="109" t="str">
        <f>VLOOKUP($C189,xe!$A:$B,2,0)</f>
        <v>50H-44024</v>
      </c>
      <c r="F189" s="111" t="str">
        <f>VLOOKUP($B189,ma!$A:$B,2,0)</f>
        <v>BHX THUẬN AN</v>
      </c>
      <c r="G189" s="112" t="s">
        <v>1654</v>
      </c>
      <c r="H189" s="113" t="s">
        <v>1516</v>
      </c>
      <c r="I189" s="114"/>
      <c r="J189" s="109"/>
      <c r="K189" s="116">
        <v>1.6</v>
      </c>
      <c r="L189" s="117">
        <f>K189*80000</f>
        <v>128000</v>
      </c>
      <c r="M189" s="114"/>
      <c r="N189" s="118"/>
      <c r="O189" s="118">
        <v>1</v>
      </c>
      <c r="P189" s="114">
        <f>VLOOKUP($B189,ma!$A:$C,3,0)</f>
        <v>900000</v>
      </c>
      <c r="Q189" s="114">
        <f>VLOOKUP($B189,ma!$A:$C,3,0)</f>
        <v>900000</v>
      </c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</row>
    <row r="190" spans="1:27" ht="15">
      <c r="A190" s="107">
        <f t="shared" si="23"/>
        <v>33</v>
      </c>
      <c r="B190" s="108" t="s">
        <v>1492</v>
      </c>
      <c r="C190" s="109" t="s">
        <v>1655</v>
      </c>
      <c r="D190" s="110">
        <v>46087</v>
      </c>
      <c r="E190" s="109" t="str">
        <f>VLOOKUP($C190,xe!$A:$B,2,0)</f>
        <v>50H-70216</v>
      </c>
      <c r="F190" s="111" t="str">
        <f>VLOOKUP($B190,ma!$A:$B,2,0)</f>
        <v>BHX NHÀ BÈ</v>
      </c>
      <c r="G190" s="112" t="s">
        <v>1656</v>
      </c>
      <c r="H190" s="113" t="s">
        <v>1564</v>
      </c>
      <c r="I190" s="114"/>
      <c r="J190" s="109"/>
      <c r="K190" s="116">
        <v>1.8</v>
      </c>
      <c r="L190" s="134">
        <v>200000</v>
      </c>
      <c r="M190" s="114"/>
      <c r="N190" s="118"/>
      <c r="O190" s="118">
        <v>1</v>
      </c>
      <c r="P190" s="114">
        <f>VLOOKUP($B190,ma!$A:$C,3,0)</f>
        <v>400000</v>
      </c>
      <c r="Q190" s="114">
        <f>VLOOKUP($B190,ma!$A:$C,3,0)</f>
        <v>400000</v>
      </c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</row>
    <row r="191" spans="1:27" ht="15">
      <c r="A191" s="107">
        <f t="shared" si="23"/>
        <v>34</v>
      </c>
      <c r="B191" s="108" t="s">
        <v>1138</v>
      </c>
      <c r="C191" s="109" t="s">
        <v>1657</v>
      </c>
      <c r="D191" s="110">
        <v>46087</v>
      </c>
      <c r="E191" s="109" t="str">
        <f>VLOOKUP($C191,xe!$A:$B,2,0)</f>
        <v>50H-64470</v>
      </c>
      <c r="F191" s="111" t="str">
        <f>VLOOKUP($B191,ma!$A:$B,2,0)</f>
        <v>SATRA VÕ VĂN KIỆT</v>
      </c>
      <c r="G191" s="112" t="s">
        <v>1658</v>
      </c>
      <c r="H191" s="113" t="s">
        <v>1516</v>
      </c>
      <c r="I191" s="114"/>
      <c r="J191" s="115" t="s">
        <v>1659</v>
      </c>
      <c r="K191" s="116">
        <v>1</v>
      </c>
      <c r="L191" s="117">
        <f t="shared" ref="L191:L193" si="28">K191*50000</f>
        <v>50000</v>
      </c>
      <c r="M191" s="114">
        <v>30000</v>
      </c>
      <c r="N191" s="118" t="s">
        <v>1423</v>
      </c>
      <c r="O191" s="118">
        <v>1</v>
      </c>
      <c r="P191" s="114">
        <f>VLOOKUP($B191,ma!$A:$C,3,0)</f>
        <v>800000</v>
      </c>
      <c r="Q191" s="114">
        <f>VLOOKUP($B191,ma!$A:$C,3,0)</f>
        <v>800000</v>
      </c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</row>
    <row r="192" spans="1:27" ht="15">
      <c r="A192" s="107">
        <f t="shared" si="23"/>
        <v>35</v>
      </c>
      <c r="B192" s="108" t="s">
        <v>1660</v>
      </c>
      <c r="C192" s="109" t="s">
        <v>1493</v>
      </c>
      <c r="D192" s="110">
        <v>46087</v>
      </c>
      <c r="E192" s="109" t="str">
        <f>VLOOKUP($C192,xe!$A:$B,2,0)</f>
        <v>50H-55161</v>
      </c>
      <c r="F192" s="111" t="str">
        <f>VLOOKUP($B192,ma!$A:$B,2,0)</f>
        <v>M. HIỆP PHÚ</v>
      </c>
      <c r="G192" s="112" t="s">
        <v>1661</v>
      </c>
      <c r="H192" s="113" t="s">
        <v>1564</v>
      </c>
      <c r="I192" s="114"/>
      <c r="J192" s="109"/>
      <c r="K192" s="116">
        <v>1.4</v>
      </c>
      <c r="L192" s="117">
        <f t="shared" si="28"/>
        <v>70000</v>
      </c>
      <c r="M192" s="114"/>
      <c r="N192" s="118"/>
      <c r="O192" s="118">
        <v>1</v>
      </c>
      <c r="P192" s="114">
        <f>VLOOKUP($B192,ma!$A:$C,3,0)</f>
        <v>800000</v>
      </c>
      <c r="Q192" s="114">
        <f>VLOOKUP($B192,ma!$A:$C,3,0)</f>
        <v>800000</v>
      </c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</row>
    <row r="193" spans="1:27" ht="15">
      <c r="A193" s="107">
        <f t="shared" si="23"/>
        <v>36</v>
      </c>
      <c r="B193" s="108" t="s">
        <v>1660</v>
      </c>
      <c r="C193" s="109" t="s">
        <v>1662</v>
      </c>
      <c r="D193" s="110">
        <v>46087</v>
      </c>
      <c r="E193" s="109" t="str">
        <f>VLOOKUP($C193,xe!$A:$B,2,0)</f>
        <v>50H-74619</v>
      </c>
      <c r="F193" s="111" t="str">
        <f>VLOOKUP($B193,ma!$A:$B,2,0)</f>
        <v>M. HIỆP PHÚ</v>
      </c>
      <c r="G193" s="112" t="s">
        <v>1663</v>
      </c>
      <c r="H193" s="113" t="s">
        <v>1564</v>
      </c>
      <c r="I193" s="114"/>
      <c r="J193" s="109"/>
      <c r="K193" s="116">
        <v>1.4</v>
      </c>
      <c r="L193" s="117">
        <f t="shared" si="28"/>
        <v>70000</v>
      </c>
      <c r="M193" s="114">
        <v>30000</v>
      </c>
      <c r="N193" s="118" t="s">
        <v>1423</v>
      </c>
      <c r="O193" s="118">
        <v>1</v>
      </c>
      <c r="P193" s="114">
        <f>VLOOKUP($B193,ma!$A:$C,3,0)</f>
        <v>800000</v>
      </c>
      <c r="Q193" s="114">
        <f>VLOOKUP($B193,ma!$A:$C,3,0)</f>
        <v>800000</v>
      </c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</row>
    <row r="194" spans="1:27" ht="15">
      <c r="A194" s="107">
        <f t="shared" si="23"/>
        <v>37</v>
      </c>
      <c r="B194" s="108" t="s">
        <v>1471</v>
      </c>
      <c r="C194" s="109" t="s">
        <v>1502</v>
      </c>
      <c r="D194" s="110">
        <v>46087</v>
      </c>
      <c r="E194" s="109" t="str">
        <f>VLOOKUP($C194,xe!$A:$B,2,0)</f>
        <v>50H-63174</v>
      </c>
      <c r="F194" s="111" t="str">
        <f>VLOOKUP($B194,ma!$A:$B,2,0)</f>
        <v>VỊ NGỌT HAPPY ( K BX )</v>
      </c>
      <c r="G194" s="112" t="s">
        <v>1664</v>
      </c>
      <c r="H194" s="113" t="s">
        <v>1644</v>
      </c>
      <c r="I194" s="114"/>
      <c r="J194" s="120" t="s">
        <v>1407</v>
      </c>
      <c r="K194" s="116">
        <v>2</v>
      </c>
      <c r="L194" s="117">
        <v>50000</v>
      </c>
      <c r="M194" s="114">
        <v>30000</v>
      </c>
      <c r="N194" s="118" t="s">
        <v>1423</v>
      </c>
      <c r="O194" s="118">
        <v>1</v>
      </c>
      <c r="P194" s="114">
        <f>VLOOKUP($B194,ma!$A:$C,3,0)</f>
        <v>800000</v>
      </c>
      <c r="Q194" s="114">
        <f>VLOOKUP($B194,ma!$A:$C,3,0)</f>
        <v>800000</v>
      </c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</row>
    <row r="195" spans="1:27" ht="15">
      <c r="A195" s="107">
        <f t="shared" si="23"/>
        <v>38</v>
      </c>
      <c r="B195" s="108" t="s">
        <v>1471</v>
      </c>
      <c r="C195" s="109" t="s">
        <v>1500</v>
      </c>
      <c r="D195" s="110">
        <v>46087</v>
      </c>
      <c r="E195" s="109" t="str">
        <f>VLOOKUP($C195,xe!$A:$B,2,0)</f>
        <v>50H 87442</v>
      </c>
      <c r="F195" s="111" t="str">
        <f>VLOOKUP($B195,ma!$A:$B,2,0)</f>
        <v>VỊ NGỌT HAPPY ( K BX )</v>
      </c>
      <c r="G195" s="112" t="s">
        <v>1665</v>
      </c>
      <c r="H195" s="113" t="s">
        <v>1644</v>
      </c>
      <c r="I195" s="114"/>
      <c r="J195" s="120" t="s">
        <v>1407</v>
      </c>
      <c r="K195" s="116">
        <v>2</v>
      </c>
      <c r="L195" s="117">
        <v>50000</v>
      </c>
      <c r="M195" s="114">
        <v>30000</v>
      </c>
      <c r="N195" s="118" t="s">
        <v>1423</v>
      </c>
      <c r="O195" s="118">
        <v>1</v>
      </c>
      <c r="P195" s="114">
        <f>VLOOKUP($B195,ma!$A:$C,3,0)</f>
        <v>800000</v>
      </c>
      <c r="Q195" s="114">
        <f>VLOOKUP($B195,ma!$A:$C,3,0)</f>
        <v>800000</v>
      </c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</row>
    <row r="196" spans="1:27" ht="15">
      <c r="A196" s="107">
        <f t="shared" si="23"/>
        <v>39</v>
      </c>
      <c r="B196" s="108" t="s">
        <v>1666</v>
      </c>
      <c r="C196" s="109" t="s">
        <v>1546</v>
      </c>
      <c r="D196" s="110">
        <v>46087</v>
      </c>
      <c r="E196" s="109" t="str">
        <f>VLOOKUP($C196,xe!$A:$B,2,0)</f>
        <v>50H-54580</v>
      </c>
      <c r="F196" s="111" t="str">
        <f>VLOOKUP($B196,ma!$A:$B,2,0)</f>
        <v>LOTTEMART-Q7</v>
      </c>
      <c r="G196" s="112" t="s">
        <v>1667</v>
      </c>
      <c r="H196" s="113" t="s">
        <v>1516</v>
      </c>
      <c r="I196" s="114"/>
      <c r="J196" s="115" t="s">
        <v>140</v>
      </c>
      <c r="K196" s="116">
        <v>2.2000000000000002</v>
      </c>
      <c r="L196" s="117">
        <f t="shared" ref="L196:L198" si="29">K196*50000</f>
        <v>110000.00000000001</v>
      </c>
      <c r="M196" s="114"/>
      <c r="N196" s="118"/>
      <c r="O196" s="118">
        <v>1</v>
      </c>
      <c r="P196" s="114">
        <f>VLOOKUP($B196,ma!$A:$C,3,0)</f>
        <v>800000</v>
      </c>
      <c r="Q196" s="114">
        <f>VLOOKUP($B196,ma!$A:$C,3,0)</f>
        <v>800000</v>
      </c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</row>
    <row r="197" spans="1:27" ht="15">
      <c r="A197" s="107">
        <f t="shared" si="23"/>
        <v>40</v>
      </c>
      <c r="B197" s="108" t="s">
        <v>1666</v>
      </c>
      <c r="C197" s="109" t="s">
        <v>1651</v>
      </c>
      <c r="D197" s="110">
        <v>46087</v>
      </c>
      <c r="E197" s="109" t="str">
        <f>VLOOKUP($C197,xe!$A:$B,2,0)</f>
        <v>50H-64316</v>
      </c>
      <c r="F197" s="111" t="str">
        <f>VLOOKUP($B197,ma!$A:$B,2,0)</f>
        <v>LOTTEMART-Q7</v>
      </c>
      <c r="G197" s="112" t="s">
        <v>1668</v>
      </c>
      <c r="H197" s="113" t="s">
        <v>1644</v>
      </c>
      <c r="I197" s="114"/>
      <c r="J197" s="115" t="s">
        <v>140</v>
      </c>
      <c r="K197" s="116">
        <v>2.2000000000000002</v>
      </c>
      <c r="L197" s="117">
        <f t="shared" si="29"/>
        <v>110000.00000000001</v>
      </c>
      <c r="M197" s="114"/>
      <c r="N197" s="118"/>
      <c r="O197" s="118">
        <v>1</v>
      </c>
      <c r="P197" s="114">
        <f>VLOOKUP($B197,ma!$A:$C,3,0)</f>
        <v>800000</v>
      </c>
      <c r="Q197" s="114">
        <f>VLOOKUP($B197,ma!$A:$C,3,0)</f>
        <v>800000</v>
      </c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</row>
    <row r="198" spans="1:27" ht="15">
      <c r="A198" s="107">
        <f t="shared" si="23"/>
        <v>41</v>
      </c>
      <c r="B198" s="108" t="s">
        <v>1666</v>
      </c>
      <c r="C198" s="109" t="s">
        <v>1669</v>
      </c>
      <c r="D198" s="110">
        <v>46087</v>
      </c>
      <c r="E198" s="109" t="str">
        <f>VLOOKUP($C198,xe!$A:$B,2,0)</f>
        <v>50H-69501</v>
      </c>
      <c r="F198" s="111" t="str">
        <f>VLOOKUP($B198,ma!$A:$B,2,0)</f>
        <v>LOTTEMART-Q7</v>
      </c>
      <c r="G198" s="112" t="s">
        <v>1670</v>
      </c>
      <c r="H198" s="113" t="s">
        <v>1516</v>
      </c>
      <c r="I198" s="114"/>
      <c r="J198" s="115" t="s">
        <v>140</v>
      </c>
      <c r="K198" s="116">
        <v>2.2000000000000002</v>
      </c>
      <c r="L198" s="117">
        <f t="shared" si="29"/>
        <v>110000.00000000001</v>
      </c>
      <c r="M198" s="114">
        <v>30000</v>
      </c>
      <c r="N198" s="118" t="s">
        <v>1423</v>
      </c>
      <c r="O198" s="118">
        <v>1</v>
      </c>
      <c r="P198" s="114">
        <f>VLOOKUP($B198,ma!$A:$C,3,0)</f>
        <v>800000</v>
      </c>
      <c r="Q198" s="114">
        <f>VLOOKUP($B198,ma!$A:$C,3,0)</f>
        <v>800000</v>
      </c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</row>
    <row r="199" spans="1:27" ht="15">
      <c r="A199" s="107">
        <f t="shared" si="23"/>
        <v>42</v>
      </c>
      <c r="B199" s="108" t="s">
        <v>1666</v>
      </c>
      <c r="C199" s="109" t="s">
        <v>1669</v>
      </c>
      <c r="D199" s="110">
        <v>46087</v>
      </c>
      <c r="E199" s="109" t="str">
        <f>VLOOKUP($C199,xe!$A:$B,2,0)</f>
        <v>50H-69501</v>
      </c>
      <c r="F199" s="111" t="str">
        <f>VLOOKUP($B199,ma!$A:$B,2,0)</f>
        <v>LOTTEMART-Q7</v>
      </c>
      <c r="G199" s="112" t="s">
        <v>1671</v>
      </c>
      <c r="H199" s="113" t="s">
        <v>1671</v>
      </c>
      <c r="I199" s="114"/>
      <c r="J199" s="145" t="s">
        <v>1616</v>
      </c>
      <c r="K199" s="129">
        <v>1</v>
      </c>
      <c r="L199" s="130">
        <v>50000</v>
      </c>
      <c r="M199" s="127"/>
      <c r="N199" s="131"/>
      <c r="O199" s="131">
        <v>1</v>
      </c>
      <c r="P199" s="127">
        <v>300000</v>
      </c>
      <c r="Q199" s="127">
        <v>300000</v>
      </c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</row>
    <row r="200" spans="1:27" ht="15">
      <c r="A200" s="107">
        <f t="shared" si="23"/>
        <v>43</v>
      </c>
      <c r="B200" s="108" t="s">
        <v>1666</v>
      </c>
      <c r="C200" s="109" t="s">
        <v>19</v>
      </c>
      <c r="D200" s="110">
        <v>46087</v>
      </c>
      <c r="E200" s="109" t="str">
        <f>VLOOKUP($C200,xe!$A:$B,2,0)</f>
        <v>51H -88294</v>
      </c>
      <c r="F200" s="111" t="str">
        <f>VLOOKUP($B200,ma!$A:$B,2,0)</f>
        <v>LOTTEMART-Q7</v>
      </c>
      <c r="G200" s="112" t="s">
        <v>1672</v>
      </c>
      <c r="H200" s="113" t="s">
        <v>1644</v>
      </c>
      <c r="I200" s="114"/>
      <c r="J200" s="115" t="s">
        <v>140</v>
      </c>
      <c r="K200" s="116">
        <v>2.2000000000000002</v>
      </c>
      <c r="L200" s="117">
        <f t="shared" ref="L200:L206" si="30">K200*50000</f>
        <v>110000.00000000001</v>
      </c>
      <c r="M200" s="114">
        <v>30000</v>
      </c>
      <c r="N200" s="118" t="s">
        <v>1423</v>
      </c>
      <c r="O200" s="118">
        <v>1</v>
      </c>
      <c r="P200" s="114">
        <f>VLOOKUP($B200,ma!$A:$C,3,0)</f>
        <v>800000</v>
      </c>
      <c r="Q200" s="114">
        <f>VLOOKUP($B200,ma!$A:$C,3,0)</f>
        <v>800000</v>
      </c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</row>
    <row r="201" spans="1:27" ht="15">
      <c r="A201" s="107">
        <f t="shared" si="23"/>
        <v>44</v>
      </c>
      <c r="B201" s="108" t="s">
        <v>1673</v>
      </c>
      <c r="C201" s="109" t="s">
        <v>58</v>
      </c>
      <c r="D201" s="110">
        <v>46087</v>
      </c>
      <c r="E201" s="109" t="str">
        <f>VLOOKUP($C201,xe!$A:$B,2,0)</f>
        <v>51C-81056</v>
      </c>
      <c r="F201" s="111" t="str">
        <f>VLOOKUP($B201,ma!$A:$B,2,0)</f>
        <v>LOTTE-PHU THO</v>
      </c>
      <c r="G201" s="112" t="s">
        <v>1674</v>
      </c>
      <c r="H201" s="113" t="s">
        <v>1564</v>
      </c>
      <c r="I201" s="114">
        <v>39298</v>
      </c>
      <c r="J201" s="115" t="s">
        <v>140</v>
      </c>
      <c r="K201" s="116">
        <v>1.8</v>
      </c>
      <c r="L201" s="117">
        <f t="shared" si="30"/>
        <v>90000</v>
      </c>
      <c r="M201" s="114"/>
      <c r="N201" s="118"/>
      <c r="O201" s="118">
        <v>1</v>
      </c>
      <c r="P201" s="114">
        <f>VLOOKUP($B201,ma!$A:$C,3,0)</f>
        <v>800000</v>
      </c>
      <c r="Q201" s="114">
        <f>VLOOKUP($B201,ma!$A:$C,3,0)</f>
        <v>800000</v>
      </c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</row>
    <row r="202" spans="1:27" ht="15">
      <c r="A202" s="107">
        <f t="shared" si="23"/>
        <v>45</v>
      </c>
      <c r="B202" s="108" t="s">
        <v>1673</v>
      </c>
      <c r="C202" s="109" t="s">
        <v>60</v>
      </c>
      <c r="D202" s="110">
        <v>46087</v>
      </c>
      <c r="E202" s="109" t="str">
        <f>VLOOKUP($C202,xe!$A:$B,2,0)</f>
        <v>50H-11822</v>
      </c>
      <c r="F202" s="111" t="str">
        <f>VLOOKUP($B202,ma!$A:$B,2,0)</f>
        <v>LOTTE-PHU THO</v>
      </c>
      <c r="G202" s="112" t="s">
        <v>1675</v>
      </c>
      <c r="H202" s="113" t="s">
        <v>1676</v>
      </c>
      <c r="I202" s="114">
        <v>39288</v>
      </c>
      <c r="J202" s="115" t="s">
        <v>140</v>
      </c>
      <c r="K202" s="116">
        <v>1.8</v>
      </c>
      <c r="L202" s="117">
        <f t="shared" si="30"/>
        <v>90000</v>
      </c>
      <c r="M202" s="114"/>
      <c r="N202" s="118"/>
      <c r="O202" s="118">
        <v>1</v>
      </c>
      <c r="P202" s="114">
        <f>VLOOKUP($B202,ma!$A:$C,3,0)</f>
        <v>800000</v>
      </c>
      <c r="Q202" s="114">
        <f>VLOOKUP($B202,ma!$A:$C,3,0)</f>
        <v>800000</v>
      </c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</row>
    <row r="203" spans="1:27" ht="15">
      <c r="A203" s="137">
        <v>1</v>
      </c>
      <c r="B203" s="138" t="s">
        <v>1677</v>
      </c>
      <c r="C203" s="139" t="s">
        <v>1502</v>
      </c>
      <c r="D203" s="140">
        <v>46088</v>
      </c>
      <c r="E203" s="139" t="str">
        <f>VLOOKUP($C203,xe!$A:$B,2,0)</f>
        <v>50H-63174</v>
      </c>
      <c r="F203" s="141" t="str">
        <f>VLOOKUP($B203,ma!$A:$B,2,0)</f>
        <v>CALOFIC - UNI ( xe nhỏ )</v>
      </c>
      <c r="G203" s="142" t="s">
        <v>1412</v>
      </c>
      <c r="H203" s="126" t="s">
        <v>1412</v>
      </c>
      <c r="I203" s="132"/>
      <c r="J203" s="115" t="s">
        <v>140</v>
      </c>
      <c r="K203" s="129">
        <v>2</v>
      </c>
      <c r="L203" s="143">
        <f t="shared" si="30"/>
        <v>100000</v>
      </c>
      <c r="M203" s="132"/>
      <c r="N203" s="144"/>
      <c r="O203" s="144">
        <v>1</v>
      </c>
      <c r="P203" s="132">
        <f>VLOOKUP($B203,ma!$A:$C,3,0)</f>
        <v>300000</v>
      </c>
      <c r="Q203" s="132">
        <f>VLOOKUP($B203,ma!$A:$C,3,0)</f>
        <v>300000</v>
      </c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</row>
    <row r="204" spans="1:27" ht="15">
      <c r="A204" s="107">
        <f t="shared" ref="A204:A219" si="31">A203+1</f>
        <v>2</v>
      </c>
      <c r="B204" s="108" t="s">
        <v>907</v>
      </c>
      <c r="C204" s="109" t="s">
        <v>68</v>
      </c>
      <c r="D204" s="110">
        <v>46088</v>
      </c>
      <c r="E204" s="109" t="str">
        <f>VLOOKUP($C204,xe!$A:$B,2,0)</f>
        <v>50H-55829</v>
      </c>
      <c r="F204" s="111" t="str">
        <f>VLOOKUP($B204,ma!$A:$B,2,0)</f>
        <v>M. BÌNH PHÚ</v>
      </c>
      <c r="G204" s="112" t="s">
        <v>1678</v>
      </c>
      <c r="H204" s="113" t="s">
        <v>1516</v>
      </c>
      <c r="I204" s="114"/>
      <c r="J204" s="109"/>
      <c r="K204" s="116">
        <v>1.8</v>
      </c>
      <c r="L204" s="117">
        <f t="shared" si="30"/>
        <v>90000</v>
      </c>
      <c r="M204" s="114"/>
      <c r="N204" s="118"/>
      <c r="O204" s="118">
        <v>1</v>
      </c>
      <c r="P204" s="114">
        <f>VLOOKUP($B204,ma!$A:$C,3,0)</f>
        <v>800000</v>
      </c>
      <c r="Q204" s="114">
        <f>VLOOKUP($B204,ma!$A:$C,3,0)</f>
        <v>800000</v>
      </c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</row>
    <row r="205" spans="1:27" ht="15">
      <c r="A205" s="107">
        <f t="shared" si="31"/>
        <v>3</v>
      </c>
      <c r="B205" s="108" t="s">
        <v>907</v>
      </c>
      <c r="C205" s="109" t="s">
        <v>66</v>
      </c>
      <c r="D205" s="110">
        <v>46088</v>
      </c>
      <c r="E205" s="109" t="str">
        <f>VLOOKUP($C205,xe!$A:$B,2,0)</f>
        <v>50H-92136</v>
      </c>
      <c r="F205" s="111" t="str">
        <f>VLOOKUP($B205,ma!$A:$B,2,0)</f>
        <v>M. BÌNH PHÚ</v>
      </c>
      <c r="G205" s="112" t="s">
        <v>1679</v>
      </c>
      <c r="H205" s="113" t="s">
        <v>1516</v>
      </c>
      <c r="I205" s="114"/>
      <c r="J205" s="109"/>
      <c r="K205" s="116">
        <v>1.8</v>
      </c>
      <c r="L205" s="117">
        <f t="shared" si="30"/>
        <v>90000</v>
      </c>
      <c r="M205" s="114"/>
      <c r="N205" s="118"/>
      <c r="O205" s="118">
        <v>1</v>
      </c>
      <c r="P205" s="114">
        <f>VLOOKUP($B205,ma!$A:$C,3,0)</f>
        <v>800000</v>
      </c>
      <c r="Q205" s="114">
        <f>VLOOKUP($B205,ma!$A:$C,3,0)</f>
        <v>800000</v>
      </c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</row>
    <row r="206" spans="1:27" ht="15">
      <c r="A206" s="107">
        <f t="shared" si="31"/>
        <v>4</v>
      </c>
      <c r="B206" s="108" t="s">
        <v>907</v>
      </c>
      <c r="C206" s="109" t="s">
        <v>72</v>
      </c>
      <c r="D206" s="110">
        <v>46088</v>
      </c>
      <c r="E206" s="109" t="str">
        <f>VLOOKUP($C206,xe!$A:$B,2,0)</f>
        <v>47H-02023</v>
      </c>
      <c r="F206" s="111" t="str">
        <f>VLOOKUP($B206,ma!$A:$B,2,0)</f>
        <v>M. BÌNH PHÚ</v>
      </c>
      <c r="G206" s="112" t="s">
        <v>1680</v>
      </c>
      <c r="H206" s="113" t="s">
        <v>1516</v>
      </c>
      <c r="I206" s="114"/>
      <c r="J206" s="109"/>
      <c r="K206" s="116">
        <v>1.6</v>
      </c>
      <c r="L206" s="117">
        <f t="shared" si="30"/>
        <v>80000</v>
      </c>
      <c r="M206" s="114"/>
      <c r="N206" s="118"/>
      <c r="O206" s="118">
        <v>1</v>
      </c>
      <c r="P206" s="114">
        <f>VLOOKUP($B206,ma!$A:$C,3,0)</f>
        <v>800000</v>
      </c>
      <c r="Q206" s="114">
        <f>VLOOKUP($B206,ma!$A:$C,3,0)</f>
        <v>800000</v>
      </c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</row>
    <row r="207" spans="1:27" ht="15">
      <c r="A207" s="107">
        <f t="shared" si="31"/>
        <v>5</v>
      </c>
      <c r="B207" s="108" t="s">
        <v>517</v>
      </c>
      <c r="C207" s="109" t="s">
        <v>64</v>
      </c>
      <c r="D207" s="110">
        <v>46088</v>
      </c>
      <c r="E207" s="109" t="str">
        <f>VLOOKUP($C207,xe!$A:$B,2,0)</f>
        <v>50H-60635</v>
      </c>
      <c r="F207" s="111" t="str">
        <f>VLOOKUP($B207,ma!$A:$B,2,0)</f>
        <v>PHONG VÂN - GÒ VẤP ( K BX )</v>
      </c>
      <c r="G207" s="112" t="s">
        <v>1681</v>
      </c>
      <c r="H207" s="113" t="s">
        <v>1516</v>
      </c>
      <c r="I207" s="114"/>
      <c r="J207" s="109"/>
      <c r="K207" s="116">
        <v>2</v>
      </c>
      <c r="L207" s="117"/>
      <c r="M207" s="114"/>
      <c r="N207" s="118"/>
      <c r="O207" s="118">
        <v>1</v>
      </c>
      <c r="P207" s="114">
        <f>VLOOKUP($B207,ma!$A:$C,3,0)</f>
        <v>800000</v>
      </c>
      <c r="Q207" s="114">
        <f>VLOOKUP($B207,ma!$A:$C,3,0)</f>
        <v>800000</v>
      </c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</row>
    <row r="208" spans="1:27" ht="15">
      <c r="A208" s="107">
        <f t="shared" si="31"/>
        <v>6</v>
      </c>
      <c r="B208" s="108" t="s">
        <v>864</v>
      </c>
      <c r="C208" s="109" t="s">
        <v>62</v>
      </c>
      <c r="D208" s="110">
        <v>46088</v>
      </c>
      <c r="E208" s="109" t="str">
        <f>VLOOKUP($C208,xe!$A:$B,2,0)</f>
        <v>62H-01887</v>
      </c>
      <c r="F208" s="111" t="str">
        <f>VLOOKUP($B208,ma!$A:$B,2,0)</f>
        <v>SEN VIỆT ( K BX )</v>
      </c>
      <c r="G208" s="112" t="s">
        <v>1682</v>
      </c>
      <c r="H208" s="113" t="s">
        <v>1620</v>
      </c>
      <c r="I208" s="114"/>
      <c r="J208" s="109"/>
      <c r="K208" s="116">
        <v>1.6</v>
      </c>
      <c r="L208" s="117"/>
      <c r="M208" s="114"/>
      <c r="N208" s="118"/>
      <c r="O208" s="118">
        <v>1</v>
      </c>
      <c r="P208" s="114">
        <f>VLOOKUP($B208,ma!$A:$C,3,0)</f>
        <v>800000</v>
      </c>
      <c r="Q208" s="114">
        <f>VLOOKUP($B208,ma!$A:$C,3,0)</f>
        <v>800000</v>
      </c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</row>
    <row r="209" spans="1:27" ht="15">
      <c r="A209" s="107">
        <f t="shared" si="31"/>
        <v>7</v>
      </c>
      <c r="B209" s="108" t="s">
        <v>864</v>
      </c>
      <c r="C209" s="109" t="s">
        <v>76</v>
      </c>
      <c r="D209" s="110">
        <v>46088</v>
      </c>
      <c r="E209" s="109" t="str">
        <f>VLOOKUP($C209,xe!$A:$B,2,0)</f>
        <v>51D-38021</v>
      </c>
      <c r="F209" s="111" t="str">
        <f>VLOOKUP($B209,ma!$A:$B,2,0)</f>
        <v>SEN VIỆT ( K BX )</v>
      </c>
      <c r="G209" s="112" t="s">
        <v>1683</v>
      </c>
      <c r="H209" s="113" t="s">
        <v>1564</v>
      </c>
      <c r="I209" s="114"/>
      <c r="J209" s="109"/>
      <c r="K209" s="116">
        <v>1.6</v>
      </c>
      <c r="L209" s="117"/>
      <c r="M209" s="114"/>
      <c r="N209" s="118"/>
      <c r="O209" s="118">
        <v>1</v>
      </c>
      <c r="P209" s="114">
        <f>VLOOKUP($B209,ma!$A:$C,3,0)</f>
        <v>800000</v>
      </c>
      <c r="Q209" s="114">
        <f>VLOOKUP($B209,ma!$A:$C,3,0)</f>
        <v>800000</v>
      </c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</row>
    <row r="210" spans="1:27" ht="15">
      <c r="A210" s="107">
        <f t="shared" si="31"/>
        <v>8</v>
      </c>
      <c r="B210" s="108" t="s">
        <v>864</v>
      </c>
      <c r="C210" s="109" t="s">
        <v>78</v>
      </c>
      <c r="D210" s="110">
        <v>46088</v>
      </c>
      <c r="E210" s="133" t="str">
        <f>VLOOKUP($C210,xe!$A:$B,2,0)</f>
        <v>50E-565,21</v>
      </c>
      <c r="F210" s="111" t="str">
        <f>VLOOKUP($B210,ma!$A:$B,2,0)</f>
        <v>SEN VIỆT ( K BX )</v>
      </c>
      <c r="G210" s="112" t="s">
        <v>1684</v>
      </c>
      <c r="H210" s="113" t="s">
        <v>1564</v>
      </c>
      <c r="I210" s="114"/>
      <c r="J210" s="109"/>
      <c r="K210" s="116">
        <v>1.6</v>
      </c>
      <c r="L210" s="117"/>
      <c r="M210" s="114"/>
      <c r="N210" s="118"/>
      <c r="O210" s="118">
        <v>1</v>
      </c>
      <c r="P210" s="114">
        <f>VLOOKUP($B210,ma!$A:$C,3,0)</f>
        <v>800000</v>
      </c>
      <c r="Q210" s="114">
        <f>VLOOKUP($B210,ma!$A:$C,3,0)</f>
        <v>800000</v>
      </c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</row>
    <row r="211" spans="1:27" ht="15">
      <c r="A211" s="107">
        <f t="shared" si="31"/>
        <v>9</v>
      </c>
      <c r="B211" s="108" t="s">
        <v>289</v>
      </c>
      <c r="C211" s="109" t="s">
        <v>1404</v>
      </c>
      <c r="D211" s="110">
        <v>46088</v>
      </c>
      <c r="E211" s="109" t="str">
        <f>VLOOKUP($C211,xe!$A:$B,2,0)</f>
        <v>51C-81056</v>
      </c>
      <c r="F211" s="111" t="str">
        <f>VLOOKUP($B211,ma!$A:$B,2,0)</f>
        <v>ANFOOD Q12 ( K BX )</v>
      </c>
      <c r="G211" s="112" t="s">
        <v>1685</v>
      </c>
      <c r="H211" s="113" t="s">
        <v>1564</v>
      </c>
      <c r="I211" s="114"/>
      <c r="J211" s="120" t="s">
        <v>1407</v>
      </c>
      <c r="K211" s="116">
        <v>2</v>
      </c>
      <c r="L211" s="117"/>
      <c r="M211" s="114"/>
      <c r="N211" s="118"/>
      <c r="O211" s="118">
        <v>1</v>
      </c>
      <c r="P211" s="114">
        <f>VLOOKUP($B211,ma!$A:$C,3,0)</f>
        <v>800000</v>
      </c>
      <c r="Q211" s="114">
        <f>VLOOKUP($B211,ma!$A:$C,3,0)</f>
        <v>800000</v>
      </c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</row>
    <row r="212" spans="1:27" ht="15">
      <c r="A212" s="107">
        <f t="shared" si="31"/>
        <v>10</v>
      </c>
      <c r="B212" s="108" t="s">
        <v>665</v>
      </c>
      <c r="C212" s="109" t="s">
        <v>1488</v>
      </c>
      <c r="D212" s="110">
        <v>46088</v>
      </c>
      <c r="E212" s="109" t="str">
        <f>VLOOKUP($C212,xe!$A:$B,2,0)</f>
        <v>50H-66445</v>
      </c>
      <c r="F212" s="111" t="str">
        <f>VLOOKUP($B212,ma!$A:$B,2,0)</f>
        <v>THANH MINH Q6</v>
      </c>
      <c r="G212" s="112" t="s">
        <v>1686</v>
      </c>
      <c r="H212" s="113" t="s">
        <v>1564</v>
      </c>
      <c r="I212" s="114"/>
      <c r="J212" s="109"/>
      <c r="K212" s="116">
        <v>1.8</v>
      </c>
      <c r="L212" s="117">
        <f>K212*50000</f>
        <v>90000</v>
      </c>
      <c r="M212" s="114"/>
      <c r="N212" s="118"/>
      <c r="O212" s="118">
        <v>1</v>
      </c>
      <c r="P212" s="114">
        <f>VLOOKUP($B212,ma!$A:$C,3,0)</f>
        <v>800000</v>
      </c>
      <c r="Q212" s="114">
        <f>VLOOKUP($B212,ma!$A:$C,3,0)</f>
        <v>800000</v>
      </c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</row>
    <row r="213" spans="1:27" ht="15">
      <c r="A213" s="107">
        <f t="shared" si="31"/>
        <v>11</v>
      </c>
      <c r="B213" s="108" t="s">
        <v>866</v>
      </c>
      <c r="C213" s="109" t="s">
        <v>1655</v>
      </c>
      <c r="D213" s="110">
        <v>46088</v>
      </c>
      <c r="E213" s="109" t="str">
        <f>VLOOKUP($C213,xe!$A:$B,2,0)</f>
        <v>50H-70216</v>
      </c>
      <c r="F213" s="111" t="str">
        <f>VLOOKUP($B213,ma!$A:$B,2,0)</f>
        <v>XUÂN VÂN ( K BX )</v>
      </c>
      <c r="G213" s="112" t="s">
        <v>1687</v>
      </c>
      <c r="H213" s="113" t="s">
        <v>1564</v>
      </c>
      <c r="I213" s="114"/>
      <c r="J213" s="109"/>
      <c r="K213" s="116">
        <v>1.8</v>
      </c>
      <c r="L213" s="117">
        <v>50000</v>
      </c>
      <c r="M213" s="114"/>
      <c r="N213" s="118"/>
      <c r="O213" s="118">
        <v>1</v>
      </c>
      <c r="P213" s="114">
        <f>VLOOKUP($B213,ma!$A:$C,3,0)</f>
        <v>800000</v>
      </c>
      <c r="Q213" s="114">
        <f>VLOOKUP($B213,ma!$A:$C,3,0)</f>
        <v>800000</v>
      </c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</row>
    <row r="214" spans="1:27" ht="15">
      <c r="A214" s="107">
        <f t="shared" si="31"/>
        <v>12</v>
      </c>
      <c r="B214" s="108" t="s">
        <v>866</v>
      </c>
      <c r="C214" s="109" t="s">
        <v>18</v>
      </c>
      <c r="D214" s="110">
        <v>46088</v>
      </c>
      <c r="E214" s="109" t="str">
        <f>VLOOKUP($C214,xe!$A:$B,2,0)</f>
        <v>50H-54580</v>
      </c>
      <c r="F214" s="111" t="str">
        <f>VLOOKUP($B214,ma!$A:$B,2,0)</f>
        <v>XUÂN VÂN ( K BX )</v>
      </c>
      <c r="G214" s="112" t="s">
        <v>1688</v>
      </c>
      <c r="H214" s="113" t="s">
        <v>1564</v>
      </c>
      <c r="I214" s="114"/>
      <c r="J214" s="109"/>
      <c r="K214" s="116">
        <v>1.8</v>
      </c>
      <c r="L214" s="117">
        <v>50000</v>
      </c>
      <c r="M214" s="114"/>
      <c r="N214" s="118"/>
      <c r="O214" s="118">
        <v>1</v>
      </c>
      <c r="P214" s="114">
        <f>VLOOKUP($B214,ma!$A:$C,3,0)</f>
        <v>800000</v>
      </c>
      <c r="Q214" s="114">
        <f>VLOOKUP($B214,ma!$A:$C,3,0)</f>
        <v>800000</v>
      </c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</row>
    <row r="215" spans="1:27" ht="15">
      <c r="A215" s="107">
        <f t="shared" si="31"/>
        <v>13</v>
      </c>
      <c r="B215" s="108" t="s">
        <v>866</v>
      </c>
      <c r="C215" s="109" t="s">
        <v>1651</v>
      </c>
      <c r="D215" s="110">
        <v>46088</v>
      </c>
      <c r="E215" s="109" t="str">
        <f>VLOOKUP($C215,xe!$A:$B,2,0)</f>
        <v>50H-64316</v>
      </c>
      <c r="F215" s="111" t="str">
        <f>VLOOKUP($B215,ma!$A:$B,2,0)</f>
        <v>XUÂN VÂN ( K BX )</v>
      </c>
      <c r="G215" s="112" t="s">
        <v>1689</v>
      </c>
      <c r="H215" s="113" t="s">
        <v>1564</v>
      </c>
      <c r="I215" s="114"/>
      <c r="J215" s="109"/>
      <c r="K215" s="116">
        <v>1.8</v>
      </c>
      <c r="L215" s="117">
        <v>50000</v>
      </c>
      <c r="M215" s="114"/>
      <c r="N215" s="118"/>
      <c r="O215" s="118">
        <v>1</v>
      </c>
      <c r="P215" s="114">
        <f>VLOOKUP($B215,ma!$A:$C,3,0)</f>
        <v>800000</v>
      </c>
      <c r="Q215" s="114">
        <f>VLOOKUP($B215,ma!$A:$C,3,0)</f>
        <v>800000</v>
      </c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</row>
    <row r="216" spans="1:27" ht="15">
      <c r="A216" s="107">
        <f t="shared" si="31"/>
        <v>14</v>
      </c>
      <c r="B216" s="108" t="s">
        <v>1099</v>
      </c>
      <c r="C216" s="109" t="s">
        <v>1500</v>
      </c>
      <c r="D216" s="110">
        <v>46088</v>
      </c>
      <c r="E216" s="109" t="str">
        <f>VLOOKUP($C216,xe!$A:$B,2,0)</f>
        <v>50H 87442</v>
      </c>
      <c r="F216" s="111" t="str">
        <f>VLOOKUP($B216,ma!$A:$B,2,0)</f>
        <v>E MART SALA</v>
      </c>
      <c r="G216" s="112" t="s">
        <v>1690</v>
      </c>
      <c r="H216" s="113" t="s">
        <v>1564</v>
      </c>
      <c r="I216" s="114"/>
      <c r="J216" s="115" t="s">
        <v>140</v>
      </c>
      <c r="K216" s="116">
        <v>1</v>
      </c>
      <c r="L216" s="117">
        <f>K216*50000</f>
        <v>50000</v>
      </c>
      <c r="M216" s="127">
        <v>300000</v>
      </c>
      <c r="N216" s="131" t="s">
        <v>1691</v>
      </c>
      <c r="O216" s="118">
        <v>1</v>
      </c>
      <c r="P216" s="114">
        <f>VLOOKUP($B216,ma!$A:$C,3,0)</f>
        <v>800000</v>
      </c>
      <c r="Q216" s="114">
        <f>VLOOKUP($B216,ma!$A:$C,3,0)</f>
        <v>800000</v>
      </c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</row>
    <row r="217" spans="1:27" ht="15">
      <c r="A217" s="107">
        <f t="shared" si="31"/>
        <v>15</v>
      </c>
      <c r="B217" s="108" t="s">
        <v>1097</v>
      </c>
      <c r="C217" s="109" t="s">
        <v>19</v>
      </c>
      <c r="D217" s="110">
        <v>46088</v>
      </c>
      <c r="E217" s="109" t="str">
        <f>VLOOKUP($C217,xe!$A:$B,2,0)</f>
        <v>51H -88294</v>
      </c>
      <c r="F217" s="111" t="str">
        <f>VLOOKUP($B217,ma!$A:$B,2,0)</f>
        <v>E MART GÒ VẤP</v>
      </c>
      <c r="G217" s="112" t="s">
        <v>1692</v>
      </c>
      <c r="H217" s="113" t="s">
        <v>1564</v>
      </c>
      <c r="I217" s="114"/>
      <c r="J217" s="115" t="s">
        <v>140</v>
      </c>
      <c r="K217" s="116">
        <v>1.6</v>
      </c>
      <c r="L217" s="134">
        <v>160000</v>
      </c>
      <c r="M217" s="127">
        <v>300000</v>
      </c>
      <c r="N217" s="131" t="s">
        <v>1691</v>
      </c>
      <c r="O217" s="118">
        <v>1</v>
      </c>
      <c r="P217" s="114">
        <f>VLOOKUP($B217,ma!$A:$C,3,0)</f>
        <v>800000</v>
      </c>
      <c r="Q217" s="114">
        <f>VLOOKUP($B217,ma!$A:$C,3,0)</f>
        <v>800000</v>
      </c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</row>
    <row r="218" spans="1:27" ht="15">
      <c r="A218" s="107">
        <f t="shared" si="31"/>
        <v>16</v>
      </c>
      <c r="B218" s="108" t="s">
        <v>1097</v>
      </c>
      <c r="C218" s="109" t="s">
        <v>1662</v>
      </c>
      <c r="D218" s="110">
        <v>46088</v>
      </c>
      <c r="E218" s="109" t="str">
        <f>VLOOKUP($C218,xe!$A:$B,2,0)</f>
        <v>50H-74619</v>
      </c>
      <c r="F218" s="111" t="str">
        <f>VLOOKUP($B218,ma!$A:$B,2,0)</f>
        <v>E MART GÒ VẤP</v>
      </c>
      <c r="G218" s="112" t="s">
        <v>1693</v>
      </c>
      <c r="H218" s="113" t="s">
        <v>1564</v>
      </c>
      <c r="I218" s="114"/>
      <c r="J218" s="115" t="s">
        <v>140</v>
      </c>
      <c r="K218" s="116">
        <v>1.6</v>
      </c>
      <c r="L218" s="134">
        <v>160000</v>
      </c>
      <c r="M218" s="127">
        <v>300000</v>
      </c>
      <c r="N218" s="131" t="s">
        <v>1691</v>
      </c>
      <c r="O218" s="118">
        <v>1</v>
      </c>
      <c r="P218" s="114">
        <f>VLOOKUP($B218,ma!$A:$C,3,0)</f>
        <v>800000</v>
      </c>
      <c r="Q218" s="114">
        <f>VLOOKUP($B218,ma!$A:$C,3,0)</f>
        <v>800000</v>
      </c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</row>
    <row r="219" spans="1:27" ht="15">
      <c r="A219" s="107">
        <f t="shared" si="31"/>
        <v>17</v>
      </c>
      <c r="B219" s="108" t="s">
        <v>1097</v>
      </c>
      <c r="C219" s="109" t="s">
        <v>1577</v>
      </c>
      <c r="D219" s="110">
        <v>46088</v>
      </c>
      <c r="E219" s="109" t="str">
        <f>VLOOKUP($C219,xe!$A:$B,2,0)</f>
        <v>50H-63174</v>
      </c>
      <c r="F219" s="111" t="str">
        <f>VLOOKUP($B219,ma!$A:$B,2,0)</f>
        <v>E MART GÒ VẤP</v>
      </c>
      <c r="G219" s="112" t="s">
        <v>1694</v>
      </c>
      <c r="H219" s="113" t="s">
        <v>1564</v>
      </c>
      <c r="I219" s="114"/>
      <c r="J219" s="115" t="s">
        <v>140</v>
      </c>
      <c r="K219" s="116">
        <v>1.6</v>
      </c>
      <c r="L219" s="134">
        <v>160000</v>
      </c>
      <c r="M219" s="127">
        <v>300000</v>
      </c>
      <c r="N219" s="131" t="s">
        <v>1691</v>
      </c>
      <c r="O219" s="118">
        <v>1</v>
      </c>
      <c r="P219" s="114">
        <f>VLOOKUP($B219,ma!$A:$C,3,0)</f>
        <v>800000</v>
      </c>
      <c r="Q219" s="114">
        <f>VLOOKUP($B219,ma!$A:$C,3,0)</f>
        <v>800000</v>
      </c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</row>
    <row r="220" spans="1:27" ht="15">
      <c r="A220" s="137">
        <v>1</v>
      </c>
      <c r="B220" s="138" t="s">
        <v>1452</v>
      </c>
      <c r="C220" s="139" t="s">
        <v>1669</v>
      </c>
      <c r="D220" s="140">
        <v>46090</v>
      </c>
      <c r="E220" s="139" t="str">
        <f>VLOOKUP($C220,xe!$A:$B,2,0)</f>
        <v>50H-69501</v>
      </c>
      <c r="F220" s="141" t="str">
        <f>VLOOKUP($B220,ma!$A:$B,2,0)</f>
        <v>E MART SALA</v>
      </c>
      <c r="G220" s="142" t="s">
        <v>1695</v>
      </c>
      <c r="H220" s="126" t="s">
        <v>1516</v>
      </c>
      <c r="I220" s="132"/>
      <c r="J220" s="115" t="s">
        <v>140</v>
      </c>
      <c r="K220" s="129">
        <v>1.4</v>
      </c>
      <c r="L220" s="143">
        <f t="shared" ref="L220:L222" si="32">K220*50000</f>
        <v>70000</v>
      </c>
      <c r="M220" s="132"/>
      <c r="N220" s="144"/>
      <c r="O220" s="144">
        <v>1</v>
      </c>
      <c r="P220" s="132">
        <v>800000</v>
      </c>
      <c r="Q220" s="132">
        <v>960000</v>
      </c>
      <c r="R220" s="146">
        <v>0.2</v>
      </c>
      <c r="S220" s="119"/>
      <c r="T220" s="119"/>
      <c r="U220" s="119"/>
      <c r="V220" s="119"/>
      <c r="W220" s="119"/>
      <c r="X220" s="119"/>
      <c r="Y220" s="119"/>
      <c r="Z220" s="119"/>
      <c r="AA220" s="119"/>
    </row>
    <row r="221" spans="1:27" ht="15">
      <c r="A221" s="107">
        <f t="shared" ref="A221:A259" si="33">A220+1</f>
        <v>2</v>
      </c>
      <c r="B221" s="108" t="s">
        <v>1452</v>
      </c>
      <c r="C221" s="109" t="s">
        <v>1657</v>
      </c>
      <c r="D221" s="110">
        <v>46090</v>
      </c>
      <c r="E221" s="109" t="str">
        <f>VLOOKUP($C221,xe!$A:$B,2,0)</f>
        <v>50H-64470</v>
      </c>
      <c r="F221" s="111" t="str">
        <f>VLOOKUP($B221,ma!$A:$B,2,0)</f>
        <v>E MART SALA</v>
      </c>
      <c r="G221" s="112" t="s">
        <v>1696</v>
      </c>
      <c r="H221" s="113" t="s">
        <v>1516</v>
      </c>
      <c r="I221" s="114"/>
      <c r="J221" s="115" t="s">
        <v>140</v>
      </c>
      <c r="K221" s="116">
        <v>1.4</v>
      </c>
      <c r="L221" s="117">
        <f t="shared" si="32"/>
        <v>70000</v>
      </c>
      <c r="M221" s="114"/>
      <c r="N221" s="118"/>
      <c r="O221" s="118">
        <v>1</v>
      </c>
      <c r="P221" s="114">
        <v>800000</v>
      </c>
      <c r="Q221" s="132">
        <v>960000</v>
      </c>
      <c r="R221" s="146">
        <v>0.2</v>
      </c>
      <c r="S221" s="119"/>
      <c r="T221" s="119"/>
      <c r="U221" s="119"/>
      <c r="V221" s="119"/>
      <c r="W221" s="119"/>
      <c r="X221" s="119"/>
      <c r="Y221" s="119"/>
      <c r="Z221" s="119"/>
      <c r="AA221" s="119"/>
    </row>
    <row r="222" spans="1:27" ht="15">
      <c r="A222" s="107">
        <f t="shared" si="33"/>
        <v>3</v>
      </c>
      <c r="B222" s="108" t="s">
        <v>1514</v>
      </c>
      <c r="C222" s="109" t="s">
        <v>1490</v>
      </c>
      <c r="D222" s="110">
        <v>46090</v>
      </c>
      <c r="E222" s="109" t="str">
        <f>VLOOKUP($C222,xe!$A:$B,2,0)</f>
        <v>50H-44024</v>
      </c>
      <c r="F222" s="111" t="str">
        <f>VLOOKUP($B222,ma!$A:$B,2,0)</f>
        <v>EMART P.H.ÍCH</v>
      </c>
      <c r="G222" s="112" t="s">
        <v>1697</v>
      </c>
      <c r="H222" s="113" t="s">
        <v>1516</v>
      </c>
      <c r="I222" s="114"/>
      <c r="J222" s="115" t="s">
        <v>140</v>
      </c>
      <c r="K222" s="116">
        <v>1</v>
      </c>
      <c r="L222" s="117">
        <f t="shared" si="32"/>
        <v>50000</v>
      </c>
      <c r="M222" s="114"/>
      <c r="N222" s="118"/>
      <c r="O222" s="118">
        <v>1</v>
      </c>
      <c r="P222" s="114">
        <v>800000</v>
      </c>
      <c r="Q222" s="132">
        <v>960000</v>
      </c>
      <c r="R222" s="146">
        <v>0.2</v>
      </c>
      <c r="S222" s="119"/>
      <c r="T222" s="119"/>
      <c r="U222" s="119"/>
      <c r="V222" s="119"/>
      <c r="W222" s="119"/>
      <c r="X222" s="119"/>
      <c r="Y222" s="119"/>
      <c r="Z222" s="119"/>
      <c r="AA222" s="119"/>
    </row>
    <row r="223" spans="1:27" ht="15">
      <c r="A223" s="107">
        <f t="shared" si="33"/>
        <v>4</v>
      </c>
      <c r="B223" s="108" t="s">
        <v>1499</v>
      </c>
      <c r="C223" s="109" t="s">
        <v>66</v>
      </c>
      <c r="D223" s="110">
        <v>46090</v>
      </c>
      <c r="E223" s="109" t="str">
        <f>VLOOKUP($C223,xe!$A:$B,2,0)</f>
        <v>50H-92136</v>
      </c>
      <c r="F223" s="111" t="str">
        <f>VLOOKUP($B223,ma!$A:$B,2,0)</f>
        <v>BHX ( VL)</v>
      </c>
      <c r="G223" s="112" t="s">
        <v>1698</v>
      </c>
      <c r="H223" s="113" t="s">
        <v>1699</v>
      </c>
      <c r="I223" s="114"/>
      <c r="J223" s="115" t="s">
        <v>455</v>
      </c>
      <c r="K223" s="116">
        <v>1.2</v>
      </c>
      <c r="L223" s="117">
        <f>K223*80000</f>
        <v>96000</v>
      </c>
      <c r="M223" s="114"/>
      <c r="N223" s="118"/>
      <c r="O223" s="118">
        <v>1</v>
      </c>
      <c r="P223" s="114">
        <v>800000</v>
      </c>
      <c r="Q223" s="132">
        <v>960000</v>
      </c>
      <c r="R223" s="146">
        <v>0.2</v>
      </c>
      <c r="S223" s="119"/>
      <c r="T223" s="119"/>
      <c r="U223" s="119"/>
      <c r="V223" s="119"/>
      <c r="W223" s="119"/>
      <c r="X223" s="119"/>
      <c r="Y223" s="119"/>
      <c r="Z223" s="119"/>
      <c r="AA223" s="119"/>
    </row>
    <row r="224" spans="1:27" ht="15">
      <c r="A224" s="107">
        <f t="shared" si="33"/>
        <v>5</v>
      </c>
      <c r="B224" s="108" t="s">
        <v>1124</v>
      </c>
      <c r="C224" s="109" t="s">
        <v>64</v>
      </c>
      <c r="D224" s="110">
        <v>46090</v>
      </c>
      <c r="E224" s="109" t="str">
        <f>VLOOKUP($C224,xe!$A:$B,2,0)</f>
        <v>50H-60635</v>
      </c>
      <c r="F224" s="111" t="str">
        <f>VLOOKUP($B224,ma!$A:$B,2,0)</f>
        <v>SATRA VIETTEL</v>
      </c>
      <c r="G224" s="112" t="s">
        <v>1700</v>
      </c>
      <c r="H224" s="113" t="s">
        <v>1615</v>
      </c>
      <c r="I224" s="114"/>
      <c r="J224" s="120" t="s">
        <v>1407</v>
      </c>
      <c r="K224" s="116">
        <v>1</v>
      </c>
      <c r="L224" s="117">
        <f t="shared" ref="L224:L227" si="34">K224*50000</f>
        <v>50000</v>
      </c>
      <c r="M224" s="114"/>
      <c r="N224" s="118"/>
      <c r="O224" s="118">
        <v>1</v>
      </c>
      <c r="P224" s="114">
        <v>800000</v>
      </c>
      <c r="Q224" s="132">
        <v>960000</v>
      </c>
      <c r="R224" s="146">
        <v>0.2</v>
      </c>
      <c r="S224" s="119"/>
      <c r="T224" s="119"/>
      <c r="U224" s="119"/>
      <c r="V224" s="119"/>
      <c r="W224" s="119"/>
      <c r="X224" s="119"/>
      <c r="Y224" s="119"/>
      <c r="Z224" s="119"/>
      <c r="AA224" s="119"/>
    </row>
    <row r="225" spans="1:27" ht="15">
      <c r="A225" s="107">
        <f t="shared" si="33"/>
        <v>6</v>
      </c>
      <c r="B225" s="108" t="s">
        <v>1462</v>
      </c>
      <c r="C225" s="109" t="s">
        <v>1651</v>
      </c>
      <c r="D225" s="110">
        <v>46090</v>
      </c>
      <c r="E225" s="109" t="str">
        <f>VLOOKUP($C225,xe!$A:$B,2,0)</f>
        <v>50H-64316</v>
      </c>
      <c r="F225" s="111" t="str">
        <f>VLOOKUP($B225,ma!$A:$B,2,0)</f>
        <v>M. AN PHÚ</v>
      </c>
      <c r="G225" s="112" t="s">
        <v>1405</v>
      </c>
      <c r="H225" s="113" t="s">
        <v>1516</v>
      </c>
      <c r="I225" s="114"/>
      <c r="J225" s="120" t="s">
        <v>1407</v>
      </c>
      <c r="K225" s="116">
        <v>1.8</v>
      </c>
      <c r="L225" s="117">
        <f t="shared" si="34"/>
        <v>90000</v>
      </c>
      <c r="M225" s="114">
        <v>30000</v>
      </c>
      <c r="N225" s="118" t="s">
        <v>1423</v>
      </c>
      <c r="O225" s="118">
        <v>1</v>
      </c>
      <c r="P225" s="114">
        <v>800000</v>
      </c>
      <c r="Q225" s="132">
        <v>960000</v>
      </c>
      <c r="R225" s="146">
        <v>0.2</v>
      </c>
      <c r="S225" s="119"/>
      <c r="T225" s="119"/>
      <c r="U225" s="119"/>
      <c r="V225" s="119"/>
      <c r="W225" s="119"/>
      <c r="X225" s="119"/>
      <c r="Y225" s="119"/>
      <c r="Z225" s="119"/>
      <c r="AA225" s="119"/>
    </row>
    <row r="226" spans="1:27" ht="15">
      <c r="A226" s="107">
        <f t="shared" si="33"/>
        <v>7</v>
      </c>
      <c r="B226" s="108" t="s">
        <v>1462</v>
      </c>
      <c r="C226" s="109" t="s">
        <v>1493</v>
      </c>
      <c r="D226" s="110">
        <v>46090</v>
      </c>
      <c r="E226" s="109" t="str">
        <f>VLOOKUP($C226,xe!$A:$B,2,0)</f>
        <v>50H-55161</v>
      </c>
      <c r="F226" s="111" t="str">
        <f>VLOOKUP($B226,ma!$A:$B,2,0)</f>
        <v>M. AN PHÚ</v>
      </c>
      <c r="G226" s="112" t="s">
        <v>1405</v>
      </c>
      <c r="H226" s="113" t="s">
        <v>1516</v>
      </c>
      <c r="I226" s="114"/>
      <c r="J226" s="120" t="s">
        <v>1407</v>
      </c>
      <c r="K226" s="116">
        <v>1.8</v>
      </c>
      <c r="L226" s="117">
        <f t="shared" si="34"/>
        <v>90000</v>
      </c>
      <c r="M226" s="114">
        <v>30000</v>
      </c>
      <c r="N226" s="118" t="s">
        <v>1423</v>
      </c>
      <c r="O226" s="118">
        <v>1</v>
      </c>
      <c r="P226" s="114">
        <v>800000</v>
      </c>
      <c r="Q226" s="132">
        <v>960000</v>
      </c>
      <c r="R226" s="146">
        <v>0.2</v>
      </c>
      <c r="S226" s="119"/>
      <c r="T226" s="119"/>
      <c r="U226" s="119"/>
      <c r="V226" s="119"/>
      <c r="W226" s="119"/>
      <c r="X226" s="119"/>
      <c r="Y226" s="119"/>
      <c r="Z226" s="119"/>
      <c r="AA226" s="119"/>
    </row>
    <row r="227" spans="1:27" ht="15">
      <c r="A227" s="107">
        <f t="shared" si="33"/>
        <v>8</v>
      </c>
      <c r="B227" s="108" t="s">
        <v>1462</v>
      </c>
      <c r="C227" s="109" t="s">
        <v>68</v>
      </c>
      <c r="D227" s="110">
        <v>46090</v>
      </c>
      <c r="E227" s="109" t="str">
        <f>VLOOKUP($C227,xe!$A:$B,2,0)</f>
        <v>50H-55829</v>
      </c>
      <c r="F227" s="111" t="str">
        <f>VLOOKUP($B227,ma!$A:$B,2,0)</f>
        <v>M. AN PHÚ</v>
      </c>
      <c r="G227" s="112" t="s">
        <v>1405</v>
      </c>
      <c r="H227" s="113" t="s">
        <v>1516</v>
      </c>
      <c r="I227" s="114"/>
      <c r="J227" s="120" t="s">
        <v>1407</v>
      </c>
      <c r="K227" s="116">
        <v>1.8</v>
      </c>
      <c r="L227" s="117">
        <f t="shared" si="34"/>
        <v>90000</v>
      </c>
      <c r="M227" s="114"/>
      <c r="N227" s="118"/>
      <c r="O227" s="118">
        <v>1</v>
      </c>
      <c r="P227" s="114">
        <v>800000</v>
      </c>
      <c r="Q227" s="132">
        <v>960000</v>
      </c>
      <c r="R227" s="146">
        <v>0.2</v>
      </c>
      <c r="S227" s="119"/>
      <c r="T227" s="119"/>
      <c r="U227" s="119"/>
      <c r="V227" s="119"/>
      <c r="W227" s="119"/>
      <c r="X227" s="119"/>
      <c r="Y227" s="119"/>
      <c r="Z227" s="119"/>
      <c r="AA227" s="119"/>
    </row>
    <row r="228" spans="1:27" ht="15">
      <c r="A228" s="107">
        <f t="shared" si="33"/>
        <v>9</v>
      </c>
      <c r="B228" s="108" t="s">
        <v>1701</v>
      </c>
      <c r="C228" s="109" t="s">
        <v>58</v>
      </c>
      <c r="D228" s="110">
        <v>46090</v>
      </c>
      <c r="E228" s="109" t="str">
        <f>VLOOKUP($C228,xe!$A:$B,2,0)</f>
        <v>51C-81056</v>
      </c>
      <c r="F228" s="111" t="str">
        <f>VLOOKUP($B228,ma!$A:$B,2,0)</f>
        <v>KFC GÒ VẤP ( K BX )</v>
      </c>
      <c r="G228" s="112" t="s">
        <v>1702</v>
      </c>
      <c r="H228" s="113" t="s">
        <v>1516</v>
      </c>
      <c r="I228" s="114"/>
      <c r="J228" s="109"/>
      <c r="K228" s="116">
        <v>2</v>
      </c>
      <c r="L228" s="117"/>
      <c r="M228" s="114"/>
      <c r="N228" s="118"/>
      <c r="O228" s="118">
        <v>1</v>
      </c>
      <c r="P228" s="114">
        <f>VLOOKUP($B228,ma!$A:$C,3,0)</f>
        <v>800000</v>
      </c>
      <c r="Q228" s="132">
        <v>960000</v>
      </c>
      <c r="R228" s="146">
        <v>0.2</v>
      </c>
      <c r="S228" s="119"/>
      <c r="T228" s="119"/>
      <c r="U228" s="119"/>
      <c r="V228" s="119"/>
      <c r="W228" s="119"/>
      <c r="X228" s="119"/>
      <c r="Y228" s="119"/>
      <c r="Z228" s="119"/>
      <c r="AA228" s="119"/>
    </row>
    <row r="229" spans="1:27" ht="15">
      <c r="A229" s="107">
        <f t="shared" si="33"/>
        <v>10</v>
      </c>
      <c r="B229" s="108" t="s">
        <v>1701</v>
      </c>
      <c r="C229" s="109" t="s">
        <v>19</v>
      </c>
      <c r="D229" s="110">
        <v>46090</v>
      </c>
      <c r="E229" s="109" t="str">
        <f>VLOOKUP($C229,xe!$A:$B,2,0)</f>
        <v>51H -88294</v>
      </c>
      <c r="F229" s="111" t="str">
        <f>VLOOKUP($B229,ma!$A:$B,2,0)</f>
        <v>KFC GÒ VẤP ( K BX )</v>
      </c>
      <c r="G229" s="112" t="s">
        <v>1703</v>
      </c>
      <c r="H229" s="113" t="s">
        <v>1644</v>
      </c>
      <c r="I229" s="114"/>
      <c r="J229" s="109"/>
      <c r="K229" s="116">
        <v>2</v>
      </c>
      <c r="L229" s="117">
        <v>50000</v>
      </c>
      <c r="M229" s="114">
        <v>20000</v>
      </c>
      <c r="N229" s="118" t="s">
        <v>1430</v>
      </c>
      <c r="O229" s="118">
        <v>1</v>
      </c>
      <c r="P229" s="114">
        <f>VLOOKUP($B229,ma!$A:$C,3,0)</f>
        <v>800000</v>
      </c>
      <c r="Q229" s="132">
        <v>960000</v>
      </c>
      <c r="R229" s="146">
        <v>0.2</v>
      </c>
      <c r="S229" s="119"/>
      <c r="T229" s="119"/>
      <c r="U229" s="119"/>
      <c r="V229" s="119"/>
      <c r="W229" s="119"/>
      <c r="X229" s="119"/>
      <c r="Y229" s="119"/>
      <c r="Z229" s="119"/>
      <c r="AA229" s="119"/>
    </row>
    <row r="230" spans="1:27" ht="15">
      <c r="A230" s="107">
        <f t="shared" si="33"/>
        <v>11</v>
      </c>
      <c r="B230" s="108" t="s">
        <v>1701</v>
      </c>
      <c r="C230" s="109" t="s">
        <v>1538</v>
      </c>
      <c r="D230" s="110">
        <v>46090</v>
      </c>
      <c r="E230" s="109" t="str">
        <f>VLOOKUP($C230,xe!$A:$B,2,0)</f>
        <v>62H-01887</v>
      </c>
      <c r="F230" s="111" t="str">
        <f>VLOOKUP($B230,ma!$A:$B,2,0)</f>
        <v>KFC GÒ VẤP ( K BX )</v>
      </c>
      <c r="G230" s="112" t="s">
        <v>1704</v>
      </c>
      <c r="H230" s="113" t="s">
        <v>1615</v>
      </c>
      <c r="I230" s="114"/>
      <c r="J230" s="109"/>
      <c r="K230" s="116">
        <v>2</v>
      </c>
      <c r="L230" s="117"/>
      <c r="M230" s="114"/>
      <c r="N230" s="118"/>
      <c r="O230" s="118">
        <v>1</v>
      </c>
      <c r="P230" s="114">
        <f>VLOOKUP($B230,ma!$A:$C,3,0)</f>
        <v>800000</v>
      </c>
      <c r="Q230" s="132">
        <v>960000</v>
      </c>
      <c r="R230" s="146">
        <v>0.2</v>
      </c>
      <c r="S230" s="119"/>
      <c r="T230" s="119"/>
      <c r="U230" s="119"/>
      <c r="V230" s="119"/>
      <c r="W230" s="119"/>
      <c r="X230" s="119"/>
      <c r="Y230" s="119"/>
      <c r="Z230" s="119"/>
      <c r="AA230" s="119"/>
    </row>
    <row r="231" spans="1:27" ht="15">
      <c r="A231" s="107">
        <f t="shared" si="33"/>
        <v>12</v>
      </c>
      <c r="B231" s="108" t="s">
        <v>1701</v>
      </c>
      <c r="C231" s="109" t="s">
        <v>70</v>
      </c>
      <c r="D231" s="110">
        <v>46090</v>
      </c>
      <c r="E231" s="109" t="str">
        <f>VLOOKUP($C231,xe!$A:$B,2,0)</f>
        <v>50H-86564</v>
      </c>
      <c r="F231" s="111" t="str">
        <f>VLOOKUP($B231,ma!$A:$B,2,0)</f>
        <v>KFC GÒ VẤP ( K BX )</v>
      </c>
      <c r="G231" s="112" t="s">
        <v>1705</v>
      </c>
      <c r="H231" s="113" t="s">
        <v>1516</v>
      </c>
      <c r="I231" s="114"/>
      <c r="J231" s="109"/>
      <c r="K231" s="116">
        <v>2</v>
      </c>
      <c r="L231" s="117"/>
      <c r="M231" s="114"/>
      <c r="N231" s="118"/>
      <c r="O231" s="118">
        <v>1</v>
      </c>
      <c r="P231" s="114">
        <f>VLOOKUP($B231,ma!$A:$C,3,0)</f>
        <v>800000</v>
      </c>
      <c r="Q231" s="132">
        <v>960000</v>
      </c>
      <c r="R231" s="146">
        <v>0.2</v>
      </c>
      <c r="S231" s="119"/>
      <c r="T231" s="119"/>
      <c r="U231" s="119"/>
      <c r="V231" s="119"/>
      <c r="W231" s="119"/>
      <c r="X231" s="119"/>
      <c r="Y231" s="119"/>
      <c r="Z231" s="119"/>
      <c r="AA231" s="119"/>
    </row>
    <row r="232" spans="1:27" ht="15">
      <c r="A232" s="107">
        <f t="shared" si="33"/>
        <v>13</v>
      </c>
      <c r="B232" s="108" t="s">
        <v>1701</v>
      </c>
      <c r="C232" s="109" t="s">
        <v>78</v>
      </c>
      <c r="D232" s="110">
        <v>46090</v>
      </c>
      <c r="E232" s="133" t="str">
        <f>VLOOKUP($C232,xe!$A:$B,2,0)</f>
        <v>50E-565,21</v>
      </c>
      <c r="F232" s="111" t="str">
        <f>VLOOKUP($B232,ma!$A:$B,2,0)</f>
        <v>KFC GÒ VẤP ( K BX )</v>
      </c>
      <c r="G232" s="112" t="s">
        <v>1706</v>
      </c>
      <c r="H232" s="113" t="s">
        <v>1516</v>
      </c>
      <c r="I232" s="114"/>
      <c r="J232" s="109"/>
      <c r="K232" s="116">
        <v>2</v>
      </c>
      <c r="L232" s="117"/>
      <c r="M232" s="114"/>
      <c r="N232" s="118"/>
      <c r="O232" s="118">
        <v>1</v>
      </c>
      <c r="P232" s="114">
        <f>VLOOKUP($B232,ma!$A:$C,3,0)</f>
        <v>800000</v>
      </c>
      <c r="Q232" s="132">
        <v>960000</v>
      </c>
      <c r="R232" s="146">
        <v>0.2</v>
      </c>
      <c r="S232" s="119"/>
      <c r="T232" s="119"/>
      <c r="U232" s="119"/>
      <c r="V232" s="119"/>
      <c r="W232" s="119"/>
      <c r="X232" s="119"/>
      <c r="Y232" s="119"/>
      <c r="Z232" s="119"/>
      <c r="AA232" s="119"/>
    </row>
    <row r="233" spans="1:27" ht="15">
      <c r="A233" s="107">
        <f t="shared" si="33"/>
        <v>14</v>
      </c>
      <c r="B233" s="108" t="s">
        <v>1701</v>
      </c>
      <c r="C233" s="109" t="s">
        <v>1524</v>
      </c>
      <c r="D233" s="110">
        <v>46090</v>
      </c>
      <c r="E233" s="109" t="str">
        <f>VLOOKUP($C233,xe!$A:$B,2,0)</f>
        <v>51D-38021</v>
      </c>
      <c r="F233" s="111" t="str">
        <f>VLOOKUP($B233,ma!$A:$B,2,0)</f>
        <v>KFC GÒ VẤP ( K BX )</v>
      </c>
      <c r="G233" s="112" t="s">
        <v>1707</v>
      </c>
      <c r="H233" s="113" t="s">
        <v>1516</v>
      </c>
      <c r="I233" s="114"/>
      <c r="J233" s="109"/>
      <c r="K233" s="116">
        <v>2</v>
      </c>
      <c r="L233" s="117"/>
      <c r="M233" s="114"/>
      <c r="N233" s="118"/>
      <c r="O233" s="118">
        <v>1</v>
      </c>
      <c r="P233" s="114">
        <f>VLOOKUP($B233,ma!$A:$C,3,0)</f>
        <v>800000</v>
      </c>
      <c r="Q233" s="132">
        <v>960000</v>
      </c>
      <c r="R233" s="146">
        <v>0.2</v>
      </c>
      <c r="S233" s="119"/>
      <c r="T233" s="119"/>
      <c r="U233" s="119"/>
      <c r="V233" s="119"/>
      <c r="W233" s="119"/>
      <c r="X233" s="119"/>
      <c r="Y233" s="119"/>
      <c r="Z233" s="119"/>
      <c r="AA233" s="119"/>
    </row>
    <row r="234" spans="1:27" ht="15">
      <c r="A234" s="107">
        <f t="shared" si="33"/>
        <v>15</v>
      </c>
      <c r="B234" s="108" t="s">
        <v>503</v>
      </c>
      <c r="C234" s="109" t="s">
        <v>1655</v>
      </c>
      <c r="D234" s="110">
        <v>46090</v>
      </c>
      <c r="E234" s="109" t="str">
        <f>VLOOKUP($C234,xe!$A:$B,2,0)</f>
        <v>50H-70216</v>
      </c>
      <c r="F234" s="111" t="str">
        <f>VLOOKUP($B234,ma!$A:$B,2,0)</f>
        <v>Paparotti Tân Phú</v>
      </c>
      <c r="G234" s="112" t="s">
        <v>1708</v>
      </c>
      <c r="H234" s="113" t="s">
        <v>1516</v>
      </c>
      <c r="I234" s="114"/>
      <c r="J234" s="109"/>
      <c r="K234" s="116">
        <v>1.2</v>
      </c>
      <c r="L234" s="117">
        <f t="shared" ref="L234:L238" si="35">K234*50000</f>
        <v>60000</v>
      </c>
      <c r="M234" s="114"/>
      <c r="N234" s="118"/>
      <c r="O234" s="118">
        <v>1</v>
      </c>
      <c r="P234" s="114">
        <f>VLOOKUP($B234,ma!$A:$C,3,0)</f>
        <v>800000</v>
      </c>
      <c r="Q234" s="132">
        <v>960000</v>
      </c>
      <c r="R234" s="146">
        <v>0.2</v>
      </c>
      <c r="S234" s="119"/>
      <c r="T234" s="119"/>
      <c r="U234" s="119"/>
      <c r="V234" s="119"/>
      <c r="W234" s="119"/>
      <c r="X234" s="119"/>
      <c r="Y234" s="119"/>
      <c r="Z234" s="119"/>
      <c r="AA234" s="119"/>
    </row>
    <row r="235" spans="1:27" ht="15">
      <c r="A235" s="107">
        <f t="shared" si="33"/>
        <v>16</v>
      </c>
      <c r="B235" s="108" t="s">
        <v>1576</v>
      </c>
      <c r="C235" s="109" t="s">
        <v>1488</v>
      </c>
      <c r="D235" s="110">
        <v>46090</v>
      </c>
      <c r="E235" s="109" t="str">
        <f>VLOOKUP($C235,xe!$A:$B,2,0)</f>
        <v>50H-66445</v>
      </c>
      <c r="F235" s="111" t="str">
        <f>VLOOKUP($B235,ma!$A:$B,2,0)</f>
        <v>HỒNG Á ( K BX )</v>
      </c>
      <c r="G235" s="112" t="s">
        <v>1709</v>
      </c>
      <c r="H235" s="113" t="s">
        <v>1516</v>
      </c>
      <c r="I235" s="114"/>
      <c r="J235" s="115" t="s">
        <v>1504</v>
      </c>
      <c r="K235" s="116">
        <v>1</v>
      </c>
      <c r="L235" s="117">
        <f t="shared" si="35"/>
        <v>50000</v>
      </c>
      <c r="M235" s="114"/>
      <c r="N235" s="118"/>
      <c r="O235" s="118">
        <v>1</v>
      </c>
      <c r="P235" s="114">
        <f>VLOOKUP($B235,ma!$A:$C,3,0)</f>
        <v>800000</v>
      </c>
      <c r="Q235" s="132">
        <v>960000</v>
      </c>
      <c r="R235" s="146">
        <v>0.2</v>
      </c>
      <c r="S235" s="119"/>
      <c r="T235" s="119"/>
      <c r="U235" s="119"/>
      <c r="V235" s="119"/>
      <c r="W235" s="119"/>
      <c r="X235" s="119"/>
      <c r="Y235" s="119"/>
      <c r="Z235" s="119"/>
      <c r="AA235" s="119"/>
    </row>
    <row r="236" spans="1:27" ht="15">
      <c r="A236" s="107">
        <f t="shared" si="33"/>
        <v>17</v>
      </c>
      <c r="B236" s="108" t="s">
        <v>1710</v>
      </c>
      <c r="C236" s="109" t="s">
        <v>1506</v>
      </c>
      <c r="D236" s="110">
        <v>46090</v>
      </c>
      <c r="E236" s="109" t="str">
        <f>VLOOKUP($C236,xe!$A:$B,2,0)</f>
        <v>50H-55443</v>
      </c>
      <c r="F236" s="111" t="str">
        <f>VLOOKUP($B236,ma!$A:$B,2,0)</f>
        <v>PHONG PHÚ -BC</v>
      </c>
      <c r="G236" s="112" t="s">
        <v>1711</v>
      </c>
      <c r="H236" s="113" t="s">
        <v>1516</v>
      </c>
      <c r="I236" s="114"/>
      <c r="J236" s="115" t="s">
        <v>1712</v>
      </c>
      <c r="K236" s="116">
        <v>2.4</v>
      </c>
      <c r="L236" s="117">
        <f t="shared" si="35"/>
        <v>120000</v>
      </c>
      <c r="M236" s="114"/>
      <c r="N236" s="118"/>
      <c r="O236" s="118">
        <v>1</v>
      </c>
      <c r="P236" s="114">
        <f>VLOOKUP($B236,ma!$A:$C,3,0)</f>
        <v>800000</v>
      </c>
      <c r="Q236" s="132">
        <v>960000</v>
      </c>
      <c r="R236" s="146">
        <v>0.2</v>
      </c>
      <c r="S236" s="119"/>
      <c r="T236" s="119"/>
      <c r="U236" s="119"/>
      <c r="V236" s="119"/>
      <c r="W236" s="119"/>
      <c r="X236" s="119"/>
      <c r="Y236" s="119"/>
      <c r="Z236" s="119"/>
      <c r="AA236" s="119"/>
    </row>
    <row r="237" spans="1:27" ht="15">
      <c r="A237" s="107">
        <f t="shared" si="33"/>
        <v>18</v>
      </c>
      <c r="B237" s="108" t="s">
        <v>1713</v>
      </c>
      <c r="C237" s="109" t="s">
        <v>1502</v>
      </c>
      <c r="D237" s="110">
        <v>46090</v>
      </c>
      <c r="E237" s="109" t="str">
        <f>VLOOKUP($C237,xe!$A:$B,2,0)</f>
        <v>50H-63174</v>
      </c>
      <c r="F237" s="111" t="str">
        <f>VLOOKUP($B237,ma!$A:$B,2,0)</f>
        <v>HÂN PHÚ</v>
      </c>
      <c r="G237" s="112" t="s">
        <v>1714</v>
      </c>
      <c r="H237" s="113" t="s">
        <v>1715</v>
      </c>
      <c r="I237" s="114"/>
      <c r="J237" s="109"/>
      <c r="K237" s="116">
        <v>2.2000000000000002</v>
      </c>
      <c r="L237" s="117">
        <f t="shared" si="35"/>
        <v>110000.00000000001</v>
      </c>
      <c r="M237" s="114"/>
      <c r="N237" s="118"/>
      <c r="O237" s="118">
        <v>1</v>
      </c>
      <c r="P237" s="114">
        <f>VLOOKUP($B237,ma!$A:$C,3,0)</f>
        <v>800000</v>
      </c>
      <c r="Q237" s="132">
        <v>960000</v>
      </c>
      <c r="R237" s="146">
        <v>0.2</v>
      </c>
      <c r="S237" s="119"/>
      <c r="T237" s="119"/>
      <c r="U237" s="119"/>
      <c r="V237" s="119"/>
      <c r="W237" s="119"/>
      <c r="X237" s="119"/>
      <c r="Y237" s="119"/>
      <c r="Z237" s="119"/>
      <c r="AA237" s="119"/>
    </row>
    <row r="238" spans="1:27" ht="15">
      <c r="A238" s="107">
        <f t="shared" si="33"/>
        <v>19</v>
      </c>
      <c r="B238" s="108" t="s">
        <v>1716</v>
      </c>
      <c r="C238" s="109" t="s">
        <v>1546</v>
      </c>
      <c r="D238" s="110">
        <v>46090</v>
      </c>
      <c r="E238" s="109" t="str">
        <f>VLOOKUP($C238,xe!$A:$B,2,0)</f>
        <v>50H-54580</v>
      </c>
      <c r="F238" s="111" t="str">
        <f>VLOOKUP($B238,ma!$A:$B,2,0)</f>
        <v>TA BAKER Q,12</v>
      </c>
      <c r="G238" s="112" t="s">
        <v>1717</v>
      </c>
      <c r="H238" s="113" t="s">
        <v>1516</v>
      </c>
      <c r="I238" s="114"/>
      <c r="J238" s="109"/>
      <c r="K238" s="116">
        <v>2</v>
      </c>
      <c r="L238" s="117">
        <f t="shared" si="35"/>
        <v>100000</v>
      </c>
      <c r="M238" s="114"/>
      <c r="N238" s="118"/>
      <c r="O238" s="118">
        <v>1</v>
      </c>
      <c r="P238" s="114">
        <f>VLOOKUP($B238,ma!$A:$C,3,0)</f>
        <v>800000</v>
      </c>
      <c r="Q238" s="132">
        <v>960000</v>
      </c>
      <c r="R238" s="146">
        <v>0.2</v>
      </c>
      <c r="S238" s="119"/>
      <c r="T238" s="119"/>
      <c r="U238" s="119"/>
      <c r="V238" s="119"/>
      <c r="W238" s="119"/>
      <c r="X238" s="119"/>
      <c r="Y238" s="119"/>
      <c r="Z238" s="119"/>
      <c r="AA238" s="119"/>
    </row>
    <row r="239" spans="1:27" ht="15">
      <c r="A239" s="107">
        <f t="shared" si="33"/>
        <v>20</v>
      </c>
      <c r="B239" s="108" t="s">
        <v>1718</v>
      </c>
      <c r="C239" s="109" t="s">
        <v>1500</v>
      </c>
      <c r="D239" s="110">
        <v>46090</v>
      </c>
      <c r="E239" s="109" t="str">
        <f>VLOOKUP($C239,xe!$A:$B,2,0)</f>
        <v>50H 87442</v>
      </c>
      <c r="F239" s="111" t="str">
        <f>VLOOKUP($B239,ma!$A:$B,2,0)</f>
        <v>NAM VIỆT ĐỖ ( K BX )</v>
      </c>
      <c r="G239" s="112" t="s">
        <v>1719</v>
      </c>
      <c r="H239" s="113" t="s">
        <v>1715</v>
      </c>
      <c r="I239" s="114"/>
      <c r="J239" s="109"/>
      <c r="K239" s="116">
        <v>1.6</v>
      </c>
      <c r="L239" s="117">
        <v>50000</v>
      </c>
      <c r="M239" s="114">
        <v>30000</v>
      </c>
      <c r="N239" s="118"/>
      <c r="O239" s="118">
        <v>1</v>
      </c>
      <c r="P239" s="114">
        <f>VLOOKUP($B239,ma!$A:$C,3,0)</f>
        <v>800000</v>
      </c>
      <c r="Q239" s="132">
        <v>960000</v>
      </c>
      <c r="R239" s="146">
        <v>0.2</v>
      </c>
      <c r="S239" s="119"/>
      <c r="T239" s="119"/>
      <c r="U239" s="119"/>
      <c r="V239" s="119"/>
      <c r="W239" s="119"/>
      <c r="X239" s="119"/>
      <c r="Y239" s="119"/>
      <c r="Z239" s="119"/>
      <c r="AA239" s="119"/>
    </row>
    <row r="240" spans="1:27" ht="15">
      <c r="A240" s="107">
        <f t="shared" si="33"/>
        <v>21</v>
      </c>
      <c r="B240" s="108" t="s">
        <v>1720</v>
      </c>
      <c r="C240" s="109" t="s">
        <v>10</v>
      </c>
      <c r="D240" s="110">
        <v>46090</v>
      </c>
      <c r="E240" s="109" t="str">
        <f>VLOOKUP($C240,xe!$A:$B,2,0)</f>
        <v>50H-50999</v>
      </c>
      <c r="F240" s="111" t="str">
        <f>VLOOKUP($B240,ma!$A:$B,2,0)</f>
        <v>ĐẠT NGỌC</v>
      </c>
      <c r="G240" s="112" t="s">
        <v>1721</v>
      </c>
      <c r="H240" s="113" t="s">
        <v>1615</v>
      </c>
      <c r="I240" s="114"/>
      <c r="J240" s="109"/>
      <c r="K240" s="116">
        <v>1.2</v>
      </c>
      <c r="L240" s="117">
        <f t="shared" ref="L240:L241" si="36">K240*50000</f>
        <v>60000</v>
      </c>
      <c r="M240" s="114"/>
      <c r="N240" s="118"/>
      <c r="O240" s="118">
        <v>1</v>
      </c>
      <c r="P240" s="114">
        <f>VLOOKUP($B240,ma!$A:$C,3,0)</f>
        <v>800000</v>
      </c>
      <c r="Q240" s="132">
        <v>960000</v>
      </c>
      <c r="R240" s="146">
        <v>0.2</v>
      </c>
      <c r="S240" s="119"/>
      <c r="T240" s="119"/>
      <c r="U240" s="119"/>
      <c r="V240" s="119"/>
      <c r="W240" s="119"/>
      <c r="X240" s="119"/>
      <c r="Y240" s="119"/>
      <c r="Z240" s="119"/>
      <c r="AA240" s="119"/>
    </row>
    <row r="241" spans="1:27" ht="15">
      <c r="A241" s="107">
        <f t="shared" si="33"/>
        <v>22</v>
      </c>
      <c r="B241" s="108" t="s">
        <v>1720</v>
      </c>
      <c r="C241" s="109" t="s">
        <v>60</v>
      </c>
      <c r="D241" s="110">
        <v>46090</v>
      </c>
      <c r="E241" s="109" t="str">
        <f>VLOOKUP($C241,xe!$A:$B,2,0)</f>
        <v>50H-11822</v>
      </c>
      <c r="F241" s="111" t="str">
        <f>VLOOKUP($B241,ma!$A:$B,2,0)</f>
        <v>ĐẠT NGỌC</v>
      </c>
      <c r="G241" s="112" t="s">
        <v>1722</v>
      </c>
      <c r="H241" s="113" t="s">
        <v>1516</v>
      </c>
      <c r="I241" s="114"/>
      <c r="J241" s="109"/>
      <c r="K241" s="116">
        <v>1.2</v>
      </c>
      <c r="L241" s="117">
        <f t="shared" si="36"/>
        <v>60000</v>
      </c>
      <c r="M241" s="114"/>
      <c r="N241" s="118"/>
      <c r="O241" s="118">
        <v>1</v>
      </c>
      <c r="P241" s="114">
        <f>VLOOKUP($B241,ma!$A:$C,3,0)</f>
        <v>800000</v>
      </c>
      <c r="Q241" s="132">
        <v>960000</v>
      </c>
      <c r="R241" s="146">
        <v>0.2</v>
      </c>
      <c r="S241" s="119"/>
      <c r="T241" s="119"/>
      <c r="U241" s="119"/>
      <c r="V241" s="119"/>
      <c r="W241" s="119"/>
      <c r="X241" s="119"/>
      <c r="Y241" s="119"/>
      <c r="Z241" s="119"/>
      <c r="AA241" s="119"/>
    </row>
    <row r="242" spans="1:27" ht="15">
      <c r="A242" s="107">
        <f t="shared" si="33"/>
        <v>23</v>
      </c>
      <c r="B242" s="108" t="s">
        <v>1489</v>
      </c>
      <c r="C242" s="109" t="s">
        <v>1502</v>
      </c>
      <c r="D242" s="110">
        <v>46090</v>
      </c>
      <c r="E242" s="109" t="str">
        <f>VLOOKUP($C242,xe!$A:$B,2,0)</f>
        <v>50H-63174</v>
      </c>
      <c r="F242" s="111" t="str">
        <f>VLOOKUP($B242,ma!$A:$B,2,0)</f>
        <v>XUÂN VÂN ( K BX )</v>
      </c>
      <c r="G242" s="112" t="s">
        <v>1723</v>
      </c>
      <c r="H242" s="113" t="s">
        <v>1715</v>
      </c>
      <c r="I242" s="114"/>
      <c r="J242" s="109"/>
      <c r="K242" s="116">
        <v>1.8</v>
      </c>
      <c r="L242" s="117">
        <v>50000</v>
      </c>
      <c r="M242" s="114"/>
      <c r="N242" s="118"/>
      <c r="O242" s="118">
        <v>1</v>
      </c>
      <c r="P242" s="114">
        <f>VLOOKUP($B242,ma!$A:$C,3,0)</f>
        <v>800000</v>
      </c>
      <c r="Q242" s="132">
        <v>960000</v>
      </c>
      <c r="R242" s="146">
        <v>0.2</v>
      </c>
      <c r="S242" s="119"/>
      <c r="T242" s="119"/>
      <c r="U242" s="119"/>
      <c r="V242" s="119"/>
      <c r="W242" s="119"/>
      <c r="X242" s="119"/>
      <c r="Y242" s="119"/>
      <c r="Z242" s="119"/>
      <c r="AA242" s="119"/>
    </row>
    <row r="243" spans="1:27" ht="15">
      <c r="A243" s="107">
        <f t="shared" si="33"/>
        <v>24</v>
      </c>
      <c r="B243" s="108" t="s">
        <v>1489</v>
      </c>
      <c r="C243" s="109" t="s">
        <v>1546</v>
      </c>
      <c r="D243" s="110">
        <v>46090</v>
      </c>
      <c r="E243" s="109" t="str">
        <f>VLOOKUP($C243,xe!$A:$B,2,0)</f>
        <v>50H-54580</v>
      </c>
      <c r="F243" s="111" t="str">
        <f>VLOOKUP($B243,ma!$A:$B,2,0)</f>
        <v>XUÂN VÂN ( K BX )</v>
      </c>
      <c r="G243" s="112" t="s">
        <v>1724</v>
      </c>
      <c r="H243" s="113" t="s">
        <v>1715</v>
      </c>
      <c r="I243" s="114"/>
      <c r="J243" s="109"/>
      <c r="K243" s="116">
        <v>2</v>
      </c>
      <c r="L243" s="117">
        <v>50000</v>
      </c>
      <c r="M243" s="114">
        <v>30000</v>
      </c>
      <c r="N243" s="118" t="s">
        <v>1423</v>
      </c>
      <c r="O243" s="118">
        <v>1</v>
      </c>
      <c r="P243" s="114">
        <f>VLOOKUP($B243,ma!$A:$C,3,0)</f>
        <v>800000</v>
      </c>
      <c r="Q243" s="132">
        <v>960000</v>
      </c>
      <c r="R243" s="146">
        <v>0.2</v>
      </c>
      <c r="S243" s="119"/>
      <c r="T243" s="119"/>
      <c r="U243" s="119"/>
      <c r="V243" s="119"/>
      <c r="W243" s="119"/>
      <c r="X243" s="119"/>
      <c r="Y243" s="119"/>
      <c r="Z243" s="119"/>
      <c r="AA243" s="119"/>
    </row>
    <row r="244" spans="1:27" ht="15">
      <c r="A244" s="107">
        <f t="shared" si="33"/>
        <v>25</v>
      </c>
      <c r="B244" s="108" t="s">
        <v>1471</v>
      </c>
      <c r="C244" s="109" t="s">
        <v>1655</v>
      </c>
      <c r="D244" s="110">
        <v>46090</v>
      </c>
      <c r="E244" s="109" t="str">
        <f>VLOOKUP($C244,xe!$A:$B,2,0)</f>
        <v>50H-70216</v>
      </c>
      <c r="F244" s="111" t="str">
        <f>VLOOKUP($B244,ma!$A:$B,2,0)</f>
        <v>VỊ NGỌT HAPPY ( K BX )</v>
      </c>
      <c r="G244" s="112" t="s">
        <v>1725</v>
      </c>
      <c r="H244" s="113" t="s">
        <v>1516</v>
      </c>
      <c r="I244" s="114"/>
      <c r="J244" s="109"/>
      <c r="K244" s="116">
        <v>2</v>
      </c>
      <c r="L244" s="117">
        <v>50000</v>
      </c>
      <c r="M244" s="114"/>
      <c r="N244" s="118"/>
      <c r="O244" s="118">
        <v>1</v>
      </c>
      <c r="P244" s="114">
        <f>VLOOKUP($B244,ma!$A:$C,3,0)</f>
        <v>800000</v>
      </c>
      <c r="Q244" s="132">
        <v>960000</v>
      </c>
      <c r="R244" s="146">
        <v>0.2</v>
      </c>
      <c r="S244" s="119"/>
      <c r="T244" s="119"/>
      <c r="U244" s="119"/>
      <c r="V244" s="119"/>
      <c r="W244" s="119"/>
      <c r="X244" s="119"/>
      <c r="Y244" s="119"/>
      <c r="Z244" s="119"/>
      <c r="AA244" s="119"/>
    </row>
    <row r="245" spans="1:27" ht="15">
      <c r="A245" s="107">
        <f t="shared" si="33"/>
        <v>26</v>
      </c>
      <c r="B245" s="108" t="s">
        <v>1471</v>
      </c>
      <c r="C245" s="109" t="s">
        <v>1488</v>
      </c>
      <c r="D245" s="110">
        <v>46090</v>
      </c>
      <c r="E245" s="109" t="str">
        <f>VLOOKUP($C245,xe!$A:$B,2,0)</f>
        <v>50H-66445</v>
      </c>
      <c r="F245" s="111" t="str">
        <f>VLOOKUP($B245,ma!$A:$B,2,0)</f>
        <v>VỊ NGỌT HAPPY ( K BX )</v>
      </c>
      <c r="G245" s="112" t="s">
        <v>1726</v>
      </c>
      <c r="H245" s="113" t="s">
        <v>1516</v>
      </c>
      <c r="I245" s="114"/>
      <c r="J245" s="109"/>
      <c r="K245" s="116">
        <v>2</v>
      </c>
      <c r="L245" s="117">
        <v>50000</v>
      </c>
      <c r="M245" s="114"/>
      <c r="N245" s="118"/>
      <c r="O245" s="118">
        <v>1</v>
      </c>
      <c r="P245" s="114">
        <f>VLOOKUP($B245,ma!$A:$C,3,0)</f>
        <v>800000</v>
      </c>
      <c r="Q245" s="132">
        <v>960000</v>
      </c>
      <c r="R245" s="146">
        <v>0.2</v>
      </c>
      <c r="S245" s="119"/>
      <c r="T245" s="119"/>
      <c r="U245" s="119"/>
      <c r="V245" s="119"/>
      <c r="W245" s="119"/>
      <c r="X245" s="119"/>
      <c r="Y245" s="119"/>
      <c r="Z245" s="119"/>
      <c r="AA245" s="119"/>
    </row>
    <row r="246" spans="1:27" ht="15">
      <c r="A246" s="107">
        <f t="shared" si="33"/>
        <v>27</v>
      </c>
      <c r="B246" s="108" t="s">
        <v>1471</v>
      </c>
      <c r="C246" s="109" t="s">
        <v>1506</v>
      </c>
      <c r="D246" s="110">
        <v>46090</v>
      </c>
      <c r="E246" s="109" t="str">
        <f>VLOOKUP($C246,xe!$A:$B,2,0)</f>
        <v>50H-55443</v>
      </c>
      <c r="F246" s="111" t="str">
        <f>VLOOKUP($B246,ma!$A:$B,2,0)</f>
        <v>VỊ NGỌT HAPPY ( K BX )</v>
      </c>
      <c r="G246" s="112" t="s">
        <v>1727</v>
      </c>
      <c r="H246" s="113" t="s">
        <v>1516</v>
      </c>
      <c r="I246" s="114"/>
      <c r="J246" s="109"/>
      <c r="K246" s="116">
        <v>2</v>
      </c>
      <c r="L246" s="117">
        <v>50000</v>
      </c>
      <c r="M246" s="114">
        <v>30000</v>
      </c>
      <c r="N246" s="118" t="s">
        <v>1423</v>
      </c>
      <c r="O246" s="118">
        <v>1</v>
      </c>
      <c r="P246" s="114">
        <f>VLOOKUP($B246,ma!$A:$C,3,0)</f>
        <v>800000</v>
      </c>
      <c r="Q246" s="132">
        <v>960000</v>
      </c>
      <c r="R246" s="146">
        <v>0.2</v>
      </c>
      <c r="S246" s="119"/>
      <c r="T246" s="119"/>
      <c r="U246" s="119"/>
      <c r="V246" s="119"/>
      <c r="W246" s="119"/>
      <c r="X246" s="119"/>
      <c r="Y246" s="119"/>
      <c r="Z246" s="119"/>
      <c r="AA246" s="119"/>
    </row>
    <row r="247" spans="1:27" ht="15">
      <c r="A247" s="107">
        <f t="shared" si="33"/>
        <v>28</v>
      </c>
      <c r="B247" s="108" t="s">
        <v>1471</v>
      </c>
      <c r="C247" s="109" t="s">
        <v>66</v>
      </c>
      <c r="D247" s="110">
        <v>46090</v>
      </c>
      <c r="E247" s="109" t="str">
        <f>VLOOKUP($C247,xe!$A:$B,2,0)</f>
        <v>50H-92136</v>
      </c>
      <c r="F247" s="111" t="str">
        <f>VLOOKUP($B247,ma!$A:$B,2,0)</f>
        <v>VỊ NGỌT HAPPY ( K BX )</v>
      </c>
      <c r="G247" s="112" t="s">
        <v>1728</v>
      </c>
      <c r="H247" s="113" t="s">
        <v>1615</v>
      </c>
      <c r="I247" s="114"/>
      <c r="J247" s="109"/>
      <c r="K247" s="116">
        <v>2</v>
      </c>
      <c r="L247" s="117"/>
      <c r="M247" s="114"/>
      <c r="N247" s="118"/>
      <c r="O247" s="118">
        <v>1</v>
      </c>
      <c r="P247" s="114">
        <f>VLOOKUP($B247,ma!$A:$C,3,0)</f>
        <v>800000</v>
      </c>
      <c r="Q247" s="132">
        <v>960000</v>
      </c>
      <c r="R247" s="146">
        <v>0.2</v>
      </c>
      <c r="S247" s="119"/>
      <c r="T247" s="119"/>
      <c r="U247" s="119"/>
      <c r="V247" s="119"/>
      <c r="W247" s="119"/>
      <c r="X247" s="119"/>
      <c r="Y247" s="119"/>
      <c r="Z247" s="119"/>
      <c r="AA247" s="119"/>
    </row>
    <row r="248" spans="1:27" ht="15">
      <c r="A248" s="107">
        <f t="shared" si="33"/>
        <v>29</v>
      </c>
      <c r="B248" s="108" t="s">
        <v>553</v>
      </c>
      <c r="C248" s="109" t="s">
        <v>72</v>
      </c>
      <c r="D248" s="110">
        <v>46090</v>
      </c>
      <c r="E248" s="109" t="str">
        <f>VLOOKUP($C248,xe!$A:$B,2,0)</f>
        <v>47H-02023</v>
      </c>
      <c r="F248" s="111" t="str">
        <f>VLOOKUP($B248,ma!$A:$B,2,0)</f>
        <v>LÂM BÌNH DƯƠNG</v>
      </c>
      <c r="G248" s="112" t="s">
        <v>1412</v>
      </c>
      <c r="H248" s="113" t="s">
        <v>1412</v>
      </c>
      <c r="I248" s="114"/>
      <c r="J248" s="109"/>
      <c r="K248" s="116">
        <v>2.2000000000000002</v>
      </c>
      <c r="L248" s="117">
        <f t="shared" ref="L248:L257" si="37">K248*50000</f>
        <v>110000.00000000001</v>
      </c>
      <c r="M248" s="114"/>
      <c r="N248" s="118"/>
      <c r="O248" s="118">
        <v>1</v>
      </c>
      <c r="P248" s="114">
        <f>VLOOKUP($B248,ma!$A:$C,3,0)</f>
        <v>900000</v>
      </c>
      <c r="Q248" s="132">
        <v>1080000</v>
      </c>
      <c r="R248" s="146">
        <v>0.2</v>
      </c>
      <c r="S248" s="119"/>
      <c r="T248" s="119"/>
      <c r="U248" s="119"/>
      <c r="V248" s="119"/>
      <c r="W248" s="119"/>
      <c r="X248" s="119"/>
      <c r="Y248" s="119"/>
      <c r="Z248" s="119"/>
      <c r="AA248" s="119"/>
    </row>
    <row r="249" spans="1:27" ht="15">
      <c r="A249" s="107">
        <f t="shared" si="33"/>
        <v>30</v>
      </c>
      <c r="B249" s="108" t="s">
        <v>911</v>
      </c>
      <c r="C249" s="109" t="s">
        <v>74</v>
      </c>
      <c r="D249" s="110">
        <v>46090</v>
      </c>
      <c r="E249" s="109" t="str">
        <f>VLOOKUP($C249,xe!$A:$B,2,0)</f>
        <v>50H-44024</v>
      </c>
      <c r="F249" s="111" t="str">
        <f>VLOOKUP($B249,ma!$A:$B,2,0)</f>
        <v>M. AN PHÚ</v>
      </c>
      <c r="G249" s="112" t="s">
        <v>1729</v>
      </c>
      <c r="H249" s="113" t="s">
        <v>1644</v>
      </c>
      <c r="I249" s="114"/>
      <c r="J249" s="109"/>
      <c r="K249" s="116">
        <v>2</v>
      </c>
      <c r="L249" s="117">
        <f t="shared" si="37"/>
        <v>100000</v>
      </c>
      <c r="M249" s="136"/>
      <c r="N249" s="136"/>
      <c r="O249" s="118">
        <v>1</v>
      </c>
      <c r="P249" s="114">
        <f>VLOOKUP($B249,ma!$A:$C,3,0)</f>
        <v>800000</v>
      </c>
      <c r="Q249" s="132">
        <v>960000</v>
      </c>
      <c r="R249" s="146">
        <v>0.2</v>
      </c>
      <c r="S249" s="119"/>
      <c r="T249" s="119"/>
      <c r="U249" s="119"/>
      <c r="V249" s="119"/>
      <c r="W249" s="119"/>
      <c r="X249" s="119"/>
      <c r="Y249" s="119"/>
      <c r="Z249" s="119"/>
      <c r="AA249" s="119"/>
    </row>
    <row r="250" spans="1:27" ht="15">
      <c r="A250" s="107">
        <f t="shared" si="33"/>
        <v>31</v>
      </c>
      <c r="B250" s="108" t="s">
        <v>911</v>
      </c>
      <c r="C250" s="109" t="s">
        <v>78</v>
      </c>
      <c r="D250" s="110">
        <v>46090</v>
      </c>
      <c r="E250" s="133" t="str">
        <f>VLOOKUP($C250,xe!$A:$B,2,0)</f>
        <v>50E-565,21</v>
      </c>
      <c r="F250" s="111" t="str">
        <f>VLOOKUP($B250,ma!$A:$B,2,0)</f>
        <v>M. AN PHÚ</v>
      </c>
      <c r="G250" s="112" t="s">
        <v>1730</v>
      </c>
      <c r="H250" s="113" t="s">
        <v>1644</v>
      </c>
      <c r="I250" s="114"/>
      <c r="J250" s="109"/>
      <c r="K250" s="116">
        <v>2</v>
      </c>
      <c r="L250" s="117">
        <f t="shared" si="37"/>
        <v>100000</v>
      </c>
      <c r="M250" s="136"/>
      <c r="N250" s="136"/>
      <c r="O250" s="118">
        <v>1</v>
      </c>
      <c r="P250" s="114">
        <f>VLOOKUP($B250,ma!$A:$C,3,0)</f>
        <v>800000</v>
      </c>
      <c r="Q250" s="132">
        <v>960000</v>
      </c>
      <c r="R250" s="146">
        <v>0.2</v>
      </c>
      <c r="S250" s="119"/>
      <c r="T250" s="119"/>
      <c r="U250" s="119"/>
      <c r="V250" s="119"/>
      <c r="W250" s="119"/>
      <c r="X250" s="119"/>
      <c r="Y250" s="119"/>
      <c r="Z250" s="119"/>
      <c r="AA250" s="119"/>
    </row>
    <row r="251" spans="1:27" ht="15">
      <c r="A251" s="107">
        <f t="shared" si="33"/>
        <v>32</v>
      </c>
      <c r="B251" s="108" t="s">
        <v>911</v>
      </c>
      <c r="C251" s="109" t="s">
        <v>1500</v>
      </c>
      <c r="D251" s="110">
        <v>46090</v>
      </c>
      <c r="E251" s="109" t="str">
        <f>VLOOKUP($C251,xe!$A:$B,2,0)</f>
        <v>50H 87442</v>
      </c>
      <c r="F251" s="111" t="str">
        <f>VLOOKUP($B251,ma!$A:$B,2,0)</f>
        <v>M. AN PHÚ</v>
      </c>
      <c r="G251" s="112" t="s">
        <v>1731</v>
      </c>
      <c r="H251" s="113" t="s">
        <v>1644</v>
      </c>
      <c r="I251" s="114"/>
      <c r="J251" s="109"/>
      <c r="K251" s="116">
        <v>2</v>
      </c>
      <c r="L251" s="117">
        <f t="shared" si="37"/>
        <v>100000</v>
      </c>
      <c r="M251" s="131">
        <v>130000</v>
      </c>
      <c r="N251" s="131" t="s">
        <v>1732</v>
      </c>
      <c r="O251" s="118">
        <v>1</v>
      </c>
      <c r="P251" s="114">
        <f>VLOOKUP($B251,ma!$A:$C,3,0)</f>
        <v>800000</v>
      </c>
      <c r="Q251" s="132">
        <v>960000</v>
      </c>
      <c r="R251" s="146">
        <v>0.2</v>
      </c>
      <c r="S251" s="119"/>
      <c r="T251" s="119"/>
      <c r="U251" s="119"/>
      <c r="V251" s="119"/>
      <c r="W251" s="119"/>
      <c r="X251" s="119"/>
      <c r="Y251" s="119"/>
      <c r="Z251" s="119"/>
      <c r="AA251" s="119"/>
    </row>
    <row r="252" spans="1:27" ht="15">
      <c r="A252" s="107">
        <f t="shared" si="33"/>
        <v>33</v>
      </c>
      <c r="B252" s="108" t="s">
        <v>911</v>
      </c>
      <c r="C252" s="109" t="s">
        <v>1657</v>
      </c>
      <c r="D252" s="110">
        <v>46090</v>
      </c>
      <c r="E252" s="109" t="str">
        <f>VLOOKUP($C252,xe!$A:$B,2,0)</f>
        <v>50H-64470</v>
      </c>
      <c r="F252" s="111" t="str">
        <f>VLOOKUP($B252,ma!$A:$B,2,0)</f>
        <v>M. AN PHÚ</v>
      </c>
      <c r="G252" s="112" t="s">
        <v>1733</v>
      </c>
      <c r="H252" s="113" t="s">
        <v>1644</v>
      </c>
      <c r="I252" s="114"/>
      <c r="J252" s="109"/>
      <c r="K252" s="116">
        <v>2</v>
      </c>
      <c r="L252" s="117">
        <f t="shared" si="37"/>
        <v>100000</v>
      </c>
      <c r="M252" s="131">
        <v>100000</v>
      </c>
      <c r="N252" s="131" t="s">
        <v>1734</v>
      </c>
      <c r="O252" s="118">
        <v>1</v>
      </c>
      <c r="P252" s="114">
        <f>VLOOKUP($B252,ma!$A:$C,3,0)</f>
        <v>800000</v>
      </c>
      <c r="Q252" s="132">
        <v>960000</v>
      </c>
      <c r="R252" s="146">
        <v>0.2</v>
      </c>
      <c r="S252" s="119"/>
      <c r="T252" s="119"/>
      <c r="U252" s="119"/>
      <c r="V252" s="119"/>
      <c r="W252" s="119"/>
      <c r="X252" s="119"/>
      <c r="Y252" s="119"/>
      <c r="Z252" s="119"/>
      <c r="AA252" s="119"/>
    </row>
    <row r="253" spans="1:27" ht="15">
      <c r="A253" s="107">
        <f t="shared" si="33"/>
        <v>34</v>
      </c>
      <c r="B253" s="108" t="s">
        <v>911</v>
      </c>
      <c r="C253" s="109" t="s">
        <v>10</v>
      </c>
      <c r="D253" s="110">
        <v>46090</v>
      </c>
      <c r="E253" s="109" t="str">
        <f>VLOOKUP($C253,xe!$A:$B,2,0)</f>
        <v>50H-50999</v>
      </c>
      <c r="F253" s="111" t="str">
        <f>VLOOKUP($B253,ma!$A:$B,2,0)</f>
        <v>M. AN PHÚ</v>
      </c>
      <c r="G253" s="112" t="s">
        <v>1735</v>
      </c>
      <c r="H253" s="113" t="s">
        <v>1644</v>
      </c>
      <c r="I253" s="114"/>
      <c r="J253" s="109"/>
      <c r="K253" s="116">
        <v>2</v>
      </c>
      <c r="L253" s="117">
        <f t="shared" si="37"/>
        <v>100000</v>
      </c>
      <c r="M253" s="131">
        <v>100000</v>
      </c>
      <c r="N253" s="131" t="s">
        <v>1734</v>
      </c>
      <c r="O253" s="118">
        <v>1</v>
      </c>
      <c r="P253" s="114">
        <f>VLOOKUP($B253,ma!$A:$C,3,0)</f>
        <v>800000</v>
      </c>
      <c r="Q253" s="132">
        <v>960000</v>
      </c>
      <c r="R253" s="146">
        <v>0.2</v>
      </c>
      <c r="S253" s="119"/>
      <c r="T253" s="119"/>
      <c r="U253" s="119"/>
      <c r="V253" s="119"/>
      <c r="W253" s="119"/>
      <c r="X253" s="119"/>
      <c r="Y253" s="119"/>
      <c r="Z253" s="119"/>
      <c r="AA253" s="119"/>
    </row>
    <row r="254" spans="1:27" ht="15">
      <c r="A254" s="107">
        <f t="shared" si="33"/>
        <v>35</v>
      </c>
      <c r="B254" s="108" t="s">
        <v>911</v>
      </c>
      <c r="C254" s="109" t="s">
        <v>1669</v>
      </c>
      <c r="D254" s="110">
        <v>46090</v>
      </c>
      <c r="E254" s="109" t="str">
        <f>VLOOKUP($C254,xe!$A:$B,2,0)</f>
        <v>50H-69501</v>
      </c>
      <c r="F254" s="111" t="str">
        <f>VLOOKUP($B254,ma!$A:$B,2,0)</f>
        <v>M. AN PHÚ</v>
      </c>
      <c r="G254" s="112" t="s">
        <v>1736</v>
      </c>
      <c r="H254" s="113" t="s">
        <v>1644</v>
      </c>
      <c r="I254" s="114"/>
      <c r="J254" s="109"/>
      <c r="K254" s="116">
        <v>1.8</v>
      </c>
      <c r="L254" s="117">
        <f t="shared" si="37"/>
        <v>90000</v>
      </c>
      <c r="M254" s="131">
        <v>130000</v>
      </c>
      <c r="N254" s="131" t="s">
        <v>1737</v>
      </c>
      <c r="O254" s="118">
        <v>1</v>
      </c>
      <c r="P254" s="114">
        <f>VLOOKUP($B254,ma!$A:$C,3,0)</f>
        <v>800000</v>
      </c>
      <c r="Q254" s="132">
        <v>960000</v>
      </c>
      <c r="R254" s="146">
        <v>0.2</v>
      </c>
      <c r="S254" s="119"/>
      <c r="T254" s="119"/>
      <c r="U254" s="119"/>
      <c r="V254" s="119"/>
      <c r="W254" s="119"/>
      <c r="X254" s="119"/>
      <c r="Y254" s="119"/>
      <c r="Z254" s="119"/>
      <c r="AA254" s="119"/>
    </row>
    <row r="255" spans="1:27" ht="15">
      <c r="A255" s="107">
        <f t="shared" si="33"/>
        <v>36</v>
      </c>
      <c r="B255" s="108" t="s">
        <v>911</v>
      </c>
      <c r="C255" s="109" t="s">
        <v>1493</v>
      </c>
      <c r="D255" s="110">
        <v>46090</v>
      </c>
      <c r="E255" s="109" t="str">
        <f>VLOOKUP($C255,xe!$A:$B,2,0)</f>
        <v>50H-55161</v>
      </c>
      <c r="F255" s="111" t="str">
        <f>VLOOKUP($B255,ma!$A:$B,2,0)</f>
        <v>M. AN PHÚ</v>
      </c>
      <c r="G255" s="112" t="s">
        <v>1738</v>
      </c>
      <c r="H255" s="113" t="s">
        <v>1644</v>
      </c>
      <c r="I255" s="114"/>
      <c r="J255" s="109"/>
      <c r="K255" s="116">
        <v>2</v>
      </c>
      <c r="L255" s="117">
        <f t="shared" si="37"/>
        <v>100000</v>
      </c>
      <c r="M255" s="131">
        <v>130000</v>
      </c>
      <c r="N255" s="131" t="s">
        <v>1737</v>
      </c>
      <c r="O255" s="118">
        <v>1</v>
      </c>
      <c r="P255" s="114">
        <f>VLOOKUP($B255,ma!$A:$C,3,0)</f>
        <v>800000</v>
      </c>
      <c r="Q255" s="132">
        <v>960000</v>
      </c>
      <c r="R255" s="146">
        <v>0.2</v>
      </c>
      <c r="S255" s="119"/>
      <c r="T255" s="119"/>
      <c r="U255" s="119"/>
      <c r="V255" s="119"/>
      <c r="W255" s="119"/>
      <c r="X255" s="119"/>
      <c r="Y255" s="119"/>
      <c r="Z255" s="119"/>
      <c r="AA255" s="119"/>
    </row>
    <row r="256" spans="1:27" ht="15">
      <c r="A256" s="107">
        <f t="shared" si="33"/>
        <v>37</v>
      </c>
      <c r="B256" s="108" t="s">
        <v>911</v>
      </c>
      <c r="C256" s="109" t="s">
        <v>1651</v>
      </c>
      <c r="D256" s="110">
        <v>46090</v>
      </c>
      <c r="E256" s="109" t="str">
        <f>VLOOKUP($C256,xe!$A:$B,2,0)</f>
        <v>50H-64316</v>
      </c>
      <c r="F256" s="111" t="str">
        <f>VLOOKUP($B256,ma!$A:$B,2,0)</f>
        <v>M. AN PHÚ</v>
      </c>
      <c r="G256" s="112" t="s">
        <v>1739</v>
      </c>
      <c r="H256" s="113" t="s">
        <v>1644</v>
      </c>
      <c r="I256" s="114"/>
      <c r="J256" s="109"/>
      <c r="K256" s="116">
        <v>2</v>
      </c>
      <c r="L256" s="117">
        <f t="shared" si="37"/>
        <v>100000</v>
      </c>
      <c r="M256" s="131">
        <v>160000</v>
      </c>
      <c r="N256" s="131" t="s">
        <v>1740</v>
      </c>
      <c r="O256" s="118">
        <v>1</v>
      </c>
      <c r="P256" s="114">
        <f>VLOOKUP($B256,ma!$A:$C,3,0)</f>
        <v>800000</v>
      </c>
      <c r="Q256" s="132">
        <v>960000</v>
      </c>
      <c r="R256" s="146">
        <v>0.2</v>
      </c>
      <c r="S256" s="119"/>
      <c r="T256" s="119"/>
      <c r="U256" s="119"/>
      <c r="V256" s="119"/>
      <c r="W256" s="119"/>
      <c r="X256" s="119"/>
      <c r="Y256" s="119"/>
      <c r="Z256" s="119"/>
      <c r="AA256" s="119"/>
    </row>
    <row r="257" spans="1:27" ht="15">
      <c r="A257" s="107">
        <f t="shared" si="33"/>
        <v>38</v>
      </c>
      <c r="B257" s="108" t="s">
        <v>1660</v>
      </c>
      <c r="C257" s="109" t="s">
        <v>1502</v>
      </c>
      <c r="D257" s="110">
        <v>46090</v>
      </c>
      <c r="E257" s="109" t="str">
        <f>VLOOKUP($C257,xe!$A:$B,2,0)</f>
        <v>50H-63174</v>
      </c>
      <c r="F257" s="111" t="str">
        <f>VLOOKUP($B257,ma!$A:$B,2,0)</f>
        <v>M. HIỆP PHÚ</v>
      </c>
      <c r="G257" s="112" t="s">
        <v>1405</v>
      </c>
      <c r="H257" s="113" t="s">
        <v>1715</v>
      </c>
      <c r="I257" s="114"/>
      <c r="J257" s="147" t="s">
        <v>1457</v>
      </c>
      <c r="K257" s="116">
        <v>2</v>
      </c>
      <c r="L257" s="117">
        <f t="shared" si="37"/>
        <v>100000</v>
      </c>
      <c r="M257" s="127">
        <v>130000</v>
      </c>
      <c r="N257" s="131" t="s">
        <v>1741</v>
      </c>
      <c r="O257" s="118">
        <v>1</v>
      </c>
      <c r="P257" s="114">
        <f>VLOOKUP($B257,ma!$A:$C,3,0)</f>
        <v>800000</v>
      </c>
      <c r="Q257" s="132">
        <v>960000</v>
      </c>
      <c r="R257" s="146">
        <v>0.2</v>
      </c>
      <c r="S257" s="119"/>
      <c r="T257" s="119"/>
      <c r="U257" s="119"/>
      <c r="V257" s="119"/>
      <c r="W257" s="119"/>
      <c r="X257" s="119"/>
      <c r="Y257" s="119"/>
      <c r="Z257" s="119"/>
      <c r="AA257" s="119"/>
    </row>
    <row r="258" spans="1:27" ht="15">
      <c r="A258" s="107">
        <f t="shared" si="33"/>
        <v>39</v>
      </c>
      <c r="B258" s="108" t="s">
        <v>1526</v>
      </c>
      <c r="C258" s="109" t="s">
        <v>1546</v>
      </c>
      <c r="D258" s="110">
        <v>46090</v>
      </c>
      <c r="E258" s="109" t="str">
        <f>VLOOKUP($C258,xe!$A:$B,2,0)</f>
        <v>50H-54580</v>
      </c>
      <c r="F258" s="111" t="str">
        <f>VLOOKUP($B258,ma!$A:$B,2,0)</f>
        <v xml:space="preserve">KIDO CỦ CHI </v>
      </c>
      <c r="G258" s="112" t="s">
        <v>1742</v>
      </c>
      <c r="H258" s="113" t="s">
        <v>1715</v>
      </c>
      <c r="I258" s="114"/>
      <c r="J258" s="109"/>
      <c r="K258" s="116">
        <v>2.2000000000000002</v>
      </c>
      <c r="L258" s="134">
        <v>210000</v>
      </c>
      <c r="M258" s="114"/>
      <c r="N258" s="118"/>
      <c r="O258" s="118">
        <v>1</v>
      </c>
      <c r="P258" s="114">
        <f>VLOOKUP($B258,ma!$A:$C,3,0)</f>
        <v>900000</v>
      </c>
      <c r="Q258" s="132">
        <v>960000</v>
      </c>
      <c r="R258" s="146">
        <v>0.2</v>
      </c>
      <c r="S258" s="119"/>
      <c r="T258" s="119"/>
      <c r="U258" s="119"/>
      <c r="V258" s="119"/>
      <c r="W258" s="119"/>
      <c r="X258" s="119"/>
      <c r="Y258" s="119"/>
      <c r="Z258" s="119"/>
      <c r="AA258" s="119"/>
    </row>
    <row r="259" spans="1:27" ht="15">
      <c r="A259" s="107">
        <f t="shared" si="33"/>
        <v>40</v>
      </c>
      <c r="B259" s="108" t="s">
        <v>1059</v>
      </c>
      <c r="C259" s="109" t="s">
        <v>1408</v>
      </c>
      <c r="D259" s="110">
        <v>46090</v>
      </c>
      <c r="E259" s="109" t="str">
        <f>VLOOKUP($C259,xe!$A:$B,2,0)</f>
        <v>50H-11822</v>
      </c>
      <c r="F259" s="111" t="str">
        <f>VLOOKUP($B259,ma!$A:$B,2,0)</f>
        <v>BHX ( VL)</v>
      </c>
      <c r="G259" s="112" t="s">
        <v>1743</v>
      </c>
      <c r="H259" s="113" t="s">
        <v>1516</v>
      </c>
      <c r="I259" s="114"/>
      <c r="J259" s="115" t="s">
        <v>455</v>
      </c>
      <c r="K259" s="116">
        <v>2</v>
      </c>
      <c r="L259" s="117">
        <f>K259*80000</f>
        <v>160000</v>
      </c>
      <c r="M259" s="114"/>
      <c r="N259" s="118"/>
      <c r="O259" s="118">
        <v>1</v>
      </c>
      <c r="P259" s="114">
        <f>VLOOKUP($B259,ma!$A:$C,3,0)</f>
        <v>800000</v>
      </c>
      <c r="Q259" s="132">
        <v>960000</v>
      </c>
      <c r="R259" s="146">
        <v>0.2</v>
      </c>
      <c r="S259" s="119"/>
      <c r="T259" s="119"/>
      <c r="U259" s="119"/>
      <c r="V259" s="119"/>
      <c r="W259" s="119"/>
      <c r="X259" s="119"/>
      <c r="Y259" s="119"/>
      <c r="Z259" s="119"/>
      <c r="AA259" s="119"/>
    </row>
    <row r="260" spans="1:27" ht="15">
      <c r="A260" s="137">
        <v>1</v>
      </c>
      <c r="B260" s="138" t="s">
        <v>1514</v>
      </c>
      <c r="C260" s="139" t="s">
        <v>64</v>
      </c>
      <c r="D260" s="140">
        <v>46091</v>
      </c>
      <c r="E260" s="139" t="str">
        <f>VLOOKUP($C260,xe!$A:$B,2,0)</f>
        <v>50H-60635</v>
      </c>
      <c r="F260" s="141" t="str">
        <f>VLOOKUP($B260,ma!$A:$B,2,0)</f>
        <v>EMART P.H.ÍCH</v>
      </c>
      <c r="G260" s="142" t="s">
        <v>1744</v>
      </c>
      <c r="H260" s="126" t="s">
        <v>1615</v>
      </c>
      <c r="I260" s="132"/>
      <c r="J260" s="115" t="s">
        <v>140</v>
      </c>
      <c r="K260" s="129">
        <v>1.4</v>
      </c>
      <c r="L260" s="143">
        <f t="shared" ref="L260:L263" si="38">K260*50000</f>
        <v>70000</v>
      </c>
      <c r="M260" s="132"/>
      <c r="N260" s="144"/>
      <c r="O260" s="144">
        <v>1</v>
      </c>
      <c r="P260" s="132">
        <f>VLOOKUP($B260,ma!$A:$C,3,0)</f>
        <v>800000</v>
      </c>
      <c r="Q260" s="132">
        <v>960000</v>
      </c>
      <c r="R260" s="146">
        <v>0.2</v>
      </c>
      <c r="S260" s="119"/>
      <c r="T260" s="119"/>
      <c r="U260" s="119"/>
      <c r="V260" s="119"/>
      <c r="W260" s="119"/>
      <c r="X260" s="119"/>
      <c r="Y260" s="119"/>
      <c r="Z260" s="119"/>
      <c r="AA260" s="119"/>
    </row>
    <row r="261" spans="1:27" ht="15">
      <c r="A261" s="107">
        <f t="shared" ref="A261:A298" si="39">A260+1</f>
        <v>2</v>
      </c>
      <c r="B261" s="108" t="s">
        <v>1562</v>
      </c>
      <c r="C261" s="109" t="s">
        <v>58</v>
      </c>
      <c r="D261" s="110">
        <v>46091</v>
      </c>
      <c r="E261" s="109" t="str">
        <f>VLOOKUP($C261,xe!$A:$B,2,0)</f>
        <v>51C-81056</v>
      </c>
      <c r="F261" s="111" t="str">
        <f>VLOOKUP($B261,ma!$A:$B,2,0)</f>
        <v>AEON TÂN PHÚ</v>
      </c>
      <c r="G261" s="112" t="s">
        <v>1745</v>
      </c>
      <c r="H261" s="113" t="s">
        <v>1615</v>
      </c>
      <c r="I261" s="114"/>
      <c r="J261" s="115" t="s">
        <v>140</v>
      </c>
      <c r="K261" s="116">
        <v>1.8</v>
      </c>
      <c r="L261" s="117">
        <f t="shared" si="38"/>
        <v>90000</v>
      </c>
      <c r="M261" s="114"/>
      <c r="N261" s="118"/>
      <c r="O261" s="118">
        <v>1</v>
      </c>
      <c r="P261" s="114">
        <f>VLOOKUP($B261,ma!$A:$C,3,0)</f>
        <v>800000</v>
      </c>
      <c r="Q261" s="132">
        <v>960000</v>
      </c>
      <c r="R261" s="146">
        <v>0.2</v>
      </c>
      <c r="S261" s="119"/>
      <c r="T261" s="119"/>
      <c r="U261" s="119"/>
      <c r="V261" s="119"/>
      <c r="W261" s="119"/>
      <c r="X261" s="119"/>
      <c r="Y261" s="119"/>
      <c r="Z261" s="119"/>
      <c r="AA261" s="119"/>
    </row>
    <row r="262" spans="1:27" ht="15">
      <c r="A262" s="107">
        <f t="shared" si="39"/>
        <v>3</v>
      </c>
      <c r="B262" s="108" t="s">
        <v>1562</v>
      </c>
      <c r="C262" s="109" t="s">
        <v>1538</v>
      </c>
      <c r="D262" s="110">
        <v>46091</v>
      </c>
      <c r="E262" s="109" t="str">
        <f>VLOOKUP($C262,xe!$A:$B,2,0)</f>
        <v>62H-01887</v>
      </c>
      <c r="F262" s="111" t="str">
        <f>VLOOKUP($B262,ma!$A:$B,2,0)</f>
        <v>AEON TÂN PHÚ</v>
      </c>
      <c r="G262" s="112" t="s">
        <v>1746</v>
      </c>
      <c r="H262" s="113" t="s">
        <v>1615</v>
      </c>
      <c r="I262" s="114"/>
      <c r="J262" s="115" t="s">
        <v>140</v>
      </c>
      <c r="K262" s="116">
        <v>1.8</v>
      </c>
      <c r="L262" s="117">
        <f t="shared" si="38"/>
        <v>90000</v>
      </c>
      <c r="M262" s="114"/>
      <c r="N262" s="118"/>
      <c r="O262" s="118">
        <v>1</v>
      </c>
      <c r="P262" s="114">
        <f>VLOOKUP($B262,ma!$A:$C,3,0)</f>
        <v>800000</v>
      </c>
      <c r="Q262" s="132">
        <v>960000</v>
      </c>
      <c r="R262" s="146">
        <v>0.2</v>
      </c>
      <c r="S262" s="119"/>
      <c r="T262" s="119"/>
      <c r="U262" s="119"/>
      <c r="V262" s="119"/>
      <c r="W262" s="119"/>
      <c r="X262" s="119"/>
      <c r="Y262" s="119"/>
      <c r="Z262" s="119"/>
      <c r="AA262" s="119"/>
    </row>
    <row r="263" spans="1:27" ht="15">
      <c r="A263" s="107">
        <f t="shared" si="39"/>
        <v>4</v>
      </c>
      <c r="B263" s="108" t="s">
        <v>1747</v>
      </c>
      <c r="C263" s="109" t="s">
        <v>68</v>
      </c>
      <c r="D263" s="110">
        <v>46091</v>
      </c>
      <c r="E263" s="109" t="str">
        <f>VLOOKUP($C263,xe!$A:$B,2,0)</f>
        <v>50H-55829</v>
      </c>
      <c r="F263" s="111" t="str">
        <f>VLOOKUP($B263,ma!$A:$B,2,0)</f>
        <v>SATRA SÀI GÒN</v>
      </c>
      <c r="G263" s="112" t="s">
        <v>1748</v>
      </c>
      <c r="H263" s="113" t="s">
        <v>1715</v>
      </c>
      <c r="I263" s="114"/>
      <c r="J263" s="115" t="s">
        <v>455</v>
      </c>
      <c r="K263" s="116">
        <v>1.4</v>
      </c>
      <c r="L263" s="117">
        <f t="shared" si="38"/>
        <v>70000</v>
      </c>
      <c r="M263" s="114"/>
      <c r="N263" s="118"/>
      <c r="O263" s="118">
        <v>1</v>
      </c>
      <c r="P263" s="114">
        <f>VLOOKUP($B263,ma!$A:$C,3,0)</f>
        <v>800000</v>
      </c>
      <c r="Q263" s="132">
        <v>960000</v>
      </c>
      <c r="R263" s="146">
        <v>0.2</v>
      </c>
      <c r="S263" s="119"/>
      <c r="T263" s="119"/>
      <c r="U263" s="119"/>
      <c r="V263" s="119"/>
      <c r="W263" s="119"/>
      <c r="X263" s="119"/>
      <c r="Y263" s="119"/>
      <c r="Z263" s="119"/>
      <c r="AA263" s="119"/>
    </row>
    <row r="264" spans="1:27" ht="15">
      <c r="A264" s="107">
        <f t="shared" si="39"/>
        <v>5</v>
      </c>
      <c r="B264" s="108" t="s">
        <v>529</v>
      </c>
      <c r="C264" s="109" t="s">
        <v>78</v>
      </c>
      <c r="D264" s="110">
        <v>46091</v>
      </c>
      <c r="E264" s="133" t="str">
        <f>VLOOKUP($C264,xe!$A:$B,2,0)</f>
        <v>50E-565,21</v>
      </c>
      <c r="F264" s="111" t="str">
        <f>VLOOKUP($B264,ma!$A:$B,2,0)</f>
        <v>PHẠM PHAN MES CỦ CHI ( K BX )</v>
      </c>
      <c r="G264" s="112" t="s">
        <v>1749</v>
      </c>
      <c r="H264" s="113" t="s">
        <v>1615</v>
      </c>
      <c r="I264" s="114"/>
      <c r="J264" s="109"/>
      <c r="K264" s="116">
        <v>1.6</v>
      </c>
      <c r="L264" s="117"/>
      <c r="M264" s="114"/>
      <c r="N264" s="118"/>
      <c r="O264" s="118">
        <v>1</v>
      </c>
      <c r="P264" s="114">
        <f>VLOOKUP($B264,ma!$A:$C,3,0)</f>
        <v>900000</v>
      </c>
      <c r="Q264" s="132">
        <v>1050000</v>
      </c>
      <c r="R264" s="146">
        <v>0.2</v>
      </c>
      <c r="S264" s="119"/>
      <c r="T264" s="119"/>
      <c r="U264" s="119"/>
      <c r="V264" s="119"/>
      <c r="W264" s="119"/>
      <c r="X264" s="119"/>
      <c r="Y264" s="119"/>
      <c r="Z264" s="119"/>
      <c r="AA264" s="119"/>
    </row>
    <row r="265" spans="1:27" ht="15">
      <c r="A265" s="107">
        <f t="shared" si="39"/>
        <v>6</v>
      </c>
      <c r="B265" s="108" t="s">
        <v>529</v>
      </c>
      <c r="C265" s="109" t="s">
        <v>1490</v>
      </c>
      <c r="D265" s="110">
        <v>46091</v>
      </c>
      <c r="E265" s="109" t="str">
        <f>VLOOKUP($C265,xe!$A:$B,2,0)</f>
        <v>50H-44024</v>
      </c>
      <c r="F265" s="111" t="str">
        <f>VLOOKUP($B265,ma!$A:$B,2,0)</f>
        <v>PHẠM PHAN MES CỦ CHI ( K BX )</v>
      </c>
      <c r="G265" s="112" t="s">
        <v>1750</v>
      </c>
      <c r="H265" s="113" t="s">
        <v>1615</v>
      </c>
      <c r="I265" s="114"/>
      <c r="J265" s="109"/>
      <c r="K265" s="116">
        <v>1.6</v>
      </c>
      <c r="L265" s="117"/>
      <c r="M265" s="114"/>
      <c r="N265" s="118"/>
      <c r="O265" s="118">
        <v>1</v>
      </c>
      <c r="P265" s="114">
        <f>VLOOKUP($B265,ma!$A:$C,3,0)</f>
        <v>900000</v>
      </c>
      <c r="Q265" s="132">
        <v>1050000</v>
      </c>
      <c r="R265" s="146">
        <v>0.2</v>
      </c>
      <c r="S265" s="119"/>
      <c r="T265" s="119"/>
      <c r="U265" s="119"/>
      <c r="V265" s="119"/>
      <c r="W265" s="119"/>
      <c r="X265" s="119"/>
      <c r="Y265" s="119"/>
      <c r="Z265" s="119"/>
      <c r="AA265" s="119"/>
    </row>
    <row r="266" spans="1:27" ht="15">
      <c r="A266" s="107">
        <f t="shared" si="39"/>
        <v>7</v>
      </c>
      <c r="B266" s="108" t="s">
        <v>1751</v>
      </c>
      <c r="C266" s="109" t="s">
        <v>1524</v>
      </c>
      <c r="D266" s="110">
        <v>46091</v>
      </c>
      <c r="E266" s="109" t="str">
        <f>VLOOKUP($C266,xe!$A:$B,2,0)</f>
        <v>51D-38021</v>
      </c>
      <c r="F266" s="111" t="str">
        <f>VLOOKUP($B266,ma!$A:$B,2,0)</f>
        <v>BIBICA MIỀN TÂY ( KBX )</v>
      </c>
      <c r="G266" s="112" t="s">
        <v>1752</v>
      </c>
      <c r="H266" s="113" t="s">
        <v>1715</v>
      </c>
      <c r="I266" s="114"/>
      <c r="J266" s="109"/>
      <c r="K266" s="116">
        <v>2.2000000000000002</v>
      </c>
      <c r="L266" s="117"/>
      <c r="M266" s="114"/>
      <c r="N266" s="118"/>
      <c r="O266" s="118">
        <v>1</v>
      </c>
      <c r="P266" s="114">
        <f>VLOOKUP($B266,ma!$A:$C,3,0)</f>
        <v>900000</v>
      </c>
      <c r="Q266" s="132">
        <v>1050000</v>
      </c>
      <c r="R266" s="146">
        <v>0.2</v>
      </c>
      <c r="S266" s="119"/>
      <c r="T266" s="119"/>
      <c r="U266" s="119"/>
      <c r="V266" s="119"/>
      <c r="W266" s="119"/>
      <c r="X266" s="119"/>
      <c r="Y266" s="119"/>
      <c r="Z266" s="119"/>
      <c r="AA266" s="119"/>
    </row>
    <row r="267" spans="1:27" ht="15">
      <c r="A267" s="107">
        <f t="shared" si="39"/>
        <v>8</v>
      </c>
      <c r="B267" s="108" t="s">
        <v>1751</v>
      </c>
      <c r="C267" s="109" t="s">
        <v>1522</v>
      </c>
      <c r="D267" s="110">
        <v>46091</v>
      </c>
      <c r="E267" s="109" t="str">
        <f>VLOOKUP($C267,xe!$A:$B,2,0)</f>
        <v>47H-02023</v>
      </c>
      <c r="F267" s="111" t="str">
        <f>VLOOKUP($B267,ma!$A:$B,2,0)</f>
        <v>BIBICA MIỀN TÂY ( KBX )</v>
      </c>
      <c r="G267" s="112" t="s">
        <v>1753</v>
      </c>
      <c r="H267" s="113" t="s">
        <v>1715</v>
      </c>
      <c r="I267" s="114"/>
      <c r="J267" s="109"/>
      <c r="K267" s="116">
        <v>2.2000000000000002</v>
      </c>
      <c r="L267" s="117"/>
      <c r="M267" s="114"/>
      <c r="N267" s="118"/>
      <c r="O267" s="118">
        <v>1</v>
      </c>
      <c r="P267" s="114">
        <f>VLOOKUP($B267,ma!$A:$C,3,0)</f>
        <v>900000</v>
      </c>
      <c r="Q267" s="132">
        <v>1080000</v>
      </c>
      <c r="R267" s="146">
        <v>0.2</v>
      </c>
      <c r="S267" s="119"/>
      <c r="T267" s="119"/>
      <c r="U267" s="119"/>
      <c r="V267" s="119"/>
      <c r="W267" s="119"/>
      <c r="X267" s="119"/>
      <c r="Y267" s="119"/>
      <c r="Z267" s="119"/>
      <c r="AA267" s="119"/>
    </row>
    <row r="268" spans="1:27" ht="15">
      <c r="A268" s="107">
        <f t="shared" si="39"/>
        <v>9</v>
      </c>
      <c r="B268" s="108" t="s">
        <v>1474</v>
      </c>
      <c r="C268" s="109" t="s">
        <v>1662</v>
      </c>
      <c r="D268" s="110">
        <v>46091</v>
      </c>
      <c r="E268" s="109" t="str">
        <f>VLOOKUP($C268,xe!$A:$B,2,0)</f>
        <v>50H-74619</v>
      </c>
      <c r="F268" s="111" t="str">
        <f>VLOOKUP($B268,ma!$A:$B,2,0)</f>
        <v>NGUYỄN TRƯƠNG</v>
      </c>
      <c r="G268" s="112" t="s">
        <v>1754</v>
      </c>
      <c r="H268" s="113" t="s">
        <v>1615</v>
      </c>
      <c r="I268" s="114"/>
      <c r="J268" s="109"/>
      <c r="K268" s="116">
        <v>2.2000000000000002</v>
      </c>
      <c r="L268" s="117">
        <f t="shared" ref="L268:L269" si="40">K268*50000</f>
        <v>110000.00000000001</v>
      </c>
      <c r="M268" s="114"/>
      <c r="N268" s="118"/>
      <c r="O268" s="118">
        <v>1</v>
      </c>
      <c r="P268" s="114">
        <f>VLOOKUP($B268,ma!$A:$C,3,0)</f>
        <v>800000</v>
      </c>
      <c r="Q268" s="132">
        <v>960000</v>
      </c>
      <c r="R268" s="146">
        <v>0.2</v>
      </c>
      <c r="S268" s="119"/>
      <c r="T268" s="119"/>
      <c r="U268" s="119"/>
      <c r="V268" s="119"/>
      <c r="W268" s="119"/>
      <c r="X268" s="119"/>
      <c r="Y268" s="119"/>
      <c r="Z268" s="119"/>
      <c r="AA268" s="119"/>
    </row>
    <row r="269" spans="1:27" ht="15">
      <c r="A269" s="107">
        <f t="shared" si="39"/>
        <v>10</v>
      </c>
      <c r="B269" s="108" t="s">
        <v>1755</v>
      </c>
      <c r="C269" s="109" t="s">
        <v>10</v>
      </c>
      <c r="D269" s="110">
        <v>46091</v>
      </c>
      <c r="E269" s="109" t="str">
        <f>VLOOKUP($C269,xe!$A:$B,2,0)</f>
        <v>50H-50999</v>
      </c>
      <c r="F269" s="111" t="str">
        <f>VLOOKUP($B269,ma!$A:$B,2,0)</f>
        <v>N.HƯNG Q.6</v>
      </c>
      <c r="G269" s="112" t="s">
        <v>1756</v>
      </c>
      <c r="H269" s="113" t="s">
        <v>1620</v>
      </c>
      <c r="I269" s="114"/>
      <c r="J269" s="109"/>
      <c r="K269" s="116">
        <v>1.4</v>
      </c>
      <c r="L269" s="117">
        <f t="shared" si="40"/>
        <v>70000</v>
      </c>
      <c r="M269" s="114"/>
      <c r="N269" s="118"/>
      <c r="O269" s="118">
        <v>1</v>
      </c>
      <c r="P269" s="114">
        <f>VLOOKUP($B269,ma!$A:$C,3,0)</f>
        <v>800000</v>
      </c>
      <c r="Q269" s="132">
        <v>960000</v>
      </c>
      <c r="R269" s="146">
        <v>0.2</v>
      </c>
      <c r="S269" s="119"/>
      <c r="T269" s="119"/>
      <c r="U269" s="119"/>
      <c r="V269" s="119"/>
      <c r="W269" s="119"/>
      <c r="X269" s="119"/>
      <c r="Y269" s="119"/>
      <c r="Z269" s="119"/>
      <c r="AA269" s="119"/>
    </row>
    <row r="270" spans="1:27" ht="15">
      <c r="A270" s="107">
        <f t="shared" si="39"/>
        <v>11</v>
      </c>
      <c r="B270" s="108" t="s">
        <v>1489</v>
      </c>
      <c r="C270" s="109" t="s">
        <v>1493</v>
      </c>
      <c r="D270" s="110">
        <v>46091</v>
      </c>
      <c r="E270" s="109" t="str">
        <f>VLOOKUP($C270,xe!$A:$B,2,0)</f>
        <v>50H-55161</v>
      </c>
      <c r="F270" s="111" t="str">
        <f>VLOOKUP($B270,ma!$A:$B,2,0)</f>
        <v>XUÂN VÂN ( K BX )</v>
      </c>
      <c r="G270" s="112" t="s">
        <v>1757</v>
      </c>
      <c r="H270" s="113" t="s">
        <v>1715</v>
      </c>
      <c r="I270" s="114"/>
      <c r="J270" s="109"/>
      <c r="K270" s="116">
        <v>1.8</v>
      </c>
      <c r="L270" s="117">
        <v>50000</v>
      </c>
      <c r="M270" s="114"/>
      <c r="N270" s="118"/>
      <c r="O270" s="118">
        <v>1</v>
      </c>
      <c r="P270" s="114">
        <f>VLOOKUP($B270,ma!$A:$C,3,0)</f>
        <v>800000</v>
      </c>
      <c r="Q270" s="132">
        <v>960000</v>
      </c>
      <c r="R270" s="146">
        <v>0.2</v>
      </c>
      <c r="S270" s="119"/>
      <c r="T270" s="119"/>
      <c r="U270" s="119"/>
      <c r="V270" s="119"/>
      <c r="W270" s="119"/>
      <c r="X270" s="119"/>
      <c r="Y270" s="119"/>
      <c r="Z270" s="119"/>
      <c r="AA270" s="119"/>
    </row>
    <row r="271" spans="1:27" ht="15">
      <c r="A271" s="107">
        <f t="shared" si="39"/>
        <v>12</v>
      </c>
      <c r="B271" s="108" t="s">
        <v>1758</v>
      </c>
      <c r="C271" s="109" t="s">
        <v>1488</v>
      </c>
      <c r="D271" s="110">
        <v>46091</v>
      </c>
      <c r="E271" s="109" t="str">
        <f>VLOOKUP($C271,xe!$A:$B,2,0)</f>
        <v>50H-66445</v>
      </c>
      <c r="F271" s="111" t="str">
        <f>VLOOKUP($B271,ma!$A:$B,2,0)</f>
        <v>M. BÌNH PHÚ</v>
      </c>
      <c r="G271" s="112" t="s">
        <v>1759</v>
      </c>
      <c r="H271" s="113" t="s">
        <v>1715</v>
      </c>
      <c r="I271" s="114"/>
      <c r="J271" s="109"/>
      <c r="K271" s="116">
        <v>2</v>
      </c>
      <c r="L271" s="117">
        <f t="shared" ref="L271:L280" si="41">K271*50000</f>
        <v>100000</v>
      </c>
      <c r="M271" s="114"/>
      <c r="N271" s="118"/>
      <c r="O271" s="118">
        <v>1</v>
      </c>
      <c r="P271" s="114">
        <f>VLOOKUP($B271,ma!$A:$C,3,0)</f>
        <v>800000</v>
      </c>
      <c r="Q271" s="132">
        <v>960000</v>
      </c>
      <c r="R271" s="146">
        <v>0.2</v>
      </c>
      <c r="S271" s="119"/>
      <c r="T271" s="119"/>
      <c r="U271" s="119"/>
      <c r="V271" s="119"/>
      <c r="W271" s="119"/>
      <c r="X271" s="119"/>
      <c r="Y271" s="119"/>
      <c r="Z271" s="119"/>
      <c r="AA271" s="119"/>
    </row>
    <row r="272" spans="1:27" ht="15">
      <c r="A272" s="107">
        <f t="shared" si="39"/>
        <v>13</v>
      </c>
      <c r="B272" s="108" t="s">
        <v>1758</v>
      </c>
      <c r="C272" s="109" t="s">
        <v>1506</v>
      </c>
      <c r="D272" s="110">
        <v>46091</v>
      </c>
      <c r="E272" s="109" t="str">
        <f>VLOOKUP($C272,xe!$A:$B,2,0)</f>
        <v>50H-55443</v>
      </c>
      <c r="F272" s="111" t="str">
        <f>VLOOKUP($B272,ma!$A:$B,2,0)</f>
        <v>M. BÌNH PHÚ</v>
      </c>
      <c r="G272" s="112" t="s">
        <v>1760</v>
      </c>
      <c r="H272" s="113" t="s">
        <v>1715</v>
      </c>
      <c r="I272" s="114"/>
      <c r="J272" s="109"/>
      <c r="K272" s="116">
        <v>2</v>
      </c>
      <c r="L272" s="117">
        <f t="shared" si="41"/>
        <v>100000</v>
      </c>
      <c r="M272" s="114"/>
      <c r="N272" s="118"/>
      <c r="O272" s="118">
        <v>1</v>
      </c>
      <c r="P272" s="114">
        <f>VLOOKUP($B272,ma!$A:$C,3,0)</f>
        <v>800000</v>
      </c>
      <c r="Q272" s="132">
        <v>960000</v>
      </c>
      <c r="R272" s="146">
        <v>0.2</v>
      </c>
      <c r="S272" s="119"/>
      <c r="T272" s="119"/>
      <c r="U272" s="119"/>
      <c r="V272" s="119"/>
      <c r="W272" s="119"/>
      <c r="X272" s="119"/>
      <c r="Y272" s="119"/>
      <c r="Z272" s="119"/>
      <c r="AA272" s="119"/>
    </row>
    <row r="273" spans="1:27" ht="15">
      <c r="A273" s="107">
        <f t="shared" si="39"/>
        <v>14</v>
      </c>
      <c r="B273" s="108" t="s">
        <v>1758</v>
      </c>
      <c r="C273" s="109" t="s">
        <v>1669</v>
      </c>
      <c r="D273" s="110">
        <v>46091</v>
      </c>
      <c r="E273" s="109" t="str">
        <f>VLOOKUP($C273,xe!$A:$B,2,0)</f>
        <v>50H-69501</v>
      </c>
      <c r="F273" s="111" t="str">
        <f>VLOOKUP($B273,ma!$A:$B,2,0)</f>
        <v>M. BÌNH PHÚ</v>
      </c>
      <c r="G273" s="112" t="s">
        <v>1761</v>
      </c>
      <c r="H273" s="113" t="s">
        <v>1715</v>
      </c>
      <c r="I273" s="114"/>
      <c r="J273" s="109"/>
      <c r="K273" s="116">
        <v>2</v>
      </c>
      <c r="L273" s="117">
        <f t="shared" si="41"/>
        <v>100000</v>
      </c>
      <c r="M273" s="114"/>
      <c r="N273" s="118"/>
      <c r="O273" s="118">
        <v>1</v>
      </c>
      <c r="P273" s="114">
        <f>VLOOKUP($B273,ma!$A:$C,3,0)</f>
        <v>800000</v>
      </c>
      <c r="Q273" s="132">
        <v>960000</v>
      </c>
      <c r="R273" s="146">
        <v>0.2</v>
      </c>
      <c r="S273" s="119"/>
      <c r="T273" s="119"/>
      <c r="U273" s="119"/>
      <c r="V273" s="119"/>
      <c r="W273" s="119"/>
      <c r="X273" s="119"/>
      <c r="Y273" s="119"/>
      <c r="Z273" s="119"/>
      <c r="AA273" s="119"/>
    </row>
    <row r="274" spans="1:27" ht="15">
      <c r="A274" s="107">
        <f t="shared" si="39"/>
        <v>15</v>
      </c>
      <c r="B274" s="108" t="s">
        <v>1758</v>
      </c>
      <c r="C274" s="109" t="s">
        <v>1500</v>
      </c>
      <c r="D274" s="110">
        <v>46091</v>
      </c>
      <c r="E274" s="109" t="str">
        <f>VLOOKUP($C274,xe!$A:$B,2,0)</f>
        <v>50H 87442</v>
      </c>
      <c r="F274" s="111" t="str">
        <f>VLOOKUP($B274,ma!$A:$B,2,0)</f>
        <v>M. BÌNH PHÚ</v>
      </c>
      <c r="G274" s="112" t="s">
        <v>1762</v>
      </c>
      <c r="H274" s="113" t="s">
        <v>1715</v>
      </c>
      <c r="I274" s="114"/>
      <c r="J274" s="109"/>
      <c r="K274" s="116">
        <v>2</v>
      </c>
      <c r="L274" s="117">
        <f t="shared" si="41"/>
        <v>100000</v>
      </c>
      <c r="M274" s="114">
        <v>30000</v>
      </c>
      <c r="N274" s="118" t="s">
        <v>1423</v>
      </c>
      <c r="O274" s="118">
        <v>1</v>
      </c>
      <c r="P274" s="114">
        <f>VLOOKUP($B274,ma!$A:$C,3,0)</f>
        <v>800000</v>
      </c>
      <c r="Q274" s="132">
        <v>960000</v>
      </c>
      <c r="R274" s="146">
        <v>0.2</v>
      </c>
      <c r="S274" s="119"/>
      <c r="T274" s="119"/>
      <c r="U274" s="119"/>
      <c r="V274" s="119"/>
      <c r="W274" s="119"/>
      <c r="X274" s="119"/>
      <c r="Y274" s="119"/>
      <c r="Z274" s="119"/>
      <c r="AA274" s="119"/>
    </row>
    <row r="275" spans="1:27" ht="15">
      <c r="A275" s="107">
        <f t="shared" si="39"/>
        <v>16</v>
      </c>
      <c r="B275" s="108" t="s">
        <v>1758</v>
      </c>
      <c r="C275" s="109" t="s">
        <v>1651</v>
      </c>
      <c r="D275" s="110">
        <v>46091</v>
      </c>
      <c r="E275" s="109" t="str">
        <f>VLOOKUP($C275,xe!$A:$B,2,0)</f>
        <v>50H-64316</v>
      </c>
      <c r="F275" s="111" t="str">
        <f>VLOOKUP($B275,ma!$A:$B,2,0)</f>
        <v>M. BÌNH PHÚ</v>
      </c>
      <c r="G275" s="112" t="s">
        <v>1763</v>
      </c>
      <c r="H275" s="113" t="s">
        <v>1715</v>
      </c>
      <c r="I275" s="114"/>
      <c r="J275" s="109"/>
      <c r="K275" s="116">
        <v>2</v>
      </c>
      <c r="L275" s="117">
        <f t="shared" si="41"/>
        <v>100000</v>
      </c>
      <c r="M275" s="114"/>
      <c r="N275" s="118"/>
      <c r="O275" s="118">
        <v>1</v>
      </c>
      <c r="P275" s="114">
        <f>VLOOKUP($B275,ma!$A:$C,3,0)</f>
        <v>800000</v>
      </c>
      <c r="Q275" s="132">
        <v>960000</v>
      </c>
      <c r="R275" s="146">
        <v>0.2</v>
      </c>
      <c r="S275" s="119"/>
      <c r="T275" s="119"/>
      <c r="U275" s="119"/>
      <c r="V275" s="119"/>
      <c r="W275" s="119"/>
      <c r="X275" s="119"/>
      <c r="Y275" s="119"/>
      <c r="Z275" s="119"/>
      <c r="AA275" s="119"/>
    </row>
    <row r="276" spans="1:27" ht="15">
      <c r="A276" s="107">
        <f t="shared" si="39"/>
        <v>17</v>
      </c>
      <c r="B276" s="108" t="s">
        <v>1758</v>
      </c>
      <c r="C276" s="109" t="s">
        <v>1657</v>
      </c>
      <c r="D276" s="110">
        <v>46091</v>
      </c>
      <c r="E276" s="109" t="str">
        <f>VLOOKUP($C276,xe!$A:$B,2,0)</f>
        <v>50H-64470</v>
      </c>
      <c r="F276" s="111" t="str">
        <f>VLOOKUP($B276,ma!$A:$B,2,0)</f>
        <v>M. BÌNH PHÚ</v>
      </c>
      <c r="G276" s="112" t="s">
        <v>1764</v>
      </c>
      <c r="H276" s="113" t="s">
        <v>1715</v>
      </c>
      <c r="I276" s="114"/>
      <c r="J276" s="109"/>
      <c r="K276" s="116">
        <v>2</v>
      </c>
      <c r="L276" s="117">
        <f t="shared" si="41"/>
        <v>100000</v>
      </c>
      <c r="M276" s="114">
        <v>30000</v>
      </c>
      <c r="N276" s="118" t="s">
        <v>1423</v>
      </c>
      <c r="O276" s="118">
        <v>1</v>
      </c>
      <c r="P276" s="114">
        <f>VLOOKUP($B276,ma!$A:$C,3,0)</f>
        <v>800000</v>
      </c>
      <c r="Q276" s="132">
        <v>960000</v>
      </c>
      <c r="R276" s="146">
        <v>0.2</v>
      </c>
      <c r="S276" s="119"/>
      <c r="T276" s="119"/>
      <c r="U276" s="119"/>
      <c r="V276" s="119"/>
      <c r="W276" s="119"/>
      <c r="X276" s="119"/>
      <c r="Y276" s="119"/>
      <c r="Z276" s="119"/>
      <c r="AA276" s="119"/>
    </row>
    <row r="277" spans="1:27" ht="15">
      <c r="A277" s="107">
        <f t="shared" si="39"/>
        <v>18</v>
      </c>
      <c r="B277" s="108" t="s">
        <v>814</v>
      </c>
      <c r="C277" s="109" t="s">
        <v>1655</v>
      </c>
      <c r="D277" s="110">
        <v>46091</v>
      </c>
      <c r="E277" s="109" t="str">
        <f>VLOOKUP($C277,xe!$A:$B,2,0)</f>
        <v>50H-70216</v>
      </c>
      <c r="F277" s="111" t="str">
        <f>VLOOKUP($B277,ma!$A:$B,2,0)</f>
        <v>VINAFOOD KYOEI</v>
      </c>
      <c r="G277" s="112" t="s">
        <v>1765</v>
      </c>
      <c r="H277" s="113" t="s">
        <v>1715</v>
      </c>
      <c r="I277" s="114"/>
      <c r="J277" s="109"/>
      <c r="K277" s="116">
        <v>2</v>
      </c>
      <c r="L277" s="117">
        <f t="shared" si="41"/>
        <v>100000</v>
      </c>
      <c r="M277" s="114"/>
      <c r="N277" s="118"/>
      <c r="O277" s="118">
        <v>1</v>
      </c>
      <c r="P277" s="114">
        <f>VLOOKUP($B277,ma!$A:$C,3,0)</f>
        <v>800000</v>
      </c>
      <c r="Q277" s="132">
        <v>960000</v>
      </c>
      <c r="R277" s="146">
        <v>0.2</v>
      </c>
      <c r="S277" s="119"/>
      <c r="T277" s="119"/>
      <c r="U277" s="119"/>
      <c r="V277" s="119"/>
      <c r="W277" s="119"/>
      <c r="X277" s="119"/>
      <c r="Y277" s="119"/>
      <c r="Z277" s="119"/>
      <c r="AA277" s="119"/>
    </row>
    <row r="278" spans="1:27" ht="15">
      <c r="A278" s="107">
        <f t="shared" si="39"/>
        <v>19</v>
      </c>
      <c r="B278" s="108" t="s">
        <v>814</v>
      </c>
      <c r="C278" s="109" t="s">
        <v>19</v>
      </c>
      <c r="D278" s="110">
        <v>46091</v>
      </c>
      <c r="E278" s="109" t="str">
        <f>VLOOKUP($C278,xe!$A:$B,2,0)</f>
        <v>51H -88294</v>
      </c>
      <c r="F278" s="111" t="str">
        <f>VLOOKUP($B278,ma!$A:$B,2,0)</f>
        <v>VINAFOOD KYOEI</v>
      </c>
      <c r="G278" s="112" t="s">
        <v>1766</v>
      </c>
      <c r="H278" s="113" t="s">
        <v>1715</v>
      </c>
      <c r="I278" s="114"/>
      <c r="J278" s="109"/>
      <c r="K278" s="116">
        <v>2</v>
      </c>
      <c r="L278" s="117">
        <f t="shared" si="41"/>
        <v>100000</v>
      </c>
      <c r="M278" s="114"/>
      <c r="N278" s="118"/>
      <c r="O278" s="118">
        <v>1</v>
      </c>
      <c r="P278" s="114">
        <f>VLOOKUP($B278,ma!$A:$C,3,0)</f>
        <v>800000</v>
      </c>
      <c r="Q278" s="132">
        <v>960000</v>
      </c>
      <c r="R278" s="146">
        <v>0.2</v>
      </c>
      <c r="S278" s="119"/>
      <c r="T278" s="119"/>
      <c r="U278" s="119"/>
      <c r="V278" s="119"/>
      <c r="W278" s="119"/>
      <c r="X278" s="119"/>
      <c r="Y278" s="119"/>
      <c r="Z278" s="119"/>
      <c r="AA278" s="119"/>
    </row>
    <row r="279" spans="1:27" ht="15">
      <c r="A279" s="107">
        <f t="shared" si="39"/>
        <v>20</v>
      </c>
      <c r="B279" s="108" t="s">
        <v>814</v>
      </c>
      <c r="C279" s="109" t="s">
        <v>66</v>
      </c>
      <c r="D279" s="110">
        <v>46091</v>
      </c>
      <c r="E279" s="109" t="str">
        <f>VLOOKUP($C279,xe!$A:$B,2,0)</f>
        <v>50H-92136</v>
      </c>
      <c r="F279" s="111" t="str">
        <f>VLOOKUP($B279,ma!$A:$B,2,0)</f>
        <v>VINAFOOD KYOEI</v>
      </c>
      <c r="G279" s="112" t="s">
        <v>1767</v>
      </c>
      <c r="H279" s="113" t="s">
        <v>1715</v>
      </c>
      <c r="I279" s="114"/>
      <c r="J279" s="109"/>
      <c r="K279" s="116">
        <v>2</v>
      </c>
      <c r="L279" s="117">
        <f t="shared" si="41"/>
        <v>100000</v>
      </c>
      <c r="M279" s="114"/>
      <c r="N279" s="118"/>
      <c r="O279" s="118">
        <v>1</v>
      </c>
      <c r="P279" s="114">
        <f>VLOOKUP($B279,ma!$A:$C,3,0)</f>
        <v>800000</v>
      </c>
      <c r="Q279" s="132">
        <v>960000</v>
      </c>
      <c r="R279" s="146">
        <v>0.2</v>
      </c>
      <c r="S279" s="119"/>
      <c r="T279" s="119"/>
      <c r="U279" s="119"/>
      <c r="V279" s="119"/>
      <c r="W279" s="119"/>
      <c r="X279" s="119"/>
      <c r="Y279" s="119"/>
      <c r="Z279" s="119"/>
      <c r="AA279" s="119"/>
    </row>
    <row r="280" spans="1:27" ht="15">
      <c r="A280" s="107">
        <f t="shared" si="39"/>
        <v>21</v>
      </c>
      <c r="B280" s="108" t="s">
        <v>814</v>
      </c>
      <c r="C280" s="109" t="s">
        <v>70</v>
      </c>
      <c r="D280" s="110">
        <v>46091</v>
      </c>
      <c r="E280" s="109" t="str">
        <f>VLOOKUP($C280,xe!$A:$B,2,0)</f>
        <v>50H-86564</v>
      </c>
      <c r="F280" s="111" t="str">
        <f>VLOOKUP($B280,ma!$A:$B,2,0)</f>
        <v>VINAFOOD KYOEI</v>
      </c>
      <c r="G280" s="112" t="s">
        <v>1768</v>
      </c>
      <c r="H280" s="113" t="s">
        <v>1715</v>
      </c>
      <c r="I280" s="114"/>
      <c r="J280" s="109"/>
      <c r="K280" s="116">
        <v>2</v>
      </c>
      <c r="L280" s="117">
        <f t="shared" si="41"/>
        <v>100000</v>
      </c>
      <c r="M280" s="114"/>
      <c r="N280" s="118"/>
      <c r="O280" s="118">
        <v>1</v>
      </c>
      <c r="P280" s="114">
        <f>VLOOKUP($B280,ma!$A:$C,3,0)</f>
        <v>800000</v>
      </c>
      <c r="Q280" s="132">
        <v>960000</v>
      </c>
      <c r="R280" s="146">
        <v>0.2</v>
      </c>
      <c r="S280" s="119"/>
      <c r="T280" s="119"/>
      <c r="U280" s="119"/>
      <c r="V280" s="119"/>
      <c r="W280" s="119"/>
      <c r="X280" s="119"/>
      <c r="Y280" s="119"/>
      <c r="Z280" s="119"/>
      <c r="AA280" s="119"/>
    </row>
    <row r="281" spans="1:27" ht="15">
      <c r="A281" s="107">
        <f t="shared" si="39"/>
        <v>22</v>
      </c>
      <c r="B281" s="108" t="s">
        <v>297</v>
      </c>
      <c r="C281" s="109" t="s">
        <v>1546</v>
      </c>
      <c r="D281" s="110">
        <v>46091</v>
      </c>
      <c r="E281" s="109" t="str">
        <f>VLOOKUP($C281,xe!$A:$B,2,0)</f>
        <v>50H-54580</v>
      </c>
      <c r="F281" s="111" t="str">
        <f>VLOOKUP($B281,ma!$A:$B,2,0)</f>
        <v>Bình Tây - Quận 7 ( KBX )</v>
      </c>
      <c r="G281" s="112" t="s">
        <v>1769</v>
      </c>
      <c r="H281" s="113" t="s">
        <v>1715</v>
      </c>
      <c r="I281" s="114"/>
      <c r="J281" s="109"/>
      <c r="K281" s="116">
        <v>1.4</v>
      </c>
      <c r="L281" s="117">
        <v>50000</v>
      </c>
      <c r="M281" s="114">
        <v>20000</v>
      </c>
      <c r="N281" s="118" t="s">
        <v>1427</v>
      </c>
      <c r="O281" s="118">
        <v>1</v>
      </c>
      <c r="P281" s="114">
        <f>VLOOKUP($B281,ma!$A:$C,3,0)</f>
        <v>800000</v>
      </c>
      <c r="Q281" s="132">
        <v>960000</v>
      </c>
      <c r="R281" s="146">
        <v>0.2</v>
      </c>
      <c r="S281" s="119"/>
      <c r="T281" s="119"/>
      <c r="U281" s="119"/>
      <c r="V281" s="119"/>
      <c r="W281" s="119"/>
      <c r="X281" s="119"/>
      <c r="Y281" s="119"/>
      <c r="Z281" s="119"/>
      <c r="AA281" s="119"/>
    </row>
    <row r="282" spans="1:27" ht="15">
      <c r="A282" s="107">
        <f t="shared" si="39"/>
        <v>23</v>
      </c>
      <c r="B282" s="108" t="s">
        <v>297</v>
      </c>
      <c r="C282" s="109" t="s">
        <v>1502</v>
      </c>
      <c r="D282" s="110">
        <v>46091</v>
      </c>
      <c r="E282" s="109" t="str">
        <f>VLOOKUP($C282,xe!$A:$B,2,0)</f>
        <v>50H-63174</v>
      </c>
      <c r="F282" s="111" t="str">
        <f>VLOOKUP($B282,ma!$A:$B,2,0)</f>
        <v>Bình Tây - Quận 7 ( KBX )</v>
      </c>
      <c r="G282" s="112" t="s">
        <v>1770</v>
      </c>
      <c r="H282" s="113" t="s">
        <v>1715</v>
      </c>
      <c r="I282" s="114"/>
      <c r="J282" s="109"/>
      <c r="K282" s="116">
        <v>1.6</v>
      </c>
      <c r="L282" s="117">
        <v>50000</v>
      </c>
      <c r="M282" s="114">
        <v>20000</v>
      </c>
      <c r="N282" s="118" t="s">
        <v>1427</v>
      </c>
      <c r="O282" s="118">
        <v>1</v>
      </c>
      <c r="P282" s="114">
        <f>VLOOKUP($B282,ma!$A:$C,3,0)</f>
        <v>800000</v>
      </c>
      <c r="Q282" s="132">
        <v>960000</v>
      </c>
      <c r="R282" s="146">
        <v>0.2</v>
      </c>
      <c r="S282" s="119"/>
      <c r="T282" s="119"/>
      <c r="U282" s="119"/>
      <c r="V282" s="119"/>
      <c r="W282" s="119"/>
      <c r="X282" s="119"/>
      <c r="Y282" s="119"/>
      <c r="Z282" s="119"/>
      <c r="AA282" s="119"/>
    </row>
    <row r="283" spans="1:27" ht="15">
      <c r="A283" s="107">
        <f t="shared" si="39"/>
        <v>24</v>
      </c>
      <c r="B283" s="108" t="s">
        <v>1771</v>
      </c>
      <c r="C283" s="109" t="s">
        <v>1662</v>
      </c>
      <c r="D283" s="110">
        <v>46091</v>
      </c>
      <c r="E283" s="109" t="str">
        <f>VLOOKUP($C283,xe!$A:$B,2,0)</f>
        <v>50H-74619</v>
      </c>
      <c r="F283" s="111" t="str">
        <f>VLOOKUP($B283,ma!$A:$B,2,0)</f>
        <v>HỒNG NGỌC AN LẠC</v>
      </c>
      <c r="G283" s="112" t="s">
        <v>1772</v>
      </c>
      <c r="H283" s="113" t="s">
        <v>1615</v>
      </c>
      <c r="I283" s="114"/>
      <c r="J283" s="109"/>
      <c r="K283" s="116">
        <v>2.2000000000000002</v>
      </c>
      <c r="L283" s="117">
        <f t="shared" ref="L283:L284" si="42">K283*50000</f>
        <v>110000.00000000001</v>
      </c>
      <c r="M283" s="114"/>
      <c r="N283" s="118"/>
      <c r="O283" s="118">
        <v>1</v>
      </c>
      <c r="P283" s="114">
        <f>VLOOKUP($B283,ma!$A:$C,3,0)</f>
        <v>800000</v>
      </c>
      <c r="Q283" s="132">
        <v>960000</v>
      </c>
      <c r="R283" s="146">
        <v>0.2</v>
      </c>
      <c r="S283" s="119"/>
      <c r="T283" s="119"/>
      <c r="U283" s="119"/>
      <c r="V283" s="119"/>
      <c r="W283" s="119"/>
      <c r="X283" s="119"/>
      <c r="Y283" s="119"/>
      <c r="Z283" s="119"/>
      <c r="AA283" s="119"/>
    </row>
    <row r="284" spans="1:27" ht="15">
      <c r="A284" s="107">
        <f t="shared" si="39"/>
        <v>25</v>
      </c>
      <c r="B284" s="108" t="s">
        <v>1773</v>
      </c>
      <c r="C284" s="109" t="s">
        <v>1493</v>
      </c>
      <c r="D284" s="110">
        <v>46091</v>
      </c>
      <c r="E284" s="109" t="str">
        <f>VLOOKUP($C284,xe!$A:$B,2,0)</f>
        <v>50H-55161</v>
      </c>
      <c r="F284" s="111" t="str">
        <f>VLOOKUP($B284,ma!$A:$B,2,0)</f>
        <v>VĂN HẬU LONG AN</v>
      </c>
      <c r="G284" s="112" t="s">
        <v>1412</v>
      </c>
      <c r="H284" s="113" t="s">
        <v>1412</v>
      </c>
      <c r="I284" s="114"/>
      <c r="J284" s="109"/>
      <c r="K284" s="116">
        <v>2</v>
      </c>
      <c r="L284" s="117">
        <f t="shared" si="42"/>
        <v>100000</v>
      </c>
      <c r="M284" s="114">
        <v>30000</v>
      </c>
      <c r="N284" s="118" t="s">
        <v>1423</v>
      </c>
      <c r="O284" s="118">
        <v>1</v>
      </c>
      <c r="P284" s="114">
        <f>VLOOKUP($B284,ma!$A:$C,3,0)</f>
        <v>900000</v>
      </c>
      <c r="Q284" s="132">
        <v>1050000</v>
      </c>
      <c r="R284" s="146">
        <v>0.2</v>
      </c>
      <c r="S284" s="119"/>
      <c r="T284" s="119"/>
      <c r="U284" s="119"/>
      <c r="V284" s="119"/>
      <c r="W284" s="119"/>
      <c r="X284" s="119"/>
      <c r="Y284" s="119"/>
      <c r="Z284" s="119"/>
      <c r="AA284" s="119"/>
    </row>
    <row r="285" spans="1:27" ht="15">
      <c r="A285" s="107">
        <f t="shared" si="39"/>
        <v>26</v>
      </c>
      <c r="B285" s="108" t="s">
        <v>1774</v>
      </c>
      <c r="C285" s="109" t="s">
        <v>58</v>
      </c>
      <c r="D285" s="110">
        <v>46091</v>
      </c>
      <c r="E285" s="109" t="str">
        <f>VLOOKUP($C285,xe!$A:$B,2,0)</f>
        <v>51C-81056</v>
      </c>
      <c r="F285" s="111" t="str">
        <f>VLOOKUP($B285,ma!$A:$B,2,0)</f>
        <v>VĂN HẬU LONG HƯNG ( KBX )</v>
      </c>
      <c r="G285" s="112" t="s">
        <v>1412</v>
      </c>
      <c r="H285" s="113" t="s">
        <v>1412</v>
      </c>
      <c r="I285" s="114"/>
      <c r="J285" s="109"/>
      <c r="K285" s="116">
        <v>2</v>
      </c>
      <c r="L285" s="117"/>
      <c r="M285" s="114"/>
      <c r="N285" s="118"/>
      <c r="O285" s="118">
        <v>1</v>
      </c>
      <c r="P285" s="114">
        <f>VLOOKUP($B285,ma!$A:$C,3,0)</f>
        <v>800000</v>
      </c>
      <c r="Q285" s="132">
        <v>960000</v>
      </c>
      <c r="R285" s="146">
        <v>0.2</v>
      </c>
      <c r="S285" s="119"/>
      <c r="T285" s="119"/>
      <c r="U285" s="119"/>
      <c r="V285" s="119"/>
      <c r="W285" s="119"/>
      <c r="X285" s="119"/>
      <c r="Y285" s="119"/>
      <c r="Z285" s="119"/>
      <c r="AA285" s="119"/>
    </row>
    <row r="286" spans="1:27" ht="15">
      <c r="A286" s="107">
        <f t="shared" si="39"/>
        <v>27</v>
      </c>
      <c r="B286" s="108" t="s">
        <v>1774</v>
      </c>
      <c r="C286" s="109" t="s">
        <v>10</v>
      </c>
      <c r="D286" s="110">
        <v>46091</v>
      </c>
      <c r="E286" s="109" t="str">
        <f>VLOOKUP($C286,xe!$A:$B,2,0)</f>
        <v>50H-50999</v>
      </c>
      <c r="F286" s="111" t="str">
        <f>VLOOKUP($B286,ma!$A:$B,2,0)</f>
        <v>VĂN HẬU LONG HƯNG ( KBX )</v>
      </c>
      <c r="G286" s="112" t="s">
        <v>1412</v>
      </c>
      <c r="H286" s="113" t="s">
        <v>1412</v>
      </c>
      <c r="I286" s="114"/>
      <c r="J286" s="109"/>
      <c r="K286" s="116">
        <v>1.8</v>
      </c>
      <c r="L286" s="117">
        <v>50000</v>
      </c>
      <c r="M286" s="114"/>
      <c r="N286" s="118"/>
      <c r="O286" s="118">
        <v>1</v>
      </c>
      <c r="P286" s="114">
        <f>VLOOKUP($B286,ma!$A:$C,3,0)</f>
        <v>800000</v>
      </c>
      <c r="Q286" s="132">
        <v>960000</v>
      </c>
      <c r="R286" s="146">
        <v>0.2</v>
      </c>
      <c r="S286" s="119"/>
      <c r="T286" s="119"/>
      <c r="U286" s="119"/>
      <c r="V286" s="119"/>
      <c r="W286" s="119"/>
      <c r="X286" s="119"/>
      <c r="Y286" s="119"/>
      <c r="Z286" s="119"/>
      <c r="AA286" s="119"/>
    </row>
    <row r="287" spans="1:27" ht="15">
      <c r="A287" s="107">
        <f t="shared" si="39"/>
        <v>28</v>
      </c>
      <c r="B287" s="108" t="s">
        <v>1774</v>
      </c>
      <c r="C287" s="109" t="s">
        <v>19</v>
      </c>
      <c r="D287" s="110">
        <v>46091</v>
      </c>
      <c r="E287" s="109" t="str">
        <f>VLOOKUP($C287,xe!$A:$B,2,0)</f>
        <v>51H -88294</v>
      </c>
      <c r="F287" s="111" t="str">
        <f>VLOOKUP($B287,ma!$A:$B,2,0)</f>
        <v>VĂN HẬU LONG HƯNG ( KBX )</v>
      </c>
      <c r="G287" s="112" t="s">
        <v>1412</v>
      </c>
      <c r="H287" s="113" t="s">
        <v>1412</v>
      </c>
      <c r="I287" s="114"/>
      <c r="J287" s="109"/>
      <c r="K287" s="116">
        <v>2.2000000000000002</v>
      </c>
      <c r="L287" s="117">
        <v>50000</v>
      </c>
      <c r="M287" s="114"/>
      <c r="N287" s="118"/>
      <c r="O287" s="118">
        <v>1</v>
      </c>
      <c r="P287" s="114">
        <f>VLOOKUP($B287,ma!$A:$C,3,0)</f>
        <v>800000</v>
      </c>
      <c r="Q287" s="132">
        <v>960000</v>
      </c>
      <c r="R287" s="146">
        <v>0.2</v>
      </c>
      <c r="S287" s="119"/>
      <c r="T287" s="119"/>
      <c r="U287" s="119"/>
      <c r="V287" s="119"/>
      <c r="W287" s="119"/>
      <c r="X287" s="119"/>
      <c r="Y287" s="119"/>
      <c r="Z287" s="119"/>
      <c r="AA287" s="119"/>
    </row>
    <row r="288" spans="1:27" ht="15">
      <c r="A288" s="107">
        <f t="shared" si="39"/>
        <v>29</v>
      </c>
      <c r="B288" s="108" t="s">
        <v>1774</v>
      </c>
      <c r="C288" s="109" t="s">
        <v>1655</v>
      </c>
      <c r="D288" s="110">
        <v>46091</v>
      </c>
      <c r="E288" s="109" t="str">
        <f>VLOOKUP($C288,xe!$A:$B,2,0)</f>
        <v>50H-70216</v>
      </c>
      <c r="F288" s="111" t="str">
        <f>VLOOKUP($B288,ma!$A:$B,2,0)</f>
        <v>VĂN HẬU LONG HƯNG ( KBX )</v>
      </c>
      <c r="G288" s="112" t="s">
        <v>1412</v>
      </c>
      <c r="H288" s="113" t="s">
        <v>1412</v>
      </c>
      <c r="I288" s="114"/>
      <c r="J288" s="109"/>
      <c r="K288" s="116">
        <v>2.2000000000000002</v>
      </c>
      <c r="L288" s="117">
        <v>50000</v>
      </c>
      <c r="M288" s="114"/>
      <c r="N288" s="118"/>
      <c r="O288" s="118">
        <v>1</v>
      </c>
      <c r="P288" s="114">
        <f>VLOOKUP($B288,ma!$A:$C,3,0)</f>
        <v>800000</v>
      </c>
      <c r="Q288" s="132">
        <v>960000</v>
      </c>
      <c r="R288" s="146">
        <v>0.2</v>
      </c>
      <c r="S288" s="119"/>
      <c r="T288" s="119"/>
      <c r="U288" s="119"/>
      <c r="V288" s="119"/>
      <c r="W288" s="119"/>
      <c r="X288" s="119"/>
      <c r="Y288" s="119"/>
      <c r="Z288" s="119"/>
      <c r="AA288" s="119"/>
    </row>
    <row r="289" spans="1:27" ht="15">
      <c r="A289" s="107">
        <f t="shared" si="39"/>
        <v>30</v>
      </c>
      <c r="B289" s="108" t="s">
        <v>1774</v>
      </c>
      <c r="C289" s="109" t="s">
        <v>1546</v>
      </c>
      <c r="D289" s="110">
        <v>46091</v>
      </c>
      <c r="E289" s="109" t="str">
        <f>VLOOKUP($C289,xe!$A:$B,2,0)</f>
        <v>50H-54580</v>
      </c>
      <c r="F289" s="111" t="str">
        <f>VLOOKUP($B289,ma!$A:$B,2,0)</f>
        <v>VĂN HẬU LONG HƯNG ( KBX )</v>
      </c>
      <c r="G289" s="112" t="s">
        <v>1412</v>
      </c>
      <c r="H289" s="113" t="s">
        <v>1412</v>
      </c>
      <c r="I289" s="114"/>
      <c r="J289" s="109"/>
      <c r="K289" s="116">
        <v>2.2000000000000002</v>
      </c>
      <c r="L289" s="117">
        <v>50000</v>
      </c>
      <c r="M289" s="114"/>
      <c r="N289" s="118"/>
      <c r="O289" s="118">
        <v>1</v>
      </c>
      <c r="P289" s="114">
        <f>VLOOKUP($B289,ma!$A:$C,3,0)</f>
        <v>800000</v>
      </c>
      <c r="Q289" s="132">
        <v>960000</v>
      </c>
      <c r="R289" s="146">
        <v>0.2</v>
      </c>
      <c r="S289" s="119"/>
      <c r="T289" s="119"/>
      <c r="U289" s="119"/>
      <c r="V289" s="119"/>
      <c r="W289" s="119"/>
      <c r="X289" s="119"/>
      <c r="Y289" s="119"/>
      <c r="Z289" s="119"/>
      <c r="AA289" s="119"/>
    </row>
    <row r="290" spans="1:27" ht="15">
      <c r="A290" s="107">
        <f t="shared" si="39"/>
        <v>31</v>
      </c>
      <c r="B290" s="108" t="s">
        <v>160</v>
      </c>
      <c r="C290" s="109" t="s">
        <v>1408</v>
      </c>
      <c r="D290" s="110">
        <v>46091</v>
      </c>
      <c r="E290" s="109" t="str">
        <f>VLOOKUP($C290,xe!$A:$B,2,0)</f>
        <v>50H-11822</v>
      </c>
      <c r="F290" s="111" t="str">
        <f>VLOOKUP($B290,ma!$A:$B,2,0)</f>
        <v>QUẬN 8</v>
      </c>
      <c r="G290" s="112" t="s">
        <v>1775</v>
      </c>
      <c r="H290" s="113" t="s">
        <v>1615</v>
      </c>
      <c r="I290" s="114"/>
      <c r="J290" s="147" t="s">
        <v>1457</v>
      </c>
      <c r="K290" s="116">
        <v>2</v>
      </c>
      <c r="L290" s="117">
        <f t="shared" ref="L290:L292" si="43">K290*50000</f>
        <v>100000</v>
      </c>
      <c r="M290" s="114"/>
      <c r="N290" s="118"/>
      <c r="O290" s="118">
        <v>1</v>
      </c>
      <c r="P290" s="114">
        <f>VLOOKUP($B290,ma!$A:$C,3,0)</f>
        <v>800000</v>
      </c>
      <c r="Q290" s="132">
        <v>960000</v>
      </c>
      <c r="R290" s="146">
        <v>0.2</v>
      </c>
      <c r="S290" s="119"/>
      <c r="T290" s="119"/>
      <c r="U290" s="119"/>
      <c r="V290" s="119"/>
      <c r="W290" s="119"/>
      <c r="X290" s="119"/>
      <c r="Y290" s="119"/>
      <c r="Z290" s="119"/>
      <c r="AA290" s="119"/>
    </row>
    <row r="291" spans="1:27" ht="15">
      <c r="A291" s="107">
        <f t="shared" si="39"/>
        <v>32</v>
      </c>
      <c r="B291" s="108" t="s">
        <v>160</v>
      </c>
      <c r="C291" s="109" t="s">
        <v>1408</v>
      </c>
      <c r="D291" s="110">
        <v>46091</v>
      </c>
      <c r="E291" s="109" t="str">
        <f>VLOOKUP($C291,xe!$A:$B,2,0)</f>
        <v>50H-11822</v>
      </c>
      <c r="F291" s="111" t="str">
        <f>VLOOKUP($B291,ma!$A:$B,2,0)</f>
        <v>QUẬN 8</v>
      </c>
      <c r="G291" s="112" t="s">
        <v>1776</v>
      </c>
      <c r="H291" s="113" t="s">
        <v>1615</v>
      </c>
      <c r="I291" s="114"/>
      <c r="J291" s="147" t="s">
        <v>1457</v>
      </c>
      <c r="K291" s="116">
        <v>2</v>
      </c>
      <c r="L291" s="117">
        <f t="shared" si="43"/>
        <v>100000</v>
      </c>
      <c r="M291" s="114"/>
      <c r="N291" s="118"/>
      <c r="O291" s="118">
        <v>1</v>
      </c>
      <c r="P291" s="114">
        <f>VLOOKUP($B291,ma!$A:$C,3,0)</f>
        <v>800000</v>
      </c>
      <c r="Q291" s="132">
        <v>960000</v>
      </c>
      <c r="R291" s="146">
        <v>0.2</v>
      </c>
      <c r="S291" s="119"/>
      <c r="T291" s="119"/>
      <c r="U291" s="119"/>
      <c r="V291" s="119"/>
      <c r="W291" s="119"/>
      <c r="X291" s="119"/>
      <c r="Y291" s="119"/>
      <c r="Z291" s="119"/>
      <c r="AA291" s="119"/>
    </row>
    <row r="292" spans="1:27" ht="15">
      <c r="A292" s="107">
        <f t="shared" si="39"/>
        <v>33</v>
      </c>
      <c r="B292" s="108" t="s">
        <v>1677</v>
      </c>
      <c r="C292" s="109" t="s">
        <v>1577</v>
      </c>
      <c r="D292" s="110">
        <v>46091</v>
      </c>
      <c r="E292" s="109" t="str">
        <f>VLOOKUP($C292,xe!$A:$B,2,0)</f>
        <v>50H-63174</v>
      </c>
      <c r="F292" s="111" t="str">
        <f>VLOOKUP($B292,ma!$A:$B,2,0)</f>
        <v>CALOFIC - UNI ( xe nhỏ )</v>
      </c>
      <c r="G292" s="112" t="s">
        <v>1777</v>
      </c>
      <c r="H292" s="113" t="s">
        <v>1644</v>
      </c>
      <c r="I292" s="114"/>
      <c r="J292" s="115" t="s">
        <v>140</v>
      </c>
      <c r="K292" s="116">
        <v>1.4</v>
      </c>
      <c r="L292" s="117">
        <f t="shared" si="43"/>
        <v>70000</v>
      </c>
      <c r="M292" s="114"/>
      <c r="N292" s="118"/>
      <c r="O292" s="118">
        <v>1</v>
      </c>
      <c r="P292" s="114">
        <f>VLOOKUP($B292,ma!$A:$C,3,0)</f>
        <v>300000</v>
      </c>
      <c r="Q292" s="114">
        <v>400000</v>
      </c>
      <c r="R292" s="148"/>
      <c r="S292" s="119"/>
      <c r="T292" s="119"/>
      <c r="U292" s="119"/>
      <c r="V292" s="119"/>
      <c r="W292" s="119"/>
      <c r="X292" s="119"/>
      <c r="Y292" s="119"/>
      <c r="Z292" s="119"/>
      <c r="AA292" s="119"/>
    </row>
    <row r="293" spans="1:27" ht="15">
      <c r="A293" s="107">
        <f t="shared" si="39"/>
        <v>34</v>
      </c>
      <c r="B293" s="108" t="s">
        <v>1069</v>
      </c>
      <c r="C293" s="109" t="s">
        <v>62</v>
      </c>
      <c r="D293" s="110">
        <v>46091</v>
      </c>
      <c r="E293" s="109" t="str">
        <f>VLOOKUP($C293,xe!$A:$B,2,0)</f>
        <v>62H-01887</v>
      </c>
      <c r="F293" s="111" t="str">
        <f>VLOOKUP($B293,ma!$A:$B,2,0)</f>
        <v>BHX XUYÊN Á</v>
      </c>
      <c r="G293" s="112" t="s">
        <v>1778</v>
      </c>
      <c r="H293" s="113" t="s">
        <v>1615</v>
      </c>
      <c r="I293" s="114"/>
      <c r="J293" s="109"/>
      <c r="K293" s="116">
        <v>1.2</v>
      </c>
      <c r="L293" s="117">
        <f t="shared" ref="L293:L294" si="44">K293*80000</f>
        <v>96000</v>
      </c>
      <c r="M293" s="114"/>
      <c r="N293" s="118"/>
      <c r="O293" s="118">
        <v>1</v>
      </c>
      <c r="P293" s="114">
        <f>VLOOKUP($B293,ma!$A:$C,3,0)</f>
        <v>900000</v>
      </c>
      <c r="Q293" s="132">
        <v>1050000</v>
      </c>
      <c r="R293" s="146">
        <v>0.2</v>
      </c>
      <c r="S293" s="119"/>
      <c r="T293" s="119"/>
      <c r="U293" s="119"/>
      <c r="V293" s="119"/>
      <c r="W293" s="119"/>
      <c r="X293" s="119"/>
      <c r="Y293" s="119"/>
      <c r="Z293" s="119"/>
      <c r="AA293" s="119"/>
    </row>
    <row r="294" spans="1:27" ht="15">
      <c r="A294" s="107">
        <f t="shared" si="39"/>
        <v>35</v>
      </c>
      <c r="B294" s="108" t="s">
        <v>1069</v>
      </c>
      <c r="C294" s="109" t="s">
        <v>68</v>
      </c>
      <c r="D294" s="110">
        <v>46091</v>
      </c>
      <c r="E294" s="109" t="str">
        <f>VLOOKUP($C294,xe!$A:$B,2,0)</f>
        <v>50H-55829</v>
      </c>
      <c r="F294" s="111" t="str">
        <f>VLOOKUP($B294,ma!$A:$B,2,0)</f>
        <v>BHX XUYÊN Á</v>
      </c>
      <c r="G294" s="112" t="s">
        <v>1779</v>
      </c>
      <c r="H294" s="113" t="s">
        <v>1615</v>
      </c>
      <c r="I294" s="114"/>
      <c r="J294" s="109"/>
      <c r="K294" s="116">
        <v>1.2</v>
      </c>
      <c r="L294" s="117">
        <f t="shared" si="44"/>
        <v>96000</v>
      </c>
      <c r="M294" s="114"/>
      <c r="N294" s="118"/>
      <c r="O294" s="118">
        <v>1</v>
      </c>
      <c r="P294" s="114">
        <f>VLOOKUP($B294,ma!$A:$C,3,0)</f>
        <v>900000</v>
      </c>
      <c r="Q294" s="132">
        <v>1050000</v>
      </c>
      <c r="R294" s="146">
        <v>0.2</v>
      </c>
      <c r="S294" s="119"/>
      <c r="T294" s="119"/>
      <c r="U294" s="119"/>
      <c r="V294" s="119"/>
      <c r="W294" s="119"/>
      <c r="X294" s="119"/>
      <c r="Y294" s="119"/>
      <c r="Z294" s="119"/>
      <c r="AA294" s="119"/>
    </row>
    <row r="295" spans="1:27" ht="15">
      <c r="A295" s="107">
        <f t="shared" si="39"/>
        <v>36</v>
      </c>
      <c r="B295" s="108" t="s">
        <v>907</v>
      </c>
      <c r="C295" s="109" t="s">
        <v>1662</v>
      </c>
      <c r="D295" s="110">
        <v>46091</v>
      </c>
      <c r="E295" s="109" t="str">
        <f>VLOOKUP($C295,xe!$A:$B,2,0)</f>
        <v>50H-74619</v>
      </c>
      <c r="F295" s="111" t="str">
        <f>VLOOKUP($B295,ma!$A:$B,2,0)</f>
        <v>M. BÌNH PHÚ</v>
      </c>
      <c r="G295" s="112" t="s">
        <v>1780</v>
      </c>
      <c r="H295" s="113" t="s">
        <v>1615</v>
      </c>
      <c r="I295" s="114"/>
      <c r="J295" s="109"/>
      <c r="K295" s="116">
        <v>2.2000000000000002</v>
      </c>
      <c r="L295" s="117">
        <f t="shared" ref="L295:L296" si="45">K295*50000</f>
        <v>110000.00000000001</v>
      </c>
      <c r="M295" s="114">
        <v>30000</v>
      </c>
      <c r="N295" s="118" t="s">
        <v>1423</v>
      </c>
      <c r="O295" s="118">
        <v>1</v>
      </c>
      <c r="P295" s="114">
        <f>VLOOKUP($B295,ma!$A:$C,3,0)</f>
        <v>800000</v>
      </c>
      <c r="Q295" s="132">
        <v>960000</v>
      </c>
      <c r="R295" s="146">
        <v>0.2</v>
      </c>
      <c r="S295" s="119"/>
      <c r="T295" s="119"/>
      <c r="U295" s="119"/>
      <c r="V295" s="119"/>
      <c r="W295" s="119"/>
      <c r="X295" s="119"/>
      <c r="Y295" s="119"/>
      <c r="Z295" s="119"/>
      <c r="AA295" s="119"/>
    </row>
    <row r="296" spans="1:27" ht="15">
      <c r="A296" s="107">
        <f t="shared" si="39"/>
        <v>37</v>
      </c>
      <c r="B296" s="108" t="s">
        <v>907</v>
      </c>
      <c r="C296" s="109" t="s">
        <v>10</v>
      </c>
      <c r="D296" s="110">
        <v>46091</v>
      </c>
      <c r="E296" s="109" t="str">
        <f>VLOOKUP($C296,xe!$A:$B,2,0)</f>
        <v>50H-50999</v>
      </c>
      <c r="F296" s="111" t="str">
        <f>VLOOKUP($B296,ma!$A:$B,2,0)</f>
        <v>M. BÌNH PHÚ</v>
      </c>
      <c r="G296" s="112" t="s">
        <v>1781</v>
      </c>
      <c r="H296" s="113" t="s">
        <v>1615</v>
      </c>
      <c r="I296" s="114"/>
      <c r="J296" s="109"/>
      <c r="K296" s="116">
        <v>2.2000000000000002</v>
      </c>
      <c r="L296" s="117">
        <f t="shared" si="45"/>
        <v>110000.00000000001</v>
      </c>
      <c r="M296" s="114"/>
      <c r="N296" s="118"/>
      <c r="O296" s="118">
        <v>1</v>
      </c>
      <c r="P296" s="114">
        <f>VLOOKUP($B296,ma!$A:$C,3,0)</f>
        <v>800000</v>
      </c>
      <c r="Q296" s="132">
        <v>960000</v>
      </c>
      <c r="R296" s="146">
        <v>0.2</v>
      </c>
      <c r="S296" s="119"/>
      <c r="T296" s="119"/>
      <c r="U296" s="119"/>
      <c r="V296" s="119"/>
      <c r="W296" s="119"/>
      <c r="X296" s="119"/>
      <c r="Y296" s="119"/>
      <c r="Z296" s="119"/>
      <c r="AA296" s="119"/>
    </row>
    <row r="297" spans="1:27" ht="15">
      <c r="A297" s="107">
        <f t="shared" si="39"/>
        <v>38</v>
      </c>
      <c r="B297" s="108" t="s">
        <v>907</v>
      </c>
      <c r="C297" s="109" t="s">
        <v>1493</v>
      </c>
      <c r="D297" s="110">
        <v>46091</v>
      </c>
      <c r="E297" s="109" t="str">
        <f>VLOOKUP($C297,xe!$A:$B,2,0)</f>
        <v>50H-55161</v>
      </c>
      <c r="F297" s="111" t="str">
        <f>VLOOKUP($B297,ma!$A:$B,2,0)</f>
        <v>M. BÌNH PHÚ</v>
      </c>
      <c r="G297" s="112" t="s">
        <v>1782</v>
      </c>
      <c r="H297" s="113" t="s">
        <v>1615</v>
      </c>
      <c r="I297" s="114"/>
      <c r="J297" s="109"/>
      <c r="K297" s="116">
        <v>2</v>
      </c>
      <c r="L297" s="134">
        <v>150000</v>
      </c>
      <c r="M297" s="114"/>
      <c r="N297" s="118"/>
      <c r="O297" s="118">
        <v>1</v>
      </c>
      <c r="P297" s="114">
        <f>VLOOKUP($B297,ma!$A:$C,3,0)</f>
        <v>800000</v>
      </c>
      <c r="Q297" s="132">
        <v>960000</v>
      </c>
      <c r="R297" s="146">
        <v>0.2</v>
      </c>
      <c r="S297" s="119"/>
      <c r="T297" s="119"/>
      <c r="U297" s="119"/>
      <c r="V297" s="119"/>
      <c r="W297" s="119"/>
      <c r="X297" s="119"/>
      <c r="Y297" s="119"/>
      <c r="Z297" s="119"/>
      <c r="AA297" s="119"/>
    </row>
    <row r="298" spans="1:27" ht="15">
      <c r="A298" s="107">
        <f t="shared" si="39"/>
        <v>39</v>
      </c>
      <c r="B298" s="108" t="s">
        <v>457</v>
      </c>
      <c r="C298" s="109" t="s">
        <v>1506</v>
      </c>
      <c r="D298" s="110">
        <v>46091</v>
      </c>
      <c r="E298" s="109" t="str">
        <f>VLOOKUP($C298,xe!$A:$B,2,0)</f>
        <v>50H-55443</v>
      </c>
      <c r="F298" s="111" t="str">
        <f>VLOOKUP($B298,ma!$A:$B,2,0)</f>
        <v>Như Thùy</v>
      </c>
      <c r="G298" s="112" t="s">
        <v>1783</v>
      </c>
      <c r="H298" s="113" t="s">
        <v>1620</v>
      </c>
      <c r="I298" s="114"/>
      <c r="J298" s="109"/>
      <c r="K298" s="116">
        <v>2.2000000000000002</v>
      </c>
      <c r="L298" s="117">
        <f t="shared" ref="L298:L314" si="46">K298*50000</f>
        <v>110000.00000000001</v>
      </c>
      <c r="M298" s="114">
        <v>30000</v>
      </c>
      <c r="N298" s="118" t="s">
        <v>1423</v>
      </c>
      <c r="O298" s="118">
        <v>1</v>
      </c>
      <c r="P298" s="114">
        <f>VLOOKUP($B298,ma!$A:$C,3,0)</f>
        <v>800000</v>
      </c>
      <c r="Q298" s="132">
        <v>960000</v>
      </c>
      <c r="R298" s="146">
        <v>0.2</v>
      </c>
      <c r="S298" s="119"/>
      <c r="T298" s="119"/>
      <c r="U298" s="119"/>
      <c r="V298" s="119"/>
      <c r="W298" s="119"/>
      <c r="X298" s="119"/>
      <c r="Y298" s="119"/>
      <c r="Z298" s="119"/>
      <c r="AA298" s="119"/>
    </row>
    <row r="299" spans="1:27" ht="15">
      <c r="A299" s="137">
        <v>1</v>
      </c>
      <c r="B299" s="138" t="s">
        <v>1677</v>
      </c>
      <c r="C299" s="139" t="s">
        <v>19</v>
      </c>
      <c r="D299" s="140">
        <v>46092</v>
      </c>
      <c r="E299" s="139" t="str">
        <f>VLOOKUP($C299,xe!$A:$B,2,0)</f>
        <v>51H -88294</v>
      </c>
      <c r="F299" s="141" t="str">
        <f>VLOOKUP($B299,ma!$A:$B,2,0)</f>
        <v>CALOFIC - UNI ( xe nhỏ )</v>
      </c>
      <c r="G299" s="142" t="s">
        <v>1784</v>
      </c>
      <c r="H299" s="126" t="s">
        <v>1644</v>
      </c>
      <c r="I299" s="132"/>
      <c r="J299" s="115" t="s">
        <v>140</v>
      </c>
      <c r="K299" s="129">
        <v>2</v>
      </c>
      <c r="L299" s="143">
        <f t="shared" si="46"/>
        <v>100000</v>
      </c>
      <c r="M299" s="132"/>
      <c r="N299" s="144"/>
      <c r="O299" s="144">
        <v>1</v>
      </c>
      <c r="P299" s="132">
        <f>VLOOKUP($B299,ma!$A:$C,3,0)</f>
        <v>300000</v>
      </c>
      <c r="Q299" s="132">
        <v>400000</v>
      </c>
      <c r="R299" s="148"/>
      <c r="S299" s="119"/>
      <c r="T299" s="119"/>
      <c r="U299" s="119"/>
      <c r="V299" s="119"/>
      <c r="W299" s="119"/>
      <c r="X299" s="119"/>
      <c r="Y299" s="119"/>
      <c r="Z299" s="119"/>
      <c r="AA299" s="119"/>
    </row>
    <row r="300" spans="1:27" ht="15">
      <c r="A300" s="107">
        <f t="shared" ref="A300:A331" si="47">A299+1</f>
        <v>2</v>
      </c>
      <c r="B300" s="108" t="s">
        <v>1677</v>
      </c>
      <c r="C300" s="109" t="s">
        <v>27</v>
      </c>
      <c r="D300" s="110">
        <v>46092</v>
      </c>
      <c r="E300" s="109" t="str">
        <f>VLOOKUP($C300,xe!$A:$B,2,0)</f>
        <v>50H-55443</v>
      </c>
      <c r="F300" s="111" t="str">
        <f>VLOOKUP($B300,ma!$A:$B,2,0)</f>
        <v>CALOFIC - UNI ( xe nhỏ )</v>
      </c>
      <c r="G300" s="112" t="s">
        <v>1652</v>
      </c>
      <c r="H300" s="113" t="s">
        <v>1620</v>
      </c>
      <c r="I300" s="114"/>
      <c r="J300" s="115" t="s">
        <v>140</v>
      </c>
      <c r="K300" s="116">
        <v>2</v>
      </c>
      <c r="L300" s="117">
        <f t="shared" si="46"/>
        <v>100000</v>
      </c>
      <c r="M300" s="114"/>
      <c r="N300" s="118"/>
      <c r="O300" s="118">
        <v>1</v>
      </c>
      <c r="P300" s="114">
        <f>VLOOKUP($B300,ma!$A:$C,3,0)</f>
        <v>300000</v>
      </c>
      <c r="Q300" s="114">
        <v>400000</v>
      </c>
      <c r="R300" s="148"/>
      <c r="S300" s="119"/>
      <c r="T300" s="119"/>
      <c r="U300" s="119"/>
      <c r="V300" s="119"/>
      <c r="W300" s="119"/>
      <c r="X300" s="119"/>
      <c r="Y300" s="119"/>
      <c r="Z300" s="119"/>
      <c r="AA300" s="119"/>
    </row>
    <row r="301" spans="1:27" ht="15">
      <c r="A301" s="107">
        <f t="shared" si="47"/>
        <v>3</v>
      </c>
      <c r="B301" s="108" t="s">
        <v>1677</v>
      </c>
      <c r="C301" s="109" t="s">
        <v>10</v>
      </c>
      <c r="D301" s="110">
        <v>46092</v>
      </c>
      <c r="E301" s="109" t="str">
        <f>VLOOKUP($C301,xe!$A:$B,2,0)</f>
        <v>50H-50999</v>
      </c>
      <c r="F301" s="111" t="str">
        <f>VLOOKUP($B301,ma!$A:$B,2,0)</f>
        <v>CALOFIC - UNI ( xe nhỏ )</v>
      </c>
      <c r="G301" s="112" t="s">
        <v>1652</v>
      </c>
      <c r="H301" s="113" t="s">
        <v>1620</v>
      </c>
      <c r="I301" s="114"/>
      <c r="J301" s="115" t="s">
        <v>140</v>
      </c>
      <c r="K301" s="116">
        <v>1</v>
      </c>
      <c r="L301" s="117">
        <f t="shared" si="46"/>
        <v>50000</v>
      </c>
      <c r="M301" s="114"/>
      <c r="N301" s="118"/>
      <c r="O301" s="118">
        <v>1</v>
      </c>
      <c r="P301" s="114">
        <f>VLOOKUP($B301,ma!$A:$C,3,0)</f>
        <v>300000</v>
      </c>
      <c r="Q301" s="114">
        <v>400000</v>
      </c>
      <c r="R301" s="148"/>
      <c r="S301" s="119"/>
      <c r="T301" s="119"/>
      <c r="U301" s="119"/>
      <c r="V301" s="119"/>
      <c r="W301" s="119"/>
      <c r="X301" s="119"/>
      <c r="Y301" s="119"/>
      <c r="Z301" s="119"/>
      <c r="AA301" s="119"/>
    </row>
    <row r="302" spans="1:27" ht="15">
      <c r="A302" s="107">
        <f t="shared" si="47"/>
        <v>4</v>
      </c>
      <c r="B302" s="108" t="s">
        <v>1107</v>
      </c>
      <c r="C302" s="109" t="s">
        <v>64</v>
      </c>
      <c r="D302" s="110">
        <v>46092</v>
      </c>
      <c r="E302" s="109" t="str">
        <f>VLOOKUP($C302,xe!$A:$B,2,0)</f>
        <v>50H-60635</v>
      </c>
      <c r="F302" s="111" t="str">
        <f>VLOOKUP($B302,ma!$A:$B,2,0)</f>
        <v>LOTTE-PHU THO</v>
      </c>
      <c r="G302" s="112" t="s">
        <v>1785</v>
      </c>
      <c r="H302" s="113" t="s">
        <v>1615</v>
      </c>
      <c r="I302" s="114"/>
      <c r="J302" s="115" t="s">
        <v>140</v>
      </c>
      <c r="K302" s="116">
        <v>1.6</v>
      </c>
      <c r="L302" s="117">
        <f t="shared" si="46"/>
        <v>80000</v>
      </c>
      <c r="M302" s="114"/>
      <c r="N302" s="118"/>
      <c r="O302" s="118">
        <v>1</v>
      </c>
      <c r="P302" s="114">
        <f>VLOOKUP($B302,ma!$A:$C,3,0)</f>
        <v>800000</v>
      </c>
      <c r="Q302" s="132">
        <v>880000</v>
      </c>
      <c r="R302" s="149">
        <v>0.1</v>
      </c>
      <c r="S302" s="119"/>
      <c r="T302" s="119"/>
      <c r="U302" s="119"/>
      <c r="V302" s="119"/>
      <c r="W302" s="119"/>
      <c r="X302" s="119"/>
      <c r="Y302" s="119"/>
      <c r="Z302" s="119"/>
      <c r="AA302" s="119"/>
    </row>
    <row r="303" spans="1:27" ht="15">
      <c r="A303" s="107">
        <f t="shared" si="47"/>
        <v>5</v>
      </c>
      <c r="B303" s="108" t="s">
        <v>1113</v>
      </c>
      <c r="C303" s="109" t="s">
        <v>66</v>
      </c>
      <c r="D303" s="110">
        <v>46092</v>
      </c>
      <c r="E303" s="109" t="str">
        <f>VLOOKUP($C303,xe!$A:$B,2,0)</f>
        <v>50H-92136</v>
      </c>
      <c r="F303" s="111" t="str">
        <f>VLOOKUP($B303,ma!$A:$B,2,0)</f>
        <v>LOTTE-TÂN BÌNH</v>
      </c>
      <c r="G303" s="112" t="s">
        <v>1786</v>
      </c>
      <c r="H303" s="113" t="s">
        <v>1615</v>
      </c>
      <c r="I303" s="114"/>
      <c r="J303" s="115" t="s">
        <v>140</v>
      </c>
      <c r="K303" s="116">
        <v>2</v>
      </c>
      <c r="L303" s="117">
        <f t="shared" si="46"/>
        <v>100000</v>
      </c>
      <c r="M303" s="114"/>
      <c r="N303" s="118"/>
      <c r="O303" s="118">
        <v>1</v>
      </c>
      <c r="P303" s="114">
        <f>VLOOKUP($B303,ma!$A:$C,3,0)</f>
        <v>800000</v>
      </c>
      <c r="Q303" s="132">
        <v>880000</v>
      </c>
      <c r="R303" s="149">
        <v>0.1</v>
      </c>
      <c r="S303" s="119"/>
      <c r="T303" s="119"/>
      <c r="U303" s="119"/>
      <c r="V303" s="119"/>
      <c r="W303" s="119"/>
      <c r="X303" s="119"/>
      <c r="Y303" s="119"/>
      <c r="Z303" s="119"/>
      <c r="AA303" s="119"/>
    </row>
    <row r="304" spans="1:27" ht="15">
      <c r="A304" s="107">
        <f t="shared" si="47"/>
        <v>6</v>
      </c>
      <c r="B304" s="108" t="s">
        <v>1099</v>
      </c>
      <c r="C304" s="109" t="s">
        <v>1404</v>
      </c>
      <c r="D304" s="110">
        <v>46092</v>
      </c>
      <c r="E304" s="109" t="str">
        <f>VLOOKUP($C304,xe!$A:$B,2,0)</f>
        <v>51C-81056</v>
      </c>
      <c r="F304" s="111" t="str">
        <f>VLOOKUP($B304,ma!$A:$B,2,0)</f>
        <v>E MART SALA</v>
      </c>
      <c r="G304" s="112" t="s">
        <v>1787</v>
      </c>
      <c r="H304" s="113" t="s">
        <v>1788</v>
      </c>
      <c r="I304" s="114"/>
      <c r="J304" s="115" t="s">
        <v>140</v>
      </c>
      <c r="K304" s="116">
        <v>1.6</v>
      </c>
      <c r="L304" s="117">
        <f t="shared" si="46"/>
        <v>80000</v>
      </c>
      <c r="M304" s="114"/>
      <c r="N304" s="118"/>
      <c r="O304" s="118">
        <v>1</v>
      </c>
      <c r="P304" s="114">
        <f>VLOOKUP($B304,ma!$A:$C,3,0)</f>
        <v>800000</v>
      </c>
      <c r="Q304" s="132">
        <v>880000</v>
      </c>
      <c r="R304" s="149">
        <v>0.1</v>
      </c>
      <c r="S304" s="119"/>
      <c r="T304" s="119"/>
      <c r="U304" s="119"/>
      <c r="V304" s="119"/>
      <c r="W304" s="119"/>
      <c r="X304" s="119"/>
      <c r="Y304" s="119"/>
      <c r="Z304" s="119"/>
      <c r="AA304" s="119"/>
    </row>
    <row r="305" spans="1:27" ht="15">
      <c r="A305" s="107">
        <f t="shared" si="47"/>
        <v>7</v>
      </c>
      <c r="B305" s="108" t="s">
        <v>1099</v>
      </c>
      <c r="C305" s="109" t="s">
        <v>1408</v>
      </c>
      <c r="D305" s="110">
        <v>46092</v>
      </c>
      <c r="E305" s="109" t="str">
        <f>VLOOKUP($C305,xe!$A:$B,2,0)</f>
        <v>50H-11822</v>
      </c>
      <c r="F305" s="111" t="str">
        <f>VLOOKUP($B305,ma!$A:$B,2,0)</f>
        <v>E MART SALA</v>
      </c>
      <c r="G305" s="112" t="s">
        <v>1789</v>
      </c>
      <c r="H305" s="113" t="s">
        <v>1615</v>
      </c>
      <c r="I305" s="114"/>
      <c r="J305" s="115" t="s">
        <v>140</v>
      </c>
      <c r="K305" s="116">
        <v>1.6</v>
      </c>
      <c r="L305" s="117">
        <f t="shared" si="46"/>
        <v>80000</v>
      </c>
      <c r="M305" s="114"/>
      <c r="N305" s="118"/>
      <c r="O305" s="118">
        <v>1</v>
      </c>
      <c r="P305" s="114">
        <f>VLOOKUP($B305,ma!$A:$C,3,0)</f>
        <v>800000</v>
      </c>
      <c r="Q305" s="132">
        <v>880000</v>
      </c>
      <c r="R305" s="149">
        <v>0.1</v>
      </c>
      <c r="S305" s="119"/>
      <c r="T305" s="119"/>
      <c r="U305" s="119"/>
      <c r="V305" s="119"/>
      <c r="W305" s="119"/>
      <c r="X305" s="119"/>
      <c r="Y305" s="119"/>
      <c r="Z305" s="119"/>
      <c r="AA305" s="119"/>
    </row>
    <row r="306" spans="1:27" ht="15">
      <c r="A306" s="107">
        <f t="shared" si="47"/>
        <v>8</v>
      </c>
      <c r="B306" s="108" t="s">
        <v>168</v>
      </c>
      <c r="C306" s="109" t="s">
        <v>74</v>
      </c>
      <c r="D306" s="110">
        <v>46092</v>
      </c>
      <c r="E306" s="109" t="str">
        <f>VLOOKUP($C306,xe!$A:$B,2,0)</f>
        <v>50H-44024</v>
      </c>
      <c r="F306" s="111" t="str">
        <f>VLOOKUP($B306,ma!$A:$B,2,0)</f>
        <v>PHẠM ANH HÓC MÔN</v>
      </c>
      <c r="G306" s="112" t="s">
        <v>1790</v>
      </c>
      <c r="H306" s="113" t="s">
        <v>1615</v>
      </c>
      <c r="I306" s="114"/>
      <c r="J306" s="147" t="s">
        <v>1407</v>
      </c>
      <c r="K306" s="116">
        <v>1.6</v>
      </c>
      <c r="L306" s="117">
        <f t="shared" si="46"/>
        <v>80000</v>
      </c>
      <c r="M306" s="114"/>
      <c r="N306" s="118"/>
      <c r="O306" s="118">
        <v>1</v>
      </c>
      <c r="P306" s="114">
        <f>VLOOKUP($B306,ma!$A:$C,3,0)</f>
        <v>800000</v>
      </c>
      <c r="Q306" s="132">
        <v>880000</v>
      </c>
      <c r="R306" s="149">
        <v>0.1</v>
      </c>
      <c r="S306" s="119"/>
      <c r="T306" s="119"/>
      <c r="U306" s="119"/>
      <c r="V306" s="119"/>
      <c r="W306" s="119"/>
      <c r="X306" s="119"/>
      <c r="Y306" s="119"/>
      <c r="Z306" s="119"/>
      <c r="AA306" s="119"/>
    </row>
    <row r="307" spans="1:27" ht="15">
      <c r="A307" s="107">
        <f t="shared" si="47"/>
        <v>9</v>
      </c>
      <c r="B307" s="108" t="s">
        <v>168</v>
      </c>
      <c r="C307" s="109" t="s">
        <v>70</v>
      </c>
      <c r="D307" s="110">
        <v>46092</v>
      </c>
      <c r="E307" s="109" t="str">
        <f>VLOOKUP($C307,xe!$A:$B,2,0)</f>
        <v>50H-86564</v>
      </c>
      <c r="F307" s="111" t="str">
        <f>VLOOKUP($B307,ma!$A:$B,2,0)</f>
        <v>PHẠM ANH HÓC MÔN</v>
      </c>
      <c r="G307" s="112" t="s">
        <v>1791</v>
      </c>
      <c r="H307" s="113" t="s">
        <v>1615</v>
      </c>
      <c r="I307" s="114"/>
      <c r="J307" s="147" t="s">
        <v>1407</v>
      </c>
      <c r="K307" s="116">
        <v>1.6</v>
      </c>
      <c r="L307" s="117">
        <f t="shared" si="46"/>
        <v>80000</v>
      </c>
      <c r="M307" s="114"/>
      <c r="N307" s="118"/>
      <c r="O307" s="118">
        <v>1</v>
      </c>
      <c r="P307" s="114">
        <f>VLOOKUP($B307,ma!$A:$C,3,0)</f>
        <v>800000</v>
      </c>
      <c r="Q307" s="132">
        <v>880000</v>
      </c>
      <c r="R307" s="149">
        <v>0.1</v>
      </c>
      <c r="S307" s="119"/>
      <c r="T307" s="119"/>
      <c r="U307" s="119"/>
      <c r="V307" s="119"/>
      <c r="W307" s="119"/>
      <c r="X307" s="119"/>
      <c r="Y307" s="119"/>
      <c r="Z307" s="119"/>
      <c r="AA307" s="119"/>
    </row>
    <row r="308" spans="1:27" ht="15">
      <c r="A308" s="107">
        <f t="shared" si="47"/>
        <v>10</v>
      </c>
      <c r="B308" s="108" t="s">
        <v>909</v>
      </c>
      <c r="C308" s="109" t="s">
        <v>72</v>
      </c>
      <c r="D308" s="110">
        <v>46092</v>
      </c>
      <c r="E308" s="109" t="str">
        <f>VLOOKUP($C308,xe!$A:$B,2,0)</f>
        <v>47H-02023</v>
      </c>
      <c r="F308" s="111" t="str">
        <f>VLOOKUP($B308,ma!$A:$B,2,0)</f>
        <v>M. HIỆP PHÚ</v>
      </c>
      <c r="G308" s="112" t="s">
        <v>1792</v>
      </c>
      <c r="H308" s="113" t="s">
        <v>1620</v>
      </c>
      <c r="I308" s="114"/>
      <c r="J308" s="109"/>
      <c r="K308" s="116">
        <v>2.2000000000000002</v>
      </c>
      <c r="L308" s="117">
        <f t="shared" si="46"/>
        <v>110000.00000000001</v>
      </c>
      <c r="M308" s="114"/>
      <c r="N308" s="118"/>
      <c r="O308" s="118">
        <v>1</v>
      </c>
      <c r="P308" s="114">
        <f>VLOOKUP($B308,ma!$A:$C,3,0)</f>
        <v>800000</v>
      </c>
      <c r="Q308" s="132">
        <v>880000</v>
      </c>
      <c r="R308" s="149">
        <v>0.1</v>
      </c>
      <c r="S308" s="119"/>
      <c r="T308" s="119"/>
      <c r="U308" s="119"/>
      <c r="V308" s="119"/>
      <c r="W308" s="119"/>
      <c r="X308" s="119"/>
      <c r="Y308" s="119"/>
      <c r="Z308" s="119"/>
      <c r="AA308" s="119"/>
    </row>
    <row r="309" spans="1:27" ht="15">
      <c r="A309" s="107">
        <f t="shared" si="47"/>
        <v>11</v>
      </c>
      <c r="B309" s="108" t="s">
        <v>909</v>
      </c>
      <c r="C309" s="109" t="s">
        <v>76</v>
      </c>
      <c r="D309" s="110">
        <v>46092</v>
      </c>
      <c r="E309" s="109" t="str">
        <f>VLOOKUP($C309,xe!$A:$B,2,0)</f>
        <v>51D-38021</v>
      </c>
      <c r="F309" s="111" t="str">
        <f>VLOOKUP($B309,ma!$A:$B,2,0)</f>
        <v>M. HIỆP PHÚ</v>
      </c>
      <c r="G309" s="112" t="s">
        <v>1793</v>
      </c>
      <c r="H309" s="113" t="s">
        <v>1620</v>
      </c>
      <c r="I309" s="114"/>
      <c r="J309" s="109"/>
      <c r="K309" s="116">
        <v>2</v>
      </c>
      <c r="L309" s="117">
        <f t="shared" si="46"/>
        <v>100000</v>
      </c>
      <c r="M309" s="114"/>
      <c r="N309" s="118"/>
      <c r="O309" s="118">
        <v>1</v>
      </c>
      <c r="P309" s="114">
        <f>VLOOKUP($B309,ma!$A:$C,3,0)</f>
        <v>800000</v>
      </c>
      <c r="Q309" s="132">
        <v>880000</v>
      </c>
      <c r="R309" s="149">
        <v>0.1</v>
      </c>
      <c r="S309" s="119"/>
      <c r="T309" s="119"/>
      <c r="U309" s="119"/>
      <c r="V309" s="119"/>
      <c r="W309" s="119"/>
      <c r="X309" s="119"/>
      <c r="Y309" s="119"/>
      <c r="Z309" s="119"/>
      <c r="AA309" s="119"/>
    </row>
    <row r="310" spans="1:27" ht="15">
      <c r="A310" s="107">
        <f t="shared" si="47"/>
        <v>12</v>
      </c>
      <c r="B310" s="108" t="s">
        <v>442</v>
      </c>
      <c r="C310" s="109" t="s">
        <v>1577</v>
      </c>
      <c r="D310" s="110">
        <v>46092</v>
      </c>
      <c r="E310" s="109" t="str">
        <f>VLOOKUP($C310,xe!$A:$B,2,0)</f>
        <v>50H-63174</v>
      </c>
      <c r="F310" s="111" t="str">
        <f>VLOOKUP($B310,ma!$A:$B,2,0)</f>
        <v>NGUYỄN TRƯƠNG</v>
      </c>
      <c r="G310" s="112" t="s">
        <v>1794</v>
      </c>
      <c r="H310" s="113" t="s">
        <v>1620</v>
      </c>
      <c r="I310" s="114"/>
      <c r="J310" s="109"/>
      <c r="K310" s="116">
        <v>2.2000000000000002</v>
      </c>
      <c r="L310" s="117">
        <f t="shared" si="46"/>
        <v>110000.00000000001</v>
      </c>
      <c r="M310" s="114"/>
      <c r="N310" s="118"/>
      <c r="O310" s="118">
        <v>1</v>
      </c>
      <c r="P310" s="114">
        <f>VLOOKUP($B310,ma!$A:$C,3,0)</f>
        <v>800000</v>
      </c>
      <c r="Q310" s="132">
        <v>880000</v>
      </c>
      <c r="R310" s="149">
        <v>0.1</v>
      </c>
      <c r="S310" s="119"/>
      <c r="T310" s="119"/>
      <c r="U310" s="119"/>
      <c r="V310" s="119"/>
      <c r="W310" s="119"/>
      <c r="X310" s="119"/>
      <c r="Y310" s="119"/>
      <c r="Z310" s="119"/>
      <c r="AA310" s="119"/>
    </row>
    <row r="311" spans="1:27" ht="15">
      <c r="A311" s="107">
        <f t="shared" si="47"/>
        <v>13</v>
      </c>
      <c r="B311" s="108" t="s">
        <v>828</v>
      </c>
      <c r="C311" s="109" t="s">
        <v>1488</v>
      </c>
      <c r="D311" s="110">
        <v>46092</v>
      </c>
      <c r="E311" s="109" t="str">
        <f>VLOOKUP($C311,xe!$A:$B,2,0)</f>
        <v>50H-66445</v>
      </c>
      <c r="F311" s="111" t="str">
        <f>VLOOKUP($B311,ma!$A:$B,2,0)</f>
        <v>VĨNH PHONG</v>
      </c>
      <c r="G311" s="112" t="s">
        <v>1795</v>
      </c>
      <c r="H311" s="113" t="s">
        <v>1620</v>
      </c>
      <c r="I311" s="114"/>
      <c r="J311" s="109"/>
      <c r="K311" s="116">
        <v>1.4</v>
      </c>
      <c r="L311" s="117">
        <f t="shared" si="46"/>
        <v>70000</v>
      </c>
      <c r="M311" s="114"/>
      <c r="N311" s="118"/>
      <c r="O311" s="118">
        <v>1</v>
      </c>
      <c r="P311" s="114">
        <f>VLOOKUP($B311,ma!$A:$C,3,0)</f>
        <v>800000</v>
      </c>
      <c r="Q311" s="132">
        <v>880000</v>
      </c>
      <c r="R311" s="149">
        <v>0.1</v>
      </c>
      <c r="S311" s="119"/>
      <c r="T311" s="119"/>
      <c r="U311" s="119"/>
      <c r="V311" s="119"/>
      <c r="W311" s="119"/>
      <c r="X311" s="119"/>
      <c r="Y311" s="119"/>
      <c r="Z311" s="119"/>
      <c r="AA311" s="119"/>
    </row>
    <row r="312" spans="1:27" ht="15">
      <c r="A312" s="107">
        <f t="shared" si="47"/>
        <v>14</v>
      </c>
      <c r="B312" s="108" t="s">
        <v>1796</v>
      </c>
      <c r="C312" s="109" t="s">
        <v>1651</v>
      </c>
      <c r="D312" s="110">
        <v>46092</v>
      </c>
      <c r="E312" s="109" t="str">
        <f>VLOOKUP($C312,xe!$A:$B,2,0)</f>
        <v>50H-64316</v>
      </c>
      <c r="F312" s="111" t="str">
        <f>VLOOKUP($B312,ma!$A:$B,2,0)</f>
        <v>Khang Phát</v>
      </c>
      <c r="G312" s="112" t="s">
        <v>1797</v>
      </c>
      <c r="H312" s="113" t="s">
        <v>1620</v>
      </c>
      <c r="I312" s="114"/>
      <c r="J312" s="109"/>
      <c r="K312" s="116">
        <v>1.2</v>
      </c>
      <c r="L312" s="117">
        <f t="shared" si="46"/>
        <v>60000</v>
      </c>
      <c r="M312" s="127">
        <v>90000</v>
      </c>
      <c r="N312" s="131" t="s">
        <v>1798</v>
      </c>
      <c r="O312" s="118">
        <v>1</v>
      </c>
      <c r="P312" s="114">
        <f>VLOOKUP($B312,ma!$A:$C,3,0)</f>
        <v>800000</v>
      </c>
      <c r="Q312" s="132">
        <v>880000</v>
      </c>
      <c r="R312" s="149">
        <v>0.1</v>
      </c>
      <c r="S312" s="119"/>
      <c r="T312" s="119"/>
      <c r="U312" s="119"/>
      <c r="V312" s="119"/>
      <c r="W312" s="119"/>
      <c r="X312" s="119"/>
      <c r="Y312" s="119"/>
      <c r="Z312" s="119"/>
      <c r="AA312" s="119"/>
    </row>
    <row r="313" spans="1:27" ht="15">
      <c r="A313" s="107">
        <f t="shared" si="47"/>
        <v>15</v>
      </c>
      <c r="B313" s="108" t="s">
        <v>661</v>
      </c>
      <c r="C313" s="109" t="s">
        <v>1500</v>
      </c>
      <c r="D313" s="110">
        <v>46092</v>
      </c>
      <c r="E313" s="109" t="str">
        <f>VLOOKUP($C313,xe!$A:$B,2,0)</f>
        <v>50H 87442</v>
      </c>
      <c r="F313" s="111" t="str">
        <f>VLOOKUP($B313,ma!$A:$B,2,0)</f>
        <v>TM SB Q6</v>
      </c>
      <c r="G313" s="112" t="s">
        <v>1799</v>
      </c>
      <c r="H313" s="113" t="s">
        <v>1620</v>
      </c>
      <c r="I313" s="114"/>
      <c r="J313" s="109"/>
      <c r="K313" s="116">
        <v>1.2</v>
      </c>
      <c r="L313" s="117">
        <f t="shared" si="46"/>
        <v>60000</v>
      </c>
      <c r="M313" s="114"/>
      <c r="N313" s="118"/>
      <c r="O313" s="118">
        <v>1</v>
      </c>
      <c r="P313" s="114">
        <f>VLOOKUP($B313,ma!$A:$C,3,0)</f>
        <v>800000</v>
      </c>
      <c r="Q313" s="132">
        <v>880000</v>
      </c>
      <c r="R313" s="149">
        <v>0.1</v>
      </c>
      <c r="S313" s="119"/>
      <c r="T313" s="119"/>
      <c r="U313" s="119"/>
      <c r="V313" s="119"/>
      <c r="W313" s="119"/>
      <c r="X313" s="119"/>
      <c r="Y313" s="119"/>
      <c r="Z313" s="119"/>
      <c r="AA313" s="119"/>
    </row>
    <row r="314" spans="1:27" ht="15">
      <c r="A314" s="107">
        <f t="shared" si="47"/>
        <v>16</v>
      </c>
      <c r="B314" s="108" t="s">
        <v>551</v>
      </c>
      <c r="C314" s="109" t="s">
        <v>1655</v>
      </c>
      <c r="D314" s="110">
        <v>46092</v>
      </c>
      <c r="E314" s="109" t="str">
        <f>VLOOKUP($C314,xe!$A:$B,2,0)</f>
        <v>50H-70216</v>
      </c>
      <c r="F314" s="111" t="str">
        <f>VLOOKUP($B314,ma!$A:$B,2,0)</f>
        <v>LÊ GIA THỦ ĐỨC</v>
      </c>
      <c r="G314" s="112" t="s">
        <v>1800</v>
      </c>
      <c r="H314" s="113" t="s">
        <v>1620</v>
      </c>
      <c r="I314" s="114"/>
      <c r="J314" s="109"/>
      <c r="K314" s="116">
        <v>1.4</v>
      </c>
      <c r="L314" s="117">
        <f t="shared" si="46"/>
        <v>70000</v>
      </c>
      <c r="M314" s="114"/>
      <c r="N314" s="118"/>
      <c r="O314" s="118">
        <v>1</v>
      </c>
      <c r="P314" s="114">
        <f>VLOOKUP($B314,ma!$A:$C,3,0)</f>
        <v>800000</v>
      </c>
      <c r="Q314" s="132">
        <v>880000</v>
      </c>
      <c r="R314" s="149">
        <v>0.1</v>
      </c>
      <c r="S314" s="119"/>
      <c r="T314" s="119"/>
      <c r="U314" s="119"/>
      <c r="V314" s="119"/>
      <c r="W314" s="119"/>
      <c r="X314" s="119"/>
      <c r="Y314" s="119"/>
      <c r="Z314" s="119"/>
      <c r="AA314" s="119"/>
    </row>
    <row r="315" spans="1:27" ht="15">
      <c r="A315" s="107">
        <f t="shared" si="47"/>
        <v>17</v>
      </c>
      <c r="B315" s="108" t="s">
        <v>866</v>
      </c>
      <c r="C315" s="109" t="s">
        <v>1801</v>
      </c>
      <c r="D315" s="110">
        <v>46092</v>
      </c>
      <c r="E315" s="109" t="str">
        <f>VLOOKUP($C315,xe!$A:$B,2,0)</f>
        <v>50H-69501</v>
      </c>
      <c r="F315" s="111" t="str">
        <f>VLOOKUP($B315,ma!$A:$B,2,0)</f>
        <v>XUÂN VÂN ( K BX )</v>
      </c>
      <c r="G315" s="112" t="s">
        <v>1802</v>
      </c>
      <c r="H315" s="113" t="s">
        <v>1512</v>
      </c>
      <c r="I315" s="114"/>
      <c r="J315" s="109"/>
      <c r="K315" s="116">
        <v>1.8</v>
      </c>
      <c r="L315" s="117">
        <v>50000</v>
      </c>
      <c r="M315" s="114"/>
      <c r="N315" s="118"/>
      <c r="O315" s="118">
        <v>1</v>
      </c>
      <c r="P315" s="114">
        <f>VLOOKUP($B315,ma!$A:$C,3,0)</f>
        <v>800000</v>
      </c>
      <c r="Q315" s="132">
        <v>880000</v>
      </c>
      <c r="R315" s="149">
        <v>0.1</v>
      </c>
      <c r="S315" s="119"/>
      <c r="T315" s="119"/>
      <c r="U315" s="119"/>
      <c r="V315" s="119"/>
      <c r="W315" s="119"/>
      <c r="X315" s="119"/>
      <c r="Y315" s="119"/>
      <c r="Z315" s="119"/>
      <c r="AA315" s="119"/>
    </row>
    <row r="316" spans="1:27" ht="15">
      <c r="A316" s="107">
        <f t="shared" si="47"/>
        <v>18</v>
      </c>
      <c r="B316" s="108" t="s">
        <v>866</v>
      </c>
      <c r="C316" s="109" t="s">
        <v>19</v>
      </c>
      <c r="D316" s="110">
        <v>46092</v>
      </c>
      <c r="E316" s="109" t="str">
        <f>VLOOKUP($C316,xe!$A:$B,2,0)</f>
        <v>51H -88294</v>
      </c>
      <c r="F316" s="111" t="str">
        <f>VLOOKUP($B316,ma!$A:$B,2,0)</f>
        <v>XUÂN VÂN ( K BX )</v>
      </c>
      <c r="G316" s="112" t="s">
        <v>1803</v>
      </c>
      <c r="H316" s="113" t="s">
        <v>1512</v>
      </c>
      <c r="I316" s="114"/>
      <c r="J316" s="115" t="s">
        <v>455</v>
      </c>
      <c r="K316" s="116">
        <v>2</v>
      </c>
      <c r="L316" s="117">
        <v>50000</v>
      </c>
      <c r="M316" s="114"/>
      <c r="N316" s="118"/>
      <c r="O316" s="118">
        <v>1</v>
      </c>
      <c r="P316" s="114">
        <f>VLOOKUP($B316,ma!$A:$C,3,0)</f>
        <v>800000</v>
      </c>
      <c r="Q316" s="132">
        <v>880000</v>
      </c>
      <c r="R316" s="149">
        <v>0.1</v>
      </c>
      <c r="S316" s="119"/>
      <c r="T316" s="119"/>
      <c r="U316" s="119"/>
      <c r="V316" s="119"/>
      <c r="W316" s="119"/>
      <c r="X316" s="119"/>
      <c r="Y316" s="119"/>
      <c r="Z316" s="119"/>
      <c r="AA316" s="119"/>
    </row>
    <row r="317" spans="1:27" ht="15">
      <c r="A317" s="107">
        <f t="shared" si="47"/>
        <v>19</v>
      </c>
      <c r="B317" s="108" t="s">
        <v>866</v>
      </c>
      <c r="C317" s="109" t="s">
        <v>1657</v>
      </c>
      <c r="D317" s="110">
        <v>46092</v>
      </c>
      <c r="E317" s="109" t="str">
        <f>VLOOKUP($C317,xe!$A:$B,2,0)</f>
        <v>50H-64470</v>
      </c>
      <c r="F317" s="111" t="str">
        <f>VLOOKUP($B317,ma!$A:$B,2,0)</f>
        <v>XUÂN VÂN ( K BX )</v>
      </c>
      <c r="G317" s="112" t="s">
        <v>1804</v>
      </c>
      <c r="H317" s="113" t="s">
        <v>1512</v>
      </c>
      <c r="I317" s="114"/>
      <c r="J317" s="115" t="s">
        <v>1805</v>
      </c>
      <c r="K317" s="116">
        <v>2</v>
      </c>
      <c r="L317" s="117">
        <v>50000</v>
      </c>
      <c r="M317" s="114"/>
      <c r="N317" s="118"/>
      <c r="O317" s="118">
        <v>1</v>
      </c>
      <c r="P317" s="114">
        <f>VLOOKUP($B317,ma!$A:$C,3,0)</f>
        <v>800000</v>
      </c>
      <c r="Q317" s="132">
        <v>880000</v>
      </c>
      <c r="R317" s="149">
        <v>0.1</v>
      </c>
      <c r="S317" s="119"/>
      <c r="T317" s="119"/>
      <c r="U317" s="119"/>
      <c r="V317" s="119"/>
      <c r="W317" s="119"/>
      <c r="X317" s="119"/>
      <c r="Y317" s="119"/>
      <c r="Z317" s="119"/>
      <c r="AA317" s="119"/>
    </row>
    <row r="318" spans="1:27" ht="15">
      <c r="A318" s="107">
        <f t="shared" si="47"/>
        <v>20</v>
      </c>
      <c r="B318" s="108" t="s">
        <v>1713</v>
      </c>
      <c r="C318" s="109" t="s">
        <v>1546</v>
      </c>
      <c r="D318" s="110">
        <v>46092</v>
      </c>
      <c r="E318" s="109" t="str">
        <f>VLOOKUP($C318,xe!$A:$B,2,0)</f>
        <v>50H-54580</v>
      </c>
      <c r="F318" s="111" t="str">
        <f>VLOOKUP($B318,ma!$A:$B,2,0)</f>
        <v>HÂN PHÚ</v>
      </c>
      <c r="G318" s="112" t="s">
        <v>1806</v>
      </c>
      <c r="H318" s="113" t="s">
        <v>1620</v>
      </c>
      <c r="I318" s="114"/>
      <c r="J318" s="109"/>
      <c r="K318" s="116">
        <v>2.2000000000000002</v>
      </c>
      <c r="L318" s="117">
        <f>K318*50000</f>
        <v>110000.00000000001</v>
      </c>
      <c r="M318" s="114"/>
      <c r="N318" s="118"/>
      <c r="O318" s="118">
        <v>1</v>
      </c>
      <c r="P318" s="114">
        <f>VLOOKUP($B318,ma!$A:$C,3,0)</f>
        <v>800000</v>
      </c>
      <c r="Q318" s="132">
        <v>880000</v>
      </c>
      <c r="R318" s="149">
        <v>0.1</v>
      </c>
      <c r="S318" s="119"/>
      <c r="T318" s="119"/>
      <c r="U318" s="119"/>
      <c r="V318" s="119"/>
      <c r="W318" s="119"/>
      <c r="X318" s="119"/>
      <c r="Y318" s="119"/>
      <c r="Z318" s="119"/>
      <c r="AA318" s="119"/>
    </row>
    <row r="319" spans="1:27" ht="15">
      <c r="A319" s="107">
        <f t="shared" si="47"/>
        <v>21</v>
      </c>
      <c r="B319" s="108" t="s">
        <v>289</v>
      </c>
      <c r="C319" s="109" t="s">
        <v>68</v>
      </c>
      <c r="D319" s="110">
        <v>46092</v>
      </c>
      <c r="E319" s="109" t="str">
        <f>VLOOKUP($C319,xe!$A:$B,2,0)</f>
        <v>50H-55829</v>
      </c>
      <c r="F319" s="111" t="str">
        <f>VLOOKUP($B319,ma!$A:$B,2,0)</f>
        <v>ANFOOD Q12 ( K BX )</v>
      </c>
      <c r="G319" s="112" t="s">
        <v>1807</v>
      </c>
      <c r="H319" s="113" t="s">
        <v>1615</v>
      </c>
      <c r="I319" s="114"/>
      <c r="J319" s="109"/>
      <c r="K319" s="116">
        <v>2</v>
      </c>
      <c r="L319" s="117"/>
      <c r="M319" s="114"/>
      <c r="N319" s="118"/>
      <c r="O319" s="118">
        <v>1</v>
      </c>
      <c r="P319" s="114">
        <f>VLOOKUP($B319,ma!$A:$C,3,0)</f>
        <v>800000</v>
      </c>
      <c r="Q319" s="132">
        <v>880000</v>
      </c>
      <c r="R319" s="149">
        <v>0.1</v>
      </c>
      <c r="S319" s="119"/>
      <c r="T319" s="119"/>
      <c r="U319" s="119"/>
      <c r="V319" s="119"/>
      <c r="W319" s="119"/>
      <c r="X319" s="119"/>
      <c r="Y319" s="119"/>
      <c r="Z319" s="119"/>
      <c r="AA319" s="119"/>
    </row>
    <row r="320" spans="1:27" ht="15">
      <c r="A320" s="107">
        <f t="shared" si="47"/>
        <v>22</v>
      </c>
      <c r="B320" s="108" t="s">
        <v>289</v>
      </c>
      <c r="C320" s="109" t="s">
        <v>62</v>
      </c>
      <c r="D320" s="110">
        <v>46092</v>
      </c>
      <c r="E320" s="109" t="str">
        <f>VLOOKUP($C320,xe!$A:$B,2,0)</f>
        <v>62H-01887</v>
      </c>
      <c r="F320" s="111" t="str">
        <f>VLOOKUP($B320,ma!$A:$B,2,0)</f>
        <v>ANFOOD Q12 ( K BX )</v>
      </c>
      <c r="G320" s="112" t="s">
        <v>1808</v>
      </c>
      <c r="H320" s="113" t="s">
        <v>1615</v>
      </c>
      <c r="I320" s="114"/>
      <c r="J320" s="109"/>
      <c r="K320" s="116">
        <v>2</v>
      </c>
      <c r="L320" s="117"/>
      <c r="M320" s="114"/>
      <c r="N320" s="118"/>
      <c r="O320" s="118">
        <v>1</v>
      </c>
      <c r="P320" s="114">
        <f>VLOOKUP($B320,ma!$A:$C,3,0)</f>
        <v>800000</v>
      </c>
      <c r="Q320" s="132">
        <v>880000</v>
      </c>
      <c r="R320" s="149">
        <v>0.1</v>
      </c>
      <c r="S320" s="119"/>
      <c r="T320" s="119"/>
      <c r="U320" s="119"/>
      <c r="V320" s="119"/>
      <c r="W320" s="119"/>
      <c r="X320" s="119"/>
      <c r="Y320" s="119"/>
      <c r="Z320" s="119"/>
      <c r="AA320" s="119"/>
    </row>
    <row r="321" spans="1:27" ht="15">
      <c r="A321" s="107">
        <f t="shared" si="47"/>
        <v>23</v>
      </c>
      <c r="B321" s="108" t="s">
        <v>822</v>
      </c>
      <c r="C321" s="109" t="s">
        <v>78</v>
      </c>
      <c r="D321" s="110">
        <v>46092</v>
      </c>
      <c r="E321" s="133" t="str">
        <f>VLOOKUP($C321,xe!$A:$B,2,0)</f>
        <v>50E-565,21</v>
      </c>
      <c r="F321" s="111" t="str">
        <f>VLOOKUP($B321,ma!$A:$B,2,0)</f>
        <v>VƯƠNG TƯỜNG VÂN</v>
      </c>
      <c r="G321" s="112" t="s">
        <v>1809</v>
      </c>
      <c r="H321" s="113" t="s">
        <v>1615</v>
      </c>
      <c r="I321" s="114"/>
      <c r="J321" s="109"/>
      <c r="K321" s="116">
        <v>1.8</v>
      </c>
      <c r="L321" s="117">
        <f t="shared" ref="L321:L323" si="48">K321*50000</f>
        <v>90000</v>
      </c>
      <c r="M321" s="114"/>
      <c r="N321" s="118"/>
      <c r="O321" s="118">
        <v>1</v>
      </c>
      <c r="P321" s="114">
        <f>VLOOKUP($B321,ma!$A:$C,3,0)</f>
        <v>800000</v>
      </c>
      <c r="Q321" s="132">
        <v>880000</v>
      </c>
      <c r="R321" s="149">
        <v>0.1</v>
      </c>
      <c r="S321" s="119"/>
      <c r="T321" s="119"/>
      <c r="U321" s="119"/>
      <c r="V321" s="119"/>
      <c r="W321" s="119"/>
      <c r="X321" s="119"/>
      <c r="Y321" s="119"/>
      <c r="Z321" s="119"/>
      <c r="AA321" s="119"/>
    </row>
    <row r="322" spans="1:27" ht="15">
      <c r="A322" s="107">
        <f t="shared" si="47"/>
        <v>24</v>
      </c>
      <c r="B322" s="108" t="s">
        <v>822</v>
      </c>
      <c r="C322" s="109" t="s">
        <v>1662</v>
      </c>
      <c r="D322" s="110">
        <v>46092</v>
      </c>
      <c r="E322" s="109" t="str">
        <f>VLOOKUP($C322,xe!$A:$B,2,0)</f>
        <v>50H-74619</v>
      </c>
      <c r="F322" s="111" t="str">
        <f>VLOOKUP($B322,ma!$A:$B,2,0)</f>
        <v>VƯƠNG TƯỜNG VÂN</v>
      </c>
      <c r="G322" s="112" t="s">
        <v>1810</v>
      </c>
      <c r="H322" s="113" t="s">
        <v>1615</v>
      </c>
      <c r="I322" s="114">
        <v>10000</v>
      </c>
      <c r="J322" s="109"/>
      <c r="K322" s="116">
        <v>1.6</v>
      </c>
      <c r="L322" s="117">
        <f t="shared" si="48"/>
        <v>80000</v>
      </c>
      <c r="M322" s="114"/>
      <c r="N322" s="118"/>
      <c r="O322" s="118">
        <v>1</v>
      </c>
      <c r="P322" s="114">
        <f>VLOOKUP($B322,ma!$A:$C,3,0)</f>
        <v>800000</v>
      </c>
      <c r="Q322" s="132">
        <v>880000</v>
      </c>
      <c r="R322" s="149">
        <v>0.1</v>
      </c>
      <c r="S322" s="119"/>
      <c r="T322" s="119"/>
      <c r="U322" s="119"/>
      <c r="V322" s="119"/>
      <c r="W322" s="119"/>
      <c r="X322" s="119"/>
      <c r="Y322" s="119"/>
      <c r="Z322" s="119"/>
      <c r="AA322" s="119"/>
    </row>
    <row r="323" spans="1:27" ht="15">
      <c r="A323" s="107">
        <f t="shared" si="47"/>
        <v>25</v>
      </c>
      <c r="B323" s="108" t="s">
        <v>625</v>
      </c>
      <c r="C323" s="109" t="s">
        <v>1493</v>
      </c>
      <c r="D323" s="110">
        <v>46092</v>
      </c>
      <c r="E323" s="109" t="str">
        <f>VLOOKUP($C323,xe!$A:$B,2,0)</f>
        <v>50H-55161</v>
      </c>
      <c r="F323" s="111" t="str">
        <f>VLOOKUP($B323,ma!$A:$B,2,0)</f>
        <v>GOLDEN SWORD</v>
      </c>
      <c r="G323" s="112" t="s">
        <v>1811</v>
      </c>
      <c r="H323" s="113" t="s">
        <v>1620</v>
      </c>
      <c r="I323" s="114"/>
      <c r="J323" s="109"/>
      <c r="K323" s="116">
        <v>1</v>
      </c>
      <c r="L323" s="117">
        <f t="shared" si="48"/>
        <v>50000</v>
      </c>
      <c r="M323" s="114">
        <v>80000</v>
      </c>
      <c r="N323" s="118" t="s">
        <v>1812</v>
      </c>
      <c r="O323" s="118">
        <v>1</v>
      </c>
      <c r="P323" s="114">
        <f>VLOOKUP($B323,ma!$A:$C,3,0)</f>
        <v>800000</v>
      </c>
      <c r="Q323" s="132">
        <v>880000</v>
      </c>
      <c r="R323" s="149">
        <v>0.1</v>
      </c>
      <c r="S323" s="119"/>
      <c r="T323" s="119"/>
      <c r="U323" s="119"/>
      <c r="V323" s="119"/>
      <c r="W323" s="119"/>
      <c r="X323" s="119"/>
      <c r="Y323" s="119"/>
      <c r="Z323" s="119"/>
      <c r="AA323" s="119"/>
    </row>
    <row r="324" spans="1:27" ht="15">
      <c r="A324" s="107">
        <f t="shared" si="47"/>
        <v>26</v>
      </c>
      <c r="B324" s="108" t="s">
        <v>1449</v>
      </c>
      <c r="C324" s="109" t="s">
        <v>1577</v>
      </c>
      <c r="D324" s="110">
        <v>46092</v>
      </c>
      <c r="E324" s="109" t="str">
        <f>VLOOKUP($C324,xe!$A:$B,2,0)</f>
        <v>50H-63174</v>
      </c>
      <c r="F324" s="111" t="str">
        <f>VLOOKUP($B324,ma!$A:$B,2,0)</f>
        <v>BHX NHÀ BÈ</v>
      </c>
      <c r="G324" s="112" t="s">
        <v>1813</v>
      </c>
      <c r="H324" s="113" t="s">
        <v>1620</v>
      </c>
      <c r="I324" s="114"/>
      <c r="J324" s="109"/>
      <c r="K324" s="116">
        <v>2</v>
      </c>
      <c r="L324" s="134">
        <v>210000</v>
      </c>
      <c r="M324" s="114"/>
      <c r="N324" s="118"/>
      <c r="O324" s="118">
        <v>1</v>
      </c>
      <c r="P324" s="114">
        <f>VLOOKUP($B324,ma!$A:$C,3,0)</f>
        <v>400000</v>
      </c>
      <c r="Q324" s="132">
        <v>440000</v>
      </c>
      <c r="R324" s="149">
        <v>0.1</v>
      </c>
      <c r="S324" s="119"/>
      <c r="T324" s="119"/>
      <c r="U324" s="119"/>
      <c r="V324" s="119"/>
      <c r="W324" s="119"/>
      <c r="X324" s="119"/>
      <c r="Y324" s="119"/>
      <c r="Z324" s="119"/>
      <c r="AA324" s="119"/>
    </row>
    <row r="325" spans="1:27" ht="15">
      <c r="A325" s="107">
        <f t="shared" si="47"/>
        <v>27</v>
      </c>
      <c r="B325" s="108" t="s">
        <v>1449</v>
      </c>
      <c r="C325" s="109" t="s">
        <v>1651</v>
      </c>
      <c r="D325" s="110">
        <v>46092</v>
      </c>
      <c r="E325" s="109" t="str">
        <f>VLOOKUP($C325,xe!$A:$B,2,0)</f>
        <v>50H-64316</v>
      </c>
      <c r="F325" s="111" t="str">
        <f>VLOOKUP($B325,ma!$A:$B,2,0)</f>
        <v>BHX NHÀ BÈ</v>
      </c>
      <c r="G325" s="112" t="s">
        <v>1814</v>
      </c>
      <c r="H325" s="113" t="s">
        <v>1615</v>
      </c>
      <c r="I325" s="114"/>
      <c r="J325" s="109"/>
      <c r="K325" s="116">
        <v>2</v>
      </c>
      <c r="L325" s="134">
        <v>210000</v>
      </c>
      <c r="M325" s="114"/>
      <c r="N325" s="118"/>
      <c r="O325" s="118">
        <v>1</v>
      </c>
      <c r="P325" s="114">
        <f>VLOOKUP($B325,ma!$A:$C,3,0)</f>
        <v>400000</v>
      </c>
      <c r="Q325" s="132">
        <v>440000</v>
      </c>
      <c r="R325" s="149">
        <v>0.1</v>
      </c>
      <c r="S325" s="119"/>
      <c r="T325" s="119"/>
      <c r="U325" s="119"/>
      <c r="V325" s="119"/>
      <c r="W325" s="119"/>
      <c r="X325" s="119"/>
      <c r="Y325" s="119"/>
      <c r="Z325" s="119"/>
      <c r="AA325" s="119"/>
    </row>
    <row r="326" spans="1:27" ht="15">
      <c r="A326" s="107">
        <f t="shared" si="47"/>
        <v>28</v>
      </c>
      <c r="B326" s="108" t="s">
        <v>1751</v>
      </c>
      <c r="C326" s="109" t="s">
        <v>1546</v>
      </c>
      <c r="D326" s="110">
        <v>46092</v>
      </c>
      <c r="E326" s="109" t="str">
        <f>VLOOKUP($C326,xe!$A:$B,2,0)</f>
        <v>50H-54580</v>
      </c>
      <c r="F326" s="111" t="str">
        <f>VLOOKUP($B326,ma!$A:$B,2,0)</f>
        <v>BIBICA MIỀN TÂY ( KBX )</v>
      </c>
      <c r="G326" s="112" t="s">
        <v>1815</v>
      </c>
      <c r="H326" s="113" t="s">
        <v>1615</v>
      </c>
      <c r="I326" s="114"/>
      <c r="J326" s="109"/>
      <c r="K326" s="116">
        <v>1</v>
      </c>
      <c r="L326" s="117">
        <v>50000</v>
      </c>
      <c r="M326" s="114">
        <v>50000</v>
      </c>
      <c r="N326" s="118" t="s">
        <v>1427</v>
      </c>
      <c r="O326" s="118">
        <v>1</v>
      </c>
      <c r="P326" s="114">
        <f>VLOOKUP($B326,ma!$A:$C,3,0)</f>
        <v>900000</v>
      </c>
      <c r="Q326" s="132">
        <v>990000</v>
      </c>
      <c r="R326" s="149">
        <v>0.1</v>
      </c>
      <c r="S326" s="119"/>
      <c r="T326" s="119"/>
      <c r="U326" s="119"/>
      <c r="V326" s="119"/>
      <c r="W326" s="119"/>
      <c r="X326" s="119"/>
      <c r="Y326" s="119"/>
      <c r="Z326" s="119"/>
      <c r="AA326" s="119"/>
    </row>
    <row r="327" spans="1:27" ht="15">
      <c r="A327" s="107">
        <f t="shared" si="47"/>
        <v>29</v>
      </c>
      <c r="B327" s="108" t="s">
        <v>1069</v>
      </c>
      <c r="C327" s="109" t="s">
        <v>1657</v>
      </c>
      <c r="D327" s="110">
        <v>46092</v>
      </c>
      <c r="E327" s="109" t="str">
        <f>VLOOKUP($C327,xe!$A:$B,2,0)</f>
        <v>50H-64470</v>
      </c>
      <c r="F327" s="111" t="str">
        <f>VLOOKUP($B327,ma!$A:$B,2,0)</f>
        <v>BHX XUYÊN Á</v>
      </c>
      <c r="G327" s="112" t="s">
        <v>1816</v>
      </c>
      <c r="H327" s="113" t="s">
        <v>1615</v>
      </c>
      <c r="I327" s="114"/>
      <c r="J327" s="109"/>
      <c r="K327" s="116">
        <v>1.4</v>
      </c>
      <c r="L327" s="134">
        <v>170000</v>
      </c>
      <c r="M327" s="114">
        <v>30000</v>
      </c>
      <c r="N327" s="118" t="s">
        <v>1423</v>
      </c>
      <c r="O327" s="118">
        <v>1</v>
      </c>
      <c r="P327" s="114">
        <f>VLOOKUP($B327,ma!$A:$C,3,0)</f>
        <v>900000</v>
      </c>
      <c r="Q327" s="132">
        <v>990000</v>
      </c>
      <c r="R327" s="149">
        <v>0.1</v>
      </c>
      <c r="S327" s="119"/>
      <c r="T327" s="119"/>
      <c r="U327" s="119"/>
      <c r="V327" s="119"/>
      <c r="W327" s="119"/>
      <c r="X327" s="119"/>
      <c r="Y327" s="119"/>
      <c r="Z327" s="119"/>
      <c r="AA327" s="119"/>
    </row>
    <row r="328" spans="1:27" ht="15">
      <c r="A328" s="107">
        <f t="shared" si="47"/>
        <v>30</v>
      </c>
      <c r="B328" s="108" t="s">
        <v>1069</v>
      </c>
      <c r="C328" s="109" t="s">
        <v>1801</v>
      </c>
      <c r="D328" s="110">
        <v>46092</v>
      </c>
      <c r="E328" s="109" t="str">
        <f>VLOOKUP($C328,xe!$A:$B,2,0)</f>
        <v>50H-69501</v>
      </c>
      <c r="F328" s="111" t="str">
        <f>VLOOKUP($B328,ma!$A:$B,2,0)</f>
        <v>BHX XUYÊN Á</v>
      </c>
      <c r="G328" s="112" t="s">
        <v>1817</v>
      </c>
      <c r="H328" s="113" t="s">
        <v>1615</v>
      </c>
      <c r="I328" s="114"/>
      <c r="J328" s="109"/>
      <c r="K328" s="116">
        <v>1.6</v>
      </c>
      <c r="L328" s="134">
        <v>210000</v>
      </c>
      <c r="M328" s="114"/>
      <c r="N328" s="118"/>
      <c r="O328" s="118">
        <v>1</v>
      </c>
      <c r="P328" s="114">
        <f>VLOOKUP($B328,ma!$A:$C,3,0)</f>
        <v>900000</v>
      </c>
      <c r="Q328" s="132">
        <v>990000</v>
      </c>
      <c r="R328" s="149">
        <v>0.1</v>
      </c>
      <c r="S328" s="119"/>
      <c r="T328" s="119"/>
      <c r="U328" s="119"/>
      <c r="V328" s="119"/>
      <c r="W328" s="119"/>
      <c r="X328" s="119"/>
      <c r="Y328" s="119"/>
      <c r="Z328" s="119"/>
      <c r="AA328" s="119"/>
    </row>
    <row r="329" spans="1:27" ht="15">
      <c r="A329" s="107">
        <f t="shared" si="47"/>
        <v>31</v>
      </c>
      <c r="B329" s="108" t="s">
        <v>1069</v>
      </c>
      <c r="C329" s="109" t="s">
        <v>1404</v>
      </c>
      <c r="D329" s="110">
        <v>46092</v>
      </c>
      <c r="E329" s="109" t="str">
        <f>VLOOKUP($C329,xe!$A:$B,2,0)</f>
        <v>51C-81056</v>
      </c>
      <c r="F329" s="111" t="str">
        <f>VLOOKUP($B329,ma!$A:$B,2,0)</f>
        <v>BHX XUYÊN Á</v>
      </c>
      <c r="G329" s="112" t="s">
        <v>1818</v>
      </c>
      <c r="H329" s="113" t="s">
        <v>1615</v>
      </c>
      <c r="I329" s="114"/>
      <c r="J329" s="109"/>
      <c r="K329" s="116">
        <v>1.6</v>
      </c>
      <c r="L329" s="117">
        <f>K329*80000</f>
        <v>128000</v>
      </c>
      <c r="M329" s="114"/>
      <c r="N329" s="118"/>
      <c r="O329" s="118">
        <v>1</v>
      </c>
      <c r="P329" s="114">
        <f>VLOOKUP($B329,ma!$A:$C,3,0)</f>
        <v>900000</v>
      </c>
      <c r="Q329" s="132">
        <v>990000</v>
      </c>
      <c r="R329" s="149">
        <v>0.1</v>
      </c>
      <c r="S329" s="119"/>
      <c r="T329" s="119"/>
      <c r="U329" s="119"/>
      <c r="V329" s="119"/>
      <c r="W329" s="119"/>
      <c r="X329" s="119"/>
      <c r="Y329" s="119"/>
      <c r="Z329" s="119"/>
      <c r="AA329" s="119"/>
    </row>
    <row r="330" spans="1:27" ht="15">
      <c r="A330" s="107">
        <f t="shared" si="47"/>
        <v>32</v>
      </c>
      <c r="B330" s="108" t="s">
        <v>1063</v>
      </c>
      <c r="C330" s="109" t="s">
        <v>1488</v>
      </c>
      <c r="D330" s="110">
        <v>46092</v>
      </c>
      <c r="E330" s="109" t="str">
        <f>VLOOKUP($C330,xe!$A:$B,2,0)</f>
        <v>50H-66445</v>
      </c>
      <c r="F330" s="111" t="str">
        <f>VLOOKUP($B330,ma!$A:$B,2,0)</f>
        <v>BHX CẦN ĐƯỚC</v>
      </c>
      <c r="G330" s="112" t="s">
        <v>1819</v>
      </c>
      <c r="H330" s="113" t="s">
        <v>1615</v>
      </c>
      <c r="I330" s="114"/>
      <c r="J330" s="109"/>
      <c r="K330" s="116">
        <v>1.6</v>
      </c>
      <c r="L330" s="134">
        <v>190000</v>
      </c>
      <c r="M330" s="114"/>
      <c r="N330" s="118"/>
      <c r="O330" s="118">
        <v>1</v>
      </c>
      <c r="P330" s="114">
        <f>VLOOKUP($B330,ma!$A:$C,3,0)</f>
        <v>900000</v>
      </c>
      <c r="Q330" s="132">
        <v>990000</v>
      </c>
      <c r="R330" s="149">
        <v>0.1</v>
      </c>
      <c r="S330" s="119"/>
      <c r="T330" s="119"/>
      <c r="U330" s="119"/>
      <c r="V330" s="119"/>
      <c r="W330" s="119"/>
      <c r="X330" s="119"/>
      <c r="Y330" s="119"/>
      <c r="Z330" s="119"/>
      <c r="AA330" s="119"/>
    </row>
    <row r="331" spans="1:27" ht="15">
      <c r="A331" s="107">
        <f t="shared" si="47"/>
        <v>33</v>
      </c>
      <c r="B331" s="108" t="s">
        <v>1063</v>
      </c>
      <c r="C331" s="109" t="s">
        <v>1500</v>
      </c>
      <c r="D331" s="110">
        <v>46092</v>
      </c>
      <c r="E331" s="109" t="str">
        <f>VLOOKUP($C331,xe!$A:$B,2,0)</f>
        <v>50H 87442</v>
      </c>
      <c r="F331" s="111" t="str">
        <f>VLOOKUP($B331,ma!$A:$B,2,0)</f>
        <v>BHX CẦN ĐƯỚC</v>
      </c>
      <c r="G331" s="112" t="s">
        <v>1820</v>
      </c>
      <c r="H331" s="113" t="s">
        <v>1615</v>
      </c>
      <c r="I331" s="114"/>
      <c r="J331" s="109"/>
      <c r="K331" s="116">
        <v>1.6</v>
      </c>
      <c r="L331" s="134">
        <v>190000</v>
      </c>
      <c r="M331" s="114">
        <v>30000</v>
      </c>
      <c r="N331" s="118" t="s">
        <v>1423</v>
      </c>
      <c r="O331" s="118">
        <v>1</v>
      </c>
      <c r="P331" s="114">
        <f>VLOOKUP($B331,ma!$A:$C,3,0)</f>
        <v>900000</v>
      </c>
      <c r="Q331" s="132">
        <v>990000</v>
      </c>
      <c r="R331" s="149">
        <v>0.1</v>
      </c>
      <c r="S331" s="119"/>
      <c r="T331" s="119"/>
      <c r="U331" s="119"/>
      <c r="V331" s="119"/>
      <c r="W331" s="119"/>
      <c r="X331" s="119"/>
      <c r="Y331" s="119"/>
      <c r="Z331" s="119"/>
      <c r="AA331" s="119"/>
    </row>
    <row r="332" spans="1:27" ht="15">
      <c r="A332" s="137">
        <v>1</v>
      </c>
      <c r="B332" s="138" t="s">
        <v>1677</v>
      </c>
      <c r="C332" s="139" t="s">
        <v>1655</v>
      </c>
      <c r="D332" s="140">
        <v>46093</v>
      </c>
      <c r="E332" s="139" t="str">
        <f>VLOOKUP($C332,xe!$A:$B,2,0)</f>
        <v>50H-70216</v>
      </c>
      <c r="F332" s="141" t="str">
        <f>VLOOKUP($B332,ma!$A:$B,2,0)</f>
        <v>CALOFIC - UNI ( xe nhỏ )</v>
      </c>
      <c r="G332" s="142" t="s">
        <v>1784</v>
      </c>
      <c r="H332" s="126" t="s">
        <v>1615</v>
      </c>
      <c r="I332" s="132"/>
      <c r="J332" s="115" t="s">
        <v>140</v>
      </c>
      <c r="K332" s="129">
        <v>2</v>
      </c>
      <c r="L332" s="143">
        <f t="shared" ref="L332:L336" si="49">K332*50000</f>
        <v>100000</v>
      </c>
      <c r="M332" s="132"/>
      <c r="N332" s="144"/>
      <c r="O332" s="144">
        <v>1</v>
      </c>
      <c r="P332" s="132">
        <f>VLOOKUP($B332,ma!$A:$C,3,0)</f>
        <v>300000</v>
      </c>
      <c r="Q332" s="132">
        <v>400000</v>
      </c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</row>
    <row r="333" spans="1:27" ht="15">
      <c r="A333" s="107">
        <f t="shared" ref="A333:A371" si="50">A332+1</f>
        <v>2</v>
      </c>
      <c r="B333" s="108" t="s">
        <v>1677</v>
      </c>
      <c r="C333" s="109" t="s">
        <v>1662</v>
      </c>
      <c r="D333" s="110">
        <v>46093</v>
      </c>
      <c r="E333" s="109" t="str">
        <f>VLOOKUP($C333,xe!$A:$B,2,0)</f>
        <v>50H-74619</v>
      </c>
      <c r="F333" s="111" t="str">
        <f>VLOOKUP($B333,ma!$A:$B,2,0)</f>
        <v>CALOFIC - UNI ( xe nhỏ )</v>
      </c>
      <c r="G333" s="112" t="s">
        <v>1784</v>
      </c>
      <c r="H333" s="113" t="s">
        <v>1615</v>
      </c>
      <c r="I333" s="114"/>
      <c r="J333" s="115" t="s">
        <v>140</v>
      </c>
      <c r="K333" s="116">
        <v>2</v>
      </c>
      <c r="L333" s="117">
        <f t="shared" si="49"/>
        <v>100000</v>
      </c>
      <c r="M333" s="114"/>
      <c r="N333" s="118"/>
      <c r="O333" s="118">
        <v>1</v>
      </c>
      <c r="P333" s="114">
        <f>VLOOKUP($B333,ma!$A:$C,3,0)</f>
        <v>300000</v>
      </c>
      <c r="Q333" s="114">
        <v>400000</v>
      </c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</row>
    <row r="334" spans="1:27" ht="15">
      <c r="A334" s="107">
        <f t="shared" si="50"/>
        <v>3</v>
      </c>
      <c r="B334" s="108" t="s">
        <v>1755</v>
      </c>
      <c r="C334" s="109" t="s">
        <v>10</v>
      </c>
      <c r="D334" s="110">
        <v>46093</v>
      </c>
      <c r="E334" s="109" t="str">
        <f>VLOOKUP($C334,xe!$A:$B,2,0)</f>
        <v>50H-50999</v>
      </c>
      <c r="F334" s="111" t="str">
        <f>VLOOKUP($B334,ma!$A:$B,2,0)</f>
        <v>N.HƯNG Q.6</v>
      </c>
      <c r="G334" s="112" t="s">
        <v>1821</v>
      </c>
      <c r="H334" s="113" t="s">
        <v>1615</v>
      </c>
      <c r="I334" s="114"/>
      <c r="J334" s="115" t="s">
        <v>140</v>
      </c>
      <c r="K334" s="116">
        <v>1.2</v>
      </c>
      <c r="L334" s="117">
        <f t="shared" si="49"/>
        <v>60000</v>
      </c>
      <c r="M334" s="114"/>
      <c r="N334" s="118"/>
      <c r="O334" s="118">
        <v>1</v>
      </c>
      <c r="P334" s="114">
        <f>VLOOKUP($B334,ma!$A:$C,3,0)</f>
        <v>800000</v>
      </c>
      <c r="Q334" s="132">
        <v>880000</v>
      </c>
      <c r="R334" s="149">
        <v>0.1</v>
      </c>
      <c r="S334" s="119"/>
      <c r="T334" s="119"/>
      <c r="U334" s="119"/>
      <c r="V334" s="119"/>
      <c r="W334" s="119"/>
      <c r="X334" s="119"/>
      <c r="Y334" s="119"/>
      <c r="Z334" s="119"/>
      <c r="AA334" s="119"/>
    </row>
    <row r="335" spans="1:27" ht="15">
      <c r="A335" s="107">
        <f t="shared" si="50"/>
        <v>4</v>
      </c>
      <c r="B335" s="108" t="s">
        <v>1822</v>
      </c>
      <c r="C335" s="109" t="s">
        <v>66</v>
      </c>
      <c r="D335" s="110">
        <v>46093</v>
      </c>
      <c r="E335" s="109" t="str">
        <f>VLOOKUP($C335,xe!$A:$B,2,0)</f>
        <v>50H-92136</v>
      </c>
      <c r="F335" s="111" t="str">
        <f>VLOOKUP($B335,ma!$A:$B,2,0)</f>
        <v>HÂN LÊ HÓC MÔN</v>
      </c>
      <c r="G335" s="112" t="s">
        <v>1823</v>
      </c>
      <c r="H335" s="113" t="s">
        <v>1615</v>
      </c>
      <c r="I335" s="114"/>
      <c r="J335" s="115" t="s">
        <v>140</v>
      </c>
      <c r="K335" s="116">
        <v>2</v>
      </c>
      <c r="L335" s="117">
        <f t="shared" si="49"/>
        <v>100000</v>
      </c>
      <c r="M335" s="114"/>
      <c r="N335" s="118"/>
      <c r="O335" s="118">
        <v>1</v>
      </c>
      <c r="P335" s="114">
        <f>VLOOKUP($B335,ma!$A:$C,3,0)</f>
        <v>800000</v>
      </c>
      <c r="Q335" s="132">
        <v>880000</v>
      </c>
      <c r="R335" s="149">
        <v>0.1</v>
      </c>
      <c r="S335" s="119"/>
      <c r="T335" s="119"/>
      <c r="U335" s="119"/>
      <c r="V335" s="119"/>
      <c r="W335" s="119"/>
      <c r="X335" s="119"/>
      <c r="Y335" s="119"/>
      <c r="Z335" s="119"/>
      <c r="AA335" s="119"/>
    </row>
    <row r="336" spans="1:27" ht="15">
      <c r="A336" s="107">
        <f t="shared" si="50"/>
        <v>5</v>
      </c>
      <c r="B336" s="108" t="s">
        <v>1452</v>
      </c>
      <c r="C336" s="109" t="s">
        <v>64</v>
      </c>
      <c r="D336" s="110">
        <v>46093</v>
      </c>
      <c r="E336" s="109" t="str">
        <f>VLOOKUP($C336,xe!$A:$B,2,0)</f>
        <v>50H-60635</v>
      </c>
      <c r="F336" s="111" t="str">
        <f>VLOOKUP($B336,ma!$A:$B,2,0)</f>
        <v>E MART SALA</v>
      </c>
      <c r="G336" s="112" t="s">
        <v>1824</v>
      </c>
      <c r="H336" s="113" t="s">
        <v>1615</v>
      </c>
      <c r="I336" s="114"/>
      <c r="J336" s="115" t="s">
        <v>140</v>
      </c>
      <c r="K336" s="116">
        <v>1.8</v>
      </c>
      <c r="L336" s="117">
        <f t="shared" si="49"/>
        <v>90000</v>
      </c>
      <c r="M336" s="114"/>
      <c r="N336" s="118"/>
      <c r="O336" s="118">
        <v>1</v>
      </c>
      <c r="P336" s="114">
        <f>VLOOKUP($B336,ma!$A:$C,3,0)</f>
        <v>800000</v>
      </c>
      <c r="Q336" s="132">
        <v>880000</v>
      </c>
      <c r="R336" s="149">
        <v>0.1</v>
      </c>
      <c r="S336" s="119"/>
      <c r="T336" s="119"/>
      <c r="U336" s="119"/>
      <c r="V336" s="119"/>
      <c r="W336" s="119"/>
      <c r="X336" s="119"/>
      <c r="Y336" s="119"/>
      <c r="Z336" s="119"/>
      <c r="AA336" s="119"/>
    </row>
    <row r="337" spans="1:27" ht="15">
      <c r="A337" s="107">
        <f t="shared" si="50"/>
        <v>6</v>
      </c>
      <c r="B337" s="108" t="s">
        <v>1499</v>
      </c>
      <c r="C337" s="109" t="s">
        <v>1408</v>
      </c>
      <c r="D337" s="110">
        <v>46093</v>
      </c>
      <c r="E337" s="109" t="str">
        <f>VLOOKUP($C337,xe!$A:$B,2,0)</f>
        <v>50H-11822</v>
      </c>
      <c r="F337" s="111" t="str">
        <f>VLOOKUP($B337,ma!$A:$B,2,0)</f>
        <v>BHX ( VL)</v>
      </c>
      <c r="G337" s="112" t="s">
        <v>1825</v>
      </c>
      <c r="H337" s="113" t="s">
        <v>1615</v>
      </c>
      <c r="I337" s="114"/>
      <c r="J337" s="115" t="s">
        <v>455</v>
      </c>
      <c r="K337" s="116">
        <v>2</v>
      </c>
      <c r="L337" s="117">
        <f t="shared" ref="L337:L338" si="51">K337*80000</f>
        <v>160000</v>
      </c>
      <c r="M337" s="114"/>
      <c r="N337" s="118"/>
      <c r="O337" s="118">
        <v>1</v>
      </c>
      <c r="P337" s="114">
        <f>VLOOKUP($B337,ma!$A:$C,3,0)</f>
        <v>800000</v>
      </c>
      <c r="Q337" s="132">
        <v>880000</v>
      </c>
      <c r="R337" s="149">
        <v>0.1</v>
      </c>
      <c r="S337" s="119"/>
      <c r="T337" s="119"/>
      <c r="U337" s="119"/>
      <c r="V337" s="119"/>
      <c r="W337" s="119"/>
      <c r="X337" s="119"/>
      <c r="Y337" s="119"/>
      <c r="Z337" s="119"/>
      <c r="AA337" s="119"/>
    </row>
    <row r="338" spans="1:27" ht="15">
      <c r="A338" s="107">
        <f t="shared" si="50"/>
        <v>7</v>
      </c>
      <c r="B338" s="108" t="s">
        <v>1499</v>
      </c>
      <c r="C338" s="109" t="s">
        <v>70</v>
      </c>
      <c r="D338" s="110">
        <v>46093</v>
      </c>
      <c r="E338" s="109" t="str">
        <f>VLOOKUP($C338,xe!$A:$B,2,0)</f>
        <v>50H-86564</v>
      </c>
      <c r="F338" s="111" t="str">
        <f>VLOOKUP($B338,ma!$A:$B,2,0)</f>
        <v>BHX ( VL)</v>
      </c>
      <c r="G338" s="112" t="s">
        <v>1826</v>
      </c>
      <c r="H338" s="113" t="s">
        <v>1615</v>
      </c>
      <c r="I338" s="114"/>
      <c r="J338" s="115" t="s">
        <v>455</v>
      </c>
      <c r="K338" s="116">
        <v>1.6</v>
      </c>
      <c r="L338" s="117">
        <f t="shared" si="51"/>
        <v>128000</v>
      </c>
      <c r="M338" s="114"/>
      <c r="N338" s="118"/>
      <c r="O338" s="118">
        <v>1</v>
      </c>
      <c r="P338" s="114">
        <f>VLOOKUP($B338,ma!$A:$C,3,0)</f>
        <v>800000</v>
      </c>
      <c r="Q338" s="132">
        <v>880000</v>
      </c>
      <c r="R338" s="149">
        <v>0.1</v>
      </c>
      <c r="S338" s="119"/>
      <c r="T338" s="119"/>
      <c r="U338" s="119"/>
      <c r="V338" s="119"/>
      <c r="W338" s="119"/>
      <c r="X338" s="119"/>
      <c r="Y338" s="119"/>
      <c r="Z338" s="119"/>
      <c r="AA338" s="119"/>
    </row>
    <row r="339" spans="1:27" ht="15">
      <c r="A339" s="107">
        <f t="shared" si="50"/>
        <v>8</v>
      </c>
      <c r="B339" s="108" t="s">
        <v>1471</v>
      </c>
      <c r="C339" s="109" t="s">
        <v>78</v>
      </c>
      <c r="D339" s="110">
        <v>46093</v>
      </c>
      <c r="E339" s="133" t="str">
        <f>VLOOKUP($C339,xe!$A:$B,2,0)</f>
        <v>50E-565,21</v>
      </c>
      <c r="F339" s="111" t="str">
        <f>VLOOKUP($B339,ma!$A:$B,2,0)</f>
        <v>VỊ NGỌT HAPPY ( K BX )</v>
      </c>
      <c r="G339" s="112" t="s">
        <v>1827</v>
      </c>
      <c r="H339" s="113" t="s">
        <v>1615</v>
      </c>
      <c r="I339" s="114"/>
      <c r="J339" s="109"/>
      <c r="K339" s="116">
        <v>1.6</v>
      </c>
      <c r="L339" s="117"/>
      <c r="M339" s="114"/>
      <c r="N339" s="118"/>
      <c r="O339" s="118">
        <v>1</v>
      </c>
      <c r="P339" s="114">
        <f>VLOOKUP($B339,ma!$A:$C,3,0)</f>
        <v>800000</v>
      </c>
      <c r="Q339" s="132">
        <v>880000</v>
      </c>
      <c r="R339" s="149">
        <v>0.1</v>
      </c>
      <c r="S339" s="119"/>
      <c r="T339" s="119"/>
      <c r="U339" s="119"/>
      <c r="V339" s="119"/>
      <c r="W339" s="119"/>
      <c r="X339" s="119"/>
      <c r="Y339" s="119"/>
      <c r="Z339" s="119"/>
      <c r="AA339" s="119"/>
    </row>
    <row r="340" spans="1:27" ht="15">
      <c r="A340" s="107">
        <f t="shared" si="50"/>
        <v>9</v>
      </c>
      <c r="B340" s="108" t="s">
        <v>1471</v>
      </c>
      <c r="C340" s="109" t="s">
        <v>68</v>
      </c>
      <c r="D340" s="110">
        <v>46093</v>
      </c>
      <c r="E340" s="109" t="str">
        <f>VLOOKUP($C340,xe!$A:$B,2,0)</f>
        <v>50H-55829</v>
      </c>
      <c r="F340" s="111" t="str">
        <f>VLOOKUP($B340,ma!$A:$B,2,0)</f>
        <v>VỊ NGỌT HAPPY ( K BX )</v>
      </c>
      <c r="G340" s="112" t="s">
        <v>1828</v>
      </c>
      <c r="H340" s="113" t="s">
        <v>1615</v>
      </c>
      <c r="I340" s="114"/>
      <c r="J340" s="109"/>
      <c r="K340" s="116">
        <v>1.6</v>
      </c>
      <c r="L340" s="117"/>
      <c r="M340" s="114"/>
      <c r="N340" s="118"/>
      <c r="O340" s="118">
        <v>1</v>
      </c>
      <c r="P340" s="114">
        <f>VLOOKUP($B340,ma!$A:$C,3,0)</f>
        <v>800000</v>
      </c>
      <c r="Q340" s="132">
        <v>880000</v>
      </c>
      <c r="R340" s="149">
        <v>0.1</v>
      </c>
      <c r="S340" s="119"/>
      <c r="T340" s="119"/>
      <c r="U340" s="119"/>
      <c r="V340" s="119"/>
      <c r="W340" s="119"/>
      <c r="X340" s="119"/>
      <c r="Y340" s="119"/>
      <c r="Z340" s="119"/>
      <c r="AA340" s="119"/>
    </row>
    <row r="341" spans="1:27" ht="15">
      <c r="A341" s="107">
        <f t="shared" si="50"/>
        <v>10</v>
      </c>
      <c r="B341" s="108" t="s">
        <v>645</v>
      </c>
      <c r="C341" s="109" t="s">
        <v>76</v>
      </c>
      <c r="D341" s="110">
        <v>46093</v>
      </c>
      <c r="E341" s="109" t="str">
        <f>VLOOKUP($C341,xe!$A:$B,2,0)</f>
        <v>51D-38021</v>
      </c>
      <c r="F341" s="111" t="str">
        <f>VLOOKUP($B341,ma!$A:$B,2,0)</f>
        <v>Tân Nhất Hương</v>
      </c>
      <c r="G341" s="112" t="s">
        <v>1829</v>
      </c>
      <c r="H341" s="113" t="s">
        <v>1615</v>
      </c>
      <c r="I341" s="114"/>
      <c r="J341" s="109"/>
      <c r="K341" s="116">
        <v>2.2000000000000002</v>
      </c>
      <c r="L341" s="117">
        <f t="shared" ref="L341:L345" si="52">K341*50000</f>
        <v>110000.00000000001</v>
      </c>
      <c r="M341" s="114"/>
      <c r="N341" s="118"/>
      <c r="O341" s="118">
        <v>1</v>
      </c>
      <c r="P341" s="114">
        <f>VLOOKUP($B341,ma!$A:$C,3,0)</f>
        <v>800000</v>
      </c>
      <c r="Q341" s="132">
        <v>880000</v>
      </c>
      <c r="R341" s="149">
        <v>0.1</v>
      </c>
      <c r="S341" s="119"/>
      <c r="T341" s="119"/>
      <c r="U341" s="119"/>
      <c r="V341" s="119"/>
      <c r="W341" s="119"/>
      <c r="X341" s="119"/>
      <c r="Y341" s="119"/>
      <c r="Z341" s="119"/>
      <c r="AA341" s="119"/>
    </row>
    <row r="342" spans="1:27" ht="15">
      <c r="A342" s="107">
        <f t="shared" si="50"/>
        <v>11</v>
      </c>
      <c r="B342" s="108" t="s">
        <v>645</v>
      </c>
      <c r="C342" s="109" t="s">
        <v>72</v>
      </c>
      <c r="D342" s="110">
        <v>46093</v>
      </c>
      <c r="E342" s="109" t="str">
        <f>VLOOKUP($C342,xe!$A:$B,2,0)</f>
        <v>47H-02023</v>
      </c>
      <c r="F342" s="111" t="str">
        <f>VLOOKUP($B342,ma!$A:$B,2,0)</f>
        <v>Tân Nhất Hương</v>
      </c>
      <c r="G342" s="112" t="s">
        <v>1830</v>
      </c>
      <c r="H342" s="113" t="s">
        <v>1615</v>
      </c>
      <c r="I342" s="114"/>
      <c r="J342" s="109"/>
      <c r="K342" s="116">
        <v>2.2000000000000002</v>
      </c>
      <c r="L342" s="117">
        <f t="shared" si="52"/>
        <v>110000.00000000001</v>
      </c>
      <c r="M342" s="114"/>
      <c r="N342" s="118"/>
      <c r="O342" s="118">
        <v>1</v>
      </c>
      <c r="P342" s="114">
        <f>VLOOKUP($B342,ma!$A:$C,3,0)</f>
        <v>800000</v>
      </c>
      <c r="Q342" s="132">
        <v>880000</v>
      </c>
      <c r="R342" s="149">
        <v>0.1</v>
      </c>
      <c r="S342" s="119"/>
      <c r="T342" s="119"/>
      <c r="U342" s="119"/>
      <c r="V342" s="119"/>
      <c r="W342" s="119"/>
      <c r="X342" s="119"/>
      <c r="Y342" s="119"/>
      <c r="Z342" s="119"/>
      <c r="AA342" s="119"/>
    </row>
    <row r="343" spans="1:27" ht="15">
      <c r="A343" s="107">
        <f t="shared" si="50"/>
        <v>12</v>
      </c>
      <c r="B343" s="108" t="s">
        <v>1831</v>
      </c>
      <c r="C343" s="109" t="s">
        <v>74</v>
      </c>
      <c r="D343" s="110">
        <v>46093</v>
      </c>
      <c r="E343" s="109" t="str">
        <f>VLOOKUP($C343,xe!$A:$B,2,0)</f>
        <v>50H-44024</v>
      </c>
      <c r="F343" s="111" t="str">
        <f>VLOOKUP($B343,ma!$A:$B,2,0)</f>
        <v>ĐÔNG QUÂN</v>
      </c>
      <c r="G343" s="112" t="s">
        <v>1832</v>
      </c>
      <c r="H343" s="113" t="s">
        <v>1615</v>
      </c>
      <c r="I343" s="114"/>
      <c r="J343" s="109"/>
      <c r="K343" s="116">
        <v>1.8</v>
      </c>
      <c r="L343" s="117">
        <f t="shared" si="52"/>
        <v>90000</v>
      </c>
      <c r="M343" s="114"/>
      <c r="N343" s="118"/>
      <c r="O343" s="118">
        <v>1</v>
      </c>
      <c r="P343" s="114">
        <f>VLOOKUP($B343,ma!$A:$C,3,0)</f>
        <v>800000</v>
      </c>
      <c r="Q343" s="132">
        <v>880000</v>
      </c>
      <c r="R343" s="149">
        <v>0.1</v>
      </c>
      <c r="S343" s="119"/>
      <c r="T343" s="119"/>
      <c r="U343" s="119"/>
      <c r="V343" s="119"/>
      <c r="W343" s="119"/>
      <c r="X343" s="119"/>
      <c r="Y343" s="119"/>
      <c r="Z343" s="119"/>
      <c r="AA343" s="119"/>
    </row>
    <row r="344" spans="1:27" ht="15">
      <c r="A344" s="107">
        <f t="shared" si="50"/>
        <v>13</v>
      </c>
      <c r="B344" s="108" t="s">
        <v>1474</v>
      </c>
      <c r="C344" s="109" t="s">
        <v>27</v>
      </c>
      <c r="D344" s="110">
        <v>46093</v>
      </c>
      <c r="E344" s="109" t="str">
        <f>VLOOKUP($C344,xe!$A:$B,2,0)</f>
        <v>50H-55443</v>
      </c>
      <c r="F344" s="111" t="str">
        <f>VLOOKUP($B344,ma!$A:$B,2,0)</f>
        <v>NGUYỄN TRƯƠNG</v>
      </c>
      <c r="G344" s="112" t="s">
        <v>1833</v>
      </c>
      <c r="H344" s="113" t="s">
        <v>1615</v>
      </c>
      <c r="I344" s="114"/>
      <c r="J344" s="109"/>
      <c r="K344" s="116">
        <v>2.2000000000000002</v>
      </c>
      <c r="L344" s="117">
        <f t="shared" si="52"/>
        <v>110000.00000000001</v>
      </c>
      <c r="M344" s="114"/>
      <c r="N344" s="118"/>
      <c r="O344" s="118">
        <v>1</v>
      </c>
      <c r="P344" s="114">
        <f>VLOOKUP($B344,ma!$A:$C,3,0)</f>
        <v>800000</v>
      </c>
      <c r="Q344" s="132">
        <v>880000</v>
      </c>
      <c r="R344" s="149">
        <v>0.1</v>
      </c>
      <c r="S344" s="119"/>
      <c r="T344" s="119"/>
      <c r="U344" s="119"/>
      <c r="V344" s="119"/>
      <c r="W344" s="119"/>
      <c r="X344" s="119"/>
      <c r="Y344" s="119"/>
      <c r="Z344" s="119"/>
      <c r="AA344" s="119"/>
    </row>
    <row r="345" spans="1:27" ht="15">
      <c r="A345" s="107">
        <f t="shared" si="50"/>
        <v>14</v>
      </c>
      <c r="B345" s="108" t="s">
        <v>1474</v>
      </c>
      <c r="C345" s="109" t="s">
        <v>1546</v>
      </c>
      <c r="D345" s="110">
        <v>46093</v>
      </c>
      <c r="E345" s="109" t="str">
        <f>VLOOKUP($C345,xe!$A:$B,2,0)</f>
        <v>50H-54580</v>
      </c>
      <c r="F345" s="111" t="str">
        <f>VLOOKUP($B345,ma!$A:$B,2,0)</f>
        <v>NGUYỄN TRƯƠNG</v>
      </c>
      <c r="G345" s="112" t="s">
        <v>1834</v>
      </c>
      <c r="H345" s="113" t="s">
        <v>1615</v>
      </c>
      <c r="I345" s="114"/>
      <c r="J345" s="109"/>
      <c r="K345" s="116">
        <v>2.2000000000000002</v>
      </c>
      <c r="L345" s="117">
        <f t="shared" si="52"/>
        <v>110000.00000000001</v>
      </c>
      <c r="M345" s="114"/>
      <c r="N345" s="118"/>
      <c r="O345" s="118">
        <v>1</v>
      </c>
      <c r="P345" s="114">
        <f>VLOOKUP($B345,ma!$A:$C,3,0)</f>
        <v>800000</v>
      </c>
      <c r="Q345" s="132">
        <v>880000</v>
      </c>
      <c r="R345" s="149">
        <v>0.1</v>
      </c>
      <c r="S345" s="119"/>
      <c r="T345" s="119"/>
      <c r="U345" s="119"/>
      <c r="V345" s="119"/>
      <c r="W345" s="119"/>
      <c r="X345" s="119"/>
      <c r="Y345" s="119"/>
      <c r="Z345" s="119"/>
      <c r="AA345" s="119"/>
    </row>
    <row r="346" spans="1:27" ht="15">
      <c r="A346" s="107">
        <f t="shared" si="50"/>
        <v>15</v>
      </c>
      <c r="B346" s="108" t="s">
        <v>1835</v>
      </c>
      <c r="C346" s="109" t="s">
        <v>25</v>
      </c>
      <c r="D346" s="110">
        <v>46093</v>
      </c>
      <c r="E346" s="109" t="str">
        <f>VLOOKUP($C346,xe!$A:$B,2,0)</f>
        <v>50H-55161</v>
      </c>
      <c r="F346" s="111" t="str">
        <f>VLOOKUP($B346,ma!$A:$B,2,0)</f>
        <v>LAM TÂN T.ĐỨC ( K BX)</v>
      </c>
      <c r="G346" s="112" t="s">
        <v>1836</v>
      </c>
      <c r="H346" s="113" t="s">
        <v>1615</v>
      </c>
      <c r="I346" s="114"/>
      <c r="J346" s="109"/>
      <c r="K346" s="116">
        <v>1.4</v>
      </c>
      <c r="L346" s="117">
        <v>50000</v>
      </c>
      <c r="M346" s="114"/>
      <c r="N346" s="118"/>
      <c r="O346" s="118">
        <v>1</v>
      </c>
      <c r="P346" s="114">
        <f>VLOOKUP($B346,ma!$A:$C,3,0)</f>
        <v>800000</v>
      </c>
      <c r="Q346" s="132">
        <v>880000</v>
      </c>
      <c r="R346" s="149">
        <v>0.1</v>
      </c>
      <c r="S346" s="119"/>
      <c r="T346" s="119"/>
      <c r="U346" s="119"/>
      <c r="V346" s="119"/>
      <c r="W346" s="119"/>
      <c r="X346" s="119"/>
      <c r="Y346" s="119"/>
      <c r="Z346" s="119"/>
      <c r="AA346" s="119"/>
    </row>
    <row r="347" spans="1:27" ht="15">
      <c r="A347" s="107">
        <f t="shared" si="50"/>
        <v>16</v>
      </c>
      <c r="B347" s="108" t="s">
        <v>1835</v>
      </c>
      <c r="C347" s="109" t="s">
        <v>8</v>
      </c>
      <c r="D347" s="110">
        <v>46093</v>
      </c>
      <c r="E347" s="109" t="str">
        <f>VLOOKUP($C347,xe!$A:$B,2,0)</f>
        <v>50H-64316</v>
      </c>
      <c r="F347" s="111" t="str">
        <f>VLOOKUP($B347,ma!$A:$B,2,0)</f>
        <v>LAM TÂN T.ĐỨC ( K BX)</v>
      </c>
      <c r="G347" s="112" t="s">
        <v>1837</v>
      </c>
      <c r="H347" s="113" t="s">
        <v>1615</v>
      </c>
      <c r="I347" s="114"/>
      <c r="J347" s="109"/>
      <c r="K347" s="116">
        <v>1.4</v>
      </c>
      <c r="L347" s="117">
        <v>50000</v>
      </c>
      <c r="M347" s="114">
        <v>30000</v>
      </c>
      <c r="N347" s="118" t="s">
        <v>1423</v>
      </c>
      <c r="O347" s="118">
        <v>1</v>
      </c>
      <c r="P347" s="114">
        <f>VLOOKUP($B347,ma!$A:$C,3,0)</f>
        <v>800000</v>
      </c>
      <c r="Q347" s="132">
        <v>880000</v>
      </c>
      <c r="R347" s="149">
        <v>0.1</v>
      </c>
      <c r="S347" s="119"/>
      <c r="T347" s="119"/>
      <c r="U347" s="119"/>
      <c r="V347" s="119"/>
      <c r="W347" s="119"/>
      <c r="X347" s="119"/>
      <c r="Y347" s="119"/>
      <c r="Z347" s="119"/>
      <c r="AA347" s="119"/>
    </row>
    <row r="348" spans="1:27" ht="15">
      <c r="A348" s="107">
        <f t="shared" si="50"/>
        <v>17</v>
      </c>
      <c r="B348" s="108" t="s">
        <v>1489</v>
      </c>
      <c r="C348" s="109" t="s">
        <v>1432</v>
      </c>
      <c r="D348" s="110">
        <v>46093</v>
      </c>
      <c r="E348" s="109" t="str">
        <f>VLOOKUP($C348,xe!$A:$B,2,0)</f>
        <v>50H-70216</v>
      </c>
      <c r="F348" s="111" t="str">
        <f>VLOOKUP($B348,ma!$A:$B,2,0)</f>
        <v>XUÂN VÂN ( K BX )</v>
      </c>
      <c r="G348" s="112" t="s">
        <v>1838</v>
      </c>
      <c r="H348" s="113" t="s">
        <v>1615</v>
      </c>
      <c r="I348" s="114"/>
      <c r="J348" s="109"/>
      <c r="K348" s="116">
        <v>2</v>
      </c>
      <c r="L348" s="117">
        <v>50000</v>
      </c>
      <c r="M348" s="114"/>
      <c r="N348" s="118"/>
      <c r="O348" s="118">
        <v>1</v>
      </c>
      <c r="P348" s="114">
        <f>VLOOKUP($B348,ma!$A:$C,3,0)</f>
        <v>800000</v>
      </c>
      <c r="Q348" s="132">
        <v>880000</v>
      </c>
      <c r="R348" s="149">
        <v>0.1</v>
      </c>
      <c r="S348" s="119"/>
      <c r="T348" s="119"/>
      <c r="U348" s="119"/>
      <c r="V348" s="119"/>
      <c r="W348" s="119"/>
      <c r="X348" s="119"/>
      <c r="Y348" s="119"/>
      <c r="Z348" s="119"/>
      <c r="AA348" s="119"/>
    </row>
    <row r="349" spans="1:27" ht="15">
      <c r="A349" s="107">
        <f t="shared" si="50"/>
        <v>18</v>
      </c>
      <c r="B349" s="108" t="s">
        <v>1489</v>
      </c>
      <c r="C349" s="109" t="s">
        <v>31</v>
      </c>
      <c r="D349" s="110">
        <v>46093</v>
      </c>
      <c r="E349" s="109" t="str">
        <f>VLOOKUP($C349,xe!$A:$B,2,0)</f>
        <v>50H-74619</v>
      </c>
      <c r="F349" s="111" t="str">
        <f>VLOOKUP($B349,ma!$A:$B,2,0)</f>
        <v>XUÂN VÂN ( K BX )</v>
      </c>
      <c r="G349" s="112" t="s">
        <v>1839</v>
      </c>
      <c r="H349" s="113" t="s">
        <v>1615</v>
      </c>
      <c r="I349" s="114"/>
      <c r="J349" s="109"/>
      <c r="K349" s="116">
        <v>1.8</v>
      </c>
      <c r="L349" s="117">
        <v>50000</v>
      </c>
      <c r="M349" s="114"/>
      <c r="N349" s="118"/>
      <c r="O349" s="118">
        <v>1</v>
      </c>
      <c r="P349" s="114">
        <f>VLOOKUP($B349,ma!$A:$C,3,0)</f>
        <v>800000</v>
      </c>
      <c r="Q349" s="132">
        <v>880000</v>
      </c>
      <c r="R349" s="149">
        <v>0.1</v>
      </c>
      <c r="S349" s="119"/>
      <c r="T349" s="119"/>
      <c r="U349" s="119"/>
      <c r="V349" s="119"/>
      <c r="W349" s="119"/>
      <c r="X349" s="119"/>
      <c r="Y349" s="119"/>
      <c r="Z349" s="119"/>
      <c r="AA349" s="119"/>
    </row>
    <row r="350" spans="1:27" ht="15">
      <c r="A350" s="107">
        <f t="shared" si="50"/>
        <v>19</v>
      </c>
      <c r="B350" s="108" t="s">
        <v>1774</v>
      </c>
      <c r="C350" s="109" t="s">
        <v>1440</v>
      </c>
      <c r="D350" s="110">
        <v>46093</v>
      </c>
      <c r="E350" s="109" t="str">
        <f>VLOOKUP($C350,xe!$A:$B,2,0)</f>
        <v>51H -88294</v>
      </c>
      <c r="F350" s="111" t="str">
        <f>VLOOKUP($B350,ma!$A:$B,2,0)</f>
        <v>VĂN HẬU LONG HƯNG ( KBX )</v>
      </c>
      <c r="G350" s="112" t="s">
        <v>1412</v>
      </c>
      <c r="H350" s="113" t="s">
        <v>1412</v>
      </c>
      <c r="I350" s="114"/>
      <c r="J350" s="109"/>
      <c r="K350" s="116">
        <v>2.2000000000000002</v>
      </c>
      <c r="L350" s="117">
        <v>50000</v>
      </c>
      <c r="M350" s="114"/>
      <c r="N350" s="118"/>
      <c r="O350" s="118">
        <v>1</v>
      </c>
      <c r="P350" s="114">
        <f>VLOOKUP($B350,ma!$A:$C,3,0)</f>
        <v>800000</v>
      </c>
      <c r="Q350" s="132">
        <v>880000</v>
      </c>
      <c r="R350" s="149">
        <v>0.1</v>
      </c>
      <c r="S350" s="119"/>
      <c r="T350" s="119"/>
      <c r="U350" s="119"/>
      <c r="V350" s="119"/>
      <c r="W350" s="119"/>
      <c r="X350" s="119"/>
      <c r="Y350" s="119"/>
      <c r="Z350" s="119"/>
      <c r="AA350" s="119"/>
    </row>
    <row r="351" spans="1:27" ht="15">
      <c r="A351" s="107">
        <f t="shared" si="50"/>
        <v>20</v>
      </c>
      <c r="B351" s="108" t="s">
        <v>1646</v>
      </c>
      <c r="C351" s="109" t="s">
        <v>12</v>
      </c>
      <c r="D351" s="110">
        <v>46093</v>
      </c>
      <c r="E351" s="109" t="str">
        <f>VLOOKUP($C351,xe!$A:$B,2,0)</f>
        <v>50H-63174</v>
      </c>
      <c r="F351" s="111" t="str">
        <f>VLOOKUP($B351,ma!$A:$B,2,0)</f>
        <v>HUBCAKE</v>
      </c>
      <c r="G351" s="112" t="s">
        <v>1840</v>
      </c>
      <c r="H351" s="113" t="s">
        <v>1644</v>
      </c>
      <c r="I351" s="114"/>
      <c r="J351" s="109"/>
      <c r="K351" s="116">
        <v>1.4</v>
      </c>
      <c r="L351" s="117">
        <f t="shared" ref="L351:L352" si="53">K351*50000</f>
        <v>70000</v>
      </c>
      <c r="M351" s="114"/>
      <c r="N351" s="118"/>
      <c r="O351" s="118">
        <v>1</v>
      </c>
      <c r="P351" s="114">
        <f>VLOOKUP($B351,ma!$A:$C,3,0)</f>
        <v>800000</v>
      </c>
      <c r="Q351" s="132">
        <v>880000</v>
      </c>
      <c r="R351" s="149">
        <v>0.1</v>
      </c>
      <c r="S351" s="119"/>
      <c r="T351" s="119"/>
      <c r="U351" s="119"/>
      <c r="V351" s="119"/>
      <c r="W351" s="119"/>
      <c r="X351" s="119"/>
      <c r="Y351" s="119"/>
      <c r="Z351" s="119"/>
      <c r="AA351" s="119"/>
    </row>
    <row r="352" spans="1:27" ht="15">
      <c r="A352" s="107">
        <f t="shared" si="50"/>
        <v>21</v>
      </c>
      <c r="B352" s="108" t="s">
        <v>1646</v>
      </c>
      <c r="C352" s="109" t="s">
        <v>1404</v>
      </c>
      <c r="D352" s="110">
        <v>46093</v>
      </c>
      <c r="E352" s="109" t="str">
        <f>VLOOKUP($C352,xe!$A:$B,2,0)</f>
        <v>51C-81056</v>
      </c>
      <c r="F352" s="111" t="str">
        <f>VLOOKUP($B352,ma!$A:$B,2,0)</f>
        <v>HUBCAKE</v>
      </c>
      <c r="G352" s="112" t="s">
        <v>1841</v>
      </c>
      <c r="H352" s="113" t="s">
        <v>1615</v>
      </c>
      <c r="I352" s="114"/>
      <c r="J352" s="109"/>
      <c r="K352" s="116">
        <v>1.2</v>
      </c>
      <c r="L352" s="117">
        <f t="shared" si="53"/>
        <v>60000</v>
      </c>
      <c r="M352" s="114"/>
      <c r="N352" s="118"/>
      <c r="O352" s="118">
        <v>1</v>
      </c>
      <c r="P352" s="114">
        <f>VLOOKUP($B352,ma!$A:$C,3,0)</f>
        <v>800000</v>
      </c>
      <c r="Q352" s="132">
        <v>880000</v>
      </c>
      <c r="R352" s="149">
        <v>0.1</v>
      </c>
      <c r="S352" s="119"/>
      <c r="T352" s="119"/>
      <c r="U352" s="119"/>
      <c r="V352" s="119"/>
      <c r="W352" s="119"/>
      <c r="X352" s="119"/>
      <c r="Y352" s="119"/>
      <c r="Z352" s="119"/>
      <c r="AA352" s="119"/>
    </row>
    <row r="353" spans="1:27" ht="16">
      <c r="A353" s="107">
        <f t="shared" si="50"/>
        <v>22</v>
      </c>
      <c r="B353" s="108" t="s">
        <v>1597</v>
      </c>
      <c r="C353" s="109" t="s">
        <v>23</v>
      </c>
      <c r="D353" s="110">
        <v>46093</v>
      </c>
      <c r="E353" s="109" t="str">
        <f>VLOOKUP($C353,xe!$A:$B,2,0)</f>
        <v>50H 87442</v>
      </c>
      <c r="F353" s="111" t="str">
        <f>VLOOKUP($B353,ma!$A:$B,2,0)</f>
        <v>3KS CẨM HƯƠNG ( K BX )</v>
      </c>
      <c r="G353" s="112" t="s">
        <v>1412</v>
      </c>
      <c r="H353" s="113" t="s">
        <v>1412</v>
      </c>
      <c r="I353" s="114"/>
      <c r="J353" s="150" t="s">
        <v>1842</v>
      </c>
      <c r="K353" s="116">
        <v>2.2000000000000002</v>
      </c>
      <c r="L353" s="117">
        <v>50000</v>
      </c>
      <c r="M353" s="114"/>
      <c r="N353" s="118"/>
      <c r="O353" s="118">
        <v>1</v>
      </c>
      <c r="P353" s="114">
        <f>VLOOKUP($B353,ma!$A:$C,3,0)</f>
        <v>900000</v>
      </c>
      <c r="Q353" s="132">
        <v>990000</v>
      </c>
      <c r="R353" s="149">
        <v>0.1</v>
      </c>
      <c r="S353" s="119"/>
      <c r="T353" s="119"/>
      <c r="U353" s="119"/>
      <c r="V353" s="119"/>
      <c r="W353" s="119"/>
      <c r="X353" s="119"/>
      <c r="Y353" s="119"/>
      <c r="Z353" s="119"/>
      <c r="AA353" s="119"/>
    </row>
    <row r="354" spans="1:27" ht="16">
      <c r="A354" s="107">
        <f t="shared" si="50"/>
        <v>23</v>
      </c>
      <c r="B354" s="108" t="s">
        <v>1597</v>
      </c>
      <c r="C354" s="109" t="s">
        <v>21</v>
      </c>
      <c r="D354" s="110">
        <v>46093</v>
      </c>
      <c r="E354" s="109" t="str">
        <f>VLOOKUP($C354,xe!$A:$B,2,0)</f>
        <v>50H-66445</v>
      </c>
      <c r="F354" s="111" t="str">
        <f>VLOOKUP($B354,ma!$A:$B,2,0)</f>
        <v>3KS CẨM HƯƠNG ( K BX )</v>
      </c>
      <c r="G354" s="112" t="s">
        <v>1412</v>
      </c>
      <c r="H354" s="113" t="s">
        <v>1412</v>
      </c>
      <c r="I354" s="114"/>
      <c r="J354" s="150" t="s">
        <v>1842</v>
      </c>
      <c r="K354" s="116">
        <v>2.2000000000000002</v>
      </c>
      <c r="L354" s="117">
        <v>50000</v>
      </c>
      <c r="M354" s="114"/>
      <c r="N354" s="118"/>
      <c r="O354" s="118">
        <v>1</v>
      </c>
      <c r="P354" s="114">
        <f>VLOOKUP($B354,ma!$A:$C,3,0)</f>
        <v>900000</v>
      </c>
      <c r="Q354" s="132">
        <v>990000</v>
      </c>
      <c r="R354" s="149">
        <v>0.1</v>
      </c>
      <c r="S354" s="119"/>
      <c r="T354" s="119"/>
      <c r="U354" s="119"/>
      <c r="V354" s="119"/>
      <c r="W354" s="119"/>
      <c r="X354" s="119"/>
      <c r="Y354" s="119"/>
      <c r="Z354" s="119"/>
      <c r="AA354" s="119"/>
    </row>
    <row r="355" spans="1:27" ht="15">
      <c r="A355" s="107">
        <f t="shared" si="50"/>
        <v>24</v>
      </c>
      <c r="B355" s="151"/>
      <c r="C355" s="152" t="s">
        <v>25</v>
      </c>
      <c r="D355" s="153">
        <v>46093</v>
      </c>
      <c r="E355" s="152" t="str">
        <f>VLOOKUP($C355,xe!$A:$B,2,0)</f>
        <v>50H-55161</v>
      </c>
      <c r="F355" s="154" t="s">
        <v>1843</v>
      </c>
      <c r="G355" s="155" t="s">
        <v>1784</v>
      </c>
      <c r="H355" s="113" t="s">
        <v>1615</v>
      </c>
      <c r="I355" s="135"/>
      <c r="J355" s="128" t="s">
        <v>1844</v>
      </c>
      <c r="K355" s="116">
        <v>1</v>
      </c>
      <c r="L355" s="134">
        <v>50000</v>
      </c>
      <c r="M355" s="135">
        <v>30000</v>
      </c>
      <c r="N355" s="136" t="s">
        <v>1423</v>
      </c>
      <c r="O355" s="136">
        <v>1</v>
      </c>
      <c r="P355" s="135">
        <v>700000</v>
      </c>
      <c r="Q355" s="135">
        <v>700000</v>
      </c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</row>
    <row r="356" spans="1:27" ht="15">
      <c r="A356" s="107">
        <f t="shared" si="50"/>
        <v>25</v>
      </c>
      <c r="B356" s="108" t="s">
        <v>1597</v>
      </c>
      <c r="C356" s="109" t="s">
        <v>1440</v>
      </c>
      <c r="D356" s="110">
        <v>46093</v>
      </c>
      <c r="E356" s="109" t="str">
        <f>VLOOKUP($C356,xe!$A:$B,2,0)</f>
        <v>51H -88294</v>
      </c>
      <c r="F356" s="111" t="str">
        <f>VLOOKUP($B356,ma!$A:$B,2,0)</f>
        <v>3KS CẨM HƯƠNG ( K BX )</v>
      </c>
      <c r="G356" s="112" t="s">
        <v>1412</v>
      </c>
      <c r="H356" s="113" t="s">
        <v>1412</v>
      </c>
      <c r="I356" s="114"/>
      <c r="J356" s="115" t="s">
        <v>1845</v>
      </c>
      <c r="K356" s="116">
        <v>2.2000000000000002</v>
      </c>
      <c r="L356" s="117">
        <v>50000</v>
      </c>
      <c r="M356" s="114"/>
      <c r="N356" s="118"/>
      <c r="O356" s="118">
        <v>1</v>
      </c>
      <c r="P356" s="114">
        <f>VLOOKUP($B356,ma!$A:$C,3,0)</f>
        <v>900000</v>
      </c>
      <c r="Q356" s="132">
        <v>990000</v>
      </c>
      <c r="R356" s="149">
        <v>0.1</v>
      </c>
      <c r="S356" s="119"/>
      <c r="T356" s="119"/>
      <c r="U356" s="119"/>
      <c r="V356" s="119"/>
      <c r="W356" s="119"/>
      <c r="X356" s="119"/>
      <c r="Y356" s="119"/>
      <c r="Z356" s="119"/>
      <c r="AA356" s="119"/>
    </row>
    <row r="357" spans="1:27" ht="15">
      <c r="A357" s="107">
        <f t="shared" si="50"/>
        <v>26</v>
      </c>
      <c r="B357" s="108" t="s">
        <v>1623</v>
      </c>
      <c r="C357" s="109" t="s">
        <v>64</v>
      </c>
      <c r="D357" s="110">
        <v>46093</v>
      </c>
      <c r="E357" s="109" t="str">
        <f>VLOOKUP($C357,xe!$A:$B,2,0)</f>
        <v>50H-60635</v>
      </c>
      <c r="F357" s="111" t="str">
        <f>VLOOKUP($B357,ma!$A:$B,2,0)</f>
        <v>PHONG VÂN - GÒ VẤP ( K BX )</v>
      </c>
      <c r="G357" s="112" t="s">
        <v>1846</v>
      </c>
      <c r="H357" s="113" t="s">
        <v>1615</v>
      </c>
      <c r="I357" s="114"/>
      <c r="J357" s="109"/>
      <c r="K357" s="116">
        <v>1.8</v>
      </c>
      <c r="L357" s="117"/>
      <c r="M357" s="114"/>
      <c r="N357" s="118"/>
      <c r="O357" s="118">
        <v>1</v>
      </c>
      <c r="P357" s="114">
        <f>VLOOKUP($B357,ma!$A:$C,3,0)</f>
        <v>800000</v>
      </c>
      <c r="Q357" s="132">
        <v>880000</v>
      </c>
      <c r="R357" s="149">
        <v>0.1</v>
      </c>
      <c r="S357" s="119"/>
      <c r="T357" s="119"/>
      <c r="U357" s="119"/>
      <c r="V357" s="119"/>
      <c r="W357" s="119"/>
      <c r="X357" s="119"/>
      <c r="Y357" s="119"/>
      <c r="Z357" s="119"/>
      <c r="AA357" s="119"/>
    </row>
    <row r="358" spans="1:27" ht="15">
      <c r="A358" s="107">
        <f t="shared" si="50"/>
        <v>27</v>
      </c>
      <c r="B358" s="108" t="s">
        <v>573</v>
      </c>
      <c r="C358" s="109" t="s">
        <v>1669</v>
      </c>
      <c r="D358" s="110">
        <v>46093</v>
      </c>
      <c r="E358" s="109" t="str">
        <f>VLOOKUP($C358,xe!$A:$B,2,0)</f>
        <v>50H-69501</v>
      </c>
      <c r="F358" s="111" t="str">
        <f>VLOOKUP($B358,ma!$A:$B,2,0)</f>
        <v>LIÊN NGUYỄN B.CHÁNH</v>
      </c>
      <c r="G358" s="112" t="s">
        <v>1847</v>
      </c>
      <c r="H358" s="113" t="s">
        <v>1615</v>
      </c>
      <c r="I358" s="114">
        <v>10000</v>
      </c>
      <c r="J358" s="109"/>
      <c r="K358" s="116">
        <v>1.8</v>
      </c>
      <c r="L358" s="134">
        <v>210000</v>
      </c>
      <c r="M358" s="114">
        <v>30000</v>
      </c>
      <c r="N358" s="118" t="s">
        <v>1423</v>
      </c>
      <c r="O358" s="118">
        <v>1</v>
      </c>
      <c r="P358" s="114">
        <f>VLOOKUP($B358,ma!$A:$C,3,0)</f>
        <v>800000</v>
      </c>
      <c r="Q358" s="132">
        <v>880000</v>
      </c>
      <c r="R358" s="149">
        <v>0.1</v>
      </c>
      <c r="S358" s="119"/>
      <c r="T358" s="119"/>
      <c r="U358" s="119"/>
      <c r="V358" s="119"/>
      <c r="W358" s="119"/>
      <c r="X358" s="119"/>
      <c r="Y358" s="119"/>
      <c r="Z358" s="119"/>
      <c r="AA358" s="119"/>
    </row>
    <row r="359" spans="1:27" ht="15">
      <c r="A359" s="107">
        <f t="shared" si="50"/>
        <v>28</v>
      </c>
      <c r="B359" s="108" t="s">
        <v>573</v>
      </c>
      <c r="C359" s="109" t="s">
        <v>10</v>
      </c>
      <c r="D359" s="110">
        <v>46093</v>
      </c>
      <c r="E359" s="109" t="str">
        <f>VLOOKUP($C359,xe!$A:$B,2,0)</f>
        <v>50H-50999</v>
      </c>
      <c r="F359" s="111" t="str">
        <f>VLOOKUP($B359,ma!$A:$B,2,0)</f>
        <v>LIÊN NGUYỄN B.CHÁNH</v>
      </c>
      <c r="G359" s="112" t="s">
        <v>1848</v>
      </c>
      <c r="H359" s="113" t="s">
        <v>1615</v>
      </c>
      <c r="I359" s="114"/>
      <c r="J359" s="109"/>
      <c r="K359" s="116">
        <v>1.8</v>
      </c>
      <c r="L359" s="117">
        <f>K359*50000</f>
        <v>90000</v>
      </c>
      <c r="M359" s="114"/>
      <c r="N359" s="118"/>
      <c r="O359" s="118">
        <v>1</v>
      </c>
      <c r="P359" s="114">
        <f>VLOOKUP($B359,ma!$A:$C,3,0)</f>
        <v>800000</v>
      </c>
      <c r="Q359" s="132">
        <v>880000</v>
      </c>
      <c r="R359" s="149">
        <v>0.1</v>
      </c>
      <c r="S359" s="119"/>
      <c r="T359" s="119"/>
      <c r="U359" s="119"/>
      <c r="V359" s="119"/>
      <c r="W359" s="119"/>
      <c r="X359" s="119"/>
      <c r="Y359" s="119"/>
      <c r="Z359" s="119"/>
      <c r="AA359" s="119"/>
    </row>
    <row r="360" spans="1:27" ht="15">
      <c r="A360" s="107">
        <f t="shared" si="50"/>
        <v>29</v>
      </c>
      <c r="B360" s="108" t="s">
        <v>573</v>
      </c>
      <c r="C360" s="109" t="s">
        <v>14</v>
      </c>
      <c r="D360" s="110">
        <v>46093</v>
      </c>
      <c r="E360" s="109" t="str">
        <f>VLOOKUP($C360,xe!$A:$B,2,0)</f>
        <v>50H-64470</v>
      </c>
      <c r="F360" s="111" t="str">
        <f>VLOOKUP($B360,ma!$A:$B,2,0)</f>
        <v>LIÊN NGUYỄN B.CHÁNH</v>
      </c>
      <c r="G360" s="112" t="s">
        <v>1849</v>
      </c>
      <c r="H360" s="113" t="s">
        <v>1615</v>
      </c>
      <c r="I360" s="114">
        <v>10000</v>
      </c>
      <c r="J360" s="109"/>
      <c r="K360" s="116">
        <v>1.6</v>
      </c>
      <c r="L360" s="134">
        <v>170000</v>
      </c>
      <c r="M360" s="114"/>
      <c r="N360" s="118"/>
      <c r="O360" s="118">
        <v>1</v>
      </c>
      <c r="P360" s="114">
        <f>VLOOKUP($B360,ma!$A:$C,3,0)</f>
        <v>800000</v>
      </c>
      <c r="Q360" s="132">
        <v>880000</v>
      </c>
      <c r="R360" s="149">
        <v>0.1</v>
      </c>
      <c r="S360" s="119"/>
      <c r="T360" s="119"/>
      <c r="U360" s="119"/>
      <c r="V360" s="119"/>
      <c r="W360" s="119"/>
      <c r="X360" s="119"/>
      <c r="Y360" s="119"/>
      <c r="Z360" s="119"/>
      <c r="AA360" s="119"/>
    </row>
    <row r="361" spans="1:27" ht="15">
      <c r="A361" s="107">
        <f t="shared" si="50"/>
        <v>30</v>
      </c>
      <c r="B361" s="108" t="s">
        <v>573</v>
      </c>
      <c r="C361" s="109" t="s">
        <v>21</v>
      </c>
      <c r="D361" s="110">
        <v>46093</v>
      </c>
      <c r="E361" s="109" t="str">
        <f>VLOOKUP($C361,xe!$A:$B,2,0)</f>
        <v>50H-66445</v>
      </c>
      <c r="F361" s="111" t="str">
        <f>VLOOKUP($B361,ma!$A:$B,2,0)</f>
        <v>LIÊN NGUYỄN B.CHÁNH</v>
      </c>
      <c r="G361" s="112" t="s">
        <v>1850</v>
      </c>
      <c r="H361" s="113" t="s">
        <v>1615</v>
      </c>
      <c r="I361" s="114"/>
      <c r="J361" s="109"/>
      <c r="K361" s="116">
        <v>1.8</v>
      </c>
      <c r="L361" s="134">
        <v>190000</v>
      </c>
      <c r="M361" s="114"/>
      <c r="N361" s="118"/>
      <c r="O361" s="118">
        <v>1</v>
      </c>
      <c r="P361" s="114">
        <f>VLOOKUP($B361,ma!$A:$C,3,0)</f>
        <v>800000</v>
      </c>
      <c r="Q361" s="132">
        <v>880000</v>
      </c>
      <c r="R361" s="149">
        <v>0.1</v>
      </c>
      <c r="S361" s="119"/>
      <c r="T361" s="119"/>
      <c r="U361" s="119"/>
      <c r="V361" s="119"/>
      <c r="W361" s="119"/>
      <c r="X361" s="119"/>
      <c r="Y361" s="119"/>
      <c r="Z361" s="119"/>
      <c r="AA361" s="119"/>
    </row>
    <row r="362" spans="1:27" ht="15">
      <c r="A362" s="107">
        <f t="shared" si="50"/>
        <v>31</v>
      </c>
      <c r="B362" s="108" t="s">
        <v>515</v>
      </c>
      <c r="C362" s="109" t="s">
        <v>78</v>
      </c>
      <c r="D362" s="110">
        <v>46093</v>
      </c>
      <c r="E362" s="133" t="str">
        <f>VLOOKUP($C362,xe!$A:$B,2,0)</f>
        <v>50E-565,21</v>
      </c>
      <c r="F362" s="111" t="str">
        <f>VLOOKUP($B362,ma!$A:$B,2,0)</f>
        <v>PHONG VÂN ( K BX )</v>
      </c>
      <c r="G362" s="112" t="s">
        <v>1851</v>
      </c>
      <c r="H362" s="113" t="s">
        <v>1615</v>
      </c>
      <c r="I362" s="114"/>
      <c r="J362" s="109"/>
      <c r="K362" s="116">
        <v>1.8</v>
      </c>
      <c r="L362" s="117"/>
      <c r="M362" s="114"/>
      <c r="N362" s="118"/>
      <c r="O362" s="118">
        <v>1</v>
      </c>
      <c r="P362" s="114">
        <f>VLOOKUP($B362,ma!$A:$C,3,0)</f>
        <v>800000</v>
      </c>
      <c r="Q362" s="132">
        <v>880000</v>
      </c>
      <c r="R362" s="149">
        <v>0.1</v>
      </c>
      <c r="S362" s="119"/>
      <c r="T362" s="119"/>
      <c r="U362" s="119"/>
      <c r="V362" s="119"/>
      <c r="W362" s="119"/>
      <c r="X362" s="119"/>
      <c r="Y362" s="119"/>
      <c r="Z362" s="119"/>
      <c r="AA362" s="119"/>
    </row>
    <row r="363" spans="1:27" ht="15">
      <c r="A363" s="107">
        <f t="shared" si="50"/>
        <v>32</v>
      </c>
      <c r="B363" s="108" t="s">
        <v>515</v>
      </c>
      <c r="C363" s="109" t="s">
        <v>1490</v>
      </c>
      <c r="D363" s="110">
        <v>46093</v>
      </c>
      <c r="E363" s="109" t="str">
        <f>VLOOKUP($C363,xe!$A:$B,2,0)</f>
        <v>50H-44024</v>
      </c>
      <c r="F363" s="111" t="str">
        <f>VLOOKUP($B363,ma!$A:$B,2,0)</f>
        <v>PHONG VÂN ( K BX )</v>
      </c>
      <c r="G363" s="112" t="s">
        <v>1852</v>
      </c>
      <c r="H363" s="113" t="s">
        <v>1615</v>
      </c>
      <c r="I363" s="114"/>
      <c r="J363" s="109"/>
      <c r="K363" s="116">
        <v>1.8</v>
      </c>
      <c r="L363" s="117"/>
      <c r="M363" s="114"/>
      <c r="N363" s="118"/>
      <c r="O363" s="118">
        <v>1</v>
      </c>
      <c r="P363" s="114">
        <f>VLOOKUP($B363,ma!$A:$C,3,0)</f>
        <v>800000</v>
      </c>
      <c r="Q363" s="132">
        <v>880000</v>
      </c>
      <c r="R363" s="149">
        <v>0.1</v>
      </c>
      <c r="S363" s="119"/>
      <c r="T363" s="119"/>
      <c r="U363" s="119"/>
      <c r="V363" s="119"/>
      <c r="W363" s="119"/>
      <c r="X363" s="119"/>
      <c r="Y363" s="119"/>
      <c r="Z363" s="119"/>
      <c r="AA363" s="119"/>
    </row>
    <row r="364" spans="1:27" ht="15">
      <c r="A364" s="107">
        <f t="shared" si="50"/>
        <v>33</v>
      </c>
      <c r="B364" s="108" t="s">
        <v>515</v>
      </c>
      <c r="C364" s="109" t="s">
        <v>1432</v>
      </c>
      <c r="D364" s="110">
        <v>46093</v>
      </c>
      <c r="E364" s="109" t="str">
        <f>VLOOKUP($C364,xe!$A:$B,2,0)</f>
        <v>50H-70216</v>
      </c>
      <c r="F364" s="111" t="str">
        <f>VLOOKUP($B364,ma!$A:$B,2,0)</f>
        <v>PHONG VÂN ( K BX )</v>
      </c>
      <c r="G364" s="112" t="s">
        <v>1853</v>
      </c>
      <c r="H364" s="113" t="s">
        <v>1615</v>
      </c>
      <c r="I364" s="114"/>
      <c r="J364" s="109"/>
      <c r="K364" s="116">
        <v>1.8</v>
      </c>
      <c r="L364" s="117">
        <v>50000</v>
      </c>
      <c r="M364" s="114"/>
      <c r="N364" s="118"/>
      <c r="O364" s="118">
        <v>1</v>
      </c>
      <c r="P364" s="114">
        <f>VLOOKUP($B364,ma!$A:$C,3,0)</f>
        <v>800000</v>
      </c>
      <c r="Q364" s="132">
        <v>880000</v>
      </c>
      <c r="R364" s="149">
        <v>0.1</v>
      </c>
      <c r="S364" s="119"/>
      <c r="T364" s="119"/>
      <c r="U364" s="119"/>
      <c r="V364" s="119"/>
      <c r="W364" s="119"/>
      <c r="X364" s="119"/>
      <c r="Y364" s="119"/>
      <c r="Z364" s="119"/>
      <c r="AA364" s="119"/>
    </row>
    <row r="365" spans="1:27" ht="15">
      <c r="A365" s="107">
        <f t="shared" si="50"/>
        <v>34</v>
      </c>
      <c r="B365" s="108" t="s">
        <v>515</v>
      </c>
      <c r="C365" s="109" t="s">
        <v>31</v>
      </c>
      <c r="D365" s="110">
        <v>46093</v>
      </c>
      <c r="E365" s="109" t="str">
        <f>VLOOKUP($C365,xe!$A:$B,2,0)</f>
        <v>50H-74619</v>
      </c>
      <c r="F365" s="111" t="str">
        <f>VLOOKUP($B365,ma!$A:$B,2,0)</f>
        <v>PHONG VÂN ( K BX )</v>
      </c>
      <c r="G365" s="112" t="s">
        <v>1854</v>
      </c>
      <c r="H365" s="113" t="s">
        <v>1615</v>
      </c>
      <c r="I365" s="114">
        <v>10000</v>
      </c>
      <c r="J365" s="109"/>
      <c r="K365" s="116">
        <v>1.6</v>
      </c>
      <c r="L365" s="117">
        <v>50000</v>
      </c>
      <c r="M365" s="114"/>
      <c r="N365" s="118"/>
      <c r="O365" s="118">
        <v>1</v>
      </c>
      <c r="P365" s="114">
        <f>VLOOKUP($B365,ma!$A:$C,3,0)</f>
        <v>800000</v>
      </c>
      <c r="Q365" s="132">
        <v>880000</v>
      </c>
      <c r="R365" s="149">
        <v>0.1</v>
      </c>
      <c r="S365" s="119"/>
      <c r="T365" s="119"/>
      <c r="U365" s="119"/>
      <c r="V365" s="119"/>
      <c r="W365" s="119"/>
      <c r="X365" s="119"/>
      <c r="Y365" s="119"/>
      <c r="Z365" s="119"/>
      <c r="AA365" s="119"/>
    </row>
    <row r="366" spans="1:27" ht="15">
      <c r="A366" s="107">
        <f t="shared" si="50"/>
        <v>35</v>
      </c>
      <c r="B366" s="108" t="s">
        <v>1487</v>
      </c>
      <c r="C366" s="109" t="s">
        <v>1506</v>
      </c>
      <c r="D366" s="110">
        <v>46093</v>
      </c>
      <c r="E366" s="109" t="str">
        <f>VLOOKUP($C366,xe!$A:$B,2,0)</f>
        <v>50H-55443</v>
      </c>
      <c r="F366" s="111" t="str">
        <f>VLOOKUP($B366,ma!$A:$B,2,0)</f>
        <v>VĂN HẬU Q8 ( K BX )</v>
      </c>
      <c r="G366" s="112" t="s">
        <v>1412</v>
      </c>
      <c r="H366" s="113" t="s">
        <v>1412</v>
      </c>
      <c r="I366" s="114"/>
      <c r="J366" s="109"/>
      <c r="K366" s="116">
        <v>2.2000000000000002</v>
      </c>
      <c r="L366" s="117">
        <v>50000</v>
      </c>
      <c r="M366" s="114"/>
      <c r="N366" s="118"/>
      <c r="O366" s="118">
        <v>1</v>
      </c>
      <c r="P366" s="114">
        <f>VLOOKUP($B366,ma!$A:$C,3,0)</f>
        <v>800000</v>
      </c>
      <c r="Q366" s="132">
        <v>880000</v>
      </c>
      <c r="R366" s="149">
        <v>0.1</v>
      </c>
      <c r="S366" s="119"/>
      <c r="T366" s="119"/>
      <c r="U366" s="119"/>
      <c r="V366" s="119"/>
      <c r="W366" s="119"/>
      <c r="X366" s="119"/>
      <c r="Y366" s="119"/>
      <c r="Z366" s="119"/>
      <c r="AA366" s="119"/>
    </row>
    <row r="367" spans="1:27" ht="15">
      <c r="A367" s="107">
        <f t="shared" si="50"/>
        <v>36</v>
      </c>
      <c r="B367" s="108" t="s">
        <v>1499</v>
      </c>
      <c r="C367" s="109" t="s">
        <v>23</v>
      </c>
      <c r="D367" s="110">
        <v>46093</v>
      </c>
      <c r="E367" s="109" t="str">
        <f>VLOOKUP($C367,xe!$A:$B,2,0)</f>
        <v>50H 87442</v>
      </c>
      <c r="F367" s="111" t="str">
        <f>VLOOKUP($B367,ma!$A:$B,2,0)</f>
        <v>BHX ( VL)</v>
      </c>
      <c r="G367" s="112" t="s">
        <v>1855</v>
      </c>
      <c r="H367" s="113" t="s">
        <v>1644</v>
      </c>
      <c r="I367" s="114"/>
      <c r="J367" s="109"/>
      <c r="K367" s="116">
        <v>1.2</v>
      </c>
      <c r="L367" s="134">
        <v>180000</v>
      </c>
      <c r="M367" s="114">
        <v>30000</v>
      </c>
      <c r="N367" s="118" t="s">
        <v>1423</v>
      </c>
      <c r="O367" s="118">
        <v>1</v>
      </c>
      <c r="P367" s="114">
        <f>VLOOKUP($B367,ma!$A:$C,3,0)</f>
        <v>800000</v>
      </c>
      <c r="Q367" s="132">
        <v>880000</v>
      </c>
      <c r="R367" s="149">
        <v>0.1</v>
      </c>
      <c r="S367" s="119"/>
      <c r="T367" s="119"/>
      <c r="U367" s="119"/>
      <c r="V367" s="119"/>
      <c r="W367" s="119"/>
      <c r="X367" s="119"/>
      <c r="Y367" s="119"/>
      <c r="Z367" s="119"/>
      <c r="AA367" s="119"/>
    </row>
    <row r="368" spans="1:27" ht="15">
      <c r="A368" s="107">
        <f t="shared" si="50"/>
        <v>37</v>
      </c>
      <c r="B368" s="108" t="s">
        <v>1499</v>
      </c>
      <c r="C368" s="109" t="s">
        <v>1440</v>
      </c>
      <c r="D368" s="110">
        <v>46093</v>
      </c>
      <c r="E368" s="109" t="str">
        <f>VLOOKUP($C368,xe!$A:$B,2,0)</f>
        <v>51H -88294</v>
      </c>
      <c r="F368" s="111" t="str">
        <f>VLOOKUP($B368,ma!$A:$B,2,0)</f>
        <v>BHX ( VL)</v>
      </c>
      <c r="G368" s="112" t="s">
        <v>1856</v>
      </c>
      <c r="H368" s="113" t="s">
        <v>1644</v>
      </c>
      <c r="I368" s="114">
        <v>10000</v>
      </c>
      <c r="J368" s="109"/>
      <c r="K368" s="116">
        <v>1.6</v>
      </c>
      <c r="L368" s="134">
        <v>190000</v>
      </c>
      <c r="M368" s="114"/>
      <c r="N368" s="118"/>
      <c r="O368" s="118">
        <v>1</v>
      </c>
      <c r="P368" s="114">
        <f>VLOOKUP($B368,ma!$A:$C,3,0)</f>
        <v>800000</v>
      </c>
      <c r="Q368" s="132">
        <v>880000</v>
      </c>
      <c r="R368" s="149">
        <v>0.1</v>
      </c>
      <c r="S368" s="119"/>
      <c r="T368" s="119"/>
      <c r="U368" s="119"/>
      <c r="V368" s="119"/>
      <c r="W368" s="119"/>
      <c r="X368" s="119"/>
      <c r="Y368" s="119"/>
      <c r="Z368" s="119"/>
      <c r="AA368" s="119"/>
    </row>
    <row r="369" spans="1:27" ht="15">
      <c r="A369" s="107">
        <f t="shared" si="50"/>
        <v>38</v>
      </c>
      <c r="B369" s="108" t="s">
        <v>1499</v>
      </c>
      <c r="C369" s="109" t="s">
        <v>8</v>
      </c>
      <c r="D369" s="110">
        <v>46093</v>
      </c>
      <c r="E369" s="109" t="str">
        <f>VLOOKUP($C369,xe!$A:$B,2,0)</f>
        <v>50H-64316</v>
      </c>
      <c r="F369" s="111" t="str">
        <f>VLOOKUP($B369,ma!$A:$B,2,0)</f>
        <v>BHX ( VL)</v>
      </c>
      <c r="G369" s="112" t="s">
        <v>1857</v>
      </c>
      <c r="H369" s="113" t="s">
        <v>1644</v>
      </c>
      <c r="I369" s="114"/>
      <c r="J369" s="109"/>
      <c r="K369" s="116">
        <v>1.6</v>
      </c>
      <c r="L369" s="134">
        <v>180000</v>
      </c>
      <c r="M369" s="114"/>
      <c r="N369" s="118"/>
      <c r="O369" s="118">
        <v>1</v>
      </c>
      <c r="P369" s="114">
        <f>VLOOKUP($B369,ma!$A:$C,3,0)</f>
        <v>800000</v>
      </c>
      <c r="Q369" s="132">
        <v>880000</v>
      </c>
      <c r="R369" s="149">
        <v>0.1</v>
      </c>
      <c r="S369" s="119"/>
      <c r="T369" s="119"/>
      <c r="U369" s="119"/>
      <c r="V369" s="119"/>
      <c r="W369" s="119"/>
      <c r="X369" s="119"/>
      <c r="Y369" s="119"/>
      <c r="Z369" s="119"/>
      <c r="AA369" s="119"/>
    </row>
    <row r="370" spans="1:27" ht="15">
      <c r="A370" s="107">
        <f t="shared" si="50"/>
        <v>39</v>
      </c>
      <c r="B370" s="108" t="s">
        <v>1677</v>
      </c>
      <c r="C370" s="109" t="s">
        <v>12</v>
      </c>
      <c r="D370" s="110">
        <v>46093</v>
      </c>
      <c r="E370" s="109" t="str">
        <f>VLOOKUP($C370,xe!$A:$B,2,0)</f>
        <v>50H-63174</v>
      </c>
      <c r="F370" s="111" t="str">
        <f>VLOOKUP($B370,ma!$A:$B,2,0)</f>
        <v>CALOFIC - UNI ( xe nhỏ )</v>
      </c>
      <c r="G370" s="112" t="s">
        <v>1858</v>
      </c>
      <c r="H370" s="113" t="s">
        <v>1644</v>
      </c>
      <c r="I370" s="114"/>
      <c r="J370" s="109"/>
      <c r="K370" s="116">
        <v>2.2000000000000002</v>
      </c>
      <c r="L370" s="117">
        <f t="shared" ref="L370:L376" si="54">K370*50000</f>
        <v>110000.00000000001</v>
      </c>
      <c r="M370" s="114"/>
      <c r="N370" s="118"/>
      <c r="O370" s="118">
        <v>1</v>
      </c>
      <c r="P370" s="114">
        <f>VLOOKUP($B370,ma!$A:$C,3,0)</f>
        <v>300000</v>
      </c>
      <c r="Q370" s="114">
        <v>400000</v>
      </c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</row>
    <row r="371" spans="1:27" ht="15">
      <c r="A371" s="107">
        <f t="shared" si="50"/>
        <v>40</v>
      </c>
      <c r="B371" s="108" t="s">
        <v>637</v>
      </c>
      <c r="C371" s="109" t="s">
        <v>10</v>
      </c>
      <c r="D371" s="110">
        <v>46093</v>
      </c>
      <c r="E371" s="109" t="str">
        <f>VLOOKUP($C371,xe!$A:$B,2,0)</f>
        <v>50H-50999</v>
      </c>
      <c r="F371" s="111" t="str">
        <f>VLOOKUP($B371,ma!$A:$B,2,0)</f>
        <v>TÂN HÙNG THÁI</v>
      </c>
      <c r="G371" s="112" t="s">
        <v>1859</v>
      </c>
      <c r="H371" s="113" t="s">
        <v>1644</v>
      </c>
      <c r="I371" s="114"/>
      <c r="J371" s="109"/>
      <c r="K371" s="116">
        <v>1</v>
      </c>
      <c r="L371" s="117">
        <f t="shared" si="54"/>
        <v>50000</v>
      </c>
      <c r="M371" s="114"/>
      <c r="N371" s="118"/>
      <c r="O371" s="118">
        <v>1</v>
      </c>
      <c r="P371" s="114">
        <f>VLOOKUP($B371,ma!$A:$C,3,0)</f>
        <v>800000</v>
      </c>
      <c r="Q371" s="132">
        <v>880000</v>
      </c>
      <c r="R371" s="149">
        <v>0.1</v>
      </c>
      <c r="S371" s="119"/>
      <c r="T371" s="119"/>
      <c r="U371" s="119"/>
      <c r="V371" s="119"/>
      <c r="W371" s="119"/>
      <c r="X371" s="119"/>
      <c r="Y371" s="119"/>
      <c r="Z371" s="119"/>
      <c r="AA371" s="119"/>
    </row>
    <row r="372" spans="1:27" ht="15">
      <c r="A372" s="137">
        <v>1</v>
      </c>
      <c r="B372" s="138" t="s">
        <v>1452</v>
      </c>
      <c r="C372" s="139" t="s">
        <v>1524</v>
      </c>
      <c r="D372" s="140">
        <v>46094</v>
      </c>
      <c r="E372" s="139" t="str">
        <f>VLOOKUP($C372,xe!$A:$B,2,0)</f>
        <v>51D-38021</v>
      </c>
      <c r="F372" s="141" t="str">
        <f>VLOOKUP($B372,ma!$A:$B,2,0)</f>
        <v>E MART SALA</v>
      </c>
      <c r="G372" s="142" t="s">
        <v>1860</v>
      </c>
      <c r="H372" s="126" t="s">
        <v>1644</v>
      </c>
      <c r="I372" s="132"/>
      <c r="J372" s="115" t="s">
        <v>140</v>
      </c>
      <c r="K372" s="129">
        <v>2</v>
      </c>
      <c r="L372" s="143">
        <f t="shared" si="54"/>
        <v>100000</v>
      </c>
      <c r="M372" s="132"/>
      <c r="N372" s="144"/>
      <c r="O372" s="144">
        <v>1</v>
      </c>
      <c r="P372" s="132">
        <f>VLOOKUP($B372,ma!$A:$C,3,0)</f>
        <v>800000</v>
      </c>
      <c r="Q372" s="132">
        <v>880000</v>
      </c>
      <c r="R372" s="149">
        <v>0.1</v>
      </c>
      <c r="S372" s="119"/>
      <c r="T372" s="119"/>
      <c r="U372" s="119"/>
      <c r="V372" s="119"/>
      <c r="W372" s="119"/>
      <c r="X372" s="119"/>
      <c r="Y372" s="119"/>
      <c r="Z372" s="119"/>
      <c r="AA372" s="119"/>
    </row>
    <row r="373" spans="1:27" ht="15">
      <c r="A373" s="107">
        <f t="shared" ref="A373:A418" si="55">A372+1</f>
        <v>2</v>
      </c>
      <c r="B373" s="108" t="s">
        <v>1452</v>
      </c>
      <c r="C373" s="109" t="s">
        <v>1522</v>
      </c>
      <c r="D373" s="110">
        <v>46094</v>
      </c>
      <c r="E373" s="109" t="str">
        <f>VLOOKUP($C373,xe!$A:$B,2,0)</f>
        <v>47H-02023</v>
      </c>
      <c r="F373" s="111" t="str">
        <f>VLOOKUP($B373,ma!$A:$B,2,0)</f>
        <v>E MART SALA</v>
      </c>
      <c r="G373" s="112" t="s">
        <v>1861</v>
      </c>
      <c r="H373" s="113" t="s">
        <v>1644</v>
      </c>
      <c r="I373" s="114"/>
      <c r="J373" s="115" t="s">
        <v>140</v>
      </c>
      <c r="K373" s="116">
        <v>2</v>
      </c>
      <c r="L373" s="117">
        <f t="shared" si="54"/>
        <v>100000</v>
      </c>
      <c r="M373" s="114"/>
      <c r="N373" s="118"/>
      <c r="O373" s="118">
        <v>1</v>
      </c>
      <c r="P373" s="114">
        <f>VLOOKUP($B373,ma!$A:$C,3,0)</f>
        <v>800000</v>
      </c>
      <c r="Q373" s="132">
        <v>880000</v>
      </c>
      <c r="R373" s="149">
        <v>0.1</v>
      </c>
      <c r="S373" s="119"/>
      <c r="T373" s="119"/>
      <c r="U373" s="119"/>
      <c r="V373" s="119"/>
      <c r="W373" s="119"/>
      <c r="X373" s="119"/>
      <c r="Y373" s="119"/>
      <c r="Z373" s="119"/>
      <c r="AA373" s="119"/>
    </row>
    <row r="374" spans="1:27" ht="15">
      <c r="A374" s="107">
        <f t="shared" si="55"/>
        <v>3</v>
      </c>
      <c r="B374" s="108" t="s">
        <v>1562</v>
      </c>
      <c r="C374" s="109" t="s">
        <v>58</v>
      </c>
      <c r="D374" s="110">
        <v>46094</v>
      </c>
      <c r="E374" s="109" t="str">
        <f>VLOOKUP($C374,xe!$A:$B,2,0)</f>
        <v>51C-81056</v>
      </c>
      <c r="F374" s="111" t="str">
        <f>VLOOKUP($B374,ma!$A:$B,2,0)</f>
        <v>AEON TÂN PHÚ</v>
      </c>
      <c r="G374" s="112" t="s">
        <v>1862</v>
      </c>
      <c r="H374" s="113" t="s">
        <v>1644</v>
      </c>
      <c r="I374" s="114"/>
      <c r="J374" s="115" t="s">
        <v>140</v>
      </c>
      <c r="K374" s="116">
        <v>1.2</v>
      </c>
      <c r="L374" s="117">
        <f t="shared" si="54"/>
        <v>60000</v>
      </c>
      <c r="M374" s="114"/>
      <c r="N374" s="118"/>
      <c r="O374" s="118">
        <v>1</v>
      </c>
      <c r="P374" s="114">
        <f>VLOOKUP($B374,ma!$A:$C,3,0)</f>
        <v>800000</v>
      </c>
      <c r="Q374" s="132">
        <v>880000</v>
      </c>
      <c r="R374" s="149">
        <v>0.1</v>
      </c>
      <c r="S374" s="119"/>
      <c r="T374" s="119"/>
      <c r="U374" s="119"/>
      <c r="V374" s="119"/>
      <c r="W374" s="119"/>
      <c r="X374" s="119"/>
      <c r="Y374" s="119"/>
      <c r="Z374" s="119"/>
      <c r="AA374" s="119"/>
    </row>
    <row r="375" spans="1:27" ht="15">
      <c r="A375" s="107">
        <f t="shared" si="55"/>
        <v>4</v>
      </c>
      <c r="B375" s="108" t="s">
        <v>1562</v>
      </c>
      <c r="C375" s="109" t="s">
        <v>60</v>
      </c>
      <c r="D375" s="110">
        <v>46094</v>
      </c>
      <c r="E375" s="109" t="str">
        <f>VLOOKUP($C375,xe!$A:$B,2,0)</f>
        <v>50H-11822</v>
      </c>
      <c r="F375" s="111" t="str">
        <f>VLOOKUP($B375,ma!$A:$B,2,0)</f>
        <v>AEON TÂN PHÚ</v>
      </c>
      <c r="G375" s="112" t="s">
        <v>1863</v>
      </c>
      <c r="H375" s="113" t="s">
        <v>1644</v>
      </c>
      <c r="I375" s="114"/>
      <c r="J375" s="115" t="s">
        <v>140</v>
      </c>
      <c r="K375" s="116">
        <v>1.2</v>
      </c>
      <c r="L375" s="117">
        <f t="shared" si="54"/>
        <v>60000</v>
      </c>
      <c r="M375" s="114"/>
      <c r="N375" s="118"/>
      <c r="O375" s="118">
        <v>1</v>
      </c>
      <c r="P375" s="114">
        <f>VLOOKUP($B375,ma!$A:$C,3,0)</f>
        <v>800000</v>
      </c>
      <c r="Q375" s="132">
        <v>880000</v>
      </c>
      <c r="R375" s="149">
        <v>0.1</v>
      </c>
      <c r="S375" s="119"/>
      <c r="T375" s="119"/>
      <c r="U375" s="119"/>
      <c r="V375" s="119"/>
      <c r="W375" s="119"/>
      <c r="X375" s="119"/>
      <c r="Y375" s="119"/>
      <c r="Z375" s="119"/>
      <c r="AA375" s="119"/>
    </row>
    <row r="376" spans="1:27" ht="15">
      <c r="A376" s="107">
        <f t="shared" si="55"/>
        <v>5</v>
      </c>
      <c r="B376" s="108" t="s">
        <v>1747</v>
      </c>
      <c r="C376" s="109" t="s">
        <v>66</v>
      </c>
      <c r="D376" s="110">
        <v>46094</v>
      </c>
      <c r="E376" s="109" t="str">
        <f>VLOOKUP($C376,xe!$A:$B,2,0)</f>
        <v>50H-92136</v>
      </c>
      <c r="F376" s="111" t="str">
        <f>VLOOKUP($B376,ma!$A:$B,2,0)</f>
        <v>SATRA SÀI GÒN</v>
      </c>
      <c r="G376" s="112" t="s">
        <v>1864</v>
      </c>
      <c r="H376" s="113" t="s">
        <v>1644</v>
      </c>
      <c r="I376" s="114"/>
      <c r="J376" s="109"/>
      <c r="K376" s="116">
        <v>1.4</v>
      </c>
      <c r="L376" s="117">
        <f t="shared" si="54"/>
        <v>70000</v>
      </c>
      <c r="M376" s="114"/>
      <c r="N376" s="118"/>
      <c r="O376" s="118">
        <v>1</v>
      </c>
      <c r="P376" s="114">
        <f>VLOOKUP($B376,ma!$A:$C,3,0)</f>
        <v>800000</v>
      </c>
      <c r="Q376" s="132">
        <v>880000</v>
      </c>
      <c r="R376" s="149">
        <v>0.1</v>
      </c>
      <c r="S376" s="119"/>
      <c r="T376" s="119"/>
      <c r="U376" s="119"/>
      <c r="V376" s="119"/>
      <c r="W376" s="119"/>
      <c r="X376" s="119"/>
      <c r="Y376" s="119"/>
      <c r="Z376" s="119"/>
      <c r="AA376" s="119"/>
    </row>
    <row r="377" spans="1:27" ht="15">
      <c r="A377" s="107">
        <f t="shared" si="55"/>
        <v>6</v>
      </c>
      <c r="B377" s="108" t="s">
        <v>1520</v>
      </c>
      <c r="C377" s="109" t="s">
        <v>78</v>
      </c>
      <c r="D377" s="110">
        <v>46094</v>
      </c>
      <c r="E377" s="133" t="str">
        <f>VLOOKUP($C377,xe!$A:$B,2,0)</f>
        <v>50E-565,21</v>
      </c>
      <c r="F377" s="111" t="str">
        <f>VLOOKUP($B377,ma!$A:$B,2,0)</f>
        <v>SEN VIỆT ( K BX )</v>
      </c>
      <c r="G377" s="112" t="s">
        <v>1865</v>
      </c>
      <c r="H377" s="113" t="s">
        <v>1644</v>
      </c>
      <c r="I377" s="114"/>
      <c r="J377" s="109"/>
      <c r="K377" s="116">
        <v>1.8</v>
      </c>
      <c r="L377" s="117"/>
      <c r="M377" s="114"/>
      <c r="N377" s="118"/>
      <c r="O377" s="118">
        <v>1</v>
      </c>
      <c r="P377" s="114">
        <f>VLOOKUP($B377,ma!$A:$C,3,0)</f>
        <v>800000</v>
      </c>
      <c r="Q377" s="132">
        <v>880000</v>
      </c>
      <c r="R377" s="149">
        <v>0.1</v>
      </c>
      <c r="S377" s="119"/>
      <c r="T377" s="119"/>
      <c r="U377" s="119"/>
      <c r="V377" s="119"/>
      <c r="W377" s="119"/>
      <c r="X377" s="119"/>
      <c r="Y377" s="119"/>
      <c r="Z377" s="119"/>
      <c r="AA377" s="119"/>
    </row>
    <row r="378" spans="1:27" ht="15">
      <c r="A378" s="107">
        <f t="shared" si="55"/>
        <v>7</v>
      </c>
      <c r="B378" s="108" t="s">
        <v>1866</v>
      </c>
      <c r="C378" s="109" t="s">
        <v>1490</v>
      </c>
      <c r="D378" s="110">
        <v>46094</v>
      </c>
      <c r="E378" s="109" t="str">
        <f>VLOOKUP($C378,xe!$A:$B,2,0)</f>
        <v>50H-44024</v>
      </c>
      <c r="F378" s="111" t="str">
        <f>VLOOKUP($B378,ma!$A:$B,2,0)</f>
        <v>ANFOOD Q12 ( K BX )</v>
      </c>
      <c r="G378" s="112" t="s">
        <v>1867</v>
      </c>
      <c r="H378" s="113" t="s">
        <v>1644</v>
      </c>
      <c r="I378" s="114"/>
      <c r="J378" s="109"/>
      <c r="K378" s="116">
        <v>2</v>
      </c>
      <c r="L378" s="117"/>
      <c r="M378" s="114"/>
      <c r="N378" s="118"/>
      <c r="O378" s="118">
        <v>1</v>
      </c>
      <c r="P378" s="114">
        <f>VLOOKUP($B378,ma!$A:$C,3,0)</f>
        <v>800000</v>
      </c>
      <c r="Q378" s="132">
        <v>880000</v>
      </c>
      <c r="R378" s="149">
        <v>0.1</v>
      </c>
      <c r="S378" s="119"/>
      <c r="T378" s="119"/>
      <c r="U378" s="119"/>
      <c r="V378" s="119"/>
      <c r="W378" s="119"/>
      <c r="X378" s="119"/>
      <c r="Y378" s="119"/>
      <c r="Z378" s="119"/>
      <c r="AA378" s="119"/>
    </row>
    <row r="379" spans="1:27" ht="15">
      <c r="A379" s="107">
        <f t="shared" si="55"/>
        <v>8</v>
      </c>
      <c r="B379" s="108" t="s">
        <v>1526</v>
      </c>
      <c r="C379" s="109" t="s">
        <v>70</v>
      </c>
      <c r="D379" s="110">
        <v>46094</v>
      </c>
      <c r="E379" s="109" t="str">
        <f>VLOOKUP($C379,xe!$A:$B,2,0)</f>
        <v>50H-86564</v>
      </c>
      <c r="F379" s="111" t="str">
        <f>VLOOKUP($B379,ma!$A:$B,2,0)</f>
        <v xml:space="preserve">KIDO CỦ CHI </v>
      </c>
      <c r="G379" s="112" t="s">
        <v>1868</v>
      </c>
      <c r="H379" s="113" t="s">
        <v>1644</v>
      </c>
      <c r="I379" s="114"/>
      <c r="J379" s="109"/>
      <c r="K379" s="116">
        <v>2</v>
      </c>
      <c r="L379" s="117">
        <f>K379*50000</f>
        <v>100000</v>
      </c>
      <c r="M379" s="114"/>
      <c r="N379" s="118"/>
      <c r="O379" s="118">
        <v>1</v>
      </c>
      <c r="P379" s="114">
        <f>VLOOKUP($B379,ma!$A:$C,3,0)</f>
        <v>900000</v>
      </c>
      <c r="Q379" s="132">
        <v>990000</v>
      </c>
      <c r="R379" s="149">
        <v>0.1</v>
      </c>
      <c r="S379" s="119"/>
      <c r="T379" s="119"/>
      <c r="U379" s="119"/>
      <c r="V379" s="119"/>
      <c r="W379" s="119"/>
      <c r="X379" s="119"/>
      <c r="Y379" s="119"/>
      <c r="Z379" s="119"/>
      <c r="AA379" s="119"/>
    </row>
    <row r="380" spans="1:27" ht="15">
      <c r="A380" s="107">
        <f t="shared" si="55"/>
        <v>9</v>
      </c>
      <c r="B380" s="108" t="s">
        <v>1869</v>
      </c>
      <c r="C380" s="109" t="s">
        <v>68</v>
      </c>
      <c r="D380" s="110">
        <v>46094</v>
      </c>
      <c r="E380" s="109" t="str">
        <f>VLOOKUP($C380,xe!$A:$B,2,0)</f>
        <v>50H-55829</v>
      </c>
      <c r="F380" s="111" t="str">
        <f>VLOOKUP($B380,ma!$A:$B,2,0)</f>
        <v>BHX XUYÊN Á</v>
      </c>
      <c r="G380" s="112" t="s">
        <v>1870</v>
      </c>
      <c r="H380" s="113" t="s">
        <v>1644</v>
      </c>
      <c r="I380" s="114"/>
      <c r="J380" s="109"/>
      <c r="K380" s="116">
        <v>1.6</v>
      </c>
      <c r="L380" s="117">
        <f t="shared" ref="L380:L381" si="56">K380*80000</f>
        <v>128000</v>
      </c>
      <c r="M380" s="114"/>
      <c r="N380" s="118"/>
      <c r="O380" s="118">
        <v>1</v>
      </c>
      <c r="P380" s="114">
        <f>VLOOKUP($B380,ma!$A:$C,3,0)</f>
        <v>900000</v>
      </c>
      <c r="Q380" s="132">
        <v>990000</v>
      </c>
      <c r="R380" s="149">
        <v>0.1</v>
      </c>
      <c r="S380" s="119"/>
      <c r="T380" s="119"/>
      <c r="U380" s="119"/>
      <c r="V380" s="119"/>
      <c r="W380" s="119"/>
      <c r="X380" s="119"/>
      <c r="Y380" s="119"/>
      <c r="Z380" s="119"/>
      <c r="AA380" s="119"/>
    </row>
    <row r="381" spans="1:27" ht="15">
      <c r="A381" s="107">
        <f t="shared" si="55"/>
        <v>10</v>
      </c>
      <c r="B381" s="108" t="s">
        <v>1869</v>
      </c>
      <c r="C381" s="109" t="s">
        <v>64</v>
      </c>
      <c r="D381" s="110">
        <v>46094</v>
      </c>
      <c r="E381" s="109" t="str">
        <f>VLOOKUP($C381,xe!$A:$B,2,0)</f>
        <v>50H-60635</v>
      </c>
      <c r="F381" s="111" t="str">
        <f>VLOOKUP($B381,ma!$A:$B,2,0)</f>
        <v>BHX XUYÊN Á</v>
      </c>
      <c r="G381" s="112" t="s">
        <v>1871</v>
      </c>
      <c r="H381" s="113" t="s">
        <v>1644</v>
      </c>
      <c r="I381" s="114"/>
      <c r="J381" s="109"/>
      <c r="K381" s="116">
        <v>1.6</v>
      </c>
      <c r="L381" s="117">
        <f t="shared" si="56"/>
        <v>128000</v>
      </c>
      <c r="M381" s="114"/>
      <c r="N381" s="118"/>
      <c r="O381" s="118">
        <v>1</v>
      </c>
      <c r="P381" s="114">
        <f>VLOOKUP($B381,ma!$A:$C,3,0)</f>
        <v>900000</v>
      </c>
      <c r="Q381" s="132">
        <v>990000</v>
      </c>
      <c r="R381" s="149">
        <v>0.1</v>
      </c>
      <c r="S381" s="119"/>
      <c r="T381" s="119"/>
      <c r="U381" s="119"/>
      <c r="V381" s="119"/>
      <c r="W381" s="119"/>
      <c r="X381" s="119"/>
      <c r="Y381" s="119"/>
      <c r="Z381" s="119"/>
      <c r="AA381" s="119"/>
    </row>
    <row r="382" spans="1:27" ht="15">
      <c r="A382" s="107">
        <f t="shared" si="55"/>
        <v>11</v>
      </c>
      <c r="B382" s="108" t="s">
        <v>1872</v>
      </c>
      <c r="C382" s="109" t="s">
        <v>1873</v>
      </c>
      <c r="D382" s="110">
        <v>46094</v>
      </c>
      <c r="E382" s="109" t="str">
        <f>VLOOKUP($C382,xe!$A:$B,2,0)</f>
        <v>50H-63174</v>
      </c>
      <c r="F382" s="111" t="str">
        <f>VLOOKUP($B382,ma!$A:$B,2,0)</f>
        <v>VĂN HẬU CỦ CHI</v>
      </c>
      <c r="G382" s="112" t="s">
        <v>1412</v>
      </c>
      <c r="H382" s="113" t="s">
        <v>1412</v>
      </c>
      <c r="I382" s="114"/>
      <c r="J382" s="109"/>
      <c r="K382" s="116">
        <v>1.4</v>
      </c>
      <c r="L382" s="134">
        <f>K382*100000</f>
        <v>140000</v>
      </c>
      <c r="M382" s="114"/>
      <c r="N382" s="118"/>
      <c r="O382" s="118">
        <v>1</v>
      </c>
      <c r="P382" s="114">
        <f>VLOOKUP($B382,ma!$A:$C,3,0)</f>
        <v>900000</v>
      </c>
      <c r="Q382" s="132">
        <v>990000</v>
      </c>
      <c r="R382" s="149">
        <v>0.1</v>
      </c>
      <c r="S382" s="119"/>
      <c r="T382" s="119"/>
      <c r="U382" s="119"/>
      <c r="V382" s="119"/>
      <c r="W382" s="119"/>
      <c r="X382" s="119"/>
      <c r="Y382" s="119"/>
      <c r="Z382" s="119"/>
      <c r="AA382" s="119"/>
    </row>
    <row r="383" spans="1:27" ht="15">
      <c r="A383" s="107">
        <f t="shared" si="55"/>
        <v>12</v>
      </c>
      <c r="B383" s="108" t="s">
        <v>1474</v>
      </c>
      <c r="C383" s="109" t="s">
        <v>1432</v>
      </c>
      <c r="D383" s="110">
        <v>46094</v>
      </c>
      <c r="E383" s="109" t="str">
        <f>VLOOKUP($C383,xe!$A:$B,2,0)</f>
        <v>50H-70216</v>
      </c>
      <c r="F383" s="111" t="str">
        <f>VLOOKUP($B383,ma!$A:$B,2,0)</f>
        <v>NGUYỄN TRƯƠNG</v>
      </c>
      <c r="G383" s="112" t="s">
        <v>1874</v>
      </c>
      <c r="H383" s="113" t="s">
        <v>1644</v>
      </c>
      <c r="I383" s="114"/>
      <c r="J383" s="115" t="s">
        <v>1875</v>
      </c>
      <c r="K383" s="116">
        <v>1.6</v>
      </c>
      <c r="L383" s="117">
        <f t="shared" ref="L383:L388" si="57">K383*50000</f>
        <v>80000</v>
      </c>
      <c r="M383" s="114"/>
      <c r="N383" s="118"/>
      <c r="O383" s="118">
        <v>1</v>
      </c>
      <c r="P383" s="114">
        <f>VLOOKUP($B383,ma!$A:$C,3,0)</f>
        <v>800000</v>
      </c>
      <c r="Q383" s="132">
        <v>880000</v>
      </c>
      <c r="R383" s="149">
        <v>0.1</v>
      </c>
      <c r="S383" s="119"/>
      <c r="T383" s="119"/>
      <c r="U383" s="119"/>
      <c r="V383" s="119"/>
      <c r="W383" s="119"/>
      <c r="X383" s="119"/>
      <c r="Y383" s="119"/>
      <c r="Z383" s="119"/>
      <c r="AA383" s="119"/>
    </row>
    <row r="384" spans="1:27" ht="15">
      <c r="A384" s="107">
        <f t="shared" si="55"/>
        <v>13</v>
      </c>
      <c r="B384" s="108" t="s">
        <v>1474</v>
      </c>
      <c r="C384" s="109" t="s">
        <v>25</v>
      </c>
      <c r="D384" s="110">
        <v>46094</v>
      </c>
      <c r="E384" s="109" t="str">
        <f>VLOOKUP($C384,xe!$A:$B,2,0)</f>
        <v>50H-55161</v>
      </c>
      <c r="F384" s="111" t="str">
        <f>VLOOKUP($B384,ma!$A:$B,2,0)</f>
        <v>NGUYỄN TRƯƠNG</v>
      </c>
      <c r="G384" s="112" t="s">
        <v>1876</v>
      </c>
      <c r="H384" s="113" t="s">
        <v>1644</v>
      </c>
      <c r="I384" s="114"/>
      <c r="J384" s="109"/>
      <c r="K384" s="116">
        <v>1.6</v>
      </c>
      <c r="L384" s="117">
        <f t="shared" si="57"/>
        <v>80000</v>
      </c>
      <c r="M384" s="114"/>
      <c r="N384" s="118"/>
      <c r="O384" s="118">
        <v>1</v>
      </c>
      <c r="P384" s="114">
        <f>VLOOKUP($B384,ma!$A:$C,3,0)</f>
        <v>800000</v>
      </c>
      <c r="Q384" s="132">
        <v>880000</v>
      </c>
      <c r="R384" s="149">
        <v>0.1</v>
      </c>
      <c r="S384" s="119"/>
      <c r="T384" s="119"/>
      <c r="U384" s="119"/>
      <c r="V384" s="119"/>
      <c r="W384" s="119"/>
      <c r="X384" s="119"/>
      <c r="Y384" s="119"/>
      <c r="Z384" s="119"/>
      <c r="AA384" s="119"/>
    </row>
    <row r="385" spans="1:27" ht="15">
      <c r="A385" s="107">
        <f t="shared" si="55"/>
        <v>14</v>
      </c>
      <c r="B385" s="108" t="s">
        <v>1474</v>
      </c>
      <c r="C385" s="109" t="s">
        <v>21</v>
      </c>
      <c r="D385" s="110">
        <v>46094</v>
      </c>
      <c r="E385" s="109" t="str">
        <f>VLOOKUP($C385,xe!$A:$B,2,0)</f>
        <v>50H-66445</v>
      </c>
      <c r="F385" s="111" t="str">
        <f>VLOOKUP($B385,ma!$A:$B,2,0)</f>
        <v>NGUYỄN TRƯƠNG</v>
      </c>
      <c r="G385" s="112" t="s">
        <v>1877</v>
      </c>
      <c r="H385" s="113" t="s">
        <v>1644</v>
      </c>
      <c r="I385" s="114"/>
      <c r="J385" s="109"/>
      <c r="K385" s="116">
        <v>1.6</v>
      </c>
      <c r="L385" s="117">
        <f t="shared" si="57"/>
        <v>80000</v>
      </c>
      <c r="M385" s="114"/>
      <c r="N385" s="118"/>
      <c r="O385" s="118">
        <v>1</v>
      </c>
      <c r="P385" s="114">
        <f>VLOOKUP($B385,ma!$A:$C,3,0)</f>
        <v>800000</v>
      </c>
      <c r="Q385" s="132">
        <v>880000</v>
      </c>
      <c r="R385" s="149">
        <v>0.1</v>
      </c>
      <c r="S385" s="119"/>
      <c r="T385" s="119"/>
      <c r="U385" s="119"/>
      <c r="V385" s="119"/>
      <c r="W385" s="119"/>
      <c r="X385" s="119"/>
      <c r="Y385" s="119"/>
      <c r="Z385" s="119"/>
      <c r="AA385" s="119"/>
    </row>
    <row r="386" spans="1:27" ht="15">
      <c r="A386" s="107">
        <f t="shared" si="55"/>
        <v>15</v>
      </c>
      <c r="B386" s="108" t="s">
        <v>1474</v>
      </c>
      <c r="C386" s="109" t="s">
        <v>31</v>
      </c>
      <c r="D386" s="110">
        <v>46094</v>
      </c>
      <c r="E386" s="109" t="str">
        <f>VLOOKUP($C386,xe!$A:$B,2,0)</f>
        <v>50H-74619</v>
      </c>
      <c r="F386" s="111" t="str">
        <f>VLOOKUP($B386,ma!$A:$B,2,0)</f>
        <v>NGUYỄN TRƯƠNG</v>
      </c>
      <c r="G386" s="112" t="s">
        <v>1878</v>
      </c>
      <c r="H386" s="113" t="s">
        <v>1644</v>
      </c>
      <c r="I386" s="114"/>
      <c r="J386" s="109"/>
      <c r="K386" s="116">
        <v>1.6</v>
      </c>
      <c r="L386" s="117">
        <f t="shared" si="57"/>
        <v>80000</v>
      </c>
      <c r="M386" s="114"/>
      <c r="N386" s="118"/>
      <c r="O386" s="118">
        <v>1</v>
      </c>
      <c r="P386" s="114">
        <f>VLOOKUP($B386,ma!$A:$C,3,0)</f>
        <v>800000</v>
      </c>
      <c r="Q386" s="132">
        <v>880000</v>
      </c>
      <c r="R386" s="149">
        <v>0.1</v>
      </c>
      <c r="S386" s="119"/>
      <c r="T386" s="119"/>
      <c r="U386" s="119"/>
      <c r="V386" s="119"/>
      <c r="W386" s="119"/>
      <c r="X386" s="119"/>
      <c r="Y386" s="119"/>
      <c r="Z386" s="119"/>
      <c r="AA386" s="119"/>
    </row>
    <row r="387" spans="1:27" ht="15">
      <c r="A387" s="107">
        <f t="shared" si="55"/>
        <v>16</v>
      </c>
      <c r="B387" s="108" t="s">
        <v>503</v>
      </c>
      <c r="C387" s="109" t="s">
        <v>1669</v>
      </c>
      <c r="D387" s="110">
        <v>46094</v>
      </c>
      <c r="E387" s="109" t="str">
        <f>VLOOKUP($C387,xe!$A:$B,2,0)</f>
        <v>50H-69501</v>
      </c>
      <c r="F387" s="111" t="str">
        <f>VLOOKUP($B387,ma!$A:$B,2,0)</f>
        <v>Paparotti Tân Phú</v>
      </c>
      <c r="G387" s="112" t="s">
        <v>1879</v>
      </c>
      <c r="H387" s="113" t="s">
        <v>1880</v>
      </c>
      <c r="I387" s="114"/>
      <c r="J387" s="109"/>
      <c r="K387" s="116">
        <v>1.8</v>
      </c>
      <c r="L387" s="117">
        <f t="shared" si="57"/>
        <v>90000</v>
      </c>
      <c r="M387" s="114"/>
      <c r="N387" s="118"/>
      <c r="O387" s="118">
        <v>1</v>
      </c>
      <c r="P387" s="114">
        <f>VLOOKUP($B387,ma!$A:$C,3,0)</f>
        <v>800000</v>
      </c>
      <c r="Q387" s="132">
        <v>880000</v>
      </c>
      <c r="R387" s="149">
        <v>0.1</v>
      </c>
      <c r="S387" s="119"/>
      <c r="T387" s="119"/>
      <c r="U387" s="119"/>
      <c r="V387" s="119"/>
      <c r="W387" s="119"/>
      <c r="X387" s="119"/>
      <c r="Y387" s="119"/>
      <c r="Z387" s="119"/>
      <c r="AA387" s="119"/>
    </row>
    <row r="388" spans="1:27" ht="15">
      <c r="A388" s="107">
        <f t="shared" si="55"/>
        <v>17</v>
      </c>
      <c r="B388" s="108" t="s">
        <v>1591</v>
      </c>
      <c r="C388" s="109" t="s">
        <v>14</v>
      </c>
      <c r="D388" s="110">
        <v>46094</v>
      </c>
      <c r="E388" s="109" t="str">
        <f>VLOOKUP($C388,xe!$A:$B,2,0)</f>
        <v>50H-64470</v>
      </c>
      <c r="F388" s="111" t="str">
        <f>VLOOKUP($B388,ma!$A:$B,2,0)</f>
        <v>DUY LINH</v>
      </c>
      <c r="G388" s="112" t="s">
        <v>1881</v>
      </c>
      <c r="H388" s="113" t="s">
        <v>1512</v>
      </c>
      <c r="I388" s="114"/>
      <c r="J388" s="109"/>
      <c r="K388" s="116">
        <v>2.2000000000000002</v>
      </c>
      <c r="L388" s="117">
        <f t="shared" si="57"/>
        <v>110000.00000000001</v>
      </c>
      <c r="M388" s="114"/>
      <c r="N388" s="118"/>
      <c r="O388" s="118">
        <v>1</v>
      </c>
      <c r="P388" s="114">
        <f>VLOOKUP($B388,ma!$A:$C,3,0)</f>
        <v>800000</v>
      </c>
      <c r="Q388" s="132">
        <v>880000</v>
      </c>
      <c r="R388" s="149">
        <v>0.1</v>
      </c>
      <c r="S388" s="119"/>
      <c r="T388" s="119"/>
      <c r="U388" s="119"/>
      <c r="V388" s="119"/>
      <c r="W388" s="119"/>
      <c r="X388" s="119"/>
      <c r="Y388" s="119"/>
      <c r="Z388" s="119"/>
      <c r="AA388" s="119"/>
    </row>
    <row r="389" spans="1:27" ht="15">
      <c r="A389" s="107">
        <f t="shared" si="55"/>
        <v>18</v>
      </c>
      <c r="B389" s="108" t="s">
        <v>1489</v>
      </c>
      <c r="C389" s="109" t="s">
        <v>1546</v>
      </c>
      <c r="D389" s="110">
        <v>46094</v>
      </c>
      <c r="E389" s="109" t="str">
        <f>VLOOKUP($C389,xe!$A:$B,2,0)</f>
        <v>50H-54580</v>
      </c>
      <c r="F389" s="111" t="str">
        <f>VLOOKUP($B389,ma!$A:$B,2,0)</f>
        <v>XUÂN VÂN ( K BX )</v>
      </c>
      <c r="G389" s="112" t="s">
        <v>1882</v>
      </c>
      <c r="H389" s="113" t="s">
        <v>1644</v>
      </c>
      <c r="I389" s="114"/>
      <c r="J389" s="109"/>
      <c r="K389" s="116">
        <v>2</v>
      </c>
      <c r="L389" s="117">
        <v>50000</v>
      </c>
      <c r="M389" s="114"/>
      <c r="N389" s="118"/>
      <c r="O389" s="118">
        <v>1</v>
      </c>
      <c r="P389" s="114">
        <f>VLOOKUP($B389,ma!$A:$C,3,0)</f>
        <v>800000</v>
      </c>
      <c r="Q389" s="132">
        <v>880000</v>
      </c>
      <c r="R389" s="149">
        <v>0.1</v>
      </c>
      <c r="S389" s="119"/>
      <c r="T389" s="119"/>
      <c r="U389" s="119"/>
      <c r="V389" s="119"/>
      <c r="W389" s="119"/>
      <c r="X389" s="119"/>
      <c r="Y389" s="119"/>
      <c r="Z389" s="119"/>
      <c r="AA389" s="119"/>
    </row>
    <row r="390" spans="1:27" ht="15">
      <c r="A390" s="107">
        <f t="shared" si="55"/>
        <v>19</v>
      </c>
      <c r="B390" s="108" t="s">
        <v>1489</v>
      </c>
      <c r="C390" s="109" t="s">
        <v>1506</v>
      </c>
      <c r="D390" s="110">
        <v>46094</v>
      </c>
      <c r="E390" s="109" t="str">
        <f>VLOOKUP($C390,xe!$A:$B,2,0)</f>
        <v>50H-55443</v>
      </c>
      <c r="F390" s="111" t="str">
        <f>VLOOKUP($B390,ma!$A:$B,2,0)</f>
        <v>XUÂN VÂN ( K BX )</v>
      </c>
      <c r="G390" s="112" t="s">
        <v>1883</v>
      </c>
      <c r="H390" s="113" t="s">
        <v>1644</v>
      </c>
      <c r="I390" s="114"/>
      <c r="J390" s="109"/>
      <c r="K390" s="116">
        <v>1.8</v>
      </c>
      <c r="L390" s="117">
        <v>50000</v>
      </c>
      <c r="M390" s="114"/>
      <c r="N390" s="118"/>
      <c r="O390" s="118">
        <v>1</v>
      </c>
      <c r="P390" s="114">
        <f>VLOOKUP($B390,ma!$A:$C,3,0)</f>
        <v>800000</v>
      </c>
      <c r="Q390" s="132">
        <v>880000</v>
      </c>
      <c r="R390" s="149">
        <v>0.1</v>
      </c>
      <c r="S390" s="119"/>
      <c r="T390" s="119"/>
      <c r="U390" s="119"/>
      <c r="V390" s="119"/>
      <c r="W390" s="119"/>
      <c r="X390" s="119"/>
      <c r="Y390" s="119"/>
      <c r="Z390" s="119"/>
      <c r="AA390" s="119"/>
    </row>
    <row r="391" spans="1:27" ht="15">
      <c r="A391" s="107">
        <f t="shared" si="55"/>
        <v>20</v>
      </c>
      <c r="B391" s="108" t="s">
        <v>1716</v>
      </c>
      <c r="C391" s="109" t="s">
        <v>1538</v>
      </c>
      <c r="D391" s="110">
        <v>46094</v>
      </c>
      <c r="E391" s="109" t="str">
        <f>VLOOKUP($C391,xe!$A:$B,2,0)</f>
        <v>62H-01887</v>
      </c>
      <c r="F391" s="111" t="str">
        <f>VLOOKUP($B391,ma!$A:$B,2,0)</f>
        <v>TA BAKER Q,12</v>
      </c>
      <c r="G391" s="112" t="s">
        <v>1884</v>
      </c>
      <c r="H391" s="113" t="s">
        <v>1880</v>
      </c>
      <c r="I391" s="114"/>
      <c r="J391" s="109"/>
      <c r="K391" s="116">
        <v>1.2</v>
      </c>
      <c r="L391" s="117">
        <f t="shared" ref="L391:L403" si="58">K391*50000</f>
        <v>60000</v>
      </c>
      <c r="M391" s="114"/>
      <c r="N391" s="118"/>
      <c r="O391" s="118">
        <v>1</v>
      </c>
      <c r="P391" s="114">
        <f>VLOOKUP($B391,ma!$A:$C,3,0)</f>
        <v>800000</v>
      </c>
      <c r="Q391" s="132">
        <v>880000</v>
      </c>
      <c r="R391" s="149">
        <v>0.1</v>
      </c>
      <c r="S391" s="119"/>
      <c r="T391" s="119"/>
      <c r="U391" s="119"/>
      <c r="V391" s="119"/>
      <c r="W391" s="119"/>
      <c r="X391" s="119"/>
      <c r="Y391" s="119"/>
      <c r="Z391" s="119"/>
      <c r="AA391" s="119"/>
    </row>
    <row r="392" spans="1:27" ht="15">
      <c r="A392" s="107">
        <f t="shared" si="55"/>
        <v>21</v>
      </c>
      <c r="B392" s="108" t="s">
        <v>1716</v>
      </c>
      <c r="C392" s="109" t="s">
        <v>58</v>
      </c>
      <c r="D392" s="110">
        <v>46094</v>
      </c>
      <c r="E392" s="109" t="str">
        <f>VLOOKUP($C392,xe!$A:$B,2,0)</f>
        <v>51C-81056</v>
      </c>
      <c r="F392" s="111" t="str">
        <f>VLOOKUP($B392,ma!$A:$B,2,0)</f>
        <v>TA BAKER Q,12</v>
      </c>
      <c r="G392" s="112" t="s">
        <v>1885</v>
      </c>
      <c r="H392" s="113" t="s">
        <v>1880</v>
      </c>
      <c r="I392" s="114"/>
      <c r="J392" s="109"/>
      <c r="K392" s="116">
        <v>1.4</v>
      </c>
      <c r="L392" s="117">
        <f t="shared" si="58"/>
        <v>70000</v>
      </c>
      <c r="M392" s="114"/>
      <c r="N392" s="118"/>
      <c r="O392" s="118">
        <v>1</v>
      </c>
      <c r="P392" s="114">
        <f>VLOOKUP($B392,ma!$A:$C,3,0)</f>
        <v>800000</v>
      </c>
      <c r="Q392" s="132">
        <v>880000</v>
      </c>
      <c r="R392" s="149">
        <v>0.1</v>
      </c>
      <c r="S392" s="119"/>
      <c r="T392" s="119"/>
      <c r="U392" s="119"/>
      <c r="V392" s="119"/>
      <c r="W392" s="119"/>
      <c r="X392" s="119"/>
      <c r="Y392" s="119"/>
      <c r="Z392" s="119"/>
      <c r="AA392" s="119"/>
    </row>
    <row r="393" spans="1:27" ht="15">
      <c r="A393" s="107">
        <f t="shared" si="55"/>
        <v>22</v>
      </c>
      <c r="B393" s="108" t="s">
        <v>1467</v>
      </c>
      <c r="C393" s="109" t="s">
        <v>10</v>
      </c>
      <c r="D393" s="110">
        <v>46094</v>
      </c>
      <c r="E393" s="109" t="str">
        <f>VLOOKUP($C393,xe!$A:$B,2,0)</f>
        <v>50H-50999</v>
      </c>
      <c r="F393" s="111" t="str">
        <f>VLOOKUP($B393,ma!$A:$B,2,0)</f>
        <v>LÊ GIA THỦ ĐỨC</v>
      </c>
      <c r="G393" s="112" t="s">
        <v>1886</v>
      </c>
      <c r="H393" s="113" t="s">
        <v>1644</v>
      </c>
      <c r="I393" s="114"/>
      <c r="J393" s="109"/>
      <c r="K393" s="116">
        <v>1.2</v>
      </c>
      <c r="L393" s="117">
        <f t="shared" si="58"/>
        <v>60000</v>
      </c>
      <c r="M393" s="114"/>
      <c r="N393" s="118"/>
      <c r="O393" s="118">
        <v>1</v>
      </c>
      <c r="P393" s="114">
        <f>VLOOKUP($B393,ma!$A:$C,3,0)</f>
        <v>800000</v>
      </c>
      <c r="Q393" s="132">
        <v>880000</v>
      </c>
      <c r="R393" s="149">
        <v>0.1</v>
      </c>
      <c r="S393" s="119"/>
      <c r="T393" s="119"/>
      <c r="U393" s="119"/>
      <c r="V393" s="119"/>
      <c r="W393" s="119"/>
      <c r="X393" s="119"/>
      <c r="Y393" s="119"/>
      <c r="Z393" s="119"/>
      <c r="AA393" s="119"/>
    </row>
    <row r="394" spans="1:27" ht="15">
      <c r="A394" s="107">
        <f t="shared" si="55"/>
        <v>23</v>
      </c>
      <c r="B394" s="108" t="s">
        <v>1467</v>
      </c>
      <c r="C394" s="109" t="s">
        <v>1440</v>
      </c>
      <c r="D394" s="110">
        <v>46094</v>
      </c>
      <c r="E394" s="109" t="str">
        <f>VLOOKUP($C394,xe!$A:$B,2,0)</f>
        <v>51H -88294</v>
      </c>
      <c r="F394" s="111" t="str">
        <f>VLOOKUP($B394,ma!$A:$B,2,0)</f>
        <v>LÊ GIA THỦ ĐỨC</v>
      </c>
      <c r="G394" s="112" t="s">
        <v>1887</v>
      </c>
      <c r="H394" s="113" t="s">
        <v>1644</v>
      </c>
      <c r="I394" s="114"/>
      <c r="J394" s="109"/>
      <c r="K394" s="116">
        <v>1.2</v>
      </c>
      <c r="L394" s="117">
        <f t="shared" si="58"/>
        <v>60000</v>
      </c>
      <c r="M394" s="114"/>
      <c r="N394" s="118"/>
      <c r="O394" s="118">
        <v>1</v>
      </c>
      <c r="P394" s="114">
        <f>VLOOKUP($B394,ma!$A:$C,3,0)</f>
        <v>800000</v>
      </c>
      <c r="Q394" s="132">
        <v>880000</v>
      </c>
      <c r="R394" s="149">
        <v>0.1</v>
      </c>
      <c r="S394" s="119"/>
      <c r="T394" s="119"/>
      <c r="U394" s="119"/>
      <c r="V394" s="119"/>
      <c r="W394" s="119"/>
      <c r="X394" s="119"/>
      <c r="Y394" s="119"/>
      <c r="Z394" s="119"/>
      <c r="AA394" s="119"/>
    </row>
    <row r="395" spans="1:27" ht="15">
      <c r="A395" s="107">
        <f t="shared" si="55"/>
        <v>24</v>
      </c>
      <c r="B395" s="108" t="s">
        <v>1771</v>
      </c>
      <c r="C395" s="109" t="s">
        <v>8</v>
      </c>
      <c r="D395" s="110">
        <v>46094</v>
      </c>
      <c r="E395" s="109" t="str">
        <f>VLOOKUP($C395,xe!$A:$B,2,0)</f>
        <v>50H-64316</v>
      </c>
      <c r="F395" s="111" t="str">
        <f>VLOOKUP($B395,ma!$A:$B,2,0)</f>
        <v>HỒNG NGỌC AN LẠC</v>
      </c>
      <c r="G395" s="112" t="s">
        <v>1888</v>
      </c>
      <c r="H395" s="113" t="s">
        <v>1644</v>
      </c>
      <c r="I395" s="114"/>
      <c r="J395" s="109"/>
      <c r="K395" s="116">
        <v>2.2000000000000002</v>
      </c>
      <c r="L395" s="117">
        <f t="shared" si="58"/>
        <v>110000.00000000001</v>
      </c>
      <c r="M395" s="114">
        <v>30000</v>
      </c>
      <c r="N395" s="118" t="s">
        <v>1423</v>
      </c>
      <c r="O395" s="118">
        <v>1</v>
      </c>
      <c r="P395" s="114">
        <f>VLOOKUP($B395,ma!$A:$C,3,0)</f>
        <v>800000</v>
      </c>
      <c r="Q395" s="132">
        <v>880000</v>
      </c>
      <c r="R395" s="149">
        <v>0.1</v>
      </c>
      <c r="S395" s="119"/>
      <c r="T395" s="119"/>
      <c r="U395" s="119"/>
      <c r="V395" s="119"/>
      <c r="W395" s="119"/>
      <c r="X395" s="119"/>
      <c r="Y395" s="119"/>
      <c r="Z395" s="119"/>
      <c r="AA395" s="119"/>
    </row>
    <row r="396" spans="1:27" ht="15">
      <c r="A396" s="107">
        <f t="shared" si="55"/>
        <v>25</v>
      </c>
      <c r="B396" s="108" t="s">
        <v>1889</v>
      </c>
      <c r="C396" s="109" t="s">
        <v>58</v>
      </c>
      <c r="D396" s="110">
        <v>46094</v>
      </c>
      <c r="E396" s="109" t="str">
        <f>VLOOKUP($C396,xe!$A:$B,2,0)</f>
        <v>51C-81056</v>
      </c>
      <c r="F396" s="111" t="str">
        <f>VLOOKUP($B396,ma!$A:$B,2,0)</f>
        <v>TM SB Q6</v>
      </c>
      <c r="G396" s="112" t="s">
        <v>1890</v>
      </c>
      <c r="H396" s="113" t="s">
        <v>1644</v>
      </c>
      <c r="I396" s="114"/>
      <c r="J396" s="109"/>
      <c r="K396" s="116">
        <v>1.4</v>
      </c>
      <c r="L396" s="117">
        <f t="shared" si="58"/>
        <v>70000</v>
      </c>
      <c r="M396" s="114"/>
      <c r="N396" s="118"/>
      <c r="O396" s="118">
        <v>1</v>
      </c>
      <c r="P396" s="114">
        <f>VLOOKUP($B396,ma!$A:$C,3,0)</f>
        <v>800000</v>
      </c>
      <c r="Q396" s="132">
        <v>880000</v>
      </c>
      <c r="R396" s="149">
        <v>0.1</v>
      </c>
      <c r="S396" s="119"/>
      <c r="T396" s="119"/>
      <c r="U396" s="119"/>
      <c r="V396" s="119"/>
      <c r="W396" s="119"/>
      <c r="X396" s="119"/>
      <c r="Y396" s="119"/>
      <c r="Z396" s="119"/>
      <c r="AA396" s="119"/>
    </row>
    <row r="397" spans="1:27" ht="15">
      <c r="A397" s="107">
        <f t="shared" si="55"/>
        <v>26</v>
      </c>
      <c r="B397" s="108" t="s">
        <v>1891</v>
      </c>
      <c r="C397" s="109" t="s">
        <v>1546</v>
      </c>
      <c r="D397" s="110">
        <v>46094</v>
      </c>
      <c r="E397" s="109" t="str">
        <f>VLOOKUP($C397,xe!$A:$B,2,0)</f>
        <v>50H-54580</v>
      </c>
      <c r="F397" s="111" t="str">
        <f>VLOOKUP($B397,ma!$A:$B,2,0)</f>
        <v>YILIN</v>
      </c>
      <c r="G397" s="112" t="s">
        <v>1892</v>
      </c>
      <c r="H397" s="113" t="s">
        <v>1644</v>
      </c>
      <c r="I397" s="114"/>
      <c r="J397" s="109"/>
      <c r="K397" s="116">
        <v>2</v>
      </c>
      <c r="L397" s="117">
        <f t="shared" si="58"/>
        <v>100000</v>
      </c>
      <c r="M397" s="114"/>
      <c r="N397" s="118"/>
      <c r="O397" s="118">
        <v>1</v>
      </c>
      <c r="P397" s="114">
        <f>VLOOKUP($B397,ma!$A:$C,3,0)</f>
        <v>800000</v>
      </c>
      <c r="Q397" s="132">
        <v>880000</v>
      </c>
      <c r="R397" s="149">
        <v>0.1</v>
      </c>
      <c r="S397" s="119"/>
      <c r="T397" s="119"/>
      <c r="U397" s="119"/>
      <c r="V397" s="119"/>
      <c r="W397" s="119"/>
      <c r="X397" s="119"/>
      <c r="Y397" s="119"/>
      <c r="Z397" s="119"/>
      <c r="AA397" s="119"/>
    </row>
    <row r="398" spans="1:27" ht="15">
      <c r="A398" s="107">
        <f t="shared" si="55"/>
        <v>27</v>
      </c>
      <c r="B398" s="108" t="s">
        <v>1891</v>
      </c>
      <c r="C398" s="109" t="s">
        <v>1506</v>
      </c>
      <c r="D398" s="110">
        <v>46094</v>
      </c>
      <c r="E398" s="109" t="str">
        <f>VLOOKUP($C398,xe!$A:$B,2,0)</f>
        <v>50H-55443</v>
      </c>
      <c r="F398" s="111" t="str">
        <f>VLOOKUP($B398,ma!$A:$B,2,0)</f>
        <v>YILIN</v>
      </c>
      <c r="G398" s="112" t="s">
        <v>1893</v>
      </c>
      <c r="H398" s="113" t="s">
        <v>1644</v>
      </c>
      <c r="I398" s="114"/>
      <c r="J398" s="109"/>
      <c r="K398" s="116">
        <v>2</v>
      </c>
      <c r="L398" s="117">
        <f t="shared" si="58"/>
        <v>100000</v>
      </c>
      <c r="M398" s="114"/>
      <c r="N398" s="118"/>
      <c r="O398" s="118">
        <v>1</v>
      </c>
      <c r="P398" s="114">
        <f>VLOOKUP($B398,ma!$A:$C,3,0)</f>
        <v>800000</v>
      </c>
      <c r="Q398" s="132">
        <v>880000</v>
      </c>
      <c r="R398" s="149">
        <v>0.1</v>
      </c>
      <c r="S398" s="119"/>
      <c r="T398" s="119"/>
      <c r="U398" s="119"/>
      <c r="V398" s="119"/>
      <c r="W398" s="119"/>
      <c r="X398" s="119"/>
      <c r="Y398" s="119"/>
      <c r="Z398" s="119"/>
      <c r="AA398" s="119"/>
    </row>
    <row r="399" spans="1:27" ht="15">
      <c r="A399" s="107">
        <f t="shared" si="55"/>
        <v>28</v>
      </c>
      <c r="B399" s="108" t="s">
        <v>1894</v>
      </c>
      <c r="C399" s="109" t="s">
        <v>60</v>
      </c>
      <c r="D399" s="110">
        <v>46094</v>
      </c>
      <c r="E399" s="109" t="str">
        <f>VLOOKUP($C399,xe!$A:$B,2,0)</f>
        <v>50H-11822</v>
      </c>
      <c r="F399" s="111" t="str">
        <f>VLOOKUP($B399,ma!$A:$B,2,0)</f>
        <v>QUẬN 8</v>
      </c>
      <c r="G399" s="112" t="s">
        <v>1895</v>
      </c>
      <c r="H399" s="113" t="s">
        <v>1644</v>
      </c>
      <c r="I399" s="114"/>
      <c r="J399" s="115" t="s">
        <v>455</v>
      </c>
      <c r="K399" s="116">
        <v>1.6</v>
      </c>
      <c r="L399" s="117">
        <f t="shared" si="58"/>
        <v>80000</v>
      </c>
      <c r="M399" s="114"/>
      <c r="N399" s="118"/>
      <c r="O399" s="118">
        <v>1</v>
      </c>
      <c r="P399" s="114">
        <f>VLOOKUP($B399,ma!$A:$C,3,0)</f>
        <v>800000</v>
      </c>
      <c r="Q399" s="132">
        <v>880000</v>
      </c>
      <c r="R399" s="149">
        <v>0.1</v>
      </c>
      <c r="S399" s="119"/>
      <c r="T399" s="119"/>
      <c r="U399" s="119"/>
      <c r="V399" s="119"/>
      <c r="W399" s="119"/>
      <c r="X399" s="119"/>
      <c r="Y399" s="119"/>
      <c r="Z399" s="119"/>
      <c r="AA399" s="119"/>
    </row>
    <row r="400" spans="1:27" ht="15">
      <c r="A400" s="107">
        <f t="shared" si="55"/>
        <v>29</v>
      </c>
      <c r="B400" s="108" t="s">
        <v>1894</v>
      </c>
      <c r="C400" s="109" t="s">
        <v>1522</v>
      </c>
      <c r="D400" s="110">
        <v>46094</v>
      </c>
      <c r="E400" s="109" t="str">
        <f>VLOOKUP($C400,xe!$A:$B,2,0)</f>
        <v>47H-02023</v>
      </c>
      <c r="F400" s="111" t="str">
        <f>VLOOKUP($B400,ma!$A:$B,2,0)</f>
        <v>QUẬN 8</v>
      </c>
      <c r="G400" s="112" t="s">
        <v>1896</v>
      </c>
      <c r="H400" s="113" t="s">
        <v>1644</v>
      </c>
      <c r="I400" s="114"/>
      <c r="J400" s="115" t="s">
        <v>455</v>
      </c>
      <c r="K400" s="116">
        <v>1.6</v>
      </c>
      <c r="L400" s="117">
        <f t="shared" si="58"/>
        <v>80000</v>
      </c>
      <c r="M400" s="114"/>
      <c r="N400" s="118"/>
      <c r="O400" s="118">
        <v>1</v>
      </c>
      <c r="P400" s="114">
        <f>VLOOKUP($B400,ma!$A:$C,3,0)</f>
        <v>800000</v>
      </c>
      <c r="Q400" s="132">
        <v>880000</v>
      </c>
      <c r="R400" s="149">
        <v>0.1</v>
      </c>
      <c r="S400" s="119"/>
      <c r="T400" s="119"/>
      <c r="U400" s="119"/>
      <c r="V400" s="119"/>
      <c r="W400" s="119"/>
      <c r="X400" s="119"/>
      <c r="Y400" s="119"/>
      <c r="Z400" s="119"/>
      <c r="AA400" s="119"/>
    </row>
    <row r="401" spans="1:27" ht="15">
      <c r="A401" s="107">
        <f t="shared" si="55"/>
        <v>30</v>
      </c>
      <c r="B401" s="108" t="s">
        <v>706</v>
      </c>
      <c r="C401" s="109" t="s">
        <v>31</v>
      </c>
      <c r="D401" s="110">
        <v>46094</v>
      </c>
      <c r="E401" s="109" t="str">
        <f>VLOOKUP($C401,xe!$A:$B,2,0)</f>
        <v>50H-74619</v>
      </c>
      <c r="F401" s="111" t="str">
        <f>VLOOKUP($B401,ma!$A:$B,2,0)</f>
        <v>Hoàng Anh</v>
      </c>
      <c r="G401" s="112" t="s">
        <v>1897</v>
      </c>
      <c r="H401" s="113" t="s">
        <v>1644</v>
      </c>
      <c r="I401" s="114"/>
      <c r="J401" s="109"/>
      <c r="K401" s="116">
        <v>1.6</v>
      </c>
      <c r="L401" s="117">
        <f t="shared" si="58"/>
        <v>80000</v>
      </c>
      <c r="M401" s="114"/>
      <c r="N401" s="118"/>
      <c r="O401" s="118">
        <v>1</v>
      </c>
      <c r="P401" s="114">
        <f>VLOOKUP($B401,ma!$A:$C,3,0)</f>
        <v>800000</v>
      </c>
      <c r="Q401" s="132">
        <v>880000</v>
      </c>
      <c r="R401" s="149">
        <v>0.1</v>
      </c>
      <c r="S401" s="119"/>
      <c r="T401" s="119"/>
      <c r="U401" s="119"/>
      <c r="V401" s="119"/>
      <c r="W401" s="119"/>
      <c r="X401" s="119"/>
      <c r="Y401" s="119"/>
      <c r="Z401" s="119"/>
      <c r="AA401" s="119"/>
    </row>
    <row r="402" spans="1:27" ht="15">
      <c r="A402" s="107">
        <f t="shared" si="55"/>
        <v>31</v>
      </c>
      <c r="B402" s="108" t="s">
        <v>706</v>
      </c>
      <c r="C402" s="109" t="s">
        <v>25</v>
      </c>
      <c r="D402" s="110">
        <v>46094</v>
      </c>
      <c r="E402" s="109" t="str">
        <f>VLOOKUP($C402,xe!$A:$B,2,0)</f>
        <v>50H-55161</v>
      </c>
      <c r="F402" s="111" t="str">
        <f>VLOOKUP($B402,ma!$A:$B,2,0)</f>
        <v>Hoàng Anh</v>
      </c>
      <c r="G402" s="112" t="s">
        <v>1898</v>
      </c>
      <c r="H402" s="113" t="s">
        <v>1644</v>
      </c>
      <c r="I402" s="114"/>
      <c r="J402" s="109"/>
      <c r="K402" s="116">
        <v>1.8</v>
      </c>
      <c r="L402" s="117">
        <f t="shared" si="58"/>
        <v>90000</v>
      </c>
      <c r="M402" s="114">
        <v>30000</v>
      </c>
      <c r="N402" s="118" t="s">
        <v>1423</v>
      </c>
      <c r="O402" s="118">
        <v>1</v>
      </c>
      <c r="P402" s="114">
        <f>VLOOKUP($B402,ma!$A:$C,3,0)</f>
        <v>800000</v>
      </c>
      <c r="Q402" s="132">
        <v>880000</v>
      </c>
      <c r="R402" s="149">
        <v>0.1</v>
      </c>
      <c r="S402" s="119"/>
      <c r="T402" s="119"/>
      <c r="U402" s="119"/>
      <c r="V402" s="119"/>
      <c r="W402" s="119"/>
      <c r="X402" s="119"/>
      <c r="Y402" s="119"/>
      <c r="Z402" s="119"/>
      <c r="AA402" s="119"/>
    </row>
    <row r="403" spans="1:27" ht="15">
      <c r="A403" s="107">
        <f t="shared" si="55"/>
        <v>32</v>
      </c>
      <c r="B403" s="108" t="s">
        <v>706</v>
      </c>
      <c r="C403" s="109" t="s">
        <v>1669</v>
      </c>
      <c r="D403" s="110">
        <v>46094</v>
      </c>
      <c r="E403" s="109" t="str">
        <f>VLOOKUP($C403,xe!$A:$B,2,0)</f>
        <v>50H-69501</v>
      </c>
      <c r="F403" s="111" t="str">
        <f>VLOOKUP($B403,ma!$A:$B,2,0)</f>
        <v>Hoàng Anh</v>
      </c>
      <c r="G403" s="112" t="s">
        <v>1899</v>
      </c>
      <c r="H403" s="113" t="s">
        <v>1644</v>
      </c>
      <c r="I403" s="114"/>
      <c r="J403" s="109"/>
      <c r="K403" s="116">
        <v>1.8</v>
      </c>
      <c r="L403" s="117">
        <f t="shared" si="58"/>
        <v>90000</v>
      </c>
      <c r="M403" s="114"/>
      <c r="N403" s="118"/>
      <c r="O403" s="118">
        <v>1</v>
      </c>
      <c r="P403" s="114">
        <f>VLOOKUP($B403,ma!$A:$C,3,0)</f>
        <v>800000</v>
      </c>
      <c r="Q403" s="132">
        <v>880000</v>
      </c>
      <c r="R403" s="149">
        <v>0.1</v>
      </c>
      <c r="S403" s="119"/>
      <c r="T403" s="119"/>
      <c r="U403" s="119"/>
      <c r="V403" s="119"/>
      <c r="W403" s="119"/>
      <c r="X403" s="119"/>
      <c r="Y403" s="119"/>
      <c r="Z403" s="119"/>
      <c r="AA403" s="119"/>
    </row>
    <row r="404" spans="1:27" ht="15">
      <c r="A404" s="107">
        <f t="shared" si="55"/>
        <v>33</v>
      </c>
      <c r="B404" s="108" t="s">
        <v>1492</v>
      </c>
      <c r="C404" s="109" t="s">
        <v>1873</v>
      </c>
      <c r="D404" s="110">
        <v>46094</v>
      </c>
      <c r="E404" s="109" t="str">
        <f>VLOOKUP($C404,xe!$A:$B,2,0)</f>
        <v>50H-63174</v>
      </c>
      <c r="F404" s="111" t="str">
        <f>VLOOKUP($B404,ma!$A:$B,2,0)</f>
        <v>BHX NHÀ BÈ</v>
      </c>
      <c r="G404" s="112" t="s">
        <v>1900</v>
      </c>
      <c r="H404" s="113" t="s">
        <v>1644</v>
      </c>
      <c r="I404" s="114"/>
      <c r="J404" s="147" t="s">
        <v>1457</v>
      </c>
      <c r="K404" s="116">
        <v>1.6</v>
      </c>
      <c r="L404" s="134">
        <v>200000</v>
      </c>
      <c r="M404" s="114"/>
      <c r="N404" s="118"/>
      <c r="O404" s="118">
        <v>1</v>
      </c>
      <c r="P404" s="114">
        <f>VLOOKUP($B404,ma!$A:$C,3,0)</f>
        <v>400000</v>
      </c>
      <c r="Q404" s="132">
        <v>440000</v>
      </c>
      <c r="R404" s="149">
        <v>0.1</v>
      </c>
      <c r="S404" s="119"/>
      <c r="T404" s="119"/>
      <c r="U404" s="119"/>
      <c r="V404" s="119"/>
      <c r="W404" s="119"/>
      <c r="X404" s="119"/>
      <c r="Y404" s="119"/>
      <c r="Z404" s="119"/>
      <c r="AA404" s="119"/>
    </row>
    <row r="405" spans="1:27" ht="15">
      <c r="A405" s="107">
        <f t="shared" si="55"/>
        <v>34</v>
      </c>
      <c r="B405" s="108" t="s">
        <v>1492</v>
      </c>
      <c r="C405" s="109" t="s">
        <v>14</v>
      </c>
      <c r="D405" s="110">
        <v>46094</v>
      </c>
      <c r="E405" s="109" t="str">
        <f>VLOOKUP($C405,xe!$A:$B,2,0)</f>
        <v>50H-64470</v>
      </c>
      <c r="F405" s="111" t="str">
        <f>VLOOKUP($B405,ma!$A:$B,2,0)</f>
        <v>BHX NHÀ BÈ</v>
      </c>
      <c r="G405" s="112" t="s">
        <v>1901</v>
      </c>
      <c r="H405" s="113" t="s">
        <v>1512</v>
      </c>
      <c r="I405" s="114"/>
      <c r="J405" s="109"/>
      <c r="K405" s="116">
        <v>1.6</v>
      </c>
      <c r="L405" s="134">
        <v>190000</v>
      </c>
      <c r="M405" s="114">
        <v>30000</v>
      </c>
      <c r="N405" s="118" t="s">
        <v>1423</v>
      </c>
      <c r="O405" s="118">
        <v>1</v>
      </c>
      <c r="P405" s="114">
        <f>VLOOKUP($B405,ma!$A:$C,3,0)</f>
        <v>400000</v>
      </c>
      <c r="Q405" s="132">
        <v>440000</v>
      </c>
      <c r="R405" s="149">
        <v>0.1</v>
      </c>
      <c r="S405" s="119"/>
      <c r="T405" s="119"/>
      <c r="U405" s="119"/>
      <c r="V405" s="119"/>
      <c r="W405" s="119"/>
      <c r="X405" s="119"/>
      <c r="Y405" s="119"/>
      <c r="Z405" s="119"/>
      <c r="AA405" s="119"/>
    </row>
    <row r="406" spans="1:27" ht="15">
      <c r="A406" s="107">
        <f t="shared" si="55"/>
        <v>35</v>
      </c>
      <c r="B406" s="108" t="s">
        <v>1487</v>
      </c>
      <c r="C406" s="109" t="s">
        <v>21</v>
      </c>
      <c r="D406" s="110">
        <v>46094</v>
      </c>
      <c r="E406" s="109" t="str">
        <f>VLOOKUP($C406,xe!$A:$B,2,0)</f>
        <v>50H-66445</v>
      </c>
      <c r="F406" s="111" t="str">
        <f>VLOOKUP($B406,ma!$A:$B,2,0)</f>
        <v>VĂN HẬU Q8 ( K BX )</v>
      </c>
      <c r="G406" s="112" t="s">
        <v>1412</v>
      </c>
      <c r="H406" s="113" t="s">
        <v>1412</v>
      </c>
      <c r="I406" s="114"/>
      <c r="J406" s="109"/>
      <c r="K406" s="116">
        <v>2</v>
      </c>
      <c r="L406" s="117">
        <v>50000</v>
      </c>
      <c r="M406" s="114"/>
      <c r="N406" s="118"/>
      <c r="O406" s="118">
        <v>1</v>
      </c>
      <c r="P406" s="114">
        <f>VLOOKUP($B406,ma!$A:$C,3,0)</f>
        <v>800000</v>
      </c>
      <c r="Q406" s="132">
        <v>880000</v>
      </c>
      <c r="R406" s="149">
        <v>0.1</v>
      </c>
      <c r="S406" s="119"/>
      <c r="T406" s="119"/>
      <c r="U406" s="119"/>
      <c r="V406" s="119"/>
      <c r="W406" s="119"/>
      <c r="X406" s="119"/>
      <c r="Y406" s="119"/>
      <c r="Z406" s="119"/>
      <c r="AA406" s="119"/>
    </row>
    <row r="407" spans="1:27" ht="15">
      <c r="A407" s="107">
        <f t="shared" si="55"/>
        <v>36</v>
      </c>
      <c r="B407" s="108" t="s">
        <v>1492</v>
      </c>
      <c r="C407" s="109" t="s">
        <v>1490</v>
      </c>
      <c r="D407" s="110">
        <v>46094</v>
      </c>
      <c r="E407" s="109" t="str">
        <f>VLOOKUP($C407,xe!$A:$B,2,0)</f>
        <v>50H-44024</v>
      </c>
      <c r="F407" s="111" t="str">
        <f>VLOOKUP($B407,ma!$A:$B,2,0)</f>
        <v>BHX NHÀ BÈ</v>
      </c>
      <c r="G407" s="112" t="s">
        <v>1902</v>
      </c>
      <c r="H407" s="113" t="s">
        <v>1644</v>
      </c>
      <c r="I407" s="114"/>
      <c r="J407" s="109"/>
      <c r="K407" s="116">
        <v>1.6</v>
      </c>
      <c r="L407" s="117">
        <f>K407*80000</f>
        <v>128000</v>
      </c>
      <c r="M407" s="114"/>
      <c r="N407" s="118"/>
      <c r="O407" s="118">
        <v>1</v>
      </c>
      <c r="P407" s="114">
        <f>VLOOKUP($B407,ma!$A:$C,3,0)</f>
        <v>400000</v>
      </c>
      <c r="Q407" s="132">
        <v>440000</v>
      </c>
      <c r="R407" s="149">
        <v>0.1</v>
      </c>
      <c r="S407" s="119"/>
      <c r="T407" s="119"/>
      <c r="U407" s="119"/>
      <c r="V407" s="119"/>
      <c r="W407" s="119"/>
      <c r="X407" s="119"/>
      <c r="Y407" s="119"/>
      <c r="Z407" s="119"/>
      <c r="AA407" s="119"/>
    </row>
    <row r="408" spans="1:27" ht="15">
      <c r="A408" s="107">
        <f t="shared" si="55"/>
        <v>37</v>
      </c>
      <c r="B408" s="108" t="s">
        <v>911</v>
      </c>
      <c r="C408" s="109" t="s">
        <v>8</v>
      </c>
      <c r="D408" s="110">
        <v>46094</v>
      </c>
      <c r="E408" s="109" t="str">
        <f>VLOOKUP($C408,xe!$A:$B,2,0)</f>
        <v>50H-64316</v>
      </c>
      <c r="F408" s="111" t="str">
        <f>VLOOKUP($B408,ma!$A:$B,2,0)</f>
        <v>M. AN PHÚ</v>
      </c>
      <c r="G408" s="112" t="s">
        <v>1903</v>
      </c>
      <c r="H408" s="113" t="s">
        <v>1644</v>
      </c>
      <c r="I408" s="114"/>
      <c r="J408" s="115" t="s">
        <v>118</v>
      </c>
      <c r="K408" s="116">
        <v>2</v>
      </c>
      <c r="L408" s="117">
        <f t="shared" ref="L408:L418" si="59">K408*50000</f>
        <v>100000</v>
      </c>
      <c r="M408" s="114">
        <v>30000</v>
      </c>
      <c r="N408" s="118" t="s">
        <v>1430</v>
      </c>
      <c r="O408" s="118">
        <v>1</v>
      </c>
      <c r="P408" s="114">
        <f>VLOOKUP($B408,ma!$A:$C,3,0)</f>
        <v>800000</v>
      </c>
      <c r="Q408" s="132">
        <v>880000</v>
      </c>
      <c r="R408" s="149">
        <v>0.1</v>
      </c>
      <c r="S408" s="119"/>
      <c r="T408" s="119"/>
      <c r="U408" s="119"/>
      <c r="V408" s="119"/>
      <c r="W408" s="119"/>
      <c r="X408" s="119"/>
      <c r="Y408" s="119"/>
      <c r="Z408" s="119"/>
      <c r="AA408" s="119"/>
    </row>
    <row r="409" spans="1:27" ht="15">
      <c r="A409" s="107">
        <f t="shared" si="55"/>
        <v>38</v>
      </c>
      <c r="B409" s="108" t="s">
        <v>909</v>
      </c>
      <c r="C409" s="109" t="s">
        <v>78</v>
      </c>
      <c r="D409" s="110">
        <v>46094</v>
      </c>
      <c r="E409" s="133" t="str">
        <f>VLOOKUP($C409,xe!$A:$B,2,0)</f>
        <v>50E-565,21</v>
      </c>
      <c r="F409" s="111" t="str">
        <f>VLOOKUP($B409,ma!$A:$B,2,0)</f>
        <v>M. HIỆP PHÚ</v>
      </c>
      <c r="G409" s="112" t="s">
        <v>1904</v>
      </c>
      <c r="H409" s="113" t="s">
        <v>1644</v>
      </c>
      <c r="I409" s="114"/>
      <c r="J409" s="115" t="s">
        <v>1905</v>
      </c>
      <c r="K409" s="116">
        <v>1.6</v>
      </c>
      <c r="L409" s="117">
        <f t="shared" si="59"/>
        <v>80000</v>
      </c>
      <c r="M409" s="114"/>
      <c r="N409" s="118"/>
      <c r="O409" s="118">
        <v>1</v>
      </c>
      <c r="P409" s="114">
        <f>VLOOKUP($B409,ma!$A:$C,3,0)</f>
        <v>800000</v>
      </c>
      <c r="Q409" s="132">
        <v>880000</v>
      </c>
      <c r="R409" s="149">
        <v>0.1</v>
      </c>
      <c r="S409" s="119"/>
      <c r="T409" s="119"/>
      <c r="U409" s="119"/>
      <c r="V409" s="119"/>
      <c r="W409" s="119"/>
      <c r="X409" s="119"/>
      <c r="Y409" s="119"/>
      <c r="Z409" s="119"/>
      <c r="AA409" s="119"/>
    </row>
    <row r="410" spans="1:27" ht="15">
      <c r="A410" s="107">
        <f t="shared" si="55"/>
        <v>39</v>
      </c>
      <c r="B410" s="108" t="s">
        <v>1011</v>
      </c>
      <c r="C410" s="109" t="s">
        <v>1440</v>
      </c>
      <c r="D410" s="110">
        <v>46094</v>
      </c>
      <c r="E410" s="109" t="str">
        <f>VLOOKUP($C410,xe!$A:$B,2,0)</f>
        <v>51H -88294</v>
      </c>
      <c r="F410" s="111" t="str">
        <f>VLOOKUP($B410,ma!$A:$B,2,0)</f>
        <v>BC TRƯỜNG CHINH</v>
      </c>
      <c r="G410" s="112" t="s">
        <v>1906</v>
      </c>
      <c r="H410" s="113" t="s">
        <v>1644</v>
      </c>
      <c r="I410" s="114"/>
      <c r="J410" s="109"/>
      <c r="K410" s="116">
        <v>2.2000000000000002</v>
      </c>
      <c r="L410" s="117">
        <f t="shared" si="59"/>
        <v>110000.00000000001</v>
      </c>
      <c r="M410" s="114">
        <v>30000</v>
      </c>
      <c r="N410" s="118" t="s">
        <v>1423</v>
      </c>
      <c r="O410" s="118">
        <v>1</v>
      </c>
      <c r="P410" s="114">
        <f>VLOOKUP($B410,ma!$A:$C,3,0)</f>
        <v>800000</v>
      </c>
      <c r="Q410" s="132">
        <v>880000</v>
      </c>
      <c r="R410" s="149">
        <v>0.1</v>
      </c>
      <c r="S410" s="119"/>
      <c r="T410" s="119"/>
      <c r="U410" s="119"/>
      <c r="V410" s="119"/>
      <c r="W410" s="119"/>
      <c r="X410" s="119"/>
      <c r="Y410" s="119"/>
      <c r="Z410" s="119"/>
      <c r="AA410" s="119"/>
    </row>
    <row r="411" spans="1:27" ht="15">
      <c r="A411" s="107">
        <f t="shared" si="55"/>
        <v>40</v>
      </c>
      <c r="B411" s="108" t="s">
        <v>1005</v>
      </c>
      <c r="C411" s="109" t="s">
        <v>10</v>
      </c>
      <c r="D411" s="110">
        <v>46094</v>
      </c>
      <c r="E411" s="109" t="str">
        <f>VLOOKUP($C411,xe!$A:$B,2,0)</f>
        <v>50H-50999</v>
      </c>
      <c r="F411" s="111" t="str">
        <f>VLOOKUP($B411,ma!$A:$B,2,0)</f>
        <v>BIG C AN LAC</v>
      </c>
      <c r="G411" s="112" t="s">
        <v>1907</v>
      </c>
      <c r="H411" s="113" t="s">
        <v>1644</v>
      </c>
      <c r="I411" s="114"/>
      <c r="J411" s="109"/>
      <c r="K411" s="116">
        <v>1</v>
      </c>
      <c r="L411" s="117">
        <f t="shared" si="59"/>
        <v>50000</v>
      </c>
      <c r="M411" s="114"/>
      <c r="N411" s="118"/>
      <c r="O411" s="118">
        <v>1</v>
      </c>
      <c r="P411" s="114">
        <f>VLOOKUP($B411,ma!$A:$C,3,0)</f>
        <v>800000</v>
      </c>
      <c r="Q411" s="132">
        <v>880000</v>
      </c>
      <c r="R411" s="149">
        <v>0.1</v>
      </c>
      <c r="S411" s="119"/>
      <c r="T411" s="119"/>
      <c r="U411" s="119"/>
      <c r="V411" s="119"/>
      <c r="W411" s="119"/>
      <c r="X411" s="119"/>
      <c r="Y411" s="119"/>
      <c r="Z411" s="119"/>
      <c r="AA411" s="119"/>
    </row>
    <row r="412" spans="1:27" ht="15">
      <c r="A412" s="107">
        <f t="shared" si="55"/>
        <v>41</v>
      </c>
      <c r="B412" s="108" t="s">
        <v>1105</v>
      </c>
      <c r="C412" s="109" t="s">
        <v>31</v>
      </c>
      <c r="D412" s="110">
        <v>46094</v>
      </c>
      <c r="E412" s="109" t="str">
        <f>VLOOKUP($C412,xe!$A:$B,2,0)</f>
        <v>50H-74619</v>
      </c>
      <c r="F412" s="111" t="str">
        <f>VLOOKUP($B412,ma!$A:$B,2,0)</f>
        <v>LOTTEMART-Q7</v>
      </c>
      <c r="G412" s="112" t="s">
        <v>1908</v>
      </c>
      <c r="H412" s="113" t="s">
        <v>1644</v>
      </c>
      <c r="I412" s="114">
        <v>10000</v>
      </c>
      <c r="J412" s="115" t="s">
        <v>140</v>
      </c>
      <c r="K412" s="116">
        <v>1.4</v>
      </c>
      <c r="L412" s="117">
        <f t="shared" si="59"/>
        <v>70000</v>
      </c>
      <c r="M412" s="114">
        <v>30000</v>
      </c>
      <c r="N412" s="118" t="s">
        <v>1423</v>
      </c>
      <c r="O412" s="118">
        <v>1</v>
      </c>
      <c r="P412" s="114">
        <f>VLOOKUP($B412,ma!$A:$C,3,0)</f>
        <v>800000</v>
      </c>
      <c r="Q412" s="132">
        <v>880000</v>
      </c>
      <c r="R412" s="149">
        <v>0.1</v>
      </c>
      <c r="S412" s="119"/>
      <c r="T412" s="119"/>
      <c r="U412" s="119"/>
      <c r="V412" s="119"/>
      <c r="W412" s="119"/>
      <c r="X412" s="119"/>
      <c r="Y412" s="119"/>
      <c r="Z412" s="119"/>
      <c r="AA412" s="119"/>
    </row>
    <row r="413" spans="1:27" ht="15">
      <c r="A413" s="107">
        <f t="shared" si="55"/>
        <v>42</v>
      </c>
      <c r="B413" s="108" t="s">
        <v>1105</v>
      </c>
      <c r="C413" s="109" t="s">
        <v>21</v>
      </c>
      <c r="D413" s="110">
        <v>46094</v>
      </c>
      <c r="E413" s="109" t="str">
        <f>VLOOKUP($C413,xe!$A:$B,2,0)</f>
        <v>50H-66445</v>
      </c>
      <c r="F413" s="111" t="str">
        <f>VLOOKUP($B413,ma!$A:$B,2,0)</f>
        <v>LOTTEMART-Q7</v>
      </c>
      <c r="G413" s="112" t="s">
        <v>1909</v>
      </c>
      <c r="H413" s="113" t="s">
        <v>1788</v>
      </c>
      <c r="I413" s="114"/>
      <c r="J413" s="115" t="s">
        <v>140</v>
      </c>
      <c r="K413" s="116">
        <v>1.4</v>
      </c>
      <c r="L413" s="117">
        <f t="shared" si="59"/>
        <v>70000</v>
      </c>
      <c r="M413" s="114">
        <v>30000</v>
      </c>
      <c r="N413" s="118" t="s">
        <v>1423</v>
      </c>
      <c r="O413" s="118">
        <v>1</v>
      </c>
      <c r="P413" s="114">
        <f>VLOOKUP($B413,ma!$A:$C,3,0)</f>
        <v>800000</v>
      </c>
      <c r="Q413" s="132">
        <v>880000</v>
      </c>
      <c r="R413" s="149">
        <v>0.1</v>
      </c>
      <c r="S413" s="119"/>
      <c r="T413" s="119"/>
      <c r="U413" s="119"/>
      <c r="V413" s="119"/>
      <c r="W413" s="119"/>
      <c r="X413" s="119"/>
      <c r="Y413" s="119"/>
      <c r="Z413" s="119"/>
      <c r="AA413" s="119"/>
    </row>
    <row r="414" spans="1:27" ht="15">
      <c r="A414" s="107">
        <f t="shared" si="55"/>
        <v>43</v>
      </c>
      <c r="B414" s="108" t="s">
        <v>1105</v>
      </c>
      <c r="C414" s="109" t="s">
        <v>25</v>
      </c>
      <c r="D414" s="110">
        <v>46094</v>
      </c>
      <c r="E414" s="109" t="str">
        <f>VLOOKUP($C414,xe!$A:$B,2,0)</f>
        <v>50H-55161</v>
      </c>
      <c r="F414" s="111" t="str">
        <f>VLOOKUP($B414,ma!$A:$B,2,0)</f>
        <v>LOTTEMART-Q7</v>
      </c>
      <c r="G414" s="112" t="s">
        <v>1910</v>
      </c>
      <c r="H414" s="113" t="s">
        <v>1644</v>
      </c>
      <c r="I414" s="114"/>
      <c r="J414" s="115" t="s">
        <v>140</v>
      </c>
      <c r="K414" s="116">
        <v>1.4</v>
      </c>
      <c r="L414" s="117">
        <f t="shared" si="59"/>
        <v>70000</v>
      </c>
      <c r="M414" s="114"/>
      <c r="N414" s="118"/>
      <c r="O414" s="118">
        <v>1</v>
      </c>
      <c r="P414" s="114">
        <f>VLOOKUP($B414,ma!$A:$C,3,0)</f>
        <v>800000</v>
      </c>
      <c r="Q414" s="132">
        <v>880000</v>
      </c>
      <c r="R414" s="149">
        <v>0.1</v>
      </c>
      <c r="S414" s="119"/>
      <c r="T414" s="119"/>
      <c r="U414" s="119"/>
      <c r="V414" s="119"/>
      <c r="W414" s="119"/>
      <c r="X414" s="119"/>
      <c r="Y414" s="119"/>
      <c r="Z414" s="119"/>
      <c r="AA414" s="119"/>
    </row>
    <row r="415" spans="1:27" ht="15">
      <c r="A415" s="107">
        <f t="shared" si="55"/>
        <v>44</v>
      </c>
      <c r="B415" s="108" t="s">
        <v>1107</v>
      </c>
      <c r="C415" s="109" t="s">
        <v>1669</v>
      </c>
      <c r="D415" s="110">
        <v>46094</v>
      </c>
      <c r="E415" s="109" t="str">
        <f>VLOOKUP($C415,xe!$A:$B,2,0)</f>
        <v>50H-69501</v>
      </c>
      <c r="F415" s="111" t="str">
        <f>VLOOKUP($B415,ma!$A:$B,2,0)</f>
        <v>LOTTE-PHU THO</v>
      </c>
      <c r="G415" s="112" t="s">
        <v>1911</v>
      </c>
      <c r="H415" s="113" t="s">
        <v>1912</v>
      </c>
      <c r="I415" s="114"/>
      <c r="J415" s="115" t="s">
        <v>140</v>
      </c>
      <c r="K415" s="116">
        <v>1.8</v>
      </c>
      <c r="L415" s="117">
        <f t="shared" si="59"/>
        <v>90000</v>
      </c>
      <c r="M415" s="114">
        <v>30000</v>
      </c>
      <c r="N415" s="118" t="s">
        <v>1423</v>
      </c>
      <c r="O415" s="118">
        <v>1</v>
      </c>
      <c r="P415" s="114">
        <f>VLOOKUP($B415,ma!$A:$C,3,0)</f>
        <v>800000</v>
      </c>
      <c r="Q415" s="132">
        <v>880000</v>
      </c>
      <c r="R415" s="149">
        <v>0.1</v>
      </c>
      <c r="S415" s="119"/>
      <c r="T415" s="119"/>
      <c r="U415" s="119"/>
      <c r="V415" s="119"/>
      <c r="W415" s="119"/>
      <c r="X415" s="119"/>
      <c r="Y415" s="119"/>
      <c r="Z415" s="119"/>
      <c r="AA415" s="119"/>
    </row>
    <row r="416" spans="1:27" ht="15">
      <c r="A416" s="107">
        <f t="shared" si="55"/>
        <v>45</v>
      </c>
      <c r="B416" s="108" t="s">
        <v>573</v>
      </c>
      <c r="C416" s="109" t="s">
        <v>23</v>
      </c>
      <c r="D416" s="110">
        <v>46094</v>
      </c>
      <c r="E416" s="109" t="str">
        <f>VLOOKUP($C416,xe!$A:$B,2,0)</f>
        <v>50H 87442</v>
      </c>
      <c r="F416" s="111" t="str">
        <f>VLOOKUP($B416,ma!$A:$B,2,0)</f>
        <v>LIÊN NGUYỄN B.CHÁNH</v>
      </c>
      <c r="G416" s="112" t="s">
        <v>1412</v>
      </c>
      <c r="H416" s="113" t="s">
        <v>1412</v>
      </c>
      <c r="I416" s="114"/>
      <c r="J416" s="115" t="s">
        <v>1913</v>
      </c>
      <c r="K416" s="116">
        <v>1.4</v>
      </c>
      <c r="L416" s="117">
        <f t="shared" si="59"/>
        <v>70000</v>
      </c>
      <c r="M416" s="114">
        <v>30000</v>
      </c>
      <c r="N416" s="144" t="s">
        <v>1423</v>
      </c>
      <c r="O416" s="118">
        <v>1</v>
      </c>
      <c r="P416" s="114">
        <f>VLOOKUP($B416,ma!$A:$C,3,0)</f>
        <v>800000</v>
      </c>
      <c r="Q416" s="132">
        <v>880000</v>
      </c>
      <c r="R416" s="149">
        <v>0.1</v>
      </c>
      <c r="S416" s="119"/>
      <c r="T416" s="119"/>
      <c r="U416" s="119"/>
      <c r="V416" s="119"/>
      <c r="W416" s="119"/>
      <c r="X416" s="119"/>
      <c r="Y416" s="119"/>
      <c r="Z416" s="119"/>
      <c r="AA416" s="119"/>
    </row>
    <row r="417" spans="1:27" ht="15">
      <c r="A417" s="107">
        <f t="shared" si="55"/>
        <v>46</v>
      </c>
      <c r="B417" s="108"/>
      <c r="C417" s="109" t="s">
        <v>23</v>
      </c>
      <c r="D417" s="110">
        <v>46094</v>
      </c>
      <c r="E417" s="109" t="str">
        <f>VLOOKUP($C417,xe!$A:$B,2,0)</f>
        <v>50H 87442</v>
      </c>
      <c r="F417" s="111" t="s">
        <v>1914</v>
      </c>
      <c r="G417" s="112" t="s">
        <v>1412</v>
      </c>
      <c r="H417" s="113" t="s">
        <v>1412</v>
      </c>
      <c r="I417" s="114"/>
      <c r="J417" s="109"/>
      <c r="K417" s="116">
        <v>2</v>
      </c>
      <c r="L417" s="117">
        <f t="shared" si="59"/>
        <v>100000</v>
      </c>
      <c r="M417" s="114"/>
      <c r="N417" s="118"/>
      <c r="O417" s="118">
        <v>1</v>
      </c>
      <c r="P417" s="114">
        <v>1000000</v>
      </c>
      <c r="Q417" s="132">
        <v>1000000</v>
      </c>
      <c r="R417" s="149">
        <v>0.1</v>
      </c>
      <c r="S417" s="119"/>
      <c r="T417" s="119"/>
      <c r="U417" s="119"/>
      <c r="V417" s="119"/>
      <c r="W417" s="119"/>
      <c r="X417" s="119"/>
      <c r="Y417" s="119"/>
      <c r="Z417" s="119"/>
      <c r="AA417" s="119"/>
    </row>
    <row r="418" spans="1:27" ht="15">
      <c r="A418" s="107">
        <f t="shared" si="55"/>
        <v>47</v>
      </c>
      <c r="B418" s="108" t="s">
        <v>573</v>
      </c>
      <c r="C418" s="109" t="s">
        <v>1432</v>
      </c>
      <c r="D418" s="110">
        <v>46094</v>
      </c>
      <c r="E418" s="109" t="str">
        <f>VLOOKUP($C418,xe!$A:$B,2,0)</f>
        <v>50H-70216</v>
      </c>
      <c r="F418" s="111" t="str">
        <f>VLOOKUP($B418,ma!$A:$B,2,0)</f>
        <v>LIÊN NGUYỄN B.CHÁNH</v>
      </c>
      <c r="G418" s="112" t="s">
        <v>1412</v>
      </c>
      <c r="H418" s="113" t="s">
        <v>1412</v>
      </c>
      <c r="I418" s="114"/>
      <c r="J418" s="115" t="s">
        <v>1913</v>
      </c>
      <c r="K418" s="116">
        <v>1.4</v>
      </c>
      <c r="L418" s="117">
        <f t="shared" si="59"/>
        <v>70000</v>
      </c>
      <c r="M418" s="114">
        <v>30000</v>
      </c>
      <c r="N418" s="118" t="s">
        <v>1423</v>
      </c>
      <c r="O418" s="118">
        <v>1</v>
      </c>
      <c r="P418" s="114">
        <f>VLOOKUP($B418,ma!$A:$C,3,0)</f>
        <v>800000</v>
      </c>
      <c r="Q418" s="132">
        <v>880000</v>
      </c>
      <c r="R418" s="149">
        <v>0.1</v>
      </c>
      <c r="S418" s="119"/>
      <c r="T418" s="119"/>
      <c r="U418" s="119"/>
      <c r="V418" s="119"/>
      <c r="W418" s="119"/>
      <c r="X418" s="119"/>
      <c r="Y418" s="119"/>
      <c r="Z418" s="119"/>
      <c r="AA418" s="119"/>
    </row>
    <row r="419" spans="1:27" ht="15">
      <c r="A419" s="137">
        <v>1</v>
      </c>
      <c r="B419" s="138" t="s">
        <v>453</v>
      </c>
      <c r="C419" s="139" t="s">
        <v>76</v>
      </c>
      <c r="D419" s="140">
        <v>46095</v>
      </c>
      <c r="E419" s="139" t="str">
        <f>VLOOKUP($C419,xe!$A:$B,2,0)</f>
        <v>51D-38021</v>
      </c>
      <c r="F419" s="141" t="str">
        <f>VLOOKUP($B419,ma!$A:$B,2,0)</f>
        <v>NAM VIỆT ĐỖ H.MÔN ( K BX)</v>
      </c>
      <c r="G419" s="142" t="s">
        <v>1915</v>
      </c>
      <c r="H419" s="126" t="s">
        <v>1644</v>
      </c>
      <c r="I419" s="132"/>
      <c r="J419" s="115" t="s">
        <v>140</v>
      </c>
      <c r="K419" s="129">
        <v>2.2000000000000002</v>
      </c>
      <c r="L419" s="143"/>
      <c r="M419" s="132"/>
      <c r="N419" s="144"/>
      <c r="O419" s="144">
        <v>1</v>
      </c>
      <c r="P419" s="132">
        <f>VLOOKUP($B419,ma!$A:$C,3,0)</f>
        <v>800000</v>
      </c>
      <c r="Q419" s="132">
        <v>880000</v>
      </c>
      <c r="R419" s="149">
        <v>0.1</v>
      </c>
      <c r="S419" s="156"/>
      <c r="T419" s="156"/>
      <c r="U419" s="156"/>
      <c r="V419" s="156"/>
      <c r="W419" s="156"/>
      <c r="X419" s="156"/>
      <c r="Y419" s="156"/>
      <c r="Z419" s="156"/>
      <c r="AA419" s="156"/>
    </row>
    <row r="420" spans="1:27" ht="15">
      <c r="A420" s="107">
        <f t="shared" ref="A420:A432" si="60">A419+1</f>
        <v>2</v>
      </c>
      <c r="B420" s="108" t="s">
        <v>864</v>
      </c>
      <c r="C420" s="109" t="s">
        <v>74</v>
      </c>
      <c r="D420" s="110">
        <v>46095</v>
      </c>
      <c r="E420" s="109" t="str">
        <f>VLOOKUP($C420,xe!$A:$B,2,0)</f>
        <v>50H-44024</v>
      </c>
      <c r="F420" s="111" t="str">
        <f>VLOOKUP($B420,ma!$A:$B,2,0)</f>
        <v>SEN VIỆT ( K BX )</v>
      </c>
      <c r="G420" s="112" t="s">
        <v>1916</v>
      </c>
      <c r="H420" s="113" t="s">
        <v>1644</v>
      </c>
      <c r="I420" s="114"/>
      <c r="J420" s="109"/>
      <c r="K420" s="116">
        <v>1.6</v>
      </c>
      <c r="L420" s="117"/>
      <c r="M420" s="114"/>
      <c r="N420" s="118"/>
      <c r="O420" s="118">
        <v>1</v>
      </c>
      <c r="P420" s="114">
        <f>VLOOKUP($B420,ma!$A:$C,3,0)</f>
        <v>800000</v>
      </c>
      <c r="Q420" s="132">
        <v>880000</v>
      </c>
      <c r="R420" s="149">
        <v>0.1</v>
      </c>
      <c r="S420" s="119"/>
      <c r="T420" s="119"/>
      <c r="U420" s="119"/>
      <c r="V420" s="119"/>
      <c r="W420" s="119"/>
      <c r="X420" s="119"/>
      <c r="Y420" s="119"/>
      <c r="Z420" s="119"/>
      <c r="AA420" s="119"/>
    </row>
    <row r="421" spans="1:27" ht="15">
      <c r="A421" s="107">
        <f t="shared" si="60"/>
        <v>3</v>
      </c>
      <c r="B421" s="108" t="s">
        <v>864</v>
      </c>
      <c r="C421" s="109" t="s">
        <v>72</v>
      </c>
      <c r="D421" s="110">
        <v>46095</v>
      </c>
      <c r="E421" s="109" t="str">
        <f>VLOOKUP($C421,xe!$A:$B,2,0)</f>
        <v>47H-02023</v>
      </c>
      <c r="F421" s="111" t="str">
        <f>VLOOKUP($B421,ma!$A:$B,2,0)</f>
        <v>SEN VIỆT ( K BX )</v>
      </c>
      <c r="G421" s="112" t="s">
        <v>1917</v>
      </c>
      <c r="H421" s="113" t="s">
        <v>1644</v>
      </c>
      <c r="I421" s="114"/>
      <c r="J421" s="109"/>
      <c r="K421" s="116">
        <v>1.4</v>
      </c>
      <c r="L421" s="117"/>
      <c r="M421" s="114"/>
      <c r="N421" s="118"/>
      <c r="O421" s="118">
        <v>1</v>
      </c>
      <c r="P421" s="114">
        <f>VLOOKUP($B421,ma!$A:$C,3,0)</f>
        <v>800000</v>
      </c>
      <c r="Q421" s="132">
        <v>880000</v>
      </c>
      <c r="R421" s="149">
        <v>0.1</v>
      </c>
      <c r="S421" s="119"/>
      <c r="T421" s="119"/>
      <c r="U421" s="119"/>
      <c r="V421" s="119"/>
      <c r="W421" s="119"/>
      <c r="X421" s="119"/>
      <c r="Y421" s="119"/>
      <c r="Z421" s="119"/>
      <c r="AA421" s="119"/>
    </row>
    <row r="422" spans="1:27" ht="15">
      <c r="A422" s="107">
        <f t="shared" si="60"/>
        <v>4</v>
      </c>
      <c r="B422" s="108" t="s">
        <v>743</v>
      </c>
      <c r="C422" s="109" t="s">
        <v>27</v>
      </c>
      <c r="D422" s="110">
        <v>46095</v>
      </c>
      <c r="E422" s="109" t="str">
        <f>VLOOKUP($C422,xe!$A:$B,2,0)</f>
        <v>50H-55443</v>
      </c>
      <c r="F422" s="111" t="str">
        <f>VLOOKUP($B422,ma!$A:$B,2,0)</f>
        <v>SONG HỒNG TÂN ( KBX )</v>
      </c>
      <c r="G422" s="112" t="s">
        <v>1918</v>
      </c>
      <c r="H422" s="113" t="s">
        <v>1644</v>
      </c>
      <c r="I422" s="114"/>
      <c r="J422" s="109"/>
      <c r="K422" s="116">
        <v>2</v>
      </c>
      <c r="L422" s="117">
        <v>50000</v>
      </c>
      <c r="M422" s="114"/>
      <c r="N422" s="118"/>
      <c r="O422" s="118">
        <v>1</v>
      </c>
      <c r="P422" s="114">
        <f>VLOOKUP($B422,ma!$A:$C,3,0)</f>
        <v>900000</v>
      </c>
      <c r="Q422" s="132">
        <v>880000</v>
      </c>
      <c r="R422" s="149">
        <v>0.1</v>
      </c>
      <c r="S422" s="119"/>
      <c r="T422" s="119"/>
      <c r="U422" s="119"/>
      <c r="V422" s="119"/>
      <c r="W422" s="119"/>
      <c r="X422" s="119"/>
      <c r="Y422" s="119"/>
      <c r="Z422" s="119"/>
      <c r="AA422" s="119"/>
    </row>
    <row r="423" spans="1:27" ht="15">
      <c r="A423" s="107">
        <f t="shared" si="60"/>
        <v>5</v>
      </c>
      <c r="B423" s="108" t="s">
        <v>806</v>
      </c>
      <c r="C423" s="109" t="s">
        <v>23</v>
      </c>
      <c r="D423" s="110">
        <v>46095</v>
      </c>
      <c r="E423" s="109" t="str">
        <f>VLOOKUP($C423,xe!$A:$B,2,0)</f>
        <v>50H 87442</v>
      </c>
      <c r="F423" s="111" t="str">
        <f>VLOOKUP($B423,ma!$A:$B,2,0)</f>
        <v>VỊ NGỌT HAPPY ( K BX )</v>
      </c>
      <c r="G423" s="112" t="s">
        <v>1919</v>
      </c>
      <c r="H423" s="113" t="s">
        <v>1644</v>
      </c>
      <c r="I423" s="114"/>
      <c r="J423" s="109"/>
      <c r="K423" s="116">
        <v>1.8</v>
      </c>
      <c r="L423" s="117">
        <v>50000</v>
      </c>
      <c r="M423" s="114"/>
      <c r="N423" s="118"/>
      <c r="O423" s="118">
        <v>1</v>
      </c>
      <c r="P423" s="114">
        <f>VLOOKUP($B423,ma!$A:$C,3,0)</f>
        <v>800000</v>
      </c>
      <c r="Q423" s="132">
        <v>880000</v>
      </c>
      <c r="R423" s="149">
        <v>0.1</v>
      </c>
      <c r="S423" s="119"/>
      <c r="T423" s="119"/>
      <c r="U423" s="119"/>
      <c r="V423" s="119"/>
      <c r="W423" s="119"/>
      <c r="X423" s="119"/>
      <c r="Y423" s="119"/>
      <c r="Z423" s="119"/>
      <c r="AA423" s="119"/>
    </row>
    <row r="424" spans="1:27" ht="15">
      <c r="A424" s="107">
        <f t="shared" si="60"/>
        <v>6</v>
      </c>
      <c r="B424" s="108" t="s">
        <v>170</v>
      </c>
      <c r="C424" s="109" t="s">
        <v>64</v>
      </c>
      <c r="D424" s="110">
        <v>46095</v>
      </c>
      <c r="E424" s="109" t="str">
        <f>VLOOKUP($C424,xe!$A:$B,2,0)</f>
        <v>50H-60635</v>
      </c>
      <c r="F424" s="111" t="str">
        <f>VLOOKUP($B424,ma!$A:$B,2,0)</f>
        <v>TP2 GÒ VẤP</v>
      </c>
      <c r="G424" s="112" t="s">
        <v>1453</v>
      </c>
      <c r="H424" s="113" t="s">
        <v>1880</v>
      </c>
      <c r="I424" s="114"/>
      <c r="J424" s="109"/>
      <c r="K424" s="116">
        <v>1.8</v>
      </c>
      <c r="L424" s="117">
        <f t="shared" ref="L424:L426" si="61">K424*50000</f>
        <v>90000</v>
      </c>
      <c r="M424" s="114"/>
      <c r="N424" s="118"/>
      <c r="O424" s="118">
        <v>1</v>
      </c>
      <c r="P424" s="114">
        <f>VLOOKUP($B424,ma!$A:$C,3,0)</f>
        <v>800000</v>
      </c>
      <c r="Q424" s="132">
        <v>880000</v>
      </c>
      <c r="R424" s="149">
        <v>0.1</v>
      </c>
      <c r="S424" s="119"/>
      <c r="T424" s="119"/>
      <c r="U424" s="119"/>
      <c r="V424" s="119"/>
      <c r="W424" s="119"/>
      <c r="X424" s="119"/>
      <c r="Y424" s="119"/>
      <c r="Z424" s="119"/>
      <c r="AA424" s="119"/>
    </row>
    <row r="425" spans="1:27" ht="15">
      <c r="A425" s="107">
        <f t="shared" si="60"/>
        <v>7</v>
      </c>
      <c r="B425" s="108" t="s">
        <v>170</v>
      </c>
      <c r="C425" s="109" t="s">
        <v>1404</v>
      </c>
      <c r="D425" s="110">
        <v>46095</v>
      </c>
      <c r="E425" s="109" t="str">
        <f>VLOOKUP($C425,xe!$A:$B,2,0)</f>
        <v>51C-81056</v>
      </c>
      <c r="F425" s="111" t="str">
        <f>VLOOKUP($B425,ma!$A:$B,2,0)</f>
        <v>TP2 GÒ VẤP</v>
      </c>
      <c r="G425" s="112" t="s">
        <v>1920</v>
      </c>
      <c r="H425" s="113" t="s">
        <v>1644</v>
      </c>
      <c r="I425" s="114"/>
      <c r="J425" s="109"/>
      <c r="K425" s="116">
        <v>1.8</v>
      </c>
      <c r="L425" s="117">
        <f t="shared" si="61"/>
        <v>90000</v>
      </c>
      <c r="M425" s="114"/>
      <c r="N425" s="118"/>
      <c r="O425" s="118">
        <v>1</v>
      </c>
      <c r="P425" s="114">
        <f>VLOOKUP($B425,ma!$A:$C,3,0)</f>
        <v>800000</v>
      </c>
      <c r="Q425" s="132">
        <v>880000</v>
      </c>
      <c r="R425" s="149">
        <v>0.1</v>
      </c>
      <c r="S425" s="119"/>
      <c r="T425" s="119"/>
      <c r="U425" s="119"/>
      <c r="V425" s="119"/>
      <c r="W425" s="119"/>
      <c r="X425" s="119"/>
      <c r="Y425" s="119"/>
      <c r="Z425" s="119"/>
      <c r="AA425" s="119"/>
    </row>
    <row r="426" spans="1:27" ht="15">
      <c r="A426" s="107">
        <f t="shared" si="60"/>
        <v>8</v>
      </c>
      <c r="B426" s="108" t="s">
        <v>170</v>
      </c>
      <c r="C426" s="109" t="s">
        <v>62</v>
      </c>
      <c r="D426" s="110">
        <v>46095</v>
      </c>
      <c r="E426" s="109" t="str">
        <f>VLOOKUP($C426,xe!$A:$B,2,0)</f>
        <v>62H-01887</v>
      </c>
      <c r="F426" s="111" t="str">
        <f>VLOOKUP($B426,ma!$A:$B,2,0)</f>
        <v>TP2 GÒ VẤP</v>
      </c>
      <c r="G426" s="112" t="s">
        <v>1921</v>
      </c>
      <c r="H426" s="113" t="s">
        <v>1880</v>
      </c>
      <c r="I426" s="114"/>
      <c r="J426" s="109"/>
      <c r="K426" s="116">
        <v>1.8</v>
      </c>
      <c r="L426" s="117">
        <f t="shared" si="61"/>
        <v>90000</v>
      </c>
      <c r="M426" s="114"/>
      <c r="N426" s="118"/>
      <c r="O426" s="118">
        <v>1</v>
      </c>
      <c r="P426" s="114">
        <f>VLOOKUP($B426,ma!$A:$C,3,0)</f>
        <v>800000</v>
      </c>
      <c r="Q426" s="132">
        <v>880000</v>
      </c>
      <c r="R426" s="149">
        <v>0.1</v>
      </c>
      <c r="S426" s="119"/>
      <c r="T426" s="119"/>
      <c r="U426" s="119"/>
      <c r="V426" s="119"/>
      <c r="W426" s="119"/>
      <c r="X426" s="119"/>
      <c r="Y426" s="119"/>
      <c r="Z426" s="119"/>
      <c r="AA426" s="119"/>
    </row>
    <row r="427" spans="1:27" ht="15">
      <c r="A427" s="107">
        <f t="shared" si="60"/>
        <v>9</v>
      </c>
      <c r="B427" s="108" t="s">
        <v>424</v>
      </c>
      <c r="C427" s="109" t="s">
        <v>70</v>
      </c>
      <c r="D427" s="110">
        <v>46095</v>
      </c>
      <c r="E427" s="109" t="str">
        <f>VLOOKUP($C427,xe!$A:$B,2,0)</f>
        <v>50H-86564</v>
      </c>
      <c r="F427" s="111" t="str">
        <f>VLOOKUP($B427,ma!$A:$B,2,0)</f>
        <v>MỸ PHẨM SG Q2 (K BX )</v>
      </c>
      <c r="G427" s="112" t="s">
        <v>1922</v>
      </c>
      <c r="H427" s="113" t="s">
        <v>1644</v>
      </c>
      <c r="I427" s="114"/>
      <c r="J427" s="109"/>
      <c r="K427" s="116">
        <v>1.6</v>
      </c>
      <c r="L427" s="117"/>
      <c r="M427" s="114"/>
      <c r="N427" s="118"/>
      <c r="O427" s="118">
        <v>1</v>
      </c>
      <c r="P427" s="114">
        <f>VLOOKUP($B427,ma!$A:$C,3,0)</f>
        <v>800000</v>
      </c>
      <c r="Q427" s="132">
        <v>880000</v>
      </c>
      <c r="R427" s="149">
        <v>0.1</v>
      </c>
      <c r="S427" s="119"/>
      <c r="T427" s="119"/>
      <c r="U427" s="119"/>
      <c r="V427" s="119"/>
      <c r="W427" s="119"/>
      <c r="X427" s="119"/>
      <c r="Y427" s="119"/>
      <c r="Z427" s="119"/>
      <c r="AA427" s="119"/>
    </row>
    <row r="428" spans="1:27" ht="15">
      <c r="A428" s="107">
        <f t="shared" si="60"/>
        <v>10</v>
      </c>
      <c r="B428" s="108" t="s">
        <v>424</v>
      </c>
      <c r="C428" s="109" t="s">
        <v>1546</v>
      </c>
      <c r="D428" s="110">
        <v>46095</v>
      </c>
      <c r="E428" s="109" t="str">
        <f>VLOOKUP($C428,xe!$A:$B,2,0)</f>
        <v>50H-54580</v>
      </c>
      <c r="F428" s="111" t="str">
        <f>VLOOKUP($B428,ma!$A:$B,2,0)</f>
        <v>MỸ PHẨM SG Q2 (K BX )</v>
      </c>
      <c r="G428" s="112" t="s">
        <v>1923</v>
      </c>
      <c r="H428" s="113" t="s">
        <v>1644</v>
      </c>
      <c r="I428" s="114"/>
      <c r="J428" s="109"/>
      <c r="K428" s="116">
        <v>1.8</v>
      </c>
      <c r="L428" s="117">
        <v>50000</v>
      </c>
      <c r="M428" s="114"/>
      <c r="N428" s="118"/>
      <c r="O428" s="118">
        <v>1</v>
      </c>
      <c r="P428" s="114">
        <f>VLOOKUP($B428,ma!$A:$C,3,0)</f>
        <v>800000</v>
      </c>
      <c r="Q428" s="132">
        <v>880000</v>
      </c>
      <c r="R428" s="149">
        <v>0.1</v>
      </c>
      <c r="S428" s="119"/>
      <c r="T428" s="119"/>
      <c r="U428" s="119"/>
      <c r="V428" s="119"/>
      <c r="W428" s="119"/>
      <c r="X428" s="119"/>
      <c r="Y428" s="119"/>
      <c r="Z428" s="119"/>
      <c r="AA428" s="119"/>
    </row>
    <row r="429" spans="1:27" ht="15">
      <c r="A429" s="107">
        <f t="shared" si="60"/>
        <v>11</v>
      </c>
      <c r="B429" s="108" t="s">
        <v>424</v>
      </c>
      <c r="C429" s="109" t="s">
        <v>1432</v>
      </c>
      <c r="D429" s="110">
        <v>46095</v>
      </c>
      <c r="E429" s="109" t="str">
        <f>VLOOKUP($C429,xe!$A:$B,2,0)</f>
        <v>50H-70216</v>
      </c>
      <c r="F429" s="111" t="str">
        <f>VLOOKUP($B429,ma!$A:$B,2,0)</f>
        <v>MỸ PHẨM SG Q2 (K BX )</v>
      </c>
      <c r="G429" s="112" t="s">
        <v>1924</v>
      </c>
      <c r="H429" s="113" t="s">
        <v>1644</v>
      </c>
      <c r="I429" s="114"/>
      <c r="J429" s="109"/>
      <c r="K429" s="116">
        <v>1.6</v>
      </c>
      <c r="L429" s="117">
        <v>50000</v>
      </c>
      <c r="M429" s="114"/>
      <c r="N429" s="118"/>
      <c r="O429" s="118">
        <v>1</v>
      </c>
      <c r="P429" s="114">
        <f>VLOOKUP($B429,ma!$A:$C,3,0)</f>
        <v>800000</v>
      </c>
      <c r="Q429" s="132">
        <v>880000</v>
      </c>
      <c r="R429" s="149">
        <v>0.1</v>
      </c>
      <c r="S429" s="119"/>
      <c r="T429" s="119"/>
      <c r="U429" s="119"/>
      <c r="V429" s="119"/>
      <c r="W429" s="119"/>
      <c r="X429" s="119"/>
      <c r="Y429" s="119"/>
      <c r="Z429" s="119"/>
      <c r="AA429" s="119"/>
    </row>
    <row r="430" spans="1:27" ht="15">
      <c r="A430" s="107">
        <f t="shared" si="60"/>
        <v>12</v>
      </c>
      <c r="B430" s="108" t="s">
        <v>1925</v>
      </c>
      <c r="C430" s="109" t="s">
        <v>14</v>
      </c>
      <c r="D430" s="110">
        <v>46095</v>
      </c>
      <c r="E430" s="109" t="str">
        <f>VLOOKUP($C430,xe!$A:$B,2,0)</f>
        <v>50H-64470</v>
      </c>
      <c r="F430" s="111" t="str">
        <f>VLOOKUP($B430,ma!$A:$B,2,0)</f>
        <v>PHONG VÂN ( K BX )</v>
      </c>
      <c r="G430" s="112" t="s">
        <v>1926</v>
      </c>
      <c r="H430" s="113" t="s">
        <v>1512</v>
      </c>
      <c r="I430" s="114">
        <v>10000</v>
      </c>
      <c r="J430" s="109"/>
      <c r="K430" s="116">
        <v>1.7</v>
      </c>
      <c r="L430" s="117">
        <v>50000</v>
      </c>
      <c r="M430" s="114"/>
      <c r="N430" s="118"/>
      <c r="O430" s="118">
        <v>1</v>
      </c>
      <c r="P430" s="114">
        <f>VLOOKUP($B430,ma!$A:$C,3,0)</f>
        <v>800000</v>
      </c>
      <c r="Q430" s="132">
        <v>880000</v>
      </c>
      <c r="R430" s="149">
        <v>0.1</v>
      </c>
      <c r="S430" s="119"/>
      <c r="T430" s="119"/>
      <c r="U430" s="119"/>
      <c r="V430" s="119"/>
      <c r="W430" s="119"/>
      <c r="X430" s="119"/>
      <c r="Y430" s="119"/>
      <c r="Z430" s="119"/>
      <c r="AA430" s="119"/>
    </row>
    <row r="431" spans="1:27" ht="15">
      <c r="A431" s="107">
        <f t="shared" si="60"/>
        <v>13</v>
      </c>
      <c r="B431" s="108" t="s">
        <v>1101</v>
      </c>
      <c r="C431" s="109" t="s">
        <v>23</v>
      </c>
      <c r="D431" s="110">
        <v>46095</v>
      </c>
      <c r="E431" s="109" t="str">
        <f>VLOOKUP($C431,xe!$A:$B,2,0)</f>
        <v>50H 87442</v>
      </c>
      <c r="F431" s="111" t="str">
        <f>VLOOKUP($B431,ma!$A:$B,2,0)</f>
        <v>EMART P.H.ÍCH</v>
      </c>
      <c r="G431" s="112" t="s">
        <v>1927</v>
      </c>
      <c r="H431" s="113" t="s">
        <v>1644</v>
      </c>
      <c r="I431" s="114"/>
      <c r="J431" s="115" t="s">
        <v>140</v>
      </c>
      <c r="K431" s="116">
        <v>2</v>
      </c>
      <c r="L431" s="117">
        <f t="shared" ref="L431:L437" si="62">K431*50000</f>
        <v>100000</v>
      </c>
      <c r="M431" s="127">
        <v>300000</v>
      </c>
      <c r="N431" s="131" t="s">
        <v>1928</v>
      </c>
      <c r="O431" s="118">
        <v>1</v>
      </c>
      <c r="P431" s="114">
        <f>VLOOKUP($B431,ma!$A:$C,3,0)</f>
        <v>800000</v>
      </c>
      <c r="Q431" s="132">
        <v>880000</v>
      </c>
      <c r="R431" s="149">
        <v>0.1</v>
      </c>
      <c r="S431" s="119"/>
      <c r="T431" s="119"/>
      <c r="U431" s="119"/>
      <c r="V431" s="119"/>
      <c r="W431" s="119"/>
      <c r="X431" s="119"/>
      <c r="Y431" s="119"/>
      <c r="Z431" s="119"/>
      <c r="AA431" s="119"/>
    </row>
    <row r="432" spans="1:27" ht="15">
      <c r="A432" s="107">
        <f t="shared" si="60"/>
        <v>14</v>
      </c>
      <c r="B432" s="108" t="s">
        <v>1099</v>
      </c>
      <c r="C432" s="109" t="s">
        <v>10</v>
      </c>
      <c r="D432" s="110">
        <v>46095</v>
      </c>
      <c r="E432" s="109" t="str">
        <f>VLOOKUP($C432,xe!$A:$B,2,0)</f>
        <v>50H-50999</v>
      </c>
      <c r="F432" s="111" t="str">
        <f>VLOOKUP($B432,ma!$A:$B,2,0)</f>
        <v>E MART SALA</v>
      </c>
      <c r="G432" s="112" t="s">
        <v>1929</v>
      </c>
      <c r="H432" s="113" t="s">
        <v>1644</v>
      </c>
      <c r="I432" s="114"/>
      <c r="J432" s="115" t="s">
        <v>140</v>
      </c>
      <c r="K432" s="116">
        <v>1.6</v>
      </c>
      <c r="L432" s="117">
        <f t="shared" si="62"/>
        <v>80000</v>
      </c>
      <c r="M432" s="127">
        <v>300000</v>
      </c>
      <c r="N432" s="131" t="s">
        <v>1928</v>
      </c>
      <c r="O432" s="118">
        <v>1</v>
      </c>
      <c r="P432" s="114">
        <f>VLOOKUP($B432,ma!$A:$C,3,0)</f>
        <v>800000</v>
      </c>
      <c r="Q432" s="132">
        <v>880000</v>
      </c>
      <c r="R432" s="149">
        <v>0.1</v>
      </c>
      <c r="S432" s="119"/>
      <c r="T432" s="119"/>
      <c r="U432" s="119"/>
      <c r="V432" s="119"/>
      <c r="W432" s="119"/>
      <c r="X432" s="119"/>
      <c r="Y432" s="119"/>
      <c r="Z432" s="119"/>
      <c r="AA432" s="119"/>
    </row>
    <row r="433" spans="1:27" ht="15">
      <c r="A433" s="137">
        <v>1</v>
      </c>
      <c r="B433" s="138" t="s">
        <v>110</v>
      </c>
      <c r="C433" s="139" t="s">
        <v>1873</v>
      </c>
      <c r="D433" s="140">
        <v>46097</v>
      </c>
      <c r="E433" s="139" t="str">
        <f>VLOOKUP($C433,xe!$A:$B,2,0)</f>
        <v>50H-63174</v>
      </c>
      <c r="F433" s="141" t="str">
        <f>VLOOKUP($B433,ma!$A:$B,2,0)</f>
        <v>CALOFIC - UNI ( xe nhỏ )</v>
      </c>
      <c r="G433" s="142" t="s">
        <v>1930</v>
      </c>
      <c r="H433" s="126" t="s">
        <v>1699</v>
      </c>
      <c r="I433" s="132"/>
      <c r="J433" s="139"/>
      <c r="K433" s="129">
        <v>1.4</v>
      </c>
      <c r="L433" s="143">
        <f t="shared" si="62"/>
        <v>70000</v>
      </c>
      <c r="M433" s="132"/>
      <c r="N433" s="144"/>
      <c r="O433" s="144">
        <v>1</v>
      </c>
      <c r="P433" s="132">
        <f>VLOOKUP($B433,ma!$A:$C,3,0)</f>
        <v>300000</v>
      </c>
      <c r="Q433" s="132">
        <v>400000</v>
      </c>
      <c r="R433" s="156"/>
      <c r="S433" s="156"/>
      <c r="T433" s="156"/>
      <c r="U433" s="156"/>
      <c r="V433" s="156"/>
      <c r="W433" s="156"/>
      <c r="X433" s="156"/>
      <c r="Y433" s="156"/>
      <c r="Z433" s="156"/>
      <c r="AA433" s="156"/>
    </row>
    <row r="434" spans="1:27" ht="15">
      <c r="A434" s="107">
        <f t="shared" ref="A434:A441" si="63">A433+1</f>
        <v>2</v>
      </c>
      <c r="B434" s="108" t="s">
        <v>110</v>
      </c>
      <c r="C434" s="109" t="s">
        <v>8</v>
      </c>
      <c r="D434" s="110">
        <v>46097</v>
      </c>
      <c r="E434" s="109" t="str">
        <f>VLOOKUP($C434,xe!$A:$B,2,0)</f>
        <v>50H-64316</v>
      </c>
      <c r="F434" s="111" t="str">
        <f>VLOOKUP($B434,ma!$A:$B,2,0)</f>
        <v>CALOFIC - UNI ( xe nhỏ )</v>
      </c>
      <c r="G434" s="112" t="s">
        <v>1930</v>
      </c>
      <c r="H434" s="113" t="s">
        <v>1699</v>
      </c>
      <c r="I434" s="114"/>
      <c r="J434" s="109"/>
      <c r="K434" s="116">
        <v>1.4</v>
      </c>
      <c r="L434" s="117">
        <f t="shared" si="62"/>
        <v>70000</v>
      </c>
      <c r="M434" s="114"/>
      <c r="N434" s="118"/>
      <c r="O434" s="118">
        <v>1</v>
      </c>
      <c r="P434" s="114">
        <f>VLOOKUP($B434,ma!$A:$C,3,0)</f>
        <v>300000</v>
      </c>
      <c r="Q434" s="114">
        <v>400000</v>
      </c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</row>
    <row r="435" spans="1:27" ht="15">
      <c r="A435" s="107">
        <f t="shared" si="63"/>
        <v>3</v>
      </c>
      <c r="B435" s="108" t="s">
        <v>1562</v>
      </c>
      <c r="C435" s="109" t="s">
        <v>58</v>
      </c>
      <c r="D435" s="110">
        <v>46097</v>
      </c>
      <c r="E435" s="109" t="str">
        <f>VLOOKUP($C435,xe!$A:$B,2,0)</f>
        <v>51C-81056</v>
      </c>
      <c r="F435" s="111" t="str">
        <f>VLOOKUP($B435,ma!$A:$B,2,0)</f>
        <v>AEON TÂN PHÚ</v>
      </c>
      <c r="G435" s="112" t="s">
        <v>1931</v>
      </c>
      <c r="H435" s="113" t="s">
        <v>1880</v>
      </c>
      <c r="I435" s="114"/>
      <c r="J435" s="115" t="s">
        <v>140</v>
      </c>
      <c r="K435" s="116">
        <v>2</v>
      </c>
      <c r="L435" s="117">
        <f t="shared" si="62"/>
        <v>100000</v>
      </c>
      <c r="M435" s="114"/>
      <c r="N435" s="118"/>
      <c r="O435" s="118">
        <v>1</v>
      </c>
      <c r="P435" s="114">
        <f>VLOOKUP($B435,ma!$A:$C,3,0)</f>
        <v>800000</v>
      </c>
      <c r="Q435" s="132">
        <v>880000</v>
      </c>
      <c r="R435" s="149">
        <v>0.1</v>
      </c>
      <c r="S435" s="119"/>
      <c r="T435" s="119"/>
      <c r="U435" s="119"/>
      <c r="V435" s="119"/>
      <c r="W435" s="119"/>
      <c r="X435" s="119"/>
      <c r="Y435" s="119"/>
      <c r="Z435" s="119"/>
      <c r="AA435" s="119"/>
    </row>
    <row r="436" spans="1:27" ht="15">
      <c r="A436" s="107">
        <f t="shared" si="63"/>
        <v>4</v>
      </c>
      <c r="B436" s="108" t="s">
        <v>1562</v>
      </c>
      <c r="C436" s="109" t="s">
        <v>60</v>
      </c>
      <c r="D436" s="110">
        <v>46097</v>
      </c>
      <c r="E436" s="109" t="str">
        <f>VLOOKUP($C436,xe!$A:$B,2,0)</f>
        <v>50H-11822</v>
      </c>
      <c r="F436" s="111" t="str">
        <f>VLOOKUP($B436,ma!$A:$B,2,0)</f>
        <v>AEON TÂN PHÚ</v>
      </c>
      <c r="G436" s="112" t="s">
        <v>1932</v>
      </c>
      <c r="H436" s="113" t="s">
        <v>1880</v>
      </c>
      <c r="I436" s="114"/>
      <c r="J436" s="115" t="s">
        <v>140</v>
      </c>
      <c r="K436" s="116">
        <v>2</v>
      </c>
      <c r="L436" s="117">
        <f t="shared" si="62"/>
        <v>100000</v>
      </c>
      <c r="M436" s="114"/>
      <c r="N436" s="118"/>
      <c r="O436" s="118">
        <v>1</v>
      </c>
      <c r="P436" s="114">
        <f>VLOOKUP($B436,ma!$A:$C,3,0)</f>
        <v>800000</v>
      </c>
      <c r="Q436" s="132">
        <v>880000</v>
      </c>
      <c r="R436" s="149">
        <v>0.1</v>
      </c>
      <c r="S436" s="119"/>
      <c r="T436" s="119"/>
      <c r="U436" s="119"/>
      <c r="V436" s="119"/>
      <c r="W436" s="119"/>
      <c r="X436" s="119"/>
      <c r="Y436" s="119"/>
      <c r="Z436" s="119"/>
      <c r="AA436" s="119"/>
    </row>
    <row r="437" spans="1:27" ht="15">
      <c r="A437" s="107">
        <f t="shared" si="63"/>
        <v>5</v>
      </c>
      <c r="B437" s="108" t="s">
        <v>1562</v>
      </c>
      <c r="C437" s="109" t="s">
        <v>1490</v>
      </c>
      <c r="D437" s="110">
        <v>46097</v>
      </c>
      <c r="E437" s="109" t="str">
        <f>VLOOKUP($C437,xe!$A:$B,2,0)</f>
        <v>50H-44024</v>
      </c>
      <c r="F437" s="111" t="str">
        <f>VLOOKUP($B437,ma!$A:$B,2,0)</f>
        <v>AEON TÂN PHÚ</v>
      </c>
      <c r="G437" s="112" t="s">
        <v>1933</v>
      </c>
      <c r="H437" s="113" t="s">
        <v>1880</v>
      </c>
      <c r="I437" s="114"/>
      <c r="J437" s="115" t="s">
        <v>140</v>
      </c>
      <c r="K437" s="116">
        <v>2</v>
      </c>
      <c r="L437" s="117">
        <f t="shared" si="62"/>
        <v>100000</v>
      </c>
      <c r="M437" s="114"/>
      <c r="N437" s="118"/>
      <c r="O437" s="118">
        <v>1</v>
      </c>
      <c r="P437" s="114">
        <f>VLOOKUP($B437,ma!$A:$C,3,0)</f>
        <v>800000</v>
      </c>
      <c r="Q437" s="132">
        <v>880000</v>
      </c>
      <c r="R437" s="149">
        <v>0.1</v>
      </c>
      <c r="S437" s="119"/>
      <c r="T437" s="119"/>
      <c r="U437" s="119"/>
      <c r="V437" s="119"/>
      <c r="W437" s="119"/>
      <c r="X437" s="119"/>
      <c r="Y437" s="119"/>
      <c r="Z437" s="119"/>
      <c r="AA437" s="119"/>
    </row>
    <row r="438" spans="1:27" ht="15">
      <c r="A438" s="107">
        <f t="shared" si="63"/>
        <v>6</v>
      </c>
      <c r="B438" s="108" t="s">
        <v>1934</v>
      </c>
      <c r="C438" s="109" t="s">
        <v>1522</v>
      </c>
      <c r="D438" s="110">
        <v>46097</v>
      </c>
      <c r="E438" s="109" t="str">
        <f>VLOOKUP($C438,xe!$A:$B,2,0)</f>
        <v>47H-02023</v>
      </c>
      <c r="F438" s="111" t="str">
        <f>VLOOKUP($B438,ma!$A:$B,2,0)</f>
        <v>BHX ( TĐN)</v>
      </c>
      <c r="G438" s="112" t="s">
        <v>1935</v>
      </c>
      <c r="H438" s="113" t="s">
        <v>1699</v>
      </c>
      <c r="I438" s="114"/>
      <c r="J438" s="115" t="s">
        <v>455</v>
      </c>
      <c r="K438" s="116">
        <v>1.4</v>
      </c>
      <c r="L438" s="117">
        <f t="shared" ref="L438:L439" si="64">K438*80000</f>
        <v>112000</v>
      </c>
      <c r="M438" s="114"/>
      <c r="N438" s="118"/>
      <c r="O438" s="118">
        <v>1</v>
      </c>
      <c r="P438" s="114">
        <f>VLOOKUP($B438,ma!$A:$C,3,0)</f>
        <v>800000</v>
      </c>
      <c r="Q438" s="132">
        <v>880000</v>
      </c>
      <c r="R438" s="149">
        <v>0.1</v>
      </c>
      <c r="S438" s="119"/>
      <c r="T438" s="119"/>
      <c r="U438" s="119"/>
      <c r="V438" s="119"/>
      <c r="W438" s="119"/>
      <c r="X438" s="119"/>
      <c r="Y438" s="119"/>
      <c r="Z438" s="119"/>
      <c r="AA438" s="119"/>
    </row>
    <row r="439" spans="1:27" ht="15">
      <c r="A439" s="107">
        <f t="shared" si="63"/>
        <v>7</v>
      </c>
      <c r="B439" s="108" t="s">
        <v>1934</v>
      </c>
      <c r="C439" s="109" t="s">
        <v>1524</v>
      </c>
      <c r="D439" s="110">
        <v>46097</v>
      </c>
      <c r="E439" s="109" t="str">
        <f>VLOOKUP($C439,xe!$A:$B,2,0)</f>
        <v>51D-38021</v>
      </c>
      <c r="F439" s="111" t="str">
        <f>VLOOKUP($B439,ma!$A:$B,2,0)</f>
        <v>BHX ( TĐN)</v>
      </c>
      <c r="G439" s="112" t="s">
        <v>1936</v>
      </c>
      <c r="H439" s="113" t="s">
        <v>1699</v>
      </c>
      <c r="I439" s="114"/>
      <c r="J439" s="115" t="s">
        <v>455</v>
      </c>
      <c r="K439" s="116">
        <v>1.4</v>
      </c>
      <c r="L439" s="117">
        <f t="shared" si="64"/>
        <v>112000</v>
      </c>
      <c r="M439" s="114"/>
      <c r="N439" s="118"/>
      <c r="O439" s="118">
        <v>1</v>
      </c>
      <c r="P439" s="114">
        <f>VLOOKUP($B439,ma!$A:$C,3,0)</f>
        <v>800000</v>
      </c>
      <c r="Q439" s="132">
        <v>880000</v>
      </c>
      <c r="R439" s="149">
        <v>0.1</v>
      </c>
      <c r="S439" s="119"/>
      <c r="T439" s="119"/>
      <c r="U439" s="119"/>
      <c r="V439" s="119"/>
      <c r="W439" s="119"/>
      <c r="X439" s="119"/>
      <c r="Y439" s="119"/>
      <c r="Z439" s="119"/>
      <c r="AA439" s="119"/>
    </row>
    <row r="440" spans="1:27" ht="15">
      <c r="A440" s="107">
        <f t="shared" si="63"/>
        <v>8</v>
      </c>
      <c r="B440" s="108" t="s">
        <v>917</v>
      </c>
      <c r="C440" s="109" t="s">
        <v>1937</v>
      </c>
      <c r="D440" s="110">
        <v>46097</v>
      </c>
      <c r="E440" s="109" t="str">
        <f>VLOOKUP($C440,xe!$A:$B,2,0)</f>
        <v>50H-86564</v>
      </c>
      <c r="F440" s="111" t="str">
        <f>VLOOKUP($B440,ma!$A:$B,2,0)</f>
        <v>METRO BÌNH DƯƠNG</v>
      </c>
      <c r="G440" s="112" t="s">
        <v>1405</v>
      </c>
      <c r="H440" s="113" t="s">
        <v>1512</v>
      </c>
      <c r="I440" s="114"/>
      <c r="J440" s="147" t="s">
        <v>1457</v>
      </c>
      <c r="K440" s="116">
        <v>1.8</v>
      </c>
      <c r="L440" s="117">
        <f>K440*50000</f>
        <v>90000</v>
      </c>
      <c r="M440" s="114"/>
      <c r="N440" s="118"/>
      <c r="O440" s="118">
        <v>1</v>
      </c>
      <c r="P440" s="114">
        <f>VLOOKUP($B440,ma!$A:$C,3,0)</f>
        <v>800000</v>
      </c>
      <c r="Q440" s="132">
        <v>880000</v>
      </c>
      <c r="R440" s="149">
        <v>0.1</v>
      </c>
      <c r="S440" s="119"/>
      <c r="T440" s="119"/>
      <c r="U440" s="119"/>
      <c r="V440" s="119"/>
      <c r="W440" s="119"/>
      <c r="X440" s="119"/>
      <c r="Y440" s="119"/>
      <c r="Z440" s="119"/>
      <c r="AA440" s="119"/>
    </row>
    <row r="441" spans="1:27" ht="15">
      <c r="A441" s="107">
        <f t="shared" si="63"/>
        <v>9</v>
      </c>
      <c r="B441" s="108" t="s">
        <v>917</v>
      </c>
      <c r="C441" s="109" t="s">
        <v>1937</v>
      </c>
      <c r="D441" s="110">
        <v>46097</v>
      </c>
      <c r="E441" s="109" t="str">
        <f>VLOOKUP($C441,xe!$A:$B,2,0)</f>
        <v>50H-86564</v>
      </c>
      <c r="F441" s="111" t="str">
        <f>VLOOKUP($B441,ma!$A:$B,2,0)</f>
        <v>METRO BÌNH DƯƠNG</v>
      </c>
      <c r="G441" s="112" t="s">
        <v>1671</v>
      </c>
      <c r="H441" s="113" t="s">
        <v>1671</v>
      </c>
      <c r="I441" s="114"/>
      <c r="J441" s="145" t="s">
        <v>1616</v>
      </c>
      <c r="K441" s="116"/>
      <c r="L441" s="117"/>
      <c r="M441" s="114"/>
      <c r="N441" s="118"/>
      <c r="O441" s="118">
        <v>1</v>
      </c>
      <c r="P441" s="114">
        <v>300000</v>
      </c>
      <c r="Q441" s="132">
        <v>300000</v>
      </c>
      <c r="R441" s="148"/>
      <c r="S441" s="119"/>
      <c r="T441" s="119"/>
      <c r="U441" s="119"/>
      <c r="V441" s="119"/>
      <c r="W441" s="119"/>
      <c r="X441" s="119"/>
      <c r="Y441" s="119"/>
      <c r="Z441" s="119"/>
      <c r="AA441" s="119"/>
    </row>
    <row r="442" spans="1:27" ht="15">
      <c r="A442" s="107">
        <f>A440+1</f>
        <v>9</v>
      </c>
      <c r="B442" s="108" t="s">
        <v>166</v>
      </c>
      <c r="C442" s="109" t="s">
        <v>64</v>
      </c>
      <c r="D442" s="110">
        <v>46097</v>
      </c>
      <c r="E442" s="109" t="str">
        <f>VLOOKUP($C442,xe!$A:$B,2,0)</f>
        <v>50H-60635</v>
      </c>
      <c r="F442" s="111" t="str">
        <f>VLOOKUP($B442,ma!$A:$B,2,0)</f>
        <v>PHẠM ANH TÂN PHÚ</v>
      </c>
      <c r="G442" s="112" t="s">
        <v>1938</v>
      </c>
      <c r="H442" s="113" t="s">
        <v>1699</v>
      </c>
      <c r="I442" s="114"/>
      <c r="J442" s="147" t="s">
        <v>1457</v>
      </c>
      <c r="K442" s="116">
        <v>1.8</v>
      </c>
      <c r="L442" s="117">
        <f t="shared" ref="L442:L443" si="65">K442*50000</f>
        <v>90000</v>
      </c>
      <c r="M442" s="114"/>
      <c r="N442" s="118"/>
      <c r="O442" s="118">
        <v>1</v>
      </c>
      <c r="P442" s="114">
        <f>VLOOKUP($B442,ma!$A:$C,3,0)</f>
        <v>800000</v>
      </c>
      <c r="Q442" s="132">
        <v>880000</v>
      </c>
      <c r="R442" s="149">
        <v>0.1</v>
      </c>
      <c r="S442" s="119"/>
      <c r="T442" s="119"/>
      <c r="U442" s="119"/>
      <c r="V442" s="119"/>
      <c r="W442" s="119"/>
      <c r="X442" s="119"/>
      <c r="Y442" s="119"/>
      <c r="Z442" s="119"/>
      <c r="AA442" s="119"/>
    </row>
    <row r="443" spans="1:27" ht="15">
      <c r="A443" s="107">
        <f t="shared" ref="A443:A468" si="66">A442+1</f>
        <v>10</v>
      </c>
      <c r="B443" s="108" t="s">
        <v>166</v>
      </c>
      <c r="C443" s="109" t="s">
        <v>68</v>
      </c>
      <c r="D443" s="110">
        <v>46097</v>
      </c>
      <c r="E443" s="109" t="str">
        <f>VLOOKUP($C443,xe!$A:$B,2,0)</f>
        <v>50H-55829</v>
      </c>
      <c r="F443" s="111" t="str">
        <f>VLOOKUP($B443,ma!$A:$B,2,0)</f>
        <v>PHẠM ANH TÂN PHÚ</v>
      </c>
      <c r="G443" s="112" t="s">
        <v>1939</v>
      </c>
      <c r="H443" s="113" t="s">
        <v>1699</v>
      </c>
      <c r="I443" s="114"/>
      <c r="J443" s="147" t="s">
        <v>1457</v>
      </c>
      <c r="K443" s="116">
        <v>1.8</v>
      </c>
      <c r="L443" s="117">
        <f t="shared" si="65"/>
        <v>90000</v>
      </c>
      <c r="M443" s="114"/>
      <c r="N443" s="118"/>
      <c r="O443" s="118">
        <v>1</v>
      </c>
      <c r="P443" s="114">
        <f>VLOOKUP($B443,ma!$A:$C,3,0)</f>
        <v>800000</v>
      </c>
      <c r="Q443" s="132">
        <v>880000</v>
      </c>
      <c r="R443" s="149">
        <v>0.1</v>
      </c>
      <c r="S443" s="119"/>
      <c r="T443" s="119"/>
      <c r="U443" s="119"/>
      <c r="V443" s="119"/>
      <c r="W443" s="119"/>
      <c r="X443" s="119"/>
      <c r="Y443" s="119"/>
      <c r="Z443" s="119"/>
      <c r="AA443" s="119"/>
    </row>
    <row r="444" spans="1:27" ht="15">
      <c r="A444" s="107">
        <f t="shared" si="66"/>
        <v>11</v>
      </c>
      <c r="B444" s="108" t="s">
        <v>1866</v>
      </c>
      <c r="C444" s="109" t="s">
        <v>78</v>
      </c>
      <c r="D444" s="110">
        <v>46097</v>
      </c>
      <c r="E444" s="133" t="str">
        <f>VLOOKUP($C444,xe!$A:$B,2,0)</f>
        <v>50E-565,21</v>
      </c>
      <c r="F444" s="111" t="str">
        <f>VLOOKUP($B444,ma!$A:$B,2,0)</f>
        <v>ANFOOD Q12 ( K BX )</v>
      </c>
      <c r="G444" s="112" t="s">
        <v>1940</v>
      </c>
      <c r="H444" s="113" t="s">
        <v>1880</v>
      </c>
      <c r="I444" s="114"/>
      <c r="J444" s="109"/>
      <c r="K444" s="116">
        <v>2</v>
      </c>
      <c r="L444" s="117"/>
      <c r="M444" s="114"/>
      <c r="N444" s="118"/>
      <c r="O444" s="118">
        <v>1</v>
      </c>
      <c r="P444" s="114">
        <f>VLOOKUP($B444,ma!$A:$C,3,0)</f>
        <v>800000</v>
      </c>
      <c r="Q444" s="132">
        <v>880000</v>
      </c>
      <c r="R444" s="149">
        <v>0.1</v>
      </c>
      <c r="S444" s="119"/>
      <c r="T444" s="119"/>
      <c r="U444" s="119"/>
      <c r="V444" s="119"/>
      <c r="W444" s="119"/>
      <c r="X444" s="119"/>
      <c r="Y444" s="119"/>
      <c r="Z444" s="119"/>
      <c r="AA444" s="119"/>
    </row>
    <row r="445" spans="1:27" ht="15">
      <c r="A445" s="107">
        <f t="shared" si="66"/>
        <v>12</v>
      </c>
      <c r="B445" s="108" t="s">
        <v>1866</v>
      </c>
      <c r="C445" s="109" t="s">
        <v>66</v>
      </c>
      <c r="D445" s="110">
        <v>46097</v>
      </c>
      <c r="E445" s="109" t="str">
        <f>VLOOKUP($C445,xe!$A:$B,2,0)</f>
        <v>50H-92136</v>
      </c>
      <c r="F445" s="111" t="str">
        <f>VLOOKUP($B445,ma!$A:$B,2,0)</f>
        <v>ANFOOD Q12 ( K BX )</v>
      </c>
      <c r="G445" s="112" t="s">
        <v>1941</v>
      </c>
      <c r="H445" s="113" t="s">
        <v>1699</v>
      </c>
      <c r="I445" s="114"/>
      <c r="J445" s="109"/>
      <c r="K445" s="116">
        <v>2</v>
      </c>
      <c r="L445" s="117"/>
      <c r="M445" s="114"/>
      <c r="N445" s="118"/>
      <c r="O445" s="118">
        <v>1</v>
      </c>
      <c r="P445" s="114">
        <f>VLOOKUP($B445,ma!$A:$C,3,0)</f>
        <v>800000</v>
      </c>
      <c r="Q445" s="132">
        <v>880000</v>
      </c>
      <c r="R445" s="149">
        <v>0.1</v>
      </c>
      <c r="S445" s="119"/>
      <c r="T445" s="119"/>
      <c r="U445" s="119"/>
      <c r="V445" s="119"/>
      <c r="W445" s="119"/>
      <c r="X445" s="119"/>
      <c r="Y445" s="119"/>
      <c r="Z445" s="119"/>
      <c r="AA445" s="119"/>
    </row>
    <row r="446" spans="1:27" ht="15">
      <c r="A446" s="107">
        <f t="shared" si="66"/>
        <v>13</v>
      </c>
      <c r="B446" s="108" t="s">
        <v>1474</v>
      </c>
      <c r="C446" s="109" t="s">
        <v>1432</v>
      </c>
      <c r="D446" s="110">
        <v>46097</v>
      </c>
      <c r="E446" s="109" t="str">
        <f>VLOOKUP($C446,xe!$A:$B,2,0)</f>
        <v>50H-70216</v>
      </c>
      <c r="F446" s="111" t="str">
        <f>VLOOKUP($B446,ma!$A:$B,2,0)</f>
        <v>NGUYỄN TRƯƠNG</v>
      </c>
      <c r="G446" s="112" t="s">
        <v>1942</v>
      </c>
      <c r="H446" s="113" t="s">
        <v>1699</v>
      </c>
      <c r="I446" s="114"/>
      <c r="J446" s="109"/>
      <c r="K446" s="116">
        <v>2.2000000000000002</v>
      </c>
      <c r="L446" s="117">
        <f t="shared" ref="L446:L449" si="67">K446*50000</f>
        <v>110000.00000000001</v>
      </c>
      <c r="M446" s="114">
        <v>40000</v>
      </c>
      <c r="N446" s="118" t="s">
        <v>1943</v>
      </c>
      <c r="O446" s="118">
        <v>1</v>
      </c>
      <c r="P446" s="114">
        <f>VLOOKUP($B446,ma!$A:$C,3,0)</f>
        <v>800000</v>
      </c>
      <c r="Q446" s="132">
        <v>880000</v>
      </c>
      <c r="R446" s="149">
        <v>0.1</v>
      </c>
      <c r="S446" s="119"/>
      <c r="T446" s="119"/>
      <c r="U446" s="119"/>
      <c r="V446" s="119"/>
      <c r="W446" s="119"/>
      <c r="X446" s="119"/>
      <c r="Y446" s="119"/>
      <c r="Z446" s="119"/>
      <c r="AA446" s="119"/>
    </row>
    <row r="447" spans="1:27" ht="15">
      <c r="A447" s="107">
        <f t="shared" si="66"/>
        <v>14</v>
      </c>
      <c r="B447" s="108" t="s">
        <v>1944</v>
      </c>
      <c r="C447" s="109" t="s">
        <v>21</v>
      </c>
      <c r="D447" s="110">
        <v>46097</v>
      </c>
      <c r="E447" s="109" t="str">
        <f>VLOOKUP($C447,xe!$A:$B,2,0)</f>
        <v>50H-66445</v>
      </c>
      <c r="F447" s="111" t="str">
        <f>VLOOKUP($B447,ma!$A:$B,2,0)</f>
        <v>IC FOOD TÂN PHÚ</v>
      </c>
      <c r="G447" s="112" t="s">
        <v>1945</v>
      </c>
      <c r="H447" s="113" t="s">
        <v>1699</v>
      </c>
      <c r="I447" s="114"/>
      <c r="J447" s="109"/>
      <c r="K447" s="116">
        <v>2</v>
      </c>
      <c r="L447" s="117">
        <f t="shared" si="67"/>
        <v>100000</v>
      </c>
      <c r="M447" s="114"/>
      <c r="N447" s="118"/>
      <c r="O447" s="118">
        <v>1</v>
      </c>
      <c r="P447" s="114">
        <f>VLOOKUP($B447,ma!$A:$C,3,0)</f>
        <v>800000</v>
      </c>
      <c r="Q447" s="132">
        <v>880000</v>
      </c>
      <c r="R447" s="149">
        <v>0.1</v>
      </c>
      <c r="S447" s="119"/>
      <c r="T447" s="119"/>
      <c r="U447" s="119"/>
      <c r="V447" s="119"/>
      <c r="W447" s="119"/>
      <c r="X447" s="119"/>
      <c r="Y447" s="119"/>
      <c r="Z447" s="119"/>
      <c r="AA447" s="119"/>
    </row>
    <row r="448" spans="1:27" ht="15">
      <c r="A448" s="107">
        <f t="shared" si="66"/>
        <v>15</v>
      </c>
      <c r="B448" s="108" t="s">
        <v>814</v>
      </c>
      <c r="C448" s="109" t="s">
        <v>25</v>
      </c>
      <c r="D448" s="110">
        <v>46097</v>
      </c>
      <c r="E448" s="109" t="str">
        <f>VLOOKUP($C448,xe!$A:$B,2,0)</f>
        <v>50H-55161</v>
      </c>
      <c r="F448" s="111" t="str">
        <f>VLOOKUP($B448,ma!$A:$B,2,0)</f>
        <v>VINAFOOD KYOEI</v>
      </c>
      <c r="G448" s="112" t="s">
        <v>1946</v>
      </c>
      <c r="H448" s="113" t="s">
        <v>1880</v>
      </c>
      <c r="I448" s="114"/>
      <c r="J448" s="109"/>
      <c r="K448" s="116">
        <v>1.6</v>
      </c>
      <c r="L448" s="117">
        <f t="shared" si="67"/>
        <v>80000</v>
      </c>
      <c r="M448" s="114">
        <v>30000</v>
      </c>
      <c r="N448" s="118" t="s">
        <v>1423</v>
      </c>
      <c r="O448" s="118">
        <v>1</v>
      </c>
      <c r="P448" s="114">
        <f>VLOOKUP($B448,ma!$A:$C,3,0)</f>
        <v>800000</v>
      </c>
      <c r="Q448" s="132">
        <v>880000</v>
      </c>
      <c r="R448" s="149">
        <v>0.1</v>
      </c>
      <c r="S448" s="119"/>
      <c r="T448" s="119"/>
      <c r="U448" s="119"/>
      <c r="V448" s="119"/>
      <c r="W448" s="119"/>
      <c r="X448" s="119"/>
      <c r="Y448" s="119"/>
      <c r="Z448" s="119"/>
      <c r="AA448" s="119"/>
    </row>
    <row r="449" spans="1:27" ht="15">
      <c r="A449" s="107">
        <f t="shared" si="66"/>
        <v>16</v>
      </c>
      <c r="B449" s="108" t="s">
        <v>814</v>
      </c>
      <c r="C449" s="109" t="s">
        <v>1440</v>
      </c>
      <c r="D449" s="110">
        <v>46097</v>
      </c>
      <c r="E449" s="109" t="str">
        <f>VLOOKUP($C449,xe!$A:$B,2,0)</f>
        <v>51H -88294</v>
      </c>
      <c r="F449" s="111" t="str">
        <f>VLOOKUP($B449,ma!$A:$B,2,0)</f>
        <v>VINAFOOD KYOEI</v>
      </c>
      <c r="G449" s="112" t="s">
        <v>1947</v>
      </c>
      <c r="H449" s="113" t="s">
        <v>1880</v>
      </c>
      <c r="I449" s="114"/>
      <c r="J449" s="109"/>
      <c r="K449" s="116">
        <v>1.6</v>
      </c>
      <c r="L449" s="117">
        <f t="shared" si="67"/>
        <v>80000</v>
      </c>
      <c r="M449" s="114"/>
      <c r="N449" s="118"/>
      <c r="O449" s="118">
        <v>1</v>
      </c>
      <c r="P449" s="114">
        <f>VLOOKUP($B449,ma!$A:$C,3,0)</f>
        <v>800000</v>
      </c>
      <c r="Q449" s="132">
        <v>880000</v>
      </c>
      <c r="R449" s="149">
        <v>0.1</v>
      </c>
      <c r="S449" s="119"/>
      <c r="T449" s="119"/>
      <c r="U449" s="119"/>
      <c r="V449" s="119"/>
      <c r="W449" s="119"/>
      <c r="X449" s="119"/>
      <c r="Y449" s="119"/>
      <c r="Z449" s="119"/>
      <c r="AA449" s="119"/>
    </row>
    <row r="450" spans="1:27" ht="15">
      <c r="A450" s="107">
        <f t="shared" si="66"/>
        <v>17</v>
      </c>
      <c r="B450" s="108" t="s">
        <v>1489</v>
      </c>
      <c r="C450" s="109" t="s">
        <v>1546</v>
      </c>
      <c r="D450" s="110">
        <v>46097</v>
      </c>
      <c r="E450" s="109" t="str">
        <f>VLOOKUP($C450,xe!$A:$B,2,0)</f>
        <v>50H-54580</v>
      </c>
      <c r="F450" s="111" t="str">
        <f>VLOOKUP($B450,ma!$A:$B,2,0)</f>
        <v>XUÂN VÂN ( K BX )</v>
      </c>
      <c r="G450" s="112" t="s">
        <v>1948</v>
      </c>
      <c r="H450" s="113" t="s">
        <v>1699</v>
      </c>
      <c r="I450" s="114"/>
      <c r="J450" s="109"/>
      <c r="K450" s="116">
        <v>1.8</v>
      </c>
      <c r="L450" s="117">
        <v>50000</v>
      </c>
      <c r="M450" s="114"/>
      <c r="N450" s="118"/>
      <c r="O450" s="118">
        <v>1</v>
      </c>
      <c r="P450" s="114">
        <f>VLOOKUP($B450,ma!$A:$C,3,0)</f>
        <v>800000</v>
      </c>
      <c r="Q450" s="132">
        <v>880000</v>
      </c>
      <c r="R450" s="149">
        <v>0.1</v>
      </c>
      <c r="S450" s="119"/>
      <c r="T450" s="119"/>
      <c r="U450" s="119"/>
      <c r="V450" s="119"/>
      <c r="W450" s="119"/>
      <c r="X450" s="119"/>
      <c r="Y450" s="119"/>
      <c r="Z450" s="119"/>
      <c r="AA450" s="119"/>
    </row>
    <row r="451" spans="1:27" ht="15">
      <c r="A451" s="107">
        <f t="shared" si="66"/>
        <v>18</v>
      </c>
      <c r="B451" s="108" t="s">
        <v>1489</v>
      </c>
      <c r="C451" s="109" t="s">
        <v>23</v>
      </c>
      <c r="D451" s="110">
        <v>46097</v>
      </c>
      <c r="E451" s="109" t="str">
        <f>VLOOKUP($C451,xe!$A:$B,2,0)</f>
        <v>50H 87442</v>
      </c>
      <c r="F451" s="111" t="str">
        <f>VLOOKUP($B451,ma!$A:$B,2,0)</f>
        <v>XUÂN VÂN ( K BX )</v>
      </c>
      <c r="G451" s="112" t="s">
        <v>1949</v>
      </c>
      <c r="H451" s="113" t="s">
        <v>1699</v>
      </c>
      <c r="I451" s="114"/>
      <c r="J451" s="109"/>
      <c r="K451" s="116">
        <v>1.6</v>
      </c>
      <c r="L451" s="117">
        <v>50000</v>
      </c>
      <c r="M451" s="114"/>
      <c r="N451" s="118"/>
      <c r="O451" s="118">
        <v>1</v>
      </c>
      <c r="P451" s="114">
        <f>VLOOKUP($B451,ma!$A:$C,3,0)</f>
        <v>800000</v>
      </c>
      <c r="Q451" s="132">
        <v>880000</v>
      </c>
      <c r="R451" s="149">
        <v>0.1</v>
      </c>
      <c r="S451" s="119"/>
      <c r="T451" s="119"/>
      <c r="U451" s="119"/>
      <c r="V451" s="119"/>
      <c r="W451" s="119"/>
      <c r="X451" s="119"/>
      <c r="Y451" s="119"/>
      <c r="Z451" s="119"/>
      <c r="AA451" s="119"/>
    </row>
    <row r="452" spans="1:27" ht="15">
      <c r="A452" s="107">
        <f t="shared" si="66"/>
        <v>19</v>
      </c>
      <c r="B452" s="108" t="s">
        <v>1950</v>
      </c>
      <c r="C452" s="109" t="s">
        <v>10</v>
      </c>
      <c r="D452" s="110">
        <v>46097</v>
      </c>
      <c r="E452" s="109" t="str">
        <f>VLOOKUP($C452,xe!$A:$B,2,0)</f>
        <v>50H-50999</v>
      </c>
      <c r="F452" s="111" t="str">
        <f>VLOOKUP($B452,ma!$A:$B,2,0)</f>
        <v>TOÀN NGUYỄN FOOD</v>
      </c>
      <c r="G452" s="112" t="s">
        <v>1951</v>
      </c>
      <c r="H452" s="113" t="s">
        <v>1699</v>
      </c>
      <c r="I452" s="114"/>
      <c r="J452" s="109"/>
      <c r="K452" s="116">
        <v>1.6</v>
      </c>
      <c r="L452" s="117">
        <f>K452*50000</f>
        <v>80000</v>
      </c>
      <c r="M452" s="114"/>
      <c r="N452" s="118"/>
      <c r="O452" s="118">
        <v>1</v>
      </c>
      <c r="P452" s="114">
        <f>VLOOKUP($B452,ma!$A:$C,3,0)</f>
        <v>800000</v>
      </c>
      <c r="Q452" s="132">
        <v>880000</v>
      </c>
      <c r="R452" s="149">
        <v>0.1</v>
      </c>
      <c r="S452" s="119"/>
      <c r="T452" s="119"/>
      <c r="U452" s="119"/>
      <c r="V452" s="119"/>
      <c r="W452" s="119"/>
      <c r="X452" s="119"/>
      <c r="Y452" s="119"/>
      <c r="Z452" s="119"/>
      <c r="AA452" s="119"/>
    </row>
    <row r="453" spans="1:27" ht="15">
      <c r="A453" s="107">
        <f t="shared" si="66"/>
        <v>20</v>
      </c>
      <c r="B453" s="108" t="s">
        <v>1576</v>
      </c>
      <c r="C453" s="109" t="s">
        <v>1873</v>
      </c>
      <c r="D453" s="110">
        <v>46097</v>
      </c>
      <c r="E453" s="109" t="str">
        <f>VLOOKUP($C453,xe!$A:$B,2,0)</f>
        <v>50H-63174</v>
      </c>
      <c r="F453" s="111" t="str">
        <f>VLOOKUP($B453,ma!$A:$B,2,0)</f>
        <v>HỒNG Á ( K BX )</v>
      </c>
      <c r="G453" s="112" t="s">
        <v>1952</v>
      </c>
      <c r="H453" s="113" t="s">
        <v>1699</v>
      </c>
      <c r="I453" s="114"/>
      <c r="J453" s="109"/>
      <c r="K453" s="116">
        <v>1</v>
      </c>
      <c r="L453" s="117">
        <v>50000</v>
      </c>
      <c r="M453" s="114"/>
      <c r="N453" s="118"/>
      <c r="O453" s="118">
        <v>1</v>
      </c>
      <c r="P453" s="114">
        <f>VLOOKUP($B453,ma!$A:$C,3,0)</f>
        <v>800000</v>
      </c>
      <c r="Q453" s="132">
        <v>880000</v>
      </c>
      <c r="R453" s="149">
        <v>0.1</v>
      </c>
      <c r="S453" s="119"/>
      <c r="T453" s="119"/>
      <c r="U453" s="119"/>
      <c r="V453" s="119"/>
      <c r="W453" s="119"/>
      <c r="X453" s="119"/>
      <c r="Y453" s="119"/>
      <c r="Z453" s="119"/>
      <c r="AA453" s="119"/>
    </row>
    <row r="454" spans="1:27" ht="15">
      <c r="A454" s="107">
        <f t="shared" si="66"/>
        <v>21</v>
      </c>
      <c r="B454" s="108" t="s">
        <v>1953</v>
      </c>
      <c r="C454" s="109" t="s">
        <v>1506</v>
      </c>
      <c r="D454" s="110">
        <v>46097</v>
      </c>
      <c r="E454" s="109" t="str">
        <f>VLOOKUP($C454,xe!$A:$B,2,0)</f>
        <v>50H-55443</v>
      </c>
      <c r="F454" s="111" t="str">
        <f>VLOOKUP($B454,ma!$A:$B,2,0)</f>
        <v>PHẠM NGUYÊN L.AN</v>
      </c>
      <c r="G454" s="112" t="s">
        <v>1954</v>
      </c>
      <c r="H454" s="113" t="s">
        <v>1699</v>
      </c>
      <c r="I454" s="114"/>
      <c r="J454" s="109"/>
      <c r="K454" s="116">
        <v>1.6</v>
      </c>
      <c r="L454" s="117">
        <f>K454*50000</f>
        <v>80000</v>
      </c>
      <c r="M454" s="114"/>
      <c r="N454" s="118"/>
      <c r="O454" s="118">
        <v>1</v>
      </c>
      <c r="P454" s="114">
        <f>VLOOKUP($B454,ma!$A:$C,3,0)</f>
        <v>900000</v>
      </c>
      <c r="Q454" s="132">
        <v>990000</v>
      </c>
      <c r="R454" s="149">
        <v>0.1</v>
      </c>
      <c r="S454" s="119"/>
      <c r="T454" s="119"/>
      <c r="U454" s="119"/>
      <c r="V454" s="119"/>
      <c r="W454" s="119"/>
      <c r="X454" s="119"/>
      <c r="Y454" s="119"/>
      <c r="Z454" s="119"/>
      <c r="AA454" s="119"/>
    </row>
    <row r="455" spans="1:27" ht="15">
      <c r="A455" s="107">
        <f t="shared" si="66"/>
        <v>22</v>
      </c>
      <c r="B455" s="108" t="s">
        <v>1955</v>
      </c>
      <c r="C455" s="109" t="s">
        <v>31</v>
      </c>
      <c r="D455" s="110">
        <v>46097</v>
      </c>
      <c r="E455" s="109" t="str">
        <f>VLOOKUP($C455,xe!$A:$B,2,0)</f>
        <v>50H-74619</v>
      </c>
      <c r="F455" s="111" t="str">
        <f>VLOOKUP($B455,ma!$A:$B,2,0)</f>
        <v>PHẠM NGUYÊN B.TÂN</v>
      </c>
      <c r="G455" s="112" t="s">
        <v>1956</v>
      </c>
      <c r="H455" s="113" t="s">
        <v>1880</v>
      </c>
      <c r="I455" s="114">
        <v>10000</v>
      </c>
      <c r="J455" s="109"/>
      <c r="K455" s="116">
        <v>2</v>
      </c>
      <c r="L455" s="134">
        <v>190000</v>
      </c>
      <c r="M455" s="114"/>
      <c r="N455" s="118"/>
      <c r="O455" s="118">
        <v>1</v>
      </c>
      <c r="P455" s="114">
        <f>VLOOKUP($B455,ma!$A:$C,3,0)</f>
        <v>800000</v>
      </c>
      <c r="Q455" s="132">
        <v>880000</v>
      </c>
      <c r="R455" s="149">
        <v>9.9999999999999895E-2</v>
      </c>
      <c r="S455" s="119"/>
      <c r="T455" s="119"/>
      <c r="U455" s="119"/>
      <c r="V455" s="119"/>
      <c r="W455" s="119"/>
      <c r="X455" s="119"/>
      <c r="Y455" s="119"/>
      <c r="Z455" s="119"/>
      <c r="AA455" s="119"/>
    </row>
    <row r="456" spans="1:27" ht="15">
      <c r="A456" s="107">
        <f t="shared" si="66"/>
        <v>23</v>
      </c>
      <c r="B456" s="108" t="s">
        <v>1957</v>
      </c>
      <c r="C456" s="109" t="s">
        <v>8</v>
      </c>
      <c r="D456" s="110">
        <v>46097</v>
      </c>
      <c r="E456" s="109" t="str">
        <f>VLOOKUP($C456,xe!$A:$B,2,0)</f>
        <v>50H-64316</v>
      </c>
      <c r="F456" s="111" t="str">
        <f>VLOOKUP($B456,ma!$A:$B,2,0)</f>
        <v>SONG HỒNG TÂN ( KBX )</v>
      </c>
      <c r="G456" s="112" t="s">
        <v>1958</v>
      </c>
      <c r="H456" s="113" t="s">
        <v>1699</v>
      </c>
      <c r="I456" s="114"/>
      <c r="J456" s="109"/>
      <c r="K456" s="116">
        <v>2</v>
      </c>
      <c r="L456" s="117">
        <v>50000</v>
      </c>
      <c r="M456" s="114"/>
      <c r="N456" s="118"/>
      <c r="O456" s="118">
        <v>1</v>
      </c>
      <c r="P456" s="114">
        <f>VLOOKUP($B456,ma!$A:$C,3,0)</f>
        <v>900000</v>
      </c>
      <c r="Q456" s="132">
        <v>990000</v>
      </c>
      <c r="R456" s="149">
        <v>9.9999999999999895E-2</v>
      </c>
      <c r="S456" s="119"/>
      <c r="T456" s="119"/>
      <c r="U456" s="119"/>
      <c r="V456" s="119"/>
      <c r="W456" s="119"/>
      <c r="X456" s="119"/>
      <c r="Y456" s="119"/>
      <c r="Z456" s="119"/>
      <c r="AA456" s="119"/>
    </row>
    <row r="457" spans="1:27" ht="15">
      <c r="A457" s="107">
        <f t="shared" si="66"/>
        <v>24</v>
      </c>
      <c r="B457" s="108" t="s">
        <v>1957</v>
      </c>
      <c r="C457" s="109" t="s">
        <v>1546</v>
      </c>
      <c r="D457" s="110">
        <v>46097</v>
      </c>
      <c r="E457" s="109" t="str">
        <f>VLOOKUP($C457,xe!$A:$B,2,0)</f>
        <v>50H-54580</v>
      </c>
      <c r="F457" s="111" t="str">
        <f>VLOOKUP($B457,ma!$A:$B,2,0)</f>
        <v>SONG HỒNG TÂN ( KBX )</v>
      </c>
      <c r="G457" s="112" t="s">
        <v>1959</v>
      </c>
      <c r="H457" s="113" t="s">
        <v>1699</v>
      </c>
      <c r="I457" s="114"/>
      <c r="J457" s="109"/>
      <c r="K457" s="116">
        <v>2</v>
      </c>
      <c r="L457" s="117">
        <v>50000</v>
      </c>
      <c r="M457" s="114"/>
      <c r="N457" s="118"/>
      <c r="O457" s="118">
        <v>1</v>
      </c>
      <c r="P457" s="114">
        <f>VLOOKUP($B457,ma!$A:$C,3,0)</f>
        <v>900000</v>
      </c>
      <c r="Q457" s="132">
        <v>990000</v>
      </c>
      <c r="R457" s="149">
        <v>9.9999999999999895E-2</v>
      </c>
      <c r="S457" s="119"/>
      <c r="T457" s="119"/>
      <c r="U457" s="119"/>
      <c r="V457" s="119"/>
      <c r="W457" s="119"/>
      <c r="X457" s="119"/>
      <c r="Y457" s="119"/>
      <c r="Z457" s="119"/>
      <c r="AA457" s="119"/>
    </row>
    <row r="458" spans="1:27" ht="15">
      <c r="A458" s="107">
        <f t="shared" si="66"/>
        <v>25</v>
      </c>
      <c r="B458" s="108" t="s">
        <v>1957</v>
      </c>
      <c r="C458" s="109" t="s">
        <v>23</v>
      </c>
      <c r="D458" s="110">
        <v>46097</v>
      </c>
      <c r="E458" s="109" t="str">
        <f>VLOOKUP($C458,xe!$A:$B,2,0)</f>
        <v>50H 87442</v>
      </c>
      <c r="F458" s="111" t="str">
        <f>VLOOKUP($B458,ma!$A:$B,2,0)</f>
        <v>SONG HỒNG TÂN ( KBX )</v>
      </c>
      <c r="G458" s="112" t="s">
        <v>1960</v>
      </c>
      <c r="H458" s="113" t="s">
        <v>1699</v>
      </c>
      <c r="I458" s="114"/>
      <c r="J458" s="109"/>
      <c r="K458" s="116">
        <v>1.8</v>
      </c>
      <c r="L458" s="117">
        <v>50000</v>
      </c>
      <c r="M458" s="114">
        <v>30000</v>
      </c>
      <c r="N458" s="118" t="s">
        <v>1423</v>
      </c>
      <c r="O458" s="118">
        <v>1</v>
      </c>
      <c r="P458" s="114">
        <f>VLOOKUP($B458,ma!$A:$C,3,0)</f>
        <v>900000</v>
      </c>
      <c r="Q458" s="132">
        <v>990000</v>
      </c>
      <c r="R458" s="149">
        <v>9.9999999999999895E-2</v>
      </c>
      <c r="S458" s="119"/>
      <c r="T458" s="119"/>
      <c r="U458" s="119"/>
      <c r="V458" s="119"/>
      <c r="W458" s="119"/>
      <c r="X458" s="119"/>
      <c r="Y458" s="119"/>
      <c r="Z458" s="119"/>
      <c r="AA458" s="119"/>
    </row>
    <row r="459" spans="1:27" ht="15">
      <c r="A459" s="107">
        <f t="shared" si="66"/>
        <v>26</v>
      </c>
      <c r="B459" s="108" t="s">
        <v>515</v>
      </c>
      <c r="C459" s="109" t="s">
        <v>31</v>
      </c>
      <c r="D459" s="110">
        <v>46097</v>
      </c>
      <c r="E459" s="109" t="str">
        <f>VLOOKUP($C459,xe!$A:$B,2,0)</f>
        <v>50H-74619</v>
      </c>
      <c r="F459" s="111" t="str">
        <f>VLOOKUP($B459,ma!$A:$B,2,0)</f>
        <v>PHONG VÂN ( K BX )</v>
      </c>
      <c r="G459" s="112" t="s">
        <v>1961</v>
      </c>
      <c r="H459" s="113" t="s">
        <v>1880</v>
      </c>
      <c r="I459" s="114"/>
      <c r="J459" s="109"/>
      <c r="K459" s="116">
        <v>1.6</v>
      </c>
      <c r="L459" s="117">
        <v>50000</v>
      </c>
      <c r="M459" s="114"/>
      <c r="N459" s="118"/>
      <c r="O459" s="118">
        <v>1</v>
      </c>
      <c r="P459" s="114">
        <f>VLOOKUP($B459,ma!$A:$C,3,0)</f>
        <v>800000</v>
      </c>
      <c r="Q459" s="132">
        <v>880000</v>
      </c>
      <c r="R459" s="149">
        <v>9.9999999999999895E-2</v>
      </c>
      <c r="S459" s="119"/>
      <c r="T459" s="119"/>
      <c r="U459" s="119"/>
      <c r="V459" s="119"/>
      <c r="W459" s="119"/>
      <c r="X459" s="119"/>
      <c r="Y459" s="119"/>
      <c r="Z459" s="119"/>
      <c r="AA459" s="119"/>
    </row>
    <row r="460" spans="1:27" ht="15">
      <c r="A460" s="107">
        <f t="shared" si="66"/>
        <v>27</v>
      </c>
      <c r="B460" s="108" t="s">
        <v>1492</v>
      </c>
      <c r="C460" s="109" t="s">
        <v>10</v>
      </c>
      <c r="D460" s="110">
        <v>46097</v>
      </c>
      <c r="E460" s="109" t="str">
        <f>VLOOKUP($C460,xe!$A:$B,2,0)</f>
        <v>50H-50999</v>
      </c>
      <c r="F460" s="111" t="str">
        <f>VLOOKUP($B460,ma!$A:$B,2,0)</f>
        <v>BHX NHÀ BÈ</v>
      </c>
      <c r="G460" s="112" t="s">
        <v>1962</v>
      </c>
      <c r="H460" s="113" t="s">
        <v>1699</v>
      </c>
      <c r="I460" s="114"/>
      <c r="J460" s="115" t="s">
        <v>455</v>
      </c>
      <c r="K460" s="116">
        <v>1.4</v>
      </c>
      <c r="L460" s="117">
        <f>K460*50000</f>
        <v>70000</v>
      </c>
      <c r="M460" s="114"/>
      <c r="N460" s="118"/>
      <c r="O460" s="118">
        <v>1</v>
      </c>
      <c r="P460" s="114">
        <f>VLOOKUP($B460,ma!$A:$C,3,0)</f>
        <v>400000</v>
      </c>
      <c r="Q460" s="132">
        <v>440000</v>
      </c>
      <c r="R460" s="149">
        <v>9.9999999999999895E-2</v>
      </c>
      <c r="S460" s="119"/>
      <c r="T460" s="119"/>
      <c r="U460" s="119"/>
      <c r="V460" s="119"/>
      <c r="W460" s="119"/>
      <c r="X460" s="119"/>
      <c r="Y460" s="119"/>
      <c r="Z460" s="119"/>
      <c r="AA460" s="119"/>
    </row>
    <row r="461" spans="1:27" ht="15">
      <c r="A461" s="107">
        <f t="shared" si="66"/>
        <v>28</v>
      </c>
      <c r="B461" s="108" t="s">
        <v>1492</v>
      </c>
      <c r="C461" s="109" t="s">
        <v>1432</v>
      </c>
      <c r="D461" s="110">
        <v>46097</v>
      </c>
      <c r="E461" s="109" t="str">
        <f>VLOOKUP($C461,xe!$A:$B,2,0)</f>
        <v>50H-70216</v>
      </c>
      <c r="F461" s="111" t="str">
        <f>VLOOKUP($B461,ma!$A:$B,2,0)</f>
        <v>BHX NHÀ BÈ</v>
      </c>
      <c r="G461" s="112" t="s">
        <v>1963</v>
      </c>
      <c r="H461" s="113" t="s">
        <v>1699</v>
      </c>
      <c r="I461" s="114"/>
      <c r="J461" s="109"/>
      <c r="K461" s="116">
        <v>1.6</v>
      </c>
      <c r="L461" s="134">
        <v>180000</v>
      </c>
      <c r="M461" s="114"/>
      <c r="N461" s="118"/>
      <c r="O461" s="118">
        <v>1</v>
      </c>
      <c r="P461" s="114">
        <f>VLOOKUP($B461,ma!$A:$C,3,0)</f>
        <v>400000</v>
      </c>
      <c r="Q461" s="132">
        <v>440000</v>
      </c>
      <c r="R461" s="149">
        <v>9.9999999999999895E-2</v>
      </c>
      <c r="S461" s="119"/>
      <c r="T461" s="119"/>
      <c r="U461" s="119"/>
      <c r="V461" s="119"/>
      <c r="W461" s="119"/>
      <c r="X461" s="119"/>
      <c r="Y461" s="119"/>
      <c r="Z461" s="119"/>
      <c r="AA461" s="119"/>
    </row>
    <row r="462" spans="1:27" ht="15">
      <c r="A462" s="107">
        <f t="shared" si="66"/>
        <v>29</v>
      </c>
      <c r="B462" s="108" t="s">
        <v>1492</v>
      </c>
      <c r="C462" s="109" t="s">
        <v>1873</v>
      </c>
      <c r="D462" s="110">
        <v>46097</v>
      </c>
      <c r="E462" s="109" t="str">
        <f>VLOOKUP($C462,xe!$A:$B,2,0)</f>
        <v>50H-63174</v>
      </c>
      <c r="F462" s="111" t="str">
        <f>VLOOKUP($B462,ma!$A:$B,2,0)</f>
        <v>BHX NHÀ BÈ</v>
      </c>
      <c r="G462" s="112" t="s">
        <v>1964</v>
      </c>
      <c r="H462" s="113" t="s">
        <v>1699</v>
      </c>
      <c r="I462" s="114"/>
      <c r="J462" s="109"/>
      <c r="K462" s="116">
        <v>1.6</v>
      </c>
      <c r="L462" s="134">
        <v>180000</v>
      </c>
      <c r="M462" s="114"/>
      <c r="N462" s="118"/>
      <c r="O462" s="118">
        <v>1</v>
      </c>
      <c r="P462" s="114">
        <f>VLOOKUP($B462,ma!$A:$C,3,0)</f>
        <v>400000</v>
      </c>
      <c r="Q462" s="132">
        <v>440000</v>
      </c>
      <c r="R462" s="149">
        <v>9.9999999999999895E-2</v>
      </c>
      <c r="S462" s="119"/>
      <c r="T462" s="119"/>
      <c r="U462" s="119"/>
      <c r="V462" s="119"/>
      <c r="W462" s="119"/>
      <c r="X462" s="119"/>
      <c r="Y462" s="119"/>
      <c r="Z462" s="119"/>
      <c r="AA462" s="119"/>
    </row>
    <row r="463" spans="1:27" ht="15">
      <c r="A463" s="107">
        <f t="shared" si="66"/>
        <v>30</v>
      </c>
      <c r="B463" s="108" t="s">
        <v>1492</v>
      </c>
      <c r="C463" s="109" t="s">
        <v>21</v>
      </c>
      <c r="D463" s="110">
        <v>46097</v>
      </c>
      <c r="E463" s="109" t="str">
        <f>VLOOKUP($C463,xe!$A:$B,2,0)</f>
        <v>50H-66445</v>
      </c>
      <c r="F463" s="111" t="str">
        <f>VLOOKUP($B463,ma!$A:$B,2,0)</f>
        <v>BHX NHÀ BÈ</v>
      </c>
      <c r="G463" s="112" t="s">
        <v>1965</v>
      </c>
      <c r="H463" s="113" t="s">
        <v>1699</v>
      </c>
      <c r="I463" s="114"/>
      <c r="J463" s="109"/>
      <c r="K463" s="116">
        <v>1.4</v>
      </c>
      <c r="L463" s="134">
        <v>170000</v>
      </c>
      <c r="M463" s="114"/>
      <c r="N463" s="118"/>
      <c r="O463" s="118">
        <v>1</v>
      </c>
      <c r="P463" s="114">
        <f>VLOOKUP($B463,ma!$A:$C,3,0)</f>
        <v>400000</v>
      </c>
      <c r="Q463" s="132">
        <v>440000</v>
      </c>
      <c r="R463" s="149">
        <v>9.9999999999999895E-2</v>
      </c>
      <c r="S463" s="119"/>
      <c r="T463" s="119"/>
      <c r="U463" s="119"/>
      <c r="V463" s="119"/>
      <c r="W463" s="119"/>
      <c r="X463" s="119"/>
      <c r="Y463" s="119"/>
      <c r="Z463" s="119"/>
      <c r="AA463" s="119"/>
    </row>
    <row r="464" spans="1:27" ht="15">
      <c r="A464" s="107">
        <f t="shared" si="66"/>
        <v>31</v>
      </c>
      <c r="B464" s="108" t="s">
        <v>295</v>
      </c>
      <c r="C464" s="109" t="s">
        <v>74</v>
      </c>
      <c r="D464" s="110">
        <v>46097</v>
      </c>
      <c r="E464" s="109" t="str">
        <f>VLOOKUP($C464,xe!$A:$B,2,0)</f>
        <v>50H-44024</v>
      </c>
      <c r="F464" s="111" t="str">
        <f>VLOOKUP($B464,ma!$A:$B,2,0)</f>
        <v>BIBICA MIỀN TÂY ( KBX )</v>
      </c>
      <c r="G464" s="112" t="s">
        <v>1966</v>
      </c>
      <c r="H464" s="113" t="s">
        <v>1880</v>
      </c>
      <c r="I464" s="114"/>
      <c r="J464" s="109"/>
      <c r="K464" s="116">
        <v>1</v>
      </c>
      <c r="L464" s="117"/>
      <c r="M464" s="114"/>
      <c r="N464" s="118"/>
      <c r="O464" s="118">
        <v>1</v>
      </c>
      <c r="P464" s="114">
        <f>VLOOKUP($B464,ma!$A:$C,3,0)</f>
        <v>900000</v>
      </c>
      <c r="Q464" s="132">
        <v>990000</v>
      </c>
      <c r="R464" s="149">
        <v>9.9999999999999895E-2</v>
      </c>
      <c r="S464" s="119"/>
      <c r="T464" s="119"/>
      <c r="U464" s="119"/>
      <c r="V464" s="119"/>
      <c r="W464" s="119"/>
      <c r="X464" s="119"/>
      <c r="Y464" s="119"/>
      <c r="Z464" s="119"/>
      <c r="AA464" s="119"/>
    </row>
    <row r="465" spans="1:27" ht="15">
      <c r="A465" s="107">
        <f t="shared" si="66"/>
        <v>32</v>
      </c>
      <c r="B465" s="108" t="s">
        <v>1063</v>
      </c>
      <c r="C465" s="109" t="s">
        <v>14</v>
      </c>
      <c r="D465" s="110">
        <v>46097</v>
      </c>
      <c r="E465" s="109" t="str">
        <f>VLOOKUP($C465,xe!$A:$B,2,0)</f>
        <v>50H-64470</v>
      </c>
      <c r="F465" s="111" t="str">
        <f>VLOOKUP($B465,ma!$A:$B,2,0)</f>
        <v>BHX CẦN ĐƯỚC</v>
      </c>
      <c r="G465" s="112" t="s">
        <v>1967</v>
      </c>
      <c r="H465" s="113" t="s">
        <v>1880</v>
      </c>
      <c r="I465" s="114">
        <v>10000</v>
      </c>
      <c r="J465" s="109"/>
      <c r="K465" s="116">
        <v>1.8</v>
      </c>
      <c r="L465" s="134">
        <v>250000</v>
      </c>
      <c r="M465" s="114"/>
      <c r="N465" s="118"/>
      <c r="O465" s="118">
        <v>1</v>
      </c>
      <c r="P465" s="114">
        <f>VLOOKUP($B465,ma!$A:$C,3,0)</f>
        <v>900000</v>
      </c>
      <c r="Q465" s="132">
        <v>990000</v>
      </c>
      <c r="R465" s="149">
        <v>9.9999999999999895E-2</v>
      </c>
      <c r="S465" s="119"/>
      <c r="T465" s="119"/>
      <c r="U465" s="119"/>
      <c r="V465" s="119"/>
      <c r="W465" s="119"/>
      <c r="X465" s="119"/>
      <c r="Y465" s="119"/>
      <c r="Z465" s="119"/>
      <c r="AA465" s="119"/>
    </row>
    <row r="466" spans="1:27" ht="15">
      <c r="A466" s="107">
        <f t="shared" si="66"/>
        <v>33</v>
      </c>
      <c r="B466" s="108" t="s">
        <v>1063</v>
      </c>
      <c r="C466" s="109" t="s">
        <v>25</v>
      </c>
      <c r="D466" s="110">
        <v>46097</v>
      </c>
      <c r="E466" s="109" t="str">
        <f>VLOOKUP($C466,xe!$A:$B,2,0)</f>
        <v>50H-55161</v>
      </c>
      <c r="F466" s="111" t="str">
        <f>VLOOKUP($B466,ma!$A:$B,2,0)</f>
        <v>BHX CẦN ĐƯỚC</v>
      </c>
      <c r="G466" s="112" t="s">
        <v>1968</v>
      </c>
      <c r="H466" s="113" t="s">
        <v>1880</v>
      </c>
      <c r="I466" s="114"/>
      <c r="J466" s="109"/>
      <c r="K466" s="116">
        <v>2</v>
      </c>
      <c r="L466" s="117">
        <f>K466*50000</f>
        <v>100000</v>
      </c>
      <c r="M466" s="114"/>
      <c r="N466" s="118"/>
      <c r="O466" s="118">
        <v>1</v>
      </c>
      <c r="P466" s="114">
        <f>VLOOKUP($B466,ma!$A:$C,3,0)</f>
        <v>900000</v>
      </c>
      <c r="Q466" s="132">
        <v>990000</v>
      </c>
      <c r="R466" s="149">
        <v>9.9999999999999895E-2</v>
      </c>
      <c r="S466" s="119"/>
      <c r="T466" s="119"/>
      <c r="U466" s="119"/>
      <c r="V466" s="119"/>
      <c r="W466" s="119"/>
      <c r="X466" s="119"/>
      <c r="Y466" s="119"/>
      <c r="Z466" s="119"/>
      <c r="AA466" s="119"/>
    </row>
    <row r="467" spans="1:27" ht="15">
      <c r="A467" s="107">
        <f t="shared" si="66"/>
        <v>34</v>
      </c>
      <c r="B467" s="108" t="s">
        <v>1063</v>
      </c>
      <c r="C467" s="109" t="s">
        <v>1506</v>
      </c>
      <c r="D467" s="110">
        <v>46097</v>
      </c>
      <c r="E467" s="109" t="str">
        <f>VLOOKUP($C467,xe!$A:$B,2,0)</f>
        <v>50H-55443</v>
      </c>
      <c r="F467" s="111" t="str">
        <f>VLOOKUP($B467,ma!$A:$B,2,0)</f>
        <v>BHX CẦN ĐƯỚC</v>
      </c>
      <c r="G467" s="112" t="s">
        <v>1969</v>
      </c>
      <c r="H467" s="113" t="s">
        <v>1880</v>
      </c>
      <c r="I467" s="114"/>
      <c r="J467" s="109"/>
      <c r="K467" s="116">
        <v>1.8</v>
      </c>
      <c r="L467" s="134">
        <v>230000</v>
      </c>
      <c r="M467" s="114">
        <v>30000</v>
      </c>
      <c r="N467" s="118" t="s">
        <v>1423</v>
      </c>
      <c r="O467" s="118">
        <v>1</v>
      </c>
      <c r="P467" s="114">
        <f>VLOOKUP($B467,ma!$A:$C,3,0)</f>
        <v>900000</v>
      </c>
      <c r="Q467" s="132">
        <v>990000</v>
      </c>
      <c r="R467" s="149">
        <v>9.9999999999999895E-2</v>
      </c>
      <c r="S467" s="119"/>
      <c r="T467" s="119"/>
      <c r="U467" s="119"/>
      <c r="V467" s="119"/>
      <c r="W467" s="119"/>
      <c r="X467" s="119"/>
      <c r="Y467" s="119"/>
      <c r="Z467" s="119"/>
      <c r="AA467" s="119"/>
    </row>
    <row r="468" spans="1:27" ht="15">
      <c r="A468" s="107">
        <f t="shared" si="66"/>
        <v>35</v>
      </c>
      <c r="B468" s="108" t="s">
        <v>779</v>
      </c>
      <c r="C468" s="109" t="s">
        <v>19</v>
      </c>
      <c r="D468" s="110">
        <v>46097</v>
      </c>
      <c r="E468" s="109" t="str">
        <f>VLOOKUP($C468,xe!$A:$B,2,0)</f>
        <v>51H -88294</v>
      </c>
      <c r="F468" s="111" t="str">
        <f>VLOOKUP($B468,ma!$A:$B,2,0)</f>
        <v>HÀNG IU</v>
      </c>
      <c r="G468" s="112" t="s">
        <v>1970</v>
      </c>
      <c r="H468" s="113" t="s">
        <v>1880</v>
      </c>
      <c r="I468" s="114">
        <v>10000</v>
      </c>
      <c r="J468" s="115" t="s">
        <v>1971</v>
      </c>
      <c r="K468" s="116">
        <v>1</v>
      </c>
      <c r="L468" s="117">
        <f t="shared" ref="L468:L473" si="68">K468*50000</f>
        <v>50000</v>
      </c>
      <c r="M468" s="114">
        <v>30000</v>
      </c>
      <c r="N468" s="118" t="s">
        <v>1423</v>
      </c>
      <c r="O468" s="118">
        <v>1</v>
      </c>
      <c r="P468" s="114">
        <f>VLOOKUP($B468,ma!$A:$C,3,0)</f>
        <v>800000</v>
      </c>
      <c r="Q468" s="132">
        <v>880000</v>
      </c>
      <c r="R468" s="149">
        <v>9.9999999999999895E-2</v>
      </c>
      <c r="S468" s="119"/>
      <c r="T468" s="119"/>
      <c r="U468" s="119"/>
      <c r="V468" s="119"/>
      <c r="W468" s="119"/>
      <c r="X468" s="119"/>
      <c r="Y468" s="119"/>
      <c r="Z468" s="119"/>
      <c r="AA468" s="119"/>
    </row>
    <row r="469" spans="1:27" ht="15">
      <c r="A469" s="137">
        <v>1</v>
      </c>
      <c r="B469" s="138" t="s">
        <v>1562</v>
      </c>
      <c r="C469" s="139" t="s">
        <v>58</v>
      </c>
      <c r="D469" s="140">
        <v>46098</v>
      </c>
      <c r="E469" s="139" t="str">
        <f>VLOOKUP($C469,xe!$A:$B,2,0)</f>
        <v>51C-81056</v>
      </c>
      <c r="F469" s="141" t="str">
        <f>VLOOKUP($B469,ma!$A:$B,2,0)</f>
        <v>AEON TÂN PHÚ</v>
      </c>
      <c r="G469" s="142" t="s">
        <v>1972</v>
      </c>
      <c r="H469" s="126" t="s">
        <v>1880</v>
      </c>
      <c r="I469" s="132"/>
      <c r="J469" s="115" t="s">
        <v>140</v>
      </c>
      <c r="K469" s="129">
        <v>1.2</v>
      </c>
      <c r="L469" s="143">
        <f t="shared" si="68"/>
        <v>60000</v>
      </c>
      <c r="M469" s="132"/>
      <c r="N469" s="144"/>
      <c r="O469" s="144">
        <v>1</v>
      </c>
      <c r="P469" s="132">
        <f>VLOOKUP($B469,ma!$A:$C,3,0)</f>
        <v>800000</v>
      </c>
      <c r="Q469" s="132">
        <v>880000</v>
      </c>
      <c r="R469" s="149">
        <v>9.9999999999999895E-2</v>
      </c>
      <c r="S469" s="156"/>
      <c r="T469" s="156"/>
      <c r="U469" s="156"/>
      <c r="V469" s="156"/>
      <c r="W469" s="156"/>
      <c r="X469" s="156"/>
      <c r="Y469" s="156"/>
      <c r="Z469" s="156"/>
      <c r="AA469" s="156"/>
    </row>
    <row r="470" spans="1:27" ht="15">
      <c r="A470" s="107">
        <f t="shared" ref="A470:A504" si="69">A469+1</f>
        <v>2</v>
      </c>
      <c r="B470" s="108" t="s">
        <v>1562</v>
      </c>
      <c r="C470" s="109" t="s">
        <v>60</v>
      </c>
      <c r="D470" s="110">
        <v>46098</v>
      </c>
      <c r="E470" s="109" t="str">
        <f>VLOOKUP($C470,xe!$A:$B,2,0)</f>
        <v>50H-11822</v>
      </c>
      <c r="F470" s="111" t="str">
        <f>VLOOKUP($B470,ma!$A:$B,2,0)</f>
        <v>AEON TÂN PHÚ</v>
      </c>
      <c r="G470" s="112" t="s">
        <v>1973</v>
      </c>
      <c r="H470" s="113" t="s">
        <v>1880</v>
      </c>
      <c r="I470" s="114"/>
      <c r="J470" s="115" t="s">
        <v>140</v>
      </c>
      <c r="K470" s="116">
        <v>1.2</v>
      </c>
      <c r="L470" s="117">
        <f t="shared" si="68"/>
        <v>60000</v>
      </c>
      <c r="M470" s="114"/>
      <c r="N470" s="118"/>
      <c r="O470" s="118">
        <v>1</v>
      </c>
      <c r="P470" s="114">
        <f>VLOOKUP($B470,ma!$A:$C,3,0)</f>
        <v>800000</v>
      </c>
      <c r="Q470" s="132">
        <v>880000</v>
      </c>
      <c r="R470" s="149">
        <v>9.9999999999999895E-2</v>
      </c>
      <c r="S470" s="119"/>
      <c r="T470" s="119"/>
      <c r="U470" s="119"/>
      <c r="V470" s="119"/>
      <c r="W470" s="119"/>
      <c r="X470" s="119"/>
      <c r="Y470" s="119"/>
      <c r="Z470" s="119"/>
      <c r="AA470" s="119"/>
    </row>
    <row r="471" spans="1:27" ht="15">
      <c r="A471" s="107">
        <f t="shared" si="69"/>
        <v>3</v>
      </c>
      <c r="B471" s="108" t="s">
        <v>1452</v>
      </c>
      <c r="C471" s="109" t="s">
        <v>1546</v>
      </c>
      <c r="D471" s="110">
        <v>46098</v>
      </c>
      <c r="E471" s="109" t="str">
        <f>VLOOKUP($C471,xe!$A:$B,2,0)</f>
        <v>50H-54580</v>
      </c>
      <c r="F471" s="111" t="str">
        <f>VLOOKUP($B471,ma!$A:$B,2,0)</f>
        <v>E MART SALA</v>
      </c>
      <c r="G471" s="112" t="s">
        <v>1974</v>
      </c>
      <c r="H471" s="113" t="s">
        <v>1880</v>
      </c>
      <c r="I471" s="114"/>
      <c r="J471" s="115" t="s">
        <v>140</v>
      </c>
      <c r="K471" s="116">
        <v>1.6</v>
      </c>
      <c r="L471" s="117">
        <f t="shared" si="68"/>
        <v>80000</v>
      </c>
      <c r="M471" s="114"/>
      <c r="N471" s="118"/>
      <c r="O471" s="118">
        <v>1</v>
      </c>
      <c r="P471" s="114">
        <f>VLOOKUP($B471,ma!$A:$C,3,0)</f>
        <v>800000</v>
      </c>
      <c r="Q471" s="132">
        <v>880000</v>
      </c>
      <c r="R471" s="149">
        <v>9.9999999999999895E-2</v>
      </c>
      <c r="S471" s="119"/>
      <c r="T471" s="119"/>
      <c r="U471" s="119"/>
      <c r="V471" s="119"/>
      <c r="W471" s="119"/>
      <c r="X471" s="119"/>
      <c r="Y471" s="119"/>
      <c r="Z471" s="119"/>
      <c r="AA471" s="119"/>
    </row>
    <row r="472" spans="1:27" ht="15">
      <c r="A472" s="107">
        <f t="shared" si="69"/>
        <v>4</v>
      </c>
      <c r="B472" s="108" t="s">
        <v>1124</v>
      </c>
      <c r="C472" s="109" t="s">
        <v>66</v>
      </c>
      <c r="D472" s="110">
        <v>46098</v>
      </c>
      <c r="E472" s="109" t="str">
        <f>VLOOKUP($C472,xe!$A:$B,2,0)</f>
        <v>50H-92136</v>
      </c>
      <c r="F472" s="111" t="str">
        <f>VLOOKUP($B472,ma!$A:$B,2,0)</f>
        <v>SATRA VIETTEL</v>
      </c>
      <c r="G472" s="112" t="s">
        <v>1975</v>
      </c>
      <c r="H472" s="113" t="s">
        <v>1512</v>
      </c>
      <c r="I472" s="114"/>
      <c r="J472" s="147" t="s">
        <v>1457</v>
      </c>
      <c r="K472" s="116">
        <v>1.4</v>
      </c>
      <c r="L472" s="117">
        <f t="shared" si="68"/>
        <v>70000</v>
      </c>
      <c r="M472" s="114"/>
      <c r="N472" s="118"/>
      <c r="O472" s="118">
        <v>1</v>
      </c>
      <c r="P472" s="114">
        <f>VLOOKUP($B472,ma!$A:$C,3,0)</f>
        <v>800000</v>
      </c>
      <c r="Q472" s="132">
        <v>880000</v>
      </c>
      <c r="R472" s="149">
        <v>9.9999999999999895E-2</v>
      </c>
      <c r="S472" s="119"/>
      <c r="T472" s="119"/>
      <c r="U472" s="119"/>
      <c r="V472" s="119"/>
      <c r="W472" s="119"/>
      <c r="X472" s="119"/>
      <c r="Y472" s="119"/>
      <c r="Z472" s="119"/>
      <c r="AA472" s="119"/>
    </row>
    <row r="473" spans="1:27" ht="15">
      <c r="A473" s="107">
        <f t="shared" si="69"/>
        <v>5</v>
      </c>
      <c r="B473" s="108" t="s">
        <v>1124</v>
      </c>
      <c r="C473" s="109" t="s">
        <v>64</v>
      </c>
      <c r="D473" s="110">
        <v>46098</v>
      </c>
      <c r="E473" s="109" t="str">
        <f>VLOOKUP($C473,xe!$A:$B,2,0)</f>
        <v>50H-60635</v>
      </c>
      <c r="F473" s="111" t="str">
        <f>VLOOKUP($B473,ma!$A:$B,2,0)</f>
        <v>SATRA VIETTEL</v>
      </c>
      <c r="G473" s="112" t="s">
        <v>1976</v>
      </c>
      <c r="H473" s="113" t="s">
        <v>1880</v>
      </c>
      <c r="I473" s="114"/>
      <c r="J473" s="147" t="s">
        <v>1457</v>
      </c>
      <c r="K473" s="116">
        <v>1.4</v>
      </c>
      <c r="L473" s="117">
        <f t="shared" si="68"/>
        <v>70000</v>
      </c>
      <c r="M473" s="114"/>
      <c r="N473" s="118"/>
      <c r="O473" s="118">
        <v>1</v>
      </c>
      <c r="P473" s="114">
        <f>VLOOKUP($B473,ma!$A:$C,3,0)</f>
        <v>800000</v>
      </c>
      <c r="Q473" s="132">
        <v>880000</v>
      </c>
      <c r="R473" s="149">
        <v>9.9999999999999895E-2</v>
      </c>
      <c r="S473" s="119"/>
      <c r="T473" s="119"/>
      <c r="U473" s="119"/>
      <c r="V473" s="119"/>
      <c r="W473" s="119"/>
      <c r="X473" s="119"/>
      <c r="Y473" s="119"/>
      <c r="Z473" s="119"/>
      <c r="AA473" s="119"/>
    </row>
    <row r="474" spans="1:27" ht="15">
      <c r="A474" s="107">
        <f t="shared" si="69"/>
        <v>6</v>
      </c>
      <c r="B474" s="108" t="s">
        <v>1869</v>
      </c>
      <c r="C474" s="109" t="s">
        <v>1524</v>
      </c>
      <c r="D474" s="110">
        <v>46098</v>
      </c>
      <c r="E474" s="109" t="str">
        <f>VLOOKUP($C474,xe!$A:$B,2,0)</f>
        <v>51D-38021</v>
      </c>
      <c r="F474" s="111" t="str">
        <f>VLOOKUP($B474,ma!$A:$B,2,0)</f>
        <v>BHX XUYÊN Á</v>
      </c>
      <c r="G474" s="112" t="s">
        <v>1977</v>
      </c>
      <c r="H474" s="113" t="s">
        <v>1880</v>
      </c>
      <c r="I474" s="114"/>
      <c r="J474" s="109"/>
      <c r="K474" s="116">
        <v>2.2000000000000002</v>
      </c>
      <c r="L474" s="117">
        <f t="shared" ref="L474:L475" si="70">K474*80000</f>
        <v>176000</v>
      </c>
      <c r="M474" s="114"/>
      <c r="N474" s="118"/>
      <c r="O474" s="118">
        <v>1</v>
      </c>
      <c r="P474" s="114">
        <f>VLOOKUP($B474,ma!$A:$C,3,0)</f>
        <v>900000</v>
      </c>
      <c r="Q474" s="132">
        <v>990000</v>
      </c>
      <c r="R474" s="149">
        <v>9.9999999999999895E-2</v>
      </c>
      <c r="S474" s="119"/>
      <c r="T474" s="119"/>
      <c r="U474" s="119"/>
      <c r="V474" s="119"/>
      <c r="W474" s="119"/>
      <c r="X474" s="119"/>
      <c r="Y474" s="119"/>
      <c r="Z474" s="119"/>
      <c r="AA474" s="119"/>
    </row>
    <row r="475" spans="1:27" ht="15">
      <c r="A475" s="107">
        <f t="shared" si="69"/>
        <v>7</v>
      </c>
      <c r="B475" s="108" t="s">
        <v>1869</v>
      </c>
      <c r="C475" s="109" t="s">
        <v>1522</v>
      </c>
      <c r="D475" s="110">
        <v>46098</v>
      </c>
      <c r="E475" s="109" t="str">
        <f>VLOOKUP($C475,xe!$A:$B,2,0)</f>
        <v>47H-02023</v>
      </c>
      <c r="F475" s="111" t="str">
        <f>VLOOKUP($B475,ma!$A:$B,2,0)</f>
        <v>BHX XUYÊN Á</v>
      </c>
      <c r="G475" s="112" t="s">
        <v>1978</v>
      </c>
      <c r="H475" s="113" t="s">
        <v>1512</v>
      </c>
      <c r="I475" s="114"/>
      <c r="J475" s="109"/>
      <c r="K475" s="116">
        <v>2.2000000000000002</v>
      </c>
      <c r="L475" s="117">
        <f t="shared" si="70"/>
        <v>176000</v>
      </c>
      <c r="M475" s="114"/>
      <c r="N475" s="118"/>
      <c r="O475" s="118">
        <v>1</v>
      </c>
      <c r="P475" s="114">
        <f>VLOOKUP($B475,ma!$A:$C,3,0)</f>
        <v>900000</v>
      </c>
      <c r="Q475" s="132">
        <v>990000</v>
      </c>
      <c r="R475" s="149">
        <v>9.9999999999999895E-2</v>
      </c>
      <c r="S475" s="119"/>
      <c r="T475" s="119"/>
      <c r="U475" s="119"/>
      <c r="V475" s="119"/>
      <c r="W475" s="119"/>
      <c r="X475" s="119"/>
      <c r="Y475" s="119"/>
      <c r="Z475" s="119"/>
      <c r="AA475" s="119"/>
    </row>
    <row r="476" spans="1:27" ht="15">
      <c r="A476" s="107">
        <f t="shared" si="69"/>
        <v>8</v>
      </c>
      <c r="B476" s="108" t="s">
        <v>529</v>
      </c>
      <c r="C476" s="109" t="s">
        <v>1873</v>
      </c>
      <c r="D476" s="110">
        <v>46098</v>
      </c>
      <c r="E476" s="109" t="str">
        <f>VLOOKUP($C476,xe!$A:$B,2,0)</f>
        <v>50H-63174</v>
      </c>
      <c r="F476" s="111" t="str">
        <f>VLOOKUP($B476,ma!$A:$B,2,0)</f>
        <v>PHẠM PHAN MES CỦ CHI ( K BX )</v>
      </c>
      <c r="G476" s="112" t="s">
        <v>1979</v>
      </c>
      <c r="H476" s="113" t="s">
        <v>1880</v>
      </c>
      <c r="I476" s="114"/>
      <c r="J476" s="109"/>
      <c r="K476" s="116">
        <v>2</v>
      </c>
      <c r="L476" s="134">
        <v>160000</v>
      </c>
      <c r="M476" s="114"/>
      <c r="N476" s="118"/>
      <c r="O476" s="118">
        <v>1</v>
      </c>
      <c r="P476" s="114">
        <f>VLOOKUP($B476,ma!$A:$C,3,0)</f>
        <v>900000</v>
      </c>
      <c r="Q476" s="132">
        <v>990000</v>
      </c>
      <c r="R476" s="149">
        <v>9.9999999999999895E-2</v>
      </c>
      <c r="S476" s="119"/>
      <c r="T476" s="119"/>
      <c r="U476" s="119"/>
      <c r="V476" s="119"/>
      <c r="W476" s="119"/>
      <c r="X476" s="119"/>
      <c r="Y476" s="119"/>
      <c r="Z476" s="119"/>
      <c r="AA476" s="119"/>
    </row>
    <row r="477" spans="1:27" ht="15">
      <c r="A477" s="107">
        <f t="shared" si="69"/>
        <v>9</v>
      </c>
      <c r="B477" s="108" t="s">
        <v>529</v>
      </c>
      <c r="C477" s="109" t="s">
        <v>21</v>
      </c>
      <c r="D477" s="110">
        <v>46098</v>
      </c>
      <c r="E477" s="109" t="str">
        <f>VLOOKUP($C477,xe!$A:$B,2,0)</f>
        <v>50H-66445</v>
      </c>
      <c r="F477" s="111" t="str">
        <f>VLOOKUP($B477,ma!$A:$B,2,0)</f>
        <v>PHẠM PHAN MES CỦ CHI ( K BX )</v>
      </c>
      <c r="G477" s="112" t="s">
        <v>1980</v>
      </c>
      <c r="H477" s="113" t="s">
        <v>1880</v>
      </c>
      <c r="I477" s="114"/>
      <c r="J477" s="109"/>
      <c r="K477" s="116">
        <v>2</v>
      </c>
      <c r="L477" s="134">
        <v>210000</v>
      </c>
      <c r="M477" s="114"/>
      <c r="N477" s="118"/>
      <c r="O477" s="118">
        <v>1</v>
      </c>
      <c r="P477" s="114">
        <f>VLOOKUP($B477,ma!$A:$C,3,0)</f>
        <v>900000</v>
      </c>
      <c r="Q477" s="132">
        <v>990000</v>
      </c>
      <c r="R477" s="149">
        <v>9.9999999999999895E-2</v>
      </c>
      <c r="S477" s="119"/>
      <c r="T477" s="119"/>
      <c r="U477" s="119"/>
      <c r="V477" s="119"/>
      <c r="W477" s="119"/>
      <c r="X477" s="119"/>
      <c r="Y477" s="119"/>
      <c r="Z477" s="119"/>
      <c r="AA477" s="119"/>
    </row>
    <row r="478" spans="1:27" ht="15">
      <c r="A478" s="107">
        <f t="shared" si="69"/>
        <v>10</v>
      </c>
      <c r="B478" s="108" t="s">
        <v>1981</v>
      </c>
      <c r="C478" s="109" t="s">
        <v>1669</v>
      </c>
      <c r="D478" s="110">
        <v>46098</v>
      </c>
      <c r="E478" s="109" t="str">
        <f>VLOOKUP($C478,xe!$A:$B,2,0)</f>
        <v>50H-69501</v>
      </c>
      <c r="F478" s="111" t="str">
        <f>VLOOKUP($B478,ma!$A:$B,2,0)</f>
        <v>NGUYỄN VĂN CỪ</v>
      </c>
      <c r="G478" s="112" t="s">
        <v>1405</v>
      </c>
      <c r="H478" s="113" t="s">
        <v>1880</v>
      </c>
      <c r="I478" s="114"/>
      <c r="J478" s="109"/>
      <c r="K478" s="116">
        <v>1</v>
      </c>
      <c r="L478" s="134">
        <v>100000</v>
      </c>
      <c r="M478" s="114"/>
      <c r="N478" s="118"/>
      <c r="O478" s="118">
        <v>1</v>
      </c>
      <c r="P478" s="114">
        <f>VLOOKUP($B478,ma!$A:$C,3,0)</f>
        <v>800000</v>
      </c>
      <c r="Q478" s="132">
        <v>880000</v>
      </c>
      <c r="R478" s="149">
        <v>9.9999999999999895E-2</v>
      </c>
      <c r="S478" s="119"/>
      <c r="T478" s="119"/>
      <c r="U478" s="119"/>
      <c r="V478" s="119"/>
      <c r="W478" s="119"/>
      <c r="X478" s="119"/>
      <c r="Y478" s="119"/>
      <c r="Z478" s="119"/>
      <c r="AA478" s="119"/>
    </row>
    <row r="479" spans="1:27" ht="15">
      <c r="A479" s="107">
        <f t="shared" si="69"/>
        <v>11</v>
      </c>
      <c r="B479" s="108" t="s">
        <v>1982</v>
      </c>
      <c r="C479" s="109" t="s">
        <v>10</v>
      </c>
      <c r="D479" s="110">
        <v>46098</v>
      </c>
      <c r="E479" s="109" t="str">
        <f>VLOOKUP($C479,xe!$A:$B,2,0)</f>
        <v>50H-50999</v>
      </c>
      <c r="F479" s="111" t="str">
        <f>VLOOKUP($B479,ma!$A:$B,2,0)</f>
        <v>LONA TD Q6</v>
      </c>
      <c r="G479" s="112" t="s">
        <v>1983</v>
      </c>
      <c r="H479" s="113" t="s">
        <v>1880</v>
      </c>
      <c r="I479" s="114"/>
      <c r="J479" s="109"/>
      <c r="K479" s="116">
        <v>1</v>
      </c>
      <c r="L479" s="117">
        <f t="shared" ref="L479:L481" si="71">K479*50000</f>
        <v>50000</v>
      </c>
      <c r="M479" s="114"/>
      <c r="N479" s="118"/>
      <c r="O479" s="118">
        <v>1</v>
      </c>
      <c r="P479" s="114">
        <f>VLOOKUP($B479,ma!$A:$C,3,0)</f>
        <v>800000</v>
      </c>
      <c r="Q479" s="132">
        <v>880000</v>
      </c>
      <c r="R479" s="149">
        <v>9.9999999999999895E-2</v>
      </c>
      <c r="S479" s="119"/>
      <c r="T479" s="119"/>
      <c r="U479" s="119"/>
      <c r="V479" s="119"/>
      <c r="W479" s="119"/>
      <c r="X479" s="119"/>
      <c r="Y479" s="119"/>
      <c r="Z479" s="119"/>
      <c r="AA479" s="119"/>
    </row>
    <row r="480" spans="1:27" ht="15">
      <c r="A480" s="107">
        <f t="shared" si="69"/>
        <v>12</v>
      </c>
      <c r="B480" s="108" t="s">
        <v>1984</v>
      </c>
      <c r="C480" s="109" t="s">
        <v>31</v>
      </c>
      <c r="D480" s="110">
        <v>46098</v>
      </c>
      <c r="E480" s="109" t="str">
        <f>VLOOKUP($C480,xe!$A:$B,2,0)</f>
        <v>50H-74619</v>
      </c>
      <c r="F480" s="111" t="str">
        <f>VLOOKUP($B480,ma!$A:$B,2,0)</f>
        <v>ABC BACKERRY Q6</v>
      </c>
      <c r="G480" s="112" t="s">
        <v>1985</v>
      </c>
      <c r="H480" s="113" t="s">
        <v>1880</v>
      </c>
      <c r="I480" s="114"/>
      <c r="J480" s="109"/>
      <c r="K480" s="116">
        <v>1.2</v>
      </c>
      <c r="L480" s="117">
        <f t="shared" si="71"/>
        <v>60000</v>
      </c>
      <c r="M480" s="114"/>
      <c r="N480" s="118"/>
      <c r="O480" s="118">
        <v>1</v>
      </c>
      <c r="P480" s="114">
        <f>VLOOKUP($B480,ma!$A:$C,3,0)</f>
        <v>800000</v>
      </c>
      <c r="Q480" s="132">
        <v>880000</v>
      </c>
      <c r="R480" s="149">
        <v>9.9999999999999895E-2</v>
      </c>
      <c r="S480" s="119"/>
      <c r="T480" s="119"/>
      <c r="U480" s="119"/>
      <c r="V480" s="119"/>
      <c r="W480" s="119"/>
      <c r="X480" s="119"/>
      <c r="Y480" s="119"/>
      <c r="Z480" s="119"/>
      <c r="AA480" s="119"/>
    </row>
    <row r="481" spans="1:27" ht="15">
      <c r="A481" s="107">
        <f t="shared" si="69"/>
        <v>13</v>
      </c>
      <c r="B481" s="108" t="s">
        <v>1474</v>
      </c>
      <c r="C481" s="109" t="s">
        <v>8</v>
      </c>
      <c r="D481" s="110">
        <v>46098</v>
      </c>
      <c r="E481" s="109" t="str">
        <f>VLOOKUP($C481,xe!$A:$B,2,0)</f>
        <v>50H-64316</v>
      </c>
      <c r="F481" s="111" t="str">
        <f>VLOOKUP($B481,ma!$A:$B,2,0)</f>
        <v>NGUYỄN TRƯƠNG</v>
      </c>
      <c r="G481" s="112" t="s">
        <v>1986</v>
      </c>
      <c r="H481" s="113" t="s">
        <v>1880</v>
      </c>
      <c r="I481" s="114"/>
      <c r="J481" s="109"/>
      <c r="K481" s="116">
        <v>2.2000000000000002</v>
      </c>
      <c r="L481" s="117">
        <f t="shared" si="71"/>
        <v>110000.00000000001</v>
      </c>
      <c r="M481" s="114"/>
      <c r="N481" s="118"/>
      <c r="O481" s="118">
        <v>1</v>
      </c>
      <c r="P481" s="114">
        <f>VLOOKUP($B481,ma!$A:$C,3,0)</f>
        <v>800000</v>
      </c>
      <c r="Q481" s="132">
        <v>880000</v>
      </c>
      <c r="R481" s="149">
        <v>9.9999999999999895E-2</v>
      </c>
      <c r="S481" s="119"/>
      <c r="T481" s="119"/>
      <c r="U481" s="119"/>
      <c r="V481" s="119"/>
      <c r="W481" s="119"/>
      <c r="X481" s="119"/>
      <c r="Y481" s="119"/>
      <c r="Z481" s="119"/>
      <c r="AA481" s="119"/>
    </row>
    <row r="482" spans="1:27" ht="15">
      <c r="A482" s="107">
        <f t="shared" si="69"/>
        <v>14</v>
      </c>
      <c r="B482" s="108" t="s">
        <v>1520</v>
      </c>
      <c r="C482" s="109" t="s">
        <v>1937</v>
      </c>
      <c r="D482" s="110">
        <v>46098</v>
      </c>
      <c r="E482" s="109" t="str">
        <f>VLOOKUP($C482,xe!$A:$B,2,0)</f>
        <v>50H-86564</v>
      </c>
      <c r="F482" s="111" t="str">
        <f>VLOOKUP($B482,ma!$A:$B,2,0)</f>
        <v>SEN VIỆT ( K BX )</v>
      </c>
      <c r="G482" s="112" t="s">
        <v>1987</v>
      </c>
      <c r="H482" s="113" t="s">
        <v>1512</v>
      </c>
      <c r="I482" s="114"/>
      <c r="J482" s="109"/>
      <c r="K482" s="116">
        <v>2</v>
      </c>
      <c r="L482" s="117"/>
      <c r="M482" s="114"/>
      <c r="N482" s="118"/>
      <c r="O482" s="118">
        <v>1</v>
      </c>
      <c r="P482" s="114">
        <f>VLOOKUP($B482,ma!$A:$C,3,0)</f>
        <v>800000</v>
      </c>
      <c r="Q482" s="132">
        <v>880000</v>
      </c>
      <c r="R482" s="149">
        <v>9.9999999999999895E-2</v>
      </c>
      <c r="S482" s="119"/>
      <c r="T482" s="119"/>
      <c r="U482" s="119"/>
      <c r="V482" s="119"/>
      <c r="W482" s="119"/>
      <c r="X482" s="119"/>
      <c r="Y482" s="119"/>
      <c r="Z482" s="119"/>
      <c r="AA482" s="119"/>
    </row>
    <row r="483" spans="1:27" ht="15">
      <c r="A483" s="107">
        <f t="shared" si="69"/>
        <v>15</v>
      </c>
      <c r="B483" s="108" t="s">
        <v>1520</v>
      </c>
      <c r="C483" s="109" t="s">
        <v>1404</v>
      </c>
      <c r="D483" s="110">
        <v>46098</v>
      </c>
      <c r="E483" s="109" t="str">
        <f>VLOOKUP($C483,xe!$A:$B,2,0)</f>
        <v>51C-81056</v>
      </c>
      <c r="F483" s="111" t="str">
        <f>VLOOKUP($B483,ma!$A:$B,2,0)</f>
        <v>SEN VIỆT ( K BX )</v>
      </c>
      <c r="G483" s="112" t="s">
        <v>1988</v>
      </c>
      <c r="H483" s="113" t="s">
        <v>1880</v>
      </c>
      <c r="I483" s="114"/>
      <c r="J483" s="109"/>
      <c r="K483" s="116">
        <v>2</v>
      </c>
      <c r="L483" s="117"/>
      <c r="M483" s="114"/>
      <c r="N483" s="118"/>
      <c r="O483" s="118">
        <v>1</v>
      </c>
      <c r="P483" s="114">
        <f>VLOOKUP($B483,ma!$A:$C,3,0)</f>
        <v>800000</v>
      </c>
      <c r="Q483" s="132">
        <v>880000</v>
      </c>
      <c r="R483" s="149">
        <v>9.9999999999999895E-2</v>
      </c>
      <c r="S483" s="119"/>
      <c r="T483" s="119"/>
      <c r="U483" s="119"/>
      <c r="V483" s="119"/>
      <c r="W483" s="119"/>
      <c r="X483" s="119"/>
      <c r="Y483" s="119"/>
      <c r="Z483" s="119"/>
      <c r="AA483" s="119"/>
    </row>
    <row r="484" spans="1:27" ht="15">
      <c r="A484" s="107">
        <f t="shared" si="69"/>
        <v>16</v>
      </c>
      <c r="B484" s="108" t="s">
        <v>1520</v>
      </c>
      <c r="C484" s="109" t="s">
        <v>78</v>
      </c>
      <c r="D484" s="110">
        <v>46098</v>
      </c>
      <c r="E484" s="133" t="str">
        <f>VLOOKUP($C484,xe!$A:$B,2,0)</f>
        <v>50E-565,21</v>
      </c>
      <c r="F484" s="111" t="str">
        <f>VLOOKUP($B484,ma!$A:$B,2,0)</f>
        <v>SEN VIỆT ( K BX )</v>
      </c>
      <c r="G484" s="112" t="s">
        <v>1989</v>
      </c>
      <c r="H484" s="113" t="s">
        <v>1880</v>
      </c>
      <c r="I484" s="114"/>
      <c r="J484" s="109"/>
      <c r="K484" s="116">
        <v>2</v>
      </c>
      <c r="L484" s="117"/>
      <c r="M484" s="114"/>
      <c r="N484" s="118"/>
      <c r="O484" s="118">
        <v>1</v>
      </c>
      <c r="P484" s="114">
        <f>VLOOKUP($B484,ma!$A:$C,3,0)</f>
        <v>800000</v>
      </c>
      <c r="Q484" s="132">
        <v>880000</v>
      </c>
      <c r="R484" s="149">
        <v>9.9999999999999895E-2</v>
      </c>
      <c r="S484" s="119"/>
      <c r="T484" s="119"/>
      <c r="U484" s="119"/>
      <c r="V484" s="119"/>
      <c r="W484" s="119"/>
      <c r="X484" s="119"/>
      <c r="Y484" s="119"/>
      <c r="Z484" s="119"/>
      <c r="AA484" s="119"/>
    </row>
    <row r="485" spans="1:27" ht="15">
      <c r="A485" s="107">
        <f t="shared" si="69"/>
        <v>17</v>
      </c>
      <c r="B485" s="108" t="s">
        <v>1758</v>
      </c>
      <c r="C485" s="109" t="s">
        <v>1655</v>
      </c>
      <c r="D485" s="110">
        <v>46098</v>
      </c>
      <c r="E485" s="109" t="str">
        <f>VLOOKUP($C485,xe!$A:$B,2,0)</f>
        <v>50H-70216</v>
      </c>
      <c r="F485" s="111" t="str">
        <f>VLOOKUP($B485,ma!$A:$B,2,0)</f>
        <v>M. BÌNH PHÚ</v>
      </c>
      <c r="G485" s="112" t="s">
        <v>1990</v>
      </c>
      <c r="H485" s="113" t="s">
        <v>1880</v>
      </c>
      <c r="I485" s="114"/>
      <c r="J485" s="109"/>
      <c r="K485" s="116">
        <v>2</v>
      </c>
      <c r="L485" s="117">
        <f t="shared" ref="L485:L487" si="72">K485*50000</f>
        <v>100000</v>
      </c>
      <c r="M485" s="114">
        <v>30000</v>
      </c>
      <c r="N485" s="118" t="s">
        <v>1423</v>
      </c>
      <c r="O485" s="118">
        <v>1</v>
      </c>
      <c r="P485" s="114">
        <f>VLOOKUP($B485,ma!$A:$C,3,0)</f>
        <v>800000</v>
      </c>
      <c r="Q485" s="132">
        <v>880000</v>
      </c>
      <c r="R485" s="149">
        <v>9.9999999999999895E-2</v>
      </c>
      <c r="S485" s="119"/>
      <c r="T485" s="119"/>
      <c r="U485" s="119"/>
      <c r="V485" s="119"/>
      <c r="W485" s="119"/>
      <c r="X485" s="119"/>
      <c r="Y485" s="119"/>
      <c r="Z485" s="119"/>
      <c r="AA485" s="119"/>
    </row>
    <row r="486" spans="1:27" ht="15">
      <c r="A486" s="107">
        <f t="shared" si="69"/>
        <v>18</v>
      </c>
      <c r="B486" s="108" t="s">
        <v>1758</v>
      </c>
      <c r="C486" s="109" t="s">
        <v>1500</v>
      </c>
      <c r="D486" s="110">
        <v>46098</v>
      </c>
      <c r="E486" s="109" t="str">
        <f>VLOOKUP($C486,xe!$A:$B,2,0)</f>
        <v>50H 87442</v>
      </c>
      <c r="F486" s="111" t="str">
        <f>VLOOKUP($B486,ma!$A:$B,2,0)</f>
        <v>M. BÌNH PHÚ</v>
      </c>
      <c r="G486" s="112" t="s">
        <v>1991</v>
      </c>
      <c r="H486" s="113" t="s">
        <v>1880</v>
      </c>
      <c r="I486" s="114"/>
      <c r="J486" s="109"/>
      <c r="K486" s="116">
        <v>2.2000000000000002</v>
      </c>
      <c r="L486" s="117">
        <f t="shared" si="72"/>
        <v>110000.00000000001</v>
      </c>
      <c r="M486" s="114"/>
      <c r="N486" s="118"/>
      <c r="O486" s="118">
        <v>1</v>
      </c>
      <c r="P486" s="114">
        <f>VLOOKUP($B486,ma!$A:$C,3,0)</f>
        <v>800000</v>
      </c>
      <c r="Q486" s="132">
        <v>880000</v>
      </c>
      <c r="R486" s="149">
        <v>9.9999999999999895E-2</v>
      </c>
      <c r="S486" s="119"/>
      <c r="T486" s="119"/>
      <c r="U486" s="119"/>
      <c r="V486" s="119"/>
      <c r="W486" s="119"/>
      <c r="X486" s="119"/>
      <c r="Y486" s="119"/>
      <c r="Z486" s="119"/>
      <c r="AA486" s="119"/>
    </row>
    <row r="487" spans="1:27" ht="15">
      <c r="A487" s="107">
        <f t="shared" si="69"/>
        <v>19</v>
      </c>
      <c r="B487" s="108" t="s">
        <v>1758</v>
      </c>
      <c r="C487" s="109" t="s">
        <v>68</v>
      </c>
      <c r="D487" s="110">
        <v>46098</v>
      </c>
      <c r="E487" s="109" t="str">
        <f>VLOOKUP($C487,xe!$A:$B,2,0)</f>
        <v>50H-55829</v>
      </c>
      <c r="F487" s="111" t="str">
        <f>VLOOKUP($B487,ma!$A:$B,2,0)</f>
        <v>M. BÌNH PHÚ</v>
      </c>
      <c r="G487" s="112" t="s">
        <v>1992</v>
      </c>
      <c r="H487" s="113" t="s">
        <v>1880</v>
      </c>
      <c r="I487" s="114"/>
      <c r="J487" s="109"/>
      <c r="K487" s="116">
        <v>2</v>
      </c>
      <c r="L487" s="117">
        <f t="shared" si="72"/>
        <v>100000</v>
      </c>
      <c r="M487" s="114"/>
      <c r="N487" s="118"/>
      <c r="O487" s="118">
        <v>1</v>
      </c>
      <c r="P487" s="114">
        <f>VLOOKUP($B487,ma!$A:$C,3,0)</f>
        <v>800000</v>
      </c>
      <c r="Q487" s="132">
        <v>880000</v>
      </c>
      <c r="R487" s="149">
        <v>9.9999999999999895E-2</v>
      </c>
      <c r="S487" s="119"/>
      <c r="T487" s="119"/>
      <c r="U487" s="119"/>
      <c r="V487" s="119"/>
      <c r="W487" s="119"/>
      <c r="X487" s="119"/>
      <c r="Y487" s="119"/>
      <c r="Z487" s="119"/>
      <c r="AA487" s="119"/>
    </row>
    <row r="488" spans="1:27" ht="15">
      <c r="A488" s="107">
        <f t="shared" si="69"/>
        <v>20</v>
      </c>
      <c r="B488" s="108" t="s">
        <v>866</v>
      </c>
      <c r="C488" s="109" t="s">
        <v>19</v>
      </c>
      <c r="D488" s="110">
        <v>46098</v>
      </c>
      <c r="E488" s="109" t="str">
        <f>VLOOKUP($C488,xe!$A:$B,2,0)</f>
        <v>51H -88294</v>
      </c>
      <c r="F488" s="111" t="str">
        <f>VLOOKUP($B488,ma!$A:$B,2,0)</f>
        <v>XUÂN VÂN ( K BX )</v>
      </c>
      <c r="G488" s="112" t="s">
        <v>1993</v>
      </c>
      <c r="H488" s="113" t="s">
        <v>1880</v>
      </c>
      <c r="I488" s="114"/>
      <c r="J488" s="109"/>
      <c r="K488" s="116">
        <v>1.8</v>
      </c>
      <c r="L488" s="117">
        <v>50000</v>
      </c>
      <c r="M488" s="114"/>
      <c r="N488" s="118"/>
      <c r="O488" s="118">
        <v>1</v>
      </c>
      <c r="P488" s="114">
        <f>VLOOKUP($B488,ma!$A:$C,3,0)</f>
        <v>800000</v>
      </c>
      <c r="Q488" s="132">
        <v>880000</v>
      </c>
      <c r="R488" s="149">
        <v>9.9999999999999895E-2</v>
      </c>
      <c r="S488" s="119"/>
      <c r="T488" s="119"/>
      <c r="U488" s="119"/>
      <c r="V488" s="119"/>
      <c r="W488" s="119"/>
      <c r="X488" s="119"/>
      <c r="Y488" s="119"/>
      <c r="Z488" s="119"/>
      <c r="AA488" s="119"/>
    </row>
    <row r="489" spans="1:27" ht="15">
      <c r="A489" s="107">
        <f t="shared" si="69"/>
        <v>21</v>
      </c>
      <c r="B489" s="108" t="s">
        <v>810</v>
      </c>
      <c r="C489" s="109" t="s">
        <v>74</v>
      </c>
      <c r="D489" s="110">
        <v>46098</v>
      </c>
      <c r="E489" s="109" t="str">
        <f>VLOOKUP($C489,xe!$A:$B,2,0)</f>
        <v>50H-44024</v>
      </c>
      <c r="F489" s="111" t="str">
        <f>VLOOKUP($B489,ma!$A:$B,2,0)</f>
        <v>Vũ Phúc</v>
      </c>
      <c r="G489" s="112" t="s">
        <v>1994</v>
      </c>
      <c r="H489" s="113" t="s">
        <v>1880</v>
      </c>
      <c r="I489" s="114"/>
      <c r="J489" s="109"/>
      <c r="K489" s="116">
        <v>1.2</v>
      </c>
      <c r="L489" s="117">
        <f>K489*50000</f>
        <v>60000</v>
      </c>
      <c r="M489" s="114"/>
      <c r="N489" s="118"/>
      <c r="O489" s="118">
        <v>1</v>
      </c>
      <c r="P489" s="114">
        <f>VLOOKUP($B489,ma!$A:$C,3,0)</f>
        <v>800000</v>
      </c>
      <c r="Q489" s="132">
        <v>880000</v>
      </c>
      <c r="R489" s="149">
        <v>9.9999999999999895E-2</v>
      </c>
      <c r="S489" s="119"/>
      <c r="T489" s="119"/>
      <c r="U489" s="119"/>
      <c r="V489" s="119"/>
      <c r="W489" s="119"/>
      <c r="X489" s="119"/>
      <c r="Y489" s="119"/>
      <c r="Z489" s="119"/>
      <c r="AA489" s="119"/>
    </row>
    <row r="490" spans="1:27" ht="15">
      <c r="A490" s="107">
        <f t="shared" si="69"/>
        <v>22</v>
      </c>
      <c r="B490" s="108" t="s">
        <v>1593</v>
      </c>
      <c r="C490" s="109" t="s">
        <v>1669</v>
      </c>
      <c r="D490" s="110">
        <v>46098</v>
      </c>
      <c r="E490" s="109" t="str">
        <f>VLOOKUP($C490,xe!$A:$B,2,0)</f>
        <v>50H-69501</v>
      </c>
      <c r="F490" s="111" t="str">
        <f>VLOOKUP($B490,ma!$A:$B,2,0)</f>
        <v>JOLIBEE</v>
      </c>
      <c r="G490" s="112" t="s">
        <v>1995</v>
      </c>
      <c r="H490" s="113" t="s">
        <v>1880</v>
      </c>
      <c r="I490" s="114"/>
      <c r="J490" s="109"/>
      <c r="K490" s="116">
        <v>1.8</v>
      </c>
      <c r="L490" s="134">
        <v>210000</v>
      </c>
      <c r="M490" s="114">
        <v>30000</v>
      </c>
      <c r="N490" s="118" t="s">
        <v>1423</v>
      </c>
      <c r="O490" s="118">
        <v>1</v>
      </c>
      <c r="P490" s="114">
        <f>VLOOKUP($B490,ma!$A:$C,3,0)</f>
        <v>900000</v>
      </c>
      <c r="Q490" s="132">
        <v>990000</v>
      </c>
      <c r="R490" s="149">
        <v>9.9999999999999895E-2</v>
      </c>
      <c r="S490" s="119"/>
      <c r="T490" s="119"/>
      <c r="U490" s="119"/>
      <c r="V490" s="119"/>
      <c r="W490" s="119"/>
      <c r="X490" s="119"/>
      <c r="Y490" s="119"/>
      <c r="Z490" s="119"/>
      <c r="AA490" s="119"/>
    </row>
    <row r="491" spans="1:27" ht="15">
      <c r="A491" s="107">
        <f t="shared" si="69"/>
        <v>23</v>
      </c>
      <c r="B491" s="108" t="s">
        <v>1593</v>
      </c>
      <c r="C491" s="109" t="s">
        <v>31</v>
      </c>
      <c r="D491" s="110">
        <v>46098</v>
      </c>
      <c r="E491" s="109" t="str">
        <f>VLOOKUP($C491,xe!$A:$B,2,0)</f>
        <v>50H-74619</v>
      </c>
      <c r="F491" s="111" t="str">
        <f>VLOOKUP($B491,ma!$A:$B,2,0)</f>
        <v>JOLIBEE</v>
      </c>
      <c r="G491" s="112" t="s">
        <v>1996</v>
      </c>
      <c r="H491" s="113" t="s">
        <v>1880</v>
      </c>
      <c r="I491" s="114"/>
      <c r="J491" s="109"/>
      <c r="K491" s="157">
        <v>1.6</v>
      </c>
      <c r="L491" s="134">
        <v>210000</v>
      </c>
      <c r="M491" s="114"/>
      <c r="N491" s="118"/>
      <c r="O491" s="118">
        <v>1</v>
      </c>
      <c r="P491" s="114">
        <f>VLOOKUP($B491,ma!$A:$C,3,0)</f>
        <v>900000</v>
      </c>
      <c r="Q491" s="132">
        <v>990000</v>
      </c>
      <c r="R491" s="149">
        <v>9.9999999999999895E-2</v>
      </c>
      <c r="S491" s="119"/>
      <c r="T491" s="119"/>
      <c r="U491" s="119"/>
      <c r="V491" s="119"/>
      <c r="W491" s="119"/>
      <c r="X491" s="119"/>
      <c r="Y491" s="119"/>
      <c r="Z491" s="119"/>
      <c r="AA491" s="119"/>
    </row>
    <row r="492" spans="1:27" ht="15">
      <c r="A492" s="107">
        <f t="shared" si="69"/>
        <v>24</v>
      </c>
      <c r="B492" s="108" t="s">
        <v>1593</v>
      </c>
      <c r="C492" s="109" t="s">
        <v>1546</v>
      </c>
      <c r="D492" s="110">
        <v>46098</v>
      </c>
      <c r="E492" s="109" t="str">
        <f>VLOOKUP($C492,xe!$A:$B,2,0)</f>
        <v>50H-54580</v>
      </c>
      <c r="F492" s="111" t="str">
        <f>VLOOKUP($B492,ma!$A:$B,2,0)</f>
        <v>JOLIBEE</v>
      </c>
      <c r="G492" s="112" t="s">
        <v>1997</v>
      </c>
      <c r="H492" s="113" t="s">
        <v>1880</v>
      </c>
      <c r="I492" s="114"/>
      <c r="J492" s="109"/>
      <c r="K492" s="116">
        <v>1.6</v>
      </c>
      <c r="L492" s="134">
        <v>160000</v>
      </c>
      <c r="M492" s="114"/>
      <c r="N492" s="118"/>
      <c r="O492" s="118">
        <v>1</v>
      </c>
      <c r="P492" s="114">
        <f>VLOOKUP($B492,ma!$A:$C,3,0)</f>
        <v>900000</v>
      </c>
      <c r="Q492" s="132">
        <v>990000</v>
      </c>
      <c r="R492" s="149">
        <v>9.9999999999999895E-2</v>
      </c>
      <c r="S492" s="119"/>
      <c r="T492" s="119"/>
      <c r="U492" s="119"/>
      <c r="V492" s="119"/>
      <c r="W492" s="119"/>
      <c r="X492" s="119"/>
      <c r="Y492" s="119"/>
      <c r="Z492" s="119"/>
      <c r="AA492" s="119"/>
    </row>
    <row r="493" spans="1:27" ht="15">
      <c r="A493" s="107">
        <f t="shared" si="69"/>
        <v>25</v>
      </c>
      <c r="B493" s="108" t="s">
        <v>1492</v>
      </c>
      <c r="C493" s="109" t="s">
        <v>8</v>
      </c>
      <c r="D493" s="110">
        <v>46098</v>
      </c>
      <c r="E493" s="109" t="str">
        <f>VLOOKUP($C493,xe!$A:$B,2,0)</f>
        <v>50H-64316</v>
      </c>
      <c r="F493" s="111" t="str">
        <f>VLOOKUP($B493,ma!$A:$B,2,0)</f>
        <v>BHX NHÀ BÈ</v>
      </c>
      <c r="G493" s="112" t="s">
        <v>1998</v>
      </c>
      <c r="H493" s="113" t="s">
        <v>1880</v>
      </c>
      <c r="I493" s="114"/>
      <c r="J493" s="115" t="s">
        <v>455</v>
      </c>
      <c r="K493" s="116">
        <v>2</v>
      </c>
      <c r="L493" s="134">
        <v>170000</v>
      </c>
      <c r="M493" s="114"/>
      <c r="N493" s="118"/>
      <c r="O493" s="118">
        <v>1</v>
      </c>
      <c r="P493" s="114">
        <f>VLOOKUP($B493,ma!$A:$C,3,0)</f>
        <v>400000</v>
      </c>
      <c r="Q493" s="132">
        <v>440000</v>
      </c>
      <c r="R493" s="149">
        <v>9.9999999999999895E-2</v>
      </c>
      <c r="S493" s="119"/>
      <c r="T493" s="119"/>
      <c r="U493" s="119"/>
      <c r="V493" s="119"/>
      <c r="W493" s="119"/>
      <c r="X493" s="119"/>
      <c r="Y493" s="119"/>
      <c r="Z493" s="119"/>
      <c r="AA493" s="119"/>
    </row>
    <row r="494" spans="1:27" ht="15">
      <c r="A494" s="107">
        <f t="shared" si="69"/>
        <v>26</v>
      </c>
      <c r="B494" s="108" t="s">
        <v>1492</v>
      </c>
      <c r="C494" s="109" t="s">
        <v>1657</v>
      </c>
      <c r="D494" s="110">
        <v>46098</v>
      </c>
      <c r="E494" s="109" t="str">
        <f>VLOOKUP($C494,xe!$A:$B,2,0)</f>
        <v>50H-64470</v>
      </c>
      <c r="F494" s="111" t="str">
        <f>VLOOKUP($B494,ma!$A:$B,2,0)</f>
        <v>BHX NHÀ BÈ</v>
      </c>
      <c r="G494" s="112" t="s">
        <v>1999</v>
      </c>
      <c r="H494" s="113" t="s">
        <v>1880</v>
      </c>
      <c r="I494" s="114"/>
      <c r="J494" s="109"/>
      <c r="K494" s="116">
        <v>1.8</v>
      </c>
      <c r="L494" s="134">
        <v>210000</v>
      </c>
      <c r="M494" s="114">
        <v>30000</v>
      </c>
      <c r="N494" s="118" t="s">
        <v>1423</v>
      </c>
      <c r="O494" s="118">
        <v>1</v>
      </c>
      <c r="P494" s="114">
        <f>VLOOKUP($B494,ma!$A:$C,3,0)</f>
        <v>400000</v>
      </c>
      <c r="Q494" s="132">
        <v>440000</v>
      </c>
      <c r="R494" s="149">
        <v>9.9999999999999895E-2</v>
      </c>
      <c r="S494" s="119"/>
      <c r="T494" s="119"/>
      <c r="U494" s="119"/>
      <c r="V494" s="119"/>
      <c r="W494" s="119"/>
      <c r="X494" s="119"/>
      <c r="Y494" s="119"/>
      <c r="Z494" s="119"/>
      <c r="AA494" s="119"/>
    </row>
    <row r="495" spans="1:27" ht="15">
      <c r="A495" s="107">
        <f t="shared" si="69"/>
        <v>27</v>
      </c>
      <c r="B495" s="108" t="s">
        <v>1492</v>
      </c>
      <c r="C495" s="109" t="s">
        <v>1493</v>
      </c>
      <c r="D495" s="110">
        <v>46098</v>
      </c>
      <c r="E495" s="109" t="str">
        <f>VLOOKUP($C495,xe!$A:$B,2,0)</f>
        <v>50H-55161</v>
      </c>
      <c r="F495" s="111" t="str">
        <f>VLOOKUP($B495,ma!$A:$B,2,0)</f>
        <v>BHX NHÀ BÈ</v>
      </c>
      <c r="G495" s="112" t="s">
        <v>2000</v>
      </c>
      <c r="H495" s="113" t="s">
        <v>1880</v>
      </c>
      <c r="I495" s="114"/>
      <c r="J495" s="109"/>
      <c r="K495" s="116">
        <v>1.8</v>
      </c>
      <c r="L495" s="117">
        <f t="shared" ref="L495:L496" si="73">K495*50000</f>
        <v>90000</v>
      </c>
      <c r="M495" s="114">
        <v>30000</v>
      </c>
      <c r="N495" s="118" t="s">
        <v>1423</v>
      </c>
      <c r="O495" s="118">
        <v>1</v>
      </c>
      <c r="P495" s="114">
        <f>VLOOKUP($B495,ma!$A:$C,3,0)</f>
        <v>400000</v>
      </c>
      <c r="Q495" s="132">
        <v>440000</v>
      </c>
      <c r="R495" s="149">
        <v>9.9999999999999895E-2</v>
      </c>
      <c r="S495" s="119"/>
      <c r="T495" s="119"/>
      <c r="U495" s="119"/>
      <c r="V495" s="119"/>
      <c r="W495" s="119"/>
      <c r="X495" s="119"/>
      <c r="Y495" s="119"/>
      <c r="Z495" s="119"/>
      <c r="AA495" s="119"/>
    </row>
    <row r="496" spans="1:27" ht="15">
      <c r="A496" s="107">
        <f t="shared" si="69"/>
        <v>28</v>
      </c>
      <c r="B496" s="108" t="s">
        <v>110</v>
      </c>
      <c r="C496" s="109" t="s">
        <v>1506</v>
      </c>
      <c r="D496" s="110">
        <v>46098</v>
      </c>
      <c r="E496" s="109" t="str">
        <f>VLOOKUP($C496,xe!$A:$B,2,0)</f>
        <v>50H-55443</v>
      </c>
      <c r="F496" s="111" t="str">
        <f>VLOOKUP($B496,ma!$A:$B,2,0)</f>
        <v>CALOFIC - UNI ( xe nhỏ )</v>
      </c>
      <c r="G496" s="112" t="s">
        <v>1405</v>
      </c>
      <c r="H496" s="113" t="s">
        <v>1880</v>
      </c>
      <c r="I496" s="114"/>
      <c r="J496" s="109"/>
      <c r="K496" s="116">
        <v>1.8</v>
      </c>
      <c r="L496" s="117">
        <f t="shared" si="73"/>
        <v>90000</v>
      </c>
      <c r="M496" s="114"/>
      <c r="N496" s="118"/>
      <c r="O496" s="118">
        <v>1</v>
      </c>
      <c r="P496" s="114">
        <f>VLOOKUP($B496,ma!$A:$C,3,0)</f>
        <v>300000</v>
      </c>
      <c r="Q496" s="114">
        <v>400000</v>
      </c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</row>
    <row r="497" spans="1:27" ht="15">
      <c r="A497" s="107">
        <f t="shared" si="69"/>
        <v>29</v>
      </c>
      <c r="B497" s="108" t="s">
        <v>1059</v>
      </c>
      <c r="C497" s="109" t="s">
        <v>27</v>
      </c>
      <c r="D497" s="110">
        <v>46098</v>
      </c>
      <c r="E497" s="109" t="str">
        <f>VLOOKUP($C497,xe!$A:$B,2,0)</f>
        <v>50H-55443</v>
      </c>
      <c r="F497" s="111" t="str">
        <f>VLOOKUP($B497,ma!$A:$B,2,0)</f>
        <v>BHX ( VL)</v>
      </c>
      <c r="G497" s="112" t="s">
        <v>2001</v>
      </c>
      <c r="H497" s="113" t="s">
        <v>1880</v>
      </c>
      <c r="I497" s="114"/>
      <c r="J497" s="115" t="s">
        <v>455</v>
      </c>
      <c r="K497" s="116">
        <v>2</v>
      </c>
      <c r="L497" s="134">
        <v>210000</v>
      </c>
      <c r="M497" s="114">
        <v>30000</v>
      </c>
      <c r="N497" s="118" t="s">
        <v>1423</v>
      </c>
      <c r="O497" s="118">
        <v>1</v>
      </c>
      <c r="P497" s="114">
        <f>VLOOKUP($B497,ma!$A:$C,3,0)</f>
        <v>800000</v>
      </c>
      <c r="Q497" s="132">
        <v>880000</v>
      </c>
      <c r="R497" s="149">
        <v>9.9999999999999895E-2</v>
      </c>
      <c r="S497" s="119"/>
      <c r="T497" s="119"/>
      <c r="U497" s="119"/>
      <c r="V497" s="119"/>
      <c r="W497" s="119"/>
      <c r="X497" s="119"/>
      <c r="Y497" s="119"/>
      <c r="Z497" s="119"/>
      <c r="AA497" s="119"/>
    </row>
    <row r="498" spans="1:27" ht="15">
      <c r="A498" s="107">
        <f t="shared" si="69"/>
        <v>30</v>
      </c>
      <c r="B498" s="108" t="s">
        <v>1059</v>
      </c>
      <c r="C498" s="109" t="s">
        <v>1500</v>
      </c>
      <c r="D498" s="110">
        <v>46098</v>
      </c>
      <c r="E498" s="109" t="str">
        <f>VLOOKUP($C498,xe!$A:$B,2,0)</f>
        <v>50H 87442</v>
      </c>
      <c r="F498" s="111" t="str">
        <f>VLOOKUP($B498,ma!$A:$B,2,0)</f>
        <v>BHX ( VL)</v>
      </c>
      <c r="G498" s="112" t="s">
        <v>2002</v>
      </c>
      <c r="H498" s="113" t="s">
        <v>1880</v>
      </c>
      <c r="I498" s="114"/>
      <c r="J498" s="115" t="s">
        <v>455</v>
      </c>
      <c r="K498" s="116">
        <v>2</v>
      </c>
      <c r="L498" s="134">
        <v>210000</v>
      </c>
      <c r="M498" s="114">
        <v>30000</v>
      </c>
      <c r="N498" s="118" t="s">
        <v>1423</v>
      </c>
      <c r="O498" s="118">
        <v>1</v>
      </c>
      <c r="P498" s="114">
        <f>VLOOKUP($B498,ma!$A:$C,3,0)</f>
        <v>800000</v>
      </c>
      <c r="Q498" s="132">
        <v>880000</v>
      </c>
      <c r="R498" s="149">
        <v>9.9999999999999895E-2</v>
      </c>
      <c r="S498" s="119"/>
      <c r="T498" s="119"/>
      <c r="U498" s="119"/>
      <c r="V498" s="119"/>
      <c r="W498" s="119"/>
      <c r="X498" s="119"/>
      <c r="Y498" s="119"/>
      <c r="Z498" s="119"/>
      <c r="AA498" s="119"/>
    </row>
    <row r="499" spans="1:27" ht="15">
      <c r="A499" s="107">
        <f t="shared" si="69"/>
        <v>31</v>
      </c>
      <c r="B499" s="108" t="s">
        <v>1061</v>
      </c>
      <c r="C499" s="109" t="s">
        <v>10</v>
      </c>
      <c r="D499" s="110">
        <v>46098</v>
      </c>
      <c r="E499" s="109" t="str">
        <f>VLOOKUP($C499,xe!$A:$B,2,0)</f>
        <v>50H-50999</v>
      </c>
      <c r="F499" s="111" t="str">
        <f>VLOOKUP($B499,ma!$A:$B,2,0)</f>
        <v>BHX ( TĐN)</v>
      </c>
      <c r="G499" s="112" t="s">
        <v>2003</v>
      </c>
      <c r="H499" s="113" t="s">
        <v>1880</v>
      </c>
      <c r="I499" s="114"/>
      <c r="J499" s="109"/>
      <c r="K499" s="116">
        <v>1.2</v>
      </c>
      <c r="L499" s="117">
        <f>K499*50000</f>
        <v>60000</v>
      </c>
      <c r="M499" s="114"/>
      <c r="N499" s="118"/>
      <c r="O499" s="118">
        <v>1</v>
      </c>
      <c r="P499" s="114">
        <f>VLOOKUP($B499,ma!$A:$C,3,0)</f>
        <v>800000</v>
      </c>
      <c r="Q499" s="132">
        <v>880000</v>
      </c>
      <c r="R499" s="149">
        <v>9.9999999999999895E-2</v>
      </c>
      <c r="S499" s="119"/>
      <c r="T499" s="119"/>
      <c r="U499" s="119"/>
      <c r="V499" s="119"/>
      <c r="W499" s="119"/>
      <c r="X499" s="119"/>
      <c r="Y499" s="119"/>
      <c r="Z499" s="119"/>
      <c r="AA499" s="119"/>
    </row>
    <row r="500" spans="1:27" ht="15">
      <c r="A500" s="107">
        <f t="shared" si="69"/>
        <v>32</v>
      </c>
      <c r="B500" s="108" t="s">
        <v>1061</v>
      </c>
      <c r="C500" s="109" t="s">
        <v>1655</v>
      </c>
      <c r="D500" s="110">
        <v>46098</v>
      </c>
      <c r="E500" s="109" t="str">
        <f>VLOOKUP($C500,xe!$A:$B,2,0)</f>
        <v>50H-70216</v>
      </c>
      <c r="F500" s="111" t="str">
        <f>VLOOKUP($B500,ma!$A:$B,2,0)</f>
        <v>BHX ( TĐN)</v>
      </c>
      <c r="G500" s="112" t="s">
        <v>2004</v>
      </c>
      <c r="H500" s="113" t="s">
        <v>1880</v>
      </c>
      <c r="I500" s="114">
        <v>10000</v>
      </c>
      <c r="J500" s="109"/>
      <c r="K500" s="116">
        <v>1.2</v>
      </c>
      <c r="L500" s="134">
        <v>140000</v>
      </c>
      <c r="M500" s="114"/>
      <c r="N500" s="118"/>
      <c r="O500" s="118">
        <v>1</v>
      </c>
      <c r="P500" s="114">
        <f>VLOOKUP($B500,ma!$A:$C,3,0)</f>
        <v>800000</v>
      </c>
      <c r="Q500" s="132">
        <v>880000</v>
      </c>
      <c r="R500" s="149">
        <v>9.9999999999999895E-2</v>
      </c>
      <c r="S500" s="119"/>
      <c r="T500" s="119"/>
      <c r="U500" s="119"/>
      <c r="V500" s="119"/>
      <c r="W500" s="119"/>
      <c r="X500" s="119"/>
      <c r="Y500" s="119"/>
      <c r="Z500" s="119"/>
      <c r="AA500" s="119"/>
    </row>
    <row r="501" spans="1:27" ht="15">
      <c r="A501" s="107">
        <f t="shared" si="69"/>
        <v>33</v>
      </c>
      <c r="B501" s="108" t="s">
        <v>295</v>
      </c>
      <c r="C501" s="109" t="s">
        <v>74</v>
      </c>
      <c r="D501" s="110">
        <v>46098</v>
      </c>
      <c r="E501" s="109" t="str">
        <f>VLOOKUP($C501,xe!$A:$B,2,0)</f>
        <v>50H-44024</v>
      </c>
      <c r="F501" s="111" t="str">
        <f>VLOOKUP($B501,ma!$A:$B,2,0)</f>
        <v>BIBICA MIỀN TÂY ( KBX )</v>
      </c>
      <c r="G501" s="112" t="s">
        <v>2005</v>
      </c>
      <c r="H501" s="113" t="s">
        <v>1512</v>
      </c>
      <c r="I501" s="114"/>
      <c r="J501" s="109"/>
      <c r="K501" s="116">
        <v>1.8</v>
      </c>
      <c r="L501" s="117"/>
      <c r="M501" s="114"/>
      <c r="N501" s="118"/>
      <c r="O501" s="118">
        <v>1</v>
      </c>
      <c r="P501" s="114">
        <f>VLOOKUP($B501,ma!$A:$C,3,0)</f>
        <v>900000</v>
      </c>
      <c r="Q501" s="132">
        <v>990000</v>
      </c>
      <c r="R501" s="149">
        <v>9.9999999999999895E-2</v>
      </c>
      <c r="S501" s="119"/>
      <c r="T501" s="119"/>
      <c r="U501" s="119"/>
      <c r="V501" s="119"/>
      <c r="W501" s="119"/>
      <c r="X501" s="119"/>
      <c r="Y501" s="119"/>
      <c r="Z501" s="119"/>
      <c r="AA501" s="119"/>
    </row>
    <row r="502" spans="1:27" ht="15">
      <c r="A502" s="107">
        <f t="shared" si="69"/>
        <v>34</v>
      </c>
      <c r="B502" s="108" t="s">
        <v>295</v>
      </c>
      <c r="C502" s="109" t="s">
        <v>1657</v>
      </c>
      <c r="D502" s="110">
        <v>46098</v>
      </c>
      <c r="E502" s="109" t="str">
        <f>VLOOKUP($C502,xe!$A:$B,2,0)</f>
        <v>50H-64470</v>
      </c>
      <c r="F502" s="111" t="str">
        <f>VLOOKUP($B502,ma!$A:$B,2,0)</f>
        <v>BIBICA MIỀN TÂY ( KBX )</v>
      </c>
      <c r="G502" s="112" t="s">
        <v>2006</v>
      </c>
      <c r="H502" s="113" t="s">
        <v>1512</v>
      </c>
      <c r="I502" s="114">
        <v>10000</v>
      </c>
      <c r="J502" s="109"/>
      <c r="K502" s="116">
        <v>1.8</v>
      </c>
      <c r="L502" s="117">
        <v>50000</v>
      </c>
      <c r="M502" s="114"/>
      <c r="N502" s="118"/>
      <c r="O502" s="118">
        <v>1</v>
      </c>
      <c r="P502" s="114">
        <f>VLOOKUP($B502,ma!$A:$C,3,0)</f>
        <v>900000</v>
      </c>
      <c r="Q502" s="132">
        <v>990000</v>
      </c>
      <c r="R502" s="149">
        <v>9.9999999999999895E-2</v>
      </c>
      <c r="S502" s="119"/>
      <c r="T502" s="119"/>
      <c r="U502" s="119"/>
      <c r="V502" s="119"/>
      <c r="W502" s="119"/>
      <c r="X502" s="119"/>
      <c r="Y502" s="119"/>
      <c r="Z502" s="119"/>
      <c r="AA502" s="119"/>
    </row>
    <row r="503" spans="1:27" ht="15">
      <c r="A503" s="107">
        <f t="shared" si="69"/>
        <v>35</v>
      </c>
      <c r="B503" s="108" t="s">
        <v>295</v>
      </c>
      <c r="C503" s="109" t="s">
        <v>21</v>
      </c>
      <c r="D503" s="110">
        <v>46098</v>
      </c>
      <c r="E503" s="109" t="str">
        <f>VLOOKUP($C503,xe!$A:$B,2,0)</f>
        <v>50H-66445</v>
      </c>
      <c r="F503" s="111" t="str">
        <f>VLOOKUP($B503,ma!$A:$B,2,0)</f>
        <v>BIBICA MIỀN TÂY ( KBX )</v>
      </c>
      <c r="G503" s="112" t="s">
        <v>2007</v>
      </c>
      <c r="H503" s="113" t="s">
        <v>1512</v>
      </c>
      <c r="I503" s="114"/>
      <c r="J503" s="109"/>
      <c r="K503" s="116">
        <v>1.8</v>
      </c>
      <c r="L503" s="117">
        <v>50000</v>
      </c>
      <c r="M503" s="114">
        <v>30000</v>
      </c>
      <c r="N503" s="118" t="s">
        <v>1423</v>
      </c>
      <c r="O503" s="118">
        <v>1</v>
      </c>
      <c r="P503" s="114">
        <f>VLOOKUP($B503,ma!$A:$C,3,0)</f>
        <v>900000</v>
      </c>
      <c r="Q503" s="132">
        <v>990000</v>
      </c>
      <c r="R503" s="149">
        <v>9.9999999999999895E-2</v>
      </c>
      <c r="S503" s="119"/>
      <c r="T503" s="119"/>
      <c r="U503" s="119"/>
      <c r="V503" s="119"/>
      <c r="W503" s="119"/>
      <c r="X503" s="119"/>
      <c r="Y503" s="119"/>
      <c r="Z503" s="119"/>
      <c r="AA503" s="119"/>
    </row>
    <row r="504" spans="1:27" ht="15">
      <c r="A504" s="107">
        <f t="shared" si="69"/>
        <v>36</v>
      </c>
      <c r="B504" s="108" t="s">
        <v>541</v>
      </c>
      <c r="C504" s="109" t="s">
        <v>1873</v>
      </c>
      <c r="D504" s="110">
        <v>46098</v>
      </c>
      <c r="E504" s="109" t="str">
        <f>VLOOKUP($C504,xe!$A:$B,2,0)</f>
        <v>50H-63174</v>
      </c>
      <c r="F504" s="111" t="str">
        <f>VLOOKUP($B504,ma!$A:$B,2,0)</f>
        <v>PHAN MINH VŨ XE NHỎ XÁ</v>
      </c>
      <c r="G504" s="112" t="s">
        <v>2008</v>
      </c>
      <c r="H504" s="113" t="s">
        <v>1880</v>
      </c>
      <c r="I504" s="114"/>
      <c r="J504" s="109"/>
      <c r="K504" s="116">
        <v>1</v>
      </c>
      <c r="L504" s="117">
        <f t="shared" ref="L504:L511" si="74">K504*50000</f>
        <v>50000</v>
      </c>
      <c r="M504" s="114">
        <v>30000</v>
      </c>
      <c r="N504" s="118" t="s">
        <v>1423</v>
      </c>
      <c r="O504" s="118">
        <v>1</v>
      </c>
      <c r="P504" s="114">
        <f>VLOOKUP($B504,ma!$A:$C,3,0)</f>
        <v>1500000</v>
      </c>
      <c r="Q504" s="132">
        <v>1650000</v>
      </c>
      <c r="R504" s="149">
        <v>9.9999999999999895E-2</v>
      </c>
      <c r="S504" s="119"/>
      <c r="T504" s="119"/>
      <c r="U504" s="119"/>
      <c r="V504" s="119"/>
      <c r="W504" s="119"/>
      <c r="X504" s="119"/>
      <c r="Y504" s="119"/>
      <c r="Z504" s="119"/>
      <c r="AA504" s="119"/>
    </row>
    <row r="505" spans="1:27" ht="15">
      <c r="A505" s="137">
        <v>1</v>
      </c>
      <c r="B505" s="138" t="s">
        <v>1452</v>
      </c>
      <c r="C505" s="139" t="s">
        <v>1522</v>
      </c>
      <c r="D505" s="140">
        <v>46099</v>
      </c>
      <c r="E505" s="139" t="str">
        <f>VLOOKUP($C505,xe!$A:$B,2,0)</f>
        <v>47H-02023</v>
      </c>
      <c r="F505" s="141" t="str">
        <f>VLOOKUP($B505,ma!$A:$B,2,0)</f>
        <v>E MART SALA</v>
      </c>
      <c r="G505" s="142" t="s">
        <v>2009</v>
      </c>
      <c r="H505" s="126" t="s">
        <v>1512</v>
      </c>
      <c r="I505" s="132"/>
      <c r="J505" s="115" t="s">
        <v>140</v>
      </c>
      <c r="K505" s="129">
        <v>2.2000000000000002</v>
      </c>
      <c r="L505" s="143">
        <f t="shared" si="74"/>
        <v>110000.00000000001</v>
      </c>
      <c r="M505" s="132"/>
      <c r="N505" s="144"/>
      <c r="O505" s="144">
        <v>1</v>
      </c>
      <c r="P505" s="132">
        <f>VLOOKUP($B505,ma!$A:$C,3,0)</f>
        <v>800000</v>
      </c>
      <c r="Q505" s="132">
        <v>880000</v>
      </c>
      <c r="R505" s="149">
        <v>9.9999999999999895E-2</v>
      </c>
      <c r="S505" s="156"/>
      <c r="T505" s="156"/>
      <c r="U505" s="156"/>
      <c r="V505" s="156"/>
      <c r="W505" s="156"/>
      <c r="X505" s="156"/>
      <c r="Y505" s="156"/>
      <c r="Z505" s="156"/>
      <c r="AA505" s="156"/>
    </row>
    <row r="506" spans="1:27" ht="15">
      <c r="A506" s="107">
        <f t="shared" ref="A506:A512" si="75">A505+1</f>
        <v>2</v>
      </c>
      <c r="B506" s="108" t="s">
        <v>2010</v>
      </c>
      <c r="C506" s="109" t="s">
        <v>1538</v>
      </c>
      <c r="D506" s="110">
        <v>46099</v>
      </c>
      <c r="E506" s="109" t="str">
        <f>VLOOKUP($C506,xe!$A:$B,2,0)</f>
        <v>62H-01887</v>
      </c>
      <c r="F506" s="111" t="str">
        <f>VLOOKUP($B506,ma!$A:$B,2,0)</f>
        <v>E MART GÒ VẤP</v>
      </c>
      <c r="G506" s="112" t="s">
        <v>2011</v>
      </c>
      <c r="H506" s="113" t="s">
        <v>1880</v>
      </c>
      <c r="I506" s="114"/>
      <c r="J506" s="115" t="s">
        <v>140</v>
      </c>
      <c r="K506" s="116">
        <v>1.6</v>
      </c>
      <c r="L506" s="117">
        <f t="shared" si="74"/>
        <v>80000</v>
      </c>
      <c r="M506" s="114"/>
      <c r="N506" s="118"/>
      <c r="O506" s="118">
        <v>1</v>
      </c>
      <c r="P506" s="114">
        <f>VLOOKUP($B506,ma!$A:$C,3,0)</f>
        <v>800000</v>
      </c>
      <c r="Q506" s="132">
        <v>880000</v>
      </c>
      <c r="R506" s="149">
        <v>9.9999999999999895E-2</v>
      </c>
      <c r="S506" s="119"/>
      <c r="T506" s="119"/>
      <c r="U506" s="119"/>
      <c r="V506" s="119"/>
      <c r="W506" s="119"/>
      <c r="X506" s="119"/>
      <c r="Y506" s="119"/>
      <c r="Z506" s="119"/>
      <c r="AA506" s="119"/>
    </row>
    <row r="507" spans="1:27" ht="15">
      <c r="A507" s="107">
        <f t="shared" si="75"/>
        <v>3</v>
      </c>
      <c r="B507" s="108" t="s">
        <v>2010</v>
      </c>
      <c r="C507" s="109" t="s">
        <v>58</v>
      </c>
      <c r="D507" s="110">
        <v>46099</v>
      </c>
      <c r="E507" s="109" t="str">
        <f>VLOOKUP($C507,xe!$A:$B,2,0)</f>
        <v>51C-81056</v>
      </c>
      <c r="F507" s="111" t="str">
        <f>VLOOKUP($B507,ma!$A:$B,2,0)</f>
        <v>E MART GÒ VẤP</v>
      </c>
      <c r="G507" s="112" t="s">
        <v>2012</v>
      </c>
      <c r="H507" s="113" t="s">
        <v>1880</v>
      </c>
      <c r="I507" s="114"/>
      <c r="J507" s="115" t="s">
        <v>140</v>
      </c>
      <c r="K507" s="116">
        <v>1.6</v>
      </c>
      <c r="L507" s="117">
        <f t="shared" si="74"/>
        <v>80000</v>
      </c>
      <c r="M507" s="114"/>
      <c r="N507" s="118"/>
      <c r="O507" s="118">
        <v>1</v>
      </c>
      <c r="P507" s="114">
        <f>VLOOKUP($B507,ma!$A:$C,3,0)</f>
        <v>800000</v>
      </c>
      <c r="Q507" s="132">
        <v>880000</v>
      </c>
      <c r="R507" s="149">
        <v>9.9999999999999895E-2</v>
      </c>
      <c r="S507" s="119"/>
      <c r="T507" s="119"/>
      <c r="U507" s="119"/>
      <c r="V507" s="119"/>
      <c r="W507" s="119"/>
      <c r="X507" s="119"/>
      <c r="Y507" s="119"/>
      <c r="Z507" s="119"/>
      <c r="AA507" s="119"/>
    </row>
    <row r="508" spans="1:27" ht="15">
      <c r="A508" s="107">
        <f t="shared" si="75"/>
        <v>4</v>
      </c>
      <c r="B508" s="108" t="s">
        <v>2010</v>
      </c>
      <c r="C508" s="109" t="s">
        <v>60</v>
      </c>
      <c r="D508" s="110">
        <v>46099</v>
      </c>
      <c r="E508" s="109" t="str">
        <f>VLOOKUP($C508,xe!$A:$B,2,0)</f>
        <v>50H-11822</v>
      </c>
      <c r="F508" s="111" t="str">
        <f>VLOOKUP($B508,ma!$A:$B,2,0)</f>
        <v>E MART GÒ VẤP</v>
      </c>
      <c r="G508" s="112" t="s">
        <v>2013</v>
      </c>
      <c r="H508" s="113" t="s">
        <v>1880</v>
      </c>
      <c r="I508" s="114"/>
      <c r="J508" s="115" t="s">
        <v>140</v>
      </c>
      <c r="K508" s="116">
        <v>1.6</v>
      </c>
      <c r="L508" s="117">
        <f t="shared" si="74"/>
        <v>80000</v>
      </c>
      <c r="M508" s="114"/>
      <c r="N508" s="118"/>
      <c r="O508" s="118">
        <v>1</v>
      </c>
      <c r="P508" s="114">
        <f>VLOOKUP($B508,ma!$A:$C,3,0)</f>
        <v>800000</v>
      </c>
      <c r="Q508" s="132">
        <v>880000</v>
      </c>
      <c r="R508" s="149">
        <v>9.9999999999999895E-2</v>
      </c>
      <c r="S508" s="119"/>
      <c r="T508" s="119"/>
      <c r="U508" s="119"/>
      <c r="V508" s="119"/>
      <c r="W508" s="119"/>
      <c r="X508" s="119"/>
      <c r="Y508" s="119"/>
      <c r="Z508" s="119"/>
      <c r="AA508" s="119"/>
    </row>
    <row r="509" spans="1:27" ht="15">
      <c r="A509" s="107">
        <f t="shared" si="75"/>
        <v>5</v>
      </c>
      <c r="B509" s="108" t="s">
        <v>1613</v>
      </c>
      <c r="C509" s="109" t="s">
        <v>66</v>
      </c>
      <c r="D509" s="110">
        <v>46099</v>
      </c>
      <c r="E509" s="109" t="str">
        <f>VLOOKUP($C509,xe!$A:$B,2,0)</f>
        <v>50H-92136</v>
      </c>
      <c r="F509" s="111" t="str">
        <f>VLOOKUP($B509,ma!$A:$B,2,0)</f>
        <v>LOTTE-GÒ VẤP</v>
      </c>
      <c r="G509" s="112" t="s">
        <v>2014</v>
      </c>
      <c r="H509" s="113" t="s">
        <v>1512</v>
      </c>
      <c r="I509" s="114"/>
      <c r="J509" s="115" t="s">
        <v>140</v>
      </c>
      <c r="K509" s="116">
        <v>1.4</v>
      </c>
      <c r="L509" s="117">
        <f t="shared" si="74"/>
        <v>70000</v>
      </c>
      <c r="M509" s="114"/>
      <c r="N509" s="118"/>
      <c r="O509" s="118">
        <v>1</v>
      </c>
      <c r="P509" s="114">
        <f>VLOOKUP($B509,ma!$A:$C,3,0)</f>
        <v>800000</v>
      </c>
      <c r="Q509" s="132">
        <v>880000</v>
      </c>
      <c r="R509" s="149">
        <v>9.9999999999999895E-2</v>
      </c>
      <c r="S509" s="119"/>
      <c r="T509" s="119"/>
      <c r="U509" s="119"/>
      <c r="V509" s="119"/>
      <c r="W509" s="119"/>
      <c r="X509" s="119"/>
      <c r="Y509" s="119"/>
      <c r="Z509" s="119"/>
      <c r="AA509" s="119"/>
    </row>
    <row r="510" spans="1:27" ht="15">
      <c r="A510" s="107">
        <f t="shared" si="75"/>
        <v>6</v>
      </c>
      <c r="B510" s="108" t="s">
        <v>1613</v>
      </c>
      <c r="C510" s="109" t="s">
        <v>68</v>
      </c>
      <c r="D510" s="110">
        <v>46099</v>
      </c>
      <c r="E510" s="109" t="str">
        <f>VLOOKUP($C510,xe!$A:$B,2,0)</f>
        <v>50H-55829</v>
      </c>
      <c r="F510" s="111" t="str">
        <f>VLOOKUP($B510,ma!$A:$B,2,0)</f>
        <v>LOTTE-GÒ VẤP</v>
      </c>
      <c r="G510" s="112" t="s">
        <v>2015</v>
      </c>
      <c r="H510" s="113" t="s">
        <v>1512</v>
      </c>
      <c r="I510" s="114"/>
      <c r="J510" s="115" t="s">
        <v>140</v>
      </c>
      <c r="K510" s="116">
        <v>1.4</v>
      </c>
      <c r="L510" s="117">
        <f t="shared" si="74"/>
        <v>70000</v>
      </c>
      <c r="M510" s="114"/>
      <c r="N510" s="118"/>
      <c r="O510" s="118">
        <v>1</v>
      </c>
      <c r="P510" s="114">
        <f>VLOOKUP($B510,ma!$A:$C,3,0)</f>
        <v>800000</v>
      </c>
      <c r="Q510" s="132">
        <v>880000</v>
      </c>
      <c r="R510" s="149">
        <v>9.9999999999999895E-2</v>
      </c>
      <c r="S510" s="119"/>
      <c r="T510" s="119"/>
      <c r="U510" s="119"/>
      <c r="V510" s="119"/>
      <c r="W510" s="119"/>
      <c r="X510" s="119"/>
      <c r="Y510" s="119"/>
      <c r="Z510" s="119"/>
      <c r="AA510" s="119"/>
    </row>
    <row r="511" spans="1:27" ht="15">
      <c r="A511" s="107">
        <f t="shared" si="75"/>
        <v>7</v>
      </c>
      <c r="B511" s="108" t="s">
        <v>1455</v>
      </c>
      <c r="C511" s="109" t="s">
        <v>64</v>
      </c>
      <c r="D511" s="110">
        <v>46099</v>
      </c>
      <c r="E511" s="109" t="str">
        <f>VLOOKUP($C511,xe!$A:$B,2,0)</f>
        <v>50H-60635</v>
      </c>
      <c r="F511" s="111" t="str">
        <f>VLOOKUP($B511,ma!$A:$B,2,0)</f>
        <v>BC GÒ VẤP</v>
      </c>
      <c r="G511" s="112" t="s">
        <v>2016</v>
      </c>
      <c r="H511" s="113" t="s">
        <v>1880</v>
      </c>
      <c r="I511" s="114"/>
      <c r="J511" s="147" t="s">
        <v>1457</v>
      </c>
      <c r="K511" s="116">
        <v>1.2</v>
      </c>
      <c r="L511" s="117">
        <f t="shared" si="74"/>
        <v>60000</v>
      </c>
      <c r="M511" s="114"/>
      <c r="N511" s="118"/>
      <c r="O511" s="118">
        <v>1</v>
      </c>
      <c r="P511" s="114">
        <f>VLOOKUP($B511,ma!$A:$C,3,0)</f>
        <v>800000</v>
      </c>
      <c r="Q511" s="132">
        <v>880000</v>
      </c>
      <c r="R511" s="149">
        <v>9.9999999999999895E-2</v>
      </c>
      <c r="S511" s="119"/>
      <c r="T511" s="119"/>
      <c r="U511" s="119"/>
      <c r="V511" s="119"/>
      <c r="W511" s="119"/>
      <c r="X511" s="119"/>
      <c r="Y511" s="119"/>
      <c r="Z511" s="119"/>
      <c r="AA511" s="119"/>
    </row>
    <row r="512" spans="1:27" ht="15">
      <c r="A512" s="107">
        <f t="shared" si="75"/>
        <v>8</v>
      </c>
      <c r="B512" s="108" t="s">
        <v>1455</v>
      </c>
      <c r="C512" s="109" t="s">
        <v>64</v>
      </c>
      <c r="D512" s="110">
        <v>46099</v>
      </c>
      <c r="E512" s="109" t="str">
        <f>VLOOKUP($C512,xe!$A:$B,2,0)</f>
        <v>50H-60635</v>
      </c>
      <c r="F512" s="111" t="str">
        <f>VLOOKUP($B512,ma!$A:$B,2,0)</f>
        <v>BC GÒ VẤP</v>
      </c>
      <c r="G512" s="112" t="s">
        <v>1671</v>
      </c>
      <c r="H512" s="113" t="s">
        <v>1671</v>
      </c>
      <c r="I512" s="114"/>
      <c r="J512" s="145" t="s">
        <v>1616</v>
      </c>
      <c r="K512" s="116"/>
      <c r="L512" s="117"/>
      <c r="M512" s="114"/>
      <c r="N512" s="118"/>
      <c r="O512" s="118">
        <v>1</v>
      </c>
      <c r="P512" s="114">
        <v>300000</v>
      </c>
      <c r="Q512" s="132">
        <v>300000</v>
      </c>
      <c r="R512" s="148"/>
      <c r="S512" s="119"/>
      <c r="T512" s="119"/>
      <c r="U512" s="119"/>
      <c r="V512" s="119"/>
      <c r="W512" s="119"/>
      <c r="X512" s="119"/>
      <c r="Y512" s="119"/>
      <c r="Z512" s="119"/>
      <c r="AA512" s="119"/>
    </row>
    <row r="513" spans="1:27" ht="15">
      <c r="A513" s="107">
        <f>A511+1</f>
        <v>8</v>
      </c>
      <c r="B513" s="108" t="s">
        <v>1458</v>
      </c>
      <c r="C513" s="109" t="s">
        <v>1524</v>
      </c>
      <c r="D513" s="110">
        <v>46099</v>
      </c>
      <c r="E513" s="109" t="str">
        <f>VLOOKUP($C513,xe!$A:$B,2,0)</f>
        <v>51D-38021</v>
      </c>
      <c r="F513" s="111" t="str">
        <f>VLOOKUP($B513,ma!$A:$B,2,0)</f>
        <v>PHẠM ANH HÓC MÔN</v>
      </c>
      <c r="G513" s="112" t="s">
        <v>2017</v>
      </c>
      <c r="H513" s="113" t="s">
        <v>1880</v>
      </c>
      <c r="I513" s="114"/>
      <c r="J513" s="147" t="s">
        <v>1457</v>
      </c>
      <c r="K513" s="116">
        <v>2</v>
      </c>
      <c r="L513" s="117">
        <f t="shared" ref="L513:L514" si="76">K513*50000</f>
        <v>100000</v>
      </c>
      <c r="M513" s="114"/>
      <c r="N513" s="118"/>
      <c r="O513" s="118">
        <v>1</v>
      </c>
      <c r="P513" s="114">
        <f>VLOOKUP($B513,ma!$A:$C,3,0)</f>
        <v>800000</v>
      </c>
      <c r="Q513" s="132">
        <v>880000</v>
      </c>
      <c r="R513" s="149">
        <v>9.9999999999999895E-2</v>
      </c>
      <c r="S513" s="119"/>
      <c r="T513" s="119"/>
      <c r="U513" s="119"/>
      <c r="V513" s="119"/>
      <c r="W513" s="119"/>
      <c r="X513" s="119"/>
      <c r="Y513" s="119"/>
      <c r="Z513" s="119"/>
      <c r="AA513" s="119"/>
    </row>
    <row r="514" spans="1:27" ht="15">
      <c r="A514" s="107">
        <f t="shared" ref="A514:A545" si="77">A513+1</f>
        <v>9</v>
      </c>
      <c r="B514" s="108" t="s">
        <v>1458</v>
      </c>
      <c r="C514" s="109" t="s">
        <v>1937</v>
      </c>
      <c r="D514" s="110">
        <v>46099</v>
      </c>
      <c r="E514" s="109" t="str">
        <f>VLOOKUP($C514,xe!$A:$B,2,0)</f>
        <v>50H-86564</v>
      </c>
      <c r="F514" s="111" t="str">
        <f>VLOOKUP($B514,ma!$A:$B,2,0)</f>
        <v>PHẠM ANH HÓC MÔN</v>
      </c>
      <c r="G514" s="112" t="s">
        <v>2018</v>
      </c>
      <c r="H514" s="113" t="s">
        <v>1512</v>
      </c>
      <c r="I514" s="114"/>
      <c r="J514" s="147" t="s">
        <v>1457</v>
      </c>
      <c r="K514" s="116">
        <v>2</v>
      </c>
      <c r="L514" s="117">
        <f t="shared" si="76"/>
        <v>100000</v>
      </c>
      <c r="M514" s="114"/>
      <c r="N514" s="118"/>
      <c r="O514" s="118">
        <v>1</v>
      </c>
      <c r="P514" s="114">
        <f>VLOOKUP($B514,ma!$A:$C,3,0)</f>
        <v>800000</v>
      </c>
      <c r="Q514" s="132">
        <v>880000</v>
      </c>
      <c r="R514" s="149">
        <v>9.9999999999999895E-2</v>
      </c>
      <c r="S514" s="119"/>
      <c r="T514" s="119"/>
      <c r="U514" s="119"/>
      <c r="V514" s="119"/>
      <c r="W514" s="119"/>
      <c r="X514" s="119"/>
      <c r="Y514" s="119"/>
      <c r="Z514" s="119"/>
      <c r="AA514" s="119"/>
    </row>
    <row r="515" spans="1:27" ht="15">
      <c r="A515" s="107">
        <f t="shared" si="77"/>
        <v>10</v>
      </c>
      <c r="B515" s="108" t="s">
        <v>1520</v>
      </c>
      <c r="C515" s="109" t="s">
        <v>78</v>
      </c>
      <c r="D515" s="110">
        <v>46099</v>
      </c>
      <c r="E515" s="133" t="str">
        <f>VLOOKUP($C515,xe!$A:$B,2,0)</f>
        <v>50E-565,21</v>
      </c>
      <c r="F515" s="111" t="str">
        <f>VLOOKUP($B515,ma!$A:$B,2,0)</f>
        <v>SEN VIỆT ( K BX )</v>
      </c>
      <c r="G515" s="112" t="s">
        <v>2019</v>
      </c>
      <c r="H515" s="113" t="s">
        <v>1880</v>
      </c>
      <c r="I515" s="114"/>
      <c r="J515" s="109"/>
      <c r="K515" s="116">
        <v>2</v>
      </c>
      <c r="L515" s="117"/>
      <c r="M515" s="114"/>
      <c r="N515" s="118"/>
      <c r="O515" s="118">
        <v>1</v>
      </c>
      <c r="P515" s="114">
        <f>VLOOKUP($B515,ma!$A:$C,3,0)</f>
        <v>800000</v>
      </c>
      <c r="Q515" s="132">
        <v>880000</v>
      </c>
      <c r="R515" s="149">
        <v>9.9999999999999895E-2</v>
      </c>
      <c r="S515" s="119"/>
      <c r="T515" s="119"/>
      <c r="U515" s="119"/>
      <c r="V515" s="119"/>
      <c r="W515" s="119"/>
      <c r="X515" s="119"/>
      <c r="Y515" s="119"/>
      <c r="Z515" s="119"/>
      <c r="AA515" s="119"/>
    </row>
    <row r="516" spans="1:27" ht="15">
      <c r="A516" s="107">
        <f t="shared" si="77"/>
        <v>11</v>
      </c>
      <c r="B516" s="108" t="s">
        <v>1474</v>
      </c>
      <c r="C516" s="109" t="s">
        <v>1669</v>
      </c>
      <c r="D516" s="110">
        <v>46099</v>
      </c>
      <c r="E516" s="109" t="str">
        <f>VLOOKUP($C516,xe!$A:$B,2,0)</f>
        <v>50H-69501</v>
      </c>
      <c r="F516" s="111" t="str">
        <f>VLOOKUP($B516,ma!$A:$B,2,0)</f>
        <v>NGUYỄN TRƯƠNG</v>
      </c>
      <c r="G516" s="112" t="s">
        <v>2020</v>
      </c>
      <c r="H516" s="113" t="s">
        <v>1880</v>
      </c>
      <c r="I516" s="114"/>
      <c r="J516" s="109"/>
      <c r="K516" s="116">
        <v>2.2000000000000002</v>
      </c>
      <c r="L516" s="117">
        <f t="shared" ref="L516:L518" si="78">K516*50000</f>
        <v>110000.00000000001</v>
      </c>
      <c r="M516" s="114"/>
      <c r="N516" s="118"/>
      <c r="O516" s="118">
        <v>1</v>
      </c>
      <c r="P516" s="114">
        <f>VLOOKUP($B516,ma!$A:$C,3,0)</f>
        <v>800000</v>
      </c>
      <c r="Q516" s="132">
        <v>880000</v>
      </c>
      <c r="R516" s="149">
        <v>9.9999999999999895E-2</v>
      </c>
      <c r="S516" s="119"/>
      <c r="T516" s="119"/>
      <c r="U516" s="119"/>
      <c r="V516" s="119"/>
      <c r="W516" s="119"/>
      <c r="X516" s="119"/>
      <c r="Y516" s="119"/>
      <c r="Z516" s="119"/>
      <c r="AA516" s="119"/>
    </row>
    <row r="517" spans="1:27" ht="15">
      <c r="A517" s="107">
        <f t="shared" si="77"/>
        <v>12</v>
      </c>
      <c r="B517" s="108" t="s">
        <v>1474</v>
      </c>
      <c r="C517" s="109" t="s">
        <v>31</v>
      </c>
      <c r="D517" s="110">
        <v>46099</v>
      </c>
      <c r="E517" s="109" t="str">
        <f>VLOOKUP($C517,xe!$A:$B,2,0)</f>
        <v>50H-74619</v>
      </c>
      <c r="F517" s="111" t="str">
        <f>VLOOKUP($B517,ma!$A:$B,2,0)</f>
        <v>NGUYỄN TRƯƠNG</v>
      </c>
      <c r="G517" s="112" t="s">
        <v>2021</v>
      </c>
      <c r="H517" s="113" t="s">
        <v>1880</v>
      </c>
      <c r="I517" s="114"/>
      <c r="J517" s="109"/>
      <c r="K517" s="116">
        <v>2.2000000000000002</v>
      </c>
      <c r="L517" s="117">
        <f t="shared" si="78"/>
        <v>110000.00000000001</v>
      </c>
      <c r="M517" s="114"/>
      <c r="N517" s="118"/>
      <c r="O517" s="118">
        <v>1</v>
      </c>
      <c r="P517" s="114">
        <f>VLOOKUP($B517,ma!$A:$C,3,0)</f>
        <v>800000</v>
      </c>
      <c r="Q517" s="132">
        <v>880000</v>
      </c>
      <c r="R517" s="149">
        <v>9.9999999999999895E-2</v>
      </c>
      <c r="S517" s="119"/>
      <c r="T517" s="119"/>
      <c r="U517" s="119"/>
      <c r="V517" s="119"/>
      <c r="W517" s="119"/>
      <c r="X517" s="119"/>
      <c r="Y517" s="119"/>
      <c r="Z517" s="119"/>
      <c r="AA517" s="119"/>
    </row>
    <row r="518" spans="1:27" ht="15">
      <c r="A518" s="107">
        <f t="shared" si="77"/>
        <v>13</v>
      </c>
      <c r="B518" s="108" t="s">
        <v>1646</v>
      </c>
      <c r="C518" s="109" t="s">
        <v>8</v>
      </c>
      <c r="D518" s="110">
        <v>46099</v>
      </c>
      <c r="E518" s="109" t="str">
        <f>VLOOKUP($C518,xe!$A:$B,2,0)</f>
        <v>50H-64316</v>
      </c>
      <c r="F518" s="111" t="str">
        <f>VLOOKUP($B518,ma!$A:$B,2,0)</f>
        <v>HUBCAKE</v>
      </c>
      <c r="G518" s="112" t="s">
        <v>2022</v>
      </c>
      <c r="H518" s="113" t="s">
        <v>1880</v>
      </c>
      <c r="I518" s="114"/>
      <c r="J518" s="109"/>
      <c r="K518" s="116">
        <v>1</v>
      </c>
      <c r="L518" s="117">
        <f t="shared" si="78"/>
        <v>50000</v>
      </c>
      <c r="M518" s="114">
        <v>30000</v>
      </c>
      <c r="N518" s="118" t="s">
        <v>1423</v>
      </c>
      <c r="O518" s="118">
        <v>1</v>
      </c>
      <c r="P518" s="114">
        <f>VLOOKUP($B518,ma!$A:$C,3,0)</f>
        <v>800000</v>
      </c>
      <c r="Q518" s="132">
        <v>880000</v>
      </c>
      <c r="R518" s="149">
        <v>9.9999999999999895E-2</v>
      </c>
      <c r="S518" s="119"/>
      <c r="T518" s="119"/>
      <c r="U518" s="119"/>
      <c r="V518" s="119"/>
      <c r="W518" s="119"/>
      <c r="X518" s="119"/>
      <c r="Y518" s="119"/>
      <c r="Z518" s="119"/>
      <c r="AA518" s="119"/>
    </row>
    <row r="519" spans="1:27" ht="15">
      <c r="A519" s="107">
        <f t="shared" si="77"/>
        <v>14</v>
      </c>
      <c r="B519" s="108" t="s">
        <v>1489</v>
      </c>
      <c r="C519" s="109" t="s">
        <v>19</v>
      </c>
      <c r="D519" s="110">
        <v>46099</v>
      </c>
      <c r="E519" s="109" t="str">
        <f>VLOOKUP($C519,xe!$A:$B,2,0)</f>
        <v>51H -88294</v>
      </c>
      <c r="F519" s="111" t="str">
        <f>VLOOKUP($B519,ma!$A:$B,2,0)</f>
        <v>XUÂN VÂN ( K BX )</v>
      </c>
      <c r="G519" s="112" t="s">
        <v>2023</v>
      </c>
      <c r="H519" s="113" t="s">
        <v>1880</v>
      </c>
      <c r="I519" s="114"/>
      <c r="J519" s="109"/>
      <c r="K519" s="116">
        <v>1</v>
      </c>
      <c r="L519" s="117">
        <v>50000</v>
      </c>
      <c r="M519" s="114"/>
      <c r="N519" s="118"/>
      <c r="O519" s="118">
        <v>1</v>
      </c>
      <c r="P519" s="114">
        <f>VLOOKUP($B519,ma!$A:$C,3,0)</f>
        <v>800000</v>
      </c>
      <c r="Q519" s="132">
        <v>880000</v>
      </c>
      <c r="R519" s="149">
        <v>9.9999999999999895E-2</v>
      </c>
      <c r="S519" s="119"/>
      <c r="T519" s="119"/>
      <c r="U519" s="119"/>
      <c r="V519" s="119"/>
      <c r="W519" s="119"/>
      <c r="X519" s="119"/>
      <c r="Y519" s="119"/>
      <c r="Z519" s="119"/>
      <c r="AA519" s="119"/>
    </row>
    <row r="520" spans="1:27" ht="15">
      <c r="A520" s="107">
        <f t="shared" si="77"/>
        <v>15</v>
      </c>
      <c r="B520" s="108" t="s">
        <v>1489</v>
      </c>
      <c r="C520" s="109" t="s">
        <v>1546</v>
      </c>
      <c r="D520" s="110">
        <v>46099</v>
      </c>
      <c r="E520" s="109" t="s">
        <v>5</v>
      </c>
      <c r="F520" s="111" t="str">
        <f>VLOOKUP($B520,ma!$A:$B,2,0)</f>
        <v>XUÂN VÂN ( K BX )</v>
      </c>
      <c r="G520" s="112" t="s">
        <v>2024</v>
      </c>
      <c r="H520" s="113" t="s">
        <v>1880</v>
      </c>
      <c r="I520" s="114"/>
      <c r="J520" s="109"/>
      <c r="K520" s="116">
        <v>2</v>
      </c>
      <c r="L520" s="117">
        <v>50000</v>
      </c>
      <c r="M520" s="114"/>
      <c r="N520" s="118"/>
      <c r="O520" s="118">
        <v>1</v>
      </c>
      <c r="P520" s="114">
        <f>VLOOKUP($B520,ma!$A:$C,3,0)</f>
        <v>800000</v>
      </c>
      <c r="Q520" s="132">
        <v>880000</v>
      </c>
      <c r="R520" s="149">
        <v>9.9999999999999895E-2</v>
      </c>
      <c r="S520" s="119"/>
      <c r="T520" s="119"/>
      <c r="U520" s="119"/>
      <c r="V520" s="119"/>
      <c r="W520" s="119"/>
      <c r="X520" s="119"/>
      <c r="Y520" s="119"/>
      <c r="Z520" s="119"/>
      <c r="AA520" s="119"/>
    </row>
    <row r="521" spans="1:27" ht="15">
      <c r="A521" s="107">
        <f t="shared" si="77"/>
        <v>16</v>
      </c>
      <c r="B521" s="108" t="s">
        <v>686</v>
      </c>
      <c r="C521" s="109" t="s">
        <v>1493</v>
      </c>
      <c r="D521" s="110">
        <v>46099</v>
      </c>
      <c r="E521" s="109" t="str">
        <f>VLOOKUP($C521,xe!$A:$B,2,0)</f>
        <v>50H-55161</v>
      </c>
      <c r="F521" s="111" t="str">
        <f>VLOOKUP($B521,ma!$A:$B,2,0)</f>
        <v>HOÁ DƯỢC QUỐC TẾ SG ( KBX )</v>
      </c>
      <c r="G521" s="112" t="s">
        <v>2025</v>
      </c>
      <c r="H521" s="113" t="s">
        <v>1880</v>
      </c>
      <c r="I521" s="114"/>
      <c r="J521" s="109"/>
      <c r="K521" s="116">
        <v>2.2000000000000002</v>
      </c>
      <c r="L521" s="117">
        <v>50000</v>
      </c>
      <c r="M521" s="114">
        <v>30000</v>
      </c>
      <c r="N521" s="118" t="s">
        <v>1423</v>
      </c>
      <c r="O521" s="118">
        <v>1</v>
      </c>
      <c r="P521" s="114">
        <f>VLOOKUP($B521,ma!$A:$C,3,0)</f>
        <v>800000</v>
      </c>
      <c r="Q521" s="132">
        <v>880000</v>
      </c>
      <c r="R521" s="149">
        <v>9.9999999999999895E-2</v>
      </c>
      <c r="S521" s="119"/>
      <c r="T521" s="119"/>
      <c r="U521" s="119"/>
      <c r="V521" s="119"/>
      <c r="W521" s="119"/>
      <c r="X521" s="119"/>
      <c r="Y521" s="119"/>
      <c r="Z521" s="119"/>
      <c r="AA521" s="119"/>
    </row>
    <row r="522" spans="1:27" ht="15">
      <c r="A522" s="107">
        <f t="shared" si="77"/>
        <v>17</v>
      </c>
      <c r="B522" s="108" t="s">
        <v>551</v>
      </c>
      <c r="C522" s="109" t="s">
        <v>27</v>
      </c>
      <c r="D522" s="110">
        <v>46099</v>
      </c>
      <c r="E522" s="109" t="str">
        <f>VLOOKUP($C522,xe!$A:$B,2,0)</f>
        <v>50H-55443</v>
      </c>
      <c r="F522" s="111" t="str">
        <f>VLOOKUP($B522,ma!$A:$B,2,0)</f>
        <v>LÊ GIA THỦ ĐỨC</v>
      </c>
      <c r="G522" s="112" t="s">
        <v>2026</v>
      </c>
      <c r="H522" s="113" t="s">
        <v>1880</v>
      </c>
      <c r="I522" s="114"/>
      <c r="J522" s="109"/>
      <c r="K522" s="116">
        <v>1.2</v>
      </c>
      <c r="L522" s="117">
        <f t="shared" ref="L522:L524" si="79">K522*50000</f>
        <v>60000</v>
      </c>
      <c r="M522" s="114"/>
      <c r="N522" s="118"/>
      <c r="O522" s="118">
        <v>1</v>
      </c>
      <c r="P522" s="114">
        <f>VLOOKUP($B522,ma!$A:$C,3,0)</f>
        <v>800000</v>
      </c>
      <c r="Q522" s="132">
        <v>880000</v>
      </c>
      <c r="R522" s="149">
        <v>9.9999999999999895E-2</v>
      </c>
      <c r="S522" s="119"/>
      <c r="T522" s="119"/>
      <c r="U522" s="119"/>
      <c r="V522" s="119"/>
      <c r="W522" s="119"/>
      <c r="X522" s="119"/>
      <c r="Y522" s="119"/>
      <c r="Z522" s="119"/>
      <c r="AA522" s="119"/>
    </row>
    <row r="523" spans="1:27" ht="15">
      <c r="A523" s="107">
        <f t="shared" si="77"/>
        <v>18</v>
      </c>
      <c r="B523" s="108" t="s">
        <v>384</v>
      </c>
      <c r="C523" s="109" t="s">
        <v>1404</v>
      </c>
      <c r="D523" s="110">
        <v>46099</v>
      </c>
      <c r="E523" s="109" t="str">
        <f>VLOOKUP($C523,xe!$A:$B,2,0)</f>
        <v>51C-81056</v>
      </c>
      <c r="F523" s="111" t="str">
        <f>VLOOKUP($B523,ma!$A:$B,2,0)</f>
        <v>ĐẠT NGỌC</v>
      </c>
      <c r="G523" s="112" t="s">
        <v>2027</v>
      </c>
      <c r="H523" s="113" t="s">
        <v>1880</v>
      </c>
      <c r="I523" s="114"/>
      <c r="J523" s="109"/>
      <c r="K523" s="116">
        <v>1.2</v>
      </c>
      <c r="L523" s="117">
        <f t="shared" si="79"/>
        <v>60000</v>
      </c>
      <c r="M523" s="114"/>
      <c r="N523" s="118"/>
      <c r="O523" s="118">
        <v>1</v>
      </c>
      <c r="P523" s="114">
        <f>VLOOKUP($B523,ma!$A:$C,3,0)</f>
        <v>800000</v>
      </c>
      <c r="Q523" s="132">
        <v>880000</v>
      </c>
      <c r="R523" s="149">
        <v>9.9999999999999895E-2</v>
      </c>
      <c r="S523" s="119"/>
      <c r="T523" s="119"/>
      <c r="U523" s="119"/>
      <c r="V523" s="119"/>
      <c r="W523" s="119"/>
      <c r="X523" s="119"/>
      <c r="Y523" s="119"/>
      <c r="Z523" s="119"/>
      <c r="AA523" s="119"/>
    </row>
    <row r="524" spans="1:27" ht="15">
      <c r="A524" s="107">
        <f t="shared" si="77"/>
        <v>19</v>
      </c>
      <c r="B524" s="108" t="s">
        <v>384</v>
      </c>
      <c r="C524" s="109" t="s">
        <v>10</v>
      </c>
      <c r="D524" s="110">
        <v>46099</v>
      </c>
      <c r="E524" s="109" t="str">
        <f>VLOOKUP($C524,xe!$A:$B,2,0)</f>
        <v>50H-50999</v>
      </c>
      <c r="F524" s="111" t="str">
        <f>VLOOKUP($B524,ma!$A:$B,2,0)</f>
        <v>ĐẠT NGỌC</v>
      </c>
      <c r="G524" s="112" t="s">
        <v>2028</v>
      </c>
      <c r="H524" s="113" t="s">
        <v>1880</v>
      </c>
      <c r="I524" s="114"/>
      <c r="J524" s="109"/>
      <c r="K524" s="116">
        <v>1.2</v>
      </c>
      <c r="L524" s="117">
        <f t="shared" si="79"/>
        <v>60000</v>
      </c>
      <c r="M524" s="114"/>
      <c r="N524" s="118"/>
      <c r="O524" s="118">
        <v>1</v>
      </c>
      <c r="P524" s="114">
        <f>VLOOKUP($B524,ma!$A:$C,3,0)</f>
        <v>800000</v>
      </c>
      <c r="Q524" s="132">
        <v>880000</v>
      </c>
      <c r="R524" s="149">
        <v>9.9999999999999895E-2</v>
      </c>
      <c r="S524" s="119"/>
      <c r="T524" s="119"/>
      <c r="U524" s="119"/>
      <c r="V524" s="119"/>
      <c r="W524" s="119"/>
      <c r="X524" s="119"/>
      <c r="Y524" s="119"/>
      <c r="Z524" s="119"/>
      <c r="AA524" s="119"/>
    </row>
    <row r="525" spans="1:27" ht="15">
      <c r="A525" s="107">
        <f t="shared" si="77"/>
        <v>20</v>
      </c>
      <c r="B525" s="108" t="s">
        <v>743</v>
      </c>
      <c r="C525" s="109" t="s">
        <v>1655</v>
      </c>
      <c r="D525" s="110">
        <v>46099</v>
      </c>
      <c r="E525" s="109" t="str">
        <f>VLOOKUP($C525,xe!$A:$B,2,0)</f>
        <v>50H-70216</v>
      </c>
      <c r="F525" s="111" t="str">
        <f>VLOOKUP($B525,ma!$A:$B,2,0)</f>
        <v>SONG HỒNG TÂN ( KBX )</v>
      </c>
      <c r="G525" s="112" t="s">
        <v>2029</v>
      </c>
      <c r="H525" s="113" t="s">
        <v>1880</v>
      </c>
      <c r="I525" s="114"/>
      <c r="J525" s="109"/>
      <c r="K525" s="116">
        <v>2.2000000000000002</v>
      </c>
      <c r="L525" s="117">
        <v>50000</v>
      </c>
      <c r="M525" s="114"/>
      <c r="N525" s="118"/>
      <c r="O525" s="118">
        <v>1</v>
      </c>
      <c r="P525" s="114">
        <f>VLOOKUP($B525,ma!$A:$C,3,0)</f>
        <v>900000</v>
      </c>
      <c r="Q525" s="132">
        <v>990000</v>
      </c>
      <c r="R525" s="149">
        <v>9.9999999999999895E-2</v>
      </c>
      <c r="S525" s="119"/>
      <c r="T525" s="119"/>
      <c r="U525" s="119"/>
      <c r="V525" s="119"/>
      <c r="W525" s="119"/>
      <c r="X525" s="119"/>
      <c r="Y525" s="119"/>
      <c r="Z525" s="119"/>
      <c r="AA525" s="119"/>
    </row>
    <row r="526" spans="1:27" ht="15">
      <c r="A526" s="107">
        <f t="shared" si="77"/>
        <v>21</v>
      </c>
      <c r="B526" s="108" t="s">
        <v>743</v>
      </c>
      <c r="C526" s="109" t="s">
        <v>19</v>
      </c>
      <c r="D526" s="110">
        <v>46099</v>
      </c>
      <c r="E526" s="109" t="str">
        <f>VLOOKUP($C526,xe!$A:$B,2,0)</f>
        <v>51H -88294</v>
      </c>
      <c r="F526" s="111" t="str">
        <f>VLOOKUP($B526,ma!$A:$B,2,0)</f>
        <v>SONG HỒNG TÂN ( KBX )</v>
      </c>
      <c r="G526" s="112" t="s">
        <v>2030</v>
      </c>
      <c r="H526" s="113" t="s">
        <v>1880</v>
      </c>
      <c r="I526" s="114"/>
      <c r="J526" s="109"/>
      <c r="K526" s="116">
        <v>2.2000000000000002</v>
      </c>
      <c r="L526" s="117">
        <v>50000</v>
      </c>
      <c r="M526" s="114"/>
      <c r="N526" s="118"/>
      <c r="O526" s="118">
        <v>1</v>
      </c>
      <c r="P526" s="114">
        <f>VLOOKUP($B526,ma!$A:$C,3,0)</f>
        <v>900000</v>
      </c>
      <c r="Q526" s="132">
        <v>990000</v>
      </c>
      <c r="R526" s="149">
        <v>9.9999999999999895E-2</v>
      </c>
      <c r="S526" s="119"/>
      <c r="T526" s="119"/>
      <c r="U526" s="119"/>
      <c r="V526" s="119"/>
      <c r="W526" s="119"/>
      <c r="X526" s="119"/>
      <c r="Y526" s="119"/>
      <c r="Z526" s="119"/>
      <c r="AA526" s="119"/>
    </row>
    <row r="527" spans="1:27" ht="15">
      <c r="A527" s="107">
        <f t="shared" si="77"/>
        <v>22</v>
      </c>
      <c r="B527" s="108" t="s">
        <v>743</v>
      </c>
      <c r="C527" s="109" t="s">
        <v>1500</v>
      </c>
      <c r="D527" s="110">
        <v>46099</v>
      </c>
      <c r="E527" s="109" t="str">
        <f>VLOOKUP($C527,xe!$A:$B,2,0)</f>
        <v>50H 87442</v>
      </c>
      <c r="F527" s="111" t="str">
        <f>VLOOKUP($B527,ma!$A:$B,2,0)</f>
        <v>SONG HỒNG TÂN ( KBX )</v>
      </c>
      <c r="G527" s="112" t="s">
        <v>2031</v>
      </c>
      <c r="H527" s="113" t="s">
        <v>1880</v>
      </c>
      <c r="I527" s="114"/>
      <c r="J527" s="109"/>
      <c r="K527" s="116">
        <v>2</v>
      </c>
      <c r="L527" s="117">
        <v>50000</v>
      </c>
      <c r="M527" s="114">
        <v>30000</v>
      </c>
      <c r="N527" s="118" t="s">
        <v>1423</v>
      </c>
      <c r="O527" s="118">
        <v>1</v>
      </c>
      <c r="P527" s="114">
        <f>VLOOKUP($B527,ma!$A:$C,3,0)</f>
        <v>900000</v>
      </c>
      <c r="Q527" s="132">
        <v>990000</v>
      </c>
      <c r="R527" s="149">
        <v>9.9999999999999895E-2</v>
      </c>
      <c r="S527" s="119"/>
      <c r="T527" s="119"/>
      <c r="U527" s="119"/>
      <c r="V527" s="119"/>
      <c r="W527" s="119"/>
      <c r="X527" s="119"/>
      <c r="Y527" s="119"/>
      <c r="Z527" s="119"/>
      <c r="AA527" s="119"/>
    </row>
    <row r="528" spans="1:27" ht="15">
      <c r="A528" s="107">
        <f t="shared" si="77"/>
        <v>23</v>
      </c>
      <c r="B528" s="108" t="s">
        <v>848</v>
      </c>
      <c r="C528" s="109" t="s">
        <v>21</v>
      </c>
      <c r="D528" s="110">
        <v>46099</v>
      </c>
      <c r="E528" s="109" t="str">
        <f>VLOOKUP($C528,xe!$A:$B,2,0)</f>
        <v>50H-66445</v>
      </c>
      <c r="F528" s="111" t="str">
        <f>VLOOKUP($B528,ma!$A:$B,2,0)</f>
        <v>VĂN HẬU Q8 ( K BX )</v>
      </c>
      <c r="G528" s="112" t="s">
        <v>1412</v>
      </c>
      <c r="H528" s="113" t="s">
        <v>1412</v>
      </c>
      <c r="I528" s="114"/>
      <c r="J528" s="109"/>
      <c r="K528" s="116">
        <v>2.2000000000000002</v>
      </c>
      <c r="L528" s="117">
        <v>50000</v>
      </c>
      <c r="M528" s="114"/>
      <c r="N528" s="118"/>
      <c r="O528" s="118">
        <v>1</v>
      </c>
      <c r="P528" s="114">
        <f>VLOOKUP($B528,ma!$A:$C,3,0)</f>
        <v>800000</v>
      </c>
      <c r="Q528" s="132">
        <v>880000</v>
      </c>
      <c r="R528" s="149">
        <v>9.9999999999999895E-2</v>
      </c>
      <c r="S528" s="119"/>
      <c r="T528" s="119"/>
      <c r="U528" s="119"/>
      <c r="V528" s="119"/>
      <c r="W528" s="119"/>
      <c r="X528" s="119"/>
      <c r="Y528" s="119"/>
      <c r="Z528" s="119"/>
      <c r="AA528" s="119"/>
    </row>
    <row r="529" spans="1:27" ht="15">
      <c r="A529" s="107">
        <f t="shared" si="77"/>
        <v>24</v>
      </c>
      <c r="B529" s="108" t="s">
        <v>289</v>
      </c>
      <c r="C529" s="109" t="s">
        <v>74</v>
      </c>
      <c r="D529" s="110">
        <v>46099</v>
      </c>
      <c r="E529" s="109" t="str">
        <f>VLOOKUP($C529,xe!$A:$B,2,0)</f>
        <v>50H-44024</v>
      </c>
      <c r="F529" s="111" t="str">
        <f>VLOOKUP($B529,ma!$A:$B,2,0)</f>
        <v>ANFOOD Q12 ( K BX )</v>
      </c>
      <c r="G529" s="112" t="s">
        <v>2032</v>
      </c>
      <c r="H529" s="113" t="s">
        <v>1880</v>
      </c>
      <c r="I529" s="114"/>
      <c r="J529" s="109"/>
      <c r="K529" s="116">
        <v>1.8</v>
      </c>
      <c r="L529" s="117"/>
      <c r="M529" s="114"/>
      <c r="N529" s="118"/>
      <c r="O529" s="118">
        <v>1</v>
      </c>
      <c r="P529" s="114">
        <f>VLOOKUP($B529,ma!$A:$C,3,0)</f>
        <v>800000</v>
      </c>
      <c r="Q529" s="132">
        <v>880000</v>
      </c>
      <c r="R529" s="149">
        <v>9.9999999999999895E-2</v>
      </c>
      <c r="S529" s="119"/>
      <c r="T529" s="119"/>
      <c r="U529" s="119"/>
      <c r="V529" s="119"/>
      <c r="W529" s="119"/>
      <c r="X529" s="119"/>
      <c r="Y529" s="119"/>
      <c r="Z529" s="119"/>
      <c r="AA529" s="119"/>
    </row>
    <row r="530" spans="1:27" ht="15">
      <c r="A530" s="107">
        <f t="shared" si="77"/>
        <v>25</v>
      </c>
      <c r="B530" s="108" t="s">
        <v>866</v>
      </c>
      <c r="C530" s="109" t="s">
        <v>1657</v>
      </c>
      <c r="D530" s="110">
        <v>46099</v>
      </c>
      <c r="E530" s="109" t="str">
        <f>VLOOKUP($C530,xe!$A:$B,2,0)</f>
        <v>50H-64470</v>
      </c>
      <c r="F530" s="111" t="str">
        <f>VLOOKUP($B530,ma!$A:$B,2,0)</f>
        <v>XUÂN VÂN ( K BX )</v>
      </c>
      <c r="G530" s="112" t="s">
        <v>2033</v>
      </c>
      <c r="H530" s="113" t="s">
        <v>2034</v>
      </c>
      <c r="I530" s="114"/>
      <c r="J530" s="115" t="s">
        <v>455</v>
      </c>
      <c r="K530" s="116">
        <v>2</v>
      </c>
      <c r="L530" s="117">
        <v>50000</v>
      </c>
      <c r="M530" s="114"/>
      <c r="N530" s="118"/>
      <c r="O530" s="118">
        <v>1</v>
      </c>
      <c r="P530" s="114">
        <f>VLOOKUP($B530,ma!$A:$C,3,0)</f>
        <v>800000</v>
      </c>
      <c r="Q530" s="132">
        <v>880000</v>
      </c>
      <c r="R530" s="149">
        <v>9.9999999999999895E-2</v>
      </c>
      <c r="S530" s="119"/>
      <c r="T530" s="119"/>
      <c r="U530" s="119"/>
      <c r="V530" s="119"/>
      <c r="W530" s="119"/>
      <c r="X530" s="119"/>
      <c r="Y530" s="119"/>
      <c r="Z530" s="119"/>
      <c r="AA530" s="119"/>
    </row>
    <row r="531" spans="1:27" ht="15">
      <c r="A531" s="107">
        <f t="shared" si="77"/>
        <v>26</v>
      </c>
      <c r="B531" s="108" t="s">
        <v>866</v>
      </c>
      <c r="C531" s="109" t="s">
        <v>1873</v>
      </c>
      <c r="D531" s="110">
        <v>46099</v>
      </c>
      <c r="E531" s="109" t="str">
        <f>VLOOKUP($C531,xe!$A:$B,2,0)</f>
        <v>50H-63174</v>
      </c>
      <c r="F531" s="111" t="str">
        <f>VLOOKUP($B531,ma!$A:$B,2,0)</f>
        <v>XUÂN VÂN ( K BX )</v>
      </c>
      <c r="G531" s="112" t="s">
        <v>2035</v>
      </c>
      <c r="H531" s="113" t="s">
        <v>1880</v>
      </c>
      <c r="I531" s="114"/>
      <c r="J531" s="109"/>
      <c r="K531" s="116">
        <v>2</v>
      </c>
      <c r="L531" s="117">
        <v>50000</v>
      </c>
      <c r="M531" s="114"/>
      <c r="N531" s="118"/>
      <c r="O531" s="118">
        <v>1</v>
      </c>
      <c r="P531" s="114">
        <f>VLOOKUP($B531,ma!$A:$C,3,0)</f>
        <v>800000</v>
      </c>
      <c r="Q531" s="132">
        <v>880000</v>
      </c>
      <c r="R531" s="149">
        <v>9.9999999999999895E-2</v>
      </c>
      <c r="S531" s="119"/>
      <c r="T531" s="119"/>
      <c r="U531" s="119"/>
      <c r="V531" s="119"/>
      <c r="W531" s="119"/>
      <c r="X531" s="119"/>
      <c r="Y531" s="119"/>
      <c r="Z531" s="119"/>
      <c r="AA531" s="119"/>
    </row>
    <row r="532" spans="1:27" ht="15">
      <c r="A532" s="107">
        <f t="shared" si="77"/>
        <v>27</v>
      </c>
      <c r="B532" s="108" t="s">
        <v>2036</v>
      </c>
      <c r="C532" s="109" t="s">
        <v>2037</v>
      </c>
      <c r="D532" s="110">
        <v>46099</v>
      </c>
      <c r="E532" s="133" t="str">
        <f>VLOOKUP($C532,xe!$A:$B,2,0)</f>
        <v>50E-565,21</v>
      </c>
      <c r="F532" s="111" t="str">
        <f>VLOOKUP($B532,ma!$A:$B,2,0)</f>
        <v>QUẬN 9</v>
      </c>
      <c r="G532" s="112" t="s">
        <v>2038</v>
      </c>
      <c r="H532" s="113" t="s">
        <v>1880</v>
      </c>
      <c r="I532" s="114"/>
      <c r="J532" s="109"/>
      <c r="K532" s="116">
        <v>1.2</v>
      </c>
      <c r="L532" s="117"/>
      <c r="M532" s="114"/>
      <c r="N532" s="118"/>
      <c r="O532" s="118">
        <v>1</v>
      </c>
      <c r="P532" s="114">
        <f>VLOOKUP($B532,ma!$A:$C,3,0)</f>
        <v>800000</v>
      </c>
      <c r="Q532" s="132">
        <v>880000</v>
      </c>
      <c r="R532" s="149">
        <v>9.9999999999999895E-2</v>
      </c>
      <c r="S532" s="119"/>
      <c r="T532" s="119"/>
      <c r="U532" s="119"/>
      <c r="V532" s="119"/>
      <c r="W532" s="119"/>
      <c r="X532" s="119"/>
      <c r="Y532" s="119"/>
      <c r="Z532" s="119"/>
      <c r="AA532" s="119"/>
    </row>
    <row r="533" spans="1:27" ht="15">
      <c r="A533" s="107">
        <f t="shared" si="77"/>
        <v>28</v>
      </c>
      <c r="B533" s="108" t="s">
        <v>515</v>
      </c>
      <c r="C533" s="109" t="s">
        <v>1546</v>
      </c>
      <c r="D533" s="110">
        <v>46099</v>
      </c>
      <c r="E533" s="109" t="s">
        <v>5</v>
      </c>
      <c r="F533" s="111" t="str">
        <f>VLOOKUP($B533,ma!$A:$B,2,0)</f>
        <v>PHONG VÂN ( K BX )</v>
      </c>
      <c r="G533" s="112" t="s">
        <v>2039</v>
      </c>
      <c r="H533" s="113" t="s">
        <v>1880</v>
      </c>
      <c r="I533" s="114"/>
      <c r="J533" s="109"/>
      <c r="K533" s="116">
        <v>1.2</v>
      </c>
      <c r="L533" s="117">
        <v>50000</v>
      </c>
      <c r="M533" s="114">
        <v>30000</v>
      </c>
      <c r="N533" s="118" t="s">
        <v>1423</v>
      </c>
      <c r="O533" s="118">
        <v>1</v>
      </c>
      <c r="P533" s="114">
        <f>VLOOKUP($B533,ma!$A:$C,3,0)</f>
        <v>800000</v>
      </c>
      <c r="Q533" s="132">
        <v>880000</v>
      </c>
      <c r="R533" s="149">
        <v>9.9999999999999895E-2</v>
      </c>
      <c r="S533" s="119"/>
      <c r="T533" s="119"/>
      <c r="U533" s="119"/>
      <c r="V533" s="119"/>
      <c r="W533" s="119"/>
      <c r="X533" s="119"/>
      <c r="Y533" s="119"/>
      <c r="Z533" s="119"/>
      <c r="AA533" s="119"/>
    </row>
    <row r="534" spans="1:27" ht="15">
      <c r="A534" s="107">
        <f t="shared" si="77"/>
        <v>29</v>
      </c>
      <c r="B534" s="108" t="s">
        <v>515</v>
      </c>
      <c r="C534" s="109" t="s">
        <v>31</v>
      </c>
      <c r="D534" s="110">
        <v>46099</v>
      </c>
      <c r="E534" s="109" t="str">
        <f>VLOOKUP($C534,xe!$A:$B,2,0)</f>
        <v>50H-74619</v>
      </c>
      <c r="F534" s="111" t="str">
        <f>VLOOKUP($B534,ma!$A:$B,2,0)</f>
        <v>PHONG VÂN ( K BX )</v>
      </c>
      <c r="G534" s="112" t="s">
        <v>2040</v>
      </c>
      <c r="H534" s="113" t="s">
        <v>1512</v>
      </c>
      <c r="I534" s="114"/>
      <c r="J534" s="109"/>
      <c r="K534" s="116">
        <v>1.6</v>
      </c>
      <c r="L534" s="117">
        <v>50000</v>
      </c>
      <c r="M534" s="114"/>
      <c r="N534" s="118"/>
      <c r="O534" s="118">
        <v>1</v>
      </c>
      <c r="P534" s="114">
        <f>VLOOKUP($B534,ma!$A:$C,3,0)</f>
        <v>800000</v>
      </c>
      <c r="Q534" s="132">
        <v>880000</v>
      </c>
      <c r="R534" s="149">
        <v>9.9999999999999895E-2</v>
      </c>
      <c r="S534" s="119"/>
      <c r="T534" s="119"/>
      <c r="U534" s="119"/>
      <c r="V534" s="119"/>
      <c r="W534" s="119"/>
      <c r="X534" s="119"/>
      <c r="Y534" s="119"/>
      <c r="Z534" s="119"/>
      <c r="AA534" s="119"/>
    </row>
    <row r="535" spans="1:27" ht="15">
      <c r="A535" s="107">
        <f t="shared" si="77"/>
        <v>30</v>
      </c>
      <c r="B535" s="108" t="s">
        <v>573</v>
      </c>
      <c r="C535" s="109" t="s">
        <v>1669</v>
      </c>
      <c r="D535" s="110">
        <v>46099</v>
      </c>
      <c r="E535" s="109" t="str">
        <f>VLOOKUP($C535,xe!$A:$B,2,0)</f>
        <v>50H-69501</v>
      </c>
      <c r="F535" s="111" t="str">
        <f>VLOOKUP($B535,ma!$A:$B,2,0)</f>
        <v>LIÊN NGUYỄN B.CHÁNH</v>
      </c>
      <c r="G535" s="112" t="s">
        <v>2041</v>
      </c>
      <c r="H535" s="113" t="s">
        <v>1512</v>
      </c>
      <c r="I535" s="114"/>
      <c r="J535" s="109"/>
      <c r="K535" s="116">
        <v>1.8</v>
      </c>
      <c r="L535" s="134">
        <v>200000</v>
      </c>
      <c r="M535" s="114">
        <v>30000</v>
      </c>
      <c r="N535" s="118" t="s">
        <v>1423</v>
      </c>
      <c r="O535" s="118">
        <v>1</v>
      </c>
      <c r="P535" s="114">
        <f>VLOOKUP($B535,ma!$A:$C,3,0)</f>
        <v>800000</v>
      </c>
      <c r="Q535" s="132">
        <v>880000</v>
      </c>
      <c r="R535" s="149">
        <v>9.9999999999999895E-2</v>
      </c>
      <c r="S535" s="119"/>
      <c r="T535" s="119"/>
      <c r="U535" s="119"/>
      <c r="V535" s="119"/>
      <c r="W535" s="119"/>
      <c r="X535" s="119"/>
      <c r="Y535" s="119"/>
      <c r="Z535" s="119"/>
      <c r="AA535" s="119"/>
    </row>
    <row r="536" spans="1:27" ht="15">
      <c r="A536" s="107">
        <f t="shared" si="77"/>
        <v>31</v>
      </c>
      <c r="B536" s="108" t="s">
        <v>573</v>
      </c>
      <c r="C536" s="109" t="s">
        <v>1657</v>
      </c>
      <c r="D536" s="110">
        <v>46099</v>
      </c>
      <c r="E536" s="109" t="str">
        <f>VLOOKUP($C536,xe!$A:$B,2,0)</f>
        <v>50H-64470</v>
      </c>
      <c r="F536" s="111" t="str">
        <f>VLOOKUP($B536,ma!$A:$B,2,0)</f>
        <v>LIÊN NGUYỄN B.CHÁNH</v>
      </c>
      <c r="G536" s="112" t="s">
        <v>2042</v>
      </c>
      <c r="H536" s="113" t="s">
        <v>1512</v>
      </c>
      <c r="I536" s="114"/>
      <c r="J536" s="109"/>
      <c r="K536" s="116">
        <v>1.8</v>
      </c>
      <c r="L536" s="134">
        <v>210000</v>
      </c>
      <c r="M536" s="114">
        <v>30000</v>
      </c>
      <c r="N536" s="118" t="s">
        <v>1423</v>
      </c>
      <c r="O536" s="118">
        <v>1</v>
      </c>
      <c r="P536" s="114">
        <f>VLOOKUP($B536,ma!$A:$C,3,0)</f>
        <v>800000</v>
      </c>
      <c r="Q536" s="132">
        <v>880000</v>
      </c>
      <c r="R536" s="149">
        <v>9.9999999999999895E-2</v>
      </c>
      <c r="S536" s="119"/>
      <c r="T536" s="119"/>
      <c r="U536" s="119"/>
      <c r="V536" s="119"/>
      <c r="W536" s="119"/>
      <c r="X536" s="119"/>
      <c r="Y536" s="119"/>
      <c r="Z536" s="119"/>
      <c r="AA536" s="119"/>
    </row>
    <row r="537" spans="1:27" ht="15">
      <c r="A537" s="107">
        <f t="shared" si="77"/>
        <v>32</v>
      </c>
      <c r="B537" s="108" t="s">
        <v>573</v>
      </c>
      <c r="C537" s="109" t="s">
        <v>21</v>
      </c>
      <c r="D537" s="110">
        <v>46099</v>
      </c>
      <c r="E537" s="109" t="str">
        <f>VLOOKUP($C537,xe!$A:$B,2,0)</f>
        <v>50H-66445</v>
      </c>
      <c r="F537" s="111" t="str">
        <f>VLOOKUP($B537,ma!$A:$B,2,0)</f>
        <v>LIÊN NGUYỄN B.CHÁNH</v>
      </c>
      <c r="G537" s="112" t="s">
        <v>2043</v>
      </c>
      <c r="H537" s="113" t="s">
        <v>1512</v>
      </c>
      <c r="I537" s="114"/>
      <c r="J537" s="109"/>
      <c r="K537" s="116">
        <v>1.6</v>
      </c>
      <c r="L537" s="134">
        <v>170000</v>
      </c>
      <c r="M537" s="114"/>
      <c r="N537" s="118"/>
      <c r="O537" s="118">
        <v>1</v>
      </c>
      <c r="P537" s="114">
        <f>VLOOKUP($B537,ma!$A:$C,3,0)</f>
        <v>800000</v>
      </c>
      <c r="Q537" s="132">
        <v>880000</v>
      </c>
      <c r="R537" s="149">
        <v>9.9999999999999895E-2</v>
      </c>
      <c r="S537" s="119"/>
      <c r="T537" s="119"/>
      <c r="U537" s="119"/>
      <c r="V537" s="119"/>
      <c r="W537" s="119"/>
      <c r="X537" s="119"/>
      <c r="Y537" s="119"/>
      <c r="Z537" s="119"/>
      <c r="AA537" s="119"/>
    </row>
    <row r="538" spans="1:27" ht="15">
      <c r="A538" s="107">
        <f t="shared" si="77"/>
        <v>33</v>
      </c>
      <c r="B538" s="108" t="s">
        <v>1005</v>
      </c>
      <c r="C538" s="109" t="s">
        <v>27</v>
      </c>
      <c r="D538" s="110">
        <v>46099</v>
      </c>
      <c r="E538" s="109" t="str">
        <f>VLOOKUP($C538,xe!$A:$B,2,0)</f>
        <v>50H-55443</v>
      </c>
      <c r="F538" s="111" t="str">
        <f>VLOOKUP($B538,ma!$A:$B,2,0)</f>
        <v>BIG C AN LAC</v>
      </c>
      <c r="G538" s="112" t="s">
        <v>2044</v>
      </c>
      <c r="H538" s="113" t="s">
        <v>1880</v>
      </c>
      <c r="I538" s="114"/>
      <c r="J538" s="109"/>
      <c r="K538" s="116">
        <v>1.8</v>
      </c>
      <c r="L538" s="117">
        <f t="shared" ref="L538:L540" si="80">K538*50000</f>
        <v>90000</v>
      </c>
      <c r="M538" s="114">
        <v>30000</v>
      </c>
      <c r="N538" s="118" t="s">
        <v>1423</v>
      </c>
      <c r="O538" s="118">
        <v>1</v>
      </c>
      <c r="P538" s="114">
        <f>VLOOKUP($B538,ma!$A:$C,3,0)</f>
        <v>800000</v>
      </c>
      <c r="Q538" s="132">
        <v>880000</v>
      </c>
      <c r="R538" s="149">
        <v>9.9999999999999895E-2</v>
      </c>
      <c r="S538" s="119"/>
      <c r="T538" s="119"/>
      <c r="U538" s="119"/>
      <c r="V538" s="119"/>
      <c r="W538" s="119"/>
      <c r="X538" s="119"/>
      <c r="Y538" s="119"/>
      <c r="Z538" s="119"/>
      <c r="AA538" s="119"/>
    </row>
    <row r="539" spans="1:27" ht="15">
      <c r="A539" s="107">
        <f t="shared" si="77"/>
        <v>34</v>
      </c>
      <c r="B539" s="108" t="s">
        <v>1023</v>
      </c>
      <c r="C539" s="109" t="s">
        <v>8</v>
      </c>
      <c r="D539" s="110">
        <v>46099</v>
      </c>
      <c r="E539" s="109" t="str">
        <f>VLOOKUP($C539,xe!$A:$B,2,0)</f>
        <v>50H-64316</v>
      </c>
      <c r="F539" s="111" t="str">
        <f>VLOOKUP($B539,ma!$A:$B,2,0)</f>
        <v>BC NEW CTY</v>
      </c>
      <c r="G539" s="112" t="s">
        <v>2045</v>
      </c>
      <c r="H539" s="113" t="s">
        <v>1512</v>
      </c>
      <c r="I539" s="114"/>
      <c r="J539" s="109"/>
      <c r="K539" s="116">
        <v>1.6</v>
      </c>
      <c r="L539" s="117">
        <f t="shared" si="80"/>
        <v>80000</v>
      </c>
      <c r="M539" s="114"/>
      <c r="N539" s="118"/>
      <c r="O539" s="118">
        <v>1</v>
      </c>
      <c r="P539" s="114">
        <f>VLOOKUP($B539,ma!$A:$C,3,0)</f>
        <v>800000</v>
      </c>
      <c r="Q539" s="132">
        <v>880000</v>
      </c>
      <c r="R539" s="149">
        <v>9.9999999999999895E-2</v>
      </c>
      <c r="S539" s="119"/>
      <c r="T539" s="119"/>
      <c r="U539" s="119"/>
      <c r="V539" s="119"/>
      <c r="W539" s="119"/>
      <c r="X539" s="119"/>
      <c r="Y539" s="119"/>
      <c r="Z539" s="119"/>
      <c r="AA539" s="119"/>
    </row>
    <row r="540" spans="1:27" ht="15">
      <c r="A540" s="107">
        <f t="shared" si="77"/>
        <v>35</v>
      </c>
      <c r="B540" s="108" t="s">
        <v>1023</v>
      </c>
      <c r="C540" s="109" t="s">
        <v>12</v>
      </c>
      <c r="D540" s="110">
        <v>46099</v>
      </c>
      <c r="E540" s="109" t="str">
        <f>VLOOKUP($C540,xe!$A:$B,2,0)</f>
        <v>50H-63174</v>
      </c>
      <c r="F540" s="111" t="str">
        <f>VLOOKUP($B540,ma!$A:$B,2,0)</f>
        <v>BC NEW CTY</v>
      </c>
      <c r="G540" s="112" t="s">
        <v>2046</v>
      </c>
      <c r="H540" s="113" t="s">
        <v>1512</v>
      </c>
      <c r="I540" s="114"/>
      <c r="J540" s="109"/>
      <c r="K540" s="116">
        <v>1.4</v>
      </c>
      <c r="L540" s="117">
        <f t="shared" si="80"/>
        <v>70000</v>
      </c>
      <c r="M540" s="114">
        <v>30000</v>
      </c>
      <c r="N540" s="118" t="s">
        <v>1423</v>
      </c>
      <c r="O540" s="118">
        <v>1</v>
      </c>
      <c r="P540" s="114">
        <f>VLOOKUP($B540,ma!$A:$C,3,0)</f>
        <v>800000</v>
      </c>
      <c r="Q540" s="132">
        <v>880000</v>
      </c>
      <c r="R540" s="149">
        <v>9.9999999999999895E-2</v>
      </c>
      <c r="S540" s="119"/>
      <c r="T540" s="119"/>
      <c r="U540" s="119"/>
      <c r="V540" s="119"/>
      <c r="W540" s="119"/>
      <c r="X540" s="119"/>
      <c r="Y540" s="119"/>
      <c r="Z540" s="119"/>
      <c r="AA540" s="119"/>
    </row>
    <row r="541" spans="1:27" ht="15">
      <c r="A541" s="107">
        <f t="shared" si="77"/>
        <v>36</v>
      </c>
      <c r="B541" s="108" t="s">
        <v>1449</v>
      </c>
      <c r="C541" s="109" t="s">
        <v>1546</v>
      </c>
      <c r="D541" s="110">
        <v>46099</v>
      </c>
      <c r="E541" s="109" t="s">
        <v>5</v>
      </c>
      <c r="F541" s="111" t="str">
        <f>VLOOKUP($B541,ma!$A:$B,2,0)</f>
        <v>BHX NHÀ BÈ</v>
      </c>
      <c r="G541" s="112" t="s">
        <v>2047</v>
      </c>
      <c r="H541" s="113" t="s">
        <v>1880</v>
      </c>
      <c r="I541" s="114"/>
      <c r="J541" s="109"/>
      <c r="K541" s="116">
        <v>1.8</v>
      </c>
      <c r="L541" s="134">
        <v>190000</v>
      </c>
      <c r="M541" s="114"/>
      <c r="N541" s="118"/>
      <c r="O541" s="118">
        <v>1</v>
      </c>
      <c r="P541" s="114">
        <f>VLOOKUP($B541,ma!$A:$C,3,0)</f>
        <v>400000</v>
      </c>
      <c r="Q541" s="132">
        <v>440000</v>
      </c>
      <c r="R541" s="149">
        <v>9.9999999999999895E-2</v>
      </c>
      <c r="S541" s="119"/>
      <c r="T541" s="119"/>
      <c r="U541" s="119"/>
      <c r="V541" s="119"/>
      <c r="W541" s="119"/>
      <c r="X541" s="119"/>
      <c r="Y541" s="119"/>
      <c r="Z541" s="119"/>
      <c r="AA541" s="119"/>
    </row>
    <row r="542" spans="1:27" ht="15">
      <c r="A542" s="107">
        <f t="shared" si="77"/>
        <v>37</v>
      </c>
      <c r="B542" s="108" t="s">
        <v>1449</v>
      </c>
      <c r="C542" s="109" t="s">
        <v>32</v>
      </c>
      <c r="D542" s="110">
        <v>46099</v>
      </c>
      <c r="E542" s="109" t="s">
        <v>26</v>
      </c>
      <c r="F542" s="111" t="str">
        <f>VLOOKUP($B542,ma!$A:$B,2,0)</f>
        <v>BHX NHÀ BÈ</v>
      </c>
      <c r="G542" s="112" t="s">
        <v>2048</v>
      </c>
      <c r="H542" s="113" t="s">
        <v>1880</v>
      </c>
      <c r="I542" s="114"/>
      <c r="J542" s="109"/>
      <c r="K542" s="116">
        <v>1.8</v>
      </c>
      <c r="L542" s="134">
        <v>210000</v>
      </c>
      <c r="M542" s="114"/>
      <c r="N542" s="118"/>
      <c r="O542" s="118">
        <v>1</v>
      </c>
      <c r="P542" s="114">
        <f>VLOOKUP($B542,ma!$A:$C,3,0)</f>
        <v>400000</v>
      </c>
      <c r="Q542" s="132">
        <v>440000</v>
      </c>
      <c r="R542" s="149">
        <v>9.9999999999999895E-2</v>
      </c>
      <c r="S542" s="119"/>
      <c r="T542" s="119"/>
      <c r="U542" s="119"/>
      <c r="V542" s="119"/>
      <c r="W542" s="119"/>
      <c r="X542" s="119"/>
      <c r="Y542" s="119"/>
      <c r="Z542" s="119"/>
      <c r="AA542" s="119"/>
    </row>
    <row r="543" spans="1:27" ht="15">
      <c r="A543" s="107">
        <f t="shared" si="77"/>
        <v>38</v>
      </c>
      <c r="B543" s="108" t="s">
        <v>878</v>
      </c>
      <c r="C543" s="109" t="s">
        <v>74</v>
      </c>
      <c r="D543" s="110">
        <v>46099</v>
      </c>
      <c r="E543" s="109" t="str">
        <f>VLOOKUP($C543,xe!$A:$B,2,0)</f>
        <v>50H-44024</v>
      </c>
      <c r="F543" s="111" t="str">
        <f>VLOOKUP($B543,ma!$A:$B,2,0)</f>
        <v>Y GIANG LONG AN</v>
      </c>
      <c r="G543" s="112" t="s">
        <v>2049</v>
      </c>
      <c r="H543" s="113" t="s">
        <v>1512</v>
      </c>
      <c r="I543" s="114"/>
      <c r="J543" s="109"/>
      <c r="K543" s="116">
        <v>2</v>
      </c>
      <c r="L543" s="117">
        <f t="shared" ref="L543:L556" si="81">K543*50000</f>
        <v>100000</v>
      </c>
      <c r="M543" s="114"/>
      <c r="N543" s="118"/>
      <c r="O543" s="118">
        <v>1</v>
      </c>
      <c r="P543" s="114">
        <f>VLOOKUP($B543,ma!$A:$C,3,0)</f>
        <v>900000</v>
      </c>
      <c r="Q543" s="132">
        <v>990000</v>
      </c>
      <c r="R543" s="149">
        <v>9.9999999999999895E-2</v>
      </c>
      <c r="S543" s="119"/>
      <c r="T543" s="119"/>
      <c r="U543" s="119"/>
      <c r="V543" s="119"/>
      <c r="W543" s="119"/>
      <c r="X543" s="119"/>
      <c r="Y543" s="119"/>
      <c r="Z543" s="119"/>
      <c r="AA543" s="119"/>
    </row>
    <row r="544" spans="1:27" ht="15">
      <c r="A544" s="107">
        <f t="shared" si="77"/>
        <v>39</v>
      </c>
      <c r="B544" s="108" t="s">
        <v>878</v>
      </c>
      <c r="C544" s="109" t="s">
        <v>31</v>
      </c>
      <c r="D544" s="110">
        <v>46099</v>
      </c>
      <c r="E544" s="109" t="str">
        <f>VLOOKUP($C544,xe!$A:$B,2,0)</f>
        <v>50H-74619</v>
      </c>
      <c r="F544" s="111" t="str">
        <f>VLOOKUP($B544,ma!$A:$B,2,0)</f>
        <v>Y GIANG LONG AN</v>
      </c>
      <c r="G544" s="112" t="s">
        <v>2050</v>
      </c>
      <c r="H544" s="113" t="s">
        <v>1512</v>
      </c>
      <c r="I544" s="114">
        <v>10000</v>
      </c>
      <c r="J544" s="109"/>
      <c r="K544" s="116">
        <v>2</v>
      </c>
      <c r="L544" s="117">
        <f t="shared" si="81"/>
        <v>100000</v>
      </c>
      <c r="M544" s="114">
        <v>30000</v>
      </c>
      <c r="N544" s="118" t="s">
        <v>1423</v>
      </c>
      <c r="O544" s="118">
        <v>1</v>
      </c>
      <c r="P544" s="114">
        <f>VLOOKUP($B544,ma!$A:$C,3,0)</f>
        <v>900000</v>
      </c>
      <c r="Q544" s="132">
        <v>990000</v>
      </c>
      <c r="R544" s="149">
        <v>9.9999999999999895E-2</v>
      </c>
      <c r="S544" s="119"/>
      <c r="T544" s="119"/>
      <c r="U544" s="119"/>
      <c r="V544" s="119"/>
      <c r="W544" s="119"/>
      <c r="X544" s="119"/>
      <c r="Y544" s="119"/>
      <c r="Z544" s="119"/>
      <c r="AA544" s="119"/>
    </row>
    <row r="545" spans="1:27" ht="15">
      <c r="A545" s="107">
        <f t="shared" si="77"/>
        <v>40</v>
      </c>
      <c r="B545" s="108" t="s">
        <v>779</v>
      </c>
      <c r="C545" s="109" t="s">
        <v>10</v>
      </c>
      <c r="D545" s="110">
        <v>46099</v>
      </c>
      <c r="E545" s="109" t="str">
        <f>VLOOKUP($C545,xe!$A:$B,2,0)</f>
        <v>50H-50999</v>
      </c>
      <c r="F545" s="111" t="str">
        <f>VLOOKUP($B545,ma!$A:$B,2,0)</f>
        <v>HÀNG IU</v>
      </c>
      <c r="G545" s="112" t="s">
        <v>2051</v>
      </c>
      <c r="H545" s="113" t="s">
        <v>1880</v>
      </c>
      <c r="I545" s="114"/>
      <c r="J545" s="115" t="s">
        <v>2052</v>
      </c>
      <c r="K545" s="116">
        <v>1</v>
      </c>
      <c r="L545" s="117">
        <f t="shared" si="81"/>
        <v>50000</v>
      </c>
      <c r="M545" s="114"/>
      <c r="N545" s="118"/>
      <c r="O545" s="118">
        <v>1</v>
      </c>
      <c r="P545" s="114">
        <f>VLOOKUP($B545,ma!$A:$C,3,0)</f>
        <v>800000</v>
      </c>
      <c r="Q545" s="132">
        <v>880000</v>
      </c>
      <c r="R545" s="149">
        <v>9.9999999999999895E-2</v>
      </c>
      <c r="S545" s="119"/>
      <c r="T545" s="119"/>
      <c r="U545" s="119"/>
      <c r="V545" s="119"/>
      <c r="W545" s="119"/>
      <c r="X545" s="119"/>
      <c r="Y545" s="119"/>
      <c r="Z545" s="119"/>
      <c r="AA545" s="119"/>
    </row>
    <row r="546" spans="1:27" ht="15">
      <c r="A546" s="137">
        <v>1</v>
      </c>
      <c r="B546" s="138" t="s">
        <v>2010</v>
      </c>
      <c r="C546" s="139" t="s">
        <v>1522</v>
      </c>
      <c r="D546" s="140">
        <v>46100</v>
      </c>
      <c r="E546" s="139" t="str">
        <f>VLOOKUP($C546,xe!$A:$B,2,0)</f>
        <v>47H-02023</v>
      </c>
      <c r="F546" s="141" t="str">
        <f>VLOOKUP($B546,ma!$A:$B,2,0)</f>
        <v>E MART GÒ VẤP</v>
      </c>
      <c r="G546" s="142" t="s">
        <v>2053</v>
      </c>
      <c r="H546" s="126" t="s">
        <v>1512</v>
      </c>
      <c r="I546" s="132"/>
      <c r="J546" s="115" t="s">
        <v>140</v>
      </c>
      <c r="K546" s="129">
        <v>1.8</v>
      </c>
      <c r="L546" s="143">
        <f t="shared" si="81"/>
        <v>90000</v>
      </c>
      <c r="M546" s="132"/>
      <c r="N546" s="144"/>
      <c r="O546" s="144">
        <v>1</v>
      </c>
      <c r="P546" s="132">
        <f>VLOOKUP($B546,ma!$A:$C,3,0)</f>
        <v>800000</v>
      </c>
      <c r="Q546" s="132">
        <v>880000</v>
      </c>
      <c r="R546" s="149">
        <v>9.9999999999999895E-2</v>
      </c>
      <c r="S546" s="156"/>
      <c r="T546" s="156"/>
      <c r="U546" s="156"/>
      <c r="V546" s="156"/>
      <c r="W546" s="156"/>
      <c r="X546" s="156"/>
      <c r="Y546" s="156"/>
      <c r="Z546" s="156"/>
      <c r="AA546" s="156"/>
    </row>
    <row r="547" spans="1:27" ht="15">
      <c r="A547" s="107">
        <f t="shared" ref="A547:A575" si="82">A546+1</f>
        <v>2</v>
      </c>
      <c r="B547" s="108" t="s">
        <v>2010</v>
      </c>
      <c r="C547" s="109" t="s">
        <v>1937</v>
      </c>
      <c r="D547" s="110">
        <v>46100</v>
      </c>
      <c r="E547" s="109" t="str">
        <f>VLOOKUP($C547,xe!$A:$B,2,0)</f>
        <v>50H-86564</v>
      </c>
      <c r="F547" s="111" t="str">
        <f>VLOOKUP($B547,ma!$A:$B,2,0)</f>
        <v>E MART GÒ VẤP</v>
      </c>
      <c r="G547" s="112" t="s">
        <v>2054</v>
      </c>
      <c r="H547" s="113" t="s">
        <v>1512</v>
      </c>
      <c r="I547" s="114"/>
      <c r="J547" s="115" t="s">
        <v>140</v>
      </c>
      <c r="K547" s="116">
        <v>1.8</v>
      </c>
      <c r="L547" s="117">
        <f t="shared" si="81"/>
        <v>90000</v>
      </c>
      <c r="M547" s="114"/>
      <c r="N547" s="118"/>
      <c r="O547" s="118">
        <v>1</v>
      </c>
      <c r="P547" s="114">
        <f>VLOOKUP($B547,ma!$A:$C,3,0)</f>
        <v>800000</v>
      </c>
      <c r="Q547" s="132">
        <v>880000</v>
      </c>
      <c r="R547" s="149">
        <v>9.9999999999999895E-2</v>
      </c>
      <c r="S547" s="119"/>
      <c r="T547" s="119"/>
      <c r="U547" s="119"/>
      <c r="V547" s="119"/>
      <c r="W547" s="119"/>
      <c r="X547" s="119"/>
      <c r="Y547" s="119"/>
      <c r="Z547" s="119"/>
      <c r="AA547" s="119"/>
    </row>
    <row r="548" spans="1:27" ht="15">
      <c r="A548" s="107">
        <f t="shared" si="82"/>
        <v>3</v>
      </c>
      <c r="B548" s="108" t="s">
        <v>1462</v>
      </c>
      <c r="C548" s="109" t="s">
        <v>68</v>
      </c>
      <c r="D548" s="110">
        <v>46100</v>
      </c>
      <c r="E548" s="109" t="str">
        <f>VLOOKUP($C548,xe!$A:$B,2,0)</f>
        <v>50H-55829</v>
      </c>
      <c r="F548" s="111" t="str">
        <f>VLOOKUP($B548,ma!$A:$B,2,0)</f>
        <v>M. AN PHÚ</v>
      </c>
      <c r="G548" s="112" t="s">
        <v>1405</v>
      </c>
      <c r="H548" s="113" t="s">
        <v>1880</v>
      </c>
      <c r="I548" s="114"/>
      <c r="J548" s="147" t="s">
        <v>1457</v>
      </c>
      <c r="K548" s="116">
        <v>1.8</v>
      </c>
      <c r="L548" s="117">
        <f t="shared" si="81"/>
        <v>90000</v>
      </c>
      <c r="M548" s="114"/>
      <c r="N548" s="118"/>
      <c r="O548" s="118">
        <v>1</v>
      </c>
      <c r="P548" s="114">
        <f>VLOOKUP($B548,ma!$A:$C,3,0)</f>
        <v>800000</v>
      </c>
      <c r="Q548" s="132">
        <v>880000</v>
      </c>
      <c r="R548" s="149">
        <v>9.9999999999999895E-2</v>
      </c>
      <c r="S548" s="119"/>
      <c r="T548" s="119"/>
      <c r="U548" s="119"/>
      <c r="V548" s="119"/>
      <c r="W548" s="119"/>
      <c r="X548" s="119"/>
      <c r="Y548" s="119"/>
      <c r="Z548" s="119"/>
      <c r="AA548" s="119"/>
    </row>
    <row r="549" spans="1:27" ht="15">
      <c r="A549" s="107">
        <f t="shared" si="82"/>
        <v>4</v>
      </c>
      <c r="B549" s="108" t="s">
        <v>1021</v>
      </c>
      <c r="C549" s="109" t="s">
        <v>66</v>
      </c>
      <c r="D549" s="110">
        <v>46100</v>
      </c>
      <c r="E549" s="109" t="str">
        <f>VLOOKUP($C549,xe!$A:$B,2,0)</f>
        <v>50H-92136</v>
      </c>
      <c r="F549" s="111" t="str">
        <f>VLOOKUP($B549,ma!$A:$B,2,0)</f>
        <v>BIG C ÂU CƠ</v>
      </c>
      <c r="G549" s="112" t="s">
        <v>2055</v>
      </c>
      <c r="H549" s="113" t="s">
        <v>1512</v>
      </c>
      <c r="I549" s="114"/>
      <c r="J549" s="147" t="s">
        <v>1457</v>
      </c>
      <c r="K549" s="116">
        <v>1.2</v>
      </c>
      <c r="L549" s="117">
        <f t="shared" si="81"/>
        <v>60000</v>
      </c>
      <c r="M549" s="114"/>
      <c r="N549" s="118"/>
      <c r="O549" s="118">
        <v>1</v>
      </c>
      <c r="P549" s="114">
        <f>VLOOKUP($B549,ma!$A:$C,3,0)</f>
        <v>800000</v>
      </c>
      <c r="Q549" s="132">
        <v>880000</v>
      </c>
      <c r="R549" s="149">
        <v>9.9999999999999895E-2</v>
      </c>
      <c r="S549" s="119"/>
      <c r="T549" s="119"/>
      <c r="U549" s="119"/>
      <c r="V549" s="119"/>
      <c r="W549" s="119"/>
      <c r="X549" s="119"/>
      <c r="Y549" s="119"/>
      <c r="Z549" s="119"/>
      <c r="AA549" s="119"/>
    </row>
    <row r="550" spans="1:27" ht="15">
      <c r="A550" s="107">
        <f t="shared" si="82"/>
        <v>5</v>
      </c>
      <c r="B550" s="108" t="s">
        <v>1462</v>
      </c>
      <c r="C550" s="109" t="s">
        <v>58</v>
      </c>
      <c r="D550" s="110">
        <v>46100</v>
      </c>
      <c r="E550" s="109" t="str">
        <f>VLOOKUP($C550,xe!$A:$B,2,0)</f>
        <v>51C-81056</v>
      </c>
      <c r="F550" s="111" t="str">
        <f>VLOOKUP($B550,ma!$A:$B,2,0)</f>
        <v>M. AN PHÚ</v>
      </c>
      <c r="G550" s="112" t="s">
        <v>2056</v>
      </c>
      <c r="H550" s="113" t="s">
        <v>1512</v>
      </c>
      <c r="I550" s="114"/>
      <c r="J550" s="109"/>
      <c r="K550" s="116">
        <v>2</v>
      </c>
      <c r="L550" s="117">
        <f t="shared" si="81"/>
        <v>100000</v>
      </c>
      <c r="M550" s="114"/>
      <c r="N550" s="118"/>
      <c r="O550" s="118">
        <v>1</v>
      </c>
      <c r="P550" s="114">
        <f>VLOOKUP($B550,ma!$A:$C,3,0)</f>
        <v>800000</v>
      </c>
      <c r="Q550" s="132">
        <v>880000</v>
      </c>
      <c r="R550" s="149">
        <v>9.9999999999999895E-2</v>
      </c>
      <c r="S550" s="119"/>
      <c r="T550" s="119"/>
      <c r="U550" s="119"/>
      <c r="V550" s="119"/>
      <c r="W550" s="119"/>
      <c r="X550" s="119"/>
      <c r="Y550" s="119"/>
      <c r="Z550" s="119"/>
      <c r="AA550" s="119"/>
    </row>
    <row r="551" spans="1:27" ht="15">
      <c r="A551" s="107">
        <f t="shared" si="82"/>
        <v>6</v>
      </c>
      <c r="B551" s="108" t="s">
        <v>1462</v>
      </c>
      <c r="C551" s="109" t="s">
        <v>1538</v>
      </c>
      <c r="D551" s="110">
        <v>46100</v>
      </c>
      <c r="E551" s="109" t="str">
        <f>VLOOKUP($C551,xe!$A:$B,2,0)</f>
        <v>62H-01887</v>
      </c>
      <c r="F551" s="111" t="str">
        <f>VLOOKUP($B551,ma!$A:$B,2,0)</f>
        <v>M. AN PHÚ</v>
      </c>
      <c r="G551" s="112" t="s">
        <v>2057</v>
      </c>
      <c r="H551" s="113" t="s">
        <v>1880</v>
      </c>
      <c r="I551" s="114"/>
      <c r="J551" s="109"/>
      <c r="K551" s="116">
        <v>2</v>
      </c>
      <c r="L551" s="117">
        <f t="shared" si="81"/>
        <v>100000</v>
      </c>
      <c r="M551" s="114"/>
      <c r="N551" s="118"/>
      <c r="O551" s="118">
        <v>1</v>
      </c>
      <c r="P551" s="114">
        <f>VLOOKUP($B551,ma!$A:$C,3,0)</f>
        <v>800000</v>
      </c>
      <c r="Q551" s="132">
        <v>880000</v>
      </c>
      <c r="R551" s="149">
        <v>9.9999999999999895E-2</v>
      </c>
      <c r="S551" s="119"/>
      <c r="T551" s="119"/>
      <c r="U551" s="119"/>
      <c r="V551" s="119"/>
      <c r="W551" s="119"/>
      <c r="X551" s="119"/>
      <c r="Y551" s="119"/>
      <c r="Z551" s="119"/>
      <c r="AA551" s="119"/>
    </row>
    <row r="552" spans="1:27" ht="15">
      <c r="A552" s="107">
        <f t="shared" si="82"/>
        <v>7</v>
      </c>
      <c r="B552" s="108" t="s">
        <v>1462</v>
      </c>
      <c r="C552" s="109" t="s">
        <v>2037</v>
      </c>
      <c r="D552" s="110">
        <v>46100</v>
      </c>
      <c r="E552" s="133" t="str">
        <f>VLOOKUP($C552,xe!$A:$B,2,0)</f>
        <v>50E-565,21</v>
      </c>
      <c r="F552" s="111" t="str">
        <f>VLOOKUP($B552,ma!$A:$B,2,0)</f>
        <v>M. AN PHÚ</v>
      </c>
      <c r="G552" s="112" t="s">
        <v>2058</v>
      </c>
      <c r="H552" s="113" t="s">
        <v>1512</v>
      </c>
      <c r="I552" s="114"/>
      <c r="J552" s="109"/>
      <c r="K552" s="116">
        <v>2</v>
      </c>
      <c r="L552" s="117">
        <f t="shared" si="81"/>
        <v>100000</v>
      </c>
      <c r="M552" s="114"/>
      <c r="N552" s="118"/>
      <c r="O552" s="118">
        <v>1</v>
      </c>
      <c r="P552" s="114">
        <f>VLOOKUP($B552,ma!$A:$C,3,0)</f>
        <v>800000</v>
      </c>
      <c r="Q552" s="132">
        <v>880000</v>
      </c>
      <c r="R552" s="149">
        <v>9.9999999999999895E-2</v>
      </c>
      <c r="S552" s="119"/>
      <c r="T552" s="119"/>
      <c r="U552" s="119"/>
      <c r="V552" s="119"/>
      <c r="W552" s="119"/>
      <c r="X552" s="119"/>
      <c r="Y552" s="119"/>
      <c r="Z552" s="119"/>
      <c r="AA552" s="119"/>
    </row>
    <row r="553" spans="1:27" ht="15">
      <c r="A553" s="107">
        <f t="shared" si="82"/>
        <v>8</v>
      </c>
      <c r="B553" s="108" t="s">
        <v>1462</v>
      </c>
      <c r="C553" s="109" t="s">
        <v>1524</v>
      </c>
      <c r="D553" s="110">
        <v>46100</v>
      </c>
      <c r="E553" s="109" t="str">
        <f>VLOOKUP($C553,xe!$A:$B,2,0)</f>
        <v>51D-38021</v>
      </c>
      <c r="F553" s="111" t="str">
        <f>VLOOKUP($B553,ma!$A:$B,2,0)</f>
        <v>M. AN PHÚ</v>
      </c>
      <c r="G553" s="112" t="s">
        <v>2059</v>
      </c>
      <c r="H553" s="113" t="s">
        <v>1880</v>
      </c>
      <c r="I553" s="114"/>
      <c r="J553" s="109"/>
      <c r="K553" s="116">
        <v>2</v>
      </c>
      <c r="L553" s="117">
        <f t="shared" si="81"/>
        <v>100000</v>
      </c>
      <c r="M553" s="114"/>
      <c r="N553" s="118"/>
      <c r="O553" s="118">
        <v>1</v>
      </c>
      <c r="P553" s="114">
        <f>VLOOKUP($B553,ma!$A:$C,3,0)</f>
        <v>800000</v>
      </c>
      <c r="Q553" s="132">
        <v>880000</v>
      </c>
      <c r="R553" s="149">
        <v>9.9999999999999895E-2</v>
      </c>
      <c r="S553" s="119"/>
      <c r="T553" s="119"/>
      <c r="U553" s="119"/>
      <c r="V553" s="119"/>
      <c r="W553" s="119"/>
      <c r="X553" s="119"/>
      <c r="Y553" s="119"/>
      <c r="Z553" s="119"/>
      <c r="AA553" s="119"/>
    </row>
    <row r="554" spans="1:27" ht="15">
      <c r="A554" s="107">
        <f t="shared" si="82"/>
        <v>9</v>
      </c>
      <c r="B554" s="108" t="s">
        <v>1462</v>
      </c>
      <c r="C554" s="109" t="s">
        <v>1657</v>
      </c>
      <c r="D554" s="110">
        <v>46100</v>
      </c>
      <c r="E554" s="109" t="str">
        <f>VLOOKUP($C554,xe!$A:$B,2,0)</f>
        <v>50H-64470</v>
      </c>
      <c r="F554" s="111" t="str">
        <f>VLOOKUP($B554,ma!$A:$B,2,0)</f>
        <v>M. AN PHÚ</v>
      </c>
      <c r="G554" s="112" t="s">
        <v>2060</v>
      </c>
      <c r="H554" s="113" t="s">
        <v>1512</v>
      </c>
      <c r="I554" s="114"/>
      <c r="J554" s="109"/>
      <c r="K554" s="116">
        <v>1.8</v>
      </c>
      <c r="L554" s="117">
        <f t="shared" si="81"/>
        <v>90000</v>
      </c>
      <c r="M554" s="114">
        <v>30000</v>
      </c>
      <c r="N554" s="118" t="s">
        <v>1430</v>
      </c>
      <c r="O554" s="118">
        <v>1</v>
      </c>
      <c r="P554" s="114">
        <f>VLOOKUP($B554,ma!$A:$C,3,0)</f>
        <v>800000</v>
      </c>
      <c r="Q554" s="132">
        <v>880000</v>
      </c>
      <c r="R554" s="149">
        <v>9.9999999999999895E-2</v>
      </c>
      <c r="S554" s="119"/>
      <c r="T554" s="119"/>
      <c r="U554" s="119"/>
      <c r="V554" s="119"/>
      <c r="W554" s="119"/>
      <c r="X554" s="119"/>
      <c r="Y554" s="119"/>
      <c r="Z554" s="119"/>
      <c r="AA554" s="119"/>
    </row>
    <row r="555" spans="1:27" ht="15">
      <c r="A555" s="107">
        <f t="shared" si="82"/>
        <v>10</v>
      </c>
      <c r="B555" s="108" t="s">
        <v>1462</v>
      </c>
      <c r="C555" s="109" t="s">
        <v>1669</v>
      </c>
      <c r="D555" s="110">
        <v>46100</v>
      </c>
      <c r="E555" s="109" t="str">
        <f>VLOOKUP($C555,xe!$A:$B,2,0)</f>
        <v>50H-69501</v>
      </c>
      <c r="F555" s="111" t="str">
        <f>VLOOKUP($B555,ma!$A:$B,2,0)</f>
        <v>M. AN PHÚ</v>
      </c>
      <c r="G555" s="112" t="s">
        <v>2061</v>
      </c>
      <c r="H555" s="113" t="s">
        <v>1512</v>
      </c>
      <c r="I555" s="114"/>
      <c r="J555" s="109"/>
      <c r="K555" s="116">
        <v>1.8</v>
      </c>
      <c r="L555" s="117">
        <f t="shared" si="81"/>
        <v>90000</v>
      </c>
      <c r="M555" s="114">
        <v>30000</v>
      </c>
      <c r="N555" s="118" t="s">
        <v>1423</v>
      </c>
      <c r="O555" s="118">
        <v>1</v>
      </c>
      <c r="P555" s="114">
        <f>VLOOKUP($B555,ma!$A:$C,3,0)</f>
        <v>800000</v>
      </c>
      <c r="Q555" s="132">
        <v>880000</v>
      </c>
      <c r="R555" s="149">
        <v>9.9999999999999895E-2</v>
      </c>
      <c r="S555" s="119"/>
      <c r="T555" s="119"/>
      <c r="U555" s="119"/>
      <c r="V555" s="119"/>
      <c r="W555" s="119"/>
      <c r="X555" s="119"/>
      <c r="Y555" s="119"/>
      <c r="Z555" s="119"/>
      <c r="AA555" s="119"/>
    </row>
    <row r="556" spans="1:27" ht="15">
      <c r="A556" s="107">
        <f t="shared" si="82"/>
        <v>11</v>
      </c>
      <c r="B556" s="108" t="s">
        <v>1462</v>
      </c>
      <c r="C556" s="109" t="s">
        <v>21</v>
      </c>
      <c r="D556" s="110">
        <v>46100</v>
      </c>
      <c r="E556" s="109" t="str">
        <f>VLOOKUP($C556,xe!$A:$B,2,0)</f>
        <v>50H-66445</v>
      </c>
      <c r="F556" s="111" t="str">
        <f>VLOOKUP($B556,ma!$A:$B,2,0)</f>
        <v>M. AN PHÚ</v>
      </c>
      <c r="G556" s="112" t="s">
        <v>2062</v>
      </c>
      <c r="H556" s="113" t="s">
        <v>1512</v>
      </c>
      <c r="I556" s="114"/>
      <c r="J556" s="109"/>
      <c r="K556" s="116">
        <v>2</v>
      </c>
      <c r="L556" s="117">
        <f t="shared" si="81"/>
        <v>100000</v>
      </c>
      <c r="M556" s="114">
        <v>20000</v>
      </c>
      <c r="N556" s="118" t="s">
        <v>1423</v>
      </c>
      <c r="O556" s="118">
        <v>1</v>
      </c>
      <c r="P556" s="114">
        <f>VLOOKUP($B556,ma!$A:$C,3,0)</f>
        <v>800000</v>
      </c>
      <c r="Q556" s="132">
        <v>880000</v>
      </c>
      <c r="R556" s="149">
        <v>9.9999999999999895E-2</v>
      </c>
      <c r="S556" s="119"/>
      <c r="T556" s="119"/>
      <c r="U556" s="119"/>
      <c r="V556" s="119"/>
      <c r="W556" s="119"/>
      <c r="X556" s="119"/>
      <c r="Y556" s="119"/>
      <c r="Z556" s="119"/>
      <c r="AA556" s="119"/>
    </row>
    <row r="557" spans="1:27" ht="15">
      <c r="A557" s="107">
        <f t="shared" si="82"/>
        <v>12</v>
      </c>
      <c r="B557" s="108" t="s">
        <v>1526</v>
      </c>
      <c r="C557" s="109" t="s">
        <v>1655</v>
      </c>
      <c r="D557" s="110">
        <v>46100</v>
      </c>
      <c r="E557" s="109" t="str">
        <f>VLOOKUP($C557,xe!$A:$B,2,0)</f>
        <v>50H-70216</v>
      </c>
      <c r="F557" s="111" t="str">
        <f>VLOOKUP($B557,ma!$A:$B,2,0)</f>
        <v xml:space="preserve">KIDO CỦ CHI </v>
      </c>
      <c r="G557" s="112" t="s">
        <v>2063</v>
      </c>
      <c r="H557" s="113" t="s">
        <v>1880</v>
      </c>
      <c r="I557" s="114"/>
      <c r="J557" s="109"/>
      <c r="K557" s="116">
        <v>2</v>
      </c>
      <c r="L557" s="130">
        <v>200000</v>
      </c>
      <c r="M557" s="127"/>
      <c r="N557" s="131" t="s">
        <v>1427</v>
      </c>
      <c r="O557" s="118">
        <v>1</v>
      </c>
      <c r="P557" s="114">
        <f>VLOOKUP($B557,ma!$A:$C,3,0)</f>
        <v>900000</v>
      </c>
      <c r="Q557" s="132">
        <v>990000</v>
      </c>
      <c r="R557" s="149">
        <v>9.9999999999999895E-2</v>
      </c>
      <c r="S557" s="119"/>
      <c r="T557" s="119"/>
      <c r="U557" s="119"/>
      <c r="V557" s="119"/>
      <c r="W557" s="119"/>
      <c r="X557" s="119"/>
      <c r="Y557" s="119"/>
      <c r="Z557" s="119"/>
      <c r="AA557" s="119"/>
    </row>
    <row r="558" spans="1:27" ht="15">
      <c r="A558" s="107">
        <f t="shared" si="82"/>
        <v>13</v>
      </c>
      <c r="B558" s="108" t="s">
        <v>2064</v>
      </c>
      <c r="C558" s="109" t="s">
        <v>1500</v>
      </c>
      <c r="D558" s="110">
        <v>46100</v>
      </c>
      <c r="E558" s="109" t="str">
        <f>VLOOKUP($C558,xe!$A:$B,2,0)</f>
        <v>50H 87442</v>
      </c>
      <c r="F558" s="111" t="str">
        <f>VLOOKUP($B558,ma!$A:$B,2,0)</f>
        <v>SATRA PHẠM HÙNG</v>
      </c>
      <c r="G558" s="112" t="s">
        <v>2065</v>
      </c>
      <c r="H558" s="113" t="s">
        <v>1880</v>
      </c>
      <c r="I558" s="114"/>
      <c r="J558" s="109"/>
      <c r="K558" s="116">
        <v>1</v>
      </c>
      <c r="L558" s="117">
        <f>K558*50000</f>
        <v>50000</v>
      </c>
      <c r="M558" s="114"/>
      <c r="N558" s="118"/>
      <c r="O558" s="118">
        <v>1</v>
      </c>
      <c r="P558" s="114">
        <f>VLOOKUP($B558,ma!$A:$C,3,0)</f>
        <v>800000</v>
      </c>
      <c r="Q558" s="132">
        <v>880000</v>
      </c>
      <c r="R558" s="149">
        <v>9.9999999999999895E-2</v>
      </c>
      <c r="S558" s="119"/>
      <c r="T558" s="119"/>
      <c r="U558" s="119"/>
      <c r="V558" s="119"/>
      <c r="W558" s="119"/>
      <c r="X558" s="119"/>
      <c r="Y558" s="119"/>
      <c r="Z558" s="119"/>
      <c r="AA558" s="119"/>
    </row>
    <row r="559" spans="1:27" ht="15">
      <c r="A559" s="107">
        <f t="shared" si="82"/>
        <v>14</v>
      </c>
      <c r="B559" s="108" t="s">
        <v>1063</v>
      </c>
      <c r="C559" s="109" t="s">
        <v>74</v>
      </c>
      <c r="D559" s="110">
        <v>46100</v>
      </c>
      <c r="E559" s="109" t="str">
        <f>VLOOKUP($C559,xe!$A:$B,2,0)</f>
        <v>50H-44024</v>
      </c>
      <c r="F559" s="111" t="str">
        <f>VLOOKUP($B559,ma!$A:$B,2,0)</f>
        <v>BHX CẦN ĐƯỚC</v>
      </c>
      <c r="G559" s="112" t="s">
        <v>2066</v>
      </c>
      <c r="H559" s="113" t="s">
        <v>1512</v>
      </c>
      <c r="I559" s="114"/>
      <c r="J559" s="109"/>
      <c r="K559" s="116">
        <v>1.4</v>
      </c>
      <c r="L559" s="134">
        <f>K559*100000</f>
        <v>140000</v>
      </c>
      <c r="M559" s="114"/>
      <c r="N559" s="118"/>
      <c r="O559" s="118">
        <v>1</v>
      </c>
      <c r="P559" s="114">
        <f>VLOOKUP($B559,ma!$A:$C,3,0)</f>
        <v>900000</v>
      </c>
      <c r="Q559" s="132">
        <v>990000</v>
      </c>
      <c r="R559" s="149">
        <v>9.9999999999999895E-2</v>
      </c>
      <c r="S559" s="119"/>
      <c r="T559" s="119"/>
      <c r="U559" s="119"/>
      <c r="V559" s="119"/>
      <c r="W559" s="119"/>
      <c r="X559" s="119"/>
      <c r="Y559" s="119"/>
      <c r="Z559" s="119"/>
      <c r="AA559" s="119"/>
    </row>
    <row r="560" spans="1:27" ht="15">
      <c r="A560" s="107">
        <f t="shared" si="82"/>
        <v>15</v>
      </c>
      <c r="B560" s="108" t="s">
        <v>1063</v>
      </c>
      <c r="C560" s="109" t="s">
        <v>31</v>
      </c>
      <c r="D560" s="110">
        <v>46100</v>
      </c>
      <c r="E560" s="109" t="str">
        <f>VLOOKUP($C560,xe!$A:$B,2,0)</f>
        <v>50H-74619</v>
      </c>
      <c r="F560" s="111" t="str">
        <f>VLOOKUP($B560,ma!$A:$B,2,0)</f>
        <v>BHX CẦN ĐƯỚC</v>
      </c>
      <c r="G560" s="112" t="s">
        <v>2067</v>
      </c>
      <c r="H560" s="113" t="s">
        <v>1512</v>
      </c>
      <c r="I560" s="114"/>
      <c r="J560" s="109"/>
      <c r="K560" s="116">
        <v>1.6</v>
      </c>
      <c r="L560" s="134">
        <v>210000</v>
      </c>
      <c r="M560" s="114"/>
      <c r="N560" s="118"/>
      <c r="O560" s="118">
        <v>1</v>
      </c>
      <c r="P560" s="114">
        <f>VLOOKUP($B560,ma!$A:$C,3,0)</f>
        <v>900000</v>
      </c>
      <c r="Q560" s="132">
        <v>990000</v>
      </c>
      <c r="R560" s="149">
        <v>9.9999999999999895E-2</v>
      </c>
      <c r="S560" s="119"/>
      <c r="T560" s="119"/>
      <c r="U560" s="119"/>
      <c r="V560" s="119"/>
      <c r="W560" s="119"/>
      <c r="X560" s="119"/>
      <c r="Y560" s="119"/>
      <c r="Z560" s="119"/>
      <c r="AA560" s="119"/>
    </row>
    <row r="561" spans="1:27" ht="15">
      <c r="A561" s="107">
        <f t="shared" si="82"/>
        <v>16</v>
      </c>
      <c r="B561" s="108" t="s">
        <v>1925</v>
      </c>
      <c r="C561" s="109" t="s">
        <v>32</v>
      </c>
      <c r="D561" s="110">
        <v>46100</v>
      </c>
      <c r="E561" s="109" t="str">
        <f>VLOOKUP($C561,xe!$A:$B,2,0)</f>
        <v>50H-54580</v>
      </c>
      <c r="F561" s="111" t="str">
        <f>VLOOKUP($B561,ma!$A:$B,2,0)</f>
        <v>PHONG VÂN ( K BX )</v>
      </c>
      <c r="G561" s="112" t="s">
        <v>2068</v>
      </c>
      <c r="H561" s="113" t="s">
        <v>1880</v>
      </c>
      <c r="I561" s="114"/>
      <c r="J561" s="109"/>
      <c r="K561" s="116">
        <v>1.6</v>
      </c>
      <c r="L561" s="117">
        <v>50000</v>
      </c>
      <c r="M561" s="114">
        <v>1400000</v>
      </c>
      <c r="N561" s="118" t="s">
        <v>2069</v>
      </c>
      <c r="O561" s="118">
        <v>1</v>
      </c>
      <c r="P561" s="114">
        <f>VLOOKUP($B561,ma!$A:$C,3,0)</f>
        <v>800000</v>
      </c>
      <c r="Q561" s="132">
        <v>880000</v>
      </c>
      <c r="R561" s="149">
        <v>9.9999999999999895E-2</v>
      </c>
      <c r="S561" s="119"/>
      <c r="T561" s="119"/>
      <c r="U561" s="119"/>
      <c r="V561" s="119"/>
      <c r="W561" s="119"/>
      <c r="X561" s="119"/>
      <c r="Y561" s="119"/>
      <c r="Z561" s="119"/>
      <c r="AA561" s="119"/>
    </row>
    <row r="562" spans="1:27" ht="15">
      <c r="A562" s="107">
        <f t="shared" si="82"/>
        <v>17</v>
      </c>
      <c r="B562" s="108" t="s">
        <v>1925</v>
      </c>
      <c r="C562" s="109" t="s">
        <v>1546</v>
      </c>
      <c r="D562" s="110">
        <v>46100</v>
      </c>
      <c r="E562" s="109" t="s">
        <v>5</v>
      </c>
      <c r="F562" s="111" t="str">
        <f>VLOOKUP($B562,ma!$A:$B,2,0)</f>
        <v>PHONG VÂN ( K BX )</v>
      </c>
      <c r="G562" s="112" t="s">
        <v>2070</v>
      </c>
      <c r="H562" s="113" t="s">
        <v>1880</v>
      </c>
      <c r="I562" s="114"/>
      <c r="J562" s="109"/>
      <c r="K562" s="116">
        <v>1.8</v>
      </c>
      <c r="L562" s="117">
        <v>50000</v>
      </c>
      <c r="M562" s="114"/>
      <c r="N562" s="118"/>
      <c r="O562" s="118">
        <v>1</v>
      </c>
      <c r="P562" s="114">
        <f>VLOOKUP($B562,ma!$A:$C,3,0)</f>
        <v>800000</v>
      </c>
      <c r="Q562" s="132">
        <v>880000</v>
      </c>
      <c r="R562" s="149">
        <v>9.9999999999999895E-2</v>
      </c>
      <c r="S562" s="119"/>
      <c r="T562" s="119"/>
      <c r="U562" s="119"/>
      <c r="V562" s="119"/>
      <c r="W562" s="119"/>
      <c r="X562" s="119"/>
      <c r="Y562" s="119"/>
      <c r="Z562" s="119"/>
      <c r="AA562" s="119"/>
    </row>
    <row r="563" spans="1:27" ht="15">
      <c r="A563" s="107">
        <f t="shared" si="82"/>
        <v>18</v>
      </c>
      <c r="B563" s="108" t="s">
        <v>661</v>
      </c>
      <c r="C563" s="109" t="s">
        <v>27</v>
      </c>
      <c r="D563" s="110">
        <v>46100</v>
      </c>
      <c r="E563" s="109" t="str">
        <f>VLOOKUP($C563,xe!$A:$B,2,0)</f>
        <v>50H-55443</v>
      </c>
      <c r="F563" s="111" t="str">
        <f>VLOOKUP($B563,ma!$A:$B,2,0)</f>
        <v>TM SB Q6</v>
      </c>
      <c r="G563" s="112" t="s">
        <v>2071</v>
      </c>
      <c r="H563" s="113" t="s">
        <v>1880</v>
      </c>
      <c r="I563" s="114"/>
      <c r="J563" s="109"/>
      <c r="K563" s="116">
        <v>1.2</v>
      </c>
      <c r="L563" s="117">
        <f t="shared" ref="L563:L567" si="83">K563*50000</f>
        <v>60000</v>
      </c>
      <c r="M563" s="114"/>
      <c r="N563" s="118"/>
      <c r="O563" s="118">
        <v>1</v>
      </c>
      <c r="P563" s="114">
        <f>VLOOKUP($B563,ma!$A:$C,3,0)</f>
        <v>800000</v>
      </c>
      <c r="Q563" s="132">
        <v>880000</v>
      </c>
      <c r="R563" s="149">
        <v>9.9999999999999895E-2</v>
      </c>
      <c r="S563" s="119"/>
      <c r="T563" s="119"/>
      <c r="U563" s="119"/>
      <c r="V563" s="119"/>
      <c r="W563" s="119"/>
      <c r="X563" s="119"/>
      <c r="Y563" s="119"/>
      <c r="Z563" s="119"/>
      <c r="AA563" s="119"/>
    </row>
    <row r="564" spans="1:27" ht="15">
      <c r="A564" s="107">
        <f t="shared" si="82"/>
        <v>19</v>
      </c>
      <c r="B564" s="108" t="s">
        <v>1489</v>
      </c>
      <c r="C564" s="109" t="s">
        <v>10</v>
      </c>
      <c r="D564" s="110">
        <v>46100</v>
      </c>
      <c r="E564" s="109" t="str">
        <f>VLOOKUP($C564,xe!$A:$B,2,0)</f>
        <v>50H-50999</v>
      </c>
      <c r="F564" s="111" t="str">
        <f>VLOOKUP($B564,ma!$A:$B,2,0)</f>
        <v>XUÂN VÂN ( K BX )</v>
      </c>
      <c r="G564" s="112" t="s">
        <v>2072</v>
      </c>
      <c r="H564" s="113" t="s">
        <v>1880</v>
      </c>
      <c r="I564" s="114"/>
      <c r="J564" s="115" t="s">
        <v>455</v>
      </c>
      <c r="K564" s="116">
        <v>1</v>
      </c>
      <c r="L564" s="117">
        <f t="shared" si="83"/>
        <v>50000</v>
      </c>
      <c r="M564" s="114"/>
      <c r="N564" s="118"/>
      <c r="O564" s="118">
        <v>1</v>
      </c>
      <c r="P564" s="114">
        <f>VLOOKUP($B564,ma!$A:$C,3,0)</f>
        <v>800000</v>
      </c>
      <c r="Q564" s="132">
        <v>880000</v>
      </c>
      <c r="R564" s="149">
        <v>9.9999999999999895E-2</v>
      </c>
      <c r="S564" s="119"/>
      <c r="T564" s="119"/>
      <c r="U564" s="119"/>
      <c r="V564" s="119"/>
      <c r="W564" s="119"/>
      <c r="X564" s="119"/>
      <c r="Y564" s="119"/>
      <c r="Z564" s="119"/>
      <c r="AA564" s="119"/>
    </row>
    <row r="565" spans="1:27" ht="15">
      <c r="A565" s="107">
        <f t="shared" si="82"/>
        <v>20</v>
      </c>
      <c r="B565" s="108" t="s">
        <v>1489</v>
      </c>
      <c r="C565" s="109" t="s">
        <v>1546</v>
      </c>
      <c r="D565" s="110">
        <v>46100</v>
      </c>
      <c r="E565" s="109" t="s">
        <v>5</v>
      </c>
      <c r="F565" s="111" t="str">
        <f>VLOOKUP($B565,ma!$A:$B,2,0)</f>
        <v>XUÂN VÂN ( K BX )</v>
      </c>
      <c r="G565" s="112" t="s">
        <v>2073</v>
      </c>
      <c r="H565" s="113" t="s">
        <v>1880</v>
      </c>
      <c r="I565" s="114"/>
      <c r="J565" s="109"/>
      <c r="K565" s="116">
        <v>2</v>
      </c>
      <c r="L565" s="117">
        <f t="shared" si="83"/>
        <v>100000</v>
      </c>
      <c r="M565" s="114"/>
      <c r="N565" s="118"/>
      <c r="O565" s="118">
        <v>1</v>
      </c>
      <c r="P565" s="114">
        <f>VLOOKUP($B565,ma!$A:$C,3,0)</f>
        <v>800000</v>
      </c>
      <c r="Q565" s="132">
        <v>880000</v>
      </c>
      <c r="R565" s="149">
        <v>9.9999999999999895E-2</v>
      </c>
      <c r="S565" s="119"/>
      <c r="T565" s="119"/>
      <c r="U565" s="119"/>
      <c r="V565" s="119"/>
      <c r="W565" s="119"/>
      <c r="X565" s="119"/>
      <c r="Y565" s="119"/>
      <c r="Z565" s="119"/>
      <c r="AA565" s="119"/>
    </row>
    <row r="566" spans="1:27" ht="15">
      <c r="A566" s="107">
        <f t="shared" si="82"/>
        <v>21</v>
      </c>
      <c r="B566" s="108" t="s">
        <v>416</v>
      </c>
      <c r="C566" s="109" t="s">
        <v>8</v>
      </c>
      <c r="D566" s="110">
        <v>46100</v>
      </c>
      <c r="E566" s="109" t="str">
        <f>VLOOKUP($C566,xe!$A:$B,2,0)</f>
        <v>50H-64316</v>
      </c>
      <c r="F566" s="111" t="str">
        <f>VLOOKUP($B566,ma!$A:$B,2,0)</f>
        <v>MN VĨNH THẠNH</v>
      </c>
      <c r="G566" s="112" t="s">
        <v>2074</v>
      </c>
      <c r="H566" s="113" t="s">
        <v>1512</v>
      </c>
      <c r="I566" s="114"/>
      <c r="J566" s="109"/>
      <c r="K566" s="116">
        <v>1.2</v>
      </c>
      <c r="L566" s="117">
        <f t="shared" si="83"/>
        <v>60000</v>
      </c>
      <c r="M566" s="114">
        <v>30000</v>
      </c>
      <c r="N566" s="118" t="s">
        <v>1423</v>
      </c>
      <c r="O566" s="118">
        <v>1</v>
      </c>
      <c r="P566" s="114">
        <f>VLOOKUP($B566,ma!$A:$C,3,0)</f>
        <v>800000</v>
      </c>
      <c r="Q566" s="132">
        <v>880000</v>
      </c>
      <c r="R566" s="149">
        <v>9.9999999999999895E-2</v>
      </c>
      <c r="S566" s="119"/>
      <c r="T566" s="119"/>
      <c r="U566" s="119"/>
      <c r="V566" s="119"/>
      <c r="W566" s="119"/>
      <c r="X566" s="119"/>
      <c r="Y566" s="119"/>
      <c r="Z566" s="119"/>
      <c r="AA566" s="119"/>
    </row>
    <row r="567" spans="1:27" ht="15">
      <c r="A567" s="107">
        <f t="shared" si="82"/>
        <v>22</v>
      </c>
      <c r="B567" s="108" t="s">
        <v>2075</v>
      </c>
      <c r="C567" s="109" t="s">
        <v>1538</v>
      </c>
      <c r="D567" s="110">
        <v>46100</v>
      </c>
      <c r="E567" s="109" t="str">
        <f>VLOOKUP($C567,xe!$A:$B,2,0)</f>
        <v>62H-01887</v>
      </c>
      <c r="F567" s="111" t="str">
        <f>VLOOKUP($B567,ma!$A:$B,2,0)</f>
        <v>NHỰT TÂN</v>
      </c>
      <c r="G567" s="112" t="s">
        <v>2076</v>
      </c>
      <c r="H567" s="113" t="s">
        <v>1880</v>
      </c>
      <c r="I567" s="114"/>
      <c r="J567" s="109"/>
      <c r="K567" s="116">
        <v>2</v>
      </c>
      <c r="L567" s="117">
        <f t="shared" si="83"/>
        <v>100000</v>
      </c>
      <c r="M567" s="114"/>
      <c r="N567" s="118"/>
      <c r="O567" s="118">
        <v>1</v>
      </c>
      <c r="P567" s="114">
        <f>VLOOKUP($B567,ma!$A:$C,3,0)</f>
        <v>900000</v>
      </c>
      <c r="Q567" s="132">
        <v>990000</v>
      </c>
      <c r="R567" s="149">
        <v>9.9999999999999895E-2</v>
      </c>
      <c r="S567" s="119"/>
      <c r="T567" s="119"/>
      <c r="U567" s="119"/>
      <c r="V567" s="119"/>
      <c r="W567" s="119"/>
      <c r="X567" s="119"/>
      <c r="Y567" s="119"/>
      <c r="Z567" s="119"/>
      <c r="AA567" s="119"/>
    </row>
    <row r="568" spans="1:27" ht="15">
      <c r="A568" s="107">
        <f t="shared" si="82"/>
        <v>23</v>
      </c>
      <c r="B568" s="108" t="s">
        <v>1487</v>
      </c>
      <c r="C568" s="109" t="s">
        <v>12</v>
      </c>
      <c r="D568" s="110">
        <v>46100</v>
      </c>
      <c r="E568" s="109" t="str">
        <f>VLOOKUP($C568,xe!$A:$B,2,0)</f>
        <v>50H-63174</v>
      </c>
      <c r="F568" s="111" t="str">
        <f>VLOOKUP($B568,ma!$A:$B,2,0)</f>
        <v>VĂN HẬU Q8 ( K BX )</v>
      </c>
      <c r="G568" s="112" t="s">
        <v>1412</v>
      </c>
      <c r="H568" s="113" t="s">
        <v>1412</v>
      </c>
      <c r="I568" s="114"/>
      <c r="J568" s="109"/>
      <c r="K568" s="116">
        <v>2.2000000000000002</v>
      </c>
      <c r="L568" s="117">
        <v>50000</v>
      </c>
      <c r="M568" s="114"/>
      <c r="N568" s="118"/>
      <c r="O568" s="118">
        <v>1</v>
      </c>
      <c r="P568" s="114">
        <f>VLOOKUP($B568,ma!$A:$C,3,0)</f>
        <v>800000</v>
      </c>
      <c r="Q568" s="132">
        <v>880000</v>
      </c>
      <c r="R568" s="149">
        <v>9.9999999999999895E-2</v>
      </c>
      <c r="S568" s="119"/>
      <c r="T568" s="119"/>
      <c r="U568" s="119"/>
      <c r="V568" s="119"/>
      <c r="W568" s="119"/>
      <c r="X568" s="119"/>
      <c r="Y568" s="119"/>
      <c r="Z568" s="119"/>
      <c r="AA568" s="119"/>
    </row>
    <row r="569" spans="1:27" ht="15">
      <c r="A569" s="107">
        <f t="shared" si="82"/>
        <v>24</v>
      </c>
      <c r="B569" s="108" t="s">
        <v>1487</v>
      </c>
      <c r="C569" s="109" t="s">
        <v>1500</v>
      </c>
      <c r="D569" s="110">
        <v>46100</v>
      </c>
      <c r="E569" s="109" t="str">
        <f>VLOOKUP($C569,xe!$A:$B,2,0)</f>
        <v>50H 87442</v>
      </c>
      <c r="F569" s="111" t="str">
        <f>VLOOKUP($B569,ma!$A:$B,2,0)</f>
        <v>VĂN HẬU Q8 ( K BX )</v>
      </c>
      <c r="G569" s="112" t="s">
        <v>1412</v>
      </c>
      <c r="H569" s="113" t="s">
        <v>1412</v>
      </c>
      <c r="I569" s="114"/>
      <c r="J569" s="109"/>
      <c r="K569" s="116">
        <v>2.2000000000000002</v>
      </c>
      <c r="L569" s="117">
        <v>50000</v>
      </c>
      <c r="M569" s="114">
        <v>30000</v>
      </c>
      <c r="N569" s="118" t="s">
        <v>1423</v>
      </c>
      <c r="O569" s="118">
        <v>1</v>
      </c>
      <c r="P569" s="114">
        <f>VLOOKUP($B569,ma!$A:$C,3,0)</f>
        <v>800000</v>
      </c>
      <c r="Q569" s="132">
        <v>880000</v>
      </c>
      <c r="R569" s="149">
        <v>9.9999999999999895E-2</v>
      </c>
      <c r="S569" s="119"/>
      <c r="T569" s="119"/>
      <c r="U569" s="119"/>
      <c r="V569" s="119"/>
      <c r="W569" s="119"/>
      <c r="X569" s="119"/>
      <c r="Y569" s="119"/>
      <c r="Z569" s="119"/>
      <c r="AA569" s="119"/>
    </row>
    <row r="570" spans="1:27" ht="15">
      <c r="A570" s="107">
        <f t="shared" si="82"/>
        <v>25</v>
      </c>
      <c r="B570" s="108" t="s">
        <v>1774</v>
      </c>
      <c r="C570" s="109" t="s">
        <v>12</v>
      </c>
      <c r="D570" s="110">
        <v>46100</v>
      </c>
      <c r="E570" s="109" t="str">
        <f>VLOOKUP($C570,xe!$A:$B,2,0)</f>
        <v>50H-63174</v>
      </c>
      <c r="F570" s="111" t="str">
        <f>VLOOKUP($B570,ma!$A:$B,2,0)</f>
        <v>VĂN HẬU LONG HƯNG ( KBX )</v>
      </c>
      <c r="G570" s="112" t="s">
        <v>1412</v>
      </c>
      <c r="H570" s="113" t="s">
        <v>1412</v>
      </c>
      <c r="I570" s="114"/>
      <c r="J570" s="109"/>
      <c r="K570" s="116">
        <v>2.2000000000000002</v>
      </c>
      <c r="L570" s="117">
        <v>50000</v>
      </c>
      <c r="M570" s="114"/>
      <c r="N570" s="118"/>
      <c r="O570" s="118">
        <v>1</v>
      </c>
      <c r="P570" s="114">
        <f>VLOOKUP($B570,ma!$A:$C,3,0)</f>
        <v>800000</v>
      </c>
      <c r="Q570" s="132">
        <v>880000</v>
      </c>
      <c r="R570" s="149">
        <v>9.9999999999999895E-2</v>
      </c>
      <c r="S570" s="119"/>
      <c r="T570" s="119"/>
      <c r="U570" s="119"/>
      <c r="V570" s="119"/>
      <c r="W570" s="119"/>
      <c r="X570" s="119"/>
      <c r="Y570" s="119"/>
      <c r="Z570" s="119"/>
      <c r="AA570" s="119"/>
    </row>
    <row r="571" spans="1:27" ht="15">
      <c r="A571" s="107">
        <f t="shared" si="82"/>
        <v>26</v>
      </c>
      <c r="B571" s="108" t="s">
        <v>1774</v>
      </c>
      <c r="C571" s="109" t="s">
        <v>2077</v>
      </c>
      <c r="D571" s="110">
        <v>46100</v>
      </c>
      <c r="E571" s="109" t="str">
        <f>VLOOKUP($C571,xe!$A:$B,2,0)</f>
        <v>50H-54580</v>
      </c>
      <c r="F571" s="111" t="str">
        <f>VLOOKUP($B571,ma!$A:$B,2,0)</f>
        <v>VĂN HẬU LONG HƯNG ( KBX )</v>
      </c>
      <c r="G571" s="112" t="s">
        <v>1412</v>
      </c>
      <c r="H571" s="113" t="s">
        <v>1412</v>
      </c>
      <c r="I571" s="114"/>
      <c r="J571" s="109"/>
      <c r="K571" s="116">
        <v>2.2000000000000002</v>
      </c>
      <c r="L571" s="117">
        <v>50000</v>
      </c>
      <c r="M571" s="114"/>
      <c r="N571" s="118"/>
      <c r="O571" s="118">
        <v>1</v>
      </c>
      <c r="P571" s="114">
        <f>VLOOKUP($B571,ma!$A:$C,3,0)</f>
        <v>800000</v>
      </c>
      <c r="Q571" s="132">
        <v>880000</v>
      </c>
      <c r="R571" s="149">
        <v>9.9999999999999895E-2</v>
      </c>
      <c r="S571" s="119"/>
      <c r="T571" s="119"/>
      <c r="U571" s="119"/>
      <c r="V571" s="119"/>
      <c r="W571" s="119"/>
      <c r="X571" s="119"/>
      <c r="Y571" s="119"/>
      <c r="Z571" s="119"/>
      <c r="AA571" s="119"/>
    </row>
    <row r="572" spans="1:27" ht="15">
      <c r="A572" s="107">
        <f t="shared" si="82"/>
        <v>27</v>
      </c>
      <c r="B572" s="108" t="s">
        <v>1455</v>
      </c>
      <c r="C572" s="109" t="s">
        <v>10</v>
      </c>
      <c r="D572" s="110">
        <v>46100</v>
      </c>
      <c r="E572" s="109" t="str">
        <f>VLOOKUP($C572,xe!$A:$B,2,0)</f>
        <v>50H-50999</v>
      </c>
      <c r="F572" s="111" t="str">
        <f>VLOOKUP($B572,ma!$A:$B,2,0)</f>
        <v>BC GÒ VẤP</v>
      </c>
      <c r="G572" s="112" t="s">
        <v>2078</v>
      </c>
      <c r="H572" s="113" t="s">
        <v>1512</v>
      </c>
      <c r="I572" s="114"/>
      <c r="J572" s="109"/>
      <c r="K572" s="116">
        <v>1</v>
      </c>
      <c r="L572" s="117">
        <f>K572*50000</f>
        <v>50000</v>
      </c>
      <c r="M572" s="114"/>
      <c r="N572" s="118"/>
      <c r="O572" s="118">
        <v>1</v>
      </c>
      <c r="P572" s="114">
        <f>VLOOKUP($B572,ma!$A:$C,3,0)</f>
        <v>800000</v>
      </c>
      <c r="Q572" s="132">
        <v>880000</v>
      </c>
      <c r="R572" s="149">
        <v>9.9999999999999895E-2</v>
      </c>
      <c r="S572" s="119"/>
      <c r="T572" s="119"/>
      <c r="U572" s="119"/>
      <c r="V572" s="119"/>
      <c r="W572" s="119"/>
      <c r="X572" s="119"/>
      <c r="Y572" s="119"/>
      <c r="Z572" s="119"/>
      <c r="AA572" s="119"/>
    </row>
    <row r="573" spans="1:27" ht="15">
      <c r="A573" s="107">
        <f t="shared" si="82"/>
        <v>28</v>
      </c>
      <c r="B573" s="108" t="s">
        <v>1499</v>
      </c>
      <c r="C573" s="109" t="s">
        <v>31</v>
      </c>
      <c r="D573" s="110">
        <v>46100</v>
      </c>
      <c r="E573" s="109" t="str">
        <f>VLOOKUP($C573,xe!$A:$B,2,0)</f>
        <v>50H-74619</v>
      </c>
      <c r="F573" s="111" t="str">
        <f>VLOOKUP($B573,ma!$A:$B,2,0)</f>
        <v>BHX ( VL)</v>
      </c>
      <c r="G573" s="112" t="s">
        <v>2079</v>
      </c>
      <c r="H573" s="113" t="s">
        <v>1512</v>
      </c>
      <c r="I573" s="114"/>
      <c r="J573" s="109"/>
      <c r="K573" s="116">
        <v>1.8</v>
      </c>
      <c r="L573" s="134">
        <v>200000</v>
      </c>
      <c r="M573" s="114">
        <v>30000</v>
      </c>
      <c r="N573" s="118" t="s">
        <v>1423</v>
      </c>
      <c r="O573" s="118">
        <v>1</v>
      </c>
      <c r="P573" s="114">
        <f>VLOOKUP($B573,ma!$A:$C,3,0)</f>
        <v>800000</v>
      </c>
      <c r="Q573" s="132">
        <v>880000</v>
      </c>
      <c r="R573" s="149">
        <v>9.9999999999999895E-2</v>
      </c>
      <c r="S573" s="119"/>
      <c r="T573" s="119"/>
      <c r="U573" s="119"/>
      <c r="V573" s="119"/>
      <c r="W573" s="119"/>
      <c r="X573" s="119"/>
      <c r="Y573" s="119"/>
      <c r="Z573" s="119"/>
      <c r="AA573" s="119"/>
    </row>
    <row r="574" spans="1:27" ht="15">
      <c r="A574" s="107">
        <f t="shared" si="82"/>
        <v>29</v>
      </c>
      <c r="B574" s="108" t="s">
        <v>1499</v>
      </c>
      <c r="C574" s="109" t="s">
        <v>1506</v>
      </c>
      <c r="D574" s="110">
        <v>46100</v>
      </c>
      <c r="E574" s="109" t="str">
        <f>VLOOKUP($C574,xe!$A:$B,2,0)</f>
        <v>50H-55443</v>
      </c>
      <c r="F574" s="111" t="str">
        <f>VLOOKUP($B574,ma!$A:$B,2,0)</f>
        <v>BHX ( VL)</v>
      </c>
      <c r="G574" s="112" t="s">
        <v>2080</v>
      </c>
      <c r="H574" s="113" t="s">
        <v>1512</v>
      </c>
      <c r="I574" s="114"/>
      <c r="J574" s="109"/>
      <c r="K574" s="116">
        <v>1.8</v>
      </c>
      <c r="L574" s="134">
        <v>210000</v>
      </c>
      <c r="M574" s="114">
        <v>30000</v>
      </c>
      <c r="N574" s="118" t="s">
        <v>1423</v>
      </c>
      <c r="O574" s="118">
        <v>1</v>
      </c>
      <c r="P574" s="114">
        <f>VLOOKUP($B574,ma!$A:$C,3,0)</f>
        <v>800000</v>
      </c>
      <c r="Q574" s="132">
        <v>880000</v>
      </c>
      <c r="R574" s="149">
        <v>9.9999999999999895E-2</v>
      </c>
      <c r="S574" s="119"/>
      <c r="T574" s="119"/>
      <c r="U574" s="119"/>
      <c r="V574" s="119"/>
      <c r="W574" s="119"/>
      <c r="X574" s="119"/>
      <c r="Y574" s="119"/>
      <c r="Z574" s="119"/>
      <c r="AA574" s="119"/>
    </row>
    <row r="575" spans="1:27" ht="15">
      <c r="A575" s="107">
        <f t="shared" si="82"/>
        <v>30</v>
      </c>
      <c r="B575" s="108" t="s">
        <v>1499</v>
      </c>
      <c r="C575" s="109" t="s">
        <v>8</v>
      </c>
      <c r="D575" s="110">
        <v>46100</v>
      </c>
      <c r="E575" s="109" t="str">
        <f>VLOOKUP($C575,xe!$A:$B,2,0)</f>
        <v>50H-64316</v>
      </c>
      <c r="F575" s="111" t="str">
        <f>VLOOKUP($B575,ma!$A:$B,2,0)</f>
        <v>BHX ( VL)</v>
      </c>
      <c r="G575" s="112" t="s">
        <v>2081</v>
      </c>
      <c r="H575" s="113" t="s">
        <v>1512</v>
      </c>
      <c r="I575" s="114"/>
      <c r="J575" s="109"/>
      <c r="K575" s="116">
        <v>2</v>
      </c>
      <c r="L575" s="117">
        <f t="shared" ref="L575:L582" si="84">K575*50000</f>
        <v>100000</v>
      </c>
      <c r="M575" s="114"/>
      <c r="N575" s="118"/>
      <c r="O575" s="118">
        <v>1</v>
      </c>
      <c r="P575" s="114">
        <f>VLOOKUP($B575,ma!$A:$C,3,0)</f>
        <v>800000</v>
      </c>
      <c r="Q575" s="132">
        <v>880000</v>
      </c>
      <c r="R575" s="149">
        <v>9.9999999999999895E-2</v>
      </c>
      <c r="S575" s="119"/>
      <c r="T575" s="119"/>
      <c r="U575" s="119"/>
      <c r="V575" s="119"/>
      <c r="W575" s="119"/>
      <c r="X575" s="119"/>
      <c r="Y575" s="119"/>
      <c r="Z575" s="119"/>
      <c r="AA575" s="119"/>
    </row>
    <row r="576" spans="1:27" ht="15">
      <c r="A576" s="137">
        <v>1</v>
      </c>
      <c r="B576" s="138" t="s">
        <v>1613</v>
      </c>
      <c r="C576" s="139" t="s">
        <v>64</v>
      </c>
      <c r="D576" s="140">
        <v>46101</v>
      </c>
      <c r="E576" s="139" t="str">
        <f>VLOOKUP($C576,xe!$A:$B,2,0)</f>
        <v>50H-60635</v>
      </c>
      <c r="F576" s="141" t="str">
        <f>VLOOKUP($B576,ma!$A:$B,2,0)</f>
        <v>LOTTE-GÒ VẤP</v>
      </c>
      <c r="G576" s="142" t="s">
        <v>2082</v>
      </c>
      <c r="H576" s="126" t="s">
        <v>2083</v>
      </c>
      <c r="I576" s="132"/>
      <c r="J576" s="115" t="s">
        <v>140</v>
      </c>
      <c r="K576" s="129">
        <v>1.6</v>
      </c>
      <c r="L576" s="143">
        <f t="shared" si="84"/>
        <v>80000</v>
      </c>
      <c r="M576" s="132"/>
      <c r="N576" s="144"/>
      <c r="O576" s="144">
        <v>1</v>
      </c>
      <c r="P576" s="132">
        <f>VLOOKUP($B576,ma!$A:$C,3,0)</f>
        <v>800000</v>
      </c>
      <c r="Q576" s="132">
        <v>880000</v>
      </c>
      <c r="R576" s="149">
        <v>9.9999999999999895E-2</v>
      </c>
      <c r="S576" s="156"/>
      <c r="T576" s="156"/>
      <c r="U576" s="156"/>
      <c r="V576" s="156"/>
      <c r="W576" s="156"/>
      <c r="X576" s="156"/>
      <c r="Y576" s="156"/>
      <c r="Z576" s="156"/>
      <c r="AA576" s="156"/>
    </row>
    <row r="577" spans="1:27" ht="15">
      <c r="A577" s="107">
        <f t="shared" ref="A577:A622" si="85">A576+1</f>
        <v>2</v>
      </c>
      <c r="B577" s="108" t="s">
        <v>1613</v>
      </c>
      <c r="C577" s="109" t="s">
        <v>72</v>
      </c>
      <c r="D577" s="110">
        <v>46101</v>
      </c>
      <c r="E577" s="109" t="str">
        <f>VLOOKUP($C577,xe!$A:$B,2,0)</f>
        <v>47H-02023</v>
      </c>
      <c r="F577" s="111" t="str">
        <f>VLOOKUP($B577,ma!$A:$B,2,0)</f>
        <v>LOTTE-GÒ VẤP</v>
      </c>
      <c r="G577" s="112" t="s">
        <v>2084</v>
      </c>
      <c r="H577" s="113" t="s">
        <v>2083</v>
      </c>
      <c r="I577" s="114"/>
      <c r="J577" s="115" t="s">
        <v>140</v>
      </c>
      <c r="K577" s="116">
        <v>1.6</v>
      </c>
      <c r="L577" s="117">
        <f t="shared" si="84"/>
        <v>80000</v>
      </c>
      <c r="M577" s="114"/>
      <c r="N577" s="118"/>
      <c r="O577" s="118">
        <v>1</v>
      </c>
      <c r="P577" s="114">
        <f>VLOOKUP($B577,ma!$A:$C,3,0)</f>
        <v>800000</v>
      </c>
      <c r="Q577" s="132">
        <v>880000</v>
      </c>
      <c r="R577" s="149">
        <v>9.9999999999999895E-2</v>
      </c>
      <c r="S577" s="119"/>
      <c r="T577" s="119"/>
      <c r="U577" s="119"/>
      <c r="V577" s="119"/>
      <c r="W577" s="119"/>
      <c r="X577" s="119"/>
      <c r="Y577" s="119"/>
      <c r="Z577" s="119"/>
      <c r="AA577" s="119"/>
    </row>
    <row r="578" spans="1:27" ht="15">
      <c r="A578" s="107">
        <f t="shared" si="85"/>
        <v>3</v>
      </c>
      <c r="B578" s="108" t="s">
        <v>1613</v>
      </c>
      <c r="C578" s="109" t="s">
        <v>76</v>
      </c>
      <c r="D578" s="110">
        <v>46101</v>
      </c>
      <c r="E578" s="109" t="str">
        <f>VLOOKUP($C578,xe!$A:$B,2,0)</f>
        <v>51D-38021</v>
      </c>
      <c r="F578" s="111" t="str">
        <f>VLOOKUP($B578,ma!$A:$B,2,0)</f>
        <v>LOTTE-GÒ VẤP</v>
      </c>
      <c r="G578" s="112" t="s">
        <v>2085</v>
      </c>
      <c r="H578" s="113" t="s">
        <v>2083</v>
      </c>
      <c r="I578" s="114"/>
      <c r="J578" s="115" t="s">
        <v>140</v>
      </c>
      <c r="K578" s="116">
        <v>1.6</v>
      </c>
      <c r="L578" s="117">
        <f t="shared" si="84"/>
        <v>80000</v>
      </c>
      <c r="M578" s="114"/>
      <c r="N578" s="118"/>
      <c r="O578" s="118">
        <v>1</v>
      </c>
      <c r="P578" s="114">
        <f>VLOOKUP($B578,ma!$A:$C,3,0)</f>
        <v>800000</v>
      </c>
      <c r="Q578" s="132">
        <v>880000</v>
      </c>
      <c r="R578" s="149">
        <v>9.9999999999999895E-2</v>
      </c>
      <c r="S578" s="119"/>
      <c r="T578" s="119"/>
      <c r="U578" s="119"/>
      <c r="V578" s="119"/>
      <c r="W578" s="119"/>
      <c r="X578" s="119"/>
      <c r="Y578" s="119"/>
      <c r="Z578" s="119"/>
      <c r="AA578" s="119"/>
    </row>
    <row r="579" spans="1:27" ht="15">
      <c r="A579" s="107">
        <f t="shared" si="85"/>
        <v>4</v>
      </c>
      <c r="B579" s="108" t="s">
        <v>1613</v>
      </c>
      <c r="C579" s="109" t="s">
        <v>68</v>
      </c>
      <c r="D579" s="110">
        <v>46101</v>
      </c>
      <c r="E579" s="109" t="str">
        <f>VLOOKUP($C579,xe!$A:$B,2,0)</f>
        <v>50H-55829</v>
      </c>
      <c r="F579" s="111" t="str">
        <f>VLOOKUP($B579,ma!$A:$B,2,0)</f>
        <v>LOTTE-GÒ VẤP</v>
      </c>
      <c r="G579" s="112" t="s">
        <v>2086</v>
      </c>
      <c r="H579" s="113" t="s">
        <v>2083</v>
      </c>
      <c r="I579" s="114"/>
      <c r="J579" s="115" t="s">
        <v>140</v>
      </c>
      <c r="K579" s="116">
        <v>1.6</v>
      </c>
      <c r="L579" s="117">
        <f t="shared" si="84"/>
        <v>80000</v>
      </c>
      <c r="M579" s="114"/>
      <c r="N579" s="118"/>
      <c r="O579" s="118">
        <v>1</v>
      </c>
      <c r="P579" s="114">
        <f>VLOOKUP($B579,ma!$A:$C,3,0)</f>
        <v>800000</v>
      </c>
      <c r="Q579" s="132">
        <v>880000</v>
      </c>
      <c r="R579" s="149">
        <v>9.9999999999999895E-2</v>
      </c>
      <c r="S579" s="119"/>
      <c r="T579" s="119"/>
      <c r="U579" s="119"/>
      <c r="V579" s="119"/>
      <c r="W579" s="119"/>
      <c r="X579" s="119"/>
      <c r="Y579" s="119"/>
      <c r="Z579" s="119"/>
      <c r="AA579" s="119"/>
    </row>
    <row r="580" spans="1:27" ht="15">
      <c r="A580" s="107">
        <f t="shared" si="85"/>
        <v>5</v>
      </c>
      <c r="B580" s="108" t="s">
        <v>1562</v>
      </c>
      <c r="C580" s="109" t="s">
        <v>1404</v>
      </c>
      <c r="D580" s="110">
        <v>46101</v>
      </c>
      <c r="E580" s="109" t="str">
        <f>VLOOKUP($C580,xe!$A:$B,2,0)</f>
        <v>51C-81056</v>
      </c>
      <c r="F580" s="111" t="str">
        <f>VLOOKUP($B580,ma!$A:$B,2,0)</f>
        <v>AEON TÂN PHÚ</v>
      </c>
      <c r="G580" s="112" t="s">
        <v>2087</v>
      </c>
      <c r="H580" s="113" t="s">
        <v>2034</v>
      </c>
      <c r="I580" s="114"/>
      <c r="J580" s="115" t="s">
        <v>140</v>
      </c>
      <c r="K580" s="116">
        <v>1.6</v>
      </c>
      <c r="L580" s="117">
        <f t="shared" si="84"/>
        <v>80000</v>
      </c>
      <c r="M580" s="114"/>
      <c r="N580" s="118"/>
      <c r="O580" s="118">
        <v>1</v>
      </c>
      <c r="P580" s="114">
        <f>VLOOKUP($B580,ma!$A:$C,3,0)</f>
        <v>800000</v>
      </c>
      <c r="Q580" s="132">
        <v>880000</v>
      </c>
      <c r="R580" s="149">
        <v>9.9999999999999895E-2</v>
      </c>
      <c r="S580" s="119"/>
      <c r="T580" s="119"/>
      <c r="U580" s="119"/>
      <c r="V580" s="119"/>
      <c r="W580" s="119"/>
      <c r="X580" s="119"/>
      <c r="Y580" s="119"/>
      <c r="Z580" s="119"/>
      <c r="AA580" s="119"/>
    </row>
    <row r="581" spans="1:27" ht="15">
      <c r="A581" s="107">
        <f t="shared" si="85"/>
        <v>6</v>
      </c>
      <c r="B581" s="108" t="s">
        <v>1562</v>
      </c>
      <c r="C581" s="109" t="s">
        <v>62</v>
      </c>
      <c r="D581" s="110">
        <v>46101</v>
      </c>
      <c r="E581" s="109" t="str">
        <f>VLOOKUP($C581,xe!$A:$B,2,0)</f>
        <v>62H-01887</v>
      </c>
      <c r="F581" s="111" t="str">
        <f>VLOOKUP($B581,ma!$A:$B,2,0)</f>
        <v>AEON TÂN PHÚ</v>
      </c>
      <c r="G581" s="112" t="s">
        <v>2088</v>
      </c>
      <c r="H581" s="113" t="s">
        <v>2034</v>
      </c>
      <c r="I581" s="114"/>
      <c r="J581" s="115" t="s">
        <v>140</v>
      </c>
      <c r="K581" s="116">
        <v>1.6</v>
      </c>
      <c r="L581" s="117">
        <f t="shared" si="84"/>
        <v>80000</v>
      </c>
      <c r="M581" s="114"/>
      <c r="N581" s="118"/>
      <c r="O581" s="118">
        <v>1</v>
      </c>
      <c r="P581" s="114">
        <f>VLOOKUP($B581,ma!$A:$C,3,0)</f>
        <v>800000</v>
      </c>
      <c r="Q581" s="132">
        <v>880000</v>
      </c>
      <c r="R581" s="149">
        <v>9.9999999999999895E-2</v>
      </c>
      <c r="S581" s="119"/>
      <c r="T581" s="119"/>
      <c r="U581" s="119"/>
      <c r="V581" s="119"/>
      <c r="W581" s="119"/>
      <c r="X581" s="119"/>
      <c r="Y581" s="119"/>
      <c r="Z581" s="119"/>
      <c r="AA581" s="119"/>
    </row>
    <row r="582" spans="1:27" ht="15">
      <c r="A582" s="107">
        <f t="shared" si="85"/>
        <v>7</v>
      </c>
      <c r="B582" s="108" t="s">
        <v>1562</v>
      </c>
      <c r="C582" s="109" t="s">
        <v>1937</v>
      </c>
      <c r="D582" s="110">
        <v>46101</v>
      </c>
      <c r="E582" s="109" t="str">
        <f>VLOOKUP($C582,xe!$A:$B,2,0)</f>
        <v>50H-86564</v>
      </c>
      <c r="F582" s="111" t="str">
        <f>VLOOKUP($B582,ma!$A:$B,2,0)</f>
        <v>AEON TÂN PHÚ</v>
      </c>
      <c r="G582" s="112" t="s">
        <v>2089</v>
      </c>
      <c r="H582" s="113" t="s">
        <v>1512</v>
      </c>
      <c r="I582" s="114"/>
      <c r="J582" s="115" t="s">
        <v>140</v>
      </c>
      <c r="K582" s="116">
        <v>1.6</v>
      </c>
      <c r="L582" s="117">
        <f t="shared" si="84"/>
        <v>80000</v>
      </c>
      <c r="M582" s="114"/>
      <c r="N582" s="118"/>
      <c r="O582" s="118">
        <v>1</v>
      </c>
      <c r="P582" s="114">
        <f>VLOOKUP($B582,ma!$A:$C,3,0)</f>
        <v>800000</v>
      </c>
      <c r="Q582" s="132">
        <v>880000</v>
      </c>
      <c r="R582" s="149">
        <v>9.9999999999999895E-2</v>
      </c>
      <c r="S582" s="119"/>
      <c r="T582" s="119"/>
      <c r="U582" s="119"/>
      <c r="V582" s="119"/>
      <c r="W582" s="119"/>
      <c r="X582" s="119"/>
      <c r="Y582" s="119"/>
      <c r="Z582" s="119"/>
      <c r="AA582" s="119"/>
    </row>
    <row r="583" spans="1:27" ht="15">
      <c r="A583" s="107">
        <f t="shared" si="85"/>
        <v>8</v>
      </c>
      <c r="B583" s="108" t="s">
        <v>1520</v>
      </c>
      <c r="C583" s="109" t="s">
        <v>74</v>
      </c>
      <c r="D583" s="110">
        <v>46101</v>
      </c>
      <c r="E583" s="109" t="str">
        <f>VLOOKUP($C583,xe!$A:$B,2,0)</f>
        <v>50H-44024</v>
      </c>
      <c r="F583" s="111" t="str">
        <f>VLOOKUP($B583,ma!$A:$B,2,0)</f>
        <v>SEN VIỆT ( K BX )</v>
      </c>
      <c r="G583" s="112" t="s">
        <v>2090</v>
      </c>
      <c r="H583" s="113" t="s">
        <v>1512</v>
      </c>
      <c r="I583" s="114"/>
      <c r="J583" s="109"/>
      <c r="K583" s="116">
        <v>2</v>
      </c>
      <c r="L583" s="117"/>
      <c r="M583" s="114"/>
      <c r="N583" s="118"/>
      <c r="O583" s="118">
        <v>1</v>
      </c>
      <c r="P583" s="114">
        <f>VLOOKUP($B583,ma!$A:$C,3,0)</f>
        <v>800000</v>
      </c>
      <c r="Q583" s="132">
        <v>880000</v>
      </c>
      <c r="R583" s="149">
        <v>9.9999999999999895E-2</v>
      </c>
      <c r="S583" s="119"/>
      <c r="T583" s="119"/>
      <c r="U583" s="119"/>
      <c r="V583" s="119"/>
      <c r="W583" s="119"/>
      <c r="X583" s="119"/>
      <c r="Y583" s="119"/>
      <c r="Z583" s="119"/>
      <c r="AA583" s="119"/>
    </row>
    <row r="584" spans="1:27" ht="15">
      <c r="A584" s="107">
        <f t="shared" si="85"/>
        <v>9</v>
      </c>
      <c r="B584" s="108" t="s">
        <v>1520</v>
      </c>
      <c r="C584" s="109" t="s">
        <v>2037</v>
      </c>
      <c r="D584" s="110">
        <v>46101</v>
      </c>
      <c r="E584" s="133" t="str">
        <f>VLOOKUP($C584,xe!$A:$B,2,0)</f>
        <v>50E-565,21</v>
      </c>
      <c r="F584" s="111" t="str">
        <f>VLOOKUP($B584,ma!$A:$B,2,0)</f>
        <v>SEN VIỆT ( K BX )</v>
      </c>
      <c r="G584" s="112" t="s">
        <v>2091</v>
      </c>
      <c r="H584" s="113" t="s">
        <v>1512</v>
      </c>
      <c r="I584" s="114"/>
      <c r="J584" s="109"/>
      <c r="K584" s="116">
        <v>1.6</v>
      </c>
      <c r="L584" s="117"/>
      <c r="M584" s="114"/>
      <c r="N584" s="118"/>
      <c r="O584" s="118">
        <v>1</v>
      </c>
      <c r="P584" s="114">
        <f>VLOOKUP($B584,ma!$A:$C,3,0)</f>
        <v>800000</v>
      </c>
      <c r="Q584" s="132">
        <v>880000</v>
      </c>
      <c r="R584" s="149">
        <v>9.9999999999999895E-2</v>
      </c>
      <c r="S584" s="119"/>
      <c r="T584" s="119"/>
      <c r="U584" s="119"/>
      <c r="V584" s="119"/>
      <c r="W584" s="119"/>
      <c r="X584" s="119"/>
      <c r="Y584" s="119"/>
      <c r="Z584" s="119"/>
      <c r="AA584" s="119"/>
    </row>
    <row r="585" spans="1:27" ht="15">
      <c r="A585" s="107">
        <f t="shared" si="85"/>
        <v>10</v>
      </c>
      <c r="B585" s="108" t="s">
        <v>1747</v>
      </c>
      <c r="C585" s="109" t="s">
        <v>32</v>
      </c>
      <c r="D585" s="110">
        <v>46101</v>
      </c>
      <c r="E585" s="109" t="str">
        <f>VLOOKUP($C585,xe!$A:$B,2,0)</f>
        <v>50H-54580</v>
      </c>
      <c r="F585" s="111" t="str">
        <f>VLOOKUP($B585,ma!$A:$B,2,0)</f>
        <v>SATRA SÀI GÒN</v>
      </c>
      <c r="G585" s="112" t="s">
        <v>2092</v>
      </c>
      <c r="H585" s="113" t="s">
        <v>1512</v>
      </c>
      <c r="I585" s="114"/>
      <c r="J585" s="109"/>
      <c r="K585" s="116">
        <v>2</v>
      </c>
      <c r="L585" s="117">
        <f t="shared" ref="L585:L586" si="86">K585*50000</f>
        <v>100000</v>
      </c>
      <c r="M585" s="114"/>
      <c r="N585" s="118"/>
      <c r="O585" s="118">
        <v>1</v>
      </c>
      <c r="P585" s="114">
        <f>VLOOKUP($B585,ma!$A:$C,3,0)</f>
        <v>800000</v>
      </c>
      <c r="Q585" s="132">
        <v>880000</v>
      </c>
      <c r="R585" s="149">
        <v>9.9999999999999895E-2</v>
      </c>
      <c r="S585" s="119"/>
      <c r="T585" s="119"/>
      <c r="U585" s="119"/>
      <c r="V585" s="119"/>
      <c r="W585" s="119"/>
      <c r="X585" s="119"/>
      <c r="Y585" s="119"/>
      <c r="Z585" s="119"/>
      <c r="AA585" s="119"/>
    </row>
    <row r="586" spans="1:27" ht="15">
      <c r="A586" s="107">
        <f t="shared" si="85"/>
        <v>11</v>
      </c>
      <c r="B586" s="108" t="s">
        <v>1747</v>
      </c>
      <c r="C586" s="109" t="s">
        <v>1546</v>
      </c>
      <c r="D586" s="110">
        <v>46101</v>
      </c>
      <c r="E586" s="109" t="s">
        <v>5</v>
      </c>
      <c r="F586" s="111" t="str">
        <f>VLOOKUP($B586,ma!$A:$B,2,0)</f>
        <v>SATRA SÀI GÒN</v>
      </c>
      <c r="G586" s="112" t="s">
        <v>2093</v>
      </c>
      <c r="H586" s="113" t="s">
        <v>1512</v>
      </c>
      <c r="I586" s="114"/>
      <c r="J586" s="109"/>
      <c r="K586" s="116">
        <v>2</v>
      </c>
      <c r="L586" s="117">
        <f t="shared" si="86"/>
        <v>100000</v>
      </c>
      <c r="M586" s="114"/>
      <c r="N586" s="118"/>
      <c r="O586" s="118">
        <v>1</v>
      </c>
      <c r="P586" s="114">
        <f>VLOOKUP($B586,ma!$A:$C,3,0)</f>
        <v>800000</v>
      </c>
      <c r="Q586" s="132">
        <v>880000</v>
      </c>
      <c r="R586" s="149">
        <v>9.9999999999999895E-2</v>
      </c>
      <c r="S586" s="119"/>
      <c r="T586" s="119"/>
      <c r="U586" s="119"/>
      <c r="V586" s="119"/>
      <c r="W586" s="119"/>
      <c r="X586" s="119"/>
      <c r="Y586" s="119"/>
      <c r="Z586" s="119"/>
      <c r="AA586" s="119"/>
    </row>
    <row r="587" spans="1:27" ht="15">
      <c r="A587" s="107">
        <f t="shared" si="85"/>
        <v>12</v>
      </c>
      <c r="B587" s="108" t="s">
        <v>1866</v>
      </c>
      <c r="C587" s="109" t="s">
        <v>19</v>
      </c>
      <c r="D587" s="110">
        <v>46101</v>
      </c>
      <c r="E587" s="109" t="str">
        <f>VLOOKUP($C587,xe!$A:$B,2,0)</f>
        <v>51H -88294</v>
      </c>
      <c r="F587" s="111" t="str">
        <f>VLOOKUP($B587,ma!$A:$B,2,0)</f>
        <v>ANFOOD Q12 ( K BX )</v>
      </c>
      <c r="G587" s="112" t="s">
        <v>2094</v>
      </c>
      <c r="H587" s="113" t="s">
        <v>1512</v>
      </c>
      <c r="I587" s="114"/>
      <c r="J587" s="109"/>
      <c r="K587" s="116">
        <v>2</v>
      </c>
      <c r="L587" s="117">
        <v>50000</v>
      </c>
      <c r="M587" s="114"/>
      <c r="N587" s="118"/>
      <c r="O587" s="118">
        <v>1</v>
      </c>
      <c r="P587" s="114">
        <f>VLOOKUP($B587,ma!$A:$C,3,0)</f>
        <v>800000</v>
      </c>
      <c r="Q587" s="132">
        <v>880000</v>
      </c>
      <c r="R587" s="149">
        <v>9.9999999999999895E-2</v>
      </c>
      <c r="S587" s="119"/>
      <c r="T587" s="119"/>
      <c r="U587" s="119"/>
      <c r="V587" s="119"/>
      <c r="W587" s="119"/>
      <c r="X587" s="119"/>
      <c r="Y587" s="119"/>
      <c r="Z587" s="119"/>
      <c r="AA587" s="119"/>
    </row>
    <row r="588" spans="1:27" ht="15">
      <c r="A588" s="107">
        <f t="shared" si="85"/>
        <v>13</v>
      </c>
      <c r="B588" s="108" t="s">
        <v>1474</v>
      </c>
      <c r="C588" s="109" t="s">
        <v>1657</v>
      </c>
      <c r="D588" s="110">
        <v>46101</v>
      </c>
      <c r="E588" s="109" t="str">
        <f>VLOOKUP($C588,xe!$A:$B,2,0)</f>
        <v>50H-64470</v>
      </c>
      <c r="F588" s="111" t="str">
        <f>VLOOKUP($B588,ma!$A:$B,2,0)</f>
        <v>NGUYỄN TRƯƠNG</v>
      </c>
      <c r="G588" s="112" t="s">
        <v>2095</v>
      </c>
      <c r="H588" s="113" t="s">
        <v>1512</v>
      </c>
      <c r="I588" s="114"/>
      <c r="J588" s="109"/>
      <c r="K588" s="116">
        <v>2.2000000000000002</v>
      </c>
      <c r="L588" s="117">
        <f t="shared" ref="L588:L590" si="87">K588*50000</f>
        <v>110000.00000000001</v>
      </c>
      <c r="M588" s="114"/>
      <c r="N588" s="118"/>
      <c r="O588" s="118">
        <v>1</v>
      </c>
      <c r="P588" s="114">
        <f>VLOOKUP($B588,ma!$A:$C,3,0)</f>
        <v>800000</v>
      </c>
      <c r="Q588" s="132">
        <v>880000</v>
      </c>
      <c r="R588" s="149">
        <v>9.9999999999999895E-2</v>
      </c>
      <c r="S588" s="119"/>
      <c r="T588" s="119"/>
      <c r="U588" s="119"/>
      <c r="V588" s="119"/>
      <c r="W588" s="119"/>
      <c r="X588" s="119"/>
      <c r="Y588" s="119"/>
      <c r="Z588" s="119"/>
      <c r="AA588" s="119"/>
    </row>
    <row r="589" spans="1:27" ht="15">
      <c r="A589" s="107">
        <f t="shared" si="85"/>
        <v>14</v>
      </c>
      <c r="B589" s="108" t="s">
        <v>1474</v>
      </c>
      <c r="C589" s="109" t="s">
        <v>1669</v>
      </c>
      <c r="D589" s="110">
        <v>46101</v>
      </c>
      <c r="E589" s="109" t="str">
        <f>VLOOKUP($C589,xe!$A:$B,2,0)</f>
        <v>50H-69501</v>
      </c>
      <c r="F589" s="111" t="str">
        <f>VLOOKUP($B589,ma!$A:$B,2,0)</f>
        <v>NGUYỄN TRƯƠNG</v>
      </c>
      <c r="G589" s="112" t="s">
        <v>2096</v>
      </c>
      <c r="H589" s="113" t="s">
        <v>1512</v>
      </c>
      <c r="I589" s="114"/>
      <c r="J589" s="109"/>
      <c r="K589" s="116">
        <v>2.2000000000000002</v>
      </c>
      <c r="L589" s="117">
        <f t="shared" si="87"/>
        <v>110000.00000000001</v>
      </c>
      <c r="M589" s="114"/>
      <c r="N589" s="118"/>
      <c r="O589" s="118">
        <v>1</v>
      </c>
      <c r="P589" s="114">
        <f>VLOOKUP($B589,ma!$A:$C,3,0)</f>
        <v>800000</v>
      </c>
      <c r="Q589" s="132">
        <v>880000</v>
      </c>
      <c r="R589" s="149">
        <v>9.9999999999999895E-2</v>
      </c>
      <c r="S589" s="119"/>
      <c r="T589" s="119"/>
      <c r="U589" s="119"/>
      <c r="V589" s="119"/>
      <c r="W589" s="119"/>
      <c r="X589" s="119"/>
      <c r="Y589" s="119"/>
      <c r="Z589" s="119"/>
      <c r="AA589" s="119"/>
    </row>
    <row r="590" spans="1:27" ht="15">
      <c r="A590" s="107">
        <f t="shared" si="85"/>
        <v>15</v>
      </c>
      <c r="B590" s="108" t="s">
        <v>665</v>
      </c>
      <c r="C590" s="109" t="s">
        <v>1500</v>
      </c>
      <c r="D590" s="110">
        <v>46101</v>
      </c>
      <c r="E590" s="109" t="str">
        <f>VLOOKUP($C590,xe!$A:$B,2,0)</f>
        <v>50H 87442</v>
      </c>
      <c r="F590" s="111" t="str">
        <f>VLOOKUP($B590,ma!$A:$B,2,0)</f>
        <v>THANH MINH Q6</v>
      </c>
      <c r="G590" s="112" t="s">
        <v>2097</v>
      </c>
      <c r="H590" s="113" t="s">
        <v>1512</v>
      </c>
      <c r="I590" s="114"/>
      <c r="J590" s="115" t="s">
        <v>2098</v>
      </c>
      <c r="K590" s="116">
        <v>1.6</v>
      </c>
      <c r="L590" s="117">
        <f t="shared" si="87"/>
        <v>80000</v>
      </c>
      <c r="M590" s="114"/>
      <c r="N590" s="118"/>
      <c r="O590" s="118">
        <v>1</v>
      </c>
      <c r="P590" s="114">
        <f>VLOOKUP($B590,ma!$A:$C,3,0)</f>
        <v>800000</v>
      </c>
      <c r="Q590" s="132">
        <v>880000</v>
      </c>
      <c r="R590" s="149">
        <v>9.9999999999999895E-2</v>
      </c>
      <c r="S590" s="119"/>
      <c r="T590" s="119"/>
      <c r="U590" s="119"/>
      <c r="V590" s="119"/>
      <c r="W590" s="119"/>
      <c r="X590" s="119"/>
      <c r="Y590" s="119"/>
      <c r="Z590" s="119"/>
      <c r="AA590" s="119"/>
    </row>
    <row r="591" spans="1:27" ht="15">
      <c r="A591" s="107">
        <f t="shared" si="85"/>
        <v>16</v>
      </c>
      <c r="B591" s="108" t="s">
        <v>1835</v>
      </c>
      <c r="C591" s="109" t="s">
        <v>1655</v>
      </c>
      <c r="D591" s="110">
        <v>46101</v>
      </c>
      <c r="E591" s="109" t="str">
        <f>VLOOKUP($C591,xe!$A:$B,2,0)</f>
        <v>50H-70216</v>
      </c>
      <c r="F591" s="111" t="str">
        <f>VLOOKUP($B591,ma!$A:$B,2,0)</f>
        <v>LAM TÂN T.ĐỨC ( K BX)</v>
      </c>
      <c r="G591" s="112" t="s">
        <v>2099</v>
      </c>
      <c r="H591" s="113" t="s">
        <v>1512</v>
      </c>
      <c r="I591" s="114"/>
      <c r="J591" s="109"/>
      <c r="K591" s="116">
        <v>1.2</v>
      </c>
      <c r="L591" s="117">
        <v>50000</v>
      </c>
      <c r="M591" s="114"/>
      <c r="N591" s="118"/>
      <c r="O591" s="118">
        <v>1</v>
      </c>
      <c r="P591" s="114">
        <f>VLOOKUP($B591,ma!$A:$C,3,0)</f>
        <v>800000</v>
      </c>
      <c r="Q591" s="132">
        <v>880000</v>
      </c>
      <c r="R591" s="149">
        <v>9.9999999999999895E-2</v>
      </c>
      <c r="S591" s="119"/>
      <c r="T591" s="119"/>
      <c r="U591" s="119"/>
      <c r="V591" s="119"/>
      <c r="W591" s="119"/>
      <c r="X591" s="119"/>
      <c r="Y591" s="119"/>
      <c r="Z591" s="119"/>
      <c r="AA591" s="119"/>
    </row>
    <row r="592" spans="1:27" ht="15">
      <c r="A592" s="107">
        <f t="shared" si="85"/>
        <v>17</v>
      </c>
      <c r="B592" s="108" t="s">
        <v>1835</v>
      </c>
      <c r="C592" s="109" t="s">
        <v>1493</v>
      </c>
      <c r="D592" s="110">
        <v>46101</v>
      </c>
      <c r="E592" s="109" t="str">
        <f>VLOOKUP($C592,xe!$A:$B,2,0)</f>
        <v>50H-55161</v>
      </c>
      <c r="F592" s="111" t="str">
        <f>VLOOKUP($B592,ma!$A:$B,2,0)</f>
        <v>LAM TÂN T.ĐỨC ( K BX)</v>
      </c>
      <c r="G592" s="112" t="s">
        <v>2100</v>
      </c>
      <c r="H592" s="113" t="s">
        <v>1512</v>
      </c>
      <c r="I592" s="114"/>
      <c r="J592" s="109"/>
      <c r="K592" s="116">
        <v>1.2</v>
      </c>
      <c r="L592" s="117">
        <v>50000</v>
      </c>
      <c r="M592" s="114">
        <v>30000</v>
      </c>
      <c r="N592" s="118" t="s">
        <v>1423</v>
      </c>
      <c r="O592" s="118">
        <v>1</v>
      </c>
      <c r="P592" s="114">
        <f>VLOOKUP($B592,ma!$A:$C,3,0)</f>
        <v>800000</v>
      </c>
      <c r="Q592" s="132">
        <v>880000</v>
      </c>
      <c r="R592" s="149">
        <v>9.9999999999999895E-2</v>
      </c>
      <c r="S592" s="119"/>
      <c r="T592" s="119"/>
      <c r="U592" s="119"/>
      <c r="V592" s="119"/>
      <c r="W592" s="119"/>
      <c r="X592" s="119"/>
      <c r="Y592" s="119"/>
      <c r="Z592" s="119"/>
      <c r="AA592" s="119"/>
    </row>
    <row r="593" spans="1:27" ht="15">
      <c r="A593" s="107">
        <f t="shared" si="85"/>
        <v>18</v>
      </c>
      <c r="B593" s="108" t="s">
        <v>1576</v>
      </c>
      <c r="C593" s="109" t="s">
        <v>21</v>
      </c>
      <c r="D593" s="110">
        <v>46101</v>
      </c>
      <c r="E593" s="109" t="str">
        <f>VLOOKUP($C593,xe!$A:$B,2,0)</f>
        <v>50H-66445</v>
      </c>
      <c r="F593" s="111" t="str">
        <f>VLOOKUP($B593,ma!$A:$B,2,0)</f>
        <v>HỒNG Á ( K BX )</v>
      </c>
      <c r="G593" s="112" t="s">
        <v>2101</v>
      </c>
      <c r="H593" s="113" t="s">
        <v>1512</v>
      </c>
      <c r="I593" s="114"/>
      <c r="J593" s="109"/>
      <c r="K593" s="116">
        <v>1</v>
      </c>
      <c r="L593" s="117">
        <v>50000</v>
      </c>
      <c r="M593" s="114"/>
      <c r="N593" s="118"/>
      <c r="O593" s="118">
        <v>1</v>
      </c>
      <c r="P593" s="114">
        <f>VLOOKUP($B593,ma!$A:$C,3,0)</f>
        <v>800000</v>
      </c>
      <c r="Q593" s="132">
        <v>880000</v>
      </c>
      <c r="R593" s="149">
        <v>9.9999999999999895E-2</v>
      </c>
      <c r="S593" s="119"/>
      <c r="T593" s="119"/>
      <c r="U593" s="119"/>
      <c r="V593" s="119"/>
      <c r="W593" s="119"/>
      <c r="X593" s="119"/>
      <c r="Y593" s="119"/>
      <c r="Z593" s="119"/>
      <c r="AA593" s="119"/>
    </row>
    <row r="594" spans="1:27" ht="15">
      <c r="A594" s="107">
        <f t="shared" si="85"/>
        <v>19</v>
      </c>
      <c r="B594" s="108" t="s">
        <v>1471</v>
      </c>
      <c r="C594" s="109" t="s">
        <v>66</v>
      </c>
      <c r="D594" s="110">
        <v>46101</v>
      </c>
      <c r="E594" s="109" t="str">
        <f>VLOOKUP($C594,xe!$A:$B,2,0)</f>
        <v>50H-92136</v>
      </c>
      <c r="F594" s="111" t="str">
        <f>VLOOKUP($B594,ma!$A:$B,2,0)</f>
        <v>VỊ NGỌT HAPPY ( K BX )</v>
      </c>
      <c r="G594" s="112" t="s">
        <v>2102</v>
      </c>
      <c r="H594" s="113" t="s">
        <v>1512</v>
      </c>
      <c r="I594" s="114"/>
      <c r="J594" s="109"/>
      <c r="K594" s="116">
        <v>1.4</v>
      </c>
      <c r="L594" s="117"/>
      <c r="M594" s="114"/>
      <c r="N594" s="118"/>
      <c r="O594" s="118">
        <v>1</v>
      </c>
      <c r="P594" s="114">
        <f>VLOOKUP($B594,ma!$A:$C,3,0)</f>
        <v>800000</v>
      </c>
      <c r="Q594" s="132">
        <v>880000</v>
      </c>
      <c r="R594" s="149">
        <v>9.9999999999999895E-2</v>
      </c>
      <c r="S594" s="119"/>
      <c r="T594" s="119"/>
      <c r="U594" s="119"/>
      <c r="V594" s="119"/>
      <c r="W594" s="119"/>
      <c r="X594" s="119"/>
      <c r="Y594" s="119"/>
      <c r="Z594" s="119"/>
      <c r="AA594" s="119"/>
    </row>
    <row r="595" spans="1:27" ht="15">
      <c r="A595" s="107">
        <f t="shared" si="85"/>
        <v>20</v>
      </c>
      <c r="B595" s="108" t="s">
        <v>1462</v>
      </c>
      <c r="C595" s="109" t="s">
        <v>12</v>
      </c>
      <c r="D595" s="110">
        <v>46101</v>
      </c>
      <c r="E595" s="109" t="str">
        <f>VLOOKUP($C595,xe!$A:$B,2,0)</f>
        <v>50H-63174</v>
      </c>
      <c r="F595" s="111" t="str">
        <f>VLOOKUP($B595,ma!$A:$B,2,0)</f>
        <v>M. AN PHÚ</v>
      </c>
      <c r="G595" s="112" t="s">
        <v>1405</v>
      </c>
      <c r="H595" s="113" t="s">
        <v>1512</v>
      </c>
      <c r="I595" s="114"/>
      <c r="J595" s="147" t="s">
        <v>1457</v>
      </c>
      <c r="K595" s="116">
        <v>1</v>
      </c>
      <c r="L595" s="117">
        <f t="shared" ref="L595:L596" si="88">K595*50000</f>
        <v>50000</v>
      </c>
      <c r="M595" s="114"/>
      <c r="N595" s="118"/>
      <c r="O595" s="118">
        <v>1</v>
      </c>
      <c r="P595" s="114">
        <f>VLOOKUP($B595,ma!$A:$C,3,0)</f>
        <v>800000</v>
      </c>
      <c r="Q595" s="132">
        <v>880000</v>
      </c>
      <c r="R595" s="149">
        <v>9.9999999999999895E-2</v>
      </c>
      <c r="S595" s="119"/>
      <c r="T595" s="119"/>
      <c r="U595" s="119"/>
      <c r="V595" s="119"/>
      <c r="W595" s="119"/>
      <c r="X595" s="119"/>
      <c r="Y595" s="119"/>
      <c r="Z595" s="119"/>
      <c r="AA595" s="119"/>
    </row>
    <row r="596" spans="1:27" ht="15">
      <c r="A596" s="107">
        <f t="shared" si="85"/>
        <v>21</v>
      </c>
      <c r="B596" s="108" t="s">
        <v>2036</v>
      </c>
      <c r="C596" s="109" t="s">
        <v>8</v>
      </c>
      <c r="D596" s="110">
        <v>46101</v>
      </c>
      <c r="E596" s="109" t="str">
        <f>VLOOKUP($C596,xe!$A:$B,2,0)</f>
        <v>50H-64316</v>
      </c>
      <c r="F596" s="111" t="str">
        <f>VLOOKUP($B596,ma!$A:$B,2,0)</f>
        <v>QUẬN 9</v>
      </c>
      <c r="G596" s="112" t="s">
        <v>1652</v>
      </c>
      <c r="H596" s="113" t="s">
        <v>1512</v>
      </c>
      <c r="I596" s="114"/>
      <c r="J596" s="115" t="s">
        <v>2103</v>
      </c>
      <c r="K596" s="116">
        <v>1</v>
      </c>
      <c r="L596" s="117">
        <f t="shared" si="88"/>
        <v>50000</v>
      </c>
      <c r="M596" s="114"/>
      <c r="N596" s="118"/>
      <c r="O596" s="118">
        <v>1</v>
      </c>
      <c r="P596" s="114">
        <f>VLOOKUP($B596,ma!$A:$C,3,0)</f>
        <v>800000</v>
      </c>
      <c r="Q596" s="132">
        <v>880000</v>
      </c>
      <c r="R596" s="149">
        <v>9.9999999999999895E-2</v>
      </c>
      <c r="S596" s="119"/>
      <c r="T596" s="119"/>
      <c r="U596" s="119"/>
      <c r="V596" s="119"/>
      <c r="W596" s="119"/>
      <c r="X596" s="119"/>
      <c r="Y596" s="119"/>
      <c r="Z596" s="119"/>
      <c r="AA596" s="119"/>
    </row>
    <row r="597" spans="1:27" ht="15">
      <c r="A597" s="107">
        <f t="shared" si="85"/>
        <v>22</v>
      </c>
      <c r="B597" s="108" t="s">
        <v>1489</v>
      </c>
      <c r="C597" s="109" t="s">
        <v>1546</v>
      </c>
      <c r="D597" s="110">
        <v>46101</v>
      </c>
      <c r="E597" s="109" t="s">
        <v>5</v>
      </c>
      <c r="F597" s="111" t="str">
        <f>VLOOKUP($B597,ma!$A:$B,2,0)</f>
        <v>XUÂN VÂN ( K BX )</v>
      </c>
      <c r="G597" s="112" t="s">
        <v>2104</v>
      </c>
      <c r="H597" s="113" t="s">
        <v>1512</v>
      </c>
      <c r="I597" s="114"/>
      <c r="J597" s="109"/>
      <c r="K597" s="116">
        <v>1.8</v>
      </c>
      <c r="L597" s="117">
        <v>50000</v>
      </c>
      <c r="M597" s="114">
        <v>160000</v>
      </c>
      <c r="N597" s="118" t="s">
        <v>2105</v>
      </c>
      <c r="O597" s="118">
        <v>1</v>
      </c>
      <c r="P597" s="114">
        <f>VLOOKUP($B597,ma!$A:$C,3,0)</f>
        <v>800000</v>
      </c>
      <c r="Q597" s="132">
        <v>880000</v>
      </c>
      <c r="R597" s="149">
        <v>9.9999999999999895E-2</v>
      </c>
      <c r="S597" s="119"/>
      <c r="T597" s="119"/>
      <c r="U597" s="119"/>
      <c r="V597" s="119"/>
      <c r="W597" s="119"/>
      <c r="X597" s="119"/>
      <c r="Y597" s="119"/>
      <c r="Z597" s="119"/>
      <c r="AA597" s="119"/>
    </row>
    <row r="598" spans="1:27" ht="15">
      <c r="A598" s="107">
        <f t="shared" si="85"/>
        <v>23</v>
      </c>
      <c r="B598" s="108" t="s">
        <v>1489</v>
      </c>
      <c r="C598" s="109" t="s">
        <v>2077</v>
      </c>
      <c r="D598" s="110">
        <v>46101</v>
      </c>
      <c r="E598" s="109" t="str">
        <f>VLOOKUP($C598,xe!$A:$B,2,0)</f>
        <v>50H-54580</v>
      </c>
      <c r="F598" s="111" t="str">
        <f>VLOOKUP($B598,ma!$A:$B,2,0)</f>
        <v>XUÂN VÂN ( K BX )</v>
      </c>
      <c r="G598" s="112" t="s">
        <v>2106</v>
      </c>
      <c r="H598" s="113" t="s">
        <v>1512</v>
      </c>
      <c r="I598" s="114"/>
      <c r="J598" s="109"/>
      <c r="K598" s="116">
        <v>2</v>
      </c>
      <c r="L598" s="117">
        <v>50000</v>
      </c>
      <c r="M598" s="114"/>
      <c r="N598" s="118"/>
      <c r="O598" s="118">
        <v>1</v>
      </c>
      <c r="P598" s="114">
        <f>VLOOKUP($B598,ma!$A:$C,3,0)</f>
        <v>800000</v>
      </c>
      <c r="Q598" s="132">
        <v>880000</v>
      </c>
      <c r="R598" s="149">
        <v>9.9999999999999895E-2</v>
      </c>
      <c r="S598" s="119"/>
      <c r="T598" s="119"/>
      <c r="U598" s="119"/>
      <c r="V598" s="119"/>
      <c r="W598" s="119"/>
      <c r="X598" s="119"/>
      <c r="Y598" s="119"/>
      <c r="Z598" s="119"/>
      <c r="AA598" s="119"/>
    </row>
    <row r="599" spans="1:27" ht="15">
      <c r="A599" s="107">
        <f t="shared" si="85"/>
        <v>24</v>
      </c>
      <c r="B599" s="108" t="s">
        <v>515</v>
      </c>
      <c r="C599" s="109" t="s">
        <v>21</v>
      </c>
      <c r="D599" s="110">
        <v>46101</v>
      </c>
      <c r="E599" s="109" t="str">
        <f>VLOOKUP($C599,xe!$A:$B,2,0)</f>
        <v>50H-66445</v>
      </c>
      <c r="F599" s="111" t="str">
        <f>VLOOKUP($B599,ma!$A:$B,2,0)</f>
        <v>PHONG VÂN ( K BX )</v>
      </c>
      <c r="G599" s="112" t="s">
        <v>2107</v>
      </c>
      <c r="H599" s="113" t="s">
        <v>1512</v>
      </c>
      <c r="I599" s="114"/>
      <c r="J599" s="109"/>
      <c r="K599" s="116">
        <v>2.2000000000000002</v>
      </c>
      <c r="L599" s="117">
        <v>50000</v>
      </c>
      <c r="M599" s="114"/>
      <c r="N599" s="118"/>
      <c r="O599" s="118">
        <v>1</v>
      </c>
      <c r="P599" s="114">
        <f>VLOOKUP($B599,ma!$A:$C,3,0)</f>
        <v>800000</v>
      </c>
      <c r="Q599" s="132">
        <v>880000</v>
      </c>
      <c r="R599" s="149">
        <v>9.9999999999999895E-2</v>
      </c>
      <c r="S599" s="119"/>
      <c r="T599" s="119"/>
      <c r="U599" s="119"/>
      <c r="V599" s="119"/>
      <c r="W599" s="119"/>
      <c r="X599" s="119"/>
      <c r="Y599" s="119"/>
      <c r="Z599" s="119"/>
      <c r="AA599" s="119"/>
    </row>
    <row r="600" spans="1:27" ht="15">
      <c r="A600" s="107">
        <f t="shared" si="85"/>
        <v>25</v>
      </c>
      <c r="B600" s="108" t="s">
        <v>1591</v>
      </c>
      <c r="C600" s="109" t="s">
        <v>1506</v>
      </c>
      <c r="D600" s="110">
        <v>46101</v>
      </c>
      <c r="E600" s="109" t="str">
        <f>VLOOKUP($C600,xe!$A:$B,2,0)</f>
        <v>50H-55443</v>
      </c>
      <c r="F600" s="111" t="str">
        <f>VLOOKUP($B600,ma!$A:$B,2,0)</f>
        <v>DUY LINH</v>
      </c>
      <c r="G600" s="112" t="s">
        <v>2108</v>
      </c>
      <c r="H600" s="113" t="s">
        <v>1512</v>
      </c>
      <c r="I600" s="114"/>
      <c r="J600" s="109"/>
      <c r="K600" s="116">
        <v>2.2000000000000002</v>
      </c>
      <c r="L600" s="117">
        <f>K600*50000</f>
        <v>110000.00000000001</v>
      </c>
      <c r="M600" s="114"/>
      <c r="N600" s="118"/>
      <c r="O600" s="118">
        <v>1</v>
      </c>
      <c r="P600" s="114">
        <f>VLOOKUP($B600,ma!$A:$C,3,0)</f>
        <v>800000</v>
      </c>
      <c r="Q600" s="132">
        <v>880000</v>
      </c>
      <c r="R600" s="149">
        <v>9.9999999999999895E-2</v>
      </c>
      <c r="S600" s="119"/>
      <c r="T600" s="119"/>
      <c r="U600" s="119"/>
      <c r="V600" s="119"/>
      <c r="W600" s="119"/>
      <c r="X600" s="119"/>
      <c r="Y600" s="119"/>
      <c r="Z600" s="119"/>
      <c r="AA600" s="119"/>
    </row>
    <row r="601" spans="1:27" ht="15">
      <c r="A601" s="107">
        <f t="shared" si="85"/>
        <v>26</v>
      </c>
      <c r="B601" s="108" t="s">
        <v>1492</v>
      </c>
      <c r="C601" s="109" t="s">
        <v>2037</v>
      </c>
      <c r="D601" s="110">
        <v>46101</v>
      </c>
      <c r="E601" s="133" t="str">
        <f>VLOOKUP($C601,xe!$A:$B,2,0)</f>
        <v>50E-565,21</v>
      </c>
      <c r="F601" s="111" t="str">
        <f>VLOOKUP($B601,ma!$A:$B,2,0)</f>
        <v>BHX NHÀ BÈ</v>
      </c>
      <c r="G601" s="112" t="s">
        <v>2109</v>
      </c>
      <c r="H601" s="113" t="s">
        <v>1512</v>
      </c>
      <c r="I601" s="114"/>
      <c r="J601" s="115" t="s">
        <v>455</v>
      </c>
      <c r="K601" s="116">
        <v>1.8</v>
      </c>
      <c r="L601" s="117">
        <f>K601*80000</f>
        <v>144000</v>
      </c>
      <c r="M601" s="114"/>
      <c r="N601" s="118"/>
      <c r="O601" s="118">
        <v>1</v>
      </c>
      <c r="P601" s="114">
        <f>VLOOKUP($B601,ma!$A:$C,3,0)</f>
        <v>400000</v>
      </c>
      <c r="Q601" s="132">
        <v>440000</v>
      </c>
      <c r="R601" s="149">
        <v>9.9999999999999895E-2</v>
      </c>
      <c r="S601" s="119"/>
      <c r="T601" s="119"/>
      <c r="U601" s="119"/>
      <c r="V601" s="119"/>
      <c r="W601" s="119"/>
      <c r="X601" s="119"/>
      <c r="Y601" s="119"/>
      <c r="Z601" s="119"/>
      <c r="AA601" s="119"/>
    </row>
    <row r="602" spans="1:27" ht="15">
      <c r="A602" s="107">
        <f t="shared" si="85"/>
        <v>27</v>
      </c>
      <c r="B602" s="108" t="s">
        <v>1492</v>
      </c>
      <c r="C602" s="109" t="s">
        <v>1657</v>
      </c>
      <c r="D602" s="110">
        <v>46101</v>
      </c>
      <c r="E602" s="109" t="str">
        <f>VLOOKUP($C602,xe!$A:$B,2,0)</f>
        <v>50H-64470</v>
      </c>
      <c r="F602" s="111" t="str">
        <f>VLOOKUP($B602,ma!$A:$B,2,0)</f>
        <v>BHX NHÀ BÈ</v>
      </c>
      <c r="G602" s="112" t="s">
        <v>2110</v>
      </c>
      <c r="H602" s="113" t="s">
        <v>1512</v>
      </c>
      <c r="I602" s="114"/>
      <c r="J602" s="109"/>
      <c r="K602" s="116">
        <v>1.8</v>
      </c>
      <c r="L602" s="134">
        <v>210000</v>
      </c>
      <c r="M602" s="114">
        <v>30000</v>
      </c>
      <c r="N602" s="118" t="s">
        <v>1423</v>
      </c>
      <c r="O602" s="118">
        <v>1</v>
      </c>
      <c r="P602" s="114">
        <f>VLOOKUP($B602,ma!$A:$C,3,0)</f>
        <v>400000</v>
      </c>
      <c r="Q602" s="132">
        <v>440000</v>
      </c>
      <c r="R602" s="149">
        <v>9.9999999999999895E-2</v>
      </c>
      <c r="S602" s="119"/>
      <c r="T602" s="119"/>
      <c r="U602" s="119"/>
      <c r="V602" s="119"/>
      <c r="W602" s="119"/>
      <c r="X602" s="119"/>
      <c r="Y602" s="119"/>
      <c r="Z602" s="119"/>
      <c r="AA602" s="119"/>
    </row>
    <row r="603" spans="1:27" ht="15">
      <c r="A603" s="107">
        <f t="shared" si="85"/>
        <v>28</v>
      </c>
      <c r="B603" s="108" t="s">
        <v>1492</v>
      </c>
      <c r="C603" s="109" t="s">
        <v>1669</v>
      </c>
      <c r="D603" s="110">
        <v>46101</v>
      </c>
      <c r="E603" s="109" t="str">
        <f>VLOOKUP($C603,xe!$A:$B,2,0)</f>
        <v>50H-69501</v>
      </c>
      <c r="F603" s="111" t="str">
        <f>VLOOKUP($B603,ma!$A:$B,2,0)</f>
        <v>BHX NHÀ BÈ</v>
      </c>
      <c r="G603" s="112" t="s">
        <v>2111</v>
      </c>
      <c r="H603" s="113" t="s">
        <v>1512</v>
      </c>
      <c r="I603" s="114"/>
      <c r="J603" s="109"/>
      <c r="K603" s="116">
        <v>1.8</v>
      </c>
      <c r="L603" s="117">
        <f>K603*50000</f>
        <v>90000</v>
      </c>
      <c r="M603" s="114"/>
      <c r="N603" s="118"/>
      <c r="O603" s="118">
        <v>1</v>
      </c>
      <c r="P603" s="114">
        <f>VLOOKUP($B603,ma!$A:$C,3,0)</f>
        <v>400000</v>
      </c>
      <c r="Q603" s="132">
        <v>440000</v>
      </c>
      <c r="R603" s="149">
        <v>9.9999999999999895E-2</v>
      </c>
      <c r="S603" s="119"/>
      <c r="T603" s="119"/>
      <c r="U603" s="119"/>
      <c r="V603" s="119"/>
      <c r="W603" s="119"/>
      <c r="X603" s="119"/>
      <c r="Y603" s="119"/>
      <c r="Z603" s="119"/>
      <c r="AA603" s="119"/>
    </row>
    <row r="604" spans="1:27" ht="15">
      <c r="A604" s="107">
        <f t="shared" si="85"/>
        <v>29</v>
      </c>
      <c r="B604" s="108" t="s">
        <v>515</v>
      </c>
      <c r="C604" s="109" t="s">
        <v>1500</v>
      </c>
      <c r="D604" s="110">
        <v>46101</v>
      </c>
      <c r="E604" s="109" t="str">
        <f>VLOOKUP($C604,xe!$A:$B,2,0)</f>
        <v>50H 87442</v>
      </c>
      <c r="F604" s="111" t="str">
        <f>VLOOKUP($B604,ma!$A:$B,2,0)</f>
        <v>PHONG VÂN ( K BX )</v>
      </c>
      <c r="G604" s="112" t="s">
        <v>2112</v>
      </c>
      <c r="H604" s="113" t="s">
        <v>1512</v>
      </c>
      <c r="I604" s="114"/>
      <c r="J604" s="109"/>
      <c r="K604" s="116">
        <v>2.2000000000000002</v>
      </c>
      <c r="L604" s="117">
        <v>50000</v>
      </c>
      <c r="M604" s="114"/>
      <c r="N604" s="118"/>
      <c r="O604" s="118">
        <v>1</v>
      </c>
      <c r="P604" s="114">
        <f>VLOOKUP($B604,ma!$A:$C,3,0)</f>
        <v>800000</v>
      </c>
      <c r="Q604" s="132">
        <v>880000</v>
      </c>
      <c r="R604" s="149">
        <v>9.9999999999999895E-2</v>
      </c>
      <c r="S604" s="119"/>
      <c r="T604" s="119"/>
      <c r="U604" s="119"/>
      <c r="V604" s="119"/>
      <c r="W604" s="119"/>
      <c r="X604" s="119"/>
      <c r="Y604" s="119"/>
      <c r="Z604" s="119"/>
      <c r="AA604" s="119"/>
    </row>
    <row r="605" spans="1:27" ht="15">
      <c r="A605" s="107">
        <f t="shared" si="85"/>
        <v>30</v>
      </c>
      <c r="B605" s="108" t="s">
        <v>1872</v>
      </c>
      <c r="C605" s="109" t="s">
        <v>10</v>
      </c>
      <c r="D605" s="110">
        <v>46101</v>
      </c>
      <c r="E605" s="109" t="str">
        <f>VLOOKUP($C605,xe!$A:$B,2,0)</f>
        <v>50H-50999</v>
      </c>
      <c r="F605" s="111" t="str">
        <f>VLOOKUP($B605,ma!$A:$B,2,0)</f>
        <v>VĂN HẬU CỦ CHI</v>
      </c>
      <c r="G605" s="112" t="s">
        <v>1412</v>
      </c>
      <c r="H605" s="113" t="s">
        <v>1412</v>
      </c>
      <c r="I605" s="114"/>
      <c r="J605" s="109"/>
      <c r="K605" s="116">
        <v>1</v>
      </c>
      <c r="L605" s="134">
        <f>K605*100000</f>
        <v>100000</v>
      </c>
      <c r="M605" s="114"/>
      <c r="N605" s="118"/>
      <c r="O605" s="118">
        <v>1</v>
      </c>
      <c r="P605" s="114">
        <f>VLOOKUP($B605,ma!$A:$C,3,0)</f>
        <v>900000</v>
      </c>
      <c r="Q605" s="132">
        <v>990000</v>
      </c>
      <c r="R605" s="149">
        <v>9.9999999999999895E-2</v>
      </c>
      <c r="S605" s="119"/>
      <c r="T605" s="119"/>
      <c r="U605" s="119"/>
      <c r="V605" s="119"/>
      <c r="W605" s="119"/>
      <c r="X605" s="119"/>
      <c r="Y605" s="119"/>
      <c r="Z605" s="119"/>
      <c r="AA605" s="119"/>
    </row>
    <row r="606" spans="1:27" ht="15">
      <c r="A606" s="107">
        <f t="shared" si="85"/>
        <v>31</v>
      </c>
      <c r="B606" s="108" t="s">
        <v>1487</v>
      </c>
      <c r="C606" s="109" t="s">
        <v>1655</v>
      </c>
      <c r="D606" s="110">
        <v>46101</v>
      </c>
      <c r="E606" s="109" t="str">
        <f>VLOOKUP($C606,xe!$A:$B,2,0)</f>
        <v>50H-70216</v>
      </c>
      <c r="F606" s="111" t="str">
        <f>VLOOKUP($B606,ma!$A:$B,2,0)</f>
        <v>VĂN HẬU Q8 ( K BX )</v>
      </c>
      <c r="G606" s="112" t="s">
        <v>1412</v>
      </c>
      <c r="H606" s="113" t="s">
        <v>1412</v>
      </c>
      <c r="I606" s="114"/>
      <c r="J606" s="109"/>
      <c r="K606" s="116">
        <v>2.2000000000000002</v>
      </c>
      <c r="L606" s="117">
        <v>50000</v>
      </c>
      <c r="M606" s="114">
        <v>30000</v>
      </c>
      <c r="N606" s="118" t="s">
        <v>1423</v>
      </c>
      <c r="O606" s="118">
        <v>1</v>
      </c>
      <c r="P606" s="114">
        <f>VLOOKUP($B606,ma!$A:$C,3,0)</f>
        <v>800000</v>
      </c>
      <c r="Q606" s="132">
        <v>880000</v>
      </c>
      <c r="R606" s="149">
        <v>9.9999999999999895E-2</v>
      </c>
      <c r="S606" s="119"/>
      <c r="T606" s="119"/>
      <c r="U606" s="119"/>
      <c r="V606" s="119"/>
      <c r="W606" s="119"/>
      <c r="X606" s="119"/>
      <c r="Y606" s="119"/>
      <c r="Z606" s="119"/>
      <c r="AA606" s="119"/>
    </row>
    <row r="607" spans="1:27" ht="15">
      <c r="A607" s="107">
        <f t="shared" si="85"/>
        <v>32</v>
      </c>
      <c r="B607" s="108" t="s">
        <v>1063</v>
      </c>
      <c r="C607" s="109" t="s">
        <v>74</v>
      </c>
      <c r="D607" s="110">
        <v>46101</v>
      </c>
      <c r="E607" s="109" t="str">
        <f>VLOOKUP($C607,xe!$A:$B,2,0)</f>
        <v>50H-44024</v>
      </c>
      <c r="F607" s="111" t="str">
        <f>VLOOKUP($B607,ma!$A:$B,2,0)</f>
        <v>BHX CẦN ĐƯỚC</v>
      </c>
      <c r="G607" s="112" t="s">
        <v>2113</v>
      </c>
      <c r="H607" s="113" t="s">
        <v>1512</v>
      </c>
      <c r="I607" s="114"/>
      <c r="J607" s="109"/>
      <c r="K607" s="116">
        <v>1.8</v>
      </c>
      <c r="L607" s="134">
        <f>K607*100000</f>
        <v>180000</v>
      </c>
      <c r="M607" s="114"/>
      <c r="N607" s="118"/>
      <c r="O607" s="118">
        <v>1</v>
      </c>
      <c r="P607" s="114">
        <f>VLOOKUP($B607,ma!$A:$C,3,0)</f>
        <v>900000</v>
      </c>
      <c r="Q607" s="132">
        <v>990000</v>
      </c>
      <c r="R607" s="149">
        <v>9.9999999999999895E-2</v>
      </c>
      <c r="S607" s="119"/>
      <c r="T607" s="119"/>
      <c r="U607" s="119"/>
      <c r="V607" s="119"/>
      <c r="W607" s="119"/>
      <c r="X607" s="119"/>
      <c r="Y607" s="119"/>
      <c r="Z607" s="119"/>
      <c r="AA607" s="119"/>
    </row>
    <row r="608" spans="1:27" ht="15">
      <c r="A608" s="107">
        <f t="shared" si="85"/>
        <v>33</v>
      </c>
      <c r="B608" s="108" t="s">
        <v>1063</v>
      </c>
      <c r="C608" s="109" t="s">
        <v>1493</v>
      </c>
      <c r="D608" s="110">
        <v>46101</v>
      </c>
      <c r="E608" s="109" t="str">
        <f>VLOOKUP($C608,xe!$A:$B,2,0)</f>
        <v>50H-55161</v>
      </c>
      <c r="F608" s="111" t="str">
        <f>VLOOKUP($B608,ma!$A:$B,2,0)</f>
        <v>BHX CẦN ĐƯỚC</v>
      </c>
      <c r="G608" s="112" t="s">
        <v>2114</v>
      </c>
      <c r="H608" s="113" t="s">
        <v>1512</v>
      </c>
      <c r="I608" s="114"/>
      <c r="J608" s="109"/>
      <c r="K608" s="116">
        <v>1.8</v>
      </c>
      <c r="L608" s="134">
        <v>230000</v>
      </c>
      <c r="M608" s="114"/>
      <c r="N608" s="118"/>
      <c r="O608" s="118">
        <v>1</v>
      </c>
      <c r="P608" s="114">
        <f>VLOOKUP($B608,ma!$A:$C,3,0)</f>
        <v>900000</v>
      </c>
      <c r="Q608" s="132">
        <v>990000</v>
      </c>
      <c r="R608" s="149">
        <v>9.9999999999999895E-2</v>
      </c>
      <c r="S608" s="119"/>
      <c r="T608" s="119"/>
      <c r="U608" s="119"/>
      <c r="V608" s="119"/>
      <c r="W608" s="119"/>
      <c r="X608" s="119"/>
      <c r="Y608" s="119"/>
      <c r="Z608" s="119"/>
      <c r="AA608" s="119"/>
    </row>
    <row r="609" spans="1:27" ht="15">
      <c r="A609" s="107">
        <f t="shared" si="85"/>
        <v>34</v>
      </c>
      <c r="B609" s="108" t="s">
        <v>1063</v>
      </c>
      <c r="C609" s="109" t="s">
        <v>1500</v>
      </c>
      <c r="D609" s="110">
        <v>46101</v>
      </c>
      <c r="E609" s="109" t="str">
        <f>VLOOKUP($C609,xe!$A:$B,2,0)</f>
        <v>50H 87442</v>
      </c>
      <c r="F609" s="111" t="str">
        <f>VLOOKUP($B609,ma!$A:$B,2,0)</f>
        <v>BHX CẦN ĐƯỚC</v>
      </c>
      <c r="G609" s="112" t="s">
        <v>2115</v>
      </c>
      <c r="H609" s="113" t="s">
        <v>1512</v>
      </c>
      <c r="I609" s="114"/>
      <c r="J609" s="109"/>
      <c r="K609" s="116">
        <v>1.6</v>
      </c>
      <c r="L609" s="134">
        <v>210000</v>
      </c>
      <c r="M609" s="114">
        <v>30000</v>
      </c>
      <c r="N609" s="118" t="s">
        <v>1423</v>
      </c>
      <c r="O609" s="118">
        <v>1</v>
      </c>
      <c r="P609" s="114">
        <f>VLOOKUP($B609,ma!$A:$C,3,0)</f>
        <v>900000</v>
      </c>
      <c r="Q609" s="132">
        <v>990000</v>
      </c>
      <c r="R609" s="149">
        <v>9.9999999999999895E-2</v>
      </c>
      <c r="S609" s="119"/>
      <c r="T609" s="119"/>
      <c r="U609" s="119"/>
      <c r="V609" s="119"/>
      <c r="W609" s="119"/>
      <c r="X609" s="119"/>
      <c r="Y609" s="119"/>
      <c r="Z609" s="119"/>
      <c r="AA609" s="119"/>
    </row>
    <row r="610" spans="1:27" ht="15">
      <c r="A610" s="107">
        <f t="shared" si="85"/>
        <v>35</v>
      </c>
      <c r="B610" s="108" t="s">
        <v>1061</v>
      </c>
      <c r="C610" s="109" t="s">
        <v>21</v>
      </c>
      <c r="D610" s="110">
        <v>46101</v>
      </c>
      <c r="E610" s="109" t="str">
        <f>VLOOKUP($C610,xe!$A:$B,2,0)</f>
        <v>50H-66445</v>
      </c>
      <c r="F610" s="111" t="str">
        <f>VLOOKUP($B610,ma!$A:$B,2,0)</f>
        <v>BHX ( TĐN)</v>
      </c>
      <c r="G610" s="112" t="s">
        <v>2116</v>
      </c>
      <c r="H610" s="113" t="s">
        <v>1512</v>
      </c>
      <c r="I610" s="114"/>
      <c r="J610" s="109"/>
      <c r="K610" s="116">
        <v>1.6</v>
      </c>
      <c r="L610" s="134">
        <v>190000</v>
      </c>
      <c r="M610" s="114"/>
      <c r="N610" s="118"/>
      <c r="O610" s="118">
        <v>1</v>
      </c>
      <c r="P610" s="114">
        <f>VLOOKUP($B610,ma!$A:$C,3,0)</f>
        <v>800000</v>
      </c>
      <c r="Q610" s="132">
        <v>880000</v>
      </c>
      <c r="R610" s="149">
        <v>9.9999999999999895E-2</v>
      </c>
      <c r="S610" s="119"/>
      <c r="T610" s="119"/>
      <c r="U610" s="119"/>
      <c r="V610" s="119"/>
      <c r="W610" s="119"/>
      <c r="X610" s="119"/>
      <c r="Y610" s="119"/>
      <c r="Z610" s="119"/>
      <c r="AA610" s="119"/>
    </row>
    <row r="611" spans="1:27" ht="15">
      <c r="A611" s="107">
        <f t="shared" si="85"/>
        <v>36</v>
      </c>
      <c r="B611" s="108" t="s">
        <v>1009</v>
      </c>
      <c r="C611" s="109" t="s">
        <v>19</v>
      </c>
      <c r="D611" s="110">
        <v>46101</v>
      </c>
      <c r="E611" s="109" t="str">
        <f>VLOOKUP($C611,xe!$A:$B,2,0)</f>
        <v>51H -88294</v>
      </c>
      <c r="F611" s="111" t="str">
        <f>VLOOKUP($B611,ma!$A:$B,2,0)</f>
        <v>BC PHÚ THẠNH</v>
      </c>
      <c r="G611" s="112" t="s">
        <v>2117</v>
      </c>
      <c r="H611" s="113" t="s">
        <v>1512</v>
      </c>
      <c r="I611" s="114"/>
      <c r="J611" s="109"/>
      <c r="K611" s="116">
        <v>2.2000000000000002</v>
      </c>
      <c r="L611" s="117">
        <f t="shared" ref="L611:L632" si="89">K611*50000</f>
        <v>110000.00000000001</v>
      </c>
      <c r="M611" s="114">
        <v>45000</v>
      </c>
      <c r="N611" s="118" t="s">
        <v>2118</v>
      </c>
      <c r="O611" s="118">
        <v>1</v>
      </c>
      <c r="P611" s="114">
        <f>VLOOKUP($B611,ma!$A:$C,3,0)</f>
        <v>800000</v>
      </c>
      <c r="Q611" s="132">
        <v>880000</v>
      </c>
      <c r="R611" s="149">
        <v>9.9999999999999895E-2</v>
      </c>
      <c r="S611" s="119"/>
      <c r="T611" s="119"/>
      <c r="U611" s="119"/>
      <c r="V611" s="119"/>
      <c r="W611" s="119"/>
      <c r="X611" s="119"/>
      <c r="Y611" s="119"/>
      <c r="Z611" s="119"/>
      <c r="AA611" s="119"/>
    </row>
    <row r="612" spans="1:27" ht="15">
      <c r="A612" s="107">
        <f t="shared" si="85"/>
        <v>37</v>
      </c>
      <c r="B612" s="108" t="s">
        <v>1105</v>
      </c>
      <c r="C612" s="109" t="s">
        <v>1655</v>
      </c>
      <c r="D612" s="110">
        <v>46101</v>
      </c>
      <c r="E612" s="109" t="str">
        <f>VLOOKUP($C612,xe!$A:$B,2,0)</f>
        <v>50H-70216</v>
      </c>
      <c r="F612" s="111" t="str">
        <f>VLOOKUP($B612,ma!$A:$B,2,0)</f>
        <v>LOTTEMART-Q7</v>
      </c>
      <c r="G612" s="112" t="s">
        <v>2119</v>
      </c>
      <c r="H612" s="113" t="s">
        <v>1912</v>
      </c>
      <c r="I612" s="114"/>
      <c r="J612" s="109"/>
      <c r="K612" s="116">
        <v>1.4</v>
      </c>
      <c r="L612" s="117">
        <f t="shared" si="89"/>
        <v>70000</v>
      </c>
      <c r="M612" s="114"/>
      <c r="N612" s="118"/>
      <c r="O612" s="118">
        <v>1</v>
      </c>
      <c r="P612" s="114">
        <f>VLOOKUP($B612,ma!$A:$C,3,0)</f>
        <v>800000</v>
      </c>
      <c r="Q612" s="132">
        <v>880000</v>
      </c>
      <c r="R612" s="149">
        <v>9.9999999999999895E-2</v>
      </c>
      <c r="S612" s="119"/>
      <c r="T612" s="119"/>
      <c r="U612" s="119"/>
      <c r="V612" s="119"/>
      <c r="W612" s="119"/>
      <c r="X612" s="119"/>
      <c r="Y612" s="119"/>
      <c r="Z612" s="119"/>
      <c r="AA612" s="119"/>
    </row>
    <row r="613" spans="1:27" ht="15">
      <c r="A613" s="107">
        <f t="shared" si="85"/>
        <v>38</v>
      </c>
      <c r="B613" s="108" t="s">
        <v>1105</v>
      </c>
      <c r="C613" s="109" t="s">
        <v>1546</v>
      </c>
      <c r="D613" s="110">
        <v>46101</v>
      </c>
      <c r="E613" s="109" t="s">
        <v>5</v>
      </c>
      <c r="F613" s="111" t="str">
        <f>VLOOKUP($B613,ma!$A:$B,2,0)</f>
        <v>LOTTEMART-Q7</v>
      </c>
      <c r="G613" s="112" t="s">
        <v>2120</v>
      </c>
      <c r="H613" s="113" t="s">
        <v>1512</v>
      </c>
      <c r="I613" s="114"/>
      <c r="J613" s="109"/>
      <c r="K613" s="116">
        <v>1.4</v>
      </c>
      <c r="L613" s="117">
        <f t="shared" si="89"/>
        <v>70000</v>
      </c>
      <c r="M613" s="114"/>
      <c r="N613" s="118"/>
      <c r="O613" s="118">
        <v>1</v>
      </c>
      <c r="P613" s="114">
        <f>VLOOKUP($B613,ma!$A:$C,3,0)</f>
        <v>800000</v>
      </c>
      <c r="Q613" s="132">
        <v>880000</v>
      </c>
      <c r="R613" s="149">
        <v>9.9999999999999895E-2</v>
      </c>
      <c r="S613" s="119"/>
      <c r="T613" s="119"/>
      <c r="U613" s="119"/>
      <c r="V613" s="119"/>
      <c r="W613" s="119"/>
      <c r="X613" s="119"/>
      <c r="Y613" s="119"/>
      <c r="Z613" s="119"/>
      <c r="AA613" s="119"/>
    </row>
    <row r="614" spans="1:27" ht="15">
      <c r="A614" s="107">
        <f t="shared" si="85"/>
        <v>39</v>
      </c>
      <c r="B614" s="108" t="s">
        <v>1105</v>
      </c>
      <c r="C614" s="109" t="s">
        <v>32</v>
      </c>
      <c r="D614" s="110">
        <v>46101</v>
      </c>
      <c r="E614" s="109" t="str">
        <f>VLOOKUP($C614,xe!$A:$B,2,0)</f>
        <v>50H-54580</v>
      </c>
      <c r="F614" s="111" t="str">
        <f>VLOOKUP($B614,ma!$A:$B,2,0)</f>
        <v>LOTTEMART-Q7</v>
      </c>
      <c r="G614" s="112" t="s">
        <v>2121</v>
      </c>
      <c r="H614" s="113" t="s">
        <v>1512</v>
      </c>
      <c r="I614" s="114"/>
      <c r="J614" s="109"/>
      <c r="K614" s="116">
        <v>1.4</v>
      </c>
      <c r="L614" s="117">
        <f t="shared" si="89"/>
        <v>70000</v>
      </c>
      <c r="M614" s="114"/>
      <c r="N614" s="118"/>
      <c r="O614" s="118">
        <v>1</v>
      </c>
      <c r="P614" s="114">
        <f>VLOOKUP($B614,ma!$A:$C,3,0)</f>
        <v>800000</v>
      </c>
      <c r="Q614" s="132">
        <v>880000</v>
      </c>
      <c r="R614" s="149">
        <v>9.9999999999999895E-2</v>
      </c>
      <c r="S614" s="119"/>
      <c r="T614" s="119"/>
      <c r="U614" s="119"/>
      <c r="V614" s="119"/>
      <c r="W614" s="119"/>
      <c r="X614" s="119"/>
      <c r="Y614" s="119"/>
      <c r="Z614" s="119"/>
      <c r="AA614" s="119"/>
    </row>
    <row r="615" spans="1:27" ht="15">
      <c r="A615" s="107">
        <f t="shared" si="85"/>
        <v>40</v>
      </c>
      <c r="B615" s="108" t="s">
        <v>1107</v>
      </c>
      <c r="C615" s="109" t="s">
        <v>1404</v>
      </c>
      <c r="D615" s="110">
        <v>46101</v>
      </c>
      <c r="E615" s="109" t="str">
        <f>VLOOKUP($C615,xe!$A:$B,2,0)</f>
        <v>51C-81056</v>
      </c>
      <c r="F615" s="111" t="str">
        <f>VLOOKUP($B615,ma!$A:$B,2,0)</f>
        <v>LOTTE-PHU THO</v>
      </c>
      <c r="G615" s="112" t="s">
        <v>2122</v>
      </c>
      <c r="H615" s="113" t="s">
        <v>1912</v>
      </c>
      <c r="I615" s="114"/>
      <c r="J615" s="109"/>
      <c r="K615" s="116">
        <v>1.2</v>
      </c>
      <c r="L615" s="117">
        <f t="shared" si="89"/>
        <v>60000</v>
      </c>
      <c r="M615" s="114"/>
      <c r="N615" s="118"/>
      <c r="O615" s="118">
        <v>1</v>
      </c>
      <c r="P615" s="114">
        <f>VLOOKUP($B615,ma!$A:$C,3,0)</f>
        <v>800000</v>
      </c>
      <c r="Q615" s="132">
        <v>880000</v>
      </c>
      <c r="R615" s="149">
        <v>9.9999999999999895E-2</v>
      </c>
      <c r="S615" s="119"/>
      <c r="T615" s="119"/>
      <c r="U615" s="119"/>
      <c r="V615" s="119"/>
      <c r="W615" s="119"/>
      <c r="X615" s="119"/>
      <c r="Y615" s="119"/>
      <c r="Z615" s="119"/>
      <c r="AA615" s="119"/>
    </row>
    <row r="616" spans="1:27" ht="15">
      <c r="A616" s="107">
        <f t="shared" si="85"/>
        <v>41</v>
      </c>
      <c r="B616" s="108" t="s">
        <v>1107</v>
      </c>
      <c r="C616" s="109" t="s">
        <v>1408</v>
      </c>
      <c r="D616" s="110">
        <v>46101</v>
      </c>
      <c r="E616" s="109" t="str">
        <f>VLOOKUP($C616,xe!$A:$B,2,0)</f>
        <v>50H-11822</v>
      </c>
      <c r="F616" s="111" t="str">
        <f>VLOOKUP($B616,ma!$A:$B,2,0)</f>
        <v>LOTTE-PHU THO</v>
      </c>
      <c r="G616" s="112" t="s">
        <v>2123</v>
      </c>
      <c r="H616" s="113" t="s">
        <v>1512</v>
      </c>
      <c r="I616" s="114"/>
      <c r="J616" s="109"/>
      <c r="K616" s="116">
        <v>1.2</v>
      </c>
      <c r="L616" s="117">
        <f t="shared" si="89"/>
        <v>60000</v>
      </c>
      <c r="M616" s="114"/>
      <c r="N616" s="118"/>
      <c r="O616" s="118">
        <v>1</v>
      </c>
      <c r="P616" s="114">
        <f>VLOOKUP($B616,ma!$A:$C,3,0)</f>
        <v>800000</v>
      </c>
      <c r="Q616" s="132">
        <v>880000</v>
      </c>
      <c r="R616" s="149">
        <v>9.9999999999999895E-2</v>
      </c>
      <c r="S616" s="119"/>
      <c r="T616" s="119"/>
      <c r="U616" s="119"/>
      <c r="V616" s="119"/>
      <c r="W616" s="119"/>
      <c r="X616" s="119"/>
      <c r="Y616" s="119"/>
      <c r="Z616" s="119"/>
      <c r="AA616" s="119"/>
    </row>
    <row r="617" spans="1:27" ht="15">
      <c r="A617" s="107">
        <f t="shared" si="85"/>
        <v>42</v>
      </c>
      <c r="B617" s="108" t="s">
        <v>1462</v>
      </c>
      <c r="C617" s="109" t="s">
        <v>1506</v>
      </c>
      <c r="D617" s="110">
        <v>46101</v>
      </c>
      <c r="E617" s="109" t="str">
        <f>VLOOKUP($C617,xe!$A:$B,2,0)</f>
        <v>50H-55443</v>
      </c>
      <c r="F617" s="111" t="str">
        <f>VLOOKUP($B617,ma!$A:$B,2,0)</f>
        <v>M. AN PHÚ</v>
      </c>
      <c r="G617" s="112" t="s">
        <v>1405</v>
      </c>
      <c r="H617" s="113" t="s">
        <v>1512</v>
      </c>
      <c r="I617" s="114"/>
      <c r="J617" s="147" t="s">
        <v>1457</v>
      </c>
      <c r="K617" s="116">
        <v>2.2000000000000002</v>
      </c>
      <c r="L617" s="117">
        <f t="shared" si="89"/>
        <v>110000.00000000001</v>
      </c>
      <c r="M617" s="114">
        <v>30000</v>
      </c>
      <c r="N617" s="118" t="s">
        <v>1423</v>
      </c>
      <c r="O617" s="118">
        <v>1</v>
      </c>
      <c r="P617" s="114">
        <f>VLOOKUP($B617,ma!$A:$C,3,0)</f>
        <v>800000</v>
      </c>
      <c r="Q617" s="132">
        <v>880000</v>
      </c>
      <c r="R617" s="149">
        <v>9.9999999999999895E-2</v>
      </c>
      <c r="S617" s="119"/>
      <c r="T617" s="119"/>
      <c r="U617" s="119"/>
      <c r="V617" s="119"/>
      <c r="W617" s="119"/>
      <c r="X617" s="119"/>
      <c r="Y617" s="119"/>
      <c r="Z617" s="119"/>
      <c r="AA617" s="119"/>
    </row>
    <row r="618" spans="1:27" ht="15">
      <c r="A618" s="107">
        <f t="shared" si="85"/>
        <v>43</v>
      </c>
      <c r="B618" s="108" t="s">
        <v>1462</v>
      </c>
      <c r="C618" s="109" t="s">
        <v>1669</v>
      </c>
      <c r="D618" s="110">
        <v>46101</v>
      </c>
      <c r="E618" s="109" t="str">
        <f>VLOOKUP($C618,xe!$A:$B,2,0)</f>
        <v>50H-69501</v>
      </c>
      <c r="F618" s="111" t="str">
        <f>VLOOKUP($B618,ma!$A:$B,2,0)</f>
        <v>M. AN PHÚ</v>
      </c>
      <c r="G618" s="112" t="s">
        <v>1405</v>
      </c>
      <c r="H618" s="113" t="s">
        <v>1512</v>
      </c>
      <c r="I618" s="114"/>
      <c r="J618" s="147" t="s">
        <v>1457</v>
      </c>
      <c r="K618" s="116">
        <v>2.2000000000000002</v>
      </c>
      <c r="L618" s="117">
        <f t="shared" si="89"/>
        <v>110000.00000000001</v>
      </c>
      <c r="M618" s="114">
        <v>60000</v>
      </c>
      <c r="N618" s="118" t="s">
        <v>2124</v>
      </c>
      <c r="O618" s="118">
        <v>1</v>
      </c>
      <c r="P618" s="114">
        <f>VLOOKUP($B618,ma!$A:$C,3,0)</f>
        <v>800000</v>
      </c>
      <c r="Q618" s="132">
        <v>880000</v>
      </c>
      <c r="R618" s="149">
        <v>9.9999999999999895E-2</v>
      </c>
      <c r="S618" s="119"/>
      <c r="T618" s="119"/>
      <c r="U618" s="119"/>
      <c r="V618" s="119"/>
      <c r="W618" s="119"/>
      <c r="X618" s="119"/>
      <c r="Y618" s="119"/>
      <c r="Z618" s="119"/>
      <c r="AA618" s="119"/>
    </row>
    <row r="619" spans="1:27" ht="15">
      <c r="A619" s="107">
        <f t="shared" si="85"/>
        <v>44</v>
      </c>
      <c r="B619" s="108" t="s">
        <v>848</v>
      </c>
      <c r="C619" s="109" t="s">
        <v>12</v>
      </c>
      <c r="D619" s="110">
        <v>46101</v>
      </c>
      <c r="E619" s="109" t="str">
        <f>VLOOKUP($C619,xe!$A:$B,2,0)</f>
        <v>50H-63174</v>
      </c>
      <c r="F619" s="111" t="str">
        <f>VLOOKUP($B619,ma!$A:$B,2,0)</f>
        <v>VĂN HẬU Q8 ( K BX )</v>
      </c>
      <c r="G619" s="112" t="s">
        <v>1412</v>
      </c>
      <c r="H619" s="113" t="s">
        <v>1412</v>
      </c>
      <c r="I619" s="114"/>
      <c r="J619" s="115" t="s">
        <v>2125</v>
      </c>
      <c r="K619" s="116">
        <v>2.2000000000000002</v>
      </c>
      <c r="L619" s="117">
        <f t="shared" si="89"/>
        <v>110000.00000000001</v>
      </c>
      <c r="M619" s="114"/>
      <c r="N619" s="118"/>
      <c r="O619" s="118">
        <v>1</v>
      </c>
      <c r="P619" s="114">
        <f>VLOOKUP($B619,ma!$A:$C,3,0)</f>
        <v>800000</v>
      </c>
      <c r="Q619" s="132">
        <v>880000</v>
      </c>
      <c r="R619" s="149">
        <v>9.9999999999999895E-2</v>
      </c>
      <c r="S619" s="119"/>
      <c r="T619" s="119"/>
      <c r="U619" s="119"/>
      <c r="V619" s="119"/>
      <c r="W619" s="119"/>
      <c r="X619" s="119"/>
      <c r="Y619" s="119"/>
      <c r="Z619" s="119"/>
      <c r="AA619" s="119"/>
    </row>
    <row r="620" spans="1:27" ht="15">
      <c r="A620" s="107">
        <f t="shared" si="85"/>
        <v>45</v>
      </c>
      <c r="B620" s="108" t="s">
        <v>2126</v>
      </c>
      <c r="C620" s="109" t="s">
        <v>1657</v>
      </c>
      <c r="D620" s="110">
        <v>46101</v>
      </c>
      <c r="E620" s="109" t="str">
        <f>VLOOKUP($C620,xe!$A:$B,2,0)</f>
        <v>50H-64470</v>
      </c>
      <c r="F620" s="111" t="str">
        <f>VLOOKUP($B620,ma!$A:$B,2,0)</f>
        <v>POYUN TÂN UYÊN</v>
      </c>
      <c r="G620" s="112" t="s">
        <v>1405</v>
      </c>
      <c r="H620" s="113" t="s">
        <v>1512</v>
      </c>
      <c r="I620" s="114"/>
      <c r="J620" s="109"/>
      <c r="K620" s="116">
        <v>1.8</v>
      </c>
      <c r="L620" s="117">
        <f t="shared" si="89"/>
        <v>90000</v>
      </c>
      <c r="M620" s="114"/>
      <c r="N620" s="118"/>
      <c r="O620" s="118">
        <v>1</v>
      </c>
      <c r="P620" s="114">
        <f>VLOOKUP($B620,ma!$A:$C,3,0)</f>
        <v>1200000</v>
      </c>
      <c r="Q620" s="132">
        <v>1100000</v>
      </c>
      <c r="R620" s="149">
        <v>9.9999999999999895E-2</v>
      </c>
      <c r="S620" s="119"/>
      <c r="T620" s="119"/>
      <c r="U620" s="119"/>
      <c r="V620" s="119"/>
      <c r="W620" s="119"/>
      <c r="X620" s="119"/>
      <c r="Y620" s="119"/>
      <c r="Z620" s="119"/>
      <c r="AA620" s="119"/>
    </row>
    <row r="621" spans="1:27" ht="15">
      <c r="A621" s="107">
        <f t="shared" si="85"/>
        <v>46</v>
      </c>
      <c r="B621" s="108" t="s">
        <v>2126</v>
      </c>
      <c r="C621" s="109" t="s">
        <v>2037</v>
      </c>
      <c r="D621" s="110">
        <v>46101</v>
      </c>
      <c r="E621" s="133" t="str">
        <f>VLOOKUP($C621,xe!$A:$B,2,0)</f>
        <v>50E-565,21</v>
      </c>
      <c r="F621" s="111" t="str">
        <f>VLOOKUP($B621,ma!$A:$B,2,0)</f>
        <v>POYUN TÂN UYÊN</v>
      </c>
      <c r="G621" s="112" t="s">
        <v>1405</v>
      </c>
      <c r="H621" s="113" t="s">
        <v>1512</v>
      </c>
      <c r="I621" s="114"/>
      <c r="J621" s="109"/>
      <c r="K621" s="116">
        <v>1.8</v>
      </c>
      <c r="L621" s="117">
        <f t="shared" si="89"/>
        <v>90000</v>
      </c>
      <c r="M621" s="114"/>
      <c r="N621" s="118"/>
      <c r="O621" s="118">
        <v>1</v>
      </c>
      <c r="P621" s="114">
        <f>VLOOKUP($B621,ma!$A:$C,3,0)</f>
        <v>1200000</v>
      </c>
      <c r="Q621" s="132">
        <v>1100000</v>
      </c>
      <c r="R621" s="149">
        <v>9.9999999999999895E-2</v>
      </c>
      <c r="S621" s="119"/>
      <c r="T621" s="119"/>
      <c r="U621" s="119"/>
      <c r="V621" s="119"/>
      <c r="W621" s="119"/>
      <c r="X621" s="119"/>
      <c r="Y621" s="119"/>
      <c r="Z621" s="119"/>
      <c r="AA621" s="119"/>
    </row>
    <row r="622" spans="1:27" ht="15">
      <c r="A622" s="107">
        <f t="shared" si="85"/>
        <v>47</v>
      </c>
      <c r="B622" s="108" t="s">
        <v>2126</v>
      </c>
      <c r="C622" s="109" t="s">
        <v>31</v>
      </c>
      <c r="D622" s="110">
        <v>46101</v>
      </c>
      <c r="E622" s="109" t="str">
        <f>VLOOKUP($C622,xe!$A:$B,2,0)</f>
        <v>50H-74619</v>
      </c>
      <c r="F622" s="111" t="str">
        <f>VLOOKUP($B622,ma!$A:$B,2,0)</f>
        <v>POYUN TÂN UYÊN</v>
      </c>
      <c r="G622" s="112" t="s">
        <v>1405</v>
      </c>
      <c r="H622" s="113" t="s">
        <v>1512</v>
      </c>
      <c r="I622" s="114"/>
      <c r="J622" s="109"/>
      <c r="K622" s="116">
        <v>1.6</v>
      </c>
      <c r="L622" s="117">
        <f t="shared" si="89"/>
        <v>80000</v>
      </c>
      <c r="M622" s="114">
        <v>30000</v>
      </c>
      <c r="N622" s="118" t="s">
        <v>1423</v>
      </c>
      <c r="O622" s="118">
        <v>1</v>
      </c>
      <c r="P622" s="114">
        <f>VLOOKUP($B622,ma!$A:$C,3,0)</f>
        <v>1200000</v>
      </c>
      <c r="Q622" s="132">
        <v>1100000</v>
      </c>
      <c r="R622" s="149">
        <v>9.9999999999999895E-2</v>
      </c>
      <c r="S622" s="119"/>
      <c r="T622" s="119"/>
      <c r="U622" s="119"/>
      <c r="V622" s="119"/>
      <c r="W622" s="119"/>
      <c r="X622" s="119"/>
      <c r="Y622" s="119"/>
      <c r="Z622" s="119"/>
      <c r="AA622" s="119"/>
    </row>
    <row r="623" spans="1:27" ht="16">
      <c r="A623" s="107"/>
      <c r="B623" s="108"/>
      <c r="C623" s="152" t="s">
        <v>8</v>
      </c>
      <c r="D623" s="153">
        <v>46101</v>
      </c>
      <c r="E623" s="152" t="str">
        <f>VLOOKUP($C623,xe!$A:$B,2,0)</f>
        <v>50H-64316</v>
      </c>
      <c r="F623" s="158" t="s">
        <v>2127</v>
      </c>
      <c r="G623" s="155" t="s">
        <v>2128</v>
      </c>
      <c r="H623" s="113" t="s">
        <v>1512</v>
      </c>
      <c r="I623" s="135"/>
      <c r="J623" s="152" t="s">
        <v>2129</v>
      </c>
      <c r="K623" s="116">
        <v>1</v>
      </c>
      <c r="L623" s="117">
        <f t="shared" si="89"/>
        <v>50000</v>
      </c>
      <c r="M623" s="135">
        <v>130000</v>
      </c>
      <c r="N623" s="136"/>
      <c r="O623" s="136">
        <v>1</v>
      </c>
      <c r="P623" s="127">
        <v>1100000</v>
      </c>
      <c r="Q623" s="127">
        <v>1100000</v>
      </c>
      <c r="R623" s="159">
        <v>9.9999999999999895E-2</v>
      </c>
      <c r="S623" s="119"/>
      <c r="T623" s="119"/>
      <c r="U623" s="119"/>
      <c r="V623" s="119"/>
      <c r="W623" s="119"/>
      <c r="X623" s="119"/>
      <c r="Y623" s="119"/>
      <c r="Z623" s="119"/>
      <c r="AA623" s="119"/>
    </row>
    <row r="624" spans="1:27" ht="15">
      <c r="A624" s="137">
        <v>1</v>
      </c>
      <c r="B624" s="138" t="s">
        <v>2130</v>
      </c>
      <c r="C624" s="139" t="s">
        <v>72</v>
      </c>
      <c r="D624" s="140">
        <v>46102</v>
      </c>
      <c r="E624" s="139" t="str">
        <f>VLOOKUP($C624,xe!$A:$B,2,0)</f>
        <v>47H-02023</v>
      </c>
      <c r="F624" s="141" t="str">
        <f>VLOOKUP($B624,ma!$A:$B,2,0)</f>
        <v>METRO BIEN HOA</v>
      </c>
      <c r="G624" s="142" t="s">
        <v>2131</v>
      </c>
      <c r="H624" s="126" t="s">
        <v>1512</v>
      </c>
      <c r="I624" s="132"/>
      <c r="J624" s="139"/>
      <c r="K624" s="129">
        <v>1.8</v>
      </c>
      <c r="L624" s="143">
        <f t="shared" si="89"/>
        <v>90000</v>
      </c>
      <c r="M624" s="132"/>
      <c r="N624" s="144"/>
      <c r="O624" s="144">
        <v>1</v>
      </c>
      <c r="P624" s="132">
        <f>VLOOKUP($B624,ma!$A:$C,3,0)</f>
        <v>900000</v>
      </c>
      <c r="Q624" s="132">
        <v>990000</v>
      </c>
      <c r="R624" s="149">
        <v>9.9999999999999895E-2</v>
      </c>
      <c r="S624" s="156"/>
      <c r="T624" s="156"/>
      <c r="U624" s="156"/>
      <c r="V624" s="156"/>
      <c r="W624" s="156"/>
      <c r="X624" s="156"/>
      <c r="Y624" s="156"/>
      <c r="Z624" s="156"/>
      <c r="AA624" s="156"/>
    </row>
    <row r="625" spans="1:27" ht="15">
      <c r="A625" s="107">
        <f t="shared" ref="A625:A649" si="90">A624+1</f>
        <v>2</v>
      </c>
      <c r="B625" s="108" t="s">
        <v>2130</v>
      </c>
      <c r="C625" s="109" t="s">
        <v>76</v>
      </c>
      <c r="D625" s="110">
        <v>46102</v>
      </c>
      <c r="E625" s="109" t="str">
        <f>VLOOKUP($C625,xe!$A:$B,2,0)</f>
        <v>51D-38021</v>
      </c>
      <c r="F625" s="111" t="str">
        <f>VLOOKUP($B625,ma!$A:$B,2,0)</f>
        <v>METRO BIEN HOA</v>
      </c>
      <c r="G625" s="112" t="s">
        <v>2132</v>
      </c>
      <c r="H625" s="113" t="s">
        <v>1512</v>
      </c>
      <c r="I625" s="114"/>
      <c r="J625" s="109"/>
      <c r="K625" s="116">
        <v>1.8</v>
      </c>
      <c r="L625" s="117">
        <f t="shared" si="89"/>
        <v>90000</v>
      </c>
      <c r="M625" s="114"/>
      <c r="N625" s="118"/>
      <c r="O625" s="118">
        <v>1</v>
      </c>
      <c r="P625" s="114">
        <f>VLOOKUP($B625,ma!$A:$C,3,0)</f>
        <v>900000</v>
      </c>
      <c r="Q625" s="132">
        <v>990000</v>
      </c>
      <c r="R625" s="149">
        <v>9.9999999999999895E-2</v>
      </c>
      <c r="S625" s="119"/>
      <c r="T625" s="119"/>
      <c r="U625" s="119"/>
      <c r="V625" s="119"/>
      <c r="W625" s="119"/>
      <c r="X625" s="119"/>
      <c r="Y625" s="119"/>
      <c r="Z625" s="119"/>
      <c r="AA625" s="119"/>
    </row>
    <row r="626" spans="1:27" ht="15">
      <c r="A626" s="107">
        <f t="shared" si="90"/>
        <v>3</v>
      </c>
      <c r="B626" s="108" t="s">
        <v>2130</v>
      </c>
      <c r="C626" s="109" t="s">
        <v>1937</v>
      </c>
      <c r="D626" s="110">
        <v>46102</v>
      </c>
      <c r="E626" s="109" t="str">
        <f>VLOOKUP($C626,xe!$A:$B,2,0)</f>
        <v>50H-86564</v>
      </c>
      <c r="F626" s="111" t="str">
        <f>VLOOKUP($B626,ma!$A:$B,2,0)</f>
        <v>METRO BIEN HOA</v>
      </c>
      <c r="G626" s="112" t="s">
        <v>2133</v>
      </c>
      <c r="H626" s="113" t="s">
        <v>1512</v>
      </c>
      <c r="I626" s="114"/>
      <c r="J626" s="109"/>
      <c r="K626" s="116">
        <v>1.8</v>
      </c>
      <c r="L626" s="117">
        <f t="shared" si="89"/>
        <v>90000</v>
      </c>
      <c r="M626" s="114"/>
      <c r="N626" s="118"/>
      <c r="O626" s="118">
        <v>1</v>
      </c>
      <c r="P626" s="114">
        <f>VLOOKUP($B626,ma!$A:$C,3,0)</f>
        <v>900000</v>
      </c>
      <c r="Q626" s="132">
        <v>990000</v>
      </c>
      <c r="R626" s="149">
        <v>9.9999999999999895E-2</v>
      </c>
      <c r="S626" s="119"/>
      <c r="T626" s="119"/>
      <c r="U626" s="119"/>
      <c r="V626" s="119"/>
      <c r="W626" s="119"/>
      <c r="X626" s="119"/>
      <c r="Y626" s="119"/>
      <c r="Z626" s="119"/>
      <c r="AA626" s="119"/>
    </row>
    <row r="627" spans="1:27" ht="15">
      <c r="A627" s="107">
        <f t="shared" si="90"/>
        <v>4</v>
      </c>
      <c r="B627" s="108" t="s">
        <v>2130</v>
      </c>
      <c r="C627" s="109" t="s">
        <v>68</v>
      </c>
      <c r="D627" s="110">
        <v>46102</v>
      </c>
      <c r="E627" s="109" t="str">
        <f>VLOOKUP($C627,xe!$A:$B,2,0)</f>
        <v>50H-55829</v>
      </c>
      <c r="F627" s="111" t="str">
        <f>VLOOKUP($B627,ma!$A:$B,2,0)</f>
        <v>METRO BIEN HOA</v>
      </c>
      <c r="G627" s="112" t="s">
        <v>2134</v>
      </c>
      <c r="H627" s="113" t="s">
        <v>1512</v>
      </c>
      <c r="I627" s="114"/>
      <c r="J627" s="109"/>
      <c r="K627" s="116">
        <v>1.8</v>
      </c>
      <c r="L627" s="117">
        <f t="shared" si="89"/>
        <v>90000</v>
      </c>
      <c r="M627" s="114"/>
      <c r="N627" s="118"/>
      <c r="O627" s="118">
        <v>1</v>
      </c>
      <c r="P627" s="114">
        <f>VLOOKUP($B627,ma!$A:$C,3,0)</f>
        <v>900000</v>
      </c>
      <c r="Q627" s="132">
        <v>990000</v>
      </c>
      <c r="R627" s="149">
        <v>9.9999999999999895E-2</v>
      </c>
      <c r="S627" s="119"/>
      <c r="T627" s="119"/>
      <c r="U627" s="119"/>
      <c r="V627" s="119"/>
      <c r="W627" s="119"/>
      <c r="X627" s="119"/>
      <c r="Y627" s="119"/>
      <c r="Z627" s="119"/>
      <c r="AA627" s="119"/>
    </row>
    <row r="628" spans="1:27" ht="15">
      <c r="A628" s="107">
        <f t="shared" si="90"/>
        <v>5</v>
      </c>
      <c r="B628" s="108" t="s">
        <v>2130</v>
      </c>
      <c r="C628" s="109" t="s">
        <v>62</v>
      </c>
      <c r="D628" s="110">
        <v>46102</v>
      </c>
      <c r="E628" s="109" t="str">
        <f>VLOOKUP($C628,xe!$A:$B,2,0)</f>
        <v>62H-01887</v>
      </c>
      <c r="F628" s="111" t="str">
        <f>VLOOKUP($B628,ma!$A:$B,2,0)</f>
        <v>METRO BIEN HOA</v>
      </c>
      <c r="G628" s="112" t="s">
        <v>2135</v>
      </c>
      <c r="H628" s="113" t="s">
        <v>1512</v>
      </c>
      <c r="I628" s="114"/>
      <c r="J628" s="109"/>
      <c r="K628" s="116">
        <v>1.8</v>
      </c>
      <c r="L628" s="117">
        <f t="shared" si="89"/>
        <v>90000</v>
      </c>
      <c r="M628" s="114"/>
      <c r="N628" s="118"/>
      <c r="O628" s="118">
        <v>1</v>
      </c>
      <c r="P628" s="114">
        <f>VLOOKUP($B628,ma!$A:$C,3,0)</f>
        <v>900000</v>
      </c>
      <c r="Q628" s="132">
        <v>990000</v>
      </c>
      <c r="R628" s="149">
        <v>9.9999999999999895E-2</v>
      </c>
      <c r="S628" s="119"/>
      <c r="T628" s="119"/>
      <c r="U628" s="119"/>
      <c r="V628" s="119"/>
      <c r="W628" s="119"/>
      <c r="X628" s="119"/>
      <c r="Y628" s="119"/>
      <c r="Z628" s="119"/>
      <c r="AA628" s="119"/>
    </row>
    <row r="629" spans="1:27" ht="15">
      <c r="A629" s="107">
        <f t="shared" si="90"/>
        <v>6</v>
      </c>
      <c r="B629" s="108" t="s">
        <v>2130</v>
      </c>
      <c r="C629" s="109" t="s">
        <v>64</v>
      </c>
      <c r="D629" s="110">
        <v>46102</v>
      </c>
      <c r="E629" s="109" t="str">
        <f>VLOOKUP($C629,xe!$A:$B,2,0)</f>
        <v>50H-60635</v>
      </c>
      <c r="F629" s="111" t="str">
        <f>VLOOKUP($B629,ma!$A:$B,2,0)</f>
        <v>METRO BIEN HOA</v>
      </c>
      <c r="G629" s="112" t="s">
        <v>2136</v>
      </c>
      <c r="H629" s="113" t="s">
        <v>1512</v>
      </c>
      <c r="I629" s="114"/>
      <c r="J629" s="109"/>
      <c r="K629" s="116">
        <v>2</v>
      </c>
      <c r="L629" s="117">
        <f t="shared" si="89"/>
        <v>100000</v>
      </c>
      <c r="M629" s="114"/>
      <c r="N629" s="118"/>
      <c r="O629" s="118">
        <v>1</v>
      </c>
      <c r="P629" s="114">
        <f>VLOOKUP($B629,ma!$A:$C,3,0)</f>
        <v>900000</v>
      </c>
      <c r="Q629" s="132">
        <v>990000</v>
      </c>
      <c r="R629" s="149">
        <v>9.9999999999999895E-2</v>
      </c>
      <c r="S629" s="119"/>
      <c r="T629" s="119"/>
      <c r="U629" s="119"/>
      <c r="V629" s="119"/>
      <c r="W629" s="119"/>
      <c r="X629" s="119"/>
      <c r="Y629" s="119"/>
      <c r="Z629" s="119"/>
      <c r="AA629" s="119"/>
    </row>
    <row r="630" spans="1:27" ht="15">
      <c r="A630" s="107">
        <f t="shared" si="90"/>
        <v>7</v>
      </c>
      <c r="B630" s="108" t="s">
        <v>1758</v>
      </c>
      <c r="C630" s="109" t="s">
        <v>66</v>
      </c>
      <c r="D630" s="110">
        <v>46102</v>
      </c>
      <c r="E630" s="109" t="str">
        <f>VLOOKUP($C630,xe!$A:$B,2,0)</f>
        <v>50H-92136</v>
      </c>
      <c r="F630" s="111" t="str">
        <f>VLOOKUP($B630,ma!$A:$B,2,0)</f>
        <v>M. BÌNH PHÚ</v>
      </c>
      <c r="G630" s="112" t="s">
        <v>2137</v>
      </c>
      <c r="H630" s="113" t="s">
        <v>1512</v>
      </c>
      <c r="I630" s="114"/>
      <c r="J630" s="109"/>
      <c r="K630" s="116">
        <v>1.6</v>
      </c>
      <c r="L630" s="117">
        <f t="shared" si="89"/>
        <v>80000</v>
      </c>
      <c r="M630" s="114"/>
      <c r="N630" s="118"/>
      <c r="O630" s="118">
        <v>1</v>
      </c>
      <c r="P630" s="114">
        <f>VLOOKUP($B630,ma!$A:$C,3,0)</f>
        <v>800000</v>
      </c>
      <c r="Q630" s="132">
        <v>880000</v>
      </c>
      <c r="R630" s="149">
        <v>9.9999999999999895E-2</v>
      </c>
      <c r="S630" s="119"/>
      <c r="T630" s="119"/>
      <c r="U630" s="119"/>
      <c r="V630" s="119"/>
      <c r="W630" s="119"/>
      <c r="X630" s="119"/>
      <c r="Y630" s="119"/>
      <c r="Z630" s="119"/>
      <c r="AA630" s="119"/>
    </row>
    <row r="631" spans="1:27" ht="15">
      <c r="A631" s="107">
        <f t="shared" si="90"/>
        <v>8</v>
      </c>
      <c r="B631" s="108" t="s">
        <v>814</v>
      </c>
      <c r="C631" s="109" t="s">
        <v>10</v>
      </c>
      <c r="D631" s="110">
        <v>46102</v>
      </c>
      <c r="E631" s="109" t="str">
        <f>VLOOKUP($C631,xe!$A:$B,2,0)</f>
        <v>50H-50999</v>
      </c>
      <c r="F631" s="111" t="str">
        <f>VLOOKUP($B631,ma!$A:$B,2,0)</f>
        <v>VINAFOOD KYOEI</v>
      </c>
      <c r="G631" s="112" t="s">
        <v>2138</v>
      </c>
      <c r="H631" s="113" t="s">
        <v>1512</v>
      </c>
      <c r="I631" s="114"/>
      <c r="J631" s="109"/>
      <c r="K631" s="116">
        <v>1.6</v>
      </c>
      <c r="L631" s="117">
        <f t="shared" si="89"/>
        <v>80000</v>
      </c>
      <c r="M631" s="114"/>
      <c r="N631" s="118"/>
      <c r="O631" s="118">
        <v>1</v>
      </c>
      <c r="P631" s="114">
        <f>VLOOKUP($B631,ma!$A:$C,3,0)</f>
        <v>800000</v>
      </c>
      <c r="Q631" s="132">
        <v>880000</v>
      </c>
      <c r="R631" s="149">
        <v>9.9999999999999895E-2</v>
      </c>
      <c r="S631" s="119"/>
      <c r="T631" s="119"/>
      <c r="U631" s="119"/>
      <c r="V631" s="119"/>
      <c r="W631" s="119"/>
      <c r="X631" s="119"/>
      <c r="Y631" s="119"/>
      <c r="Z631" s="119"/>
      <c r="AA631" s="119"/>
    </row>
    <row r="632" spans="1:27" ht="15">
      <c r="A632" s="107">
        <f t="shared" si="90"/>
        <v>9</v>
      </c>
      <c r="B632" s="108" t="s">
        <v>814</v>
      </c>
      <c r="C632" s="109" t="s">
        <v>8</v>
      </c>
      <c r="D632" s="110">
        <v>46102</v>
      </c>
      <c r="E632" s="109" t="str">
        <f>VLOOKUP($C632,xe!$A:$B,2,0)</f>
        <v>50H-64316</v>
      </c>
      <c r="F632" s="111" t="str">
        <f>VLOOKUP($B632,ma!$A:$B,2,0)</f>
        <v>VINAFOOD KYOEI</v>
      </c>
      <c r="G632" s="112" t="s">
        <v>2139</v>
      </c>
      <c r="H632" s="113" t="s">
        <v>1512</v>
      </c>
      <c r="I632" s="114"/>
      <c r="J632" s="109"/>
      <c r="K632" s="116">
        <v>1.6</v>
      </c>
      <c r="L632" s="117">
        <f t="shared" si="89"/>
        <v>80000</v>
      </c>
      <c r="M632" s="114"/>
      <c r="N632" s="118"/>
      <c r="O632" s="118">
        <v>1</v>
      </c>
      <c r="P632" s="114">
        <f>VLOOKUP($B632,ma!$A:$C,3,0)</f>
        <v>800000</v>
      </c>
      <c r="Q632" s="132">
        <v>880000</v>
      </c>
      <c r="R632" s="149">
        <v>9.9999999999999895E-2</v>
      </c>
      <c r="S632" s="119"/>
      <c r="T632" s="119"/>
      <c r="U632" s="119"/>
      <c r="V632" s="119"/>
      <c r="W632" s="119"/>
      <c r="X632" s="119"/>
      <c r="Y632" s="119"/>
      <c r="Z632" s="119"/>
      <c r="AA632" s="119"/>
    </row>
    <row r="633" spans="1:27" ht="15">
      <c r="A633" s="107">
        <f t="shared" si="90"/>
        <v>10</v>
      </c>
      <c r="B633" s="108" t="s">
        <v>1520</v>
      </c>
      <c r="C633" s="109" t="s">
        <v>1404</v>
      </c>
      <c r="D633" s="110">
        <v>46102</v>
      </c>
      <c r="E633" s="109" t="str">
        <f>VLOOKUP($C633,xe!$A:$B,2,0)</f>
        <v>51C-81056</v>
      </c>
      <c r="F633" s="111" t="str">
        <f>VLOOKUP($B633,ma!$A:$B,2,0)</f>
        <v>SEN VIỆT ( K BX )</v>
      </c>
      <c r="G633" s="112" t="s">
        <v>2140</v>
      </c>
      <c r="H633" s="113" t="s">
        <v>1512</v>
      </c>
      <c r="I633" s="114"/>
      <c r="J633" s="109"/>
      <c r="K633" s="116">
        <v>1.8</v>
      </c>
      <c r="L633" s="117"/>
      <c r="M633" s="114"/>
      <c r="N633" s="118"/>
      <c r="O633" s="118">
        <v>1</v>
      </c>
      <c r="P633" s="114">
        <f>VLOOKUP($B633,ma!$A:$C,3,0)</f>
        <v>800000</v>
      </c>
      <c r="Q633" s="132">
        <v>880000</v>
      </c>
      <c r="R633" s="149">
        <v>9.9999999999999895E-2</v>
      </c>
      <c r="S633" s="119"/>
      <c r="T633" s="119"/>
      <c r="U633" s="119"/>
      <c r="V633" s="119"/>
      <c r="W633" s="119"/>
      <c r="X633" s="119"/>
      <c r="Y633" s="119"/>
      <c r="Z633" s="119"/>
      <c r="AA633" s="119"/>
    </row>
    <row r="634" spans="1:27" ht="15">
      <c r="A634" s="107">
        <f t="shared" si="90"/>
        <v>11</v>
      </c>
      <c r="B634" s="108" t="s">
        <v>1718</v>
      </c>
      <c r="C634" s="109" t="s">
        <v>32</v>
      </c>
      <c r="D634" s="110">
        <v>46102</v>
      </c>
      <c r="E634" s="109" t="str">
        <f>VLOOKUP($C634,xe!$A:$B,2,0)</f>
        <v>50H-54580</v>
      </c>
      <c r="F634" s="111" t="str">
        <f>VLOOKUP($B634,ma!$A:$B,2,0)</f>
        <v>NAM VIỆT ĐỖ ( K BX )</v>
      </c>
      <c r="G634" s="112" t="s">
        <v>2141</v>
      </c>
      <c r="H634" s="113" t="s">
        <v>1512</v>
      </c>
      <c r="I634" s="114"/>
      <c r="J634" s="109"/>
      <c r="K634" s="116">
        <v>1.2</v>
      </c>
      <c r="L634" s="117">
        <v>50000</v>
      </c>
      <c r="M634" s="114"/>
      <c r="N634" s="118"/>
      <c r="O634" s="118">
        <v>1</v>
      </c>
      <c r="P634" s="114">
        <f>VLOOKUP($B634,ma!$A:$C,3,0)</f>
        <v>800000</v>
      </c>
      <c r="Q634" s="132">
        <v>880000</v>
      </c>
      <c r="R634" s="149">
        <v>9.9999999999999895E-2</v>
      </c>
      <c r="S634" s="119"/>
      <c r="T634" s="119"/>
      <c r="U634" s="119"/>
      <c r="V634" s="119"/>
      <c r="W634" s="119"/>
      <c r="X634" s="119"/>
      <c r="Y634" s="119"/>
      <c r="Z634" s="119"/>
      <c r="AA634" s="119"/>
    </row>
    <row r="635" spans="1:27" ht="15">
      <c r="A635" s="107">
        <f t="shared" si="90"/>
        <v>12</v>
      </c>
      <c r="B635" s="108" t="s">
        <v>1718</v>
      </c>
      <c r="C635" s="109" t="s">
        <v>18</v>
      </c>
      <c r="D635" s="110">
        <v>46102</v>
      </c>
      <c r="E635" s="109" t="s">
        <v>5</v>
      </c>
      <c r="F635" s="111" t="str">
        <f>VLOOKUP($B635,ma!$A:$B,2,0)</f>
        <v>NAM VIỆT ĐỖ ( K BX )</v>
      </c>
      <c r="G635" s="112" t="s">
        <v>2142</v>
      </c>
      <c r="H635" s="113" t="s">
        <v>1512</v>
      </c>
      <c r="I635" s="114"/>
      <c r="J635" s="109"/>
      <c r="K635" s="116">
        <v>1.2</v>
      </c>
      <c r="L635" s="117">
        <v>50000</v>
      </c>
      <c r="M635" s="114"/>
      <c r="N635" s="118"/>
      <c r="O635" s="118">
        <v>1</v>
      </c>
      <c r="P635" s="114">
        <f>VLOOKUP($B635,ma!$A:$C,3,0)</f>
        <v>800000</v>
      </c>
      <c r="Q635" s="132">
        <v>880000</v>
      </c>
      <c r="R635" s="149">
        <v>9.9999999999999895E-2</v>
      </c>
      <c r="S635" s="119"/>
      <c r="T635" s="119"/>
      <c r="U635" s="119"/>
      <c r="V635" s="119"/>
      <c r="W635" s="119"/>
      <c r="X635" s="119"/>
      <c r="Y635" s="119"/>
      <c r="Z635" s="119"/>
      <c r="AA635" s="119"/>
    </row>
    <row r="636" spans="1:27" ht="15">
      <c r="A636" s="107">
        <f t="shared" si="90"/>
        <v>13</v>
      </c>
      <c r="B636" s="108" t="s">
        <v>1718</v>
      </c>
      <c r="C636" s="109" t="s">
        <v>21</v>
      </c>
      <c r="D636" s="110">
        <v>46102</v>
      </c>
      <c r="E636" s="109" t="str">
        <f>VLOOKUP($C636,xe!$A:$B,2,0)</f>
        <v>50H-66445</v>
      </c>
      <c r="F636" s="111" t="str">
        <f>VLOOKUP($B636,ma!$A:$B,2,0)</f>
        <v>NAM VIỆT ĐỖ ( K BX )</v>
      </c>
      <c r="G636" s="112" t="s">
        <v>2143</v>
      </c>
      <c r="H636" s="113" t="s">
        <v>1512</v>
      </c>
      <c r="I636" s="114"/>
      <c r="J636" s="109"/>
      <c r="K636" s="116">
        <v>1.8</v>
      </c>
      <c r="L636" s="117">
        <v>50000</v>
      </c>
      <c r="M636" s="114"/>
      <c r="N636" s="118"/>
      <c r="O636" s="118">
        <v>1</v>
      </c>
      <c r="P636" s="114">
        <f>VLOOKUP($B636,ma!$A:$C,3,0)</f>
        <v>800000</v>
      </c>
      <c r="Q636" s="132">
        <v>880000</v>
      </c>
      <c r="R636" s="149">
        <v>9.9999999999999895E-2</v>
      </c>
      <c r="S636" s="119"/>
      <c r="T636" s="119"/>
      <c r="U636" s="119"/>
      <c r="V636" s="119"/>
      <c r="W636" s="119"/>
      <c r="X636" s="119"/>
      <c r="Y636" s="119"/>
      <c r="Z636" s="119"/>
      <c r="AA636" s="119"/>
    </row>
    <row r="637" spans="1:27" ht="15">
      <c r="A637" s="107">
        <f t="shared" si="90"/>
        <v>14</v>
      </c>
      <c r="B637" s="108" t="s">
        <v>1471</v>
      </c>
      <c r="C637" s="109" t="s">
        <v>60</v>
      </c>
      <c r="D637" s="110">
        <v>46102</v>
      </c>
      <c r="E637" s="109" t="str">
        <f>VLOOKUP($C637,xe!$A:$B,2,0)</f>
        <v>50H-11822</v>
      </c>
      <c r="F637" s="111" t="str">
        <f>VLOOKUP($B637,ma!$A:$B,2,0)</f>
        <v>VỊ NGỌT HAPPY ( K BX )</v>
      </c>
      <c r="G637" s="112" t="s">
        <v>2144</v>
      </c>
      <c r="H637" s="113" t="s">
        <v>1512</v>
      </c>
      <c r="I637" s="114"/>
      <c r="J637" s="109"/>
      <c r="K637" s="116">
        <v>1.2</v>
      </c>
      <c r="L637" s="117"/>
      <c r="M637" s="114"/>
      <c r="N637" s="118"/>
      <c r="O637" s="118">
        <v>1</v>
      </c>
      <c r="P637" s="114">
        <f>VLOOKUP($B637,ma!$A:$C,3,0)</f>
        <v>800000</v>
      </c>
      <c r="Q637" s="132">
        <v>880000</v>
      </c>
      <c r="R637" s="149">
        <v>9.9999999999999895E-2</v>
      </c>
      <c r="S637" s="119"/>
      <c r="T637" s="119"/>
      <c r="U637" s="119"/>
      <c r="V637" s="119"/>
      <c r="W637" s="119"/>
      <c r="X637" s="119"/>
      <c r="Y637" s="119"/>
      <c r="Z637" s="119"/>
      <c r="AA637" s="119"/>
    </row>
    <row r="638" spans="1:27" ht="15">
      <c r="A638" s="107">
        <f t="shared" si="90"/>
        <v>15</v>
      </c>
      <c r="B638" s="108" t="s">
        <v>2145</v>
      </c>
      <c r="C638" s="109" t="s">
        <v>1490</v>
      </c>
      <c r="D638" s="110">
        <v>46102</v>
      </c>
      <c r="E638" s="109" t="str">
        <f>VLOOKUP($C638,xe!$A:$B,2,0)</f>
        <v>50H-44024</v>
      </c>
      <c r="F638" s="111" t="str">
        <f>VLOOKUP($B638,ma!$A:$B,2,0)</f>
        <v>VƯƠNG TƯỜNG VÂN</v>
      </c>
      <c r="G638" s="112" t="s">
        <v>2146</v>
      </c>
      <c r="H638" s="113" t="s">
        <v>1512</v>
      </c>
      <c r="I638" s="114"/>
      <c r="J638" s="109"/>
      <c r="K638" s="116">
        <v>1</v>
      </c>
      <c r="L638" s="117">
        <f>K638*50000</f>
        <v>50000</v>
      </c>
      <c r="M638" s="114">
        <v>50000</v>
      </c>
      <c r="N638" s="118" t="s">
        <v>2147</v>
      </c>
      <c r="O638" s="118">
        <v>1</v>
      </c>
      <c r="P638" s="114">
        <f>VLOOKUP($B638,ma!$A:$C,3,0)</f>
        <v>800000</v>
      </c>
      <c r="Q638" s="132">
        <v>880000</v>
      </c>
      <c r="R638" s="149">
        <v>9.9999999999999895E-2</v>
      </c>
      <c r="S638" s="119"/>
      <c r="T638" s="119"/>
      <c r="U638" s="119"/>
      <c r="V638" s="119"/>
      <c r="W638" s="119"/>
      <c r="X638" s="119"/>
      <c r="Y638" s="119"/>
      <c r="Z638" s="119"/>
      <c r="AA638" s="119"/>
    </row>
    <row r="639" spans="1:27" ht="15">
      <c r="A639" s="107">
        <f t="shared" si="90"/>
        <v>16</v>
      </c>
      <c r="B639" s="108" t="s">
        <v>1489</v>
      </c>
      <c r="C639" s="109" t="s">
        <v>1655</v>
      </c>
      <c r="D639" s="110">
        <v>46102</v>
      </c>
      <c r="E639" s="109" t="str">
        <f>VLOOKUP($C639,xe!$A:$B,2,0)</f>
        <v>50H-70216</v>
      </c>
      <c r="F639" s="111" t="str">
        <f>VLOOKUP($B639,ma!$A:$B,2,0)</f>
        <v>XUÂN VÂN ( K BX )</v>
      </c>
      <c r="G639" s="112" t="s">
        <v>2148</v>
      </c>
      <c r="H639" s="113" t="s">
        <v>1512</v>
      </c>
      <c r="I639" s="114"/>
      <c r="J639" s="109"/>
      <c r="K639" s="116">
        <v>1.8</v>
      </c>
      <c r="L639" s="117">
        <v>50000</v>
      </c>
      <c r="M639" s="114"/>
      <c r="N639" s="118"/>
      <c r="O639" s="118">
        <v>1</v>
      </c>
      <c r="P639" s="114">
        <f>VLOOKUP($B639,ma!$A:$C,3,0)</f>
        <v>800000</v>
      </c>
      <c r="Q639" s="132">
        <v>880000</v>
      </c>
      <c r="R639" s="149">
        <v>9.9999999999999895E-2</v>
      </c>
      <c r="S639" s="119"/>
      <c r="T639" s="119"/>
      <c r="U639" s="119"/>
      <c r="V639" s="119"/>
      <c r="W639" s="119"/>
      <c r="X639" s="119"/>
      <c r="Y639" s="119"/>
      <c r="Z639" s="119"/>
      <c r="AA639" s="119"/>
    </row>
    <row r="640" spans="1:27" ht="15">
      <c r="A640" s="107">
        <f t="shared" si="90"/>
        <v>17</v>
      </c>
      <c r="B640" s="108" t="s">
        <v>1489</v>
      </c>
      <c r="C640" s="109" t="s">
        <v>1493</v>
      </c>
      <c r="D640" s="110">
        <v>46102</v>
      </c>
      <c r="E640" s="109" t="str">
        <f>VLOOKUP($C640,xe!$A:$B,2,0)</f>
        <v>50H-55161</v>
      </c>
      <c r="F640" s="111" t="str">
        <f>VLOOKUP($B640,ma!$A:$B,2,0)</f>
        <v>XUÂN VÂN ( K BX )</v>
      </c>
      <c r="G640" s="112" t="s">
        <v>2149</v>
      </c>
      <c r="H640" s="113" t="s">
        <v>1512</v>
      </c>
      <c r="I640" s="114"/>
      <c r="J640" s="109"/>
      <c r="K640" s="116">
        <v>1.8</v>
      </c>
      <c r="L640" s="117">
        <v>50000</v>
      </c>
      <c r="M640" s="114"/>
      <c r="N640" s="118"/>
      <c r="O640" s="118">
        <v>1</v>
      </c>
      <c r="P640" s="114">
        <f>VLOOKUP($B640,ma!$A:$C,3,0)</f>
        <v>800000</v>
      </c>
      <c r="Q640" s="132">
        <v>880000</v>
      </c>
      <c r="R640" s="149">
        <v>9.9999999999999895E-2</v>
      </c>
      <c r="S640" s="119"/>
      <c r="T640" s="119"/>
      <c r="U640" s="119"/>
      <c r="V640" s="119"/>
      <c r="W640" s="119"/>
      <c r="X640" s="119"/>
      <c r="Y640" s="119"/>
      <c r="Z640" s="119"/>
      <c r="AA640" s="119"/>
    </row>
    <row r="641" spans="1:27" ht="15">
      <c r="A641" s="107">
        <f t="shared" si="90"/>
        <v>18</v>
      </c>
      <c r="B641" s="108" t="s">
        <v>1489</v>
      </c>
      <c r="C641" s="109" t="s">
        <v>1873</v>
      </c>
      <c r="D641" s="110">
        <v>46102</v>
      </c>
      <c r="E641" s="109" t="str">
        <f>VLOOKUP($C641,xe!$A:$B,2,0)</f>
        <v>50H-63174</v>
      </c>
      <c r="F641" s="111" t="str">
        <f>VLOOKUP($B641,ma!$A:$B,2,0)</f>
        <v>XUÂN VÂN ( K BX )</v>
      </c>
      <c r="G641" s="112" t="s">
        <v>2150</v>
      </c>
      <c r="H641" s="113" t="s">
        <v>1512</v>
      </c>
      <c r="I641" s="114"/>
      <c r="J641" s="109"/>
      <c r="K641" s="116">
        <v>1.8</v>
      </c>
      <c r="L641" s="117">
        <v>50000</v>
      </c>
      <c r="M641" s="114"/>
      <c r="N641" s="118"/>
      <c r="O641" s="118">
        <v>1</v>
      </c>
      <c r="P641" s="114">
        <f>VLOOKUP($B641,ma!$A:$C,3,0)</f>
        <v>800000</v>
      </c>
      <c r="Q641" s="132">
        <v>880000</v>
      </c>
      <c r="R641" s="149">
        <v>9.9999999999999895E-2</v>
      </c>
      <c r="S641" s="119"/>
      <c r="T641" s="119"/>
      <c r="U641" s="119"/>
      <c r="V641" s="119"/>
      <c r="W641" s="119"/>
      <c r="X641" s="119"/>
      <c r="Y641" s="119"/>
      <c r="Z641" s="119"/>
      <c r="AA641" s="119"/>
    </row>
    <row r="642" spans="1:27" ht="15">
      <c r="A642" s="107">
        <f t="shared" si="90"/>
        <v>19</v>
      </c>
      <c r="B642" s="108" t="s">
        <v>515</v>
      </c>
      <c r="C642" s="109" t="s">
        <v>1500</v>
      </c>
      <c r="D642" s="110">
        <v>46102</v>
      </c>
      <c r="E642" s="109" t="str">
        <f>VLOOKUP($C642,xe!$A:$B,2,0)</f>
        <v>50H 87442</v>
      </c>
      <c r="F642" s="111" t="str">
        <f>VLOOKUP($B642,ma!$A:$B,2,0)</f>
        <v>PHONG VÂN ( K BX )</v>
      </c>
      <c r="G642" s="112" t="s">
        <v>2151</v>
      </c>
      <c r="H642" s="113" t="s">
        <v>1512</v>
      </c>
      <c r="I642" s="114"/>
      <c r="J642" s="109"/>
      <c r="K642" s="116">
        <v>2</v>
      </c>
      <c r="L642" s="117">
        <v>50000</v>
      </c>
      <c r="M642" s="114">
        <v>30000</v>
      </c>
      <c r="N642" s="118" t="s">
        <v>1423</v>
      </c>
      <c r="O642" s="118">
        <v>1</v>
      </c>
      <c r="P642" s="114">
        <f>VLOOKUP($B642,ma!$A:$C,3,0)</f>
        <v>800000</v>
      </c>
      <c r="Q642" s="132">
        <v>880000</v>
      </c>
      <c r="R642" s="149">
        <v>9.9999999999999895E-2</v>
      </c>
      <c r="S642" s="119"/>
      <c r="T642" s="119"/>
      <c r="U642" s="119"/>
      <c r="V642" s="119"/>
      <c r="W642" s="119"/>
      <c r="X642" s="119"/>
      <c r="Y642" s="119"/>
      <c r="Z642" s="119"/>
      <c r="AA642" s="119"/>
    </row>
    <row r="643" spans="1:27" ht="15">
      <c r="A643" s="107">
        <f t="shared" si="90"/>
        <v>20</v>
      </c>
      <c r="B643" s="108" t="s">
        <v>515</v>
      </c>
      <c r="C643" s="109" t="s">
        <v>2037</v>
      </c>
      <c r="D643" s="110">
        <v>46102</v>
      </c>
      <c r="E643" s="133" t="str">
        <f>VLOOKUP($C643,xe!$A:$B,2,0)</f>
        <v>50E-565,21</v>
      </c>
      <c r="F643" s="111" t="str">
        <f>VLOOKUP($B643,ma!$A:$B,2,0)</f>
        <v>PHONG VÂN ( K BX )</v>
      </c>
      <c r="G643" s="112" t="s">
        <v>2152</v>
      </c>
      <c r="H643" s="113" t="s">
        <v>1512</v>
      </c>
      <c r="I643" s="114"/>
      <c r="J643" s="109"/>
      <c r="K643" s="116">
        <v>1.8</v>
      </c>
      <c r="L643" s="117"/>
      <c r="M643" s="114"/>
      <c r="N643" s="118"/>
      <c r="O643" s="118">
        <v>1</v>
      </c>
      <c r="P643" s="114">
        <f>VLOOKUP($B643,ma!$A:$C,3,0)</f>
        <v>800000</v>
      </c>
      <c r="Q643" s="132">
        <v>880000</v>
      </c>
      <c r="R643" s="149">
        <v>9.9999999999999895E-2</v>
      </c>
      <c r="S643" s="119"/>
      <c r="T643" s="119"/>
      <c r="U643" s="119"/>
      <c r="V643" s="119"/>
      <c r="W643" s="119"/>
      <c r="X643" s="119"/>
      <c r="Y643" s="119"/>
      <c r="Z643" s="119"/>
      <c r="AA643" s="119"/>
    </row>
    <row r="644" spans="1:27" ht="15">
      <c r="A644" s="107">
        <f t="shared" si="90"/>
        <v>21</v>
      </c>
      <c r="B644" s="108" t="s">
        <v>1452</v>
      </c>
      <c r="C644" s="109" t="s">
        <v>1500</v>
      </c>
      <c r="D644" s="110">
        <v>46102</v>
      </c>
      <c r="E644" s="109" t="str">
        <f>VLOOKUP($C644,xe!$A:$B,2,0)</f>
        <v>50H 87442</v>
      </c>
      <c r="F644" s="111" t="str">
        <f>VLOOKUP($B644,ma!$A:$B,2,0)</f>
        <v>E MART SALA</v>
      </c>
      <c r="G644" s="112" t="s">
        <v>2153</v>
      </c>
      <c r="H644" s="113" t="s">
        <v>1512</v>
      </c>
      <c r="I644" s="114"/>
      <c r="J644" s="115" t="s">
        <v>140</v>
      </c>
      <c r="K644" s="116">
        <v>1.6</v>
      </c>
      <c r="L644" s="117">
        <f t="shared" ref="L644:L651" si="91">K644*50000</f>
        <v>80000</v>
      </c>
      <c r="M644" s="127">
        <v>300000</v>
      </c>
      <c r="N644" s="131" t="s">
        <v>2154</v>
      </c>
      <c r="O644" s="118">
        <v>1</v>
      </c>
      <c r="P644" s="114">
        <f>VLOOKUP($B644,ma!$A:$C,3,0)</f>
        <v>800000</v>
      </c>
      <c r="Q644" s="132">
        <v>880000</v>
      </c>
      <c r="R644" s="149">
        <v>9.9999999999999895E-2</v>
      </c>
      <c r="S644" s="119"/>
      <c r="T644" s="119"/>
      <c r="U644" s="119"/>
      <c r="V644" s="119"/>
      <c r="W644" s="119"/>
      <c r="X644" s="119"/>
      <c r="Y644" s="119"/>
      <c r="Z644" s="119"/>
      <c r="AA644" s="119"/>
    </row>
    <row r="645" spans="1:27" ht="15">
      <c r="A645" s="107">
        <f t="shared" si="90"/>
        <v>22</v>
      </c>
      <c r="B645" s="108" t="s">
        <v>1514</v>
      </c>
      <c r="C645" s="109" t="s">
        <v>21</v>
      </c>
      <c r="D645" s="110">
        <v>46102</v>
      </c>
      <c r="E645" s="109" t="str">
        <f>VLOOKUP($C645,xe!$A:$B,2,0)</f>
        <v>50H-66445</v>
      </c>
      <c r="F645" s="111" t="str">
        <f>VLOOKUP($B645,ma!$A:$B,2,0)</f>
        <v>EMART P.H.ÍCH</v>
      </c>
      <c r="G645" s="112" t="s">
        <v>2155</v>
      </c>
      <c r="H645" s="113" t="s">
        <v>1512</v>
      </c>
      <c r="I645" s="114"/>
      <c r="J645" s="115" t="s">
        <v>140</v>
      </c>
      <c r="K645" s="116">
        <v>1</v>
      </c>
      <c r="L645" s="117">
        <f t="shared" si="91"/>
        <v>50000</v>
      </c>
      <c r="M645" s="127">
        <v>300000</v>
      </c>
      <c r="N645" s="131" t="s">
        <v>2154</v>
      </c>
      <c r="O645" s="118">
        <v>1</v>
      </c>
      <c r="P645" s="114">
        <f>VLOOKUP($B645,ma!$A:$C,3,0)</f>
        <v>800000</v>
      </c>
      <c r="Q645" s="132">
        <v>880000</v>
      </c>
      <c r="R645" s="149">
        <v>9.9999999999999895E-2</v>
      </c>
      <c r="S645" s="119"/>
      <c r="T645" s="119"/>
      <c r="U645" s="119"/>
      <c r="V645" s="119"/>
      <c r="W645" s="119"/>
      <c r="X645" s="119"/>
      <c r="Y645" s="119"/>
      <c r="Z645" s="119"/>
      <c r="AA645" s="119"/>
    </row>
    <row r="646" spans="1:27" ht="15">
      <c r="A646" s="107">
        <f t="shared" si="90"/>
        <v>23</v>
      </c>
      <c r="B646" s="108" t="s">
        <v>1499</v>
      </c>
      <c r="C646" s="109" t="s">
        <v>1657</v>
      </c>
      <c r="D646" s="110">
        <v>46102</v>
      </c>
      <c r="E646" s="109" t="str">
        <f>VLOOKUP($C646,xe!$A:$B,2,0)</f>
        <v>50H-64470</v>
      </c>
      <c r="F646" s="111" t="str">
        <f>VLOOKUP($B646,ma!$A:$B,2,0)</f>
        <v>BHX ( VL)</v>
      </c>
      <c r="G646" s="112" t="s">
        <v>2156</v>
      </c>
      <c r="H646" s="113" t="s">
        <v>1512</v>
      </c>
      <c r="I646" s="114">
        <v>10000</v>
      </c>
      <c r="J646" s="109"/>
      <c r="K646" s="116">
        <v>1.8</v>
      </c>
      <c r="L646" s="117">
        <f t="shared" si="91"/>
        <v>90000</v>
      </c>
      <c r="M646" s="127">
        <v>300000</v>
      </c>
      <c r="N646" s="131" t="s">
        <v>2154</v>
      </c>
      <c r="O646" s="118">
        <v>1</v>
      </c>
      <c r="P646" s="114">
        <f>VLOOKUP($B646,ma!$A:$C,3,0)</f>
        <v>800000</v>
      </c>
      <c r="Q646" s="132">
        <v>880000</v>
      </c>
      <c r="R646" s="149">
        <v>9.9999999999999895E-2</v>
      </c>
      <c r="S646" s="119"/>
      <c r="T646" s="119"/>
      <c r="U646" s="119"/>
      <c r="V646" s="119"/>
      <c r="W646" s="119"/>
      <c r="X646" s="119"/>
      <c r="Y646" s="119"/>
      <c r="Z646" s="119"/>
      <c r="AA646" s="119"/>
    </row>
    <row r="647" spans="1:27" ht="15">
      <c r="A647" s="107">
        <f t="shared" si="90"/>
        <v>24</v>
      </c>
      <c r="B647" s="108" t="s">
        <v>1499</v>
      </c>
      <c r="C647" s="109" t="s">
        <v>19</v>
      </c>
      <c r="D647" s="110">
        <v>46102</v>
      </c>
      <c r="E647" s="109" t="str">
        <f>VLOOKUP($C647,xe!$A:$B,2,0)</f>
        <v>51H -88294</v>
      </c>
      <c r="F647" s="111" t="str">
        <f>VLOOKUP($B647,ma!$A:$B,2,0)</f>
        <v>BHX ( VL)</v>
      </c>
      <c r="G647" s="112" t="s">
        <v>2157</v>
      </c>
      <c r="H647" s="113" t="s">
        <v>1512</v>
      </c>
      <c r="I647" s="114">
        <v>20000</v>
      </c>
      <c r="J647" s="109"/>
      <c r="K647" s="116">
        <v>1.8</v>
      </c>
      <c r="L647" s="117">
        <f t="shared" si="91"/>
        <v>90000</v>
      </c>
      <c r="M647" s="127">
        <v>300000</v>
      </c>
      <c r="N647" s="131" t="s">
        <v>2154</v>
      </c>
      <c r="O647" s="118">
        <v>1</v>
      </c>
      <c r="P647" s="114">
        <f>VLOOKUP($B647,ma!$A:$C,3,0)</f>
        <v>800000</v>
      </c>
      <c r="Q647" s="132">
        <v>880000</v>
      </c>
      <c r="R647" s="149">
        <v>9.9999999999999895E-2</v>
      </c>
      <c r="S647" s="119"/>
      <c r="T647" s="119"/>
      <c r="U647" s="119"/>
      <c r="V647" s="119"/>
      <c r="W647" s="119"/>
      <c r="X647" s="119"/>
      <c r="Y647" s="119"/>
      <c r="Z647" s="119"/>
      <c r="AA647" s="119"/>
    </row>
    <row r="648" spans="1:27" ht="15">
      <c r="A648" s="107">
        <f t="shared" si="90"/>
        <v>25</v>
      </c>
      <c r="B648" s="108" t="s">
        <v>1499</v>
      </c>
      <c r="C648" s="109" t="s">
        <v>1662</v>
      </c>
      <c r="D648" s="110">
        <v>46102</v>
      </c>
      <c r="E648" s="109" t="str">
        <f>VLOOKUP($C648,xe!$A:$B,2,0)</f>
        <v>50H-74619</v>
      </c>
      <c r="F648" s="111" t="str">
        <f>VLOOKUP($B648,ma!$A:$B,2,0)</f>
        <v>BHX ( VL)</v>
      </c>
      <c r="G648" s="112" t="s">
        <v>2158</v>
      </c>
      <c r="H648" s="113" t="s">
        <v>1512</v>
      </c>
      <c r="I648" s="114">
        <v>10000</v>
      </c>
      <c r="J648" s="109"/>
      <c r="K648" s="116">
        <v>1.8</v>
      </c>
      <c r="L648" s="117">
        <f t="shared" si="91"/>
        <v>90000</v>
      </c>
      <c r="M648" s="127">
        <v>300000</v>
      </c>
      <c r="N648" s="131" t="s">
        <v>2154</v>
      </c>
      <c r="O648" s="118">
        <v>1</v>
      </c>
      <c r="P648" s="114">
        <f>VLOOKUP($B648,ma!$A:$C,3,0)</f>
        <v>800000</v>
      </c>
      <c r="Q648" s="132">
        <v>880000</v>
      </c>
      <c r="R648" s="149">
        <v>9.9999999999999895E-2</v>
      </c>
      <c r="S648" s="119"/>
      <c r="T648" s="119"/>
      <c r="U648" s="119"/>
      <c r="V648" s="119"/>
      <c r="W648" s="119"/>
      <c r="X648" s="119"/>
      <c r="Y648" s="119"/>
      <c r="Z648" s="119"/>
      <c r="AA648" s="119"/>
    </row>
    <row r="649" spans="1:27" ht="15">
      <c r="A649" s="107">
        <f t="shared" si="90"/>
        <v>26</v>
      </c>
      <c r="B649" s="108" t="s">
        <v>1499</v>
      </c>
      <c r="C649" s="109" t="s">
        <v>1873</v>
      </c>
      <c r="D649" s="110">
        <v>46102</v>
      </c>
      <c r="E649" s="109" t="str">
        <f>VLOOKUP($C649,xe!$A:$B,2,0)</f>
        <v>50H-63174</v>
      </c>
      <c r="F649" s="111" t="str">
        <f>VLOOKUP($B649,ma!$A:$B,2,0)</f>
        <v>BHX ( VL)</v>
      </c>
      <c r="G649" s="112" t="s">
        <v>2159</v>
      </c>
      <c r="H649" s="113" t="s">
        <v>1512</v>
      </c>
      <c r="I649" s="114"/>
      <c r="J649" s="109"/>
      <c r="K649" s="116">
        <v>1.8</v>
      </c>
      <c r="L649" s="117">
        <f t="shared" si="91"/>
        <v>90000</v>
      </c>
      <c r="M649" s="127">
        <v>300000</v>
      </c>
      <c r="N649" s="131" t="s">
        <v>2154</v>
      </c>
      <c r="O649" s="118">
        <v>1</v>
      </c>
      <c r="P649" s="114">
        <f>VLOOKUP($B649,ma!$A:$C,3,0)</f>
        <v>800000</v>
      </c>
      <c r="Q649" s="132">
        <v>880000</v>
      </c>
      <c r="R649" s="149">
        <v>9.9999999999999895E-2</v>
      </c>
      <c r="S649" s="119"/>
      <c r="T649" s="119"/>
      <c r="U649" s="119"/>
      <c r="V649" s="119"/>
      <c r="W649" s="119"/>
      <c r="X649" s="119"/>
      <c r="Y649" s="119"/>
      <c r="Z649" s="119"/>
      <c r="AA649" s="119"/>
    </row>
    <row r="650" spans="1:27" ht="15">
      <c r="A650" s="137">
        <v>1</v>
      </c>
      <c r="B650" s="138" t="s">
        <v>1101</v>
      </c>
      <c r="C650" s="139" t="s">
        <v>64</v>
      </c>
      <c r="D650" s="140">
        <v>46104</v>
      </c>
      <c r="E650" s="139" t="str">
        <f>VLOOKUP($C650,xe!$A:$B,2,0)</f>
        <v>50H-60635</v>
      </c>
      <c r="F650" s="141" t="str">
        <f>VLOOKUP($B650,ma!$A:$B,2,0)</f>
        <v>EMART P.H.ÍCH</v>
      </c>
      <c r="G650" s="142" t="s">
        <v>2160</v>
      </c>
      <c r="H650" s="126" t="s">
        <v>1512</v>
      </c>
      <c r="I650" s="132"/>
      <c r="J650" s="115" t="s">
        <v>140</v>
      </c>
      <c r="K650" s="129">
        <v>1.6</v>
      </c>
      <c r="L650" s="143">
        <f t="shared" si="91"/>
        <v>80000</v>
      </c>
      <c r="M650" s="132"/>
      <c r="N650" s="144"/>
      <c r="O650" s="144">
        <v>1</v>
      </c>
      <c r="P650" s="132">
        <f>VLOOKUP($B650,ma!$A:$C,3,0)</f>
        <v>800000</v>
      </c>
      <c r="Q650" s="132">
        <v>880000</v>
      </c>
      <c r="R650" s="149">
        <v>9.9999999999999895E-2</v>
      </c>
      <c r="S650" s="156"/>
      <c r="T650" s="156"/>
      <c r="U650" s="156"/>
      <c r="V650" s="156"/>
      <c r="W650" s="156"/>
      <c r="X650" s="156"/>
      <c r="Y650" s="156"/>
      <c r="Z650" s="156"/>
      <c r="AA650" s="156"/>
    </row>
    <row r="651" spans="1:27" ht="15">
      <c r="A651" s="107">
        <f t="shared" ref="A651:A670" si="92">A650+1</f>
        <v>2</v>
      </c>
      <c r="B651" s="108" t="s">
        <v>1101</v>
      </c>
      <c r="C651" s="109" t="s">
        <v>68</v>
      </c>
      <c r="D651" s="110">
        <v>46104</v>
      </c>
      <c r="E651" s="109" t="str">
        <f>VLOOKUP($C651,xe!$A:$B,2,0)</f>
        <v>50H-55829</v>
      </c>
      <c r="F651" s="111" t="str">
        <f>VLOOKUP($B651,ma!$A:$B,2,0)</f>
        <v>EMART P.H.ÍCH</v>
      </c>
      <c r="G651" s="112" t="s">
        <v>2161</v>
      </c>
      <c r="H651" s="113" t="s">
        <v>1512</v>
      </c>
      <c r="I651" s="114"/>
      <c r="J651" s="115" t="s">
        <v>140</v>
      </c>
      <c r="K651" s="116">
        <v>1.6</v>
      </c>
      <c r="L651" s="117">
        <f t="shared" si="91"/>
        <v>80000</v>
      </c>
      <c r="M651" s="114"/>
      <c r="N651" s="118"/>
      <c r="O651" s="118">
        <v>1</v>
      </c>
      <c r="P651" s="114">
        <f>VLOOKUP($B651,ma!$A:$C,3,0)</f>
        <v>800000</v>
      </c>
      <c r="Q651" s="132">
        <v>880000</v>
      </c>
      <c r="R651" s="149">
        <v>9.9999999999999895E-2</v>
      </c>
      <c r="S651" s="119"/>
      <c r="T651" s="119"/>
      <c r="U651" s="119"/>
      <c r="V651" s="119"/>
      <c r="W651" s="119"/>
      <c r="X651" s="119"/>
      <c r="Y651" s="119"/>
      <c r="Z651" s="119"/>
      <c r="AA651" s="119"/>
    </row>
    <row r="652" spans="1:27" ht="15">
      <c r="A652" s="107">
        <f t="shared" si="92"/>
        <v>3</v>
      </c>
      <c r="B652" s="108" t="s">
        <v>1061</v>
      </c>
      <c r="C652" s="109" t="s">
        <v>72</v>
      </c>
      <c r="D652" s="110">
        <v>46104</v>
      </c>
      <c r="E652" s="109" t="str">
        <f>VLOOKUP($C652,xe!$A:$B,2,0)</f>
        <v>47H-02023</v>
      </c>
      <c r="F652" s="111" t="str">
        <f>VLOOKUP($B652,ma!$A:$B,2,0)</f>
        <v>BHX ( TĐN)</v>
      </c>
      <c r="G652" s="112" t="s">
        <v>2162</v>
      </c>
      <c r="H652" s="113" t="s">
        <v>1512</v>
      </c>
      <c r="I652" s="114"/>
      <c r="J652" s="115" t="s">
        <v>455</v>
      </c>
      <c r="K652" s="116">
        <v>1.4</v>
      </c>
      <c r="L652" s="117">
        <f>K652*80000</f>
        <v>112000</v>
      </c>
      <c r="M652" s="114"/>
      <c r="N652" s="118"/>
      <c r="O652" s="118">
        <v>1</v>
      </c>
      <c r="P652" s="114">
        <f>VLOOKUP($B652,ma!$A:$C,3,0)</f>
        <v>800000</v>
      </c>
      <c r="Q652" s="132">
        <v>880000</v>
      </c>
      <c r="R652" s="149">
        <v>9.9999999999999895E-2</v>
      </c>
      <c r="S652" s="119"/>
      <c r="T652" s="119"/>
      <c r="U652" s="119"/>
      <c r="V652" s="119"/>
      <c r="W652" s="119"/>
      <c r="X652" s="119"/>
      <c r="Y652" s="119"/>
      <c r="Z652" s="119"/>
      <c r="AA652" s="119"/>
    </row>
    <row r="653" spans="1:27" ht="15">
      <c r="A653" s="107">
        <f t="shared" si="92"/>
        <v>4</v>
      </c>
      <c r="B653" s="108" t="s">
        <v>1013</v>
      </c>
      <c r="C653" s="109" t="s">
        <v>76</v>
      </c>
      <c r="D653" s="110">
        <v>46104</v>
      </c>
      <c r="E653" s="109" t="str">
        <f>VLOOKUP($C653,xe!$A:$B,2,0)</f>
        <v>51D-38021</v>
      </c>
      <c r="F653" s="111" t="str">
        <f>VLOOKUP($B653,ma!$A:$B,2,0)</f>
        <v>BC GÒ VẤP</v>
      </c>
      <c r="G653" s="112" t="s">
        <v>2163</v>
      </c>
      <c r="H653" s="113" t="s">
        <v>1512</v>
      </c>
      <c r="I653" s="114"/>
      <c r="J653" s="109"/>
      <c r="K653" s="116">
        <v>1</v>
      </c>
      <c r="L653" s="117">
        <f>K653*50000</f>
        <v>50000</v>
      </c>
      <c r="M653" s="114"/>
      <c r="N653" s="118"/>
      <c r="O653" s="118">
        <v>1</v>
      </c>
      <c r="P653" s="114">
        <f>VLOOKUP($B653,ma!$A:$C,3,0)</f>
        <v>800000</v>
      </c>
      <c r="Q653" s="132">
        <v>880000</v>
      </c>
      <c r="R653" s="149">
        <v>9.9999999999999895E-2</v>
      </c>
      <c r="S653" s="119"/>
      <c r="T653" s="119"/>
      <c r="U653" s="119"/>
      <c r="V653" s="119"/>
      <c r="W653" s="119"/>
      <c r="X653" s="119"/>
      <c r="Y653" s="119"/>
      <c r="Z653" s="119"/>
      <c r="AA653" s="119"/>
    </row>
    <row r="654" spans="1:27" ht="15">
      <c r="A654" s="107">
        <f t="shared" si="92"/>
        <v>5</v>
      </c>
      <c r="B654" s="108" t="s">
        <v>289</v>
      </c>
      <c r="C654" s="109" t="s">
        <v>1404</v>
      </c>
      <c r="D654" s="110">
        <v>46104</v>
      </c>
      <c r="E654" s="109" t="str">
        <f>VLOOKUP($C654,xe!$A:$B,2,0)</f>
        <v>51C-81056</v>
      </c>
      <c r="F654" s="111" t="str">
        <f>VLOOKUP($B654,ma!$A:$B,2,0)</f>
        <v>ANFOOD Q12 ( K BX )</v>
      </c>
      <c r="G654" s="112" t="s">
        <v>2164</v>
      </c>
      <c r="H654" s="113" t="s">
        <v>1512</v>
      </c>
      <c r="I654" s="114"/>
      <c r="J654" s="109"/>
      <c r="K654" s="116">
        <v>1.8</v>
      </c>
      <c r="L654" s="117"/>
      <c r="M654" s="114"/>
      <c r="N654" s="118"/>
      <c r="O654" s="118">
        <v>1</v>
      </c>
      <c r="P654" s="114">
        <f>VLOOKUP($B654,ma!$A:$C,3,0)</f>
        <v>800000</v>
      </c>
      <c r="Q654" s="132">
        <v>880000</v>
      </c>
      <c r="R654" s="149">
        <v>9.9999999999999895E-2</v>
      </c>
      <c r="S654" s="119"/>
      <c r="T654" s="119"/>
      <c r="U654" s="119"/>
      <c r="V654" s="119"/>
      <c r="W654" s="119"/>
      <c r="X654" s="119"/>
      <c r="Y654" s="119"/>
      <c r="Z654" s="119"/>
      <c r="AA654" s="119"/>
    </row>
    <row r="655" spans="1:27" ht="15">
      <c r="A655" s="107">
        <f t="shared" si="92"/>
        <v>6</v>
      </c>
      <c r="B655" s="108" t="s">
        <v>289</v>
      </c>
      <c r="C655" s="109" t="s">
        <v>62</v>
      </c>
      <c r="D655" s="110">
        <v>46104</v>
      </c>
      <c r="E655" s="109" t="str">
        <f>VLOOKUP($C655,xe!$A:$B,2,0)</f>
        <v>62H-01887</v>
      </c>
      <c r="F655" s="111" t="str">
        <f>VLOOKUP($B655,ma!$A:$B,2,0)</f>
        <v>ANFOOD Q12 ( K BX )</v>
      </c>
      <c r="G655" s="112" t="s">
        <v>2165</v>
      </c>
      <c r="H655" s="113" t="s">
        <v>1512</v>
      </c>
      <c r="I655" s="114"/>
      <c r="J655" s="109"/>
      <c r="K655" s="116">
        <v>1.8</v>
      </c>
      <c r="L655" s="117"/>
      <c r="M655" s="114"/>
      <c r="N655" s="118"/>
      <c r="O655" s="118">
        <v>1</v>
      </c>
      <c r="P655" s="114">
        <f>VLOOKUP($B655,ma!$A:$C,3,0)</f>
        <v>800000</v>
      </c>
      <c r="Q655" s="132">
        <v>880000</v>
      </c>
      <c r="R655" s="149">
        <v>9.9999999999999895E-2</v>
      </c>
      <c r="S655" s="119"/>
      <c r="T655" s="119"/>
      <c r="U655" s="119"/>
      <c r="V655" s="119"/>
      <c r="W655" s="119"/>
      <c r="X655" s="119"/>
      <c r="Y655" s="119"/>
      <c r="Z655" s="119"/>
      <c r="AA655" s="119"/>
    </row>
    <row r="656" spans="1:27" ht="15">
      <c r="A656" s="107">
        <f t="shared" si="92"/>
        <v>7</v>
      </c>
      <c r="B656" s="108" t="s">
        <v>289</v>
      </c>
      <c r="C656" s="109" t="s">
        <v>1408</v>
      </c>
      <c r="D656" s="110">
        <v>46104</v>
      </c>
      <c r="E656" s="109" t="str">
        <f>VLOOKUP($C656,xe!$A:$B,2,0)</f>
        <v>50H-11822</v>
      </c>
      <c r="F656" s="111" t="str">
        <f>VLOOKUP($B656,ma!$A:$B,2,0)</f>
        <v>ANFOOD Q12 ( K BX )</v>
      </c>
      <c r="G656" s="112" t="s">
        <v>2166</v>
      </c>
      <c r="H656" s="113" t="s">
        <v>2034</v>
      </c>
      <c r="I656" s="114"/>
      <c r="J656" s="109"/>
      <c r="K656" s="116">
        <v>2</v>
      </c>
      <c r="L656" s="117"/>
      <c r="M656" s="114"/>
      <c r="N656" s="118"/>
      <c r="O656" s="118">
        <v>1</v>
      </c>
      <c r="P656" s="114">
        <f>VLOOKUP($B656,ma!$A:$C,3,0)</f>
        <v>800000</v>
      </c>
      <c r="Q656" s="132">
        <v>880000</v>
      </c>
      <c r="R656" s="149">
        <v>9.9999999999999895E-2</v>
      </c>
      <c r="S656" s="119"/>
      <c r="T656" s="119"/>
      <c r="U656" s="119"/>
      <c r="V656" s="119"/>
      <c r="W656" s="119"/>
      <c r="X656" s="119"/>
      <c r="Y656" s="119"/>
      <c r="Z656" s="119"/>
      <c r="AA656" s="119"/>
    </row>
    <row r="657" spans="1:27" ht="15">
      <c r="A657" s="107">
        <f t="shared" si="92"/>
        <v>8</v>
      </c>
      <c r="B657" s="108" t="s">
        <v>2167</v>
      </c>
      <c r="C657" s="109" t="s">
        <v>74</v>
      </c>
      <c r="D657" s="110">
        <v>46104</v>
      </c>
      <c r="E657" s="109" t="str">
        <f>VLOOKUP($C657,xe!$A:$B,2,0)</f>
        <v>50H-44024</v>
      </c>
      <c r="F657" s="111" t="str">
        <f>VLOOKUP($B657,ma!$A:$B,2,0)</f>
        <v>PHẠM PHAN MES CỦ CHI ( K BX )</v>
      </c>
      <c r="G657" s="112" t="s">
        <v>2168</v>
      </c>
      <c r="H657" s="113" t="s">
        <v>1512</v>
      </c>
      <c r="I657" s="114"/>
      <c r="J657" s="109"/>
      <c r="K657" s="116">
        <v>1.6</v>
      </c>
      <c r="L657" s="117"/>
      <c r="M657" s="114"/>
      <c r="N657" s="118"/>
      <c r="O657" s="118">
        <v>1</v>
      </c>
      <c r="P657" s="114">
        <f>VLOOKUP($B657,ma!$A:$C,3,0)</f>
        <v>900000</v>
      </c>
      <c r="Q657" s="132">
        <v>990000</v>
      </c>
      <c r="R657" s="149">
        <v>9.9999999999999895E-2</v>
      </c>
      <c r="S657" s="119"/>
      <c r="T657" s="119"/>
      <c r="U657" s="119"/>
      <c r="V657" s="119"/>
      <c r="W657" s="119"/>
      <c r="X657" s="119"/>
      <c r="Y657" s="119"/>
      <c r="Z657" s="119"/>
      <c r="AA657" s="119"/>
    </row>
    <row r="658" spans="1:27" ht="15">
      <c r="A658" s="107">
        <f t="shared" si="92"/>
        <v>9</v>
      </c>
      <c r="B658" s="108" t="s">
        <v>2167</v>
      </c>
      <c r="C658" s="109" t="s">
        <v>2037</v>
      </c>
      <c r="D658" s="110">
        <v>46104</v>
      </c>
      <c r="E658" s="133" t="str">
        <f>VLOOKUP($C658,xe!$A:$B,2,0)</f>
        <v>50E-565,21</v>
      </c>
      <c r="F658" s="111" t="str">
        <f>VLOOKUP($B658,ma!$A:$B,2,0)</f>
        <v>PHẠM PHAN MES CỦ CHI ( K BX )</v>
      </c>
      <c r="G658" s="112" t="s">
        <v>2169</v>
      </c>
      <c r="H658" s="113" t="s">
        <v>1512</v>
      </c>
      <c r="I658" s="114"/>
      <c r="J658" s="109"/>
      <c r="K658" s="116">
        <v>1.6</v>
      </c>
      <c r="L658" s="117"/>
      <c r="M658" s="114"/>
      <c r="N658" s="118"/>
      <c r="O658" s="118">
        <v>1</v>
      </c>
      <c r="P658" s="114">
        <f>VLOOKUP($B658,ma!$A:$C,3,0)</f>
        <v>900000</v>
      </c>
      <c r="Q658" s="132">
        <v>990000</v>
      </c>
      <c r="R658" s="149">
        <v>9.9999999999999895E-2</v>
      </c>
      <c r="S658" s="119"/>
      <c r="T658" s="119"/>
      <c r="U658" s="119"/>
      <c r="V658" s="119"/>
      <c r="W658" s="119"/>
      <c r="X658" s="119"/>
      <c r="Y658" s="119"/>
      <c r="Z658" s="119"/>
      <c r="AA658" s="119"/>
    </row>
    <row r="659" spans="1:27" ht="15">
      <c r="A659" s="107">
        <f t="shared" si="92"/>
        <v>10</v>
      </c>
      <c r="B659" s="108" t="s">
        <v>1128</v>
      </c>
      <c r="C659" s="109" t="s">
        <v>1493</v>
      </c>
      <c r="D659" s="110">
        <v>46104</v>
      </c>
      <c r="E659" s="109" t="str">
        <f>VLOOKUP($C659,xe!$A:$B,2,0)</f>
        <v>50H-55161</v>
      </c>
      <c r="F659" s="111" t="str">
        <f>VLOOKUP($B659,ma!$A:$B,2,0)</f>
        <v>SATRA SÀI GÒN</v>
      </c>
      <c r="G659" s="112" t="s">
        <v>2170</v>
      </c>
      <c r="H659" s="113" t="s">
        <v>1512</v>
      </c>
      <c r="I659" s="114"/>
      <c r="J659" s="109"/>
      <c r="K659" s="116">
        <v>1.2</v>
      </c>
      <c r="L659" s="117">
        <f t="shared" ref="L659:L662" si="93">K659*50000</f>
        <v>60000</v>
      </c>
      <c r="M659" s="114">
        <v>30000</v>
      </c>
      <c r="N659" s="118" t="s">
        <v>1423</v>
      </c>
      <c r="O659" s="118">
        <v>1</v>
      </c>
      <c r="P659" s="114">
        <f>VLOOKUP($B659,ma!$A:$C,3,0)</f>
        <v>800000</v>
      </c>
      <c r="Q659" s="132">
        <v>880000</v>
      </c>
      <c r="R659" s="149">
        <v>9.9999999999999895E-2</v>
      </c>
      <c r="S659" s="119"/>
      <c r="T659" s="119"/>
      <c r="U659" s="119"/>
      <c r="V659" s="119"/>
      <c r="W659" s="119"/>
      <c r="X659" s="119"/>
      <c r="Y659" s="119"/>
      <c r="Z659" s="119"/>
      <c r="AA659" s="119"/>
    </row>
    <row r="660" spans="1:27" ht="15">
      <c r="A660" s="107">
        <f t="shared" si="92"/>
        <v>11</v>
      </c>
      <c r="B660" s="108" t="s">
        <v>1128</v>
      </c>
      <c r="C660" s="109" t="s">
        <v>32</v>
      </c>
      <c r="D660" s="110">
        <v>46104</v>
      </c>
      <c r="E660" s="109" t="str">
        <f>VLOOKUP($C660,xe!$A:$B,2,0)</f>
        <v>50H-54580</v>
      </c>
      <c r="F660" s="111" t="str">
        <f>VLOOKUP($B660,ma!$A:$B,2,0)</f>
        <v>SATRA SÀI GÒN</v>
      </c>
      <c r="G660" s="112" t="s">
        <v>2171</v>
      </c>
      <c r="H660" s="113" t="s">
        <v>1512</v>
      </c>
      <c r="I660" s="114"/>
      <c r="J660" s="109"/>
      <c r="K660" s="116">
        <v>2</v>
      </c>
      <c r="L660" s="117">
        <f t="shared" si="93"/>
        <v>100000</v>
      </c>
      <c r="M660" s="114"/>
      <c r="N660" s="118"/>
      <c r="O660" s="118">
        <v>1</v>
      </c>
      <c r="P660" s="114">
        <f>VLOOKUP($B660,ma!$A:$C,3,0)</f>
        <v>800000</v>
      </c>
      <c r="Q660" s="132">
        <v>880000</v>
      </c>
      <c r="R660" s="149">
        <v>9.9999999999999895E-2</v>
      </c>
      <c r="S660" s="119"/>
      <c r="T660" s="119"/>
      <c r="U660" s="119"/>
      <c r="V660" s="119"/>
      <c r="W660" s="119"/>
      <c r="X660" s="119"/>
      <c r="Y660" s="119"/>
      <c r="Z660" s="119"/>
      <c r="AA660" s="119"/>
    </row>
    <row r="661" spans="1:27" ht="15">
      <c r="A661" s="107">
        <f t="shared" si="92"/>
        <v>12</v>
      </c>
      <c r="B661" s="108" t="s">
        <v>1128</v>
      </c>
      <c r="C661" s="109" t="s">
        <v>18</v>
      </c>
      <c r="D661" s="110">
        <v>46104</v>
      </c>
      <c r="E661" s="109" t="s">
        <v>2172</v>
      </c>
      <c r="F661" s="111" t="str">
        <f>VLOOKUP($B661,ma!$A:$B,2,0)</f>
        <v>SATRA SÀI GÒN</v>
      </c>
      <c r="G661" s="112" t="s">
        <v>2173</v>
      </c>
      <c r="H661" s="113" t="s">
        <v>1512</v>
      </c>
      <c r="I661" s="114"/>
      <c r="J661" s="109"/>
      <c r="K661" s="116">
        <v>2</v>
      </c>
      <c r="L661" s="117">
        <f t="shared" si="93"/>
        <v>100000</v>
      </c>
      <c r="M661" s="114"/>
      <c r="N661" s="118"/>
      <c r="O661" s="118">
        <v>1</v>
      </c>
      <c r="P661" s="114">
        <f>VLOOKUP($B661,ma!$A:$C,3,0)</f>
        <v>800000</v>
      </c>
      <c r="Q661" s="132">
        <v>880000</v>
      </c>
      <c r="R661" s="149">
        <v>9.9999999999999895E-2</v>
      </c>
      <c r="S661" s="119"/>
      <c r="T661" s="119"/>
      <c r="U661" s="119"/>
      <c r="V661" s="119"/>
      <c r="W661" s="119"/>
      <c r="X661" s="119"/>
      <c r="Y661" s="119"/>
      <c r="Z661" s="119"/>
      <c r="AA661" s="119"/>
    </row>
    <row r="662" spans="1:27" ht="15">
      <c r="A662" s="107">
        <f t="shared" si="92"/>
        <v>13</v>
      </c>
      <c r="B662" s="108" t="s">
        <v>1142</v>
      </c>
      <c r="C662" s="109" t="s">
        <v>10</v>
      </c>
      <c r="D662" s="110">
        <v>46104</v>
      </c>
      <c r="E662" s="109" t="str">
        <f>VLOOKUP($C662,xe!$A:$B,2,0)</f>
        <v>50H-50999</v>
      </c>
      <c r="F662" s="111" t="str">
        <f>VLOOKUP($B662,ma!$A:$B,2,0)</f>
        <v>SATRA FOOD</v>
      </c>
      <c r="G662" s="112" t="s">
        <v>2174</v>
      </c>
      <c r="H662" s="113" t="s">
        <v>1512</v>
      </c>
      <c r="I662" s="114"/>
      <c r="J662" s="109"/>
      <c r="K662" s="116">
        <v>1.2</v>
      </c>
      <c r="L662" s="117">
        <f t="shared" si="93"/>
        <v>60000</v>
      </c>
      <c r="M662" s="114"/>
      <c r="N662" s="118"/>
      <c r="O662" s="118">
        <v>1</v>
      </c>
      <c r="P662" s="114">
        <f>VLOOKUP($B662,ma!$A:$C,3,0)</f>
        <v>800000</v>
      </c>
      <c r="Q662" s="132">
        <v>880000</v>
      </c>
      <c r="R662" s="149">
        <v>9.9999999999999895E-2</v>
      </c>
      <c r="S662" s="119"/>
      <c r="T662" s="119"/>
      <c r="U662" s="119"/>
      <c r="V662" s="119"/>
      <c r="W662" s="119"/>
      <c r="X662" s="119"/>
      <c r="Y662" s="119"/>
      <c r="Z662" s="119"/>
      <c r="AA662" s="119"/>
    </row>
    <row r="663" spans="1:27" ht="15">
      <c r="A663" s="107">
        <f t="shared" si="92"/>
        <v>14</v>
      </c>
      <c r="B663" s="108" t="s">
        <v>743</v>
      </c>
      <c r="C663" s="109" t="s">
        <v>21</v>
      </c>
      <c r="D663" s="110">
        <v>46104</v>
      </c>
      <c r="E663" s="109" t="str">
        <f>VLOOKUP($C663,xe!$A:$B,2,0)</f>
        <v>50H-66445</v>
      </c>
      <c r="F663" s="111" t="str">
        <f>VLOOKUP($B663,ma!$A:$B,2,0)</f>
        <v>SONG HỒNG TÂN ( KBX )</v>
      </c>
      <c r="G663" s="112" t="s">
        <v>2175</v>
      </c>
      <c r="H663" s="113" t="s">
        <v>1512</v>
      </c>
      <c r="I663" s="114"/>
      <c r="J663" s="109"/>
      <c r="K663" s="116">
        <v>1.6</v>
      </c>
      <c r="L663" s="117">
        <v>50000</v>
      </c>
      <c r="M663" s="114"/>
      <c r="N663" s="118"/>
      <c r="O663" s="118">
        <v>1</v>
      </c>
      <c r="P663" s="114">
        <f>VLOOKUP($B663,ma!$A:$C,3,0)</f>
        <v>900000</v>
      </c>
      <c r="Q663" s="132">
        <v>990000</v>
      </c>
      <c r="R663" s="149">
        <v>9.9999999999999895E-2</v>
      </c>
      <c r="S663" s="119"/>
      <c r="T663" s="119"/>
      <c r="U663" s="119"/>
      <c r="V663" s="119"/>
      <c r="W663" s="119"/>
      <c r="X663" s="119"/>
      <c r="Y663" s="119"/>
      <c r="Z663" s="119"/>
      <c r="AA663" s="119"/>
    </row>
    <row r="664" spans="1:27" ht="15">
      <c r="A664" s="107">
        <f t="shared" si="92"/>
        <v>15</v>
      </c>
      <c r="B664" s="108" t="s">
        <v>743</v>
      </c>
      <c r="C664" s="109" t="s">
        <v>8</v>
      </c>
      <c r="D664" s="110">
        <v>46104</v>
      </c>
      <c r="E664" s="109" t="str">
        <f>VLOOKUP($C664,xe!$A:$B,2,0)</f>
        <v>50H-64316</v>
      </c>
      <c r="F664" s="111" t="str">
        <f>VLOOKUP($B664,ma!$A:$B,2,0)</f>
        <v>SONG HỒNG TÂN ( KBX )</v>
      </c>
      <c r="G664" s="112" t="s">
        <v>2176</v>
      </c>
      <c r="H664" s="113" t="s">
        <v>1512</v>
      </c>
      <c r="I664" s="114"/>
      <c r="J664" s="109"/>
      <c r="K664" s="116">
        <v>1.6</v>
      </c>
      <c r="L664" s="117">
        <v>50000</v>
      </c>
      <c r="M664" s="114">
        <v>30000</v>
      </c>
      <c r="N664" s="118" t="s">
        <v>1423</v>
      </c>
      <c r="O664" s="118">
        <v>1</v>
      </c>
      <c r="P664" s="114">
        <f>VLOOKUP($B664,ma!$A:$C,3,0)</f>
        <v>900000</v>
      </c>
      <c r="Q664" s="132">
        <v>990000</v>
      </c>
      <c r="R664" s="149">
        <v>9.9999999999999895E-2</v>
      </c>
      <c r="S664" s="119"/>
      <c r="T664" s="119"/>
      <c r="U664" s="119"/>
      <c r="V664" s="119"/>
      <c r="W664" s="119"/>
      <c r="X664" s="119"/>
      <c r="Y664" s="119"/>
      <c r="Z664" s="119"/>
      <c r="AA664" s="119"/>
    </row>
    <row r="665" spans="1:27" ht="15">
      <c r="A665" s="107">
        <f t="shared" si="92"/>
        <v>16</v>
      </c>
      <c r="B665" s="108" t="s">
        <v>866</v>
      </c>
      <c r="C665" s="109" t="s">
        <v>1662</v>
      </c>
      <c r="D665" s="110">
        <v>46104</v>
      </c>
      <c r="E665" s="109" t="str">
        <f>VLOOKUP($C665,xe!$A:$B,2,0)</f>
        <v>50H-74619</v>
      </c>
      <c r="F665" s="111" t="str">
        <f>VLOOKUP($B665,ma!$A:$B,2,0)</f>
        <v>XUÂN VÂN ( K BX )</v>
      </c>
      <c r="G665" s="112" t="s">
        <v>2177</v>
      </c>
      <c r="H665" s="113" t="s">
        <v>2178</v>
      </c>
      <c r="I665" s="114"/>
      <c r="J665" s="109"/>
      <c r="K665" s="116">
        <v>2</v>
      </c>
      <c r="L665" s="117">
        <v>50000</v>
      </c>
      <c r="M665" s="114"/>
      <c r="N665" s="118"/>
      <c r="O665" s="118">
        <v>1</v>
      </c>
      <c r="P665" s="114">
        <f>VLOOKUP($B665,ma!$A:$C,3,0)</f>
        <v>800000</v>
      </c>
      <c r="Q665" s="132">
        <v>880000</v>
      </c>
      <c r="R665" s="149">
        <v>9.9999999999999895E-2</v>
      </c>
      <c r="S665" s="119"/>
      <c r="T665" s="119"/>
      <c r="U665" s="119"/>
      <c r="V665" s="119"/>
      <c r="W665" s="119"/>
      <c r="X665" s="119"/>
      <c r="Y665" s="119"/>
      <c r="Z665" s="119"/>
      <c r="AA665" s="119"/>
    </row>
    <row r="666" spans="1:27" ht="15">
      <c r="A666" s="107">
        <f t="shared" si="92"/>
        <v>17</v>
      </c>
      <c r="B666" s="108" t="s">
        <v>1438</v>
      </c>
      <c r="C666" s="109" t="s">
        <v>12</v>
      </c>
      <c r="D666" s="110">
        <v>46104</v>
      </c>
      <c r="E666" s="133" t="s">
        <v>2179</v>
      </c>
      <c r="F666" s="111" t="str">
        <f>VLOOKUP($B666,ma!$A:$B,2,0)</f>
        <v>SPM TÂN TẠO</v>
      </c>
      <c r="G666" s="112" t="s">
        <v>1652</v>
      </c>
      <c r="H666" s="113" t="s">
        <v>1512</v>
      </c>
      <c r="I666" s="114"/>
      <c r="J666" s="115" t="s">
        <v>2180</v>
      </c>
      <c r="K666" s="116">
        <v>2</v>
      </c>
      <c r="L666" s="117">
        <f t="shared" ref="L666:L668" si="94">K666*50000</f>
        <v>100000</v>
      </c>
      <c r="M666" s="114">
        <v>180000</v>
      </c>
      <c r="N666" s="118" t="s">
        <v>2181</v>
      </c>
      <c r="O666" s="118">
        <v>1</v>
      </c>
      <c r="P666" s="114">
        <f>VLOOKUP($B666,ma!$A:$C,3,0)</f>
        <v>800000</v>
      </c>
      <c r="Q666" s="132">
        <v>880000</v>
      </c>
      <c r="R666" s="149">
        <v>9.9999999999999895E-2</v>
      </c>
      <c r="S666" s="119"/>
      <c r="T666" s="119"/>
      <c r="U666" s="119"/>
      <c r="V666" s="119"/>
      <c r="W666" s="119"/>
      <c r="X666" s="119"/>
      <c r="Y666" s="119"/>
      <c r="Z666" s="119"/>
      <c r="AA666" s="119"/>
    </row>
    <row r="667" spans="1:27" ht="15">
      <c r="A667" s="107">
        <f t="shared" si="92"/>
        <v>18</v>
      </c>
      <c r="B667" s="108" t="s">
        <v>1438</v>
      </c>
      <c r="C667" s="109" t="s">
        <v>1669</v>
      </c>
      <c r="D667" s="110">
        <v>46104</v>
      </c>
      <c r="E667" s="109" t="str">
        <f>VLOOKUP($C667,xe!$A:$B,2,0)</f>
        <v>50H-69501</v>
      </c>
      <c r="F667" s="111" t="str">
        <f>VLOOKUP($B667,ma!$A:$B,2,0)</f>
        <v>SPM TÂN TẠO</v>
      </c>
      <c r="G667" s="112" t="s">
        <v>2182</v>
      </c>
      <c r="H667" s="113" t="s">
        <v>1512</v>
      </c>
      <c r="I667" s="114"/>
      <c r="J667" s="109"/>
      <c r="K667" s="116">
        <v>1.2</v>
      </c>
      <c r="L667" s="117">
        <f t="shared" si="94"/>
        <v>60000</v>
      </c>
      <c r="M667" s="114"/>
      <c r="N667" s="118"/>
      <c r="O667" s="118">
        <v>1</v>
      </c>
      <c r="P667" s="114">
        <f>VLOOKUP($B667,ma!$A:$C,3,0)</f>
        <v>800000</v>
      </c>
      <c r="Q667" s="132">
        <v>880000</v>
      </c>
      <c r="R667" s="149">
        <v>9.9999999999999895E-2</v>
      </c>
      <c r="S667" s="119"/>
      <c r="T667" s="119"/>
      <c r="U667" s="119"/>
      <c r="V667" s="119"/>
      <c r="W667" s="119"/>
      <c r="X667" s="119"/>
      <c r="Y667" s="119"/>
      <c r="Z667" s="119"/>
      <c r="AA667" s="119"/>
    </row>
    <row r="668" spans="1:27" ht="15">
      <c r="A668" s="107">
        <f t="shared" si="92"/>
        <v>19</v>
      </c>
      <c r="B668" s="108" t="s">
        <v>418</v>
      </c>
      <c r="C668" s="109" t="s">
        <v>1657</v>
      </c>
      <c r="D668" s="110">
        <v>46104</v>
      </c>
      <c r="E668" s="109" t="str">
        <f>VLOOKUP($C668,xe!$A:$B,2,0)</f>
        <v>50H-64470</v>
      </c>
      <c r="F668" s="111" t="str">
        <f>VLOOKUP($B668,ma!$A:$B,2,0)</f>
        <v>MARICO</v>
      </c>
      <c r="G668" s="112" t="s">
        <v>2183</v>
      </c>
      <c r="H668" s="113" t="s">
        <v>1512</v>
      </c>
      <c r="I668" s="114"/>
      <c r="J668" s="115" t="s">
        <v>2184</v>
      </c>
      <c r="K668" s="116">
        <v>1</v>
      </c>
      <c r="L668" s="117">
        <f t="shared" si="94"/>
        <v>50000</v>
      </c>
      <c r="M668" s="114"/>
      <c r="N668" s="118"/>
      <c r="O668" s="118">
        <v>1</v>
      </c>
      <c r="P668" s="114">
        <f>VLOOKUP($B668,ma!$A:$C,3,0)</f>
        <v>800000</v>
      </c>
      <c r="Q668" s="132">
        <v>880000</v>
      </c>
      <c r="R668" s="149">
        <v>9.9999999999999895E-2</v>
      </c>
      <c r="S668" s="119"/>
      <c r="T668" s="119"/>
      <c r="U668" s="119"/>
      <c r="V668" s="119"/>
      <c r="W668" s="119"/>
      <c r="X668" s="119"/>
      <c r="Y668" s="119"/>
      <c r="Z668" s="119"/>
      <c r="AA668" s="119"/>
    </row>
    <row r="669" spans="1:27" ht="15">
      <c r="A669" s="107">
        <f t="shared" si="92"/>
        <v>20</v>
      </c>
      <c r="B669" s="108" t="s">
        <v>279</v>
      </c>
      <c r="C669" s="109" t="s">
        <v>1655</v>
      </c>
      <c r="D669" s="110">
        <v>46104</v>
      </c>
      <c r="E669" s="109" t="str">
        <f>VLOOKUP($C669,xe!$A:$B,2,0)</f>
        <v>50H-70216</v>
      </c>
      <c r="F669" s="111" t="str">
        <f>VLOOKUP($B669,ma!$A:$B,2,0)</f>
        <v>APIS ( KBX )</v>
      </c>
      <c r="G669" s="112" t="s">
        <v>1405</v>
      </c>
      <c r="H669" s="113" t="s">
        <v>1512</v>
      </c>
      <c r="I669" s="114"/>
      <c r="J669" s="109"/>
      <c r="K669" s="116">
        <v>2</v>
      </c>
      <c r="L669" s="117">
        <v>50000</v>
      </c>
      <c r="M669" s="114"/>
      <c r="N669" s="118"/>
      <c r="O669" s="118">
        <v>1</v>
      </c>
      <c r="P669" s="114">
        <f>VLOOKUP($B669,ma!$A:$C,3,0)</f>
        <v>800000</v>
      </c>
      <c r="Q669" s="132">
        <v>880000</v>
      </c>
      <c r="R669" s="149">
        <v>9.9999999999999895E-2</v>
      </c>
      <c r="S669" s="119"/>
      <c r="T669" s="119"/>
      <c r="U669" s="119"/>
      <c r="V669" s="119"/>
      <c r="W669" s="119"/>
      <c r="X669" s="119"/>
      <c r="Y669" s="119"/>
      <c r="Z669" s="119"/>
      <c r="AA669" s="119"/>
    </row>
    <row r="670" spans="1:27" ht="15">
      <c r="A670" s="107">
        <f t="shared" si="92"/>
        <v>21</v>
      </c>
      <c r="B670" s="108" t="s">
        <v>281</v>
      </c>
      <c r="C670" s="109" t="s">
        <v>1655</v>
      </c>
      <c r="D670" s="110">
        <v>46104</v>
      </c>
      <c r="E670" s="109" t="str">
        <f>VLOOKUP($C670,xe!$A:$B,2,0)</f>
        <v>50H-70216</v>
      </c>
      <c r="F670" s="111" t="str">
        <f>VLOOKUP($B670,ma!$A:$B,2,0)</f>
        <v>APIS TRÃ TANK ( KBX )</v>
      </c>
      <c r="G670" s="112" t="s">
        <v>1405</v>
      </c>
      <c r="H670" s="113" t="s">
        <v>1512</v>
      </c>
      <c r="I670" s="114"/>
      <c r="J670" s="109"/>
      <c r="K670" s="116"/>
      <c r="L670" s="117">
        <v>50000</v>
      </c>
      <c r="M670" s="114"/>
      <c r="N670" s="118"/>
      <c r="O670" s="118">
        <v>1</v>
      </c>
      <c r="P670" s="114">
        <f>VLOOKUP($B670,ma!$A:$C,3,0)</f>
        <v>400000</v>
      </c>
      <c r="Q670" s="114">
        <f>VLOOKUP($B670,ma!$A:$C,3,0)</f>
        <v>400000</v>
      </c>
      <c r="R670" s="148"/>
      <c r="S670" s="119"/>
      <c r="T670" s="119"/>
      <c r="U670" s="119"/>
      <c r="V670" s="119"/>
      <c r="W670" s="119"/>
      <c r="X670" s="119"/>
      <c r="Y670" s="119"/>
      <c r="Z670" s="119"/>
      <c r="AA670" s="119"/>
    </row>
    <row r="671" spans="1:27" ht="15">
      <c r="A671" s="107">
        <f>A669+1</f>
        <v>21</v>
      </c>
      <c r="B671" s="108" t="s">
        <v>279</v>
      </c>
      <c r="C671" s="109" t="s">
        <v>1500</v>
      </c>
      <c r="D671" s="110">
        <v>46104</v>
      </c>
      <c r="E671" s="109" t="str">
        <f>VLOOKUP($C671,xe!$A:$B,2,0)</f>
        <v>50H 87442</v>
      </c>
      <c r="F671" s="111" t="str">
        <f>VLOOKUP($B671,ma!$A:$B,2,0)</f>
        <v>APIS ( KBX )</v>
      </c>
      <c r="G671" s="112" t="s">
        <v>1405</v>
      </c>
      <c r="H671" s="113" t="s">
        <v>1512</v>
      </c>
      <c r="I671" s="114"/>
      <c r="J671" s="109"/>
      <c r="K671" s="116">
        <v>2</v>
      </c>
      <c r="L671" s="117">
        <v>50000</v>
      </c>
      <c r="M671" s="114"/>
      <c r="N671" s="118"/>
      <c r="O671" s="118">
        <v>1</v>
      </c>
      <c r="P671" s="114">
        <f>VLOOKUP($B671,ma!$A:$C,3,0)</f>
        <v>800000</v>
      </c>
      <c r="Q671" s="132">
        <v>880000</v>
      </c>
      <c r="R671" s="149">
        <v>9.9999999999999895E-2</v>
      </c>
      <c r="S671" s="119"/>
      <c r="T671" s="119"/>
      <c r="U671" s="119"/>
      <c r="V671" s="119"/>
      <c r="W671" s="119"/>
      <c r="X671" s="119"/>
      <c r="Y671" s="119"/>
      <c r="Z671" s="119"/>
      <c r="AA671" s="119"/>
    </row>
    <row r="672" spans="1:27" ht="15">
      <c r="A672" s="107">
        <f t="shared" ref="A672:A685" si="95">A671+1</f>
        <v>22</v>
      </c>
      <c r="B672" s="108" t="s">
        <v>1449</v>
      </c>
      <c r="C672" s="109" t="s">
        <v>19</v>
      </c>
      <c r="D672" s="110">
        <v>46104</v>
      </c>
      <c r="E672" s="109" t="str">
        <f>VLOOKUP($C672,xe!$A:$B,2,0)</f>
        <v>51H -88294</v>
      </c>
      <c r="F672" s="111" t="str">
        <f>VLOOKUP($B672,ma!$A:$B,2,0)</f>
        <v>BHX NHÀ BÈ</v>
      </c>
      <c r="G672" s="112" t="s">
        <v>2185</v>
      </c>
      <c r="H672" s="113" t="s">
        <v>2034</v>
      </c>
      <c r="I672" s="114"/>
      <c r="J672" s="109"/>
      <c r="K672" s="116">
        <v>2</v>
      </c>
      <c r="L672" s="134">
        <v>210000</v>
      </c>
      <c r="M672" s="114"/>
      <c r="N672" s="118"/>
      <c r="O672" s="118">
        <v>1</v>
      </c>
      <c r="P672" s="114">
        <f>VLOOKUP($B672,ma!$A:$C,3,0)</f>
        <v>400000</v>
      </c>
      <c r="Q672" s="132">
        <v>440000</v>
      </c>
      <c r="R672" s="149">
        <v>9.9999999999999895E-2</v>
      </c>
      <c r="S672" s="119"/>
      <c r="T672" s="119"/>
      <c r="U672" s="119"/>
      <c r="V672" s="119"/>
      <c r="W672" s="119"/>
      <c r="X672" s="119"/>
      <c r="Y672" s="119"/>
      <c r="Z672" s="119"/>
      <c r="AA672" s="119"/>
    </row>
    <row r="673" spans="1:27" ht="15">
      <c r="A673" s="107">
        <f t="shared" si="95"/>
        <v>23</v>
      </c>
      <c r="B673" s="108" t="s">
        <v>1449</v>
      </c>
      <c r="C673" s="109" t="s">
        <v>1657</v>
      </c>
      <c r="D673" s="110">
        <v>46104</v>
      </c>
      <c r="E673" s="109" t="str">
        <f>VLOOKUP($C673,xe!$A:$B,2,0)</f>
        <v>50H-64470</v>
      </c>
      <c r="F673" s="111" t="str">
        <f>VLOOKUP($B673,ma!$A:$B,2,0)</f>
        <v>BHX NHÀ BÈ</v>
      </c>
      <c r="G673" s="112" t="s">
        <v>2186</v>
      </c>
      <c r="H673" s="113" t="s">
        <v>2034</v>
      </c>
      <c r="I673" s="114"/>
      <c r="J673" s="109"/>
      <c r="K673" s="116">
        <v>2</v>
      </c>
      <c r="L673" s="134">
        <v>210000</v>
      </c>
      <c r="M673" s="114"/>
      <c r="N673" s="118"/>
      <c r="O673" s="118">
        <v>1</v>
      </c>
      <c r="P673" s="114">
        <f>VLOOKUP($B673,ma!$A:$C,3,0)</f>
        <v>400000</v>
      </c>
      <c r="Q673" s="132">
        <v>440000</v>
      </c>
      <c r="R673" s="149">
        <v>9.9999999999999895E-2</v>
      </c>
      <c r="S673" s="119"/>
      <c r="T673" s="119"/>
      <c r="U673" s="119"/>
      <c r="V673" s="119"/>
      <c r="W673" s="119"/>
      <c r="X673" s="119"/>
      <c r="Y673" s="119"/>
      <c r="Z673" s="119"/>
      <c r="AA673" s="119"/>
    </row>
    <row r="674" spans="1:27" ht="15">
      <c r="A674" s="107">
        <f t="shared" si="95"/>
        <v>24</v>
      </c>
      <c r="B674" s="108" t="s">
        <v>684</v>
      </c>
      <c r="C674" s="109" t="s">
        <v>1662</v>
      </c>
      <c r="D674" s="110">
        <v>46104</v>
      </c>
      <c r="E674" s="109" t="str">
        <f>VLOOKUP($C674,xe!$A:$B,2,0)</f>
        <v>50H-74619</v>
      </c>
      <c r="F674" s="111" t="str">
        <f>VLOOKUP($B674,ma!$A:$B,2,0)</f>
        <v>TOÀN NGUYỄN FOOD</v>
      </c>
      <c r="G674" s="112" t="s">
        <v>2187</v>
      </c>
      <c r="H674" s="113" t="s">
        <v>2188</v>
      </c>
      <c r="I674" s="114"/>
      <c r="J674" s="109"/>
      <c r="K674" s="116">
        <v>1.6</v>
      </c>
      <c r="L674" s="117">
        <f t="shared" ref="L674:L683" si="96">K674*50000</f>
        <v>80000</v>
      </c>
      <c r="M674" s="114"/>
      <c r="N674" s="118"/>
      <c r="O674" s="118">
        <v>1</v>
      </c>
      <c r="P674" s="114">
        <f>VLOOKUP($B674,ma!$A:$C,3,0)</f>
        <v>800000</v>
      </c>
      <c r="Q674" s="132">
        <v>880000</v>
      </c>
      <c r="R674" s="149">
        <v>9.9999999999999895E-2</v>
      </c>
      <c r="S674" s="119"/>
      <c r="T674" s="119"/>
      <c r="U674" s="119"/>
      <c r="V674" s="119"/>
      <c r="W674" s="119"/>
      <c r="X674" s="119"/>
      <c r="Y674" s="119"/>
      <c r="Z674" s="119"/>
      <c r="AA674" s="119"/>
    </row>
    <row r="675" spans="1:27" ht="15">
      <c r="A675" s="107">
        <f t="shared" si="95"/>
        <v>25</v>
      </c>
      <c r="B675" s="108" t="s">
        <v>1462</v>
      </c>
      <c r="C675" s="109" t="s">
        <v>1669</v>
      </c>
      <c r="D675" s="110">
        <v>46104</v>
      </c>
      <c r="E675" s="109" t="str">
        <f>VLOOKUP($C675,xe!$A:$B,2,0)</f>
        <v>50H-69501</v>
      </c>
      <c r="F675" s="111" t="str">
        <f>VLOOKUP($B675,ma!$A:$B,2,0)</f>
        <v>M. AN PHÚ</v>
      </c>
      <c r="G675" s="112" t="s">
        <v>2189</v>
      </c>
      <c r="H675" s="113" t="s">
        <v>2034</v>
      </c>
      <c r="I675" s="114"/>
      <c r="J675" s="109"/>
      <c r="K675" s="116">
        <v>2</v>
      </c>
      <c r="L675" s="117">
        <f t="shared" si="96"/>
        <v>100000</v>
      </c>
      <c r="M675" s="114">
        <v>60000</v>
      </c>
      <c r="N675" s="118" t="s">
        <v>2190</v>
      </c>
      <c r="O675" s="118">
        <v>1</v>
      </c>
      <c r="P675" s="114">
        <f>VLOOKUP($B675,ma!$A:$C,3,0)</f>
        <v>800000</v>
      </c>
      <c r="Q675" s="132">
        <v>880000</v>
      </c>
      <c r="R675" s="149">
        <v>9.9999999999999895E-2</v>
      </c>
      <c r="S675" s="119"/>
      <c r="T675" s="119"/>
      <c r="U675" s="119"/>
      <c r="V675" s="119"/>
      <c r="W675" s="119"/>
      <c r="X675" s="119"/>
      <c r="Y675" s="119"/>
      <c r="Z675" s="119"/>
      <c r="AA675" s="119"/>
    </row>
    <row r="676" spans="1:27" ht="15">
      <c r="A676" s="107">
        <f t="shared" si="95"/>
        <v>26</v>
      </c>
      <c r="B676" s="108" t="s">
        <v>1462</v>
      </c>
      <c r="C676" s="109" t="s">
        <v>19</v>
      </c>
      <c r="D676" s="110">
        <v>46104</v>
      </c>
      <c r="E676" s="109" t="str">
        <f>VLOOKUP($C676,xe!$A:$B,2,0)</f>
        <v>51H -88294</v>
      </c>
      <c r="F676" s="111" t="str">
        <f>VLOOKUP($B676,ma!$A:$B,2,0)</f>
        <v>M. AN PHÚ</v>
      </c>
      <c r="G676" s="112" t="s">
        <v>2191</v>
      </c>
      <c r="H676" s="113" t="s">
        <v>2034</v>
      </c>
      <c r="I676" s="114"/>
      <c r="J676" s="109"/>
      <c r="K676" s="116">
        <v>2</v>
      </c>
      <c r="L676" s="117">
        <f t="shared" si="96"/>
        <v>100000</v>
      </c>
      <c r="M676" s="114">
        <v>20000</v>
      </c>
      <c r="N676" s="118" t="s">
        <v>1430</v>
      </c>
      <c r="O676" s="118">
        <v>1</v>
      </c>
      <c r="P676" s="114">
        <f>VLOOKUP($B676,ma!$A:$C,3,0)</f>
        <v>800000</v>
      </c>
      <c r="Q676" s="132">
        <v>880000</v>
      </c>
      <c r="R676" s="149">
        <v>9.9999999999999895E-2</v>
      </c>
      <c r="S676" s="119"/>
      <c r="T676" s="119"/>
      <c r="U676" s="119"/>
      <c r="V676" s="119"/>
      <c r="W676" s="119"/>
      <c r="X676" s="119"/>
      <c r="Y676" s="119"/>
      <c r="Z676" s="119"/>
      <c r="AA676" s="119"/>
    </row>
    <row r="677" spans="1:27" ht="15">
      <c r="A677" s="107">
        <f t="shared" si="95"/>
        <v>27</v>
      </c>
      <c r="B677" s="108" t="s">
        <v>1462</v>
      </c>
      <c r="C677" s="109" t="s">
        <v>10</v>
      </c>
      <c r="D677" s="110">
        <v>46104</v>
      </c>
      <c r="E677" s="109" t="str">
        <f>VLOOKUP($C677,xe!$A:$B,2,0)</f>
        <v>50H-50999</v>
      </c>
      <c r="F677" s="111" t="str">
        <f>VLOOKUP($B677,ma!$A:$B,2,0)</f>
        <v>M. AN PHÚ</v>
      </c>
      <c r="G677" s="112" t="s">
        <v>2192</v>
      </c>
      <c r="H677" s="113" t="s">
        <v>2034</v>
      </c>
      <c r="I677" s="114"/>
      <c r="J677" s="109"/>
      <c r="K677" s="116">
        <v>2</v>
      </c>
      <c r="L677" s="117">
        <f t="shared" si="96"/>
        <v>100000</v>
      </c>
      <c r="M677" s="114"/>
      <c r="N677" s="118"/>
      <c r="O677" s="118">
        <v>1</v>
      </c>
      <c r="P677" s="114">
        <f>VLOOKUP($B677,ma!$A:$C,3,0)</f>
        <v>800000</v>
      </c>
      <c r="Q677" s="132">
        <v>880000</v>
      </c>
      <c r="R677" s="149">
        <v>9.9999999999999895E-2</v>
      </c>
      <c r="S677" s="119"/>
      <c r="T677" s="119"/>
      <c r="U677" s="119"/>
      <c r="V677" s="119"/>
      <c r="W677" s="119"/>
      <c r="X677" s="119"/>
      <c r="Y677" s="119"/>
      <c r="Z677" s="119"/>
      <c r="AA677" s="119"/>
    </row>
    <row r="678" spans="1:27" ht="15">
      <c r="A678" s="107">
        <f t="shared" si="95"/>
        <v>28</v>
      </c>
      <c r="B678" s="108" t="s">
        <v>1462</v>
      </c>
      <c r="C678" s="109" t="s">
        <v>32</v>
      </c>
      <c r="D678" s="110">
        <v>46104</v>
      </c>
      <c r="E678" s="109" t="s">
        <v>26</v>
      </c>
      <c r="F678" s="111" t="str">
        <f>VLOOKUP($B678,ma!$A:$B,2,0)</f>
        <v>M. AN PHÚ</v>
      </c>
      <c r="G678" s="112" t="s">
        <v>2193</v>
      </c>
      <c r="H678" s="113" t="s">
        <v>2034</v>
      </c>
      <c r="I678" s="114"/>
      <c r="J678" s="109"/>
      <c r="K678" s="116">
        <v>2</v>
      </c>
      <c r="L678" s="117">
        <f t="shared" si="96"/>
        <v>100000</v>
      </c>
      <c r="M678" s="114"/>
      <c r="N678" s="118"/>
      <c r="O678" s="118">
        <v>1</v>
      </c>
      <c r="P678" s="114">
        <f>VLOOKUP($B678,ma!$A:$C,3,0)</f>
        <v>800000</v>
      </c>
      <c r="Q678" s="132">
        <v>880000</v>
      </c>
      <c r="R678" s="149">
        <v>9.9999999999999895E-2</v>
      </c>
      <c r="S678" s="119"/>
      <c r="T678" s="119"/>
      <c r="U678" s="119"/>
      <c r="V678" s="119"/>
      <c r="W678" s="119"/>
      <c r="X678" s="119"/>
      <c r="Y678" s="119"/>
      <c r="Z678" s="119"/>
      <c r="AA678" s="119"/>
    </row>
    <row r="679" spans="1:27" ht="15">
      <c r="A679" s="107">
        <f t="shared" si="95"/>
        <v>29</v>
      </c>
      <c r="B679" s="108" t="s">
        <v>1462</v>
      </c>
      <c r="C679" s="109" t="s">
        <v>34</v>
      </c>
      <c r="D679" s="110">
        <v>46104</v>
      </c>
      <c r="E679" s="109" t="str">
        <f>VLOOKUP($C679,xe!$A:$B,2,0)</f>
        <v>50H-66445</v>
      </c>
      <c r="F679" s="111" t="str">
        <f>VLOOKUP($B679,ma!$A:$B,2,0)</f>
        <v>M. AN PHÚ</v>
      </c>
      <c r="G679" s="112" t="s">
        <v>2194</v>
      </c>
      <c r="H679" s="113" t="s">
        <v>2034</v>
      </c>
      <c r="I679" s="114"/>
      <c r="J679" s="109"/>
      <c r="K679" s="116">
        <v>2</v>
      </c>
      <c r="L679" s="117">
        <f t="shared" si="96"/>
        <v>100000</v>
      </c>
      <c r="M679" s="114">
        <v>30000</v>
      </c>
      <c r="N679" s="118" t="s">
        <v>1430</v>
      </c>
      <c r="O679" s="118">
        <v>1</v>
      </c>
      <c r="P679" s="114">
        <f>VLOOKUP($B679,ma!$A:$C,3,0)</f>
        <v>800000</v>
      </c>
      <c r="Q679" s="132">
        <v>880000</v>
      </c>
      <c r="R679" s="149">
        <v>9.9999999999999895E-2</v>
      </c>
      <c r="S679" s="119"/>
      <c r="T679" s="119"/>
      <c r="U679" s="119"/>
      <c r="V679" s="119"/>
      <c r="W679" s="119"/>
      <c r="X679" s="119"/>
      <c r="Y679" s="119"/>
      <c r="Z679" s="119"/>
      <c r="AA679" s="119"/>
    </row>
    <row r="680" spans="1:27" ht="15">
      <c r="A680" s="107">
        <f t="shared" si="95"/>
        <v>30</v>
      </c>
      <c r="B680" s="108" t="s">
        <v>1462</v>
      </c>
      <c r="C680" s="109" t="s">
        <v>8</v>
      </c>
      <c r="D680" s="110">
        <v>46104</v>
      </c>
      <c r="E680" s="109" t="str">
        <f>VLOOKUP($C680,xe!$A:$B,2,0)</f>
        <v>50H-64316</v>
      </c>
      <c r="F680" s="111" t="str">
        <f>VLOOKUP($B680,ma!$A:$B,2,0)</f>
        <v>M. AN PHÚ</v>
      </c>
      <c r="G680" s="112" t="s">
        <v>2195</v>
      </c>
      <c r="H680" s="113" t="s">
        <v>2034</v>
      </c>
      <c r="I680" s="114"/>
      <c r="J680" s="109"/>
      <c r="K680" s="116">
        <v>2</v>
      </c>
      <c r="L680" s="117">
        <f t="shared" si="96"/>
        <v>100000</v>
      </c>
      <c r="M680" s="114">
        <v>30000</v>
      </c>
      <c r="N680" s="118" t="s">
        <v>1430</v>
      </c>
      <c r="O680" s="118">
        <v>1</v>
      </c>
      <c r="P680" s="114">
        <f>VLOOKUP($B680,ma!$A:$C,3,0)</f>
        <v>800000</v>
      </c>
      <c r="Q680" s="132">
        <v>880000</v>
      </c>
      <c r="R680" s="149">
        <v>9.9999999999999895E-2</v>
      </c>
      <c r="S680" s="119"/>
      <c r="T680" s="119"/>
      <c r="U680" s="119"/>
      <c r="V680" s="119"/>
      <c r="W680" s="119"/>
      <c r="X680" s="119"/>
      <c r="Y680" s="119"/>
      <c r="Z680" s="119"/>
      <c r="AA680" s="119"/>
    </row>
    <row r="681" spans="1:27" ht="15">
      <c r="A681" s="107">
        <f t="shared" si="95"/>
        <v>31</v>
      </c>
      <c r="B681" s="108" t="s">
        <v>1462</v>
      </c>
      <c r="C681" s="109" t="s">
        <v>1873</v>
      </c>
      <c r="D681" s="110">
        <v>46104</v>
      </c>
      <c r="E681" s="133" t="s">
        <v>2179</v>
      </c>
      <c r="F681" s="111" t="str">
        <f>VLOOKUP($B681,ma!$A:$B,2,0)</f>
        <v>M. AN PHÚ</v>
      </c>
      <c r="G681" s="112" t="s">
        <v>2196</v>
      </c>
      <c r="H681" s="113" t="s">
        <v>2034</v>
      </c>
      <c r="I681" s="114"/>
      <c r="J681" s="109"/>
      <c r="K681" s="116">
        <v>2</v>
      </c>
      <c r="L681" s="117">
        <f t="shared" si="96"/>
        <v>100000</v>
      </c>
      <c r="M681" s="114">
        <v>60000</v>
      </c>
      <c r="N681" s="118" t="s">
        <v>2197</v>
      </c>
      <c r="O681" s="118">
        <v>1</v>
      </c>
      <c r="P681" s="114">
        <f>VLOOKUP($B681,ma!$A:$C,3,0)</f>
        <v>800000</v>
      </c>
      <c r="Q681" s="132">
        <v>880000</v>
      </c>
      <c r="R681" s="149">
        <v>9.9999999999999895E-2</v>
      </c>
      <c r="S681" s="119"/>
      <c r="T681" s="119"/>
      <c r="U681" s="119"/>
      <c r="V681" s="119"/>
      <c r="W681" s="119"/>
      <c r="X681" s="119"/>
      <c r="Y681" s="119"/>
      <c r="Z681" s="119"/>
      <c r="AA681" s="119"/>
    </row>
    <row r="682" spans="1:27" ht="15">
      <c r="A682" s="107">
        <f t="shared" si="95"/>
        <v>32</v>
      </c>
      <c r="B682" s="108" t="s">
        <v>1462</v>
      </c>
      <c r="C682" s="109" t="s">
        <v>1662</v>
      </c>
      <c r="D682" s="110">
        <v>46104</v>
      </c>
      <c r="E682" s="109" t="str">
        <f>VLOOKUP($C682,xe!$A:$B,2,0)</f>
        <v>50H-74619</v>
      </c>
      <c r="F682" s="111" t="str">
        <f>VLOOKUP($B682,ma!$A:$B,2,0)</f>
        <v>M. AN PHÚ</v>
      </c>
      <c r="G682" s="112" t="s">
        <v>2198</v>
      </c>
      <c r="H682" s="113" t="s">
        <v>2034</v>
      </c>
      <c r="I682" s="114"/>
      <c r="J682" s="109"/>
      <c r="K682" s="116">
        <v>2</v>
      </c>
      <c r="L682" s="117">
        <f t="shared" si="96"/>
        <v>100000</v>
      </c>
      <c r="M682" s="114">
        <v>60000</v>
      </c>
      <c r="N682" s="118" t="s">
        <v>2124</v>
      </c>
      <c r="O682" s="118">
        <v>1</v>
      </c>
      <c r="P682" s="114">
        <f>VLOOKUP($B682,ma!$A:$C,3,0)</f>
        <v>800000</v>
      </c>
      <c r="Q682" s="132">
        <v>880000</v>
      </c>
      <c r="R682" s="149">
        <v>9.9999999999999895E-2</v>
      </c>
      <c r="S682" s="119"/>
      <c r="T682" s="119"/>
      <c r="U682" s="119"/>
      <c r="V682" s="119"/>
      <c r="W682" s="119"/>
      <c r="X682" s="119"/>
      <c r="Y682" s="119"/>
      <c r="Z682" s="119"/>
      <c r="AA682" s="119"/>
    </row>
    <row r="683" spans="1:27" ht="15">
      <c r="A683" s="107">
        <f t="shared" si="95"/>
        <v>33</v>
      </c>
      <c r="B683" s="108" t="s">
        <v>1462</v>
      </c>
      <c r="C683" s="109" t="s">
        <v>1490</v>
      </c>
      <c r="D683" s="110">
        <v>46104</v>
      </c>
      <c r="E683" s="109" t="str">
        <f>VLOOKUP($C683,xe!$A:$B,2,0)</f>
        <v>50H-44024</v>
      </c>
      <c r="F683" s="111" t="str">
        <f>VLOOKUP($B683,ma!$A:$B,2,0)</f>
        <v>M. AN PHÚ</v>
      </c>
      <c r="G683" s="112" t="s">
        <v>2199</v>
      </c>
      <c r="H683" s="113" t="s">
        <v>2034</v>
      </c>
      <c r="I683" s="114"/>
      <c r="J683" s="109"/>
      <c r="K683" s="116">
        <v>2</v>
      </c>
      <c r="L683" s="117">
        <f t="shared" si="96"/>
        <v>100000</v>
      </c>
      <c r="M683" s="114"/>
      <c r="N683" s="118"/>
      <c r="O683" s="118">
        <v>1</v>
      </c>
      <c r="P683" s="114">
        <f>VLOOKUP($B683,ma!$A:$C,3,0)</f>
        <v>800000</v>
      </c>
      <c r="Q683" s="132">
        <v>880000</v>
      </c>
      <c r="R683" s="149">
        <v>9.9999999999999895E-2</v>
      </c>
      <c r="S683" s="119"/>
      <c r="T683" s="119"/>
      <c r="U683" s="119"/>
      <c r="V683" s="119"/>
      <c r="W683" s="119"/>
      <c r="X683" s="119"/>
      <c r="Y683" s="119"/>
      <c r="Z683" s="119"/>
      <c r="AA683" s="119"/>
    </row>
    <row r="684" spans="1:27" ht="15">
      <c r="A684" s="107">
        <f t="shared" si="95"/>
        <v>34</v>
      </c>
      <c r="B684" s="108" t="s">
        <v>1751</v>
      </c>
      <c r="C684" s="109" t="s">
        <v>18</v>
      </c>
      <c r="D684" s="110">
        <v>46104</v>
      </c>
      <c r="E684" s="109" t="s">
        <v>2172</v>
      </c>
      <c r="F684" s="111" t="str">
        <f>VLOOKUP($B684,ma!$A:$B,2,0)</f>
        <v>BIBICA MIỀN TÂY ( KBX )</v>
      </c>
      <c r="G684" s="112" t="s">
        <v>2200</v>
      </c>
      <c r="H684" s="113" t="s">
        <v>2034</v>
      </c>
      <c r="I684" s="114"/>
      <c r="J684" s="109"/>
      <c r="K684" s="116">
        <v>1</v>
      </c>
      <c r="L684" s="117">
        <v>50000</v>
      </c>
      <c r="M684" s="114">
        <v>50000</v>
      </c>
      <c r="N684" s="118" t="s">
        <v>1427</v>
      </c>
      <c r="O684" s="118">
        <v>1</v>
      </c>
      <c r="P684" s="114">
        <f>VLOOKUP($B684,ma!$A:$C,3,0)</f>
        <v>900000</v>
      </c>
      <c r="Q684" s="132">
        <v>990000</v>
      </c>
      <c r="R684" s="149">
        <v>9.9999999999999895E-2</v>
      </c>
      <c r="S684" s="119"/>
      <c r="T684" s="119"/>
      <c r="U684" s="119"/>
      <c r="V684" s="119"/>
      <c r="W684" s="119"/>
      <c r="X684" s="119"/>
      <c r="Y684" s="119"/>
      <c r="Z684" s="119"/>
      <c r="AA684" s="119"/>
    </row>
    <row r="685" spans="1:27" ht="15">
      <c r="A685" s="107">
        <f t="shared" si="95"/>
        <v>35</v>
      </c>
      <c r="B685" s="108" t="s">
        <v>1514</v>
      </c>
      <c r="C685" s="109" t="s">
        <v>1500</v>
      </c>
      <c r="D685" s="110">
        <v>46104</v>
      </c>
      <c r="E685" s="109" t="str">
        <f>VLOOKUP($C685,xe!$A:$B,2,0)</f>
        <v>50H 87442</v>
      </c>
      <c r="F685" s="111" t="str">
        <f>VLOOKUP($B685,ma!$A:$B,2,0)</f>
        <v>EMART P.H.ÍCH</v>
      </c>
      <c r="G685" s="112" t="s">
        <v>1671</v>
      </c>
      <c r="H685" s="113" t="s">
        <v>1671</v>
      </c>
      <c r="I685" s="114"/>
      <c r="J685" s="115" t="s">
        <v>2201</v>
      </c>
      <c r="K685" s="116">
        <v>1</v>
      </c>
      <c r="L685" s="117">
        <f t="shared" ref="L685:L690" si="97">K685*50000</f>
        <v>50000</v>
      </c>
      <c r="M685" s="114">
        <v>30000</v>
      </c>
      <c r="N685" s="118" t="s">
        <v>1423</v>
      </c>
      <c r="O685" s="118">
        <v>1</v>
      </c>
      <c r="P685" s="114">
        <f>VLOOKUP($B685,ma!$A:$C,3,0)</f>
        <v>800000</v>
      </c>
      <c r="Q685" s="132">
        <v>880000</v>
      </c>
      <c r="R685" s="149">
        <v>9.9999999999999895E-2</v>
      </c>
      <c r="S685" s="119"/>
      <c r="T685" s="119"/>
      <c r="U685" s="119"/>
      <c r="V685" s="119"/>
      <c r="W685" s="119"/>
      <c r="X685" s="119"/>
      <c r="Y685" s="119"/>
      <c r="Z685" s="119"/>
      <c r="AA685" s="119"/>
    </row>
    <row r="686" spans="1:27" ht="15">
      <c r="A686" s="137">
        <v>1</v>
      </c>
      <c r="B686" s="138" t="s">
        <v>2202</v>
      </c>
      <c r="C686" s="139" t="s">
        <v>66</v>
      </c>
      <c r="D686" s="140">
        <v>46105</v>
      </c>
      <c r="E686" s="139" t="str">
        <f>VLOOKUP($C686,xe!$A:$B,2,0)</f>
        <v>50H-92136</v>
      </c>
      <c r="F686" s="141" t="str">
        <f>VLOOKUP($B686,ma!$A:$B,2,0)</f>
        <v>AEON BÌNH TÂN</v>
      </c>
      <c r="G686" s="142" t="s">
        <v>2203</v>
      </c>
      <c r="H686" s="126" t="s">
        <v>2034</v>
      </c>
      <c r="I686" s="132"/>
      <c r="J686" s="115" t="s">
        <v>140</v>
      </c>
      <c r="K686" s="129">
        <v>1</v>
      </c>
      <c r="L686" s="143">
        <f t="shared" si="97"/>
        <v>50000</v>
      </c>
      <c r="M686" s="132"/>
      <c r="N686" s="144"/>
      <c r="O686" s="144">
        <v>1</v>
      </c>
      <c r="P686" s="132">
        <f>VLOOKUP($B686,ma!$A:$C,3,0)</f>
        <v>800000</v>
      </c>
      <c r="Q686" s="132">
        <v>880000</v>
      </c>
      <c r="R686" s="149">
        <v>9.9999999999999895E-2</v>
      </c>
      <c r="S686" s="156"/>
      <c r="T686" s="156"/>
      <c r="U686" s="156"/>
      <c r="V686" s="156"/>
      <c r="W686" s="156"/>
      <c r="X686" s="156"/>
      <c r="Y686" s="156"/>
      <c r="Z686" s="156"/>
      <c r="AA686" s="156"/>
    </row>
    <row r="687" spans="1:27" ht="15">
      <c r="A687" s="107">
        <f t="shared" ref="A687:A723" si="98">A686+1</f>
        <v>2</v>
      </c>
      <c r="B687" s="108" t="s">
        <v>2204</v>
      </c>
      <c r="C687" s="109" t="s">
        <v>64</v>
      </c>
      <c r="D687" s="110">
        <v>46105</v>
      </c>
      <c r="E687" s="109" t="str">
        <f>VLOOKUP($C687,xe!$A:$B,2,0)</f>
        <v>50H-60635</v>
      </c>
      <c r="F687" s="111" t="str">
        <f>VLOOKUP($B687,ma!$A:$B,2,0)</f>
        <v>BC TRƯỜNG CHINH</v>
      </c>
      <c r="G687" s="112" t="s">
        <v>2205</v>
      </c>
      <c r="H687" s="113" t="s">
        <v>2034</v>
      </c>
      <c r="I687" s="114"/>
      <c r="J687" s="147" t="s">
        <v>1457</v>
      </c>
      <c r="K687" s="116">
        <v>1.4</v>
      </c>
      <c r="L687" s="117">
        <f t="shared" si="97"/>
        <v>70000</v>
      </c>
      <c r="M687" s="114"/>
      <c r="N687" s="118"/>
      <c r="O687" s="118">
        <v>1</v>
      </c>
      <c r="P687" s="114">
        <f>VLOOKUP($B687,ma!$A:$C,3,0)</f>
        <v>800000</v>
      </c>
      <c r="Q687" s="132">
        <v>880000</v>
      </c>
      <c r="R687" s="149">
        <v>9.9999999999999895E-2</v>
      </c>
      <c r="S687" s="119"/>
      <c r="T687" s="119"/>
      <c r="U687" s="119"/>
      <c r="V687" s="119"/>
      <c r="W687" s="119"/>
      <c r="X687" s="119"/>
      <c r="Y687" s="119"/>
      <c r="Z687" s="119"/>
      <c r="AA687" s="119"/>
    </row>
    <row r="688" spans="1:27" ht="15">
      <c r="A688" s="107">
        <f t="shared" si="98"/>
        <v>3</v>
      </c>
      <c r="B688" s="108" t="s">
        <v>1758</v>
      </c>
      <c r="C688" s="109" t="s">
        <v>76</v>
      </c>
      <c r="D688" s="110">
        <v>46105</v>
      </c>
      <c r="E688" s="109" t="str">
        <f>VLOOKUP($C688,xe!$A:$B,2,0)</f>
        <v>51D-38021</v>
      </c>
      <c r="F688" s="111" t="str">
        <f>VLOOKUP($B688,ma!$A:$B,2,0)</f>
        <v>M. BÌNH PHÚ</v>
      </c>
      <c r="G688" s="112" t="s">
        <v>2128</v>
      </c>
      <c r="H688" s="113" t="s">
        <v>2034</v>
      </c>
      <c r="I688" s="114"/>
      <c r="J688" s="147" t="s">
        <v>1457</v>
      </c>
      <c r="K688" s="116">
        <v>1.6</v>
      </c>
      <c r="L688" s="117">
        <f t="shared" si="97"/>
        <v>80000</v>
      </c>
      <c r="M688" s="114"/>
      <c r="N688" s="118"/>
      <c r="O688" s="118">
        <v>1</v>
      </c>
      <c r="P688" s="114">
        <f>VLOOKUP($B688,ma!$A:$C,3,0)</f>
        <v>800000</v>
      </c>
      <c r="Q688" s="132">
        <v>880000</v>
      </c>
      <c r="R688" s="149">
        <v>9.9999999999999895E-2</v>
      </c>
      <c r="S688" s="119"/>
      <c r="T688" s="119"/>
      <c r="U688" s="119"/>
      <c r="V688" s="119"/>
      <c r="W688" s="119"/>
      <c r="X688" s="119"/>
      <c r="Y688" s="119"/>
      <c r="Z688" s="119"/>
      <c r="AA688" s="119"/>
    </row>
    <row r="689" spans="1:27" ht="15">
      <c r="A689" s="107">
        <f t="shared" si="98"/>
        <v>4</v>
      </c>
      <c r="B689" s="108" t="s">
        <v>2206</v>
      </c>
      <c r="C689" s="109" t="s">
        <v>1408</v>
      </c>
      <c r="D689" s="110">
        <v>46105</v>
      </c>
      <c r="E689" s="109" t="str">
        <f>VLOOKUP($C689,xe!$A:$B,2,0)</f>
        <v>50H-11822</v>
      </c>
      <c r="F689" s="111" t="str">
        <f>VLOOKUP($B689,ma!$A:$B,2,0)</f>
        <v>BC NEW CTY</v>
      </c>
      <c r="G689" s="112" t="s">
        <v>2207</v>
      </c>
      <c r="H689" s="113" t="s">
        <v>2208</v>
      </c>
      <c r="I689" s="114"/>
      <c r="J689" s="147" t="s">
        <v>1457</v>
      </c>
      <c r="K689" s="116">
        <v>2</v>
      </c>
      <c r="L689" s="117">
        <f t="shared" si="97"/>
        <v>100000</v>
      </c>
      <c r="M689" s="114"/>
      <c r="N689" s="118"/>
      <c r="O689" s="118">
        <v>1</v>
      </c>
      <c r="P689" s="114">
        <f>VLOOKUP($B689,ma!$A:$C,3,0)</f>
        <v>800000</v>
      </c>
      <c r="Q689" s="132">
        <v>880000</v>
      </c>
      <c r="R689" s="149">
        <v>9.9999999999999895E-2</v>
      </c>
      <c r="S689" s="119"/>
      <c r="T689" s="119"/>
      <c r="U689" s="119"/>
      <c r="V689" s="119"/>
      <c r="W689" s="119"/>
      <c r="X689" s="119"/>
      <c r="Y689" s="119"/>
      <c r="Z689" s="119"/>
      <c r="AA689" s="119"/>
    </row>
    <row r="690" spans="1:27" ht="15">
      <c r="A690" s="107">
        <f t="shared" si="98"/>
        <v>5</v>
      </c>
      <c r="B690" s="108" t="s">
        <v>2206</v>
      </c>
      <c r="C690" s="109" t="s">
        <v>80</v>
      </c>
      <c r="D690" s="110">
        <v>46105</v>
      </c>
      <c r="E690" s="109" t="str">
        <f>VLOOKUP($C690,xe!$A:$B,2,0)</f>
        <v>51D-95538</v>
      </c>
      <c r="F690" s="111" t="str">
        <f>VLOOKUP($B690,ma!$A:$B,2,0)</f>
        <v>BC NEW CTY</v>
      </c>
      <c r="G690" s="112" t="s">
        <v>2209</v>
      </c>
      <c r="H690" s="113" t="s">
        <v>2208</v>
      </c>
      <c r="I690" s="114"/>
      <c r="J690" s="147" t="s">
        <v>1457</v>
      </c>
      <c r="K690" s="116">
        <v>2</v>
      </c>
      <c r="L690" s="117">
        <f t="shared" si="97"/>
        <v>100000</v>
      </c>
      <c r="M690" s="114"/>
      <c r="N690" s="118"/>
      <c r="O690" s="118">
        <v>1</v>
      </c>
      <c r="P690" s="114">
        <f>VLOOKUP($B690,ma!$A:$C,3,0)</f>
        <v>800000</v>
      </c>
      <c r="Q690" s="132">
        <v>880000</v>
      </c>
      <c r="R690" s="149">
        <v>9.9999999999999895E-2</v>
      </c>
      <c r="S690" s="119"/>
      <c r="T690" s="119"/>
      <c r="U690" s="119"/>
      <c r="V690" s="119"/>
      <c r="W690" s="119"/>
      <c r="X690" s="119"/>
      <c r="Y690" s="119"/>
      <c r="Z690" s="119"/>
      <c r="AA690" s="119"/>
    </row>
    <row r="691" spans="1:27" ht="15">
      <c r="A691" s="107">
        <f t="shared" si="98"/>
        <v>6</v>
      </c>
      <c r="B691" s="108" t="s">
        <v>334</v>
      </c>
      <c r="C691" s="109" t="s">
        <v>1404</v>
      </c>
      <c r="D691" s="110">
        <v>46105</v>
      </c>
      <c r="E691" s="109" t="str">
        <f>VLOOKUP($C691,xe!$A:$B,2,0)</f>
        <v>51C-81056</v>
      </c>
      <c r="F691" s="111" t="str">
        <f>VLOOKUP($B691,ma!$A:$B,2,0)</f>
        <v>CHOLIMEX BINH CHÁNH ( KBX )</v>
      </c>
      <c r="G691" s="112" t="s">
        <v>2210</v>
      </c>
      <c r="H691" s="113" t="s">
        <v>2034</v>
      </c>
      <c r="I691" s="114"/>
      <c r="J691" s="109"/>
      <c r="K691" s="116">
        <v>1.8</v>
      </c>
      <c r="L691" s="117"/>
      <c r="M691" s="114"/>
      <c r="N691" s="118"/>
      <c r="O691" s="118">
        <v>1</v>
      </c>
      <c r="P691" s="114">
        <f>VLOOKUP($B691,ma!$A:$C,3,0)</f>
        <v>800000</v>
      </c>
      <c r="Q691" s="132">
        <v>880000</v>
      </c>
      <c r="R691" s="149">
        <v>9.9999999999999895E-2</v>
      </c>
      <c r="S691" s="119"/>
      <c r="T691" s="119"/>
      <c r="U691" s="119"/>
      <c r="V691" s="119"/>
      <c r="W691" s="119"/>
      <c r="X691" s="119"/>
      <c r="Y691" s="119"/>
      <c r="Z691" s="119"/>
      <c r="AA691" s="119"/>
    </row>
    <row r="692" spans="1:27" ht="15">
      <c r="A692" s="107">
        <f t="shared" si="98"/>
        <v>7</v>
      </c>
      <c r="B692" s="108" t="s">
        <v>1701</v>
      </c>
      <c r="C692" s="109" t="s">
        <v>2037</v>
      </c>
      <c r="D692" s="110">
        <v>46105</v>
      </c>
      <c r="E692" s="133" t="str">
        <f>VLOOKUP($C692,xe!$A:$B,2,0)</f>
        <v>50E-565,21</v>
      </c>
      <c r="F692" s="111" t="str">
        <f>VLOOKUP($B692,ma!$A:$B,2,0)</f>
        <v>KFC GÒ VẤP ( K BX )</v>
      </c>
      <c r="G692" s="112" t="s">
        <v>2211</v>
      </c>
      <c r="H692" s="113" t="s">
        <v>2034</v>
      </c>
      <c r="I692" s="114"/>
      <c r="J692" s="109"/>
      <c r="K692" s="116">
        <v>2</v>
      </c>
      <c r="L692" s="117"/>
      <c r="M692" s="114"/>
      <c r="N692" s="118"/>
      <c r="O692" s="118">
        <v>1</v>
      </c>
      <c r="P692" s="114">
        <f>VLOOKUP($B692,ma!$A:$C,3,0)</f>
        <v>800000</v>
      </c>
      <c r="Q692" s="132">
        <v>880000</v>
      </c>
      <c r="R692" s="149">
        <v>9.9999999999999895E-2</v>
      </c>
      <c r="S692" s="119"/>
      <c r="T692" s="119"/>
      <c r="U692" s="119"/>
      <c r="V692" s="119"/>
      <c r="W692" s="119"/>
      <c r="X692" s="119"/>
      <c r="Y692" s="119"/>
      <c r="Z692" s="119"/>
      <c r="AA692" s="119"/>
    </row>
    <row r="693" spans="1:27" ht="15">
      <c r="A693" s="107">
        <f t="shared" si="98"/>
        <v>8</v>
      </c>
      <c r="B693" s="108" t="s">
        <v>1701</v>
      </c>
      <c r="C693" s="109" t="s">
        <v>62</v>
      </c>
      <c r="D693" s="110">
        <v>46105</v>
      </c>
      <c r="E693" s="109" t="str">
        <f>VLOOKUP($C693,xe!$A:$B,2,0)</f>
        <v>62H-01887</v>
      </c>
      <c r="F693" s="111" t="str">
        <f>VLOOKUP($B693,ma!$A:$B,2,0)</f>
        <v>KFC GÒ VẤP ( K BX )</v>
      </c>
      <c r="G693" s="112" t="s">
        <v>2212</v>
      </c>
      <c r="H693" s="113" t="s">
        <v>2034</v>
      </c>
      <c r="I693" s="114"/>
      <c r="J693" s="109"/>
      <c r="K693" s="116">
        <v>2</v>
      </c>
      <c r="L693" s="117"/>
      <c r="M693" s="114"/>
      <c r="N693" s="118"/>
      <c r="O693" s="118">
        <v>1</v>
      </c>
      <c r="P693" s="114">
        <f>VLOOKUP($B693,ma!$A:$C,3,0)</f>
        <v>800000</v>
      </c>
      <c r="Q693" s="132">
        <v>880000</v>
      </c>
      <c r="R693" s="149">
        <v>9.9999999999999895E-2</v>
      </c>
      <c r="S693" s="119"/>
      <c r="T693" s="119"/>
      <c r="U693" s="119"/>
      <c r="V693" s="119"/>
      <c r="W693" s="119"/>
      <c r="X693" s="119"/>
      <c r="Y693" s="119"/>
      <c r="Z693" s="119"/>
      <c r="AA693" s="119"/>
    </row>
    <row r="694" spans="1:27" ht="15">
      <c r="A694" s="107">
        <f t="shared" si="98"/>
        <v>9</v>
      </c>
      <c r="B694" s="108" t="s">
        <v>1701</v>
      </c>
      <c r="C694" s="109" t="s">
        <v>68</v>
      </c>
      <c r="D694" s="110">
        <v>46105</v>
      </c>
      <c r="E694" s="109" t="str">
        <f>VLOOKUP($C694,xe!$A:$B,2,0)</f>
        <v>50H-55829</v>
      </c>
      <c r="F694" s="111" t="str">
        <f>VLOOKUP($B694,ma!$A:$B,2,0)</f>
        <v>KFC GÒ VẤP ( K BX )</v>
      </c>
      <c r="G694" s="112" t="s">
        <v>2213</v>
      </c>
      <c r="H694" s="113" t="s">
        <v>2034</v>
      </c>
      <c r="I694" s="114"/>
      <c r="J694" s="109"/>
      <c r="K694" s="116">
        <v>2</v>
      </c>
      <c r="L694" s="117"/>
      <c r="M694" s="114"/>
      <c r="N694" s="118"/>
      <c r="O694" s="118">
        <v>1</v>
      </c>
      <c r="P694" s="114">
        <f>VLOOKUP($B694,ma!$A:$C,3,0)</f>
        <v>800000</v>
      </c>
      <c r="Q694" s="132">
        <v>880000</v>
      </c>
      <c r="R694" s="149">
        <v>9.9999999999999895E-2</v>
      </c>
      <c r="S694" s="119"/>
      <c r="T694" s="119"/>
      <c r="U694" s="119"/>
      <c r="V694" s="119"/>
      <c r="W694" s="119"/>
      <c r="X694" s="119"/>
      <c r="Y694" s="119"/>
      <c r="Z694" s="119"/>
      <c r="AA694" s="119"/>
    </row>
    <row r="695" spans="1:27" ht="15">
      <c r="A695" s="107">
        <f t="shared" si="98"/>
        <v>10</v>
      </c>
      <c r="B695" s="108" t="s">
        <v>1701</v>
      </c>
      <c r="C695" s="109" t="s">
        <v>1937</v>
      </c>
      <c r="D695" s="110">
        <v>46105</v>
      </c>
      <c r="E695" s="109" t="str">
        <f>VLOOKUP($C695,xe!$A:$B,2,0)</f>
        <v>50H-86564</v>
      </c>
      <c r="F695" s="111" t="str">
        <f>VLOOKUP($B695,ma!$A:$B,2,0)</f>
        <v>KFC GÒ VẤP ( K BX )</v>
      </c>
      <c r="G695" s="112" t="s">
        <v>2214</v>
      </c>
      <c r="H695" s="113" t="s">
        <v>2208</v>
      </c>
      <c r="I695" s="114"/>
      <c r="J695" s="109"/>
      <c r="K695" s="116">
        <v>2</v>
      </c>
      <c r="L695" s="117"/>
      <c r="M695" s="114"/>
      <c r="N695" s="118"/>
      <c r="O695" s="118">
        <v>1</v>
      </c>
      <c r="P695" s="114">
        <f>VLOOKUP($B695,ma!$A:$C,3,0)</f>
        <v>800000</v>
      </c>
      <c r="Q695" s="132">
        <v>880000</v>
      </c>
      <c r="R695" s="149">
        <v>9.9999999999999895E-2</v>
      </c>
      <c r="S695" s="119"/>
      <c r="T695" s="119"/>
      <c r="U695" s="119"/>
      <c r="V695" s="119"/>
      <c r="W695" s="119"/>
      <c r="X695" s="119"/>
      <c r="Y695" s="119"/>
      <c r="Z695" s="119"/>
      <c r="AA695" s="119"/>
    </row>
    <row r="696" spans="1:27" ht="15">
      <c r="A696" s="107">
        <f t="shared" si="98"/>
        <v>11</v>
      </c>
      <c r="B696" s="108" t="s">
        <v>1869</v>
      </c>
      <c r="C696" s="109" t="s">
        <v>72</v>
      </c>
      <c r="D696" s="110">
        <v>46105</v>
      </c>
      <c r="E696" s="109" t="str">
        <f>VLOOKUP($C696,xe!$A:$B,2,0)</f>
        <v>47H-02023</v>
      </c>
      <c r="F696" s="111" t="str">
        <f>VLOOKUP($B696,ma!$A:$B,2,0)</f>
        <v>BHX XUYÊN Á</v>
      </c>
      <c r="G696" s="112" t="s">
        <v>2215</v>
      </c>
      <c r="H696" s="113" t="s">
        <v>2034</v>
      </c>
      <c r="I696" s="114"/>
      <c r="J696" s="109"/>
      <c r="K696" s="116">
        <v>2</v>
      </c>
      <c r="L696" s="117">
        <f t="shared" ref="L696:L697" si="99">K696*80000</f>
        <v>160000</v>
      </c>
      <c r="M696" s="114"/>
      <c r="N696" s="118"/>
      <c r="O696" s="118">
        <v>1</v>
      </c>
      <c r="P696" s="114">
        <f>VLOOKUP($B696,ma!$A:$C,3,0)</f>
        <v>900000</v>
      </c>
      <c r="Q696" s="132">
        <v>990000</v>
      </c>
      <c r="R696" s="149">
        <v>9.9999999999999895E-2</v>
      </c>
      <c r="S696" s="119"/>
      <c r="T696" s="119"/>
      <c r="U696" s="119"/>
      <c r="V696" s="119"/>
      <c r="W696" s="119"/>
      <c r="X696" s="119"/>
      <c r="Y696" s="119"/>
      <c r="Z696" s="119"/>
      <c r="AA696" s="119"/>
    </row>
    <row r="697" spans="1:27" ht="15">
      <c r="A697" s="107">
        <f t="shared" si="98"/>
        <v>12</v>
      </c>
      <c r="B697" s="108" t="s">
        <v>1869</v>
      </c>
      <c r="C697" s="109" t="s">
        <v>82</v>
      </c>
      <c r="D697" s="110">
        <v>46105</v>
      </c>
      <c r="E697" s="133" t="str">
        <f>VLOOKUP($C697,xe!$A:$B,2,0)</f>
        <v>61H-12700</v>
      </c>
      <c r="F697" s="111" t="str">
        <f>VLOOKUP($B697,ma!$A:$B,2,0)</f>
        <v>BHX XUYÊN Á</v>
      </c>
      <c r="G697" s="112" t="s">
        <v>2216</v>
      </c>
      <c r="H697" s="113" t="s">
        <v>2178</v>
      </c>
      <c r="I697" s="114"/>
      <c r="J697" s="109"/>
      <c r="K697" s="116">
        <v>2</v>
      </c>
      <c r="L697" s="117">
        <f t="shared" si="99"/>
        <v>160000</v>
      </c>
      <c r="M697" s="114"/>
      <c r="N697" s="118"/>
      <c r="O697" s="118">
        <v>1</v>
      </c>
      <c r="P697" s="114">
        <f>VLOOKUP($B697,ma!$A:$C,3,0)</f>
        <v>900000</v>
      </c>
      <c r="Q697" s="132">
        <v>990000</v>
      </c>
      <c r="R697" s="149">
        <v>9.9999999999999895E-2</v>
      </c>
      <c r="S697" s="119"/>
      <c r="T697" s="119"/>
      <c r="U697" s="119"/>
      <c r="V697" s="119"/>
      <c r="W697" s="119"/>
      <c r="X697" s="119"/>
      <c r="Y697" s="119"/>
      <c r="Z697" s="119"/>
      <c r="AA697" s="119"/>
    </row>
    <row r="698" spans="1:27" ht="15">
      <c r="A698" s="107">
        <f t="shared" si="98"/>
        <v>13</v>
      </c>
      <c r="B698" s="108" t="s">
        <v>1489</v>
      </c>
      <c r="C698" s="109" t="s">
        <v>1655</v>
      </c>
      <c r="D698" s="110">
        <v>46105</v>
      </c>
      <c r="E698" s="109" t="str">
        <f>VLOOKUP($C698,xe!$A:$B,2,0)</f>
        <v>50H-70216</v>
      </c>
      <c r="F698" s="111" t="str">
        <f>VLOOKUP($B698,ma!$A:$B,2,0)</f>
        <v>XUÂN VÂN ( K BX )</v>
      </c>
      <c r="G698" s="112" t="s">
        <v>2217</v>
      </c>
      <c r="H698" s="113" t="s">
        <v>2034</v>
      </c>
      <c r="I698" s="114"/>
      <c r="J698" s="109"/>
      <c r="K698" s="116">
        <v>2</v>
      </c>
      <c r="L698" s="117">
        <v>50000</v>
      </c>
      <c r="M698" s="114"/>
      <c r="N698" s="118"/>
      <c r="O698" s="118">
        <v>1</v>
      </c>
      <c r="P698" s="114">
        <f>VLOOKUP($B698,ma!$A:$C,3,0)</f>
        <v>800000</v>
      </c>
      <c r="Q698" s="132">
        <v>880000</v>
      </c>
      <c r="R698" s="149">
        <v>9.9999999999999895E-2</v>
      </c>
      <c r="S698" s="119"/>
      <c r="T698" s="119"/>
      <c r="U698" s="119"/>
      <c r="V698" s="119"/>
      <c r="W698" s="119"/>
      <c r="X698" s="119"/>
      <c r="Y698" s="119"/>
      <c r="Z698" s="119"/>
      <c r="AA698" s="119"/>
    </row>
    <row r="699" spans="1:27" ht="15">
      <c r="A699" s="107">
        <f t="shared" si="98"/>
        <v>14</v>
      </c>
      <c r="B699" s="108" t="s">
        <v>579</v>
      </c>
      <c r="C699" s="109" t="s">
        <v>27</v>
      </c>
      <c r="D699" s="110">
        <v>46105</v>
      </c>
      <c r="E699" s="109" t="str">
        <f>VLOOKUP($C699,xe!$A:$B,2,0)</f>
        <v>50H-55443</v>
      </c>
      <c r="F699" s="111" t="str">
        <f>VLOOKUP($B699,ma!$A:$B,2,0)</f>
        <v>Khang Phát</v>
      </c>
      <c r="G699" s="112" t="s">
        <v>2218</v>
      </c>
      <c r="H699" s="113" t="s">
        <v>2034</v>
      </c>
      <c r="I699" s="114"/>
      <c r="J699" s="115" t="s">
        <v>1508</v>
      </c>
      <c r="K699" s="116">
        <v>2.4</v>
      </c>
      <c r="L699" s="117">
        <f t="shared" ref="L699:L702" si="100">K699*50000</f>
        <v>120000</v>
      </c>
      <c r="M699" s="114">
        <v>60000</v>
      </c>
      <c r="N699" s="118" t="s">
        <v>2147</v>
      </c>
      <c r="O699" s="118">
        <v>1</v>
      </c>
      <c r="P699" s="114">
        <f>VLOOKUP($B699,ma!$A:$C,3,0)</f>
        <v>800000</v>
      </c>
      <c r="Q699" s="132">
        <v>880000</v>
      </c>
      <c r="R699" s="149">
        <v>9.9999999999999895E-2</v>
      </c>
      <c r="S699" s="119"/>
      <c r="T699" s="119"/>
      <c r="U699" s="119"/>
      <c r="V699" s="119"/>
      <c r="W699" s="119"/>
      <c r="X699" s="119"/>
      <c r="Y699" s="119"/>
      <c r="Z699" s="119"/>
      <c r="AA699" s="119"/>
    </row>
    <row r="700" spans="1:27" ht="15">
      <c r="A700" s="107">
        <f t="shared" si="98"/>
        <v>15</v>
      </c>
      <c r="B700" s="108" t="s">
        <v>2219</v>
      </c>
      <c r="C700" s="109" t="s">
        <v>33</v>
      </c>
      <c r="D700" s="110">
        <v>46105</v>
      </c>
      <c r="E700" s="109" t="str">
        <f>VLOOKUP($C700,xe!$A:$B,2,0)</f>
        <v>50H-63174</v>
      </c>
      <c r="F700" s="111" t="str">
        <f>VLOOKUP($B700,ma!$A:$B,2,0)</f>
        <v>ACECOOK TÂN PHÚ</v>
      </c>
      <c r="G700" s="112" t="s">
        <v>2220</v>
      </c>
      <c r="H700" s="113" t="s">
        <v>2034</v>
      </c>
      <c r="I700" s="114"/>
      <c r="J700" s="115" t="s">
        <v>1504</v>
      </c>
      <c r="K700" s="116">
        <v>1</v>
      </c>
      <c r="L700" s="117">
        <f t="shared" si="100"/>
        <v>50000</v>
      </c>
      <c r="M700" s="114"/>
      <c r="N700" s="118"/>
      <c r="O700" s="118">
        <v>1</v>
      </c>
      <c r="P700" s="114">
        <f>VLOOKUP($B700,ma!$A:$C,3,0)</f>
        <v>800000</v>
      </c>
      <c r="Q700" s="132">
        <v>880000</v>
      </c>
      <c r="R700" s="149">
        <v>9.9999999999999895E-2</v>
      </c>
      <c r="S700" s="119"/>
      <c r="T700" s="119"/>
      <c r="U700" s="119"/>
      <c r="V700" s="119"/>
      <c r="W700" s="119"/>
      <c r="X700" s="119"/>
      <c r="Y700" s="119"/>
      <c r="Z700" s="119"/>
      <c r="AA700" s="119"/>
    </row>
    <row r="701" spans="1:27" ht="15">
      <c r="A701" s="107">
        <f t="shared" si="98"/>
        <v>16</v>
      </c>
      <c r="B701" s="108" t="s">
        <v>1582</v>
      </c>
      <c r="C701" s="109" t="s">
        <v>34</v>
      </c>
      <c r="D701" s="110">
        <v>46105</v>
      </c>
      <c r="E701" s="109" t="str">
        <f>VLOOKUP($C701,xe!$A:$B,2,0)</f>
        <v>50H-66445</v>
      </c>
      <c r="F701" s="111" t="str">
        <f>VLOOKUP($B701,ma!$A:$B,2,0)</f>
        <v>THỌ PHÁT</v>
      </c>
      <c r="G701" s="112" t="s">
        <v>2221</v>
      </c>
      <c r="H701" s="113" t="s">
        <v>2034</v>
      </c>
      <c r="I701" s="114"/>
      <c r="J701" s="109"/>
      <c r="K701" s="116">
        <v>1.2</v>
      </c>
      <c r="L701" s="117">
        <f t="shared" si="100"/>
        <v>60000</v>
      </c>
      <c r="M701" s="114">
        <v>400000</v>
      </c>
      <c r="N701" s="118" t="s">
        <v>2222</v>
      </c>
      <c r="O701" s="118">
        <v>1</v>
      </c>
      <c r="P701" s="114">
        <f>VLOOKUP($B701,ma!$A:$C,3,0)</f>
        <v>500000</v>
      </c>
      <c r="Q701" s="132">
        <v>550000</v>
      </c>
      <c r="R701" s="149">
        <v>9.9999999999999895E-2</v>
      </c>
      <c r="S701" s="119"/>
      <c r="T701" s="119"/>
      <c r="U701" s="119"/>
      <c r="V701" s="119"/>
      <c r="W701" s="119"/>
      <c r="X701" s="119"/>
      <c r="Y701" s="119"/>
      <c r="Z701" s="119"/>
      <c r="AA701" s="119"/>
    </row>
    <row r="702" spans="1:27" ht="15">
      <c r="A702" s="107">
        <f t="shared" si="98"/>
        <v>17</v>
      </c>
      <c r="B702" s="108" t="s">
        <v>1582</v>
      </c>
      <c r="C702" s="109" t="s">
        <v>2077</v>
      </c>
      <c r="D702" s="110">
        <v>46105</v>
      </c>
      <c r="E702" s="109" t="s">
        <v>26</v>
      </c>
      <c r="F702" s="111" t="str">
        <f>VLOOKUP($B702,ma!$A:$B,2,0)</f>
        <v>THỌ PHÁT</v>
      </c>
      <c r="G702" s="112" t="s">
        <v>2223</v>
      </c>
      <c r="H702" s="113" t="s">
        <v>2034</v>
      </c>
      <c r="I702" s="114"/>
      <c r="J702" s="109"/>
      <c r="K702" s="116">
        <v>1.4</v>
      </c>
      <c r="L702" s="117">
        <f t="shared" si="100"/>
        <v>70000</v>
      </c>
      <c r="M702" s="114"/>
      <c r="N702" s="118"/>
      <c r="O702" s="118">
        <v>1</v>
      </c>
      <c r="P702" s="114">
        <f>VLOOKUP($B702,ma!$A:$C,3,0)</f>
        <v>500000</v>
      </c>
      <c r="Q702" s="132">
        <v>550000</v>
      </c>
      <c r="R702" s="149">
        <v>9.9999999999999895E-2</v>
      </c>
      <c r="S702" s="119"/>
      <c r="T702" s="119"/>
      <c r="U702" s="119"/>
      <c r="V702" s="119"/>
      <c r="W702" s="119"/>
      <c r="X702" s="119"/>
      <c r="Y702" s="119"/>
      <c r="Z702" s="119"/>
      <c r="AA702" s="119"/>
    </row>
    <row r="703" spans="1:27" ht="15">
      <c r="A703" s="107">
        <f t="shared" si="98"/>
        <v>18</v>
      </c>
      <c r="B703" s="108" t="s">
        <v>2036</v>
      </c>
      <c r="C703" s="109" t="s">
        <v>10</v>
      </c>
      <c r="D703" s="110">
        <v>46105</v>
      </c>
      <c r="E703" s="109" t="str">
        <f>VLOOKUP($C703,xe!$A:$B,2,0)</f>
        <v>50H-50999</v>
      </c>
      <c r="F703" s="111" t="str">
        <f>VLOOKUP($B703,ma!$A:$B,2,0)</f>
        <v>QUẬN 9</v>
      </c>
      <c r="G703" s="112" t="s">
        <v>2224</v>
      </c>
      <c r="H703" s="113" t="s">
        <v>2034</v>
      </c>
      <c r="I703" s="114"/>
      <c r="J703" s="115" t="s">
        <v>455</v>
      </c>
      <c r="K703" s="116">
        <v>1.6</v>
      </c>
      <c r="L703" s="117">
        <v>50000</v>
      </c>
      <c r="M703" s="114"/>
      <c r="N703" s="118"/>
      <c r="O703" s="118">
        <v>1</v>
      </c>
      <c r="P703" s="114">
        <f>VLOOKUP($B703,ma!$A:$C,3,0)</f>
        <v>800000</v>
      </c>
      <c r="Q703" s="132">
        <v>880000</v>
      </c>
      <c r="R703" s="149">
        <v>9.9999999999999895E-2</v>
      </c>
      <c r="S703" s="119"/>
      <c r="T703" s="119"/>
      <c r="U703" s="119"/>
      <c r="V703" s="119"/>
      <c r="W703" s="119"/>
      <c r="X703" s="119"/>
      <c r="Y703" s="119"/>
      <c r="Z703" s="119"/>
      <c r="AA703" s="119"/>
    </row>
    <row r="704" spans="1:27" ht="15">
      <c r="A704" s="107">
        <f t="shared" si="98"/>
        <v>19</v>
      </c>
      <c r="B704" s="108" t="s">
        <v>2036</v>
      </c>
      <c r="C704" s="109" t="s">
        <v>74</v>
      </c>
      <c r="D704" s="110">
        <v>46105</v>
      </c>
      <c r="E704" s="109" t="str">
        <f>VLOOKUP($C704,xe!$A:$B,2,0)</f>
        <v>50H-44024</v>
      </c>
      <c r="F704" s="111" t="str">
        <f>VLOOKUP($B704,ma!$A:$B,2,0)</f>
        <v>QUẬN 9</v>
      </c>
      <c r="G704" s="112" t="s">
        <v>2225</v>
      </c>
      <c r="H704" s="113" t="s">
        <v>2034</v>
      </c>
      <c r="I704" s="114"/>
      <c r="J704" s="115" t="s">
        <v>455</v>
      </c>
      <c r="K704" s="116">
        <v>1.6</v>
      </c>
      <c r="L704" s="117"/>
      <c r="M704" s="114"/>
      <c r="N704" s="118"/>
      <c r="O704" s="118">
        <v>1</v>
      </c>
      <c r="P704" s="114">
        <f>VLOOKUP($B704,ma!$A:$C,3,0)</f>
        <v>800000</v>
      </c>
      <c r="Q704" s="132">
        <v>880000</v>
      </c>
      <c r="R704" s="149">
        <v>9.9999999999999895E-2</v>
      </c>
      <c r="S704" s="119"/>
      <c r="T704" s="119"/>
      <c r="U704" s="119"/>
      <c r="V704" s="119"/>
      <c r="W704" s="119"/>
      <c r="X704" s="119"/>
      <c r="Y704" s="119"/>
      <c r="Z704" s="119"/>
      <c r="AA704" s="119"/>
    </row>
    <row r="705" spans="1:27" ht="15">
      <c r="A705" s="107">
        <f t="shared" si="98"/>
        <v>20</v>
      </c>
      <c r="B705" s="108" t="s">
        <v>1474</v>
      </c>
      <c r="C705" s="109" t="s">
        <v>12</v>
      </c>
      <c r="D705" s="110">
        <v>46105</v>
      </c>
      <c r="E705" s="133" t="s">
        <v>2179</v>
      </c>
      <c r="F705" s="111" t="str">
        <f>VLOOKUP($B705,ma!$A:$B,2,0)</f>
        <v>NGUYỄN TRƯƠNG</v>
      </c>
      <c r="G705" s="112" t="s">
        <v>2226</v>
      </c>
      <c r="H705" s="113" t="s">
        <v>2034</v>
      </c>
      <c r="I705" s="114"/>
      <c r="J705" s="109"/>
      <c r="K705" s="116">
        <v>2</v>
      </c>
      <c r="L705" s="117">
        <f t="shared" ref="L705:L706" si="101">K705*50000</f>
        <v>100000</v>
      </c>
      <c r="M705" s="114"/>
      <c r="N705" s="118"/>
      <c r="O705" s="118">
        <v>1</v>
      </c>
      <c r="P705" s="114">
        <f>VLOOKUP($B705,ma!$A:$C,3,0)</f>
        <v>800000</v>
      </c>
      <c r="Q705" s="132">
        <v>880000</v>
      </c>
      <c r="R705" s="149">
        <v>9.9999999999999895E-2</v>
      </c>
      <c r="S705" s="119"/>
      <c r="T705" s="119"/>
      <c r="U705" s="119"/>
      <c r="V705" s="119"/>
      <c r="W705" s="119"/>
      <c r="X705" s="119"/>
      <c r="Y705" s="119"/>
      <c r="Z705" s="119"/>
      <c r="AA705" s="119"/>
    </row>
    <row r="706" spans="1:27" ht="15">
      <c r="A706" s="107">
        <f t="shared" si="98"/>
        <v>21</v>
      </c>
      <c r="B706" s="108" t="s">
        <v>1467</v>
      </c>
      <c r="C706" s="109" t="s">
        <v>18</v>
      </c>
      <c r="D706" s="110">
        <v>46105</v>
      </c>
      <c r="E706" s="109" t="s">
        <v>2172</v>
      </c>
      <c r="F706" s="111" t="str">
        <f>VLOOKUP($B706,ma!$A:$B,2,0)</f>
        <v>LÊ GIA THỦ ĐỨC</v>
      </c>
      <c r="G706" s="112" t="s">
        <v>2227</v>
      </c>
      <c r="H706" s="113" t="s">
        <v>2034</v>
      </c>
      <c r="I706" s="114"/>
      <c r="J706" s="109"/>
      <c r="K706" s="116">
        <v>1</v>
      </c>
      <c r="L706" s="117">
        <f t="shared" si="101"/>
        <v>50000</v>
      </c>
      <c r="M706" s="114">
        <v>30000</v>
      </c>
      <c r="N706" s="118" t="s">
        <v>1423</v>
      </c>
      <c r="O706" s="118">
        <v>1</v>
      </c>
      <c r="P706" s="114">
        <f>VLOOKUP($B706,ma!$A:$C,3,0)</f>
        <v>800000</v>
      </c>
      <c r="Q706" s="132">
        <v>880000</v>
      </c>
      <c r="R706" s="149">
        <v>9.9999999999999895E-2</v>
      </c>
      <c r="S706" s="119"/>
      <c r="T706" s="119"/>
      <c r="U706" s="119"/>
      <c r="V706" s="119"/>
      <c r="W706" s="119"/>
      <c r="X706" s="119"/>
      <c r="Y706" s="119"/>
      <c r="Z706" s="119"/>
      <c r="AA706" s="119"/>
    </row>
    <row r="707" spans="1:27" ht="15">
      <c r="A707" s="107">
        <f t="shared" si="98"/>
        <v>22</v>
      </c>
      <c r="B707" s="108" t="s">
        <v>1526</v>
      </c>
      <c r="C707" s="109" t="s">
        <v>1669</v>
      </c>
      <c r="D707" s="110">
        <v>46105</v>
      </c>
      <c r="E707" s="109" t="str">
        <f>VLOOKUP($C707,xe!$A:$B,2,0)</f>
        <v>50H-69501</v>
      </c>
      <c r="F707" s="111" t="str">
        <f>VLOOKUP($B707,ma!$A:$B,2,0)</f>
        <v xml:space="preserve">KIDO CỦ CHI </v>
      </c>
      <c r="G707" s="112" t="s">
        <v>2228</v>
      </c>
      <c r="H707" s="113" t="s">
        <v>2034</v>
      </c>
      <c r="I707" s="114">
        <v>10000</v>
      </c>
      <c r="J707" s="109"/>
      <c r="K707" s="116">
        <v>2</v>
      </c>
      <c r="L707" s="134">
        <v>210000</v>
      </c>
      <c r="M707" s="114">
        <v>30000</v>
      </c>
      <c r="N707" s="118" t="s">
        <v>1423</v>
      </c>
      <c r="O707" s="118">
        <v>1</v>
      </c>
      <c r="P707" s="114">
        <f>VLOOKUP($B707,ma!$A:$C,3,0)</f>
        <v>900000</v>
      </c>
      <c r="Q707" s="132">
        <v>990000</v>
      </c>
      <c r="R707" s="149">
        <v>9.9999999999999895E-2</v>
      </c>
      <c r="S707" s="119"/>
      <c r="T707" s="119"/>
      <c r="U707" s="119"/>
      <c r="V707" s="119"/>
      <c r="W707" s="119"/>
      <c r="X707" s="119"/>
      <c r="Y707" s="119"/>
      <c r="Z707" s="119"/>
      <c r="AA707" s="119"/>
    </row>
    <row r="708" spans="1:27" ht="15">
      <c r="A708" s="107">
        <f t="shared" si="98"/>
        <v>23</v>
      </c>
      <c r="B708" s="108" t="s">
        <v>1774</v>
      </c>
      <c r="C708" s="109" t="s">
        <v>1500</v>
      </c>
      <c r="D708" s="110">
        <v>46105</v>
      </c>
      <c r="E708" s="109" t="str">
        <f>VLOOKUP($C708,xe!$A:$B,2,0)</f>
        <v>50H 87442</v>
      </c>
      <c r="F708" s="111" t="str">
        <f>VLOOKUP($B708,ma!$A:$B,2,0)</f>
        <v>VĂN HẬU LONG HƯNG ( KBX )</v>
      </c>
      <c r="G708" s="112" t="s">
        <v>1412</v>
      </c>
      <c r="H708" s="113" t="s">
        <v>1412</v>
      </c>
      <c r="I708" s="114"/>
      <c r="J708" s="109"/>
      <c r="K708" s="116">
        <v>2.2000000000000002</v>
      </c>
      <c r="L708" s="117">
        <v>50000</v>
      </c>
      <c r="M708" s="114"/>
      <c r="N708" s="118"/>
      <c r="O708" s="118">
        <v>1</v>
      </c>
      <c r="P708" s="114">
        <f>VLOOKUP($B708,ma!$A:$C,3,0)</f>
        <v>800000</v>
      </c>
      <c r="Q708" s="132">
        <v>880000</v>
      </c>
      <c r="R708" s="149">
        <v>9.9999999999999895E-2</v>
      </c>
      <c r="S708" s="119"/>
      <c r="T708" s="119"/>
      <c r="U708" s="119"/>
      <c r="V708" s="119"/>
      <c r="W708" s="119"/>
      <c r="X708" s="119"/>
      <c r="Y708" s="119"/>
      <c r="Z708" s="119"/>
      <c r="AA708" s="119"/>
    </row>
    <row r="709" spans="1:27" ht="15">
      <c r="A709" s="107">
        <f t="shared" si="98"/>
        <v>24</v>
      </c>
      <c r="B709" s="108" t="s">
        <v>1774</v>
      </c>
      <c r="C709" s="109" t="s">
        <v>2229</v>
      </c>
      <c r="D709" s="110">
        <v>46105</v>
      </c>
      <c r="E709" s="109" t="str">
        <f>VLOOKUP($C709,xe!$A:$B,2,0)</f>
        <v>51D-95538</v>
      </c>
      <c r="F709" s="111" t="str">
        <f>VLOOKUP($B709,ma!$A:$B,2,0)</f>
        <v>VĂN HẬU LONG HƯNG ( KBX )</v>
      </c>
      <c r="G709" s="112" t="s">
        <v>1412</v>
      </c>
      <c r="H709" s="113" t="s">
        <v>1412</v>
      </c>
      <c r="I709" s="114"/>
      <c r="J709" s="109"/>
      <c r="K709" s="116">
        <v>2.2000000000000002</v>
      </c>
      <c r="L709" s="117"/>
      <c r="M709" s="114"/>
      <c r="N709" s="118"/>
      <c r="O709" s="118">
        <v>1</v>
      </c>
      <c r="P709" s="114">
        <f>VLOOKUP($B709,ma!$A:$C,3,0)</f>
        <v>800000</v>
      </c>
      <c r="Q709" s="132">
        <v>880000</v>
      </c>
      <c r="R709" s="149">
        <v>9.9999999999999895E-2</v>
      </c>
      <c r="S709" s="119"/>
      <c r="T709" s="119"/>
      <c r="U709" s="119"/>
      <c r="V709" s="119"/>
      <c r="W709" s="119"/>
      <c r="X709" s="119"/>
      <c r="Y709" s="119"/>
      <c r="Z709" s="119"/>
      <c r="AA709" s="119"/>
    </row>
    <row r="710" spans="1:27" ht="15">
      <c r="A710" s="107">
        <f t="shared" si="98"/>
        <v>25</v>
      </c>
      <c r="B710" s="108" t="s">
        <v>2230</v>
      </c>
      <c r="C710" s="109" t="s">
        <v>1662</v>
      </c>
      <c r="D710" s="110">
        <v>46105</v>
      </c>
      <c r="E710" s="109" t="s">
        <v>13</v>
      </c>
      <c r="F710" s="111" t="str">
        <f>VLOOKUP($B710,ma!$A:$B,2,0)</f>
        <v>VFS</v>
      </c>
      <c r="G710" s="112" t="s">
        <v>2231</v>
      </c>
      <c r="H710" s="113" t="s">
        <v>2034</v>
      </c>
      <c r="I710" s="114"/>
      <c r="J710" s="109"/>
      <c r="K710" s="116">
        <v>2.2000000000000002</v>
      </c>
      <c r="L710" s="117">
        <f t="shared" ref="L710:L711" si="102">K710*50000</f>
        <v>110000.00000000001</v>
      </c>
      <c r="M710" s="114"/>
      <c r="N710" s="118"/>
      <c r="O710" s="118">
        <v>1</v>
      </c>
      <c r="P710" s="114">
        <f>VLOOKUP($B710,ma!$A:$C,3,0)</f>
        <v>800000</v>
      </c>
      <c r="Q710" s="132">
        <v>880000</v>
      </c>
      <c r="R710" s="149">
        <v>9.9999999999999895E-2</v>
      </c>
      <c r="S710" s="119"/>
      <c r="T710" s="119"/>
      <c r="U710" s="119"/>
      <c r="V710" s="119"/>
      <c r="W710" s="119"/>
      <c r="X710" s="119"/>
      <c r="Y710" s="119"/>
      <c r="Z710" s="119"/>
      <c r="AA710" s="119"/>
    </row>
    <row r="711" spans="1:27" ht="15">
      <c r="A711" s="107">
        <f t="shared" si="98"/>
        <v>26</v>
      </c>
      <c r="B711" s="108" t="s">
        <v>2232</v>
      </c>
      <c r="C711" s="109" t="s">
        <v>2037</v>
      </c>
      <c r="D711" s="110">
        <v>46105</v>
      </c>
      <c r="E711" s="133" t="str">
        <f>VLOOKUP($C711,xe!$A:$B,2,0)</f>
        <v>50E-565,21</v>
      </c>
      <c r="F711" s="111" t="str">
        <f>VLOOKUP($B711,ma!$A:$B,2,0)</f>
        <v>PHÚC LỘC PHÁT QUẬN 7</v>
      </c>
      <c r="G711" s="112" t="s">
        <v>2233</v>
      </c>
      <c r="H711" s="113" t="s">
        <v>2034</v>
      </c>
      <c r="I711" s="114"/>
      <c r="J711" s="109"/>
      <c r="K711" s="116">
        <v>1.6</v>
      </c>
      <c r="L711" s="117">
        <f t="shared" si="102"/>
        <v>80000</v>
      </c>
      <c r="M711" s="114"/>
      <c r="N711" s="118"/>
      <c r="O711" s="118">
        <v>1</v>
      </c>
      <c r="P711" s="114">
        <f>VLOOKUP($B711,ma!$A:$C,3,0)</f>
        <v>800000</v>
      </c>
      <c r="Q711" s="132">
        <v>880000</v>
      </c>
      <c r="R711" s="149">
        <v>9.9999999999999895E-2</v>
      </c>
      <c r="S711" s="119"/>
      <c r="T711" s="119"/>
      <c r="U711" s="119"/>
      <c r="V711" s="119"/>
      <c r="W711" s="119"/>
      <c r="X711" s="119"/>
      <c r="Y711" s="119"/>
      <c r="Z711" s="119"/>
      <c r="AA711" s="119"/>
    </row>
    <row r="712" spans="1:27" ht="15">
      <c r="A712" s="107">
        <f t="shared" si="98"/>
        <v>27</v>
      </c>
      <c r="B712" s="108" t="s">
        <v>1492</v>
      </c>
      <c r="C712" s="109" t="s">
        <v>8</v>
      </c>
      <c r="D712" s="110">
        <v>46105</v>
      </c>
      <c r="E712" s="109" t="str">
        <f>VLOOKUP($C712,xe!$A:$B,2,0)</f>
        <v>50H-64316</v>
      </c>
      <c r="F712" s="111" t="str">
        <f>VLOOKUP($B712,ma!$A:$B,2,0)</f>
        <v>BHX NHÀ BÈ</v>
      </c>
      <c r="G712" s="112" t="s">
        <v>2234</v>
      </c>
      <c r="H712" s="113" t="s">
        <v>2034</v>
      </c>
      <c r="I712" s="114"/>
      <c r="J712" s="109"/>
      <c r="K712" s="116">
        <v>1.8</v>
      </c>
      <c r="L712" s="134">
        <v>190000</v>
      </c>
      <c r="M712" s="114">
        <v>30000</v>
      </c>
      <c r="N712" s="118" t="s">
        <v>1423</v>
      </c>
      <c r="O712" s="118">
        <v>1</v>
      </c>
      <c r="P712" s="114">
        <f>VLOOKUP($B712,ma!$A:$C,3,0)</f>
        <v>400000</v>
      </c>
      <c r="Q712" s="132">
        <v>440000</v>
      </c>
      <c r="R712" s="149">
        <v>9.9999999999999895E-2</v>
      </c>
      <c r="S712" s="119"/>
      <c r="T712" s="119"/>
      <c r="U712" s="119"/>
      <c r="V712" s="119"/>
      <c r="W712" s="119"/>
      <c r="X712" s="119"/>
      <c r="Y712" s="119"/>
      <c r="Z712" s="119"/>
      <c r="AA712" s="119"/>
    </row>
    <row r="713" spans="1:27" ht="15">
      <c r="A713" s="107">
        <f t="shared" si="98"/>
        <v>28</v>
      </c>
      <c r="B713" s="108" t="s">
        <v>1492</v>
      </c>
      <c r="C713" s="109" t="s">
        <v>19</v>
      </c>
      <c r="D713" s="110">
        <v>46105</v>
      </c>
      <c r="E713" s="109" t="str">
        <f>VLOOKUP($C713,xe!$A:$B,2,0)</f>
        <v>51H -88294</v>
      </c>
      <c r="F713" s="111" t="str">
        <f>VLOOKUP($B713,ma!$A:$B,2,0)</f>
        <v>BHX NHÀ BÈ</v>
      </c>
      <c r="G713" s="112" t="s">
        <v>1671</v>
      </c>
      <c r="H713" s="113" t="s">
        <v>1671</v>
      </c>
      <c r="I713" s="114"/>
      <c r="J713" s="109"/>
      <c r="K713" s="116">
        <v>1.8</v>
      </c>
      <c r="L713" s="134">
        <v>190000</v>
      </c>
      <c r="M713" s="114"/>
      <c r="N713" s="118"/>
      <c r="O713" s="118">
        <v>1</v>
      </c>
      <c r="P713" s="114">
        <f>VLOOKUP($B713,ma!$A:$C,3,0)</f>
        <v>400000</v>
      </c>
      <c r="Q713" s="132">
        <v>440000</v>
      </c>
      <c r="R713" s="149">
        <v>9.9999999999999895E-2</v>
      </c>
      <c r="S713" s="119"/>
      <c r="T713" s="119"/>
      <c r="U713" s="119"/>
      <c r="V713" s="119"/>
      <c r="W713" s="119"/>
      <c r="X713" s="119"/>
      <c r="Y713" s="119"/>
      <c r="Z713" s="119"/>
      <c r="AA713" s="119"/>
    </row>
    <row r="714" spans="1:27" ht="15">
      <c r="A714" s="107">
        <f t="shared" si="98"/>
        <v>29</v>
      </c>
      <c r="B714" s="108" t="s">
        <v>2235</v>
      </c>
      <c r="C714" s="109" t="s">
        <v>1506</v>
      </c>
      <c r="D714" s="110">
        <v>46105</v>
      </c>
      <c r="E714" s="109" t="str">
        <f>VLOOKUP($C714,xe!$A:$B,2,0)</f>
        <v>50H-55443</v>
      </c>
      <c r="F714" s="111" t="str">
        <f>VLOOKUP($B714,ma!$A:$B,2,0)</f>
        <v>AEON RDC Q12</v>
      </c>
      <c r="G714" s="112" t="s">
        <v>2236</v>
      </c>
      <c r="H714" s="113" t="s">
        <v>2178</v>
      </c>
      <c r="I714" s="114"/>
      <c r="J714" s="115" t="s">
        <v>140</v>
      </c>
      <c r="K714" s="116">
        <v>1.6</v>
      </c>
      <c r="L714" s="117">
        <f t="shared" ref="L714:L721" si="103">K714*50000</f>
        <v>80000</v>
      </c>
      <c r="M714" s="114">
        <v>30000</v>
      </c>
      <c r="N714" s="118" t="s">
        <v>1423</v>
      </c>
      <c r="O714" s="118">
        <v>1</v>
      </c>
      <c r="P714" s="114">
        <f>VLOOKUP($B714,ma!$A:$C,3,0)</f>
        <v>800000</v>
      </c>
      <c r="Q714" s="132">
        <v>880000</v>
      </c>
      <c r="R714" s="149">
        <v>9.9999999999999895E-2</v>
      </c>
      <c r="S714" s="119"/>
      <c r="T714" s="119"/>
      <c r="U714" s="119"/>
      <c r="V714" s="119"/>
      <c r="W714" s="119"/>
      <c r="X714" s="119"/>
      <c r="Y714" s="119"/>
      <c r="Z714" s="119"/>
      <c r="AA714" s="119"/>
    </row>
    <row r="715" spans="1:27" ht="15">
      <c r="A715" s="107">
        <f t="shared" si="98"/>
        <v>30</v>
      </c>
      <c r="B715" s="108" t="s">
        <v>2235</v>
      </c>
      <c r="C715" s="109" t="s">
        <v>34</v>
      </c>
      <c r="D715" s="110">
        <v>46105</v>
      </c>
      <c r="E715" s="109" t="str">
        <f>VLOOKUP($C715,xe!$A:$B,2,0)</f>
        <v>50H-66445</v>
      </c>
      <c r="F715" s="111" t="str">
        <f>VLOOKUP($B715,ma!$A:$B,2,0)</f>
        <v>AEON RDC Q12</v>
      </c>
      <c r="G715" s="112" t="s">
        <v>2237</v>
      </c>
      <c r="H715" s="113" t="s">
        <v>2178</v>
      </c>
      <c r="I715" s="114"/>
      <c r="J715" s="115" t="s">
        <v>140</v>
      </c>
      <c r="K715" s="116">
        <v>1.6</v>
      </c>
      <c r="L715" s="117">
        <f t="shared" si="103"/>
        <v>80000</v>
      </c>
      <c r="M715" s="114">
        <v>30000</v>
      </c>
      <c r="N715" s="118" t="s">
        <v>1423</v>
      </c>
      <c r="O715" s="118">
        <v>1</v>
      </c>
      <c r="P715" s="114">
        <f>VLOOKUP($B715,ma!$A:$C,3,0)</f>
        <v>800000</v>
      </c>
      <c r="Q715" s="132">
        <v>880000</v>
      </c>
      <c r="R715" s="149">
        <v>9.9999999999999895E-2</v>
      </c>
      <c r="S715" s="119"/>
      <c r="T715" s="119"/>
      <c r="U715" s="119"/>
      <c r="V715" s="119"/>
      <c r="W715" s="119"/>
      <c r="X715" s="119"/>
      <c r="Y715" s="119"/>
      <c r="Z715" s="119"/>
      <c r="AA715" s="119"/>
    </row>
    <row r="716" spans="1:27" ht="15">
      <c r="A716" s="107">
        <f t="shared" si="98"/>
        <v>31</v>
      </c>
      <c r="B716" s="108" t="s">
        <v>2235</v>
      </c>
      <c r="C716" s="109" t="s">
        <v>8</v>
      </c>
      <c r="D716" s="110">
        <v>46105</v>
      </c>
      <c r="E716" s="109" t="str">
        <f>VLOOKUP($C716,xe!$A:$B,2,0)</f>
        <v>50H-64316</v>
      </c>
      <c r="F716" s="111" t="str">
        <f>VLOOKUP($B716,ma!$A:$B,2,0)</f>
        <v>AEON RDC Q12</v>
      </c>
      <c r="G716" s="112" t="s">
        <v>2238</v>
      </c>
      <c r="H716" s="113" t="s">
        <v>2178</v>
      </c>
      <c r="I716" s="114"/>
      <c r="J716" s="115" t="s">
        <v>140</v>
      </c>
      <c r="K716" s="116">
        <v>1.6</v>
      </c>
      <c r="L716" s="117">
        <f t="shared" si="103"/>
        <v>80000</v>
      </c>
      <c r="M716" s="114"/>
      <c r="N716" s="118"/>
      <c r="O716" s="118">
        <v>1</v>
      </c>
      <c r="P716" s="114">
        <f>VLOOKUP($B716,ma!$A:$C,3,0)</f>
        <v>800000</v>
      </c>
      <c r="Q716" s="132">
        <v>880000</v>
      </c>
      <c r="R716" s="149">
        <v>9.9999999999999895E-2</v>
      </c>
      <c r="S716" s="119"/>
      <c r="T716" s="119"/>
      <c r="U716" s="119"/>
      <c r="V716" s="119"/>
      <c r="W716" s="119"/>
      <c r="X716" s="119"/>
      <c r="Y716" s="119"/>
      <c r="Z716" s="119"/>
      <c r="AA716" s="119"/>
    </row>
    <row r="717" spans="1:27" ht="15">
      <c r="A717" s="107">
        <f t="shared" si="98"/>
        <v>32</v>
      </c>
      <c r="B717" s="108" t="s">
        <v>2235</v>
      </c>
      <c r="C717" s="109" t="s">
        <v>32</v>
      </c>
      <c r="D717" s="110">
        <v>46105</v>
      </c>
      <c r="E717" s="109" t="str">
        <f>VLOOKUP($C717,xe!$A:$B,2,0)</f>
        <v>50H-54580</v>
      </c>
      <c r="F717" s="111" t="str">
        <f>VLOOKUP($B717,ma!$A:$B,2,0)</f>
        <v>AEON RDC Q12</v>
      </c>
      <c r="G717" s="112" t="s">
        <v>2239</v>
      </c>
      <c r="H717" s="113" t="s">
        <v>2178</v>
      </c>
      <c r="I717" s="114"/>
      <c r="J717" s="115" t="s">
        <v>140</v>
      </c>
      <c r="K717" s="116">
        <v>1.6</v>
      </c>
      <c r="L717" s="117">
        <f t="shared" si="103"/>
        <v>80000</v>
      </c>
      <c r="M717" s="114">
        <v>30000</v>
      </c>
      <c r="N717" s="118" t="s">
        <v>1423</v>
      </c>
      <c r="O717" s="118">
        <v>1</v>
      </c>
      <c r="P717" s="114">
        <f>VLOOKUP($B717,ma!$A:$C,3,0)</f>
        <v>800000</v>
      </c>
      <c r="Q717" s="132">
        <v>880000</v>
      </c>
      <c r="R717" s="149">
        <v>9.9999999999999895E-2</v>
      </c>
      <c r="S717" s="119"/>
      <c r="T717" s="119"/>
      <c r="U717" s="119"/>
      <c r="V717" s="119"/>
      <c r="W717" s="119"/>
      <c r="X717" s="119"/>
      <c r="Y717" s="119"/>
      <c r="Z717" s="119"/>
      <c r="AA717" s="119"/>
    </row>
    <row r="718" spans="1:27" ht="15">
      <c r="A718" s="107">
        <f t="shared" si="98"/>
        <v>33</v>
      </c>
      <c r="B718" s="108" t="s">
        <v>1452</v>
      </c>
      <c r="C718" s="109" t="s">
        <v>10</v>
      </c>
      <c r="D718" s="110">
        <v>46105</v>
      </c>
      <c r="E718" s="109" t="str">
        <f>VLOOKUP($C718,xe!$A:$B,2,0)</f>
        <v>50H-50999</v>
      </c>
      <c r="F718" s="111" t="str">
        <f>VLOOKUP($B718,ma!$A:$B,2,0)</f>
        <v>E MART SALA</v>
      </c>
      <c r="G718" s="112" t="s">
        <v>2240</v>
      </c>
      <c r="H718" s="113" t="s">
        <v>2083</v>
      </c>
      <c r="I718" s="114"/>
      <c r="J718" s="147" t="s">
        <v>1457</v>
      </c>
      <c r="K718" s="116">
        <v>1.2</v>
      </c>
      <c r="L718" s="117">
        <f t="shared" si="103"/>
        <v>60000</v>
      </c>
      <c r="M718" s="114"/>
      <c r="N718" s="118"/>
      <c r="O718" s="118">
        <v>1</v>
      </c>
      <c r="P718" s="114">
        <f>VLOOKUP($B718,ma!$A:$C,3,0)</f>
        <v>800000</v>
      </c>
      <c r="Q718" s="132">
        <v>880000</v>
      </c>
      <c r="R718" s="149">
        <v>9.9999999999999895E-2</v>
      </c>
      <c r="S718" s="119"/>
      <c r="T718" s="119"/>
      <c r="U718" s="119"/>
      <c r="V718" s="119"/>
      <c r="W718" s="119"/>
      <c r="X718" s="119"/>
      <c r="Y718" s="119"/>
      <c r="Z718" s="119"/>
      <c r="AA718" s="119"/>
    </row>
    <row r="719" spans="1:27" ht="15">
      <c r="A719" s="107">
        <f t="shared" si="98"/>
        <v>34</v>
      </c>
      <c r="B719" s="108" t="s">
        <v>1514</v>
      </c>
      <c r="C719" s="109" t="s">
        <v>1500</v>
      </c>
      <c r="D719" s="110">
        <v>46105</v>
      </c>
      <c r="E719" s="109" t="str">
        <f>VLOOKUP($C719,xe!$A:$B,2,0)</f>
        <v>50H 87442</v>
      </c>
      <c r="F719" s="111" t="str">
        <f>VLOOKUP($B719,ma!$A:$B,2,0)</f>
        <v>EMART P.H.ÍCH</v>
      </c>
      <c r="G719" s="112" t="s">
        <v>2241</v>
      </c>
      <c r="H719" s="113" t="s">
        <v>2178</v>
      </c>
      <c r="I719" s="114"/>
      <c r="J719" s="147" t="s">
        <v>1457</v>
      </c>
      <c r="K719" s="116">
        <v>2.2000000000000002</v>
      </c>
      <c r="L719" s="117">
        <f t="shared" si="103"/>
        <v>110000.00000000001</v>
      </c>
      <c r="M719" s="114">
        <v>30000</v>
      </c>
      <c r="N719" s="118" t="s">
        <v>1423</v>
      </c>
      <c r="O719" s="118">
        <v>1</v>
      </c>
      <c r="P719" s="114">
        <f>VLOOKUP($B719,ma!$A:$C,3,0)</f>
        <v>800000</v>
      </c>
      <c r="Q719" s="132">
        <v>880000</v>
      </c>
      <c r="R719" s="149">
        <v>9.9999999999999895E-2</v>
      </c>
      <c r="S719" s="119"/>
      <c r="T719" s="119"/>
      <c r="U719" s="119"/>
      <c r="V719" s="119"/>
      <c r="W719" s="119"/>
      <c r="X719" s="119"/>
      <c r="Y719" s="119"/>
      <c r="Z719" s="119"/>
      <c r="AA719" s="119"/>
    </row>
    <row r="720" spans="1:27" ht="15">
      <c r="A720" s="107">
        <f t="shared" si="98"/>
        <v>35</v>
      </c>
      <c r="B720" s="108" t="s">
        <v>2130</v>
      </c>
      <c r="C720" s="109" t="s">
        <v>74</v>
      </c>
      <c r="D720" s="110">
        <v>46105</v>
      </c>
      <c r="E720" s="109" t="str">
        <f>VLOOKUP($C720,xe!$A:$B,2,0)</f>
        <v>50H-44024</v>
      </c>
      <c r="F720" s="111" t="str">
        <f>VLOOKUP($B720,ma!$A:$B,2,0)</f>
        <v>METRO BIEN HOA</v>
      </c>
      <c r="G720" s="112" t="s">
        <v>1405</v>
      </c>
      <c r="H720" s="113" t="s">
        <v>2178</v>
      </c>
      <c r="I720" s="114"/>
      <c r="J720" s="109"/>
      <c r="K720" s="116">
        <v>2</v>
      </c>
      <c r="L720" s="117">
        <f t="shared" si="103"/>
        <v>100000</v>
      </c>
      <c r="M720" s="114"/>
      <c r="N720" s="118"/>
      <c r="O720" s="118">
        <v>1</v>
      </c>
      <c r="P720" s="114">
        <f>VLOOKUP($B720,ma!$A:$C,3,0)</f>
        <v>900000</v>
      </c>
      <c r="Q720" s="132">
        <v>990000</v>
      </c>
      <c r="R720" s="149">
        <v>9.9999999999999895E-2</v>
      </c>
      <c r="S720" s="119"/>
      <c r="T720" s="119"/>
      <c r="U720" s="119"/>
      <c r="V720" s="119"/>
      <c r="W720" s="119"/>
      <c r="X720" s="119"/>
      <c r="Y720" s="119"/>
      <c r="Z720" s="119"/>
      <c r="AA720" s="119"/>
    </row>
    <row r="721" spans="1:27" ht="15">
      <c r="A721" s="107">
        <f t="shared" si="98"/>
        <v>36</v>
      </c>
      <c r="B721" s="108" t="s">
        <v>2130</v>
      </c>
      <c r="C721" s="109" t="s">
        <v>80</v>
      </c>
      <c r="D721" s="110">
        <v>46105</v>
      </c>
      <c r="E721" s="109" t="str">
        <f>VLOOKUP($C721,xe!$A:$B,2,0)</f>
        <v>51D-95538</v>
      </c>
      <c r="F721" s="111" t="str">
        <f>VLOOKUP($B721,ma!$A:$B,2,0)</f>
        <v>METRO BIEN HOA</v>
      </c>
      <c r="G721" s="112" t="s">
        <v>1405</v>
      </c>
      <c r="H721" s="113" t="s">
        <v>2178</v>
      </c>
      <c r="I721" s="114"/>
      <c r="J721" s="109"/>
      <c r="K721" s="116">
        <v>2.2000000000000002</v>
      </c>
      <c r="L721" s="117">
        <f t="shared" si="103"/>
        <v>110000.00000000001</v>
      </c>
      <c r="M721" s="114"/>
      <c r="N721" s="118"/>
      <c r="O721" s="118">
        <v>1</v>
      </c>
      <c r="P721" s="114">
        <f>VLOOKUP($B721,ma!$A:$C,3,0)</f>
        <v>900000</v>
      </c>
      <c r="Q721" s="132">
        <v>990000</v>
      </c>
      <c r="R721" s="149">
        <v>9.9999999999999895E-2</v>
      </c>
      <c r="S721" s="119"/>
      <c r="T721" s="119"/>
      <c r="U721" s="119"/>
      <c r="V721" s="119"/>
      <c r="W721" s="119"/>
      <c r="X721" s="119"/>
      <c r="Y721" s="119"/>
      <c r="Z721" s="119"/>
      <c r="AA721" s="119"/>
    </row>
    <row r="722" spans="1:27" ht="15">
      <c r="A722" s="107">
        <f t="shared" si="98"/>
        <v>37</v>
      </c>
      <c r="B722" s="108" t="s">
        <v>1499</v>
      </c>
      <c r="C722" s="109" t="s">
        <v>18</v>
      </c>
      <c r="D722" s="110">
        <v>46105</v>
      </c>
      <c r="E722" s="109" t="s">
        <v>2172</v>
      </c>
      <c r="F722" s="111" t="str">
        <f>VLOOKUP($B722,ma!$A:$B,2,0)</f>
        <v>BHX ( VL)</v>
      </c>
      <c r="G722" s="112" t="s">
        <v>2242</v>
      </c>
      <c r="H722" s="113" t="s">
        <v>2178</v>
      </c>
      <c r="I722" s="114">
        <v>10000</v>
      </c>
      <c r="J722" s="115" t="s">
        <v>455</v>
      </c>
      <c r="K722" s="116">
        <v>2</v>
      </c>
      <c r="L722" s="134">
        <v>190000</v>
      </c>
      <c r="M722" s="114"/>
      <c r="N722" s="118"/>
      <c r="O722" s="118">
        <v>1</v>
      </c>
      <c r="P722" s="114">
        <f>VLOOKUP($B722,ma!$A:$C,3,0)</f>
        <v>800000</v>
      </c>
      <c r="Q722" s="132">
        <v>880000</v>
      </c>
      <c r="R722" s="149">
        <v>9.9999999999999895E-2</v>
      </c>
      <c r="S722" s="119"/>
      <c r="T722" s="119"/>
      <c r="U722" s="119"/>
      <c r="V722" s="119"/>
      <c r="W722" s="119"/>
      <c r="X722" s="119"/>
      <c r="Y722" s="119"/>
      <c r="Z722" s="119"/>
      <c r="AA722" s="119"/>
    </row>
    <row r="723" spans="1:27" ht="16">
      <c r="A723" s="107">
        <f t="shared" si="98"/>
        <v>38</v>
      </c>
      <c r="B723" s="108"/>
      <c r="C723" s="152" t="s">
        <v>1655</v>
      </c>
      <c r="D723" s="153">
        <v>46105</v>
      </c>
      <c r="E723" s="152" t="str">
        <f>VLOOKUP($C723,xe!$A:$B,2,0)</f>
        <v>50H-70216</v>
      </c>
      <c r="F723" s="158" t="s">
        <v>2127</v>
      </c>
      <c r="G723" s="155" t="s">
        <v>1405</v>
      </c>
      <c r="H723" s="113" t="s">
        <v>2034</v>
      </c>
      <c r="I723" s="135"/>
      <c r="J723" s="128" t="s">
        <v>2129</v>
      </c>
      <c r="K723" s="116">
        <v>1</v>
      </c>
      <c r="L723" s="134">
        <f t="shared" ref="L723:L733" si="104">K723*50000</f>
        <v>50000</v>
      </c>
      <c r="M723" s="135">
        <v>30000</v>
      </c>
      <c r="N723" s="118" t="s">
        <v>1423</v>
      </c>
      <c r="O723" s="136">
        <v>1</v>
      </c>
      <c r="P723" s="127">
        <v>1100000</v>
      </c>
      <c r="Q723" s="127">
        <v>1100000</v>
      </c>
      <c r="R723" s="149">
        <v>9.9999999999999895E-2</v>
      </c>
      <c r="S723" s="119"/>
      <c r="T723" s="119"/>
      <c r="U723" s="119"/>
      <c r="V723" s="119"/>
      <c r="W723" s="119"/>
      <c r="X723" s="119"/>
      <c r="Y723" s="119"/>
      <c r="Z723" s="119"/>
      <c r="AA723" s="119"/>
    </row>
    <row r="724" spans="1:27" ht="15">
      <c r="A724" s="137">
        <v>1</v>
      </c>
      <c r="B724" s="138" t="s">
        <v>1613</v>
      </c>
      <c r="C724" s="139" t="s">
        <v>64</v>
      </c>
      <c r="D724" s="140">
        <v>46106</v>
      </c>
      <c r="E724" s="139" t="str">
        <f>VLOOKUP($C724,xe!$A:$B,2,0)</f>
        <v>50H-60635</v>
      </c>
      <c r="F724" s="141" t="str">
        <f>VLOOKUP($B724,ma!$A:$B,2,0)</f>
        <v>LOTTE-GÒ VẤP</v>
      </c>
      <c r="G724" s="142" t="s">
        <v>2243</v>
      </c>
      <c r="H724" s="126" t="s">
        <v>2244</v>
      </c>
      <c r="I724" s="132"/>
      <c r="J724" s="115" t="s">
        <v>140</v>
      </c>
      <c r="K724" s="129">
        <v>1.8</v>
      </c>
      <c r="L724" s="143">
        <f t="shared" si="104"/>
        <v>90000</v>
      </c>
      <c r="M724" s="132"/>
      <c r="N724" s="144"/>
      <c r="O724" s="144">
        <v>1</v>
      </c>
      <c r="P724" s="132">
        <f>VLOOKUP($B724,ma!$A:$C,3,0)</f>
        <v>800000</v>
      </c>
      <c r="Q724" s="132">
        <v>880000</v>
      </c>
      <c r="R724" s="149">
        <v>9.9999999999999895E-2</v>
      </c>
      <c r="S724" s="156"/>
      <c r="T724" s="156"/>
      <c r="U724" s="156"/>
      <c r="V724" s="156"/>
      <c r="W724" s="156"/>
      <c r="X724" s="156"/>
      <c r="Y724" s="156"/>
      <c r="Z724" s="156"/>
      <c r="AA724" s="156"/>
    </row>
    <row r="725" spans="1:27" ht="15">
      <c r="A725" s="107">
        <f t="shared" ref="A725:A769" si="105">A724+1</f>
        <v>2</v>
      </c>
      <c r="B725" s="108" t="s">
        <v>1613</v>
      </c>
      <c r="C725" s="109" t="s">
        <v>2245</v>
      </c>
      <c r="D725" s="110">
        <v>46106</v>
      </c>
      <c r="E725" s="109" t="str">
        <f>VLOOKUP($C725,xe!$A:$B,2,0)</f>
        <v>50H-55829</v>
      </c>
      <c r="F725" s="111" t="str">
        <f>VLOOKUP($B725,ma!$A:$B,2,0)</f>
        <v>LOTTE-GÒ VẤP</v>
      </c>
      <c r="G725" s="112" t="s">
        <v>2246</v>
      </c>
      <c r="H725" s="113" t="s">
        <v>2244</v>
      </c>
      <c r="I725" s="114"/>
      <c r="J725" s="115" t="s">
        <v>140</v>
      </c>
      <c r="K725" s="116">
        <v>1.8</v>
      </c>
      <c r="L725" s="117">
        <f t="shared" si="104"/>
        <v>90000</v>
      </c>
      <c r="M725" s="114"/>
      <c r="N725" s="118"/>
      <c r="O725" s="118">
        <v>1</v>
      </c>
      <c r="P725" s="114">
        <f>VLOOKUP($B725,ma!$A:$C,3,0)</f>
        <v>800000</v>
      </c>
      <c r="Q725" s="132">
        <v>880000</v>
      </c>
      <c r="R725" s="149">
        <v>9.9999999999999895E-2</v>
      </c>
      <c r="S725" s="119"/>
      <c r="T725" s="119"/>
      <c r="U725" s="119"/>
      <c r="V725" s="119"/>
      <c r="W725" s="119"/>
      <c r="X725" s="119"/>
      <c r="Y725" s="119"/>
      <c r="Z725" s="119"/>
      <c r="AA725" s="119"/>
    </row>
    <row r="726" spans="1:27" ht="15">
      <c r="A726" s="107">
        <f t="shared" si="105"/>
        <v>3</v>
      </c>
      <c r="B726" s="108" t="s">
        <v>1510</v>
      </c>
      <c r="C726" s="109" t="s">
        <v>1538</v>
      </c>
      <c r="D726" s="110">
        <v>46106</v>
      </c>
      <c r="E726" s="109" t="str">
        <f>VLOOKUP($C726,xe!$A:$B,2,0)</f>
        <v>62H-01887</v>
      </c>
      <c r="F726" s="111" t="str">
        <f>VLOOKUP($B726,ma!$A:$B,2,0)</f>
        <v>LOTTE-TÂN BÌNH</v>
      </c>
      <c r="G726" s="112" t="s">
        <v>2247</v>
      </c>
      <c r="H726" s="113" t="s">
        <v>2248</v>
      </c>
      <c r="I726" s="114"/>
      <c r="J726" s="115" t="s">
        <v>140</v>
      </c>
      <c r="K726" s="116">
        <v>1.6</v>
      </c>
      <c r="L726" s="117">
        <f t="shared" si="104"/>
        <v>80000</v>
      </c>
      <c r="M726" s="114"/>
      <c r="N726" s="118"/>
      <c r="O726" s="118">
        <v>1</v>
      </c>
      <c r="P726" s="114">
        <f>VLOOKUP($B726,ma!$A:$C,3,0)</f>
        <v>800000</v>
      </c>
      <c r="Q726" s="132">
        <v>880000</v>
      </c>
      <c r="R726" s="149">
        <v>9.9999999999999895E-2</v>
      </c>
      <c r="S726" s="119"/>
      <c r="T726" s="119"/>
      <c r="U726" s="119"/>
      <c r="V726" s="119"/>
      <c r="W726" s="119"/>
      <c r="X726" s="119"/>
      <c r="Y726" s="119"/>
      <c r="Z726" s="119"/>
      <c r="AA726" s="119"/>
    </row>
    <row r="727" spans="1:27" ht="15">
      <c r="A727" s="107">
        <f t="shared" si="105"/>
        <v>4</v>
      </c>
      <c r="B727" s="108" t="s">
        <v>1673</v>
      </c>
      <c r="C727" s="109" t="s">
        <v>66</v>
      </c>
      <c r="D727" s="110">
        <v>46106</v>
      </c>
      <c r="E727" s="109" t="str">
        <f>VLOOKUP($C727,xe!$A:$B,2,0)</f>
        <v>50H-92136</v>
      </c>
      <c r="F727" s="111" t="str">
        <f>VLOOKUP($B727,ma!$A:$B,2,0)</f>
        <v>LOTTE-PHU THO</v>
      </c>
      <c r="G727" s="112" t="s">
        <v>2249</v>
      </c>
      <c r="H727" s="113" t="s">
        <v>2250</v>
      </c>
      <c r="I727" s="114"/>
      <c r="J727" s="115" t="s">
        <v>140</v>
      </c>
      <c r="K727" s="116">
        <v>2</v>
      </c>
      <c r="L727" s="117">
        <f t="shared" si="104"/>
        <v>100000</v>
      </c>
      <c r="M727" s="114"/>
      <c r="N727" s="118"/>
      <c r="O727" s="118">
        <v>1</v>
      </c>
      <c r="P727" s="114">
        <f>VLOOKUP($B727,ma!$A:$C,3,0)</f>
        <v>800000</v>
      </c>
      <c r="Q727" s="132">
        <v>880000</v>
      </c>
      <c r="R727" s="149">
        <v>9.9999999999999895E-2</v>
      </c>
      <c r="S727" s="119"/>
      <c r="T727" s="119"/>
      <c r="U727" s="119"/>
      <c r="V727" s="119"/>
      <c r="W727" s="119"/>
      <c r="X727" s="119"/>
      <c r="Y727" s="119"/>
      <c r="Z727" s="119"/>
      <c r="AA727" s="119"/>
    </row>
    <row r="728" spans="1:27" ht="15">
      <c r="A728" s="107">
        <f t="shared" si="105"/>
        <v>5</v>
      </c>
      <c r="B728" s="108" t="s">
        <v>1452</v>
      </c>
      <c r="C728" s="109" t="s">
        <v>2037</v>
      </c>
      <c r="D728" s="110">
        <v>46106</v>
      </c>
      <c r="E728" s="133" t="str">
        <f>VLOOKUP($C728,xe!$A:$B,2,0)</f>
        <v>50E-565,21</v>
      </c>
      <c r="F728" s="111" t="str">
        <f>VLOOKUP($B728,ma!$A:$B,2,0)</f>
        <v>E MART SALA</v>
      </c>
      <c r="G728" s="112" t="s">
        <v>2251</v>
      </c>
      <c r="H728" s="113" t="s">
        <v>2083</v>
      </c>
      <c r="I728" s="114"/>
      <c r="J728" s="115" t="s">
        <v>140</v>
      </c>
      <c r="K728" s="116">
        <v>1</v>
      </c>
      <c r="L728" s="117">
        <f t="shared" si="104"/>
        <v>50000</v>
      </c>
      <c r="M728" s="114"/>
      <c r="N728" s="118"/>
      <c r="O728" s="118">
        <v>1</v>
      </c>
      <c r="P728" s="114">
        <f>VLOOKUP($B728,ma!$A:$C,3,0)</f>
        <v>800000</v>
      </c>
      <c r="Q728" s="132">
        <v>880000</v>
      </c>
      <c r="R728" s="149">
        <v>9.9999999999999895E-2</v>
      </c>
      <c r="S728" s="119"/>
      <c r="T728" s="119"/>
      <c r="U728" s="119"/>
      <c r="V728" s="119"/>
      <c r="W728" s="119"/>
      <c r="X728" s="119"/>
      <c r="Y728" s="119"/>
      <c r="Z728" s="119"/>
      <c r="AA728" s="119"/>
    </row>
    <row r="729" spans="1:27" ht="15">
      <c r="A729" s="107">
        <f t="shared" si="105"/>
        <v>6</v>
      </c>
      <c r="B729" s="108" t="s">
        <v>1514</v>
      </c>
      <c r="C729" s="109" t="s">
        <v>60</v>
      </c>
      <c r="D729" s="110">
        <v>46106</v>
      </c>
      <c r="E729" s="109" t="str">
        <f>VLOOKUP($C729,xe!$A:$B,2,0)</f>
        <v>50H-11822</v>
      </c>
      <c r="F729" s="111" t="str">
        <f>VLOOKUP($B729,ma!$A:$B,2,0)</f>
        <v>EMART P.H.ÍCH</v>
      </c>
      <c r="G729" s="112" t="s">
        <v>2252</v>
      </c>
      <c r="H729" s="113" t="s">
        <v>2208</v>
      </c>
      <c r="I729" s="114"/>
      <c r="J729" s="115" t="s">
        <v>140</v>
      </c>
      <c r="K729" s="116">
        <v>1.8</v>
      </c>
      <c r="L729" s="117">
        <f t="shared" si="104"/>
        <v>90000</v>
      </c>
      <c r="M729" s="114"/>
      <c r="N729" s="118"/>
      <c r="O729" s="118">
        <v>1</v>
      </c>
      <c r="P729" s="114">
        <f>VLOOKUP($B729,ma!$A:$C,3,0)</f>
        <v>800000</v>
      </c>
      <c r="Q729" s="132">
        <v>880000</v>
      </c>
      <c r="R729" s="149">
        <v>9.9999999999999895E-2</v>
      </c>
      <c r="S729" s="119"/>
      <c r="T729" s="119"/>
      <c r="U729" s="119"/>
      <c r="V729" s="119"/>
      <c r="W729" s="119"/>
      <c r="X729" s="119"/>
      <c r="Y729" s="119"/>
      <c r="Z729" s="119"/>
      <c r="AA729" s="119"/>
    </row>
    <row r="730" spans="1:27" ht="15">
      <c r="A730" s="107">
        <f t="shared" si="105"/>
        <v>7</v>
      </c>
      <c r="B730" s="108" t="s">
        <v>1514</v>
      </c>
      <c r="C730" s="109" t="s">
        <v>58</v>
      </c>
      <c r="D730" s="110">
        <v>46106</v>
      </c>
      <c r="E730" s="109" t="str">
        <f>VLOOKUP($C730,xe!$A:$B,2,0)</f>
        <v>51C-81056</v>
      </c>
      <c r="F730" s="111" t="str">
        <f>VLOOKUP($B730,ma!$A:$B,2,0)</f>
        <v>EMART P.H.ÍCH</v>
      </c>
      <c r="G730" s="112" t="s">
        <v>2253</v>
      </c>
      <c r="H730" s="113" t="s">
        <v>2178</v>
      </c>
      <c r="I730" s="114"/>
      <c r="J730" s="115" t="s">
        <v>140</v>
      </c>
      <c r="K730" s="116">
        <v>1.8</v>
      </c>
      <c r="L730" s="117">
        <f t="shared" si="104"/>
        <v>90000</v>
      </c>
      <c r="M730" s="114"/>
      <c r="N730" s="118"/>
      <c r="O730" s="118">
        <v>1</v>
      </c>
      <c r="P730" s="114">
        <f>VLOOKUP($B730,ma!$A:$C,3,0)</f>
        <v>800000</v>
      </c>
      <c r="Q730" s="132">
        <v>880000</v>
      </c>
      <c r="R730" s="149">
        <v>9.9999999999999895E-2</v>
      </c>
      <c r="S730" s="119"/>
      <c r="T730" s="119"/>
      <c r="U730" s="119"/>
      <c r="V730" s="119"/>
      <c r="W730" s="119"/>
      <c r="X730" s="119"/>
      <c r="Y730" s="119"/>
      <c r="Z730" s="119"/>
      <c r="AA730" s="119"/>
    </row>
    <row r="731" spans="1:27" ht="15">
      <c r="A731" s="107">
        <f t="shared" si="105"/>
        <v>8</v>
      </c>
      <c r="B731" s="108" t="s">
        <v>166</v>
      </c>
      <c r="C731" s="109" t="s">
        <v>1524</v>
      </c>
      <c r="D731" s="110">
        <v>46106</v>
      </c>
      <c r="E731" s="109" t="str">
        <f>VLOOKUP($C731,xe!$A:$B,2,0)</f>
        <v>51D-38021</v>
      </c>
      <c r="F731" s="111" t="str">
        <f>VLOOKUP($B731,ma!$A:$B,2,0)</f>
        <v>PHẠM ANH TÂN PHÚ</v>
      </c>
      <c r="G731" s="112" t="s">
        <v>2254</v>
      </c>
      <c r="H731" s="113" t="s">
        <v>2083</v>
      </c>
      <c r="I731" s="114"/>
      <c r="J731" s="147" t="s">
        <v>1457</v>
      </c>
      <c r="K731" s="116">
        <v>2.2000000000000002</v>
      </c>
      <c r="L731" s="117">
        <f t="shared" si="104"/>
        <v>110000.00000000001</v>
      </c>
      <c r="M731" s="114"/>
      <c r="N731" s="118"/>
      <c r="O731" s="118">
        <v>1</v>
      </c>
      <c r="P731" s="114">
        <f>VLOOKUP($B731,ma!$A:$C,3,0)</f>
        <v>800000</v>
      </c>
      <c r="Q731" s="132">
        <v>880000</v>
      </c>
      <c r="R731" s="149">
        <v>9.9999999999999895E-2</v>
      </c>
      <c r="S731" s="119"/>
      <c r="T731" s="119"/>
      <c r="U731" s="119"/>
      <c r="V731" s="119"/>
      <c r="W731" s="119"/>
      <c r="X731" s="119"/>
      <c r="Y731" s="119"/>
      <c r="Z731" s="119"/>
      <c r="AA731" s="119"/>
    </row>
    <row r="732" spans="1:27" ht="15">
      <c r="A732" s="107">
        <f t="shared" si="105"/>
        <v>9</v>
      </c>
      <c r="B732" s="108" t="s">
        <v>166</v>
      </c>
      <c r="C732" s="109" t="s">
        <v>84</v>
      </c>
      <c r="D732" s="110">
        <v>46106</v>
      </c>
      <c r="E732" s="109" t="str">
        <f>VLOOKUP($C732,xe!$A:$B,2,0)</f>
        <v>85H-01932</v>
      </c>
      <c r="F732" s="111" t="str">
        <f>VLOOKUP($B732,ma!$A:$B,2,0)</f>
        <v>PHẠM ANH TÂN PHÚ</v>
      </c>
      <c r="G732" s="112" t="s">
        <v>2255</v>
      </c>
      <c r="H732" s="113" t="s">
        <v>2178</v>
      </c>
      <c r="I732" s="114"/>
      <c r="J732" s="147" t="s">
        <v>1457</v>
      </c>
      <c r="K732" s="116">
        <v>2.2000000000000002</v>
      </c>
      <c r="L732" s="117">
        <f t="shared" si="104"/>
        <v>110000.00000000001</v>
      </c>
      <c r="M732" s="114"/>
      <c r="N732" s="118"/>
      <c r="O732" s="118">
        <v>1</v>
      </c>
      <c r="P732" s="114">
        <f>VLOOKUP($B732,ma!$A:$C,3,0)</f>
        <v>800000</v>
      </c>
      <c r="Q732" s="132">
        <v>880000</v>
      </c>
      <c r="R732" s="149">
        <v>9.9999999999999895E-2</v>
      </c>
      <c r="S732" s="119"/>
      <c r="T732" s="119"/>
      <c r="U732" s="119"/>
      <c r="V732" s="119"/>
      <c r="W732" s="119"/>
      <c r="X732" s="119"/>
      <c r="Y732" s="119"/>
      <c r="Z732" s="119"/>
      <c r="AA732" s="119"/>
    </row>
    <row r="733" spans="1:27" ht="15">
      <c r="A733" s="107">
        <f t="shared" si="105"/>
        <v>10</v>
      </c>
      <c r="B733" s="108" t="s">
        <v>2256</v>
      </c>
      <c r="C733" s="109" t="s">
        <v>2257</v>
      </c>
      <c r="D733" s="110">
        <v>46106</v>
      </c>
      <c r="E733" s="109" t="str">
        <f>VLOOKUP($C733,xe!$A:$B,2,0)</f>
        <v>50H-86564</v>
      </c>
      <c r="F733" s="111" t="str">
        <f>VLOOKUP($B733,ma!$A:$B,2,0)</f>
        <v>BC PHÚ THẠNH</v>
      </c>
      <c r="G733" s="112" t="s">
        <v>2258</v>
      </c>
      <c r="H733" s="113" t="s">
        <v>2178</v>
      </c>
      <c r="I733" s="114"/>
      <c r="J733" s="147" t="s">
        <v>1457</v>
      </c>
      <c r="K733" s="116">
        <v>2</v>
      </c>
      <c r="L733" s="117">
        <f t="shared" si="104"/>
        <v>100000</v>
      </c>
      <c r="M733" s="114"/>
      <c r="N733" s="118"/>
      <c r="O733" s="118">
        <v>1</v>
      </c>
      <c r="P733" s="114">
        <f>VLOOKUP($B733,ma!$A:$C,3,0)</f>
        <v>800000</v>
      </c>
      <c r="Q733" s="132">
        <v>880000</v>
      </c>
      <c r="R733" s="149">
        <v>9.9999999999999895E-2</v>
      </c>
      <c r="S733" s="119"/>
      <c r="T733" s="119"/>
      <c r="U733" s="119"/>
      <c r="V733" s="119"/>
      <c r="W733" s="119"/>
      <c r="X733" s="119"/>
      <c r="Y733" s="119"/>
      <c r="Z733" s="119"/>
      <c r="AA733" s="119"/>
    </row>
    <row r="734" spans="1:27" ht="15">
      <c r="A734" s="107">
        <f t="shared" si="105"/>
        <v>11</v>
      </c>
      <c r="B734" s="108" t="s">
        <v>771</v>
      </c>
      <c r="C734" s="109" t="s">
        <v>2259</v>
      </c>
      <c r="D734" s="110">
        <v>46106</v>
      </c>
      <c r="E734" s="133" t="str">
        <f>VLOOKUP($C734,xe!$A:$B,2,0)</f>
        <v>61H-12700</v>
      </c>
      <c r="F734" s="111" t="str">
        <f>VLOOKUP($B734,ma!$A:$B,2,0)</f>
        <v>OCM ĐỨC HOÀ ( K BX )</v>
      </c>
      <c r="G734" s="112" t="s">
        <v>2260</v>
      </c>
      <c r="H734" s="113" t="s">
        <v>2178</v>
      </c>
      <c r="I734" s="114"/>
      <c r="J734" s="109"/>
      <c r="K734" s="116">
        <v>1.8</v>
      </c>
      <c r="L734" s="117"/>
      <c r="M734" s="114"/>
      <c r="N734" s="118"/>
      <c r="O734" s="118">
        <v>1</v>
      </c>
      <c r="P734" s="114">
        <f>VLOOKUP($B734,ma!$A:$C,3,0)</f>
        <v>900000</v>
      </c>
      <c r="Q734" s="132">
        <v>990000</v>
      </c>
      <c r="R734" s="149">
        <v>9.9999999999999895E-2</v>
      </c>
      <c r="S734" s="119"/>
      <c r="T734" s="119"/>
      <c r="U734" s="119"/>
      <c r="V734" s="119"/>
      <c r="W734" s="119"/>
      <c r="X734" s="119"/>
      <c r="Y734" s="119"/>
      <c r="Z734" s="119"/>
      <c r="AA734" s="119"/>
    </row>
    <row r="735" spans="1:27" ht="15">
      <c r="A735" s="107">
        <f t="shared" si="105"/>
        <v>12</v>
      </c>
      <c r="B735" s="108" t="s">
        <v>771</v>
      </c>
      <c r="C735" s="109" t="s">
        <v>1522</v>
      </c>
      <c r="D735" s="110">
        <v>46106</v>
      </c>
      <c r="E735" s="109" t="str">
        <f>VLOOKUP($C735,xe!$A:$B,2,0)</f>
        <v>47H-02023</v>
      </c>
      <c r="F735" s="111" t="str">
        <f>VLOOKUP($B735,ma!$A:$B,2,0)</f>
        <v>OCM ĐỨC HOÀ ( K BX )</v>
      </c>
      <c r="G735" s="112" t="s">
        <v>2261</v>
      </c>
      <c r="H735" s="113" t="s">
        <v>2178</v>
      </c>
      <c r="I735" s="114"/>
      <c r="J735" s="109"/>
      <c r="K735" s="116">
        <v>1.8</v>
      </c>
      <c r="L735" s="117"/>
      <c r="M735" s="114"/>
      <c r="N735" s="118"/>
      <c r="O735" s="118">
        <v>1</v>
      </c>
      <c r="P735" s="114">
        <f>VLOOKUP($B735,ma!$A:$C,3,0)</f>
        <v>900000</v>
      </c>
      <c r="Q735" s="132">
        <v>990000</v>
      </c>
      <c r="R735" s="149">
        <v>9.9999999999999895E-2</v>
      </c>
      <c r="S735" s="119"/>
      <c r="T735" s="119"/>
      <c r="U735" s="119"/>
      <c r="V735" s="119"/>
      <c r="W735" s="119"/>
      <c r="X735" s="119"/>
      <c r="Y735" s="119"/>
      <c r="Z735" s="119"/>
      <c r="AA735" s="119"/>
    </row>
    <row r="736" spans="1:27" ht="15">
      <c r="A736" s="107">
        <f t="shared" si="105"/>
        <v>13</v>
      </c>
      <c r="B736" s="108" t="s">
        <v>503</v>
      </c>
      <c r="C736" s="109" t="s">
        <v>1655</v>
      </c>
      <c r="D736" s="110">
        <v>46106</v>
      </c>
      <c r="E736" s="109" t="str">
        <f>VLOOKUP($C736,xe!$A:$B,2,0)</f>
        <v>50H-70216</v>
      </c>
      <c r="F736" s="111" t="str">
        <f>VLOOKUP($B736,ma!$A:$B,2,0)</f>
        <v>Paparotti Tân Phú</v>
      </c>
      <c r="G736" s="112" t="s">
        <v>2262</v>
      </c>
      <c r="H736" s="113" t="s">
        <v>2178</v>
      </c>
      <c r="I736" s="114"/>
      <c r="J736" s="109"/>
      <c r="K736" s="116">
        <v>1.2</v>
      </c>
      <c r="L736" s="117">
        <f t="shared" ref="L736:L738" si="106">K736*50000</f>
        <v>60000</v>
      </c>
      <c r="M736" s="114"/>
      <c r="N736" s="118"/>
      <c r="O736" s="118">
        <v>1</v>
      </c>
      <c r="P736" s="114">
        <f>VLOOKUP($B736,ma!$A:$C,3,0)</f>
        <v>800000</v>
      </c>
      <c r="Q736" s="132">
        <v>880000</v>
      </c>
      <c r="R736" s="149">
        <v>9.9999999999999895E-2</v>
      </c>
      <c r="S736" s="119"/>
      <c r="T736" s="119"/>
      <c r="U736" s="119"/>
      <c r="V736" s="119"/>
      <c r="W736" s="119"/>
      <c r="X736" s="119"/>
      <c r="Y736" s="119"/>
      <c r="Z736" s="119"/>
      <c r="AA736" s="119"/>
    </row>
    <row r="737" spans="1:27" ht="15">
      <c r="A737" s="107">
        <f t="shared" si="105"/>
        <v>14</v>
      </c>
      <c r="B737" s="108" t="s">
        <v>457</v>
      </c>
      <c r="C737" s="109" t="s">
        <v>1669</v>
      </c>
      <c r="D737" s="110">
        <v>46106</v>
      </c>
      <c r="E737" s="109" t="str">
        <f>VLOOKUP($C737,xe!$A:$B,2,0)</f>
        <v>50H-69501</v>
      </c>
      <c r="F737" s="111" t="str">
        <f>VLOOKUP($B737,ma!$A:$B,2,0)</f>
        <v>Như Thùy</v>
      </c>
      <c r="G737" s="112" t="s">
        <v>2263</v>
      </c>
      <c r="H737" s="113" t="s">
        <v>2083</v>
      </c>
      <c r="I737" s="114"/>
      <c r="J737" s="109"/>
      <c r="K737" s="116">
        <v>1</v>
      </c>
      <c r="L737" s="117">
        <f t="shared" si="106"/>
        <v>50000</v>
      </c>
      <c r="M737" s="114"/>
      <c r="N737" s="118"/>
      <c r="O737" s="118">
        <v>1</v>
      </c>
      <c r="P737" s="114">
        <f>VLOOKUP($B737,ma!$A:$C,3,0)</f>
        <v>800000</v>
      </c>
      <c r="Q737" s="132">
        <v>880000</v>
      </c>
      <c r="R737" s="149">
        <v>9.9999999999999895E-2</v>
      </c>
      <c r="S737" s="119"/>
      <c r="T737" s="119"/>
      <c r="U737" s="119"/>
      <c r="V737" s="119"/>
      <c r="W737" s="119"/>
      <c r="X737" s="119"/>
      <c r="Y737" s="119"/>
      <c r="Z737" s="119"/>
      <c r="AA737" s="119"/>
    </row>
    <row r="738" spans="1:27" ht="15">
      <c r="A738" s="107">
        <f t="shared" si="105"/>
        <v>15</v>
      </c>
      <c r="B738" s="108" t="s">
        <v>2264</v>
      </c>
      <c r="C738" s="109" t="s">
        <v>19</v>
      </c>
      <c r="D738" s="110">
        <v>46106</v>
      </c>
      <c r="E738" s="109" t="str">
        <f>VLOOKUP($C738,xe!$A:$B,2,0)</f>
        <v>51H -88294</v>
      </c>
      <c r="F738" s="111" t="str">
        <f>VLOOKUP($B738,ma!$A:$B,2,0)</f>
        <v>QUANG MINH KHANG</v>
      </c>
      <c r="G738" s="112" t="s">
        <v>2265</v>
      </c>
      <c r="H738" s="113" t="s">
        <v>2178</v>
      </c>
      <c r="I738" s="114"/>
      <c r="J738" s="109"/>
      <c r="K738" s="116">
        <v>1</v>
      </c>
      <c r="L738" s="117">
        <f t="shared" si="106"/>
        <v>50000</v>
      </c>
      <c r="M738" s="114"/>
      <c r="N738" s="118"/>
      <c r="O738" s="118">
        <v>1</v>
      </c>
      <c r="P738" s="114">
        <f>VLOOKUP($B738,ma!$A:$C,3,0)</f>
        <v>800000</v>
      </c>
      <c r="Q738" s="132">
        <v>880000</v>
      </c>
      <c r="R738" s="149">
        <v>9.9999999999999895E-2</v>
      </c>
      <c r="S738" s="119"/>
      <c r="T738" s="119"/>
      <c r="U738" s="119"/>
      <c r="V738" s="119"/>
      <c r="W738" s="119"/>
      <c r="X738" s="119"/>
      <c r="Y738" s="119"/>
      <c r="Z738" s="119"/>
      <c r="AA738" s="119"/>
    </row>
    <row r="739" spans="1:27" ht="15">
      <c r="A739" s="107">
        <f t="shared" si="105"/>
        <v>16</v>
      </c>
      <c r="B739" s="108" t="s">
        <v>1489</v>
      </c>
      <c r="C739" s="109" t="s">
        <v>1502</v>
      </c>
      <c r="D739" s="110">
        <v>46106</v>
      </c>
      <c r="E739" s="133" t="s">
        <v>2179</v>
      </c>
      <c r="F739" s="111" t="str">
        <f>VLOOKUP($B739,ma!$A:$B,2,0)</f>
        <v>XUÂN VÂN ( K BX )</v>
      </c>
      <c r="G739" s="112" t="s">
        <v>2266</v>
      </c>
      <c r="H739" s="113" t="s">
        <v>2178</v>
      </c>
      <c r="I739" s="114"/>
      <c r="J739" s="109"/>
      <c r="K739" s="116">
        <v>1.8</v>
      </c>
      <c r="L739" s="117">
        <v>50000</v>
      </c>
      <c r="M739" s="114"/>
      <c r="N739" s="118"/>
      <c r="O739" s="118">
        <v>1</v>
      </c>
      <c r="P739" s="114">
        <f>VLOOKUP($B739,ma!$A:$C,3,0)</f>
        <v>800000</v>
      </c>
      <c r="Q739" s="132">
        <v>880000</v>
      </c>
      <c r="R739" s="149">
        <v>9.9999999999999895E-2</v>
      </c>
      <c r="S739" s="119"/>
      <c r="T739" s="119"/>
      <c r="U739" s="119"/>
      <c r="V739" s="119"/>
      <c r="W739" s="119"/>
      <c r="X739" s="119"/>
      <c r="Y739" s="119"/>
      <c r="Z739" s="119"/>
      <c r="AA739" s="119"/>
    </row>
    <row r="740" spans="1:27" ht="15">
      <c r="A740" s="107">
        <f t="shared" si="105"/>
        <v>17</v>
      </c>
      <c r="B740" s="108" t="s">
        <v>1489</v>
      </c>
      <c r="C740" s="109" t="s">
        <v>1657</v>
      </c>
      <c r="D740" s="110">
        <v>46106</v>
      </c>
      <c r="E740" s="109" t="str">
        <f>VLOOKUP($C740,xe!$A:$B,2,0)</f>
        <v>50H-64470</v>
      </c>
      <c r="F740" s="111" t="str">
        <f>VLOOKUP($B740,ma!$A:$B,2,0)</f>
        <v>XUÂN VÂN ( K BX )</v>
      </c>
      <c r="G740" s="112" t="s">
        <v>2267</v>
      </c>
      <c r="H740" s="113" t="s">
        <v>2178</v>
      </c>
      <c r="I740" s="114"/>
      <c r="J740" s="109"/>
      <c r="K740" s="116">
        <v>1.8</v>
      </c>
      <c r="L740" s="117">
        <v>50000</v>
      </c>
      <c r="M740" s="114"/>
      <c r="N740" s="118"/>
      <c r="O740" s="118">
        <v>1</v>
      </c>
      <c r="P740" s="114">
        <f>VLOOKUP($B740,ma!$A:$C,3,0)</f>
        <v>800000</v>
      </c>
      <c r="Q740" s="132">
        <v>880000</v>
      </c>
      <c r="R740" s="149">
        <v>9.9999999999999895E-2</v>
      </c>
      <c r="S740" s="119"/>
      <c r="T740" s="119"/>
      <c r="U740" s="119"/>
      <c r="V740" s="119"/>
      <c r="W740" s="119"/>
      <c r="X740" s="119"/>
      <c r="Y740" s="119"/>
      <c r="Z740" s="119"/>
      <c r="AA740" s="119"/>
    </row>
    <row r="741" spans="1:27" ht="15">
      <c r="A741" s="107">
        <f t="shared" si="105"/>
        <v>18</v>
      </c>
      <c r="B741" s="108" t="s">
        <v>1489</v>
      </c>
      <c r="C741" s="109" t="s">
        <v>1493</v>
      </c>
      <c r="D741" s="110">
        <v>46106</v>
      </c>
      <c r="E741" s="109" t="str">
        <f>VLOOKUP($C741,xe!$A:$B,2,0)</f>
        <v>50H-55161</v>
      </c>
      <c r="F741" s="111" t="str">
        <f>VLOOKUP($B741,ma!$A:$B,2,0)</f>
        <v>XUÂN VÂN ( K BX )</v>
      </c>
      <c r="G741" s="112" t="s">
        <v>2268</v>
      </c>
      <c r="H741" s="113" t="s">
        <v>2178</v>
      </c>
      <c r="I741" s="114"/>
      <c r="J741" s="109"/>
      <c r="K741" s="116">
        <v>1.8</v>
      </c>
      <c r="L741" s="117">
        <v>50000</v>
      </c>
      <c r="M741" s="114"/>
      <c r="N741" s="118"/>
      <c r="O741" s="118">
        <v>1</v>
      </c>
      <c r="P741" s="114">
        <f>VLOOKUP($B741,ma!$A:$C,3,0)</f>
        <v>800000</v>
      </c>
      <c r="Q741" s="132">
        <v>880000</v>
      </c>
      <c r="R741" s="149">
        <v>9.9999999999999895E-2</v>
      </c>
      <c r="S741" s="119"/>
      <c r="T741" s="119"/>
      <c r="U741" s="119"/>
      <c r="V741" s="119"/>
      <c r="W741" s="119"/>
      <c r="X741" s="119"/>
      <c r="Y741" s="119"/>
      <c r="Z741" s="119"/>
      <c r="AA741" s="119"/>
    </row>
    <row r="742" spans="1:27" ht="15">
      <c r="A742" s="107">
        <f t="shared" si="105"/>
        <v>19</v>
      </c>
      <c r="B742" s="108" t="s">
        <v>1957</v>
      </c>
      <c r="C742" s="109" t="s">
        <v>1662</v>
      </c>
      <c r="D742" s="110">
        <v>46106</v>
      </c>
      <c r="E742" s="109" t="str">
        <f>VLOOKUP($C742,xe!$A:$B,2,0)</f>
        <v>50H-74619</v>
      </c>
      <c r="F742" s="111" t="str">
        <f>VLOOKUP($B742,ma!$A:$B,2,0)</f>
        <v>SONG HỒNG TÂN ( KBX )</v>
      </c>
      <c r="G742" s="112" t="s">
        <v>2269</v>
      </c>
      <c r="H742" s="113" t="s">
        <v>2178</v>
      </c>
      <c r="I742" s="114"/>
      <c r="J742" s="109"/>
      <c r="K742" s="116">
        <v>1.8</v>
      </c>
      <c r="L742" s="117">
        <v>50000</v>
      </c>
      <c r="M742" s="114">
        <v>30000</v>
      </c>
      <c r="N742" s="118" t="s">
        <v>1423</v>
      </c>
      <c r="O742" s="118">
        <v>1</v>
      </c>
      <c r="P742" s="114">
        <f>VLOOKUP($B742,ma!$A:$C,3,0)</f>
        <v>900000</v>
      </c>
      <c r="Q742" s="132">
        <v>880000</v>
      </c>
      <c r="R742" s="149">
        <v>9.9999999999999895E-2</v>
      </c>
      <c r="S742" s="119"/>
      <c r="T742" s="119"/>
      <c r="U742" s="119"/>
      <c r="V742" s="119"/>
      <c r="W742" s="119"/>
      <c r="X742" s="119"/>
      <c r="Y742" s="119"/>
      <c r="Z742" s="119"/>
      <c r="AA742" s="119"/>
    </row>
    <row r="743" spans="1:27" ht="15">
      <c r="A743" s="107">
        <f t="shared" si="105"/>
        <v>20</v>
      </c>
      <c r="B743" s="108" t="s">
        <v>1957</v>
      </c>
      <c r="C743" s="109" t="s">
        <v>1490</v>
      </c>
      <c r="D743" s="110">
        <v>46106</v>
      </c>
      <c r="E743" s="109" t="str">
        <f>VLOOKUP($C743,xe!$A:$B,2,0)</f>
        <v>50H-44024</v>
      </c>
      <c r="F743" s="111" t="str">
        <f>VLOOKUP($B743,ma!$A:$B,2,0)</f>
        <v>SONG HỒNG TÂN ( KBX )</v>
      </c>
      <c r="G743" s="112" t="s">
        <v>2270</v>
      </c>
      <c r="H743" s="113" t="s">
        <v>2178</v>
      </c>
      <c r="I743" s="114"/>
      <c r="J743" s="109"/>
      <c r="K743" s="116">
        <v>2</v>
      </c>
      <c r="L743" s="117"/>
      <c r="M743" s="114"/>
      <c r="N743" s="118"/>
      <c r="O743" s="118">
        <v>1</v>
      </c>
      <c r="P743" s="114">
        <f>VLOOKUP($B743,ma!$A:$C,3,0)</f>
        <v>900000</v>
      </c>
      <c r="Q743" s="132">
        <v>990000</v>
      </c>
      <c r="R743" s="149">
        <v>9.9999999999999895E-2</v>
      </c>
      <c r="S743" s="119"/>
      <c r="T743" s="119"/>
      <c r="U743" s="119"/>
      <c r="V743" s="119"/>
      <c r="W743" s="119"/>
      <c r="X743" s="119"/>
      <c r="Y743" s="119"/>
      <c r="Z743" s="119"/>
      <c r="AA743" s="119"/>
    </row>
    <row r="744" spans="1:27" ht="15">
      <c r="A744" s="107">
        <f t="shared" si="105"/>
        <v>21</v>
      </c>
      <c r="B744" s="108" t="s">
        <v>1957</v>
      </c>
      <c r="C744" s="109" t="s">
        <v>2229</v>
      </c>
      <c r="D744" s="110">
        <v>46106</v>
      </c>
      <c r="E744" s="109" t="str">
        <f>VLOOKUP($C744,xe!$A:$B,2,0)</f>
        <v>51D-95538</v>
      </c>
      <c r="F744" s="111" t="str">
        <f>VLOOKUP($B744,ma!$A:$B,2,0)</f>
        <v>SONG HỒNG TÂN ( KBX )</v>
      </c>
      <c r="G744" s="112" t="s">
        <v>2271</v>
      </c>
      <c r="H744" s="113" t="s">
        <v>2178</v>
      </c>
      <c r="I744" s="114"/>
      <c r="J744" s="109"/>
      <c r="K744" s="116">
        <v>2</v>
      </c>
      <c r="L744" s="117"/>
      <c r="M744" s="114"/>
      <c r="N744" s="118"/>
      <c r="O744" s="118">
        <v>1</v>
      </c>
      <c r="P744" s="114">
        <f>VLOOKUP($B744,ma!$A:$C,3,0)</f>
        <v>900000</v>
      </c>
      <c r="Q744" s="132">
        <v>990000</v>
      </c>
      <c r="R744" s="149">
        <v>9.9999999999999895E-2</v>
      </c>
      <c r="S744" s="119"/>
      <c r="T744" s="119"/>
      <c r="U744" s="119"/>
      <c r="V744" s="119"/>
      <c r="W744" s="119"/>
      <c r="X744" s="119"/>
      <c r="Y744" s="119"/>
      <c r="Z744" s="119"/>
      <c r="AA744" s="119"/>
    </row>
    <row r="745" spans="1:27" ht="15">
      <c r="A745" s="107">
        <f t="shared" si="105"/>
        <v>22</v>
      </c>
      <c r="B745" s="108" t="s">
        <v>1957</v>
      </c>
      <c r="C745" s="109" t="s">
        <v>1657</v>
      </c>
      <c r="D745" s="110">
        <v>46106</v>
      </c>
      <c r="E745" s="109" t="str">
        <f>VLOOKUP($C745,xe!$A:$B,2,0)</f>
        <v>50H-64470</v>
      </c>
      <c r="F745" s="111" t="str">
        <f>VLOOKUP($B745,ma!$A:$B,2,0)</f>
        <v>SONG HỒNG TÂN ( KBX )</v>
      </c>
      <c r="G745" s="112" t="s">
        <v>2272</v>
      </c>
      <c r="H745" s="113" t="s">
        <v>1912</v>
      </c>
      <c r="I745" s="114"/>
      <c r="J745" s="109"/>
      <c r="K745" s="116">
        <v>1.8</v>
      </c>
      <c r="L745" s="117">
        <v>50000</v>
      </c>
      <c r="M745" s="114">
        <v>30000</v>
      </c>
      <c r="N745" s="118" t="s">
        <v>1423</v>
      </c>
      <c r="O745" s="118">
        <v>1</v>
      </c>
      <c r="P745" s="114">
        <f>VLOOKUP($B745,ma!$A:$C,3,0)</f>
        <v>900000</v>
      </c>
      <c r="Q745" s="132">
        <v>990000</v>
      </c>
      <c r="R745" s="149">
        <v>9.9999999999999895E-2</v>
      </c>
      <c r="S745" s="119"/>
      <c r="T745" s="119"/>
      <c r="U745" s="119"/>
      <c r="V745" s="119"/>
      <c r="W745" s="119"/>
      <c r="X745" s="119"/>
      <c r="Y745" s="119"/>
      <c r="Z745" s="119"/>
      <c r="AA745" s="119"/>
    </row>
    <row r="746" spans="1:27" ht="15">
      <c r="A746" s="107">
        <f t="shared" si="105"/>
        <v>23</v>
      </c>
      <c r="B746" s="108" t="s">
        <v>1957</v>
      </c>
      <c r="C746" s="109" t="s">
        <v>1493</v>
      </c>
      <c r="D746" s="110">
        <v>46106</v>
      </c>
      <c r="E746" s="109" t="str">
        <f>VLOOKUP($C746,xe!$A:$B,2,0)</f>
        <v>50H-55161</v>
      </c>
      <c r="F746" s="111" t="str">
        <f>VLOOKUP($B746,ma!$A:$B,2,0)</f>
        <v>SONG HỒNG TÂN ( KBX )</v>
      </c>
      <c r="G746" s="112" t="s">
        <v>2273</v>
      </c>
      <c r="H746" s="113" t="s">
        <v>2178</v>
      </c>
      <c r="I746" s="114"/>
      <c r="J746" s="109"/>
      <c r="K746" s="116">
        <v>1.8</v>
      </c>
      <c r="L746" s="117">
        <v>50000</v>
      </c>
      <c r="M746" s="114">
        <v>30000</v>
      </c>
      <c r="N746" s="118" t="s">
        <v>1423</v>
      </c>
      <c r="O746" s="118">
        <v>1</v>
      </c>
      <c r="P746" s="114">
        <f>VLOOKUP($B746,ma!$A:$C,3,0)</f>
        <v>900000</v>
      </c>
      <c r="Q746" s="132">
        <v>990000</v>
      </c>
      <c r="R746" s="149">
        <v>9.9999999999999895E-2</v>
      </c>
      <c r="S746" s="119"/>
      <c r="T746" s="119"/>
      <c r="U746" s="119"/>
      <c r="V746" s="119"/>
      <c r="W746" s="119"/>
      <c r="X746" s="119"/>
      <c r="Y746" s="119"/>
      <c r="Z746" s="119"/>
      <c r="AA746" s="119"/>
    </row>
    <row r="747" spans="1:27" ht="15">
      <c r="A747" s="107">
        <f t="shared" si="105"/>
        <v>24</v>
      </c>
      <c r="B747" s="108" t="s">
        <v>1866</v>
      </c>
      <c r="C747" s="109" t="s">
        <v>1500</v>
      </c>
      <c r="D747" s="110">
        <v>46106</v>
      </c>
      <c r="E747" s="109" t="str">
        <f>VLOOKUP($C747,xe!$A:$B,2,0)</f>
        <v>50H 87442</v>
      </c>
      <c r="F747" s="111" t="str">
        <f>VLOOKUP($B747,ma!$A:$B,2,0)</f>
        <v>ANFOOD Q12 ( K BX )</v>
      </c>
      <c r="G747" s="112" t="s">
        <v>2274</v>
      </c>
      <c r="H747" s="113" t="s">
        <v>2178</v>
      </c>
      <c r="I747" s="114"/>
      <c r="J747" s="109"/>
      <c r="K747" s="116">
        <v>1.6</v>
      </c>
      <c r="L747" s="117">
        <v>50000</v>
      </c>
      <c r="M747" s="114">
        <v>30000</v>
      </c>
      <c r="N747" s="118" t="s">
        <v>1423</v>
      </c>
      <c r="O747" s="118">
        <v>1</v>
      </c>
      <c r="P747" s="114">
        <f>VLOOKUP($B747,ma!$A:$C,3,0)</f>
        <v>800000</v>
      </c>
      <c r="Q747" s="132">
        <v>880000</v>
      </c>
      <c r="R747" s="149">
        <v>9.9999999999999895E-2</v>
      </c>
      <c r="S747" s="119"/>
      <c r="T747" s="119"/>
      <c r="U747" s="119"/>
      <c r="V747" s="119"/>
      <c r="W747" s="119"/>
      <c r="X747" s="119"/>
      <c r="Y747" s="119"/>
      <c r="Z747" s="119"/>
      <c r="AA747" s="119"/>
    </row>
    <row r="748" spans="1:27" ht="15">
      <c r="A748" s="107">
        <f t="shared" si="105"/>
        <v>25</v>
      </c>
      <c r="B748" s="108" t="s">
        <v>1487</v>
      </c>
      <c r="C748" s="109" t="s">
        <v>1655</v>
      </c>
      <c r="D748" s="110">
        <v>46106</v>
      </c>
      <c r="E748" s="109" t="str">
        <f>VLOOKUP($C748,xe!$A:$B,2,0)</f>
        <v>50H-70216</v>
      </c>
      <c r="F748" s="111" t="str">
        <f>VLOOKUP($B748,ma!$A:$B,2,0)</f>
        <v>VĂN HẬU Q8 ( K BX )</v>
      </c>
      <c r="G748" s="112" t="s">
        <v>1412</v>
      </c>
      <c r="H748" s="113" t="s">
        <v>1412</v>
      </c>
      <c r="I748" s="114"/>
      <c r="J748" s="109"/>
      <c r="K748" s="116">
        <v>2.2000000000000002</v>
      </c>
      <c r="L748" s="117">
        <v>50000</v>
      </c>
      <c r="M748" s="114"/>
      <c r="N748" s="118"/>
      <c r="O748" s="118">
        <v>1</v>
      </c>
      <c r="P748" s="114">
        <f>VLOOKUP($B748,ma!$A:$C,3,0)</f>
        <v>800000</v>
      </c>
      <c r="Q748" s="132">
        <v>880000</v>
      </c>
      <c r="R748" s="149">
        <v>9.9999999999999895E-2</v>
      </c>
      <c r="S748" s="119"/>
      <c r="T748" s="119"/>
      <c r="U748" s="119"/>
      <c r="V748" s="119"/>
      <c r="W748" s="119"/>
      <c r="X748" s="119"/>
      <c r="Y748" s="119"/>
      <c r="Z748" s="119"/>
      <c r="AA748" s="119"/>
    </row>
    <row r="749" spans="1:27" ht="15">
      <c r="A749" s="107">
        <f t="shared" si="105"/>
        <v>26</v>
      </c>
      <c r="B749" s="108" t="s">
        <v>515</v>
      </c>
      <c r="C749" s="109" t="s">
        <v>1662</v>
      </c>
      <c r="D749" s="110">
        <v>46106</v>
      </c>
      <c r="E749" s="109" t="s">
        <v>13</v>
      </c>
      <c r="F749" s="111" t="str">
        <f>VLOOKUP($B749,ma!$A:$B,2,0)</f>
        <v>PHONG VÂN ( K BX )</v>
      </c>
      <c r="G749" s="112" t="s">
        <v>2275</v>
      </c>
      <c r="H749" s="113" t="s">
        <v>2178</v>
      </c>
      <c r="I749" s="114"/>
      <c r="J749" s="109"/>
      <c r="K749" s="116">
        <v>1.8</v>
      </c>
      <c r="L749" s="117">
        <v>50000</v>
      </c>
      <c r="M749" s="114"/>
      <c r="N749" s="118"/>
      <c r="O749" s="118">
        <v>1</v>
      </c>
      <c r="P749" s="114">
        <f>VLOOKUP($B749,ma!$A:$C,3,0)</f>
        <v>800000</v>
      </c>
      <c r="Q749" s="132">
        <v>880000</v>
      </c>
      <c r="R749" s="149">
        <v>9.9999999999999895E-2</v>
      </c>
      <c r="S749" s="119"/>
      <c r="T749" s="119"/>
      <c r="U749" s="119"/>
      <c r="V749" s="119"/>
      <c r="W749" s="119"/>
      <c r="X749" s="119"/>
      <c r="Y749" s="119"/>
      <c r="Z749" s="119"/>
      <c r="AA749" s="119"/>
    </row>
    <row r="750" spans="1:27" ht="15">
      <c r="A750" s="107">
        <f t="shared" si="105"/>
        <v>27</v>
      </c>
      <c r="B750" s="108" t="s">
        <v>515</v>
      </c>
      <c r="C750" s="109" t="s">
        <v>18</v>
      </c>
      <c r="D750" s="110">
        <v>46106</v>
      </c>
      <c r="E750" s="109" t="s">
        <v>2172</v>
      </c>
      <c r="F750" s="111" t="str">
        <f>VLOOKUP($B750,ma!$A:$B,2,0)</f>
        <v>PHONG VÂN ( K BX )</v>
      </c>
      <c r="G750" s="112" t="s">
        <v>2276</v>
      </c>
      <c r="H750" s="113" t="s">
        <v>2178</v>
      </c>
      <c r="I750" s="114"/>
      <c r="J750" s="109"/>
      <c r="K750" s="116">
        <v>1.8</v>
      </c>
      <c r="L750" s="117">
        <v>50000</v>
      </c>
      <c r="M750" s="114">
        <v>30000</v>
      </c>
      <c r="N750" s="118" t="s">
        <v>1423</v>
      </c>
      <c r="O750" s="118">
        <v>1</v>
      </c>
      <c r="P750" s="114">
        <f>VLOOKUP($B750,ma!$A:$C,3,0)</f>
        <v>800000</v>
      </c>
      <c r="Q750" s="132">
        <v>880000</v>
      </c>
      <c r="R750" s="149">
        <v>9.9999999999999895E-2</v>
      </c>
      <c r="S750" s="119"/>
      <c r="T750" s="119"/>
      <c r="U750" s="119"/>
      <c r="V750" s="119"/>
      <c r="W750" s="119"/>
      <c r="X750" s="119"/>
      <c r="Y750" s="119"/>
      <c r="Z750" s="119"/>
      <c r="AA750" s="119"/>
    </row>
    <row r="751" spans="1:27" ht="15">
      <c r="A751" s="107">
        <f t="shared" si="105"/>
        <v>28</v>
      </c>
      <c r="B751" s="108" t="s">
        <v>515</v>
      </c>
      <c r="C751" s="109" t="s">
        <v>2077</v>
      </c>
      <c r="D751" s="110">
        <v>46106</v>
      </c>
      <c r="E751" s="109" t="str">
        <f>VLOOKUP($C751,xe!$A:$B,2,0)</f>
        <v>50H-54580</v>
      </c>
      <c r="F751" s="111" t="str">
        <f>VLOOKUP($B751,ma!$A:$B,2,0)</f>
        <v>PHONG VÂN ( K BX )</v>
      </c>
      <c r="G751" s="112" t="s">
        <v>2277</v>
      </c>
      <c r="H751" s="113" t="s">
        <v>2178</v>
      </c>
      <c r="I751" s="114"/>
      <c r="J751" s="109"/>
      <c r="K751" s="116">
        <v>2</v>
      </c>
      <c r="L751" s="117">
        <v>50000</v>
      </c>
      <c r="M751" s="114"/>
      <c r="N751" s="118"/>
      <c r="O751" s="118">
        <v>1</v>
      </c>
      <c r="P751" s="114">
        <f>VLOOKUP($B751,ma!$A:$C,3,0)</f>
        <v>800000</v>
      </c>
      <c r="Q751" s="132">
        <v>880000</v>
      </c>
      <c r="R751" s="149">
        <v>9.9999999999999895E-2</v>
      </c>
      <c r="S751" s="119"/>
      <c r="T751" s="119"/>
      <c r="U751" s="119"/>
      <c r="V751" s="119"/>
      <c r="W751" s="119"/>
      <c r="X751" s="119"/>
      <c r="Y751" s="119"/>
      <c r="Z751" s="119"/>
      <c r="AA751" s="119"/>
    </row>
    <row r="752" spans="1:27" ht="15">
      <c r="A752" s="107">
        <f t="shared" si="105"/>
        <v>29</v>
      </c>
      <c r="B752" s="108" t="s">
        <v>515</v>
      </c>
      <c r="C752" s="109" t="s">
        <v>1502</v>
      </c>
      <c r="D752" s="110">
        <v>46106</v>
      </c>
      <c r="E752" s="133" t="s">
        <v>2179</v>
      </c>
      <c r="F752" s="111" t="str">
        <f>VLOOKUP($B752,ma!$A:$B,2,0)</f>
        <v>PHONG VÂN ( K BX )</v>
      </c>
      <c r="G752" s="112" t="s">
        <v>2278</v>
      </c>
      <c r="H752" s="113" t="s">
        <v>2178</v>
      </c>
      <c r="I752" s="114"/>
      <c r="J752" s="109"/>
      <c r="K752" s="116">
        <v>1.6</v>
      </c>
      <c r="L752" s="117">
        <v>50000</v>
      </c>
      <c r="M752" s="114"/>
      <c r="N752" s="118"/>
      <c r="O752" s="118">
        <v>1</v>
      </c>
      <c r="P752" s="114">
        <f>VLOOKUP($B752,ma!$A:$C,3,0)</f>
        <v>800000</v>
      </c>
      <c r="Q752" s="132">
        <v>880000</v>
      </c>
      <c r="R752" s="149">
        <v>9.9999999999999895E-2</v>
      </c>
      <c r="S752" s="119"/>
      <c r="T752" s="119"/>
      <c r="U752" s="119"/>
      <c r="V752" s="119"/>
      <c r="W752" s="119"/>
      <c r="X752" s="119"/>
      <c r="Y752" s="119"/>
      <c r="Z752" s="119"/>
      <c r="AA752" s="119"/>
    </row>
    <row r="753" spans="1:27" ht="15">
      <c r="A753" s="107">
        <f t="shared" si="105"/>
        <v>30</v>
      </c>
      <c r="B753" s="108" t="s">
        <v>515</v>
      </c>
      <c r="C753" s="109" t="s">
        <v>1801</v>
      </c>
      <c r="D753" s="110">
        <v>46106</v>
      </c>
      <c r="E753" s="109" t="str">
        <f>VLOOKUP($C753,xe!$A:$B,2,0)</f>
        <v>50H-69501</v>
      </c>
      <c r="F753" s="111" t="str">
        <f>VLOOKUP($B753,ma!$A:$B,2,0)</f>
        <v>PHONG VÂN ( K BX )</v>
      </c>
      <c r="G753" s="112" t="s">
        <v>2279</v>
      </c>
      <c r="H753" s="113" t="s">
        <v>2178</v>
      </c>
      <c r="I753" s="114"/>
      <c r="J753" s="109"/>
      <c r="K753" s="116">
        <v>1.8</v>
      </c>
      <c r="L753" s="117">
        <v>50000</v>
      </c>
      <c r="M753" s="114"/>
      <c r="N753" s="118"/>
      <c r="O753" s="118">
        <v>1</v>
      </c>
      <c r="P753" s="114">
        <f>VLOOKUP($B753,ma!$A:$C,3,0)</f>
        <v>800000</v>
      </c>
      <c r="Q753" s="132">
        <v>880000</v>
      </c>
      <c r="R753" s="149">
        <v>9.9999999999999895E-2</v>
      </c>
      <c r="S753" s="119"/>
      <c r="T753" s="119"/>
      <c r="U753" s="119"/>
      <c r="V753" s="119"/>
      <c r="W753" s="119"/>
      <c r="X753" s="119"/>
      <c r="Y753" s="119"/>
      <c r="Z753" s="119"/>
      <c r="AA753" s="119"/>
    </row>
    <row r="754" spans="1:27" ht="15">
      <c r="A754" s="107">
        <f t="shared" si="105"/>
        <v>31</v>
      </c>
      <c r="B754" s="108" t="s">
        <v>515</v>
      </c>
      <c r="C754" s="109" t="s">
        <v>34</v>
      </c>
      <c r="D754" s="110">
        <v>46106</v>
      </c>
      <c r="E754" s="109" t="str">
        <f>VLOOKUP($C754,xe!$A:$B,2,0)</f>
        <v>50H-66445</v>
      </c>
      <c r="F754" s="111" t="str">
        <f>VLOOKUP($B754,ma!$A:$B,2,0)</f>
        <v>PHONG VÂN ( K BX )</v>
      </c>
      <c r="G754" s="112" t="s">
        <v>2280</v>
      </c>
      <c r="H754" s="113" t="s">
        <v>2178</v>
      </c>
      <c r="I754" s="114"/>
      <c r="J754" s="109"/>
      <c r="K754" s="116">
        <v>1.8</v>
      </c>
      <c r="L754" s="117">
        <v>50000</v>
      </c>
      <c r="M754" s="114"/>
      <c r="N754" s="118"/>
      <c r="O754" s="118">
        <v>1</v>
      </c>
      <c r="P754" s="114">
        <f>VLOOKUP($B754,ma!$A:$C,3,0)</f>
        <v>800000</v>
      </c>
      <c r="Q754" s="132">
        <v>880000</v>
      </c>
      <c r="R754" s="149">
        <v>9.9999999999999895E-2</v>
      </c>
      <c r="S754" s="119"/>
      <c r="T754" s="119"/>
      <c r="U754" s="119"/>
      <c r="V754" s="119"/>
      <c r="W754" s="119"/>
      <c r="X754" s="119"/>
      <c r="Y754" s="119"/>
      <c r="Z754" s="119"/>
      <c r="AA754" s="119"/>
    </row>
    <row r="755" spans="1:27" ht="15">
      <c r="A755" s="107">
        <f t="shared" si="105"/>
        <v>32</v>
      </c>
      <c r="B755" s="108" t="s">
        <v>1449</v>
      </c>
      <c r="C755" s="109" t="s">
        <v>8</v>
      </c>
      <c r="D755" s="110">
        <v>46106</v>
      </c>
      <c r="E755" s="109" t="str">
        <f>VLOOKUP($C755,xe!$A:$B,2,0)</f>
        <v>50H-64316</v>
      </c>
      <c r="F755" s="111" t="str">
        <f>VLOOKUP($B755,ma!$A:$B,2,0)</f>
        <v>BHX NHÀ BÈ</v>
      </c>
      <c r="G755" s="112" t="s">
        <v>2281</v>
      </c>
      <c r="H755" s="113" t="s">
        <v>2178</v>
      </c>
      <c r="I755" s="114"/>
      <c r="J755" s="109"/>
      <c r="K755" s="116">
        <v>1</v>
      </c>
      <c r="L755" s="134">
        <v>150000</v>
      </c>
      <c r="M755" s="114">
        <v>30000</v>
      </c>
      <c r="N755" s="118" t="s">
        <v>1423</v>
      </c>
      <c r="O755" s="118">
        <v>1</v>
      </c>
      <c r="P755" s="114">
        <f>VLOOKUP($B755,ma!$A:$C,3,0)</f>
        <v>400000</v>
      </c>
      <c r="Q755" s="132">
        <v>440000</v>
      </c>
      <c r="R755" s="149">
        <v>9.9999999999999895E-2</v>
      </c>
      <c r="S755" s="119"/>
      <c r="T755" s="119"/>
      <c r="U755" s="119"/>
      <c r="V755" s="119"/>
      <c r="W755" s="119"/>
      <c r="X755" s="119"/>
      <c r="Y755" s="119"/>
      <c r="Z755" s="119"/>
      <c r="AA755" s="119"/>
    </row>
    <row r="756" spans="1:27" ht="15">
      <c r="A756" s="107">
        <f t="shared" si="105"/>
        <v>33</v>
      </c>
      <c r="B756" s="108" t="s">
        <v>1449</v>
      </c>
      <c r="C756" s="109" t="s">
        <v>19</v>
      </c>
      <c r="D756" s="110">
        <v>46106</v>
      </c>
      <c r="E756" s="109" t="str">
        <f>VLOOKUP($C756,xe!$A:$B,2,0)</f>
        <v>51H -88294</v>
      </c>
      <c r="F756" s="111" t="str">
        <f>VLOOKUP($B756,ma!$A:$B,2,0)</f>
        <v>BHX NHÀ BÈ</v>
      </c>
      <c r="G756" s="112" t="s">
        <v>2282</v>
      </c>
      <c r="H756" s="113" t="s">
        <v>2178</v>
      </c>
      <c r="I756" s="114"/>
      <c r="J756" s="109"/>
      <c r="K756" s="116">
        <v>1.2</v>
      </c>
      <c r="L756" s="134">
        <v>150000</v>
      </c>
      <c r="M756" s="114"/>
      <c r="N756" s="118"/>
      <c r="O756" s="118">
        <v>1</v>
      </c>
      <c r="P756" s="114">
        <f>VLOOKUP($B756,ma!$A:$C,3,0)</f>
        <v>400000</v>
      </c>
      <c r="Q756" s="132">
        <v>440000</v>
      </c>
      <c r="R756" s="149">
        <v>9.9999999999999895E-2</v>
      </c>
      <c r="S756" s="119"/>
      <c r="T756" s="119"/>
      <c r="U756" s="119"/>
      <c r="V756" s="119"/>
      <c r="W756" s="119"/>
      <c r="X756" s="119"/>
      <c r="Y756" s="119"/>
      <c r="Z756" s="119"/>
      <c r="AA756" s="119"/>
    </row>
    <row r="757" spans="1:27" ht="15">
      <c r="A757" s="107">
        <f t="shared" si="105"/>
        <v>34</v>
      </c>
      <c r="B757" s="108" t="s">
        <v>1677</v>
      </c>
      <c r="C757" s="109" t="s">
        <v>27</v>
      </c>
      <c r="D757" s="110">
        <v>46106</v>
      </c>
      <c r="E757" s="109" t="str">
        <f>VLOOKUP($C757,xe!$A:$B,2,0)</f>
        <v>50H-55443</v>
      </c>
      <c r="F757" s="111" t="str">
        <f>VLOOKUP($B757,ma!$A:$B,2,0)</f>
        <v>CALOFIC - UNI ( xe nhỏ )</v>
      </c>
      <c r="G757" s="112" t="s">
        <v>2283</v>
      </c>
      <c r="H757" s="113" t="s">
        <v>2178</v>
      </c>
      <c r="I757" s="114"/>
      <c r="J757" s="109"/>
      <c r="K757" s="116">
        <v>1.8</v>
      </c>
      <c r="L757" s="117">
        <f t="shared" ref="L757:L758" si="107">K757*50000</f>
        <v>90000</v>
      </c>
      <c r="M757" s="114"/>
      <c r="N757" s="118"/>
      <c r="O757" s="118">
        <v>1</v>
      </c>
      <c r="P757" s="114">
        <f>VLOOKUP($B757,ma!$A:$C,3,0)</f>
        <v>300000</v>
      </c>
      <c r="Q757" s="114">
        <f>VLOOKUP($B757,ma!$A:$C,3,0)</f>
        <v>300000</v>
      </c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</row>
    <row r="758" spans="1:27" ht="15">
      <c r="A758" s="107">
        <f t="shared" si="105"/>
        <v>35</v>
      </c>
      <c r="B758" s="108" t="s">
        <v>1061</v>
      </c>
      <c r="C758" s="109" t="s">
        <v>10</v>
      </c>
      <c r="D758" s="110">
        <v>46106</v>
      </c>
      <c r="E758" s="109" t="str">
        <f>VLOOKUP($C758,xe!$A:$B,2,0)</f>
        <v>50H-50999</v>
      </c>
      <c r="F758" s="111" t="str">
        <f>VLOOKUP($B758,ma!$A:$B,2,0)</f>
        <v>BHX ( TĐN)</v>
      </c>
      <c r="G758" s="112" t="s">
        <v>2284</v>
      </c>
      <c r="H758" s="113" t="s">
        <v>2083</v>
      </c>
      <c r="I758" s="114"/>
      <c r="J758" s="115" t="s">
        <v>2285</v>
      </c>
      <c r="K758" s="116">
        <v>1.2</v>
      </c>
      <c r="L758" s="117">
        <f t="shared" si="107"/>
        <v>60000</v>
      </c>
      <c r="M758" s="114"/>
      <c r="N758" s="118"/>
      <c r="O758" s="118">
        <v>1</v>
      </c>
      <c r="P758" s="114">
        <f>VLOOKUP($B758,ma!$A:$C,3,0)</f>
        <v>800000</v>
      </c>
      <c r="Q758" s="132">
        <v>880000</v>
      </c>
      <c r="R758" s="149">
        <v>9.9999999999999895E-2</v>
      </c>
      <c r="S758" s="119"/>
      <c r="T758" s="119"/>
      <c r="U758" s="119"/>
      <c r="V758" s="119"/>
      <c r="W758" s="119"/>
      <c r="X758" s="119"/>
      <c r="Y758" s="119"/>
      <c r="Z758" s="119"/>
      <c r="AA758" s="119"/>
    </row>
    <row r="759" spans="1:27" ht="15">
      <c r="A759" s="107">
        <f t="shared" si="105"/>
        <v>36</v>
      </c>
      <c r="B759" s="108" t="s">
        <v>2286</v>
      </c>
      <c r="C759" s="109" t="s">
        <v>2077</v>
      </c>
      <c r="D759" s="110">
        <v>46106</v>
      </c>
      <c r="E759" s="109" t="str">
        <f>VLOOKUP($C759,xe!$A:$B,2,0)</f>
        <v>50H-54580</v>
      </c>
      <c r="F759" s="111" t="str">
        <f>VLOOKUP($B759,ma!$A:$B,2,0)</f>
        <v>GIÀY THÁI THỊNH ( kbx )</v>
      </c>
      <c r="G759" s="112" t="s">
        <v>1405</v>
      </c>
      <c r="H759" s="113" t="s">
        <v>1912</v>
      </c>
      <c r="I759" s="114"/>
      <c r="J759" s="160" t="s">
        <v>2287</v>
      </c>
      <c r="K759" s="116">
        <v>2.2000000000000002</v>
      </c>
      <c r="L759" s="117">
        <v>50000</v>
      </c>
      <c r="M759" s="114"/>
      <c r="N759" s="118"/>
      <c r="O759" s="118">
        <v>1</v>
      </c>
      <c r="P759" s="114">
        <f>VLOOKUP($B759,ma!$A:$C,3,0)</f>
        <v>800000</v>
      </c>
      <c r="Q759" s="132">
        <v>880000</v>
      </c>
      <c r="R759" s="149">
        <v>9.9999999999999895E-2</v>
      </c>
      <c r="S759" s="119"/>
      <c r="T759" s="119"/>
      <c r="U759" s="119"/>
      <c r="V759" s="119"/>
      <c r="W759" s="119"/>
      <c r="X759" s="119"/>
      <c r="Y759" s="119"/>
      <c r="Z759" s="119"/>
      <c r="AA759" s="119"/>
    </row>
    <row r="760" spans="1:27" ht="15">
      <c r="A760" s="107">
        <f t="shared" si="105"/>
        <v>37</v>
      </c>
      <c r="B760" s="108" t="s">
        <v>2286</v>
      </c>
      <c r="C760" s="109" t="s">
        <v>1506</v>
      </c>
      <c r="D760" s="110">
        <v>46106</v>
      </c>
      <c r="E760" s="109" t="str">
        <f>VLOOKUP($C760,xe!$A:$B,2,0)</f>
        <v>50H-55443</v>
      </c>
      <c r="F760" s="111" t="str">
        <f>VLOOKUP($B760,ma!$A:$B,2,0)</f>
        <v>GIÀY THÁI THỊNH ( kbx )</v>
      </c>
      <c r="G760" s="112" t="s">
        <v>1405</v>
      </c>
      <c r="H760" s="113" t="s">
        <v>1912</v>
      </c>
      <c r="I760" s="114"/>
      <c r="J760" s="160" t="s">
        <v>2287</v>
      </c>
      <c r="K760" s="116">
        <v>2.2000000000000002</v>
      </c>
      <c r="L760" s="117">
        <v>50000</v>
      </c>
      <c r="M760" s="114">
        <v>30000</v>
      </c>
      <c r="N760" s="118" t="s">
        <v>1423</v>
      </c>
      <c r="O760" s="118">
        <v>1</v>
      </c>
      <c r="P760" s="114">
        <f>VLOOKUP($B760,ma!$A:$C,3,0)</f>
        <v>800000</v>
      </c>
      <c r="Q760" s="132">
        <v>880000</v>
      </c>
      <c r="R760" s="149">
        <v>9.9999999999999895E-2</v>
      </c>
      <c r="S760" s="119"/>
      <c r="T760" s="119"/>
      <c r="U760" s="119"/>
      <c r="V760" s="119"/>
      <c r="W760" s="119"/>
      <c r="X760" s="119"/>
      <c r="Y760" s="119"/>
      <c r="Z760" s="119"/>
      <c r="AA760" s="119"/>
    </row>
    <row r="761" spans="1:27" ht="15">
      <c r="A761" s="107">
        <f t="shared" si="105"/>
        <v>38</v>
      </c>
      <c r="B761" s="108" t="s">
        <v>2286</v>
      </c>
      <c r="C761" s="109" t="s">
        <v>34</v>
      </c>
      <c r="D761" s="110">
        <v>46106</v>
      </c>
      <c r="E761" s="109" t="str">
        <f>VLOOKUP($C761,xe!$A:$B,2,0)</f>
        <v>50H-66445</v>
      </c>
      <c r="F761" s="111" t="str">
        <f>VLOOKUP($B761,ma!$A:$B,2,0)</f>
        <v>GIÀY THÁI THỊNH ( kbx )</v>
      </c>
      <c r="G761" s="112" t="s">
        <v>1405</v>
      </c>
      <c r="H761" s="113" t="s">
        <v>1912</v>
      </c>
      <c r="I761" s="114"/>
      <c r="J761" s="160" t="s">
        <v>2287</v>
      </c>
      <c r="K761" s="116">
        <v>2.2000000000000002</v>
      </c>
      <c r="L761" s="117">
        <v>50000</v>
      </c>
      <c r="M761" s="114">
        <v>30000</v>
      </c>
      <c r="N761" s="118" t="s">
        <v>1423</v>
      </c>
      <c r="O761" s="118">
        <v>1</v>
      </c>
      <c r="P761" s="114">
        <f>VLOOKUP($B761,ma!$A:$C,3,0)</f>
        <v>800000</v>
      </c>
      <c r="Q761" s="132">
        <v>880000</v>
      </c>
      <c r="R761" s="149">
        <v>9.9999999999999895E-2</v>
      </c>
      <c r="S761" s="119"/>
      <c r="T761" s="119"/>
      <c r="U761" s="119"/>
      <c r="V761" s="119"/>
      <c r="W761" s="119"/>
      <c r="X761" s="119"/>
      <c r="Y761" s="119"/>
      <c r="Z761" s="119"/>
      <c r="AA761" s="119"/>
    </row>
    <row r="762" spans="1:27" ht="15">
      <c r="A762" s="107">
        <f t="shared" si="105"/>
        <v>39</v>
      </c>
      <c r="B762" s="108" t="s">
        <v>1758</v>
      </c>
      <c r="C762" s="109" t="s">
        <v>78</v>
      </c>
      <c r="D762" s="110">
        <v>46106</v>
      </c>
      <c r="E762" s="133" t="str">
        <f>VLOOKUP($C762,xe!$A:$B,2,0)</f>
        <v>50E-565,21</v>
      </c>
      <c r="F762" s="111" t="str">
        <f>VLOOKUP($B762,ma!$A:$B,2,0)</f>
        <v>M. BÌNH PHÚ</v>
      </c>
      <c r="G762" s="112" t="s">
        <v>2288</v>
      </c>
      <c r="H762" s="113" t="s">
        <v>2083</v>
      </c>
      <c r="I762" s="114"/>
      <c r="J762" s="109"/>
      <c r="K762" s="116">
        <v>2</v>
      </c>
      <c r="L762" s="117">
        <f t="shared" ref="L762:L766" si="108">K762*50000</f>
        <v>100000</v>
      </c>
      <c r="M762" s="114"/>
      <c r="N762" s="118"/>
      <c r="O762" s="118">
        <v>1</v>
      </c>
      <c r="P762" s="114">
        <f>VLOOKUP($B762,ma!$A:$C,3,0)</f>
        <v>800000</v>
      </c>
      <c r="Q762" s="132">
        <v>880000</v>
      </c>
      <c r="R762" s="149">
        <v>9.9999999999999895E-2</v>
      </c>
      <c r="S762" s="119"/>
      <c r="T762" s="119"/>
      <c r="U762" s="119"/>
      <c r="V762" s="119"/>
      <c r="W762" s="119"/>
      <c r="X762" s="119"/>
      <c r="Y762" s="119"/>
      <c r="Z762" s="119"/>
      <c r="AA762" s="119"/>
    </row>
    <row r="763" spans="1:27" ht="15">
      <c r="A763" s="107">
        <f t="shared" si="105"/>
        <v>40</v>
      </c>
      <c r="B763" s="108" t="s">
        <v>1758</v>
      </c>
      <c r="C763" s="109" t="s">
        <v>12</v>
      </c>
      <c r="D763" s="110">
        <v>46106</v>
      </c>
      <c r="E763" s="133" t="s">
        <v>2179</v>
      </c>
      <c r="F763" s="111" t="str">
        <f>VLOOKUP($B763,ma!$A:$B,2,0)</f>
        <v>M. BÌNH PHÚ</v>
      </c>
      <c r="G763" s="112" t="s">
        <v>2289</v>
      </c>
      <c r="H763" s="113" t="s">
        <v>2083</v>
      </c>
      <c r="I763" s="114"/>
      <c r="J763" s="109"/>
      <c r="K763" s="116">
        <v>2</v>
      </c>
      <c r="L763" s="117">
        <f t="shared" si="108"/>
        <v>100000</v>
      </c>
      <c r="M763" s="114">
        <v>30000</v>
      </c>
      <c r="N763" s="118" t="s">
        <v>1423</v>
      </c>
      <c r="O763" s="118">
        <v>1</v>
      </c>
      <c r="P763" s="114">
        <f>VLOOKUP($B763,ma!$A:$C,3,0)</f>
        <v>800000</v>
      </c>
      <c r="Q763" s="132">
        <v>880000</v>
      </c>
      <c r="R763" s="149">
        <v>9.9999999999999895E-2</v>
      </c>
      <c r="S763" s="119"/>
      <c r="T763" s="119"/>
      <c r="U763" s="119"/>
      <c r="V763" s="119"/>
      <c r="W763" s="119"/>
      <c r="X763" s="119"/>
      <c r="Y763" s="119"/>
      <c r="Z763" s="119"/>
      <c r="AA763" s="119"/>
    </row>
    <row r="764" spans="1:27" ht="15">
      <c r="A764" s="107">
        <f t="shared" si="105"/>
        <v>41</v>
      </c>
      <c r="B764" s="108" t="s">
        <v>1758</v>
      </c>
      <c r="C764" s="109" t="s">
        <v>1432</v>
      </c>
      <c r="D764" s="110">
        <v>46106</v>
      </c>
      <c r="E764" s="109" t="str">
        <f>VLOOKUP($C764,xe!$A:$B,2,0)</f>
        <v>50H-70216</v>
      </c>
      <c r="F764" s="111" t="str">
        <f>VLOOKUP($B764,ma!$A:$B,2,0)</f>
        <v>M. BÌNH PHÚ</v>
      </c>
      <c r="G764" s="112" t="s">
        <v>2290</v>
      </c>
      <c r="H764" s="113" t="s">
        <v>2083</v>
      </c>
      <c r="I764" s="114"/>
      <c r="J764" s="109"/>
      <c r="K764" s="116">
        <v>2.2000000000000002</v>
      </c>
      <c r="L764" s="117">
        <f t="shared" si="108"/>
        <v>110000.00000000001</v>
      </c>
      <c r="M764" s="114"/>
      <c r="N764" s="118"/>
      <c r="O764" s="118">
        <v>1</v>
      </c>
      <c r="P764" s="114">
        <f>VLOOKUP($B764,ma!$A:$C,3,0)</f>
        <v>800000</v>
      </c>
      <c r="Q764" s="132">
        <v>880000</v>
      </c>
      <c r="R764" s="149">
        <v>9.9999999999999895E-2</v>
      </c>
      <c r="S764" s="119"/>
      <c r="T764" s="119"/>
      <c r="U764" s="119"/>
      <c r="V764" s="119"/>
      <c r="W764" s="119"/>
      <c r="X764" s="119"/>
      <c r="Y764" s="119"/>
      <c r="Z764" s="119"/>
      <c r="AA764" s="119"/>
    </row>
    <row r="765" spans="1:27" ht="15">
      <c r="A765" s="107">
        <f t="shared" si="105"/>
        <v>42</v>
      </c>
      <c r="B765" s="108" t="s">
        <v>1758</v>
      </c>
      <c r="C765" s="109" t="s">
        <v>18</v>
      </c>
      <c r="D765" s="110">
        <v>46106</v>
      </c>
      <c r="E765" s="109" t="s">
        <v>2172</v>
      </c>
      <c r="F765" s="111" t="str">
        <f>VLOOKUP($B765,ma!$A:$B,2,0)</f>
        <v>M. BÌNH PHÚ</v>
      </c>
      <c r="G765" s="112" t="s">
        <v>2291</v>
      </c>
      <c r="H765" s="113" t="s">
        <v>2083</v>
      </c>
      <c r="I765" s="114"/>
      <c r="J765" s="109"/>
      <c r="K765" s="116">
        <v>2</v>
      </c>
      <c r="L765" s="117">
        <f t="shared" si="108"/>
        <v>100000</v>
      </c>
      <c r="M765" s="114"/>
      <c r="N765" s="118"/>
      <c r="O765" s="118">
        <v>1</v>
      </c>
      <c r="P765" s="114">
        <f>VLOOKUP($B765,ma!$A:$C,3,0)</f>
        <v>800000</v>
      </c>
      <c r="Q765" s="132">
        <v>880000</v>
      </c>
      <c r="R765" s="149">
        <v>9.9999999999999895E-2</v>
      </c>
      <c r="S765" s="119"/>
      <c r="T765" s="119"/>
      <c r="U765" s="119"/>
      <c r="V765" s="119"/>
      <c r="W765" s="119"/>
      <c r="X765" s="119"/>
      <c r="Y765" s="119"/>
      <c r="Z765" s="119"/>
      <c r="AA765" s="119"/>
    </row>
    <row r="766" spans="1:27" ht="15">
      <c r="A766" s="107">
        <f t="shared" si="105"/>
        <v>43</v>
      </c>
      <c r="B766" s="108" t="s">
        <v>1758</v>
      </c>
      <c r="C766" s="109" t="s">
        <v>1657</v>
      </c>
      <c r="D766" s="110">
        <v>46106</v>
      </c>
      <c r="E766" s="109" t="str">
        <f>VLOOKUP($C766,xe!$A:$B,2,0)</f>
        <v>50H-64470</v>
      </c>
      <c r="F766" s="111" t="str">
        <f>VLOOKUP($B766,ma!$A:$B,2,0)</f>
        <v>M. BÌNH PHÚ</v>
      </c>
      <c r="G766" s="112" t="s">
        <v>2292</v>
      </c>
      <c r="H766" s="113" t="s">
        <v>2083</v>
      </c>
      <c r="I766" s="114"/>
      <c r="J766" s="109"/>
      <c r="K766" s="116">
        <v>2.2000000000000002</v>
      </c>
      <c r="L766" s="117">
        <f t="shared" si="108"/>
        <v>110000.00000000001</v>
      </c>
      <c r="M766" s="114"/>
      <c r="N766" s="118"/>
      <c r="O766" s="118">
        <v>1</v>
      </c>
      <c r="P766" s="114">
        <f>VLOOKUP($B766,ma!$A:$C,3,0)</f>
        <v>800000</v>
      </c>
      <c r="Q766" s="132">
        <v>880000</v>
      </c>
      <c r="R766" s="149">
        <v>9.9999999999999895E-2</v>
      </c>
      <c r="S766" s="119"/>
      <c r="T766" s="119"/>
      <c r="U766" s="119"/>
      <c r="V766" s="119"/>
      <c r="W766" s="119"/>
      <c r="X766" s="119"/>
      <c r="Y766" s="119"/>
      <c r="Z766" s="119"/>
      <c r="AA766" s="119"/>
    </row>
    <row r="767" spans="1:27" ht="15">
      <c r="A767" s="107">
        <f t="shared" si="105"/>
        <v>44</v>
      </c>
      <c r="B767" s="108" t="s">
        <v>1869</v>
      </c>
      <c r="C767" s="109" t="s">
        <v>1490</v>
      </c>
      <c r="D767" s="110">
        <v>46106</v>
      </c>
      <c r="E767" s="109" t="str">
        <f>VLOOKUP($C767,xe!$A:$B,2,0)</f>
        <v>50H-44024</v>
      </c>
      <c r="F767" s="111" t="str">
        <f>VLOOKUP($B767,ma!$A:$B,2,0)</f>
        <v>BHX XUYÊN Á</v>
      </c>
      <c r="G767" s="161" t="s">
        <v>2293</v>
      </c>
      <c r="H767" s="113" t="s">
        <v>1912</v>
      </c>
      <c r="I767" s="114"/>
      <c r="J767" s="109"/>
      <c r="K767" s="116">
        <v>1.2</v>
      </c>
      <c r="L767" s="117">
        <f>K767*80000</f>
        <v>96000</v>
      </c>
      <c r="M767" s="114"/>
      <c r="N767" s="118"/>
      <c r="O767" s="118">
        <v>1</v>
      </c>
      <c r="P767" s="114">
        <f>VLOOKUP($B767,ma!$A:$C,3,0)</f>
        <v>900000</v>
      </c>
      <c r="Q767" s="132">
        <v>990000</v>
      </c>
      <c r="R767" s="149">
        <v>9.9999999999999895E-2</v>
      </c>
      <c r="S767" s="119"/>
      <c r="T767" s="119"/>
      <c r="U767" s="119"/>
      <c r="V767" s="119"/>
      <c r="W767" s="119"/>
      <c r="X767" s="119"/>
      <c r="Y767" s="119"/>
      <c r="Z767" s="119"/>
      <c r="AA767" s="119"/>
    </row>
    <row r="768" spans="1:27" ht="15">
      <c r="A768" s="107">
        <f t="shared" si="105"/>
        <v>45</v>
      </c>
      <c r="B768" s="108" t="s">
        <v>1869</v>
      </c>
      <c r="C768" s="109" t="s">
        <v>8</v>
      </c>
      <c r="D768" s="110">
        <v>46106</v>
      </c>
      <c r="E768" s="109" t="str">
        <f>VLOOKUP($C768,xe!$A:$B,2,0)</f>
        <v>50H-64316</v>
      </c>
      <c r="F768" s="111" t="str">
        <f>VLOOKUP($B768,ma!$A:$B,2,0)</f>
        <v>BHX XUYÊN Á</v>
      </c>
      <c r="G768" s="112" t="s">
        <v>2294</v>
      </c>
      <c r="H768" s="113" t="s">
        <v>2083</v>
      </c>
      <c r="I768" s="114"/>
      <c r="J768" s="109"/>
      <c r="K768" s="116">
        <v>1.2</v>
      </c>
      <c r="L768" s="134">
        <v>130000</v>
      </c>
      <c r="M768" s="114"/>
      <c r="N768" s="118"/>
      <c r="O768" s="118">
        <v>1</v>
      </c>
      <c r="P768" s="114">
        <f>VLOOKUP($B768,ma!$A:$C,3,0)</f>
        <v>900000</v>
      </c>
      <c r="Q768" s="132">
        <v>990000</v>
      </c>
      <c r="R768" s="149">
        <v>9.9999999999999895E-2</v>
      </c>
      <c r="S768" s="119"/>
      <c r="T768" s="119"/>
      <c r="U768" s="119"/>
      <c r="V768" s="119"/>
      <c r="W768" s="119"/>
      <c r="X768" s="119"/>
      <c r="Y768" s="119"/>
      <c r="Z768" s="119"/>
      <c r="AA768" s="119"/>
    </row>
    <row r="769" spans="1:27" ht="15">
      <c r="A769" s="107">
        <f t="shared" si="105"/>
        <v>46</v>
      </c>
      <c r="B769" s="108" t="s">
        <v>2295</v>
      </c>
      <c r="C769" s="109" t="s">
        <v>6</v>
      </c>
      <c r="D769" s="110">
        <v>46106</v>
      </c>
      <c r="E769" s="109" t="str">
        <f>VLOOKUP($C769,xe!$A:$B,2,0)</f>
        <v>50H-69501</v>
      </c>
      <c r="F769" s="111" t="str">
        <f>VLOOKUP($B769,ma!$A:$B,2,0)</f>
        <v>BIG C AN LAC</v>
      </c>
      <c r="G769" s="161" t="s">
        <v>2296</v>
      </c>
      <c r="H769" s="113" t="s">
        <v>1912</v>
      </c>
      <c r="I769" s="114"/>
      <c r="J769" s="109"/>
      <c r="K769" s="116">
        <v>2.2000000000000002</v>
      </c>
      <c r="L769" s="117">
        <f t="shared" ref="L769:L771" si="109">K769*50000</f>
        <v>110000.00000000001</v>
      </c>
      <c r="M769" s="114">
        <v>30000</v>
      </c>
      <c r="N769" s="118" t="s">
        <v>1423</v>
      </c>
      <c r="O769" s="118">
        <v>1</v>
      </c>
      <c r="P769" s="114">
        <f>VLOOKUP($B769,ma!$A:$C,3,0)</f>
        <v>800000</v>
      </c>
      <c r="Q769" s="132">
        <v>880000</v>
      </c>
      <c r="R769" s="149">
        <v>9.9999999999999895E-2</v>
      </c>
      <c r="S769" s="119"/>
      <c r="T769" s="119"/>
      <c r="U769" s="119"/>
      <c r="V769" s="119"/>
      <c r="W769" s="119"/>
      <c r="X769" s="119"/>
      <c r="Y769" s="119"/>
      <c r="Z769" s="119"/>
      <c r="AA769" s="119"/>
    </row>
    <row r="770" spans="1:27" ht="15">
      <c r="A770" s="137">
        <v>1</v>
      </c>
      <c r="B770" s="138" t="s">
        <v>1562</v>
      </c>
      <c r="C770" s="139" t="s">
        <v>60</v>
      </c>
      <c r="D770" s="140">
        <v>46107</v>
      </c>
      <c r="E770" s="139" t="str">
        <f>VLOOKUP($C770,xe!$A:$B,2,0)</f>
        <v>50H-11822</v>
      </c>
      <c r="F770" s="141" t="str">
        <f>VLOOKUP($B770,ma!$A:$B,2,0)</f>
        <v>AEON TÂN PHÚ</v>
      </c>
      <c r="G770" s="142" t="s">
        <v>2297</v>
      </c>
      <c r="H770" s="126" t="s">
        <v>2208</v>
      </c>
      <c r="I770" s="132"/>
      <c r="J770" s="115" t="s">
        <v>140</v>
      </c>
      <c r="K770" s="129">
        <v>1.8</v>
      </c>
      <c r="L770" s="143">
        <f t="shared" si="109"/>
        <v>90000</v>
      </c>
      <c r="M770" s="132"/>
      <c r="N770" s="144"/>
      <c r="O770" s="144">
        <v>1</v>
      </c>
      <c r="P770" s="132">
        <f>VLOOKUP($B770,ma!$A:$C,3,0)</f>
        <v>800000</v>
      </c>
      <c r="Q770" s="132">
        <v>880000</v>
      </c>
      <c r="R770" s="149">
        <v>9.9999999999999895E-2</v>
      </c>
      <c r="S770" s="156"/>
      <c r="T770" s="156"/>
      <c r="U770" s="156"/>
      <c r="V770" s="156"/>
      <c r="W770" s="156"/>
      <c r="X770" s="156"/>
      <c r="Y770" s="156"/>
      <c r="Z770" s="156"/>
      <c r="AA770" s="156"/>
    </row>
    <row r="771" spans="1:27" ht="15">
      <c r="A771" s="107">
        <f t="shared" ref="A771:A810" si="110">A770+1</f>
        <v>2</v>
      </c>
      <c r="B771" s="108" t="s">
        <v>2298</v>
      </c>
      <c r="C771" s="109" t="s">
        <v>64</v>
      </c>
      <c r="D771" s="110">
        <v>46107</v>
      </c>
      <c r="E771" s="109" t="str">
        <f>VLOOKUP($C771,xe!$A:$B,2,0)</f>
        <v>50H-60635</v>
      </c>
      <c r="F771" s="111" t="str">
        <f>VLOOKUP($B771,ma!$A:$B,2,0)</f>
        <v>MILANO</v>
      </c>
      <c r="G771" s="112" t="s">
        <v>2299</v>
      </c>
      <c r="H771" s="113" t="s">
        <v>2083</v>
      </c>
      <c r="I771" s="114"/>
      <c r="J771" s="160" t="s">
        <v>2300</v>
      </c>
      <c r="K771" s="116">
        <v>1.6</v>
      </c>
      <c r="L771" s="117">
        <f t="shared" si="109"/>
        <v>80000</v>
      </c>
      <c r="M771" s="114"/>
      <c r="N771" s="118"/>
      <c r="O771" s="118">
        <v>1</v>
      </c>
      <c r="P771" s="114">
        <f>VLOOKUP($B771,ma!$A:$C,3,0)</f>
        <v>800000</v>
      </c>
      <c r="Q771" s="132">
        <v>880000</v>
      </c>
      <c r="R771" s="149">
        <v>9.9999999999999895E-2</v>
      </c>
      <c r="S771" s="119"/>
      <c r="T771" s="119"/>
      <c r="U771" s="119"/>
      <c r="V771" s="119"/>
      <c r="W771" s="119"/>
      <c r="X771" s="119"/>
      <c r="Y771" s="119"/>
      <c r="Z771" s="119"/>
      <c r="AA771" s="119"/>
    </row>
    <row r="772" spans="1:27" ht="15">
      <c r="A772" s="107">
        <f t="shared" si="110"/>
        <v>3</v>
      </c>
      <c r="B772" s="108" t="s">
        <v>1499</v>
      </c>
      <c r="C772" s="109" t="s">
        <v>66</v>
      </c>
      <c r="D772" s="110">
        <v>46107</v>
      </c>
      <c r="E772" s="109" t="str">
        <f>VLOOKUP($C772,xe!$A:$B,2,0)</f>
        <v>50H-92136</v>
      </c>
      <c r="F772" s="111" t="str">
        <f>VLOOKUP($B772,ma!$A:$B,2,0)</f>
        <v>BHX ( VL)</v>
      </c>
      <c r="G772" s="112" t="s">
        <v>2301</v>
      </c>
      <c r="H772" s="113" t="s">
        <v>2083</v>
      </c>
      <c r="I772" s="114"/>
      <c r="J772" s="115" t="s">
        <v>455</v>
      </c>
      <c r="K772" s="116">
        <v>1.6</v>
      </c>
      <c r="L772" s="117">
        <f t="shared" ref="L772:L773" si="111">K772*80000</f>
        <v>128000</v>
      </c>
      <c r="M772" s="114"/>
      <c r="N772" s="118"/>
      <c r="O772" s="118">
        <v>1</v>
      </c>
      <c r="P772" s="114">
        <f>VLOOKUP($B772,ma!$A:$C,3,0)</f>
        <v>800000</v>
      </c>
      <c r="Q772" s="132">
        <v>880000</v>
      </c>
      <c r="R772" s="149">
        <v>9.9999999999999895E-2</v>
      </c>
      <c r="S772" s="119"/>
      <c r="T772" s="119"/>
      <c r="U772" s="119"/>
      <c r="V772" s="119"/>
      <c r="W772" s="119"/>
      <c r="X772" s="119"/>
      <c r="Y772" s="119"/>
      <c r="Z772" s="119"/>
      <c r="AA772" s="119"/>
    </row>
    <row r="773" spans="1:27" ht="15">
      <c r="A773" s="107">
        <f t="shared" si="110"/>
        <v>4</v>
      </c>
      <c r="B773" s="108" t="s">
        <v>1499</v>
      </c>
      <c r="C773" s="109" t="s">
        <v>2245</v>
      </c>
      <c r="D773" s="110">
        <v>46107</v>
      </c>
      <c r="E773" s="109" t="str">
        <f>VLOOKUP($C773,xe!$A:$B,2,0)</f>
        <v>50H-55829</v>
      </c>
      <c r="F773" s="111" t="str">
        <f>VLOOKUP($B773,ma!$A:$B,2,0)</f>
        <v>BHX ( VL)</v>
      </c>
      <c r="G773" s="112" t="s">
        <v>2302</v>
      </c>
      <c r="H773" s="113" t="s">
        <v>2083</v>
      </c>
      <c r="I773" s="114"/>
      <c r="J773" s="115" t="s">
        <v>455</v>
      </c>
      <c r="K773" s="116">
        <v>1.6</v>
      </c>
      <c r="L773" s="117">
        <f t="shared" si="111"/>
        <v>128000</v>
      </c>
      <c r="M773" s="114"/>
      <c r="N773" s="118"/>
      <c r="O773" s="118">
        <v>1</v>
      </c>
      <c r="P773" s="114">
        <f>VLOOKUP($B773,ma!$A:$C,3,0)</f>
        <v>800000</v>
      </c>
      <c r="Q773" s="132">
        <v>880000</v>
      </c>
      <c r="R773" s="149">
        <v>9.9999999999999895E-2</v>
      </c>
      <c r="S773" s="119"/>
      <c r="T773" s="119"/>
      <c r="U773" s="119"/>
      <c r="V773" s="119"/>
      <c r="W773" s="119"/>
      <c r="X773" s="119"/>
      <c r="Y773" s="119"/>
      <c r="Z773" s="119"/>
      <c r="AA773" s="119"/>
    </row>
    <row r="774" spans="1:27" ht="15">
      <c r="A774" s="107">
        <f t="shared" si="110"/>
        <v>5</v>
      </c>
      <c r="B774" s="108" t="s">
        <v>1747</v>
      </c>
      <c r="C774" s="109" t="s">
        <v>58</v>
      </c>
      <c r="D774" s="110">
        <v>46107</v>
      </c>
      <c r="E774" s="109" t="str">
        <f>VLOOKUP($C774,xe!$A:$B,2,0)</f>
        <v>51C-81056</v>
      </c>
      <c r="F774" s="111" t="str">
        <f>VLOOKUP($B774,ma!$A:$B,2,0)</f>
        <v>SATRA SÀI GÒN</v>
      </c>
      <c r="G774" s="112" t="s">
        <v>2303</v>
      </c>
      <c r="H774" s="113" t="s">
        <v>2083</v>
      </c>
      <c r="I774" s="114"/>
      <c r="J774" s="109"/>
      <c r="K774" s="116">
        <v>1.2</v>
      </c>
      <c r="L774" s="117">
        <f t="shared" ref="L774:L778" si="112">K774*50000</f>
        <v>60000</v>
      </c>
      <c r="M774" s="114"/>
      <c r="N774" s="118"/>
      <c r="O774" s="118">
        <v>1</v>
      </c>
      <c r="P774" s="114">
        <f>VLOOKUP($B774,ma!$A:$C,3,0)</f>
        <v>800000</v>
      </c>
      <c r="Q774" s="132">
        <v>880000</v>
      </c>
      <c r="R774" s="149">
        <v>9.9999999999999895E-2</v>
      </c>
      <c r="S774" s="119"/>
      <c r="T774" s="119"/>
      <c r="U774" s="119"/>
      <c r="V774" s="119"/>
      <c r="W774" s="119"/>
      <c r="X774" s="119"/>
      <c r="Y774" s="119"/>
      <c r="Z774" s="119"/>
      <c r="AA774" s="119"/>
    </row>
    <row r="775" spans="1:27" ht="15">
      <c r="A775" s="107">
        <f t="shared" si="110"/>
        <v>6</v>
      </c>
      <c r="B775" s="108" t="s">
        <v>1747</v>
      </c>
      <c r="C775" s="109" t="s">
        <v>1493</v>
      </c>
      <c r="D775" s="110">
        <v>46107</v>
      </c>
      <c r="E775" s="109" t="s">
        <v>13</v>
      </c>
      <c r="F775" s="111" t="str">
        <f>VLOOKUP($B775,ma!$A:$B,2,0)</f>
        <v>SATRA SÀI GÒN</v>
      </c>
      <c r="G775" s="112" t="s">
        <v>2304</v>
      </c>
      <c r="H775" s="113" t="s">
        <v>2083</v>
      </c>
      <c r="I775" s="114"/>
      <c r="J775" s="109"/>
      <c r="K775" s="116">
        <v>1.2</v>
      </c>
      <c r="L775" s="117">
        <f t="shared" si="112"/>
        <v>60000</v>
      </c>
      <c r="M775" s="114"/>
      <c r="N775" s="118"/>
      <c r="O775" s="118">
        <v>1</v>
      </c>
      <c r="P775" s="114">
        <f>VLOOKUP($B775,ma!$A:$C,3,0)</f>
        <v>800000</v>
      </c>
      <c r="Q775" s="132">
        <v>880000</v>
      </c>
      <c r="R775" s="149">
        <v>9.9999999999999895E-2</v>
      </c>
      <c r="S775" s="119"/>
      <c r="T775" s="119"/>
      <c r="U775" s="119"/>
      <c r="V775" s="119"/>
      <c r="W775" s="119"/>
      <c r="X775" s="119"/>
      <c r="Y775" s="119"/>
      <c r="Z775" s="119"/>
      <c r="AA775" s="119"/>
    </row>
    <row r="776" spans="1:27" ht="15">
      <c r="A776" s="107">
        <f t="shared" si="110"/>
        <v>7</v>
      </c>
      <c r="B776" s="108" t="s">
        <v>1003</v>
      </c>
      <c r="C776" s="109" t="s">
        <v>1522</v>
      </c>
      <c r="D776" s="110">
        <v>46107</v>
      </c>
      <c r="E776" s="109" t="str">
        <f>VLOOKUP($C776,xe!$A:$B,2,0)</f>
        <v>47H-02023</v>
      </c>
      <c r="F776" s="111" t="str">
        <f>VLOOKUP($B776,ma!$A:$B,2,0)</f>
        <v>COOP LÊ MINH XUÂN</v>
      </c>
      <c r="G776" s="112" t="s">
        <v>2305</v>
      </c>
      <c r="H776" s="113" t="s">
        <v>2083</v>
      </c>
      <c r="I776" s="114"/>
      <c r="J776" s="109"/>
      <c r="K776" s="116">
        <v>2</v>
      </c>
      <c r="L776" s="117">
        <f t="shared" si="112"/>
        <v>100000</v>
      </c>
      <c r="M776" s="114"/>
      <c r="N776" s="118"/>
      <c r="O776" s="118">
        <v>1</v>
      </c>
      <c r="P776" s="114">
        <f>VLOOKUP($B776,ma!$A:$C,3,0)</f>
        <v>800000</v>
      </c>
      <c r="Q776" s="132">
        <v>880000</v>
      </c>
      <c r="R776" s="149">
        <v>9.9999999999999895E-2</v>
      </c>
      <c r="S776" s="119"/>
      <c r="T776" s="119"/>
      <c r="U776" s="119"/>
      <c r="V776" s="119"/>
      <c r="W776" s="119"/>
      <c r="X776" s="119"/>
      <c r="Y776" s="119"/>
      <c r="Z776" s="119"/>
      <c r="AA776" s="119"/>
    </row>
    <row r="777" spans="1:27" ht="15">
      <c r="A777" s="107">
        <f t="shared" si="110"/>
        <v>8</v>
      </c>
      <c r="B777" s="108" t="s">
        <v>1003</v>
      </c>
      <c r="C777" s="109" t="s">
        <v>2259</v>
      </c>
      <c r="D777" s="110">
        <v>46107</v>
      </c>
      <c r="E777" s="133" t="str">
        <f>VLOOKUP($C777,xe!$A:$B,2,0)</f>
        <v>61H-12700</v>
      </c>
      <c r="F777" s="111" t="str">
        <f>VLOOKUP($B777,ma!$A:$B,2,0)</f>
        <v>COOP LÊ MINH XUÂN</v>
      </c>
      <c r="G777" s="112" t="s">
        <v>2306</v>
      </c>
      <c r="H777" s="113" t="s">
        <v>2083</v>
      </c>
      <c r="I777" s="114"/>
      <c r="J777" s="109"/>
      <c r="K777" s="116">
        <v>2</v>
      </c>
      <c r="L777" s="117">
        <f t="shared" si="112"/>
        <v>100000</v>
      </c>
      <c r="M777" s="114"/>
      <c r="N777" s="118"/>
      <c r="O777" s="118">
        <v>1</v>
      </c>
      <c r="P777" s="114">
        <f>VLOOKUP($B777,ma!$A:$C,3,0)</f>
        <v>800000</v>
      </c>
      <c r="Q777" s="132">
        <v>880000</v>
      </c>
      <c r="R777" s="149">
        <v>9.9999999999999895E-2</v>
      </c>
      <c r="S777" s="119"/>
      <c r="T777" s="119"/>
      <c r="U777" s="119"/>
      <c r="V777" s="119"/>
      <c r="W777" s="119"/>
      <c r="X777" s="119"/>
      <c r="Y777" s="119"/>
      <c r="Z777" s="119"/>
      <c r="AA777" s="119"/>
    </row>
    <row r="778" spans="1:27" ht="15">
      <c r="A778" s="107">
        <f t="shared" si="110"/>
        <v>9</v>
      </c>
      <c r="B778" s="108" t="s">
        <v>1003</v>
      </c>
      <c r="C778" s="109" t="s">
        <v>2307</v>
      </c>
      <c r="D778" s="110">
        <v>46107</v>
      </c>
      <c r="E778" s="109" t="str">
        <f>VLOOKUP($C778,xe!$A:$B,2,0)</f>
        <v>85H-01932</v>
      </c>
      <c r="F778" s="111" t="str">
        <f>VLOOKUP($B778,ma!$A:$B,2,0)</f>
        <v>COOP LÊ MINH XUÂN</v>
      </c>
      <c r="G778" s="112" t="s">
        <v>2308</v>
      </c>
      <c r="H778" s="113" t="s">
        <v>2083</v>
      </c>
      <c r="I778" s="114"/>
      <c r="J778" s="109"/>
      <c r="K778" s="116">
        <v>2.2000000000000002</v>
      </c>
      <c r="L778" s="117">
        <f t="shared" si="112"/>
        <v>110000.00000000001</v>
      </c>
      <c r="M778" s="114"/>
      <c r="N778" s="118"/>
      <c r="O778" s="118">
        <v>1</v>
      </c>
      <c r="P778" s="114">
        <f>VLOOKUP($B778,ma!$A:$C,3,0)</f>
        <v>800000</v>
      </c>
      <c r="Q778" s="132">
        <v>880000</v>
      </c>
      <c r="R778" s="149">
        <v>9.9999999999999895E-2</v>
      </c>
      <c r="S778" s="119"/>
      <c r="T778" s="119"/>
      <c r="U778" s="119"/>
      <c r="V778" s="119"/>
      <c r="W778" s="119"/>
      <c r="X778" s="119"/>
      <c r="Y778" s="119"/>
      <c r="Z778" s="119"/>
      <c r="AA778" s="119"/>
    </row>
    <row r="779" spans="1:27" ht="15">
      <c r="A779" s="107">
        <f t="shared" si="110"/>
        <v>10</v>
      </c>
      <c r="B779" s="108" t="s">
        <v>1520</v>
      </c>
      <c r="C779" s="109" t="s">
        <v>2229</v>
      </c>
      <c r="D779" s="110">
        <v>46107</v>
      </c>
      <c r="E779" s="109" t="str">
        <f>VLOOKUP($C779,xe!$A:$B,2,0)</f>
        <v>51D-95538</v>
      </c>
      <c r="F779" s="111" t="str">
        <f>VLOOKUP($B779,ma!$A:$B,2,0)</f>
        <v>SEN VIỆT ( K BX )</v>
      </c>
      <c r="G779" s="112" t="s">
        <v>2309</v>
      </c>
      <c r="H779" s="113" t="s">
        <v>2083</v>
      </c>
      <c r="I779" s="114"/>
      <c r="J779" s="109"/>
      <c r="K779" s="116">
        <v>2</v>
      </c>
      <c r="L779" s="117"/>
      <c r="M779" s="114"/>
      <c r="N779" s="118"/>
      <c r="O779" s="118">
        <v>1</v>
      </c>
      <c r="P779" s="114">
        <f>VLOOKUP($B779,ma!$A:$C,3,0)</f>
        <v>800000</v>
      </c>
      <c r="Q779" s="132">
        <v>880000</v>
      </c>
      <c r="R779" s="149">
        <v>9.9999999999999895E-2</v>
      </c>
      <c r="S779" s="119"/>
      <c r="T779" s="119"/>
      <c r="U779" s="119"/>
      <c r="V779" s="119"/>
      <c r="W779" s="119"/>
      <c r="X779" s="119"/>
      <c r="Y779" s="119"/>
      <c r="Z779" s="119"/>
      <c r="AA779" s="119"/>
    </row>
    <row r="780" spans="1:27" ht="15">
      <c r="A780" s="107">
        <f t="shared" si="110"/>
        <v>11</v>
      </c>
      <c r="B780" s="108" t="s">
        <v>2310</v>
      </c>
      <c r="C780" s="109" t="s">
        <v>1524</v>
      </c>
      <c r="D780" s="110">
        <v>46107</v>
      </c>
      <c r="E780" s="109" t="str">
        <f>VLOOKUP($C780,xe!$A:$B,2,0)</f>
        <v>51D-38021</v>
      </c>
      <c r="F780" s="111" t="str">
        <f>VLOOKUP($B780,ma!$A:$B,2,0)</f>
        <v>INTER PHARMA T.AN ( KBX )</v>
      </c>
      <c r="G780" s="112" t="s">
        <v>2311</v>
      </c>
      <c r="H780" s="113" t="s">
        <v>2083</v>
      </c>
      <c r="I780" s="114"/>
      <c r="J780" s="160" t="s">
        <v>2312</v>
      </c>
      <c r="K780" s="116">
        <v>2.2000000000000002</v>
      </c>
      <c r="L780" s="117"/>
      <c r="M780" s="114"/>
      <c r="N780" s="118"/>
      <c r="O780" s="118">
        <v>1</v>
      </c>
      <c r="P780" s="114">
        <f>VLOOKUP($B780,ma!$A:$C,3,0)</f>
        <v>900000</v>
      </c>
      <c r="Q780" s="132">
        <v>990000</v>
      </c>
      <c r="R780" s="149">
        <v>9.9999999999999895E-2</v>
      </c>
      <c r="S780" s="119"/>
      <c r="T780" s="119"/>
      <c r="U780" s="119"/>
      <c r="V780" s="119"/>
      <c r="W780" s="119"/>
      <c r="X780" s="119"/>
      <c r="Y780" s="119"/>
      <c r="Z780" s="119"/>
      <c r="AA780" s="119"/>
    </row>
    <row r="781" spans="1:27" ht="15">
      <c r="A781" s="107">
        <f t="shared" si="110"/>
        <v>12</v>
      </c>
      <c r="B781" s="108" t="s">
        <v>529</v>
      </c>
      <c r="C781" s="109" t="s">
        <v>19</v>
      </c>
      <c r="D781" s="110">
        <v>46107</v>
      </c>
      <c r="E781" s="109" t="str">
        <f>VLOOKUP($C781,xe!$A:$B,2,0)</f>
        <v>51H -88294</v>
      </c>
      <c r="F781" s="111" t="str">
        <f>VLOOKUP($B781,ma!$A:$B,2,0)</f>
        <v>PHẠM PHAN MES CỦ CHI ( K BX )</v>
      </c>
      <c r="G781" s="112" t="s">
        <v>2313</v>
      </c>
      <c r="H781" s="113" t="s">
        <v>1912</v>
      </c>
      <c r="I781" s="114"/>
      <c r="J781" s="109"/>
      <c r="K781" s="116">
        <v>2</v>
      </c>
      <c r="L781" s="134">
        <v>210000</v>
      </c>
      <c r="M781" s="114"/>
      <c r="N781" s="118"/>
      <c r="O781" s="118">
        <v>1</v>
      </c>
      <c r="P781" s="114">
        <f>VLOOKUP($B781,ma!$A:$C,3,0)</f>
        <v>900000</v>
      </c>
      <c r="Q781" s="132">
        <v>990000</v>
      </c>
      <c r="R781" s="149">
        <v>9.9999999999999895E-2</v>
      </c>
      <c r="S781" s="119"/>
      <c r="T781" s="119"/>
      <c r="U781" s="119"/>
      <c r="V781" s="119"/>
      <c r="W781" s="119"/>
      <c r="X781" s="119"/>
      <c r="Y781" s="119"/>
      <c r="Z781" s="119"/>
      <c r="AA781" s="119"/>
    </row>
    <row r="782" spans="1:27" ht="15">
      <c r="A782" s="107">
        <f t="shared" si="110"/>
        <v>13</v>
      </c>
      <c r="B782" s="108" t="s">
        <v>1831</v>
      </c>
      <c r="C782" s="109" t="s">
        <v>1662</v>
      </c>
      <c r="D782" s="110">
        <v>46107</v>
      </c>
      <c r="E782" s="109" t="str">
        <f>VLOOKUP($C782,xe!$A:$B,2,0)</f>
        <v>50H-74619</v>
      </c>
      <c r="F782" s="111" t="str">
        <f>VLOOKUP($B782,ma!$A:$B,2,0)</f>
        <v>ĐÔNG QUÂN</v>
      </c>
      <c r="G782" s="112" t="s">
        <v>2314</v>
      </c>
      <c r="H782" s="113" t="s">
        <v>2315</v>
      </c>
      <c r="I782" s="114"/>
      <c r="J782" s="109"/>
      <c r="K782" s="116">
        <v>1.2</v>
      </c>
      <c r="L782" s="117">
        <f>K782*50000</f>
        <v>60000</v>
      </c>
      <c r="M782" s="114"/>
      <c r="N782" s="118"/>
      <c r="O782" s="118">
        <v>1</v>
      </c>
      <c r="P782" s="114">
        <f>VLOOKUP($B782,ma!$A:$C,3,0)</f>
        <v>800000</v>
      </c>
      <c r="Q782" s="132">
        <v>880000</v>
      </c>
      <c r="R782" s="149">
        <v>9.9999999999999895E-2</v>
      </c>
      <c r="S782" s="119"/>
      <c r="T782" s="119"/>
      <c r="U782" s="119"/>
      <c r="V782" s="119"/>
      <c r="W782" s="119"/>
      <c r="X782" s="119"/>
      <c r="Y782" s="119"/>
      <c r="Z782" s="119"/>
      <c r="AA782" s="119"/>
    </row>
    <row r="783" spans="1:27" ht="15">
      <c r="A783" s="107">
        <f t="shared" si="110"/>
        <v>14</v>
      </c>
      <c r="B783" s="108" t="s">
        <v>1623</v>
      </c>
      <c r="C783" s="109" t="s">
        <v>1500</v>
      </c>
      <c r="D783" s="110">
        <v>46107</v>
      </c>
      <c r="E783" s="109" t="str">
        <f>VLOOKUP($C783,xe!$A:$B,2,0)</f>
        <v>50H 87442</v>
      </c>
      <c r="F783" s="111" t="str">
        <f>VLOOKUP($B783,ma!$A:$B,2,0)</f>
        <v>PHONG VÂN - GÒ VẤP ( K BX )</v>
      </c>
      <c r="G783" s="112" t="s">
        <v>2316</v>
      </c>
      <c r="H783" s="113" t="s">
        <v>2083</v>
      </c>
      <c r="I783" s="114"/>
      <c r="J783" s="109"/>
      <c r="K783" s="116">
        <v>1.8</v>
      </c>
      <c r="L783" s="117">
        <v>50000</v>
      </c>
      <c r="M783" s="114"/>
      <c r="N783" s="118"/>
      <c r="O783" s="118">
        <v>1</v>
      </c>
      <c r="P783" s="114">
        <f>VLOOKUP($B783,ma!$A:$C,3,0)</f>
        <v>800000</v>
      </c>
      <c r="Q783" s="132">
        <v>880000</v>
      </c>
      <c r="R783" s="149">
        <v>9.9999999999999895E-2</v>
      </c>
      <c r="S783" s="119"/>
      <c r="T783" s="119"/>
      <c r="U783" s="119"/>
      <c r="V783" s="119"/>
      <c r="W783" s="119"/>
      <c r="X783" s="119"/>
      <c r="Y783" s="119"/>
      <c r="Z783" s="119"/>
      <c r="AA783" s="119"/>
    </row>
    <row r="784" spans="1:27" ht="15">
      <c r="A784" s="107">
        <f t="shared" si="110"/>
        <v>15</v>
      </c>
      <c r="B784" s="108" t="s">
        <v>1623</v>
      </c>
      <c r="C784" s="109" t="s">
        <v>74</v>
      </c>
      <c r="D784" s="110">
        <v>46107</v>
      </c>
      <c r="E784" s="109" t="str">
        <f>VLOOKUP($C784,xe!$A:$B,2,0)</f>
        <v>50H-44024</v>
      </c>
      <c r="F784" s="111" t="str">
        <f>VLOOKUP($B784,ma!$A:$B,2,0)</f>
        <v>PHONG VÂN - GÒ VẤP ( K BX )</v>
      </c>
      <c r="G784" s="161" t="s">
        <v>2317</v>
      </c>
      <c r="H784" s="162" t="s">
        <v>2318</v>
      </c>
      <c r="I784" s="114"/>
      <c r="J784" s="109"/>
      <c r="K784" s="116">
        <v>1.8</v>
      </c>
      <c r="L784" s="117"/>
      <c r="M784" s="114"/>
      <c r="N784" s="118"/>
      <c r="O784" s="118">
        <v>1</v>
      </c>
      <c r="P784" s="114">
        <f>VLOOKUP($B784,ma!$A:$C,3,0)</f>
        <v>800000</v>
      </c>
      <c r="Q784" s="132">
        <v>880000</v>
      </c>
      <c r="R784" s="149">
        <v>9.9999999999999895E-2</v>
      </c>
      <c r="S784" s="119"/>
      <c r="T784" s="119"/>
      <c r="U784" s="119"/>
      <c r="V784" s="119"/>
      <c r="W784" s="119"/>
      <c r="X784" s="119"/>
      <c r="Y784" s="119"/>
      <c r="Z784" s="119"/>
      <c r="AA784" s="119"/>
    </row>
    <row r="785" spans="1:27" ht="15">
      <c r="A785" s="107">
        <f t="shared" si="110"/>
        <v>16</v>
      </c>
      <c r="B785" s="108" t="s">
        <v>866</v>
      </c>
      <c r="C785" s="109" t="s">
        <v>18</v>
      </c>
      <c r="D785" s="110">
        <v>46107</v>
      </c>
      <c r="E785" s="109" t="s">
        <v>2172</v>
      </c>
      <c r="F785" s="111" t="str">
        <f>VLOOKUP($B785,ma!$A:$B,2,0)</f>
        <v>XUÂN VÂN ( K BX )</v>
      </c>
      <c r="G785" s="112" t="s">
        <v>2319</v>
      </c>
      <c r="H785" s="113" t="s">
        <v>2083</v>
      </c>
      <c r="I785" s="114"/>
      <c r="J785" s="109"/>
      <c r="K785" s="116">
        <v>1.8</v>
      </c>
      <c r="L785" s="117">
        <v>50000</v>
      </c>
      <c r="M785" s="114"/>
      <c r="N785" s="118"/>
      <c r="O785" s="118">
        <v>1</v>
      </c>
      <c r="P785" s="114">
        <f>VLOOKUP($B785,ma!$A:$C,3,0)</f>
        <v>800000</v>
      </c>
      <c r="Q785" s="132">
        <v>880000</v>
      </c>
      <c r="R785" s="149">
        <v>9.9999999999999895E-2</v>
      </c>
      <c r="S785" s="119"/>
      <c r="T785" s="119"/>
      <c r="U785" s="119"/>
      <c r="V785" s="119"/>
      <c r="W785" s="119"/>
      <c r="X785" s="119"/>
      <c r="Y785" s="119"/>
      <c r="Z785" s="119"/>
      <c r="AA785" s="119"/>
    </row>
    <row r="786" spans="1:27" ht="15">
      <c r="A786" s="107">
        <f t="shared" si="110"/>
        <v>17</v>
      </c>
      <c r="B786" s="108" t="s">
        <v>2320</v>
      </c>
      <c r="C786" s="109" t="s">
        <v>10</v>
      </c>
      <c r="D786" s="110">
        <v>46107</v>
      </c>
      <c r="E786" s="109" t="str">
        <f>VLOOKUP($C786,xe!$A:$B,2,0)</f>
        <v>50H-50999</v>
      </c>
      <c r="F786" s="111" t="str">
        <f>VLOOKUP($B786,ma!$A:$B,2,0)</f>
        <v>THANH XUÂN</v>
      </c>
      <c r="G786" s="112" t="s">
        <v>2321</v>
      </c>
      <c r="H786" s="113" t="s">
        <v>2083</v>
      </c>
      <c r="I786" s="114"/>
      <c r="J786" s="109"/>
      <c r="K786" s="116">
        <v>1.8</v>
      </c>
      <c r="L786" s="117">
        <f t="shared" ref="L786:L787" si="113">K786*50000</f>
        <v>90000</v>
      </c>
      <c r="M786" s="114"/>
      <c r="N786" s="118"/>
      <c r="O786" s="118">
        <v>1</v>
      </c>
      <c r="P786" s="114">
        <f>VLOOKUP($B786,ma!$A:$C,3,0)</f>
        <v>800000</v>
      </c>
      <c r="Q786" s="132">
        <v>880000</v>
      </c>
      <c r="R786" s="149">
        <v>9.9999999999999895E-2</v>
      </c>
      <c r="S786" s="119"/>
      <c r="T786" s="119"/>
      <c r="U786" s="119"/>
      <c r="V786" s="119"/>
      <c r="W786" s="119"/>
      <c r="X786" s="119"/>
      <c r="Y786" s="119"/>
      <c r="Z786" s="119"/>
      <c r="AA786" s="119"/>
    </row>
    <row r="787" spans="1:27" ht="15">
      <c r="A787" s="107">
        <f t="shared" si="110"/>
        <v>18</v>
      </c>
      <c r="B787" s="108" t="s">
        <v>326</v>
      </c>
      <c r="C787" s="109" t="s">
        <v>6</v>
      </c>
      <c r="D787" s="110">
        <v>46107</v>
      </c>
      <c r="E787" s="109" t="str">
        <f>VLOOKUP($C787,xe!$A:$B,2,0)</f>
        <v>50H-69501</v>
      </c>
      <c r="F787" s="111" t="str">
        <f>VLOOKUP($B787,ma!$A:$B,2,0)</f>
        <v>CÁT HẢI LONG HẬU</v>
      </c>
      <c r="G787" s="163" t="s">
        <v>2322</v>
      </c>
      <c r="H787" s="162" t="s">
        <v>2318</v>
      </c>
      <c r="I787" s="114"/>
      <c r="J787" s="109"/>
      <c r="K787" s="116">
        <v>1.8</v>
      </c>
      <c r="L787" s="117">
        <f t="shared" si="113"/>
        <v>90000</v>
      </c>
      <c r="M787" s="114"/>
      <c r="N787" s="118"/>
      <c r="O787" s="118">
        <v>1</v>
      </c>
      <c r="P787" s="114">
        <f>VLOOKUP($B787,ma!$A:$C,3,0)</f>
        <v>800000</v>
      </c>
      <c r="Q787" s="132">
        <v>880000</v>
      </c>
      <c r="R787" s="149">
        <v>9.9999999999999895E-2</v>
      </c>
      <c r="S787" s="119"/>
      <c r="T787" s="119"/>
      <c r="U787" s="119"/>
      <c r="V787" s="119"/>
      <c r="W787" s="119"/>
      <c r="X787" s="119"/>
      <c r="Y787" s="119"/>
      <c r="Z787" s="119"/>
      <c r="AA787" s="119"/>
    </row>
    <row r="788" spans="1:27" ht="15">
      <c r="A788" s="107">
        <f t="shared" si="110"/>
        <v>19</v>
      </c>
      <c r="B788" s="108" t="s">
        <v>767</v>
      </c>
      <c r="C788" s="109" t="s">
        <v>12</v>
      </c>
      <c r="D788" s="110">
        <v>46107</v>
      </c>
      <c r="E788" s="133" t="s">
        <v>2179</v>
      </c>
      <c r="F788" s="111" t="str">
        <f>VLOOKUP($B788,ma!$A:$B,2,0)</f>
        <v>JOLIBEE</v>
      </c>
      <c r="G788" s="112" t="s">
        <v>2323</v>
      </c>
      <c r="H788" s="113" t="s">
        <v>2083</v>
      </c>
      <c r="I788" s="114"/>
      <c r="J788" s="109"/>
      <c r="K788" s="116">
        <v>1.8</v>
      </c>
      <c r="L788" s="134">
        <v>160000</v>
      </c>
      <c r="M788" s="114"/>
      <c r="N788" s="118"/>
      <c r="O788" s="118">
        <v>1</v>
      </c>
      <c r="P788" s="114">
        <f>VLOOKUP($B788,ma!$A:$C,3,0)</f>
        <v>900000</v>
      </c>
      <c r="Q788" s="132">
        <v>990000</v>
      </c>
      <c r="R788" s="149">
        <v>9.9999999999999895E-2</v>
      </c>
      <c r="S788" s="119"/>
      <c r="T788" s="119"/>
      <c r="U788" s="119"/>
      <c r="V788" s="119"/>
      <c r="W788" s="119"/>
      <c r="X788" s="119"/>
      <c r="Y788" s="119"/>
      <c r="Z788" s="119"/>
      <c r="AA788" s="119"/>
    </row>
    <row r="789" spans="1:27" ht="15">
      <c r="A789" s="107">
        <f t="shared" si="110"/>
        <v>20</v>
      </c>
      <c r="B789" s="108" t="s">
        <v>833</v>
      </c>
      <c r="C789" s="109" t="s">
        <v>8</v>
      </c>
      <c r="D789" s="110">
        <v>46107</v>
      </c>
      <c r="E789" s="109" t="str">
        <f>VLOOKUP($C789,xe!$A:$B,2,0)</f>
        <v>50H-64316</v>
      </c>
      <c r="F789" s="111" t="str">
        <f>VLOOKUP($B789,ma!$A:$B,2,0)</f>
        <v>VINA PRIDE LONG HẬU</v>
      </c>
      <c r="G789" s="112" t="s">
        <v>2324</v>
      </c>
      <c r="H789" s="113" t="s">
        <v>2083</v>
      </c>
      <c r="I789" s="114"/>
      <c r="J789" s="109"/>
      <c r="K789" s="116">
        <v>1</v>
      </c>
      <c r="L789" s="117">
        <f t="shared" ref="L789:L791" si="114">K789*50000</f>
        <v>50000</v>
      </c>
      <c r="M789" s="114">
        <v>30000</v>
      </c>
      <c r="N789" s="118" t="s">
        <v>1423</v>
      </c>
      <c r="O789" s="118">
        <v>1</v>
      </c>
      <c r="P789" s="114">
        <f>VLOOKUP($B789,ma!$A:$C,3,0)</f>
        <v>500000</v>
      </c>
      <c r="Q789" s="132">
        <v>550000</v>
      </c>
      <c r="R789" s="149">
        <v>9.9999999999999895E-2</v>
      </c>
      <c r="S789" s="119"/>
      <c r="T789" s="119"/>
      <c r="U789" s="119"/>
      <c r="V789" s="119"/>
      <c r="W789" s="119"/>
      <c r="X789" s="119"/>
      <c r="Y789" s="119"/>
      <c r="Z789" s="119"/>
      <c r="AA789" s="119"/>
    </row>
    <row r="790" spans="1:27" ht="15">
      <c r="A790" s="107">
        <f t="shared" si="110"/>
        <v>21</v>
      </c>
      <c r="B790" s="108" t="s">
        <v>358</v>
      </c>
      <c r="C790" s="109" t="s">
        <v>1657</v>
      </c>
      <c r="D790" s="110">
        <v>46107</v>
      </c>
      <c r="E790" s="109" t="str">
        <f>VLOOKUP($C790,xe!$A:$B,2,0)</f>
        <v>50H-64470</v>
      </c>
      <c r="F790" s="111" t="str">
        <f>VLOOKUP($B790,ma!$A:$B,2,0)</f>
        <v>ĐẠT MẠNH HÙNG LONG THÀNH</v>
      </c>
      <c r="G790" s="112" t="s">
        <v>2325</v>
      </c>
      <c r="H790" s="113" t="s">
        <v>1912</v>
      </c>
      <c r="I790" s="114"/>
      <c r="J790" s="109"/>
      <c r="K790" s="116">
        <v>1.2</v>
      </c>
      <c r="L790" s="117">
        <f t="shared" si="114"/>
        <v>60000</v>
      </c>
      <c r="M790" s="114">
        <v>30000</v>
      </c>
      <c r="N790" s="118" t="s">
        <v>1423</v>
      </c>
      <c r="O790" s="118">
        <v>1</v>
      </c>
      <c r="P790" s="114">
        <f>VLOOKUP($B790,ma!$A:$C,3,0)</f>
        <v>900000</v>
      </c>
      <c r="Q790" s="132">
        <v>990000</v>
      </c>
      <c r="R790" s="149">
        <v>9.9999999999999895E-2</v>
      </c>
      <c r="S790" s="119"/>
      <c r="T790" s="119"/>
      <c r="U790" s="119"/>
      <c r="V790" s="119"/>
      <c r="W790" s="119"/>
      <c r="X790" s="119"/>
      <c r="Y790" s="119"/>
      <c r="Z790" s="119"/>
      <c r="AA790" s="119"/>
    </row>
    <row r="791" spans="1:27" ht="15">
      <c r="A791" s="107">
        <f t="shared" si="110"/>
        <v>22</v>
      </c>
      <c r="B791" s="108" t="s">
        <v>358</v>
      </c>
      <c r="C791" s="109" t="s">
        <v>78</v>
      </c>
      <c r="D791" s="110">
        <v>46107</v>
      </c>
      <c r="E791" s="133" t="str">
        <f>VLOOKUP($C791,xe!$A:$B,2,0)</f>
        <v>50E-565,21</v>
      </c>
      <c r="F791" s="111" t="str">
        <f>VLOOKUP($B791,ma!$A:$B,2,0)</f>
        <v>ĐẠT MẠNH HÙNG LONG THÀNH</v>
      </c>
      <c r="G791" s="112" t="s">
        <v>2326</v>
      </c>
      <c r="H791" s="113" t="s">
        <v>1912</v>
      </c>
      <c r="I791" s="114"/>
      <c r="J791" s="109"/>
      <c r="K791" s="116">
        <v>1.4</v>
      </c>
      <c r="L791" s="117">
        <f t="shared" si="114"/>
        <v>70000</v>
      </c>
      <c r="M791" s="114"/>
      <c r="N791" s="118"/>
      <c r="O791" s="118">
        <v>1</v>
      </c>
      <c r="P791" s="114">
        <f>VLOOKUP($B791,ma!$A:$C,3,0)</f>
        <v>900000</v>
      </c>
      <c r="Q791" s="132">
        <v>990000</v>
      </c>
      <c r="R791" s="149">
        <v>9.9999999999999895E-2</v>
      </c>
      <c r="S791" s="119"/>
      <c r="T791" s="119"/>
      <c r="U791" s="119"/>
      <c r="V791" s="119"/>
      <c r="W791" s="119"/>
      <c r="X791" s="119"/>
      <c r="Y791" s="119"/>
      <c r="Z791" s="119"/>
      <c r="AA791" s="119"/>
    </row>
    <row r="792" spans="1:27" ht="15">
      <c r="A792" s="107">
        <f t="shared" si="110"/>
        <v>23</v>
      </c>
      <c r="B792" s="108" t="s">
        <v>846</v>
      </c>
      <c r="C792" s="109" t="s">
        <v>34</v>
      </c>
      <c r="D792" s="110">
        <v>46107</v>
      </c>
      <c r="E792" s="109" t="str">
        <f>VLOOKUP($C792,xe!$A:$B,2,0)</f>
        <v>50H-66445</v>
      </c>
      <c r="F792" s="111" t="str">
        <f>VLOOKUP($B792,ma!$A:$B,2,0)</f>
        <v>VĂN HẬU LONG HƯNG ( KBX )</v>
      </c>
      <c r="G792" s="112" t="s">
        <v>1412</v>
      </c>
      <c r="H792" s="113" t="s">
        <v>1412</v>
      </c>
      <c r="I792" s="114"/>
      <c r="J792" s="109"/>
      <c r="K792" s="116">
        <v>2.2000000000000002</v>
      </c>
      <c r="L792" s="117">
        <v>50000</v>
      </c>
      <c r="M792" s="114"/>
      <c r="N792" s="118"/>
      <c r="O792" s="118">
        <v>1</v>
      </c>
      <c r="P792" s="114">
        <f>VLOOKUP($B792,ma!$A:$C,3,0)</f>
        <v>800000</v>
      </c>
      <c r="Q792" s="132">
        <v>880000</v>
      </c>
      <c r="R792" s="149">
        <v>9.9999999999999895E-2</v>
      </c>
      <c r="S792" s="119"/>
      <c r="T792" s="119"/>
      <c r="U792" s="119"/>
      <c r="V792" s="119"/>
      <c r="W792" s="119"/>
      <c r="X792" s="119"/>
      <c r="Y792" s="119"/>
      <c r="Z792" s="119"/>
      <c r="AA792" s="119"/>
    </row>
    <row r="793" spans="1:27" ht="15">
      <c r="A793" s="107">
        <f t="shared" si="110"/>
        <v>24</v>
      </c>
      <c r="B793" s="108" t="s">
        <v>846</v>
      </c>
      <c r="C793" s="109" t="s">
        <v>32</v>
      </c>
      <c r="D793" s="110">
        <v>46107</v>
      </c>
      <c r="E793" s="109" t="str">
        <f>VLOOKUP($C793,xe!$A:$B,2,0)</f>
        <v>50H-54580</v>
      </c>
      <c r="F793" s="111" t="str">
        <f>VLOOKUP($B793,ma!$A:$B,2,0)</f>
        <v>VĂN HẬU LONG HƯNG ( KBX )</v>
      </c>
      <c r="G793" s="112" t="s">
        <v>1412</v>
      </c>
      <c r="H793" s="113" t="s">
        <v>1412</v>
      </c>
      <c r="I793" s="114"/>
      <c r="J793" s="109"/>
      <c r="K793" s="116">
        <v>2.2000000000000002</v>
      </c>
      <c r="L793" s="117">
        <v>50000</v>
      </c>
      <c r="M793" s="114"/>
      <c r="N793" s="118"/>
      <c r="O793" s="118">
        <v>1</v>
      </c>
      <c r="P793" s="114">
        <f>VLOOKUP($B793,ma!$A:$C,3,0)</f>
        <v>800000</v>
      </c>
      <c r="Q793" s="132">
        <v>880000</v>
      </c>
      <c r="R793" s="149">
        <v>9.9999999999999895E-2</v>
      </c>
      <c r="S793" s="119"/>
      <c r="T793" s="119"/>
      <c r="U793" s="119"/>
      <c r="V793" s="119"/>
      <c r="W793" s="119"/>
      <c r="X793" s="119"/>
      <c r="Y793" s="119"/>
      <c r="Z793" s="119"/>
      <c r="AA793" s="119"/>
    </row>
    <row r="794" spans="1:27" ht="15">
      <c r="A794" s="107">
        <f t="shared" si="110"/>
        <v>25</v>
      </c>
      <c r="B794" s="108" t="s">
        <v>793</v>
      </c>
      <c r="C794" s="109" t="s">
        <v>1432</v>
      </c>
      <c r="D794" s="110">
        <v>46107</v>
      </c>
      <c r="E794" s="109" t="str">
        <f>VLOOKUP($C794,xe!$A:$B,2,0)</f>
        <v>50H-70216</v>
      </c>
      <c r="F794" s="111" t="str">
        <f>VLOOKUP($B794,ma!$A:$B,2,0)</f>
        <v>3KS CẨM HƯƠNG ( K BX )</v>
      </c>
      <c r="G794" s="112" t="s">
        <v>1405</v>
      </c>
      <c r="H794" s="113" t="s">
        <v>1412</v>
      </c>
      <c r="I794" s="114"/>
      <c r="J794" s="109"/>
      <c r="K794" s="116">
        <v>2.2000000000000002</v>
      </c>
      <c r="L794" s="117">
        <v>50000</v>
      </c>
      <c r="M794" s="114"/>
      <c r="N794" s="118"/>
      <c r="O794" s="118">
        <v>1</v>
      </c>
      <c r="P794" s="114">
        <f>VLOOKUP($B794,ma!$A:$C,3,0)</f>
        <v>900000</v>
      </c>
      <c r="Q794" s="132">
        <v>990000</v>
      </c>
      <c r="R794" s="149">
        <v>9.9999999999999895E-2</v>
      </c>
      <c r="S794" s="119"/>
      <c r="T794" s="119"/>
      <c r="U794" s="119"/>
      <c r="V794" s="119"/>
      <c r="W794" s="119"/>
      <c r="X794" s="119"/>
      <c r="Y794" s="119"/>
      <c r="Z794" s="119"/>
      <c r="AA794" s="119"/>
    </row>
    <row r="795" spans="1:27" ht="15">
      <c r="A795" s="107">
        <f t="shared" si="110"/>
        <v>26</v>
      </c>
      <c r="B795" s="108" t="s">
        <v>793</v>
      </c>
      <c r="C795" s="109" t="s">
        <v>1506</v>
      </c>
      <c r="D795" s="110">
        <v>46107</v>
      </c>
      <c r="E795" s="109" t="str">
        <f>VLOOKUP($C795,xe!$A:$B,2,0)</f>
        <v>50H-55443</v>
      </c>
      <c r="F795" s="111" t="str">
        <f>VLOOKUP($B795,ma!$A:$B,2,0)</f>
        <v>3KS CẨM HƯƠNG ( K BX )</v>
      </c>
      <c r="G795" s="112" t="s">
        <v>1405</v>
      </c>
      <c r="H795" s="113" t="s">
        <v>1412</v>
      </c>
      <c r="I795" s="114"/>
      <c r="J795" s="109"/>
      <c r="K795" s="116">
        <v>2.2000000000000002</v>
      </c>
      <c r="L795" s="117">
        <v>50000</v>
      </c>
      <c r="M795" s="114"/>
      <c r="N795" s="118"/>
      <c r="O795" s="118">
        <v>1</v>
      </c>
      <c r="P795" s="114">
        <f>VLOOKUP($B795,ma!$A:$C,3,0)</f>
        <v>900000</v>
      </c>
      <c r="Q795" s="132">
        <v>990000</v>
      </c>
      <c r="R795" s="149">
        <v>9.9999999999999895E-2</v>
      </c>
      <c r="S795" s="119"/>
      <c r="T795" s="119"/>
      <c r="U795" s="119"/>
      <c r="V795" s="119"/>
      <c r="W795" s="119"/>
      <c r="X795" s="119"/>
      <c r="Y795" s="119"/>
      <c r="Z795" s="119"/>
      <c r="AA795" s="119"/>
    </row>
    <row r="796" spans="1:27" ht="15">
      <c r="A796" s="107">
        <f t="shared" si="110"/>
        <v>27</v>
      </c>
      <c r="B796" s="108" t="s">
        <v>2036</v>
      </c>
      <c r="C796" s="109" t="s">
        <v>1655</v>
      </c>
      <c r="D796" s="110">
        <v>46107</v>
      </c>
      <c r="E796" s="109" t="str">
        <f>VLOOKUP($C796,xe!$A:$B,2,0)</f>
        <v>50H-70216</v>
      </c>
      <c r="F796" s="111" t="str">
        <f>VLOOKUP($B796,ma!$A:$B,2,0)</f>
        <v>QUẬN 9</v>
      </c>
      <c r="G796" s="112" t="s">
        <v>2327</v>
      </c>
      <c r="H796" s="113" t="s">
        <v>2083</v>
      </c>
      <c r="I796" s="114"/>
      <c r="J796" s="147" t="s">
        <v>1457</v>
      </c>
      <c r="K796" s="116">
        <v>2</v>
      </c>
      <c r="L796" s="117">
        <f t="shared" ref="L796:L805" si="115">K796*50000</f>
        <v>100000</v>
      </c>
      <c r="M796" s="114">
        <v>30000</v>
      </c>
      <c r="N796" s="118" t="s">
        <v>2328</v>
      </c>
      <c r="O796" s="118">
        <v>1</v>
      </c>
      <c r="P796" s="114">
        <f>VLOOKUP($B796,ma!$A:$C,3,0)</f>
        <v>800000</v>
      </c>
      <c r="Q796" s="132">
        <v>880000</v>
      </c>
      <c r="R796" s="149">
        <v>9.9999999999999895E-2</v>
      </c>
      <c r="S796" s="119"/>
      <c r="T796" s="119"/>
      <c r="U796" s="119"/>
      <c r="V796" s="119"/>
      <c r="W796" s="119"/>
      <c r="X796" s="119"/>
      <c r="Y796" s="119"/>
      <c r="Z796" s="119"/>
      <c r="AA796" s="119"/>
    </row>
    <row r="797" spans="1:27" ht="15">
      <c r="A797" s="107">
        <f t="shared" si="110"/>
        <v>28</v>
      </c>
      <c r="B797" s="108" t="s">
        <v>2206</v>
      </c>
      <c r="C797" s="109" t="s">
        <v>60</v>
      </c>
      <c r="D797" s="110">
        <v>46107</v>
      </c>
      <c r="E797" s="109" t="str">
        <f>VLOOKUP($C797,xe!$A:$B,2,0)</f>
        <v>50H-11822</v>
      </c>
      <c r="F797" s="111" t="str">
        <f>VLOOKUP($B797,ma!$A:$B,2,0)</f>
        <v>BC NEW CTY</v>
      </c>
      <c r="G797" s="161" t="s">
        <v>2329</v>
      </c>
      <c r="H797" s="162" t="s">
        <v>2330</v>
      </c>
      <c r="I797" s="114"/>
      <c r="J797" s="147" t="s">
        <v>1457</v>
      </c>
      <c r="K797" s="116">
        <v>1</v>
      </c>
      <c r="L797" s="117">
        <f t="shared" si="115"/>
        <v>50000</v>
      </c>
      <c r="M797" s="114"/>
      <c r="N797" s="118"/>
      <c r="O797" s="118">
        <v>1</v>
      </c>
      <c r="P797" s="114">
        <f>VLOOKUP($B797,ma!$A:$C,3,0)</f>
        <v>800000</v>
      </c>
      <c r="Q797" s="132">
        <v>880000</v>
      </c>
      <c r="R797" s="149">
        <v>9.9999999999999895E-2</v>
      </c>
      <c r="S797" s="119"/>
      <c r="T797" s="119"/>
      <c r="U797" s="119"/>
      <c r="V797" s="119"/>
      <c r="W797" s="119"/>
      <c r="X797" s="119"/>
      <c r="Y797" s="119"/>
      <c r="Z797" s="119"/>
      <c r="AA797" s="119"/>
    </row>
    <row r="798" spans="1:27" ht="15">
      <c r="A798" s="107">
        <f t="shared" si="110"/>
        <v>29</v>
      </c>
      <c r="B798" s="108" t="s">
        <v>1455</v>
      </c>
      <c r="C798" s="109" t="s">
        <v>1500</v>
      </c>
      <c r="D798" s="110">
        <v>46107</v>
      </c>
      <c r="E798" s="109" t="str">
        <f>VLOOKUP($C798,xe!$A:$B,2,0)</f>
        <v>50H 87442</v>
      </c>
      <c r="F798" s="111" t="str">
        <f>VLOOKUP($B798,ma!$A:$B,2,0)</f>
        <v>BC GÒ VẤP</v>
      </c>
      <c r="G798" s="161" t="s">
        <v>2331</v>
      </c>
      <c r="H798" s="162" t="s">
        <v>2318</v>
      </c>
      <c r="I798" s="114"/>
      <c r="J798" s="109"/>
      <c r="K798" s="116">
        <v>1.4</v>
      </c>
      <c r="L798" s="117">
        <f t="shared" si="115"/>
        <v>70000</v>
      </c>
      <c r="M798" s="114"/>
      <c r="N798" s="118"/>
      <c r="O798" s="118">
        <v>1</v>
      </c>
      <c r="P798" s="114">
        <f>VLOOKUP($B798,ma!$A:$C,3,0)</f>
        <v>800000</v>
      </c>
      <c r="Q798" s="132">
        <v>880000</v>
      </c>
      <c r="R798" s="149">
        <v>9.9999999999999895E-2</v>
      </c>
      <c r="S798" s="119"/>
      <c r="T798" s="119"/>
      <c r="U798" s="119"/>
      <c r="V798" s="119"/>
      <c r="W798" s="119"/>
      <c r="X798" s="119"/>
      <c r="Y798" s="119"/>
      <c r="Z798" s="119"/>
      <c r="AA798" s="119"/>
    </row>
    <row r="799" spans="1:27" ht="15">
      <c r="A799" s="107">
        <f t="shared" si="110"/>
        <v>30</v>
      </c>
      <c r="B799" s="108" t="s">
        <v>1758</v>
      </c>
      <c r="C799" s="109" t="s">
        <v>1662</v>
      </c>
      <c r="D799" s="110">
        <v>46107</v>
      </c>
      <c r="E799" s="109" t="str">
        <f>VLOOKUP($C799,xe!$A:$B,2,0)</f>
        <v>50H-74619</v>
      </c>
      <c r="F799" s="111" t="str">
        <f>VLOOKUP($B799,ma!$A:$B,2,0)</f>
        <v>M. BÌNH PHÚ</v>
      </c>
      <c r="G799" s="112" t="s">
        <v>2332</v>
      </c>
      <c r="H799" s="113" t="s">
        <v>2315</v>
      </c>
      <c r="I799" s="114"/>
      <c r="J799" s="109"/>
      <c r="K799" s="116">
        <v>2</v>
      </c>
      <c r="L799" s="117">
        <f t="shared" si="115"/>
        <v>100000</v>
      </c>
      <c r="M799" s="114">
        <v>30000</v>
      </c>
      <c r="N799" s="118" t="s">
        <v>1423</v>
      </c>
      <c r="O799" s="118">
        <v>1</v>
      </c>
      <c r="P799" s="114">
        <f>VLOOKUP($B799,ma!$A:$C,3,0)</f>
        <v>800000</v>
      </c>
      <c r="Q799" s="132">
        <v>880000</v>
      </c>
      <c r="R799" s="149">
        <v>9.9999999999999895E-2</v>
      </c>
      <c r="S799" s="119"/>
      <c r="T799" s="119"/>
      <c r="U799" s="119"/>
      <c r="V799" s="119"/>
      <c r="W799" s="119"/>
      <c r="X799" s="119"/>
      <c r="Y799" s="119"/>
      <c r="Z799" s="119"/>
      <c r="AA799" s="119"/>
    </row>
    <row r="800" spans="1:27" ht="15">
      <c r="A800" s="107">
        <f t="shared" si="110"/>
        <v>31</v>
      </c>
      <c r="B800" s="108" t="s">
        <v>1758</v>
      </c>
      <c r="C800" s="109" t="s">
        <v>1493</v>
      </c>
      <c r="D800" s="110">
        <v>46107</v>
      </c>
      <c r="E800" s="109" t="s">
        <v>13</v>
      </c>
      <c r="F800" s="111" t="str">
        <f>VLOOKUP($B800,ma!$A:$B,2,0)</f>
        <v>M. BÌNH PHÚ</v>
      </c>
      <c r="G800" s="112" t="s">
        <v>2333</v>
      </c>
      <c r="H800" s="113" t="s">
        <v>2315</v>
      </c>
      <c r="I800" s="114"/>
      <c r="J800" s="109"/>
      <c r="K800" s="116">
        <v>2.2000000000000002</v>
      </c>
      <c r="L800" s="117">
        <f t="shared" si="115"/>
        <v>110000.00000000001</v>
      </c>
      <c r="M800" s="114">
        <v>30000</v>
      </c>
      <c r="N800" s="118" t="s">
        <v>1423</v>
      </c>
      <c r="O800" s="118">
        <v>1</v>
      </c>
      <c r="P800" s="114">
        <f>VLOOKUP($B800,ma!$A:$C,3,0)</f>
        <v>800000</v>
      </c>
      <c r="Q800" s="132">
        <v>880000</v>
      </c>
      <c r="R800" s="149">
        <v>9.9999999999999895E-2</v>
      </c>
      <c r="S800" s="119"/>
      <c r="T800" s="119"/>
      <c r="U800" s="119"/>
      <c r="V800" s="119"/>
      <c r="W800" s="119"/>
      <c r="X800" s="119"/>
      <c r="Y800" s="119"/>
      <c r="Z800" s="119"/>
      <c r="AA800" s="119"/>
    </row>
    <row r="801" spans="1:27" ht="15">
      <c r="A801" s="107">
        <f t="shared" si="110"/>
        <v>32</v>
      </c>
      <c r="B801" s="108" t="s">
        <v>1758</v>
      </c>
      <c r="C801" s="109" t="s">
        <v>34</v>
      </c>
      <c r="D801" s="110">
        <v>46107</v>
      </c>
      <c r="E801" s="109" t="str">
        <f>VLOOKUP($C801,xe!$A:$B,2,0)</f>
        <v>50H-66445</v>
      </c>
      <c r="F801" s="111" t="str">
        <f>VLOOKUP($B801,ma!$A:$B,2,0)</f>
        <v>M. BÌNH PHÚ</v>
      </c>
      <c r="G801" s="112" t="s">
        <v>2334</v>
      </c>
      <c r="H801" s="113" t="s">
        <v>2315</v>
      </c>
      <c r="I801" s="114"/>
      <c r="J801" s="109"/>
      <c r="K801" s="116">
        <v>2</v>
      </c>
      <c r="L801" s="117">
        <f t="shared" si="115"/>
        <v>100000</v>
      </c>
      <c r="M801" s="114"/>
      <c r="N801" s="118"/>
      <c r="O801" s="118">
        <v>1</v>
      </c>
      <c r="P801" s="114">
        <f>VLOOKUP($B801,ma!$A:$C,3,0)</f>
        <v>800000</v>
      </c>
      <c r="Q801" s="132">
        <v>880000</v>
      </c>
      <c r="R801" s="149">
        <v>9.9999999999999895E-2</v>
      </c>
      <c r="S801" s="119"/>
      <c r="T801" s="119"/>
      <c r="U801" s="119"/>
      <c r="V801" s="119"/>
      <c r="W801" s="119"/>
      <c r="X801" s="119"/>
      <c r="Y801" s="119"/>
      <c r="Z801" s="119"/>
      <c r="AA801" s="119"/>
    </row>
    <row r="802" spans="1:27" ht="15">
      <c r="A802" s="107">
        <f t="shared" si="110"/>
        <v>33</v>
      </c>
      <c r="B802" s="108" t="s">
        <v>1758</v>
      </c>
      <c r="C802" s="109" t="s">
        <v>32</v>
      </c>
      <c r="D802" s="110">
        <v>46107</v>
      </c>
      <c r="E802" s="109" t="str">
        <f>VLOOKUP($C802,xe!$A:$B,2,0)</f>
        <v>50H-54580</v>
      </c>
      <c r="F802" s="111" t="str">
        <f>VLOOKUP($B802,ma!$A:$B,2,0)</f>
        <v>M. BÌNH PHÚ</v>
      </c>
      <c r="G802" s="112" t="s">
        <v>2335</v>
      </c>
      <c r="H802" s="113" t="s">
        <v>2315</v>
      </c>
      <c r="I802" s="114"/>
      <c r="J802" s="109"/>
      <c r="K802" s="116">
        <v>2</v>
      </c>
      <c r="L802" s="117">
        <f t="shared" si="115"/>
        <v>100000</v>
      </c>
      <c r="M802" s="114"/>
      <c r="N802" s="118"/>
      <c r="O802" s="118">
        <v>1</v>
      </c>
      <c r="P802" s="114">
        <f>VLOOKUP($B802,ma!$A:$C,3,0)</f>
        <v>800000</v>
      </c>
      <c r="Q802" s="132">
        <v>880000</v>
      </c>
      <c r="R802" s="149">
        <v>9.9999999999999895E-2</v>
      </c>
      <c r="S802" s="119"/>
      <c r="T802" s="119"/>
      <c r="U802" s="119"/>
      <c r="V802" s="119"/>
      <c r="W802" s="119"/>
      <c r="X802" s="119"/>
      <c r="Y802" s="119"/>
      <c r="Z802" s="119"/>
      <c r="AA802" s="119"/>
    </row>
    <row r="803" spans="1:27" ht="15">
      <c r="A803" s="107">
        <f t="shared" si="110"/>
        <v>34</v>
      </c>
      <c r="B803" s="108" t="s">
        <v>1758</v>
      </c>
      <c r="C803" s="109" t="s">
        <v>18</v>
      </c>
      <c r="D803" s="110">
        <v>46107</v>
      </c>
      <c r="E803" s="109" t="s">
        <v>2172</v>
      </c>
      <c r="F803" s="111" t="str">
        <f>VLOOKUP($B803,ma!$A:$B,2,0)</f>
        <v>M. BÌNH PHÚ</v>
      </c>
      <c r="G803" s="112" t="s">
        <v>2336</v>
      </c>
      <c r="H803" s="113" t="s">
        <v>2315</v>
      </c>
      <c r="I803" s="114"/>
      <c r="J803" s="109"/>
      <c r="K803" s="116">
        <v>2</v>
      </c>
      <c r="L803" s="117">
        <f t="shared" si="115"/>
        <v>100000</v>
      </c>
      <c r="M803" s="114"/>
      <c r="N803" s="118"/>
      <c r="O803" s="118">
        <v>1</v>
      </c>
      <c r="P803" s="114">
        <f>VLOOKUP($B803,ma!$A:$C,3,0)</f>
        <v>800000</v>
      </c>
      <c r="Q803" s="132">
        <v>880000</v>
      </c>
      <c r="R803" s="149">
        <v>9.9999999999999895E-2</v>
      </c>
      <c r="S803" s="119"/>
      <c r="T803" s="119"/>
      <c r="U803" s="119"/>
      <c r="V803" s="119"/>
      <c r="W803" s="119"/>
      <c r="X803" s="119"/>
      <c r="Y803" s="119"/>
      <c r="Z803" s="119"/>
      <c r="AA803" s="119"/>
    </row>
    <row r="804" spans="1:27" ht="15">
      <c r="A804" s="107">
        <f t="shared" si="110"/>
        <v>35</v>
      </c>
      <c r="B804" s="108" t="s">
        <v>1758</v>
      </c>
      <c r="C804" s="109" t="s">
        <v>8</v>
      </c>
      <c r="D804" s="110">
        <v>46107</v>
      </c>
      <c r="E804" s="109" t="str">
        <f>VLOOKUP($C804,xe!$A:$B,2,0)</f>
        <v>50H-64316</v>
      </c>
      <c r="F804" s="111" t="str">
        <f>VLOOKUP($B804,ma!$A:$B,2,0)</f>
        <v>M. BÌNH PHÚ</v>
      </c>
      <c r="G804" s="112" t="s">
        <v>2337</v>
      </c>
      <c r="H804" s="113" t="s">
        <v>2315</v>
      </c>
      <c r="I804" s="114"/>
      <c r="J804" s="109"/>
      <c r="K804" s="116">
        <v>2</v>
      </c>
      <c r="L804" s="117">
        <f t="shared" si="115"/>
        <v>100000</v>
      </c>
      <c r="M804" s="114"/>
      <c r="N804" s="118"/>
      <c r="O804" s="118">
        <v>1</v>
      </c>
      <c r="P804" s="114">
        <f>VLOOKUP($B804,ma!$A:$C,3,0)</f>
        <v>800000</v>
      </c>
      <c r="Q804" s="132">
        <v>880000</v>
      </c>
      <c r="R804" s="149">
        <v>9.9999999999999895E-2</v>
      </c>
      <c r="S804" s="119"/>
      <c r="T804" s="119"/>
      <c r="U804" s="119"/>
      <c r="V804" s="119"/>
      <c r="W804" s="119"/>
      <c r="X804" s="119"/>
      <c r="Y804" s="119"/>
      <c r="Z804" s="119"/>
      <c r="AA804" s="119"/>
    </row>
    <row r="805" spans="1:27" ht="15">
      <c r="A805" s="107">
        <f t="shared" si="110"/>
        <v>36</v>
      </c>
      <c r="B805" s="108" t="s">
        <v>1758</v>
      </c>
      <c r="C805" s="109" t="s">
        <v>19</v>
      </c>
      <c r="D805" s="110">
        <v>46107</v>
      </c>
      <c r="E805" s="109" t="str">
        <f>VLOOKUP($C805,xe!$A:$B,2,0)</f>
        <v>51H -88294</v>
      </c>
      <c r="F805" s="111" t="str">
        <f>VLOOKUP($B805,ma!$A:$B,2,0)</f>
        <v>M. BÌNH PHÚ</v>
      </c>
      <c r="G805" s="112" t="s">
        <v>2338</v>
      </c>
      <c r="H805" s="113" t="s">
        <v>2315</v>
      </c>
      <c r="I805" s="114"/>
      <c r="J805" s="109"/>
      <c r="K805" s="116">
        <v>2</v>
      </c>
      <c r="L805" s="117">
        <f t="shared" si="115"/>
        <v>100000</v>
      </c>
      <c r="M805" s="114">
        <v>30000</v>
      </c>
      <c r="N805" s="118" t="s">
        <v>1423</v>
      </c>
      <c r="O805" s="118">
        <v>1</v>
      </c>
      <c r="P805" s="114">
        <f>VLOOKUP($B805,ma!$A:$C,3,0)</f>
        <v>800000</v>
      </c>
      <c r="Q805" s="132">
        <v>880000</v>
      </c>
      <c r="R805" s="149">
        <v>9.9999999999999895E-2</v>
      </c>
      <c r="S805" s="119"/>
      <c r="T805" s="119"/>
      <c r="U805" s="119"/>
      <c r="V805" s="119"/>
      <c r="W805" s="119"/>
      <c r="X805" s="119"/>
      <c r="Y805" s="119"/>
      <c r="Z805" s="119"/>
      <c r="AA805" s="119"/>
    </row>
    <row r="806" spans="1:27" ht="15">
      <c r="A806" s="107">
        <f t="shared" si="110"/>
        <v>37</v>
      </c>
      <c r="B806" s="108" t="s">
        <v>348</v>
      </c>
      <c r="C806" s="109" t="s">
        <v>12</v>
      </c>
      <c r="D806" s="110">
        <v>46107</v>
      </c>
      <c r="E806" s="133" t="s">
        <v>2179</v>
      </c>
      <c r="F806" s="111" t="str">
        <f>VLOOKUP($B806,ma!$A:$B,2,0)</f>
        <v>TÂN LÚA VÀNG ( KBX )</v>
      </c>
      <c r="G806" s="164" t="s">
        <v>2339</v>
      </c>
      <c r="H806" s="165" t="s">
        <v>2318</v>
      </c>
      <c r="I806" s="114"/>
      <c r="J806" s="109"/>
      <c r="K806" s="116">
        <v>2</v>
      </c>
      <c r="L806" s="117">
        <v>50000</v>
      </c>
      <c r="M806" s="114">
        <v>30000</v>
      </c>
      <c r="N806" s="118" t="s">
        <v>1423</v>
      </c>
      <c r="O806" s="118">
        <v>1</v>
      </c>
      <c r="P806" s="114">
        <f>VLOOKUP($B806,ma!$A:$C,3,0)</f>
        <v>800000</v>
      </c>
      <c r="Q806" s="132">
        <v>880000</v>
      </c>
      <c r="R806" s="149">
        <v>9.9999999999999895E-2</v>
      </c>
      <c r="S806" s="119"/>
      <c r="T806" s="119"/>
      <c r="U806" s="119"/>
      <c r="V806" s="119"/>
      <c r="W806" s="119"/>
      <c r="X806" s="119"/>
      <c r="Y806" s="119"/>
      <c r="Z806" s="119"/>
      <c r="AA806" s="119"/>
    </row>
    <row r="807" spans="1:27" ht="15">
      <c r="A807" s="107">
        <f t="shared" si="110"/>
        <v>38</v>
      </c>
      <c r="B807" s="108" t="s">
        <v>348</v>
      </c>
      <c r="C807" s="109" t="s">
        <v>27</v>
      </c>
      <c r="D807" s="110">
        <v>46107</v>
      </c>
      <c r="E807" s="109" t="str">
        <f>VLOOKUP($C807,xe!$A:$B,2,0)</f>
        <v>50H-55443</v>
      </c>
      <c r="F807" s="111" t="str">
        <f>VLOOKUP($B807,ma!$A:$B,2,0)</f>
        <v>TÂN LÚA VÀNG ( KBX )</v>
      </c>
      <c r="G807" s="164" t="s">
        <v>2340</v>
      </c>
      <c r="H807" s="165" t="s">
        <v>2318</v>
      </c>
      <c r="I807" s="114"/>
      <c r="J807" s="109"/>
      <c r="K807" s="116">
        <v>2</v>
      </c>
      <c r="L807" s="117">
        <v>50000</v>
      </c>
      <c r="M807" s="114">
        <v>30000</v>
      </c>
      <c r="N807" s="118" t="s">
        <v>1423</v>
      </c>
      <c r="O807" s="118">
        <v>1</v>
      </c>
      <c r="P807" s="114">
        <f>VLOOKUP($B807,ma!$A:$C,3,0)</f>
        <v>800000</v>
      </c>
      <c r="Q807" s="132">
        <v>880000</v>
      </c>
      <c r="R807" s="149">
        <v>9.9999999999999895E-2</v>
      </c>
      <c r="S807" s="119"/>
      <c r="T807" s="119"/>
      <c r="U807" s="119"/>
      <c r="V807" s="119"/>
      <c r="W807" s="119"/>
      <c r="X807" s="119"/>
      <c r="Y807" s="119"/>
      <c r="Z807" s="119"/>
      <c r="AA807" s="119"/>
    </row>
    <row r="808" spans="1:27" ht="15">
      <c r="A808" s="107">
        <f t="shared" si="110"/>
        <v>39</v>
      </c>
      <c r="B808" s="108" t="s">
        <v>348</v>
      </c>
      <c r="C808" s="109" t="s">
        <v>74</v>
      </c>
      <c r="D808" s="110">
        <v>46107</v>
      </c>
      <c r="E808" s="109" t="str">
        <f>VLOOKUP($C808,xe!$A:$B,2,0)</f>
        <v>50H-44024</v>
      </c>
      <c r="F808" s="111" t="str">
        <f>VLOOKUP($B808,ma!$A:$B,2,0)</f>
        <v>TÂN LÚA VÀNG ( KBX )</v>
      </c>
      <c r="G808" s="164" t="s">
        <v>2341</v>
      </c>
      <c r="H808" s="165" t="s">
        <v>2318</v>
      </c>
      <c r="I808" s="114"/>
      <c r="J808" s="109"/>
      <c r="K808" s="116">
        <v>2</v>
      </c>
      <c r="L808" s="117"/>
      <c r="M808" s="114"/>
      <c r="N808" s="118"/>
      <c r="O808" s="118">
        <v>1</v>
      </c>
      <c r="P808" s="114">
        <f>VLOOKUP($B808,ma!$A:$C,3,0)</f>
        <v>800000</v>
      </c>
      <c r="Q808" s="132">
        <v>880000</v>
      </c>
      <c r="R808" s="149">
        <v>9.9999999999999895E-2</v>
      </c>
      <c r="S808" s="119"/>
      <c r="T808" s="119"/>
      <c r="U808" s="119"/>
      <c r="V808" s="119"/>
      <c r="W808" s="119"/>
      <c r="X808" s="119"/>
      <c r="Y808" s="119"/>
      <c r="Z808" s="119"/>
      <c r="AA808" s="119"/>
    </row>
    <row r="809" spans="1:27" ht="15">
      <c r="A809" s="107">
        <f t="shared" si="110"/>
        <v>40</v>
      </c>
      <c r="B809" s="108" t="s">
        <v>348</v>
      </c>
      <c r="C809" s="109" t="s">
        <v>6</v>
      </c>
      <c r="D809" s="110">
        <v>46107</v>
      </c>
      <c r="E809" s="109" t="str">
        <f>VLOOKUP($C809,xe!$A:$B,2,0)</f>
        <v>50H-69501</v>
      </c>
      <c r="F809" s="111" t="str">
        <f>VLOOKUP($B809,ma!$A:$B,2,0)</f>
        <v>TÂN LÚA VÀNG ( KBX )</v>
      </c>
      <c r="G809" s="164" t="s">
        <v>2342</v>
      </c>
      <c r="H809" s="165" t="s">
        <v>2318</v>
      </c>
      <c r="I809" s="114"/>
      <c r="J809" s="109"/>
      <c r="K809" s="116">
        <v>2</v>
      </c>
      <c r="L809" s="117">
        <v>50000</v>
      </c>
      <c r="M809" s="114">
        <v>30000</v>
      </c>
      <c r="N809" s="118" t="s">
        <v>1423</v>
      </c>
      <c r="O809" s="118">
        <v>1</v>
      </c>
      <c r="P809" s="114">
        <f>VLOOKUP($B809,ma!$A:$C,3,0)</f>
        <v>800000</v>
      </c>
      <c r="Q809" s="132">
        <v>880000</v>
      </c>
      <c r="R809" s="149">
        <v>9.9999999999999895E-2</v>
      </c>
      <c r="S809" s="119"/>
      <c r="T809" s="119"/>
      <c r="U809" s="119"/>
      <c r="V809" s="119"/>
      <c r="W809" s="119"/>
      <c r="X809" s="119"/>
      <c r="Y809" s="119"/>
      <c r="Z809" s="119"/>
      <c r="AA809" s="119"/>
    </row>
    <row r="810" spans="1:27" ht="15">
      <c r="A810" s="107">
        <f t="shared" si="110"/>
        <v>41</v>
      </c>
      <c r="B810" s="108" t="s">
        <v>348</v>
      </c>
      <c r="C810" s="109" t="s">
        <v>78</v>
      </c>
      <c r="D810" s="110">
        <v>46107</v>
      </c>
      <c r="E810" s="133" t="str">
        <f>VLOOKUP($C810,xe!$A:$B,2,0)</f>
        <v>50E-565,21</v>
      </c>
      <c r="F810" s="111" t="str">
        <f>VLOOKUP($B810,ma!$A:$B,2,0)</f>
        <v>TÂN LÚA VÀNG ( KBX )</v>
      </c>
      <c r="G810" s="164" t="s">
        <v>2343</v>
      </c>
      <c r="H810" s="165" t="s">
        <v>2318</v>
      </c>
      <c r="I810" s="114"/>
      <c r="J810" s="109"/>
      <c r="K810" s="116">
        <v>2</v>
      </c>
      <c r="L810" s="117"/>
      <c r="M810" s="114"/>
      <c r="N810" s="118"/>
      <c r="O810" s="118">
        <v>1</v>
      </c>
      <c r="P810" s="114">
        <f>VLOOKUP($B810,ma!$A:$C,3,0)</f>
        <v>800000</v>
      </c>
      <c r="Q810" s="132">
        <v>880000</v>
      </c>
      <c r="R810" s="149">
        <v>9.9999999999999895E-2</v>
      </c>
      <c r="S810" s="119"/>
      <c r="T810" s="119"/>
      <c r="U810" s="119"/>
      <c r="V810" s="119"/>
      <c r="W810" s="119"/>
      <c r="X810" s="119"/>
      <c r="Y810" s="119"/>
      <c r="Z810" s="119"/>
      <c r="AA810" s="119"/>
    </row>
    <row r="811" spans="1:27" ht="15">
      <c r="A811" s="137">
        <v>1</v>
      </c>
      <c r="B811" s="138"/>
      <c r="C811" s="139" t="s">
        <v>6</v>
      </c>
      <c r="D811" s="140">
        <v>46108</v>
      </c>
      <c r="E811" s="139" t="str">
        <f>VLOOKUP($C811,xe!$A:$B,2,0)</f>
        <v>50H-69501</v>
      </c>
      <c r="F811" s="124" t="s">
        <v>2344</v>
      </c>
      <c r="G811" s="164" t="s">
        <v>2345</v>
      </c>
      <c r="H811" s="165" t="s">
        <v>2346</v>
      </c>
      <c r="I811" s="132"/>
      <c r="J811" s="139"/>
      <c r="K811" s="129">
        <v>2</v>
      </c>
      <c r="L811" s="143">
        <f t="shared" ref="L811:L815" si="116">K811*50000</f>
        <v>100000</v>
      </c>
      <c r="M811" s="132"/>
      <c r="N811" s="144"/>
      <c r="O811" s="144">
        <v>1</v>
      </c>
      <c r="P811" s="132">
        <v>400000</v>
      </c>
      <c r="Q811" s="132">
        <v>400000</v>
      </c>
      <c r="R811" s="149">
        <v>9.9999999999999895E-2</v>
      </c>
      <c r="S811" s="156"/>
      <c r="T811" s="156"/>
      <c r="U811" s="156"/>
      <c r="V811" s="156"/>
      <c r="W811" s="156"/>
      <c r="X811" s="156"/>
      <c r="Y811" s="156"/>
      <c r="Z811" s="156"/>
      <c r="AA811" s="156"/>
    </row>
    <row r="812" spans="1:27" ht="15">
      <c r="A812" s="107">
        <f t="shared" ref="A812:A852" si="117">A811+1</f>
        <v>2</v>
      </c>
      <c r="B812" s="108" t="s">
        <v>1081</v>
      </c>
      <c r="C812" s="109" t="s">
        <v>1404</v>
      </c>
      <c r="D812" s="110">
        <v>46108</v>
      </c>
      <c r="E812" s="109" t="str">
        <f>VLOOKUP($C812,xe!$A:$B,2,0)</f>
        <v>51C-81056</v>
      </c>
      <c r="F812" s="111" t="str">
        <f>VLOOKUP($B812,ma!$A:$B,2,0)</f>
        <v>AEON TÂN PHÚ</v>
      </c>
      <c r="G812" s="112" t="s">
        <v>2347</v>
      </c>
      <c r="H812" s="113" t="s">
        <v>1912</v>
      </c>
      <c r="I812" s="114"/>
      <c r="J812" s="115" t="s">
        <v>140</v>
      </c>
      <c r="K812" s="116">
        <v>2.2000000000000002</v>
      </c>
      <c r="L812" s="117">
        <f t="shared" si="116"/>
        <v>110000.00000000001</v>
      </c>
      <c r="M812" s="114"/>
      <c r="N812" s="118"/>
      <c r="O812" s="118">
        <v>1</v>
      </c>
      <c r="P812" s="114">
        <f>VLOOKUP($B812,ma!$A:$C,3,0)</f>
        <v>800000</v>
      </c>
      <c r="Q812" s="132">
        <v>880000</v>
      </c>
      <c r="R812" s="149">
        <v>9.9999999999999895E-2</v>
      </c>
      <c r="S812" s="119"/>
      <c r="T812" s="119"/>
      <c r="U812" s="119"/>
      <c r="V812" s="119"/>
      <c r="W812" s="119"/>
      <c r="X812" s="119"/>
      <c r="Y812" s="119"/>
      <c r="Z812" s="119"/>
      <c r="AA812" s="119"/>
    </row>
    <row r="813" spans="1:27" ht="15">
      <c r="A813" s="107">
        <f t="shared" si="117"/>
        <v>3</v>
      </c>
      <c r="B813" s="108" t="s">
        <v>1101</v>
      </c>
      <c r="C813" s="109" t="s">
        <v>62</v>
      </c>
      <c r="D813" s="110">
        <v>46108</v>
      </c>
      <c r="E813" s="109" t="str">
        <f>VLOOKUP($C813,xe!$A:$B,2,0)</f>
        <v>62H-01887</v>
      </c>
      <c r="F813" s="111" t="str">
        <f>VLOOKUP($B813,ma!$A:$B,2,0)</f>
        <v>EMART P.H.ÍCH</v>
      </c>
      <c r="G813" s="112" t="s">
        <v>2348</v>
      </c>
      <c r="H813" s="113" t="s">
        <v>1912</v>
      </c>
      <c r="I813" s="114"/>
      <c r="J813" s="115" t="s">
        <v>140</v>
      </c>
      <c r="K813" s="116">
        <v>1.8</v>
      </c>
      <c r="L813" s="117">
        <f t="shared" si="116"/>
        <v>90000</v>
      </c>
      <c r="M813" s="114"/>
      <c r="N813" s="118"/>
      <c r="O813" s="118">
        <v>1</v>
      </c>
      <c r="P813" s="114">
        <f>VLOOKUP($B813,ma!$A:$C,3,0)</f>
        <v>800000</v>
      </c>
      <c r="Q813" s="132">
        <v>880000</v>
      </c>
      <c r="R813" s="149">
        <v>9.9999999999999895E-2</v>
      </c>
      <c r="S813" s="119"/>
      <c r="T813" s="119"/>
      <c r="U813" s="119"/>
      <c r="V813" s="119"/>
      <c r="W813" s="119"/>
      <c r="X813" s="119"/>
      <c r="Y813" s="119"/>
      <c r="Z813" s="119"/>
      <c r="AA813" s="119"/>
    </row>
    <row r="814" spans="1:27" ht="15">
      <c r="A814" s="107">
        <f t="shared" si="117"/>
        <v>4</v>
      </c>
      <c r="B814" s="108" t="s">
        <v>1101</v>
      </c>
      <c r="C814" s="109" t="s">
        <v>64</v>
      </c>
      <c r="D814" s="110">
        <v>46108</v>
      </c>
      <c r="E814" s="109" t="str">
        <f>VLOOKUP($C814,xe!$A:$B,2,0)</f>
        <v>50H-60635</v>
      </c>
      <c r="F814" s="111" t="str">
        <f>VLOOKUP($B814,ma!$A:$B,2,0)</f>
        <v>EMART P.H.ÍCH</v>
      </c>
      <c r="G814" s="112" t="s">
        <v>2349</v>
      </c>
      <c r="H814" s="113" t="s">
        <v>1912</v>
      </c>
      <c r="I814" s="114"/>
      <c r="J814" s="115" t="s">
        <v>140</v>
      </c>
      <c r="K814" s="116">
        <v>1.8</v>
      </c>
      <c r="L814" s="117">
        <f t="shared" si="116"/>
        <v>90000</v>
      </c>
      <c r="M814" s="114"/>
      <c r="N814" s="118"/>
      <c r="O814" s="118">
        <v>1</v>
      </c>
      <c r="P814" s="114">
        <f>VLOOKUP($B814,ma!$A:$C,3,0)</f>
        <v>800000</v>
      </c>
      <c r="Q814" s="132">
        <v>880000</v>
      </c>
      <c r="R814" s="149">
        <v>9.9999999999999895E-2</v>
      </c>
      <c r="S814" s="119"/>
      <c r="T814" s="119"/>
      <c r="U814" s="119"/>
      <c r="V814" s="119"/>
      <c r="W814" s="119"/>
      <c r="X814" s="119"/>
      <c r="Y814" s="119"/>
      <c r="Z814" s="119"/>
      <c r="AA814" s="119"/>
    </row>
    <row r="815" spans="1:27" ht="15">
      <c r="A815" s="107">
        <f t="shared" si="117"/>
        <v>5</v>
      </c>
      <c r="B815" s="108" t="s">
        <v>1128</v>
      </c>
      <c r="C815" s="109" t="s">
        <v>68</v>
      </c>
      <c r="D815" s="110">
        <v>46108</v>
      </c>
      <c r="E815" s="109" t="str">
        <f>VLOOKUP($C815,xe!$A:$B,2,0)</f>
        <v>50H-55829</v>
      </c>
      <c r="F815" s="111" t="str">
        <f>VLOOKUP($B815,ma!$A:$B,2,0)</f>
        <v>SATRA SÀI GÒN</v>
      </c>
      <c r="G815" s="112" t="s">
        <v>2350</v>
      </c>
      <c r="H815" s="113" t="s">
        <v>2315</v>
      </c>
      <c r="I815" s="114"/>
      <c r="J815" s="109"/>
      <c r="K815" s="116">
        <v>1.6</v>
      </c>
      <c r="L815" s="117">
        <f t="shared" si="116"/>
        <v>80000</v>
      </c>
      <c r="M815" s="114"/>
      <c r="N815" s="118"/>
      <c r="O815" s="118">
        <v>1</v>
      </c>
      <c r="P815" s="114">
        <f>VLOOKUP($B815,ma!$A:$C,3,0)</f>
        <v>800000</v>
      </c>
      <c r="Q815" s="132">
        <v>880000</v>
      </c>
      <c r="R815" s="149">
        <v>9.9999999999999895E-2</v>
      </c>
      <c r="S815" s="119"/>
      <c r="T815" s="119"/>
      <c r="U815" s="119"/>
      <c r="V815" s="119"/>
      <c r="W815" s="119"/>
      <c r="X815" s="119"/>
      <c r="Y815" s="119"/>
      <c r="Z815" s="119"/>
      <c r="AA815" s="119"/>
    </row>
    <row r="816" spans="1:27" ht="15">
      <c r="A816" s="107">
        <f t="shared" si="117"/>
        <v>6</v>
      </c>
      <c r="B816" s="108" t="s">
        <v>453</v>
      </c>
      <c r="C816" s="109" t="s">
        <v>66</v>
      </c>
      <c r="D816" s="110">
        <v>46108</v>
      </c>
      <c r="E816" s="109" t="str">
        <f>VLOOKUP($C816,xe!$A:$B,2,0)</f>
        <v>50H-92136</v>
      </c>
      <c r="F816" s="111" t="str">
        <f>VLOOKUP($B816,ma!$A:$B,2,0)</f>
        <v>NAM VIỆT ĐỖ H.MÔN ( K BX)</v>
      </c>
      <c r="G816" s="112" t="s">
        <v>2351</v>
      </c>
      <c r="H816" s="113" t="s">
        <v>2315</v>
      </c>
      <c r="I816" s="114"/>
      <c r="J816" s="109"/>
      <c r="K816" s="116">
        <v>1.8</v>
      </c>
      <c r="L816" s="117"/>
      <c r="M816" s="114"/>
      <c r="N816" s="118"/>
      <c r="O816" s="118">
        <v>1</v>
      </c>
      <c r="P816" s="114">
        <f>VLOOKUP($B816,ma!$A:$C,3,0)</f>
        <v>800000</v>
      </c>
      <c r="Q816" s="132">
        <v>880000</v>
      </c>
      <c r="R816" s="149">
        <v>9.9999999999999895E-2</v>
      </c>
      <c r="S816" s="119"/>
      <c r="T816" s="119"/>
      <c r="U816" s="119"/>
      <c r="V816" s="119"/>
      <c r="W816" s="119"/>
      <c r="X816" s="119"/>
      <c r="Y816" s="119"/>
      <c r="Z816" s="119"/>
      <c r="AA816" s="119"/>
    </row>
    <row r="817" spans="1:27" ht="15">
      <c r="A817" s="107">
        <f t="shared" si="117"/>
        <v>7</v>
      </c>
      <c r="B817" s="108" t="s">
        <v>852</v>
      </c>
      <c r="C817" s="109" t="s">
        <v>80</v>
      </c>
      <c r="D817" s="110">
        <v>46108</v>
      </c>
      <c r="E817" s="109" t="str">
        <f>VLOOKUP($C817,xe!$A:$B,2,0)</f>
        <v>51D-95538</v>
      </c>
      <c r="F817" s="111" t="str">
        <f>VLOOKUP($B817,ma!$A:$B,2,0)</f>
        <v>V.HẬU LÂM BD ( K BX)</v>
      </c>
      <c r="G817" s="112" t="s">
        <v>1412</v>
      </c>
      <c r="H817" s="113" t="s">
        <v>1412</v>
      </c>
      <c r="I817" s="114"/>
      <c r="J817" s="109"/>
      <c r="K817" s="116">
        <v>2</v>
      </c>
      <c r="L817" s="117"/>
      <c r="M817" s="114"/>
      <c r="N817" s="118"/>
      <c r="O817" s="118">
        <v>1</v>
      </c>
      <c r="P817" s="114">
        <f>VLOOKUP($B817,ma!$A:$C,3,0)</f>
        <v>900000</v>
      </c>
      <c r="Q817" s="132">
        <v>990000</v>
      </c>
      <c r="R817" s="149">
        <v>9.9999999999999895E-2</v>
      </c>
      <c r="S817" s="119"/>
      <c r="T817" s="119"/>
      <c r="U817" s="119"/>
      <c r="V817" s="119"/>
      <c r="W817" s="119"/>
      <c r="X817" s="119"/>
      <c r="Y817" s="119"/>
      <c r="Z817" s="119"/>
      <c r="AA817" s="119"/>
    </row>
    <row r="818" spans="1:27" ht="15">
      <c r="A818" s="107">
        <f t="shared" si="117"/>
        <v>8</v>
      </c>
      <c r="B818" s="108" t="s">
        <v>1061</v>
      </c>
      <c r="C818" s="109" t="s">
        <v>72</v>
      </c>
      <c r="D818" s="110">
        <v>46108</v>
      </c>
      <c r="E818" s="109" t="str">
        <f>VLOOKUP($C818,xe!$A:$B,2,0)</f>
        <v>47H-02023</v>
      </c>
      <c r="F818" s="111" t="str">
        <f>VLOOKUP($B818,ma!$A:$B,2,0)</f>
        <v>BHX ( TĐN)</v>
      </c>
      <c r="G818" s="112" t="s">
        <v>2352</v>
      </c>
      <c r="H818" s="113" t="s">
        <v>1912</v>
      </c>
      <c r="I818" s="114"/>
      <c r="J818" s="109"/>
      <c r="K818" s="116">
        <v>2.2000000000000002</v>
      </c>
      <c r="L818" s="117">
        <f t="shared" ref="L818:L819" si="118">K818*80000</f>
        <v>176000</v>
      </c>
      <c r="M818" s="114"/>
      <c r="N818" s="118"/>
      <c r="O818" s="118">
        <v>1</v>
      </c>
      <c r="P818" s="114">
        <f>VLOOKUP($B818,ma!$A:$C,3,0)</f>
        <v>800000</v>
      </c>
      <c r="Q818" s="132">
        <v>880000</v>
      </c>
      <c r="R818" s="149">
        <v>9.9999999999999895E-2</v>
      </c>
      <c r="S818" s="119"/>
      <c r="T818" s="119"/>
      <c r="U818" s="119"/>
      <c r="V818" s="119"/>
      <c r="W818" s="119"/>
      <c r="X818" s="119"/>
      <c r="Y818" s="119"/>
      <c r="Z818" s="119"/>
      <c r="AA818" s="119"/>
    </row>
    <row r="819" spans="1:27" ht="15">
      <c r="A819" s="107">
        <f t="shared" si="117"/>
        <v>9</v>
      </c>
      <c r="B819" s="108" t="s">
        <v>1061</v>
      </c>
      <c r="C819" s="109" t="s">
        <v>76</v>
      </c>
      <c r="D819" s="110">
        <v>46108</v>
      </c>
      <c r="E819" s="109" t="str">
        <f>VLOOKUP($C819,xe!$A:$B,2,0)</f>
        <v>51D-38021</v>
      </c>
      <c r="F819" s="111" t="str">
        <f>VLOOKUP($B819,ma!$A:$B,2,0)</f>
        <v>BHX ( TĐN)</v>
      </c>
      <c r="G819" s="112" t="s">
        <v>2353</v>
      </c>
      <c r="H819" s="113" t="s">
        <v>1912</v>
      </c>
      <c r="I819" s="114"/>
      <c r="J819" s="109"/>
      <c r="K819" s="116">
        <v>2.2000000000000002</v>
      </c>
      <c r="L819" s="117">
        <f t="shared" si="118"/>
        <v>176000</v>
      </c>
      <c r="M819" s="114"/>
      <c r="N819" s="118"/>
      <c r="O819" s="118">
        <v>1</v>
      </c>
      <c r="P819" s="114">
        <f>VLOOKUP($B819,ma!$A:$C,3,0)</f>
        <v>800000</v>
      </c>
      <c r="Q819" s="132">
        <v>880000</v>
      </c>
      <c r="R819" s="149">
        <v>9.9999999999999895E-2</v>
      </c>
      <c r="S819" s="119"/>
      <c r="T819" s="119"/>
      <c r="U819" s="119"/>
      <c r="V819" s="119"/>
      <c r="W819" s="119"/>
      <c r="X819" s="119"/>
      <c r="Y819" s="119"/>
      <c r="Z819" s="119"/>
      <c r="AA819" s="119"/>
    </row>
    <row r="820" spans="1:27" ht="15">
      <c r="A820" s="107">
        <f t="shared" si="117"/>
        <v>10</v>
      </c>
      <c r="B820" s="108" t="s">
        <v>279</v>
      </c>
      <c r="C820" s="109" t="s">
        <v>10</v>
      </c>
      <c r="D820" s="110">
        <v>46108</v>
      </c>
      <c r="E820" s="109" t="str">
        <f>VLOOKUP($C820,xe!$A:$B,2,0)</f>
        <v>50H-50999</v>
      </c>
      <c r="F820" s="111" t="str">
        <f>VLOOKUP($B820,ma!$A:$B,2,0)</f>
        <v>APIS ( KBX )</v>
      </c>
      <c r="G820" s="164" t="s">
        <v>2128</v>
      </c>
      <c r="H820" s="165" t="s">
        <v>2318</v>
      </c>
      <c r="I820" s="114"/>
      <c r="J820" s="109"/>
      <c r="K820" s="116">
        <v>2.2000000000000002</v>
      </c>
      <c r="L820" s="117">
        <v>50000</v>
      </c>
      <c r="M820" s="114"/>
      <c r="N820" s="118"/>
      <c r="O820" s="118">
        <v>1</v>
      </c>
      <c r="P820" s="114">
        <f>VLOOKUP($B820,ma!$A:$C,3,0)</f>
        <v>800000</v>
      </c>
      <c r="Q820" s="132">
        <v>880000</v>
      </c>
      <c r="R820" s="149">
        <v>9.9999999999999895E-2</v>
      </c>
      <c r="S820" s="119"/>
      <c r="T820" s="119"/>
      <c r="U820" s="119"/>
      <c r="V820" s="119"/>
      <c r="W820" s="119"/>
      <c r="X820" s="119"/>
      <c r="Y820" s="119"/>
      <c r="Z820" s="119"/>
      <c r="AA820" s="119"/>
    </row>
    <row r="821" spans="1:27" ht="15">
      <c r="A821" s="107">
        <f t="shared" si="117"/>
        <v>11</v>
      </c>
      <c r="B821" s="108" t="s">
        <v>279</v>
      </c>
      <c r="C821" s="109" t="s">
        <v>14</v>
      </c>
      <c r="D821" s="110">
        <v>46108</v>
      </c>
      <c r="E821" s="109" t="str">
        <f>VLOOKUP($C821,xe!$A:$B,2,0)</f>
        <v>50H-64470</v>
      </c>
      <c r="F821" s="111" t="str">
        <f>VLOOKUP($B821,ma!$A:$B,2,0)</f>
        <v>APIS ( KBX )</v>
      </c>
      <c r="G821" s="112" t="s">
        <v>1405</v>
      </c>
      <c r="H821" s="113" t="s">
        <v>1912</v>
      </c>
      <c r="I821" s="114"/>
      <c r="J821" s="109"/>
      <c r="K821" s="116">
        <v>2</v>
      </c>
      <c r="L821" s="117">
        <v>50000</v>
      </c>
      <c r="M821" s="114">
        <v>30000</v>
      </c>
      <c r="N821" s="118" t="s">
        <v>1423</v>
      </c>
      <c r="O821" s="118">
        <v>1</v>
      </c>
      <c r="P821" s="114">
        <f>VLOOKUP($B821,ma!$A:$C,3,0)</f>
        <v>800000</v>
      </c>
      <c r="Q821" s="132">
        <v>880000</v>
      </c>
      <c r="R821" s="149">
        <v>9.9999999999999895E-2</v>
      </c>
      <c r="S821" s="119"/>
      <c r="T821" s="119"/>
      <c r="U821" s="119"/>
      <c r="V821" s="119"/>
      <c r="W821" s="119"/>
      <c r="X821" s="119"/>
      <c r="Y821" s="119"/>
      <c r="Z821" s="119"/>
      <c r="AA821" s="119"/>
    </row>
    <row r="822" spans="1:27" ht="15">
      <c r="A822" s="107">
        <f t="shared" si="117"/>
        <v>12</v>
      </c>
      <c r="B822" s="108" t="s">
        <v>170</v>
      </c>
      <c r="C822" s="109" t="s">
        <v>82</v>
      </c>
      <c r="D822" s="110">
        <v>46108</v>
      </c>
      <c r="E822" s="133" t="str">
        <f>VLOOKUP($C822,xe!$A:$B,2,0)</f>
        <v>61H-12700</v>
      </c>
      <c r="F822" s="111" t="str">
        <f>VLOOKUP($B822,ma!$A:$B,2,0)</f>
        <v>TP2 GÒ VẤP</v>
      </c>
      <c r="G822" s="112" t="s">
        <v>2354</v>
      </c>
      <c r="H822" s="113" t="s">
        <v>1912</v>
      </c>
      <c r="I822" s="114"/>
      <c r="J822" s="166" t="s">
        <v>2355</v>
      </c>
      <c r="K822" s="116">
        <v>1.8</v>
      </c>
      <c r="L822" s="117">
        <f t="shared" ref="L822:L831" si="119">K822*50000</f>
        <v>90000</v>
      </c>
      <c r="M822" s="114"/>
      <c r="N822" s="118"/>
      <c r="O822" s="118">
        <v>1</v>
      </c>
      <c r="P822" s="114">
        <f>VLOOKUP($B822,ma!$A:$C,3,0)</f>
        <v>800000</v>
      </c>
      <c r="Q822" s="132">
        <v>880000</v>
      </c>
      <c r="R822" s="149">
        <v>9.9999999999999895E-2</v>
      </c>
      <c r="S822" s="119"/>
      <c r="T822" s="119"/>
      <c r="U822" s="119"/>
      <c r="V822" s="119"/>
      <c r="W822" s="119"/>
      <c r="X822" s="119"/>
      <c r="Y822" s="119"/>
      <c r="Z822" s="119"/>
      <c r="AA822" s="119"/>
    </row>
    <row r="823" spans="1:27" ht="15">
      <c r="A823" s="107">
        <f t="shared" si="117"/>
        <v>13</v>
      </c>
      <c r="B823" s="108" t="s">
        <v>170</v>
      </c>
      <c r="C823" s="109" t="s">
        <v>84</v>
      </c>
      <c r="D823" s="110">
        <v>46108</v>
      </c>
      <c r="E823" s="109" t="str">
        <f>VLOOKUP($C823,xe!$A:$B,2,0)</f>
        <v>85H-01932</v>
      </c>
      <c r="F823" s="111" t="str">
        <f>VLOOKUP($B823,ma!$A:$B,2,0)</f>
        <v>TP2 GÒ VẤP</v>
      </c>
      <c r="G823" s="112" t="s">
        <v>2356</v>
      </c>
      <c r="H823" s="113" t="s">
        <v>1912</v>
      </c>
      <c r="I823" s="114"/>
      <c r="J823" s="166" t="s">
        <v>2355</v>
      </c>
      <c r="K823" s="116">
        <v>1.8</v>
      </c>
      <c r="L823" s="117">
        <f t="shared" si="119"/>
        <v>90000</v>
      </c>
      <c r="M823" s="114"/>
      <c r="N823" s="118"/>
      <c r="O823" s="118">
        <v>1</v>
      </c>
      <c r="P823" s="114">
        <f>VLOOKUP($B823,ma!$A:$C,3,0)</f>
        <v>800000</v>
      </c>
      <c r="Q823" s="132">
        <v>880000</v>
      </c>
      <c r="R823" s="149">
        <v>9.9999999999999895E-2</v>
      </c>
      <c r="S823" s="119"/>
      <c r="T823" s="119"/>
      <c r="U823" s="119"/>
      <c r="V823" s="119"/>
      <c r="W823" s="119"/>
      <c r="X823" s="119"/>
      <c r="Y823" s="119"/>
      <c r="Z823" s="119"/>
      <c r="AA823" s="119"/>
    </row>
    <row r="824" spans="1:27" ht="15">
      <c r="A824" s="107">
        <f t="shared" si="117"/>
        <v>14</v>
      </c>
      <c r="B824" s="108" t="s">
        <v>170</v>
      </c>
      <c r="C824" s="109" t="s">
        <v>1408</v>
      </c>
      <c r="D824" s="110">
        <v>46108</v>
      </c>
      <c r="E824" s="109" t="str">
        <f>VLOOKUP($C824,xe!$A:$B,2,0)</f>
        <v>50H-11822</v>
      </c>
      <c r="F824" s="111" t="str">
        <f>VLOOKUP($B824,ma!$A:$B,2,0)</f>
        <v>TP2 GÒ VẤP</v>
      </c>
      <c r="G824" s="112" t="s">
        <v>2357</v>
      </c>
      <c r="H824" s="113" t="s">
        <v>2208</v>
      </c>
      <c r="I824" s="114"/>
      <c r="J824" s="166" t="s">
        <v>2355</v>
      </c>
      <c r="K824" s="116">
        <v>1.8</v>
      </c>
      <c r="L824" s="117">
        <f t="shared" si="119"/>
        <v>90000</v>
      </c>
      <c r="M824" s="114"/>
      <c r="N824" s="118"/>
      <c r="O824" s="118">
        <v>1</v>
      </c>
      <c r="P824" s="114">
        <f>VLOOKUP($B824,ma!$A:$C,3,0)</f>
        <v>800000</v>
      </c>
      <c r="Q824" s="132">
        <v>880000</v>
      </c>
      <c r="R824" s="149">
        <v>9.9999999999999895E-2</v>
      </c>
      <c r="S824" s="119"/>
      <c r="T824" s="119"/>
      <c r="U824" s="119"/>
      <c r="V824" s="119"/>
      <c r="W824" s="119"/>
      <c r="X824" s="119"/>
      <c r="Y824" s="119"/>
      <c r="Z824" s="119"/>
      <c r="AA824" s="119"/>
    </row>
    <row r="825" spans="1:27" ht="15">
      <c r="A825" s="107">
        <f t="shared" si="117"/>
        <v>15</v>
      </c>
      <c r="B825" s="108" t="s">
        <v>645</v>
      </c>
      <c r="C825" s="109" t="s">
        <v>1490</v>
      </c>
      <c r="D825" s="110">
        <v>46108</v>
      </c>
      <c r="E825" s="109" t="str">
        <f>VLOOKUP($C825,xe!$A:$B,2,0)</f>
        <v>50H-44024</v>
      </c>
      <c r="F825" s="111" t="str">
        <f>VLOOKUP($B825,ma!$A:$B,2,0)</f>
        <v>Tân Nhất Hương</v>
      </c>
      <c r="G825" s="164" t="s">
        <v>2358</v>
      </c>
      <c r="H825" s="165" t="s">
        <v>2318</v>
      </c>
      <c r="I825" s="114"/>
      <c r="J825" s="109"/>
      <c r="K825" s="116">
        <v>1.6</v>
      </c>
      <c r="L825" s="117">
        <f t="shared" si="119"/>
        <v>80000</v>
      </c>
      <c r="M825" s="114"/>
      <c r="N825" s="118"/>
      <c r="O825" s="118">
        <v>1</v>
      </c>
      <c r="P825" s="114">
        <f>VLOOKUP($B825,ma!$A:$C,3,0)</f>
        <v>800000</v>
      </c>
      <c r="Q825" s="132">
        <v>880000</v>
      </c>
      <c r="R825" s="149">
        <v>9.9999999999999895E-2</v>
      </c>
      <c r="S825" s="119"/>
      <c r="T825" s="119"/>
      <c r="U825" s="119"/>
      <c r="V825" s="119"/>
      <c r="W825" s="119"/>
      <c r="X825" s="119"/>
      <c r="Y825" s="119"/>
      <c r="Z825" s="119"/>
      <c r="AA825" s="119"/>
    </row>
    <row r="826" spans="1:27" ht="15">
      <c r="A826" s="107">
        <f t="shared" si="117"/>
        <v>16</v>
      </c>
      <c r="B826" s="108" t="s">
        <v>645</v>
      </c>
      <c r="C826" s="109" t="s">
        <v>6</v>
      </c>
      <c r="D826" s="110">
        <v>46108</v>
      </c>
      <c r="E826" s="109" t="str">
        <f>VLOOKUP($C826,xe!$A:$B,2,0)</f>
        <v>50H-69501</v>
      </c>
      <c r="F826" s="111" t="str">
        <f>VLOOKUP($B826,ma!$A:$B,2,0)</f>
        <v>Tân Nhất Hương</v>
      </c>
      <c r="G826" s="112" t="s">
        <v>2359</v>
      </c>
      <c r="H826" s="113" t="s">
        <v>1912</v>
      </c>
      <c r="I826" s="114"/>
      <c r="J826" s="109"/>
      <c r="K826" s="116">
        <v>1.6</v>
      </c>
      <c r="L826" s="117">
        <f t="shared" si="119"/>
        <v>80000</v>
      </c>
      <c r="M826" s="114">
        <v>30000</v>
      </c>
      <c r="N826" s="118" t="s">
        <v>1423</v>
      </c>
      <c r="O826" s="118">
        <v>1</v>
      </c>
      <c r="P826" s="114">
        <f>VLOOKUP($B826,ma!$A:$C,3,0)</f>
        <v>800000</v>
      </c>
      <c r="Q826" s="132">
        <v>880000</v>
      </c>
      <c r="R826" s="149">
        <v>9.9999999999999895E-2</v>
      </c>
      <c r="S826" s="119"/>
      <c r="T826" s="119"/>
      <c r="U826" s="119"/>
      <c r="V826" s="119"/>
      <c r="W826" s="119"/>
      <c r="X826" s="119"/>
      <c r="Y826" s="119"/>
      <c r="Z826" s="119"/>
      <c r="AA826" s="119"/>
    </row>
    <row r="827" spans="1:27" ht="15">
      <c r="A827" s="107">
        <f t="shared" si="117"/>
        <v>17</v>
      </c>
      <c r="B827" s="108" t="s">
        <v>1771</v>
      </c>
      <c r="C827" s="109" t="s">
        <v>1506</v>
      </c>
      <c r="D827" s="110">
        <v>46108</v>
      </c>
      <c r="E827" s="109" t="str">
        <f>VLOOKUP($C827,xe!$A:$B,2,0)</f>
        <v>50H-55443</v>
      </c>
      <c r="F827" s="111" t="str">
        <f>VLOOKUP($B827,ma!$A:$B,2,0)</f>
        <v>HỒNG NGỌC AN LẠC</v>
      </c>
      <c r="G827" s="164" t="s">
        <v>2360</v>
      </c>
      <c r="H827" s="165" t="s">
        <v>2318</v>
      </c>
      <c r="I827" s="114"/>
      <c r="J827" s="109"/>
      <c r="K827" s="116">
        <v>2.2000000000000002</v>
      </c>
      <c r="L827" s="117">
        <f t="shared" si="119"/>
        <v>110000.00000000001</v>
      </c>
      <c r="M827" s="114"/>
      <c r="N827" s="118"/>
      <c r="O827" s="118">
        <v>1</v>
      </c>
      <c r="P827" s="114">
        <f>VLOOKUP($B827,ma!$A:$C,3,0)</f>
        <v>800000</v>
      </c>
      <c r="Q827" s="132">
        <v>880000</v>
      </c>
      <c r="R827" s="149">
        <v>9.9999999999999895E-2</v>
      </c>
      <c r="S827" s="119"/>
      <c r="T827" s="119"/>
      <c r="U827" s="119"/>
      <c r="V827" s="119"/>
      <c r="W827" s="119"/>
      <c r="X827" s="119"/>
      <c r="Y827" s="119"/>
      <c r="Z827" s="119"/>
      <c r="AA827" s="119"/>
    </row>
    <row r="828" spans="1:27" ht="15">
      <c r="A828" s="107">
        <f t="shared" si="117"/>
        <v>18</v>
      </c>
      <c r="B828" s="108" t="s">
        <v>1467</v>
      </c>
      <c r="C828" s="109" t="s">
        <v>1500</v>
      </c>
      <c r="D828" s="110">
        <v>46108</v>
      </c>
      <c r="E828" s="109" t="str">
        <f>VLOOKUP($C828,xe!$A:$B,2,0)</f>
        <v>50H 87442</v>
      </c>
      <c r="F828" s="111" t="str">
        <f>VLOOKUP($B828,ma!$A:$B,2,0)</f>
        <v>LÊ GIA THỦ ĐỨC</v>
      </c>
      <c r="G828" s="164" t="s">
        <v>2361</v>
      </c>
      <c r="H828" s="165" t="s">
        <v>2318</v>
      </c>
      <c r="I828" s="114"/>
      <c r="J828" s="109"/>
      <c r="K828" s="116">
        <v>1.2</v>
      </c>
      <c r="L828" s="117">
        <f t="shared" si="119"/>
        <v>60000</v>
      </c>
      <c r="M828" s="114"/>
      <c r="N828" s="118"/>
      <c r="O828" s="118">
        <v>1</v>
      </c>
      <c r="P828" s="114">
        <f>VLOOKUP($B828,ma!$A:$C,3,0)</f>
        <v>800000</v>
      </c>
      <c r="Q828" s="132">
        <v>880000</v>
      </c>
      <c r="R828" s="149">
        <v>9.9999999999999895E-2</v>
      </c>
      <c r="S828" s="119"/>
      <c r="T828" s="119"/>
      <c r="U828" s="119"/>
      <c r="V828" s="119"/>
      <c r="W828" s="119"/>
      <c r="X828" s="119"/>
      <c r="Y828" s="119"/>
      <c r="Z828" s="119"/>
      <c r="AA828" s="119"/>
    </row>
    <row r="829" spans="1:27" ht="15">
      <c r="A829" s="107">
        <f t="shared" si="117"/>
        <v>19</v>
      </c>
      <c r="B829" s="108" t="s">
        <v>1474</v>
      </c>
      <c r="C829" s="109" t="s">
        <v>2362</v>
      </c>
      <c r="D829" s="110">
        <v>46108</v>
      </c>
      <c r="E829" s="109" t="str">
        <f>VLOOKUP($C829,xe!$A:$B,2,0)</f>
        <v>50H-66445</v>
      </c>
      <c r="F829" s="111" t="str">
        <f>VLOOKUP($B829,ma!$A:$B,2,0)</f>
        <v>NGUYỄN TRƯƠNG</v>
      </c>
      <c r="G829" s="112" t="s">
        <v>2363</v>
      </c>
      <c r="H829" s="113" t="s">
        <v>1912</v>
      </c>
      <c r="I829" s="114"/>
      <c r="J829" s="109"/>
      <c r="K829" s="116">
        <v>1.2</v>
      </c>
      <c r="L829" s="117">
        <f t="shared" si="119"/>
        <v>60000</v>
      </c>
      <c r="M829" s="114"/>
      <c r="N829" s="118"/>
      <c r="O829" s="118">
        <v>1</v>
      </c>
      <c r="P829" s="114">
        <f>VLOOKUP($B829,ma!$A:$C,3,0)</f>
        <v>800000</v>
      </c>
      <c r="Q829" s="132">
        <v>880000</v>
      </c>
      <c r="R829" s="149">
        <v>9.9999999999999895E-2</v>
      </c>
      <c r="S829" s="119"/>
      <c r="T829" s="119"/>
      <c r="U829" s="119"/>
      <c r="V829" s="119"/>
      <c r="W829" s="119"/>
      <c r="X829" s="119"/>
      <c r="Y829" s="119"/>
      <c r="Z829" s="119"/>
      <c r="AA829" s="119"/>
    </row>
    <row r="830" spans="1:27" ht="15">
      <c r="A830" s="107">
        <f t="shared" si="117"/>
        <v>20</v>
      </c>
      <c r="B830" s="108" t="s">
        <v>1474</v>
      </c>
      <c r="C830" s="109" t="s">
        <v>1651</v>
      </c>
      <c r="D830" s="110">
        <v>46108</v>
      </c>
      <c r="E830" s="109" t="str">
        <f>VLOOKUP($C830,xe!$A:$B,2,0)</f>
        <v>50H-64316</v>
      </c>
      <c r="F830" s="111" t="str">
        <f>VLOOKUP($B830,ma!$A:$B,2,0)</f>
        <v>NGUYỄN TRƯƠNG</v>
      </c>
      <c r="G830" s="112" t="s">
        <v>2364</v>
      </c>
      <c r="H830" s="113" t="s">
        <v>1912</v>
      </c>
      <c r="I830" s="114"/>
      <c r="J830" s="109"/>
      <c r="K830" s="116">
        <v>1.2</v>
      </c>
      <c r="L830" s="117">
        <f t="shared" si="119"/>
        <v>60000</v>
      </c>
      <c r="M830" s="114">
        <v>30000</v>
      </c>
      <c r="N830" s="118" t="s">
        <v>1423</v>
      </c>
      <c r="O830" s="118">
        <v>1</v>
      </c>
      <c r="P830" s="114">
        <f>VLOOKUP($B830,ma!$A:$C,3,0)</f>
        <v>800000</v>
      </c>
      <c r="Q830" s="132">
        <v>880000</v>
      </c>
      <c r="R830" s="149">
        <v>9.9999999999999895E-2</v>
      </c>
      <c r="S830" s="119"/>
      <c r="T830" s="119"/>
      <c r="U830" s="119"/>
      <c r="V830" s="119"/>
      <c r="W830" s="119"/>
      <c r="X830" s="119"/>
      <c r="Y830" s="119"/>
      <c r="Z830" s="119"/>
      <c r="AA830" s="119"/>
    </row>
    <row r="831" spans="1:27" ht="15">
      <c r="A831" s="107">
        <f t="shared" si="117"/>
        <v>21</v>
      </c>
      <c r="B831" s="108" t="s">
        <v>641</v>
      </c>
      <c r="C831" s="109" t="s">
        <v>2365</v>
      </c>
      <c r="D831" s="110">
        <v>46108</v>
      </c>
      <c r="E831" s="109" t="str">
        <f>VLOOKUP($C831,xe!$A:$B,2,0)</f>
        <v>50H-54580</v>
      </c>
      <c r="F831" s="111" t="str">
        <f>VLOOKUP($B831,ma!$A:$B,2,0)</f>
        <v>THỌ PHÁT</v>
      </c>
      <c r="G831" s="164" t="s">
        <v>2366</v>
      </c>
      <c r="H831" s="165" t="s">
        <v>2318</v>
      </c>
      <c r="I831" s="114"/>
      <c r="J831" s="109"/>
      <c r="K831" s="116">
        <v>1.6</v>
      </c>
      <c r="L831" s="117">
        <f t="shared" si="119"/>
        <v>80000</v>
      </c>
      <c r="M831" s="114"/>
      <c r="N831" s="118"/>
      <c r="O831" s="118">
        <v>1</v>
      </c>
      <c r="P831" s="114">
        <f>VLOOKUP($B831,ma!$A:$C,3,0)</f>
        <v>500000</v>
      </c>
      <c r="Q831" s="132">
        <v>550000</v>
      </c>
      <c r="R831" s="149">
        <v>9.9999999999999895E-2</v>
      </c>
      <c r="S831" s="119"/>
      <c r="T831" s="119"/>
      <c r="U831" s="119"/>
      <c r="V831" s="119"/>
      <c r="W831" s="119"/>
      <c r="X831" s="119"/>
      <c r="Y831" s="119"/>
      <c r="Z831" s="119"/>
      <c r="AA831" s="119"/>
    </row>
    <row r="832" spans="1:27" ht="15">
      <c r="A832" s="107">
        <f t="shared" si="117"/>
        <v>22</v>
      </c>
      <c r="B832" s="108" t="s">
        <v>1576</v>
      </c>
      <c r="C832" s="109" t="s">
        <v>1502</v>
      </c>
      <c r="D832" s="110">
        <v>46108</v>
      </c>
      <c r="E832" s="133" t="s">
        <v>2179</v>
      </c>
      <c r="F832" s="111" t="str">
        <f>VLOOKUP($B832,ma!$A:$B,2,0)</f>
        <v>HỒNG Á ( K BX )</v>
      </c>
      <c r="G832" s="164" t="s">
        <v>2367</v>
      </c>
      <c r="H832" s="165" t="s">
        <v>2318</v>
      </c>
      <c r="I832" s="114"/>
      <c r="J832" s="109"/>
      <c r="K832" s="116">
        <v>1</v>
      </c>
      <c r="L832" s="117">
        <v>50000</v>
      </c>
      <c r="M832" s="114"/>
      <c r="N832" s="118"/>
      <c r="O832" s="118">
        <v>1</v>
      </c>
      <c r="P832" s="114">
        <f>VLOOKUP($B832,ma!$A:$C,3,0)</f>
        <v>800000</v>
      </c>
      <c r="Q832" s="132">
        <v>880000</v>
      </c>
      <c r="R832" s="149">
        <v>9.9999999999999895E-2</v>
      </c>
      <c r="S832" s="119"/>
      <c r="T832" s="119"/>
      <c r="U832" s="119"/>
      <c r="V832" s="119"/>
      <c r="W832" s="119"/>
      <c r="X832" s="119"/>
      <c r="Y832" s="119"/>
      <c r="Z832" s="119"/>
      <c r="AA832" s="119"/>
    </row>
    <row r="833" spans="1:27" ht="15">
      <c r="A833" s="107">
        <f t="shared" si="117"/>
        <v>23</v>
      </c>
      <c r="B833" s="108" t="s">
        <v>1710</v>
      </c>
      <c r="C833" s="109" t="s">
        <v>2368</v>
      </c>
      <c r="D833" s="110">
        <v>46108</v>
      </c>
      <c r="E833" s="133" t="str">
        <f>VLOOKUP($C833,xe!$A:$B,2,0)</f>
        <v>50E-565,21</v>
      </c>
      <c r="F833" s="111" t="str">
        <f>VLOOKUP($B833,ma!$A:$B,2,0)</f>
        <v>PHONG PHÚ -BC</v>
      </c>
      <c r="G833" s="112" t="s">
        <v>2369</v>
      </c>
      <c r="H833" s="113" t="s">
        <v>1912</v>
      </c>
      <c r="I833" s="114"/>
      <c r="J833" s="109"/>
      <c r="K833" s="116">
        <v>1.4</v>
      </c>
      <c r="L833" s="117">
        <f t="shared" ref="L833:L834" si="120">K833*50000</f>
        <v>70000</v>
      </c>
      <c r="M833" s="114"/>
      <c r="N833" s="118"/>
      <c r="O833" s="118">
        <v>1</v>
      </c>
      <c r="P833" s="114">
        <f>VLOOKUP($B833,ma!$A:$C,3,0)</f>
        <v>800000</v>
      </c>
      <c r="Q833" s="132">
        <v>880000</v>
      </c>
      <c r="R833" s="149">
        <v>9.9999999999999895E-2</v>
      </c>
      <c r="S833" s="119"/>
      <c r="T833" s="119"/>
      <c r="U833" s="119"/>
      <c r="V833" s="119"/>
      <c r="W833" s="119"/>
      <c r="X833" s="119"/>
      <c r="Y833" s="119"/>
      <c r="Z833" s="119"/>
      <c r="AA833" s="119"/>
    </row>
    <row r="834" spans="1:27" ht="15">
      <c r="A834" s="107">
        <f t="shared" si="117"/>
        <v>24</v>
      </c>
      <c r="B834" s="108" t="s">
        <v>1710</v>
      </c>
      <c r="C834" s="109" t="s">
        <v>1546</v>
      </c>
      <c r="D834" s="110">
        <v>46108</v>
      </c>
      <c r="E834" s="109" t="s">
        <v>2172</v>
      </c>
      <c r="F834" s="111" t="str">
        <f>VLOOKUP($B834,ma!$A:$B,2,0)</f>
        <v>PHONG PHÚ -BC</v>
      </c>
      <c r="G834" s="164" t="s">
        <v>2370</v>
      </c>
      <c r="H834" s="165" t="s">
        <v>2318</v>
      </c>
      <c r="I834" s="114"/>
      <c r="J834" s="109"/>
      <c r="K834" s="116">
        <v>1.4</v>
      </c>
      <c r="L834" s="117">
        <f t="shared" si="120"/>
        <v>70000</v>
      </c>
      <c r="M834" s="114">
        <v>30000</v>
      </c>
      <c r="N834" s="118" t="s">
        <v>1423</v>
      </c>
      <c r="O834" s="118">
        <v>1</v>
      </c>
      <c r="P834" s="114">
        <f>VLOOKUP($B834,ma!$A:$C,3,0)</f>
        <v>800000</v>
      </c>
      <c r="Q834" s="132">
        <v>880000</v>
      </c>
      <c r="R834" s="149">
        <v>9.9999999999999895E-2</v>
      </c>
      <c r="S834" s="119"/>
      <c r="T834" s="119"/>
      <c r="U834" s="119"/>
      <c r="V834" s="119"/>
      <c r="W834" s="119"/>
      <c r="X834" s="119"/>
      <c r="Y834" s="119"/>
      <c r="Z834" s="119"/>
      <c r="AA834" s="119"/>
    </row>
    <row r="835" spans="1:27" ht="15">
      <c r="A835" s="107">
        <f t="shared" si="117"/>
        <v>25</v>
      </c>
      <c r="B835" s="108" t="s">
        <v>2371</v>
      </c>
      <c r="C835" s="109" t="s">
        <v>1655</v>
      </c>
      <c r="D835" s="110">
        <v>46108</v>
      </c>
      <c r="E835" s="109" t="str">
        <f>VLOOKUP($C835,xe!$A:$B,2,0)</f>
        <v>50H-70216</v>
      </c>
      <c r="F835" s="111" t="str">
        <f>VLOOKUP($B835,ma!$A:$B,2,0)</f>
        <v>3KS ĐỨC HÒA</v>
      </c>
      <c r="G835" s="112" t="s">
        <v>1412</v>
      </c>
      <c r="H835" s="113" t="s">
        <v>1412</v>
      </c>
      <c r="I835" s="114"/>
      <c r="J835" s="109"/>
      <c r="K835" s="116">
        <v>2.2000000000000002</v>
      </c>
      <c r="L835" s="134">
        <v>200000</v>
      </c>
      <c r="M835" s="114"/>
      <c r="N835" s="118" t="s">
        <v>1427</v>
      </c>
      <c r="O835" s="118">
        <v>1</v>
      </c>
      <c r="P835" s="114">
        <f>VLOOKUP($B835,ma!$A:$C,3,0)</f>
        <v>1200000</v>
      </c>
      <c r="Q835" s="132">
        <v>1320000</v>
      </c>
      <c r="R835" s="149">
        <v>9.9999999999999895E-2</v>
      </c>
      <c r="S835" s="119"/>
      <c r="T835" s="119"/>
      <c r="U835" s="119"/>
      <c r="V835" s="119"/>
      <c r="W835" s="119"/>
      <c r="X835" s="119"/>
      <c r="Y835" s="119"/>
      <c r="Z835" s="119"/>
      <c r="AA835" s="119"/>
    </row>
    <row r="836" spans="1:27" ht="15">
      <c r="A836" s="107">
        <f t="shared" si="117"/>
        <v>26</v>
      </c>
      <c r="B836" s="108" t="s">
        <v>2372</v>
      </c>
      <c r="C836" s="109" t="s">
        <v>19</v>
      </c>
      <c r="D836" s="110">
        <v>46108</v>
      </c>
      <c r="E836" s="109" t="str">
        <f>VLOOKUP($C836,xe!$A:$B,2,0)</f>
        <v>51H -88294</v>
      </c>
      <c r="F836" s="111" t="str">
        <f>VLOOKUP($B836,ma!$A:$B,2,0)</f>
        <v>3KS CẦN GIUỘC ( K BX )</v>
      </c>
      <c r="G836" s="112" t="s">
        <v>1412</v>
      </c>
      <c r="H836" s="113" t="s">
        <v>1412</v>
      </c>
      <c r="I836" s="114"/>
      <c r="J836" s="109"/>
      <c r="K836" s="116">
        <v>1</v>
      </c>
      <c r="L836" s="117">
        <v>50000</v>
      </c>
      <c r="M836" s="114"/>
      <c r="N836" s="118"/>
      <c r="O836" s="118">
        <v>1</v>
      </c>
      <c r="P836" s="114">
        <f>VLOOKUP($B836,ma!$A:$C,3,0)</f>
        <v>900000</v>
      </c>
      <c r="Q836" s="132">
        <v>990000</v>
      </c>
      <c r="R836" s="149">
        <v>9.9999999999999895E-2</v>
      </c>
      <c r="S836" s="119"/>
      <c r="T836" s="119"/>
      <c r="U836" s="119"/>
      <c r="V836" s="119"/>
      <c r="W836" s="119"/>
      <c r="X836" s="119"/>
      <c r="Y836" s="119"/>
      <c r="Z836" s="119"/>
      <c r="AA836" s="119"/>
    </row>
    <row r="837" spans="1:27" ht="15">
      <c r="A837" s="107">
        <f t="shared" si="117"/>
        <v>27</v>
      </c>
      <c r="B837" s="108" t="s">
        <v>1957</v>
      </c>
      <c r="C837" s="109" t="s">
        <v>1493</v>
      </c>
      <c r="D837" s="110">
        <v>46108</v>
      </c>
      <c r="E837" s="109" t="s">
        <v>13</v>
      </c>
      <c r="F837" s="111" t="str">
        <f>VLOOKUP($B837,ma!$A:$B,2,0)</f>
        <v>SONG HỒNG TÂN ( KBX )</v>
      </c>
      <c r="G837" s="164" t="s">
        <v>2373</v>
      </c>
      <c r="H837" s="165" t="s">
        <v>2318</v>
      </c>
      <c r="I837" s="114"/>
      <c r="J837" s="109"/>
      <c r="K837" s="116">
        <v>1.8</v>
      </c>
      <c r="L837" s="117">
        <v>50000</v>
      </c>
      <c r="M837" s="114"/>
      <c r="N837" s="118"/>
      <c r="O837" s="118">
        <v>1</v>
      </c>
      <c r="P837" s="114">
        <f>VLOOKUP($B837,ma!$A:$C,3,0)</f>
        <v>900000</v>
      </c>
      <c r="Q837" s="132">
        <v>990000</v>
      </c>
      <c r="R837" s="149">
        <v>9.9999999999999895E-2</v>
      </c>
      <c r="S837" s="119"/>
      <c r="T837" s="119"/>
      <c r="U837" s="119"/>
      <c r="V837" s="119"/>
      <c r="W837" s="119"/>
      <c r="X837" s="119"/>
      <c r="Y837" s="119"/>
      <c r="Z837" s="119"/>
      <c r="AA837" s="119"/>
    </row>
    <row r="838" spans="1:27" ht="15">
      <c r="A838" s="107">
        <f t="shared" si="117"/>
        <v>28</v>
      </c>
      <c r="B838" s="108" t="s">
        <v>1957</v>
      </c>
      <c r="C838" s="109" t="s">
        <v>1655</v>
      </c>
      <c r="D838" s="110">
        <v>46108</v>
      </c>
      <c r="E838" s="109" t="str">
        <f>VLOOKUP($C838,xe!$A:$B,2,0)</f>
        <v>50H-70216</v>
      </c>
      <c r="F838" s="111" t="str">
        <f>VLOOKUP($B838,ma!$A:$B,2,0)</f>
        <v>SONG HỒNG TÂN ( KBX )</v>
      </c>
      <c r="G838" s="164" t="s">
        <v>2374</v>
      </c>
      <c r="H838" s="165" t="s">
        <v>2318</v>
      </c>
      <c r="I838" s="114"/>
      <c r="J838" s="109"/>
      <c r="K838" s="116">
        <v>1.8</v>
      </c>
      <c r="L838" s="117">
        <v>50000</v>
      </c>
      <c r="M838" s="114"/>
      <c r="N838" s="118"/>
      <c r="O838" s="118">
        <v>1</v>
      </c>
      <c r="P838" s="114">
        <f>VLOOKUP($B838,ma!$A:$C,3,0)</f>
        <v>900000</v>
      </c>
      <c r="Q838" s="132">
        <v>990000</v>
      </c>
      <c r="R838" s="149">
        <v>9.9999999999999895E-2</v>
      </c>
      <c r="S838" s="119"/>
      <c r="T838" s="119"/>
      <c r="U838" s="119"/>
      <c r="V838" s="119"/>
      <c r="W838" s="119"/>
      <c r="X838" s="119"/>
      <c r="Y838" s="119"/>
      <c r="Z838" s="119"/>
      <c r="AA838" s="119"/>
    </row>
    <row r="839" spans="1:27" ht="15">
      <c r="A839" s="107">
        <f t="shared" si="117"/>
        <v>29</v>
      </c>
      <c r="B839" s="108" t="s">
        <v>1957</v>
      </c>
      <c r="C839" s="109" t="s">
        <v>1662</v>
      </c>
      <c r="D839" s="110">
        <v>46108</v>
      </c>
      <c r="E839" s="109" t="str">
        <f>VLOOKUP($C839,xe!$A:$B,2,0)</f>
        <v>50H-74619</v>
      </c>
      <c r="F839" s="111" t="str">
        <f>VLOOKUP($B839,ma!$A:$B,2,0)</f>
        <v>SONG HỒNG TÂN ( KBX )</v>
      </c>
      <c r="G839" s="112" t="s">
        <v>2375</v>
      </c>
      <c r="H839" s="113" t="s">
        <v>2315</v>
      </c>
      <c r="I839" s="114"/>
      <c r="J839" s="109"/>
      <c r="K839" s="116">
        <v>1.8</v>
      </c>
      <c r="L839" s="117">
        <v>50000</v>
      </c>
      <c r="M839" s="114"/>
      <c r="N839" s="118"/>
      <c r="O839" s="118">
        <v>1</v>
      </c>
      <c r="P839" s="114">
        <f>VLOOKUP($B839,ma!$A:$C,3,0)</f>
        <v>900000</v>
      </c>
      <c r="Q839" s="132">
        <v>990000</v>
      </c>
      <c r="R839" s="149">
        <v>9.9999999999999895E-2</v>
      </c>
      <c r="S839" s="119"/>
      <c r="T839" s="119"/>
      <c r="U839" s="119"/>
      <c r="V839" s="119"/>
      <c r="W839" s="119"/>
      <c r="X839" s="119"/>
      <c r="Y839" s="119"/>
      <c r="Z839" s="119"/>
      <c r="AA839" s="119"/>
    </row>
    <row r="840" spans="1:27" ht="15">
      <c r="A840" s="107">
        <f t="shared" si="117"/>
        <v>30</v>
      </c>
      <c r="B840" s="108" t="s">
        <v>2376</v>
      </c>
      <c r="C840" s="109" t="s">
        <v>6</v>
      </c>
      <c r="D840" s="110">
        <v>46108</v>
      </c>
      <c r="E840" s="109" t="str">
        <f>VLOOKUP($C840,xe!$A:$B,2,0)</f>
        <v>50H-69501</v>
      </c>
      <c r="F840" s="111" t="str">
        <f>VLOOKUP($B840,ma!$A:$B,2,0)</f>
        <v>DARY NHÀ BÈ</v>
      </c>
      <c r="G840" s="164" t="s">
        <v>2377</v>
      </c>
      <c r="H840" s="165" t="s">
        <v>2318</v>
      </c>
      <c r="I840" s="114"/>
      <c r="J840" s="109"/>
      <c r="K840" s="116">
        <v>2.2000000000000002</v>
      </c>
      <c r="L840" s="117">
        <f>K840*50000</f>
        <v>110000.00000000001</v>
      </c>
      <c r="M840" s="114"/>
      <c r="N840" s="118"/>
      <c r="O840" s="118">
        <v>1</v>
      </c>
      <c r="P840" s="114">
        <f>VLOOKUP($B840,ma!$A:$C,3,0)</f>
        <v>400000</v>
      </c>
      <c r="Q840" s="132">
        <v>440000</v>
      </c>
      <c r="R840" s="149">
        <v>9.9999999999999895E-2</v>
      </c>
      <c r="S840" s="119"/>
      <c r="T840" s="119"/>
      <c r="U840" s="119"/>
      <c r="V840" s="119"/>
      <c r="W840" s="119"/>
      <c r="X840" s="119"/>
      <c r="Y840" s="119"/>
      <c r="Z840" s="119"/>
      <c r="AA840" s="119"/>
    </row>
    <row r="841" spans="1:27" ht="15">
      <c r="A841" s="107">
        <f t="shared" si="117"/>
        <v>31</v>
      </c>
      <c r="B841" s="108" t="s">
        <v>158</v>
      </c>
      <c r="C841" s="109" t="s">
        <v>1577</v>
      </c>
      <c r="D841" s="110">
        <v>46108</v>
      </c>
      <c r="E841" s="133" t="s">
        <v>2179</v>
      </c>
      <c r="F841" s="111" t="str">
        <f>VLOOKUP($B841,ma!$A:$B,2,0)</f>
        <v>QUẬN 9</v>
      </c>
      <c r="G841" s="164" t="s">
        <v>2378</v>
      </c>
      <c r="H841" s="165" t="s">
        <v>2318</v>
      </c>
      <c r="I841" s="114"/>
      <c r="J841" s="109"/>
      <c r="K841" s="116">
        <v>2</v>
      </c>
      <c r="L841" s="117">
        <v>50000</v>
      </c>
      <c r="M841" s="114"/>
      <c r="N841" s="118"/>
      <c r="O841" s="118">
        <v>1</v>
      </c>
      <c r="P841" s="114">
        <f>VLOOKUP($B841,ma!$A:$C,3,0)</f>
        <v>800000</v>
      </c>
      <c r="Q841" s="132">
        <v>880000</v>
      </c>
      <c r="R841" s="149">
        <v>9.9999999999999895E-2</v>
      </c>
      <c r="S841" s="119"/>
      <c r="T841" s="119"/>
      <c r="U841" s="119"/>
      <c r="V841" s="119"/>
      <c r="W841" s="119"/>
      <c r="X841" s="119"/>
      <c r="Y841" s="119"/>
      <c r="Z841" s="119"/>
      <c r="AA841" s="119"/>
    </row>
    <row r="842" spans="1:27" ht="15">
      <c r="A842" s="107">
        <f t="shared" si="117"/>
        <v>32</v>
      </c>
      <c r="B842" s="108" t="s">
        <v>1128</v>
      </c>
      <c r="C842" s="109" t="s">
        <v>27</v>
      </c>
      <c r="D842" s="110">
        <v>46108</v>
      </c>
      <c r="E842" s="109" t="str">
        <f>VLOOKUP($C842,xe!$A:$B,2,0)</f>
        <v>50H-55443</v>
      </c>
      <c r="F842" s="111" t="str">
        <f>VLOOKUP($B842,ma!$A:$B,2,0)</f>
        <v>SATRA SÀI GÒN</v>
      </c>
      <c r="G842" s="164" t="s">
        <v>2379</v>
      </c>
      <c r="H842" s="165" t="s">
        <v>2318</v>
      </c>
      <c r="I842" s="114"/>
      <c r="J842" s="109"/>
      <c r="K842" s="116">
        <v>1</v>
      </c>
      <c r="L842" s="117">
        <f t="shared" ref="L842:L850" si="121">K842*50000</f>
        <v>50000</v>
      </c>
      <c r="M842" s="114">
        <v>130000</v>
      </c>
      <c r="N842" s="118" t="s">
        <v>2380</v>
      </c>
      <c r="O842" s="118">
        <v>1</v>
      </c>
      <c r="P842" s="114">
        <f>VLOOKUP($B842,ma!$A:$C,3,0)</f>
        <v>800000</v>
      </c>
      <c r="Q842" s="132">
        <v>880000</v>
      </c>
      <c r="R842" s="149">
        <v>9.9999999999999895E-2</v>
      </c>
      <c r="S842" s="119"/>
      <c r="T842" s="119"/>
      <c r="U842" s="119"/>
      <c r="V842" s="119"/>
      <c r="W842" s="119"/>
      <c r="X842" s="119"/>
      <c r="Y842" s="119"/>
      <c r="Z842" s="119"/>
      <c r="AA842" s="119"/>
    </row>
    <row r="843" spans="1:27" ht="15">
      <c r="A843" s="107">
        <f t="shared" si="117"/>
        <v>33</v>
      </c>
      <c r="B843" s="108" t="s">
        <v>1105</v>
      </c>
      <c r="C843" s="109" t="s">
        <v>1651</v>
      </c>
      <c r="D843" s="110">
        <v>46108</v>
      </c>
      <c r="E843" s="109" t="str">
        <f>VLOOKUP($C843,xe!$A:$B,2,0)</f>
        <v>50H-64316</v>
      </c>
      <c r="F843" s="111" t="str">
        <f>VLOOKUP($B843,ma!$A:$B,2,0)</f>
        <v>LOTTEMART-Q7</v>
      </c>
      <c r="G843" s="112" t="s">
        <v>2381</v>
      </c>
      <c r="H843" s="113" t="s">
        <v>1912</v>
      </c>
      <c r="I843" s="114"/>
      <c r="J843" s="115" t="s">
        <v>140</v>
      </c>
      <c r="K843" s="116">
        <v>1.8</v>
      </c>
      <c r="L843" s="117">
        <f t="shared" si="121"/>
        <v>90000</v>
      </c>
      <c r="M843" s="114">
        <v>30000</v>
      </c>
      <c r="N843" s="118" t="s">
        <v>1423</v>
      </c>
      <c r="O843" s="118">
        <v>1</v>
      </c>
      <c r="P843" s="114">
        <f>VLOOKUP($B843,ma!$A:$C,3,0)</f>
        <v>800000</v>
      </c>
      <c r="Q843" s="132">
        <v>880000</v>
      </c>
      <c r="R843" s="149">
        <v>9.9999999999999895E-2</v>
      </c>
      <c r="S843" s="119"/>
      <c r="T843" s="119"/>
      <c r="U843" s="119"/>
      <c r="V843" s="119"/>
      <c r="W843" s="119"/>
      <c r="X843" s="119"/>
      <c r="Y843" s="119"/>
      <c r="Z843" s="119"/>
      <c r="AA843" s="119"/>
    </row>
    <row r="844" spans="1:27" ht="15">
      <c r="A844" s="107">
        <f t="shared" si="117"/>
        <v>34</v>
      </c>
      <c r="B844" s="108" t="s">
        <v>1105</v>
      </c>
      <c r="C844" s="109" t="s">
        <v>2362</v>
      </c>
      <c r="D844" s="110">
        <v>46108</v>
      </c>
      <c r="E844" s="109" t="str">
        <f>VLOOKUP($C844,xe!$A:$B,2,0)</f>
        <v>50H-66445</v>
      </c>
      <c r="F844" s="111" t="str">
        <f>VLOOKUP($B844,ma!$A:$B,2,0)</f>
        <v>LOTTEMART-Q7</v>
      </c>
      <c r="G844" s="112" t="s">
        <v>2382</v>
      </c>
      <c r="H844" s="113" t="s">
        <v>1912</v>
      </c>
      <c r="I844" s="114"/>
      <c r="J844" s="115" t="s">
        <v>140</v>
      </c>
      <c r="K844" s="116">
        <v>1.8</v>
      </c>
      <c r="L844" s="117">
        <f t="shared" si="121"/>
        <v>90000</v>
      </c>
      <c r="M844" s="114">
        <v>30000</v>
      </c>
      <c r="N844" s="118" t="s">
        <v>1423</v>
      </c>
      <c r="O844" s="118">
        <v>1</v>
      </c>
      <c r="P844" s="114">
        <f>VLOOKUP($B844,ma!$A:$C,3,0)</f>
        <v>800000</v>
      </c>
      <c r="Q844" s="132">
        <v>880000</v>
      </c>
      <c r="R844" s="149">
        <v>9.9999999999999895E-2</v>
      </c>
      <c r="S844" s="119"/>
      <c r="T844" s="119"/>
      <c r="U844" s="119"/>
      <c r="V844" s="119"/>
      <c r="W844" s="119"/>
      <c r="X844" s="119"/>
      <c r="Y844" s="119"/>
      <c r="Z844" s="119"/>
      <c r="AA844" s="119"/>
    </row>
    <row r="845" spans="1:27" ht="15">
      <c r="A845" s="107">
        <f t="shared" si="117"/>
        <v>35</v>
      </c>
      <c r="B845" s="108" t="s">
        <v>1105</v>
      </c>
      <c r="C845" s="109" t="s">
        <v>10</v>
      </c>
      <c r="D845" s="110">
        <v>46108</v>
      </c>
      <c r="E845" s="109" t="str">
        <f>VLOOKUP($C845,xe!$A:$B,2,0)</f>
        <v>50H-50999</v>
      </c>
      <c r="F845" s="111" t="str">
        <f>VLOOKUP($B845,ma!$A:$B,2,0)</f>
        <v>LOTTEMART-Q7</v>
      </c>
      <c r="G845" s="112" t="s">
        <v>2383</v>
      </c>
      <c r="H845" s="113" t="s">
        <v>1912</v>
      </c>
      <c r="I845" s="114"/>
      <c r="J845" s="115" t="s">
        <v>140</v>
      </c>
      <c r="K845" s="116">
        <v>1.8</v>
      </c>
      <c r="L845" s="117">
        <f t="shared" si="121"/>
        <v>90000</v>
      </c>
      <c r="M845" s="114"/>
      <c r="N845" s="118"/>
      <c r="O845" s="118">
        <v>1</v>
      </c>
      <c r="P845" s="114">
        <f>VLOOKUP($B845,ma!$A:$C,3,0)</f>
        <v>800000</v>
      </c>
      <c r="Q845" s="132">
        <v>880000</v>
      </c>
      <c r="R845" s="149">
        <v>9.9999999999999895E-2</v>
      </c>
      <c r="S845" s="119"/>
      <c r="T845" s="119"/>
      <c r="U845" s="119"/>
      <c r="V845" s="119"/>
      <c r="W845" s="119"/>
      <c r="X845" s="119"/>
      <c r="Y845" s="119"/>
      <c r="Z845" s="119"/>
      <c r="AA845" s="119"/>
    </row>
    <row r="846" spans="1:27" ht="15">
      <c r="A846" s="107">
        <f t="shared" si="117"/>
        <v>36</v>
      </c>
      <c r="B846" s="108" t="s">
        <v>2384</v>
      </c>
      <c r="C846" s="109" t="s">
        <v>19</v>
      </c>
      <c r="D846" s="110">
        <v>46108</v>
      </c>
      <c r="E846" s="109" t="str">
        <f>VLOOKUP($C846,xe!$A:$B,2,0)</f>
        <v>51H -88294</v>
      </c>
      <c r="F846" s="111" t="str">
        <f>VLOOKUP($B846,ma!$A:$B,2,0)</f>
        <v>BC THẢO ĐIỀN</v>
      </c>
      <c r="G846" s="112" t="s">
        <v>2385</v>
      </c>
      <c r="H846" s="113" t="s">
        <v>1912</v>
      </c>
      <c r="I846" s="114"/>
      <c r="J846" s="109"/>
      <c r="K846" s="116">
        <v>2</v>
      </c>
      <c r="L846" s="117">
        <f t="shared" si="121"/>
        <v>100000</v>
      </c>
      <c r="M846" s="114">
        <v>30000</v>
      </c>
      <c r="N846" s="118" t="s">
        <v>1423</v>
      </c>
      <c r="O846" s="118">
        <v>1</v>
      </c>
      <c r="P846" s="114">
        <f>VLOOKUP($B846,ma!$A:$C,3,0)</f>
        <v>800000</v>
      </c>
      <c r="Q846" s="132">
        <v>880000</v>
      </c>
      <c r="R846" s="149">
        <v>9.9999999999999895E-2</v>
      </c>
      <c r="S846" s="119"/>
      <c r="T846" s="119"/>
      <c r="U846" s="119"/>
      <c r="V846" s="119"/>
      <c r="W846" s="119"/>
      <c r="X846" s="119"/>
      <c r="Y846" s="119"/>
      <c r="Z846" s="119"/>
      <c r="AA846" s="119"/>
    </row>
    <row r="847" spans="1:27" ht="15">
      <c r="A847" s="107">
        <f t="shared" si="117"/>
        <v>37</v>
      </c>
      <c r="B847" s="108" t="s">
        <v>909</v>
      </c>
      <c r="C847" s="109" t="s">
        <v>80</v>
      </c>
      <c r="D847" s="110">
        <v>46108</v>
      </c>
      <c r="E847" s="109" t="str">
        <f>VLOOKUP($C847,xe!$A:$B,2,0)</f>
        <v>51D-95538</v>
      </c>
      <c r="F847" s="111" t="str">
        <f>VLOOKUP($B847,ma!$A:$B,2,0)</f>
        <v>M. HIỆP PHÚ</v>
      </c>
      <c r="G847" s="112" t="s">
        <v>2386</v>
      </c>
      <c r="H847" s="113" t="s">
        <v>1912</v>
      </c>
      <c r="I847" s="114"/>
      <c r="J847" s="109"/>
      <c r="K847" s="116">
        <v>1.8</v>
      </c>
      <c r="L847" s="117">
        <f t="shared" si="121"/>
        <v>90000</v>
      </c>
      <c r="M847" s="114"/>
      <c r="N847" s="118"/>
      <c r="O847" s="118">
        <v>1</v>
      </c>
      <c r="P847" s="114">
        <f>VLOOKUP($B847,ma!$A:$C,3,0)</f>
        <v>800000</v>
      </c>
      <c r="Q847" s="132">
        <v>880000</v>
      </c>
      <c r="R847" s="149">
        <v>9.9999999999999895E-2</v>
      </c>
      <c r="S847" s="119"/>
      <c r="T847" s="119"/>
      <c r="U847" s="119"/>
      <c r="V847" s="119"/>
      <c r="W847" s="119"/>
      <c r="X847" s="119"/>
      <c r="Y847" s="119"/>
      <c r="Z847" s="119"/>
      <c r="AA847" s="119"/>
    </row>
    <row r="848" spans="1:27" ht="15">
      <c r="A848" s="107">
        <f t="shared" si="117"/>
        <v>38</v>
      </c>
      <c r="B848" s="108" t="s">
        <v>527</v>
      </c>
      <c r="C848" s="109" t="s">
        <v>74</v>
      </c>
      <c r="D848" s="110">
        <v>46108</v>
      </c>
      <c r="E848" s="109" t="str">
        <f>VLOOKUP($C848,xe!$A:$B,2,0)</f>
        <v>50H-44024</v>
      </c>
      <c r="F848" s="111" t="str">
        <f>VLOOKUP($B848,ma!$A:$B,2,0)</f>
        <v>POYUN TÂN UYÊN</v>
      </c>
      <c r="G848" s="112" t="s">
        <v>1405</v>
      </c>
      <c r="H848" s="113" t="s">
        <v>1912</v>
      </c>
      <c r="I848" s="114"/>
      <c r="J848" s="109"/>
      <c r="K848" s="116">
        <v>1.8</v>
      </c>
      <c r="L848" s="117">
        <f t="shared" si="121"/>
        <v>90000</v>
      </c>
      <c r="M848" s="114"/>
      <c r="N848" s="118"/>
      <c r="O848" s="118">
        <v>1</v>
      </c>
      <c r="P848" s="114">
        <f>VLOOKUP($B848,ma!$A:$C,3,0)</f>
        <v>1200000</v>
      </c>
      <c r="Q848" s="132">
        <v>1300000</v>
      </c>
      <c r="R848" s="149">
        <v>9.9999999999999895E-2</v>
      </c>
      <c r="S848" s="119"/>
      <c r="T848" s="119"/>
      <c r="U848" s="119"/>
      <c r="V848" s="119"/>
      <c r="W848" s="119"/>
      <c r="X848" s="119"/>
      <c r="Y848" s="119"/>
      <c r="Z848" s="119"/>
      <c r="AA848" s="119"/>
    </row>
    <row r="849" spans="1:27" ht="15">
      <c r="A849" s="107">
        <f t="shared" si="117"/>
        <v>39</v>
      </c>
      <c r="B849" s="108" t="s">
        <v>527</v>
      </c>
      <c r="C849" s="109" t="s">
        <v>1500</v>
      </c>
      <c r="D849" s="110">
        <v>46108</v>
      </c>
      <c r="E849" s="109" t="str">
        <f>VLOOKUP($C849,xe!$A:$B,2,0)</f>
        <v>50H 87442</v>
      </c>
      <c r="F849" s="111" t="str">
        <f>VLOOKUP($B849,ma!$A:$B,2,0)</f>
        <v>POYUN TÂN UYÊN</v>
      </c>
      <c r="G849" s="112" t="s">
        <v>1405</v>
      </c>
      <c r="H849" s="113" t="s">
        <v>1912</v>
      </c>
      <c r="I849" s="114"/>
      <c r="J849" s="109"/>
      <c r="K849" s="116">
        <v>1.8</v>
      </c>
      <c r="L849" s="117">
        <f t="shared" si="121"/>
        <v>90000</v>
      </c>
      <c r="M849" s="114"/>
      <c r="N849" s="118"/>
      <c r="O849" s="118">
        <v>1</v>
      </c>
      <c r="P849" s="114">
        <f>VLOOKUP($B849,ma!$A:$C,3,0)</f>
        <v>1200000</v>
      </c>
      <c r="Q849" s="132">
        <v>1300000</v>
      </c>
      <c r="R849" s="149">
        <v>9.9999999999999895E-2</v>
      </c>
      <c r="S849" s="119"/>
      <c r="T849" s="119"/>
      <c r="U849" s="119"/>
      <c r="V849" s="119"/>
      <c r="W849" s="119"/>
      <c r="X849" s="119"/>
      <c r="Y849" s="119"/>
      <c r="Z849" s="119"/>
      <c r="AA849" s="119"/>
    </row>
    <row r="850" spans="1:27" ht="15">
      <c r="A850" s="107">
        <f t="shared" si="117"/>
        <v>40</v>
      </c>
      <c r="B850" s="108" t="s">
        <v>527</v>
      </c>
      <c r="C850" s="109" t="s">
        <v>1546</v>
      </c>
      <c r="D850" s="110">
        <v>46108</v>
      </c>
      <c r="E850" s="109" t="s">
        <v>2172</v>
      </c>
      <c r="F850" s="111" t="str">
        <f>VLOOKUP($B850,ma!$A:$B,2,0)</f>
        <v>POYUN TÂN UYÊN</v>
      </c>
      <c r="G850" s="112" t="s">
        <v>1405</v>
      </c>
      <c r="H850" s="113" t="s">
        <v>1912</v>
      </c>
      <c r="I850" s="114"/>
      <c r="J850" s="109"/>
      <c r="K850" s="116">
        <v>1.8</v>
      </c>
      <c r="L850" s="117">
        <f t="shared" si="121"/>
        <v>90000</v>
      </c>
      <c r="M850" s="114"/>
      <c r="N850" s="118"/>
      <c r="O850" s="118">
        <v>1</v>
      </c>
      <c r="P850" s="114">
        <f>VLOOKUP($B850,ma!$A:$C,3,0)</f>
        <v>1200000</v>
      </c>
      <c r="Q850" s="132">
        <v>1300000</v>
      </c>
      <c r="R850" s="149">
        <v>9.9999999999999895E-2</v>
      </c>
      <c r="S850" s="119"/>
      <c r="T850" s="119"/>
      <c r="U850" s="119"/>
      <c r="V850" s="119"/>
      <c r="W850" s="119"/>
      <c r="X850" s="119"/>
      <c r="Y850" s="119"/>
      <c r="Z850" s="119"/>
      <c r="AA850" s="119"/>
    </row>
    <row r="851" spans="1:27" ht="15">
      <c r="A851" s="107">
        <f t="shared" si="117"/>
        <v>41</v>
      </c>
      <c r="B851" s="108" t="s">
        <v>2167</v>
      </c>
      <c r="C851" s="109" t="s">
        <v>14</v>
      </c>
      <c r="D851" s="110">
        <v>46108</v>
      </c>
      <c r="E851" s="109" t="str">
        <f>VLOOKUP($C851,xe!$A:$B,2,0)</f>
        <v>50H-64470</v>
      </c>
      <c r="F851" s="111" t="str">
        <f>VLOOKUP($B851,ma!$A:$B,2,0)</f>
        <v>PHẠM PHAN MES CỦ CHI ( K BX )</v>
      </c>
      <c r="G851" s="112" t="s">
        <v>2387</v>
      </c>
      <c r="H851" s="113" t="s">
        <v>1912</v>
      </c>
      <c r="I851" s="114">
        <v>10000</v>
      </c>
      <c r="J851" s="109"/>
      <c r="K851" s="116">
        <v>2</v>
      </c>
      <c r="L851" s="134">
        <v>160000</v>
      </c>
      <c r="M851" s="114"/>
      <c r="N851" s="118"/>
      <c r="O851" s="118">
        <v>1</v>
      </c>
      <c r="P851" s="114">
        <f>VLOOKUP($B851,ma!$A:$C,3,0)</f>
        <v>900000</v>
      </c>
      <c r="Q851" s="132">
        <v>990000</v>
      </c>
      <c r="R851" s="149">
        <v>9.9999999999999895E-2</v>
      </c>
      <c r="S851" s="119"/>
      <c r="T851" s="119"/>
      <c r="U851" s="119"/>
      <c r="V851" s="119"/>
      <c r="W851" s="119"/>
      <c r="X851" s="119"/>
      <c r="Y851" s="119"/>
      <c r="Z851" s="119"/>
      <c r="AA851" s="119"/>
    </row>
    <row r="852" spans="1:27" ht="15">
      <c r="A852" s="107">
        <f t="shared" si="117"/>
        <v>42</v>
      </c>
      <c r="B852" s="108" t="s">
        <v>866</v>
      </c>
      <c r="C852" s="109" t="s">
        <v>1662</v>
      </c>
      <c r="D852" s="110">
        <v>46108</v>
      </c>
      <c r="E852" s="109" t="str">
        <f>VLOOKUP($C852,xe!$A:$B,2,0)</f>
        <v>50H-74619</v>
      </c>
      <c r="F852" s="111" t="str">
        <f>VLOOKUP($B852,ma!$A:$B,2,0)</f>
        <v>XUÂN VÂN ( K BX )</v>
      </c>
      <c r="G852" s="112" t="s">
        <v>2388</v>
      </c>
      <c r="H852" s="113" t="s">
        <v>2315</v>
      </c>
      <c r="I852" s="114"/>
      <c r="J852" s="109"/>
      <c r="K852" s="116">
        <v>1.8</v>
      </c>
      <c r="L852" s="117">
        <v>50000</v>
      </c>
      <c r="M852" s="114">
        <v>30000</v>
      </c>
      <c r="N852" s="118" t="s">
        <v>1423</v>
      </c>
      <c r="O852" s="118">
        <v>1</v>
      </c>
      <c r="P852" s="114">
        <f>VLOOKUP($B852,ma!$A:$C,3,0)</f>
        <v>800000</v>
      </c>
      <c r="Q852" s="132">
        <v>880000</v>
      </c>
      <c r="R852" s="149">
        <v>9.9999999999999895E-2</v>
      </c>
      <c r="S852" s="119"/>
      <c r="T852" s="119"/>
      <c r="U852" s="119"/>
      <c r="V852" s="119"/>
      <c r="W852" s="119"/>
      <c r="X852" s="119"/>
      <c r="Y852" s="119"/>
      <c r="Z852" s="119"/>
      <c r="AA852" s="119"/>
    </row>
    <row r="853" spans="1:27" ht="15">
      <c r="A853" s="137">
        <v>1</v>
      </c>
      <c r="B853" s="138" t="s">
        <v>1011</v>
      </c>
      <c r="C853" s="139" t="s">
        <v>66</v>
      </c>
      <c r="D853" s="140">
        <v>46109</v>
      </c>
      <c r="E853" s="139" t="str">
        <f>VLOOKUP($C853,xe!$A:$B,2,0)</f>
        <v>50H-92136</v>
      </c>
      <c r="F853" s="141" t="str">
        <f>VLOOKUP($B853,ma!$A:$B,2,0)</f>
        <v>BC TRƯỜNG CHINH</v>
      </c>
      <c r="G853" s="142" t="s">
        <v>2389</v>
      </c>
      <c r="H853" s="126" t="s">
        <v>2315</v>
      </c>
      <c r="I853" s="132"/>
      <c r="J853" s="147" t="s">
        <v>1457</v>
      </c>
      <c r="K853" s="129">
        <v>1</v>
      </c>
      <c r="L853" s="143">
        <f>K853*50000</f>
        <v>50000</v>
      </c>
      <c r="M853" s="132"/>
      <c r="N853" s="144"/>
      <c r="O853" s="144">
        <v>1</v>
      </c>
      <c r="P853" s="132">
        <f>VLOOKUP($B853,ma!$A:$C,3,0)</f>
        <v>800000</v>
      </c>
      <c r="Q853" s="132">
        <v>880000</v>
      </c>
      <c r="R853" s="149">
        <v>9.9999999999999895E-2</v>
      </c>
      <c r="S853" s="156"/>
      <c r="T853" s="156"/>
      <c r="U853" s="156"/>
      <c r="V853" s="156"/>
      <c r="W853" s="156"/>
      <c r="X853" s="156"/>
      <c r="Y853" s="156"/>
      <c r="Z853" s="156"/>
      <c r="AA853" s="156"/>
    </row>
    <row r="854" spans="1:27" ht="15">
      <c r="A854" s="107">
        <f t="shared" ref="A854:A870" si="122">A853+1</f>
        <v>2</v>
      </c>
      <c r="B854" s="108" t="s">
        <v>453</v>
      </c>
      <c r="C854" s="109" t="s">
        <v>82</v>
      </c>
      <c r="D854" s="110">
        <v>46109</v>
      </c>
      <c r="E854" s="133" t="str">
        <f>VLOOKUP($C854,xe!$A:$B,2,0)</f>
        <v>61H-12700</v>
      </c>
      <c r="F854" s="111" t="str">
        <f>VLOOKUP($B854,ma!$A:$B,2,0)</f>
        <v>NAM VIỆT ĐỖ H.MÔN ( K BX)</v>
      </c>
      <c r="G854" s="112" t="s">
        <v>2390</v>
      </c>
      <c r="H854" s="113" t="s">
        <v>1912</v>
      </c>
      <c r="I854" s="114"/>
      <c r="J854" s="115" t="s">
        <v>140</v>
      </c>
      <c r="K854" s="116">
        <v>2</v>
      </c>
      <c r="L854" s="117"/>
      <c r="M854" s="114"/>
      <c r="N854" s="118"/>
      <c r="O854" s="118">
        <v>1</v>
      </c>
      <c r="P854" s="114">
        <f>VLOOKUP($B854,ma!$A:$C,3,0)</f>
        <v>800000</v>
      </c>
      <c r="Q854" s="132">
        <v>880000</v>
      </c>
      <c r="R854" s="149">
        <v>9.9999999999999895E-2</v>
      </c>
      <c r="S854" s="119"/>
      <c r="T854" s="119"/>
      <c r="U854" s="119"/>
      <c r="V854" s="119"/>
      <c r="W854" s="119"/>
      <c r="X854" s="119"/>
      <c r="Y854" s="119"/>
      <c r="Z854" s="119"/>
      <c r="AA854" s="119"/>
    </row>
    <row r="855" spans="1:27" ht="15">
      <c r="A855" s="107">
        <f t="shared" si="122"/>
        <v>3</v>
      </c>
      <c r="B855" s="108" t="s">
        <v>453</v>
      </c>
      <c r="C855" s="109" t="s">
        <v>84</v>
      </c>
      <c r="D855" s="110">
        <v>46109</v>
      </c>
      <c r="E855" s="109" t="str">
        <f>VLOOKUP($C855,xe!$A:$B,2,0)</f>
        <v>85H-01932</v>
      </c>
      <c r="F855" s="111" t="str">
        <f>VLOOKUP($B855,ma!$A:$B,2,0)</f>
        <v>NAM VIỆT ĐỖ H.MÔN ( K BX)</v>
      </c>
      <c r="G855" s="112" t="s">
        <v>2391</v>
      </c>
      <c r="H855" s="113" t="s">
        <v>1912</v>
      </c>
      <c r="I855" s="114"/>
      <c r="J855" s="115" t="s">
        <v>140</v>
      </c>
      <c r="K855" s="116">
        <v>2</v>
      </c>
      <c r="L855" s="117"/>
      <c r="M855" s="114"/>
      <c r="N855" s="118"/>
      <c r="O855" s="118">
        <v>1</v>
      </c>
      <c r="P855" s="114">
        <f>VLOOKUP($B855,ma!$A:$C,3,0)</f>
        <v>800000</v>
      </c>
      <c r="Q855" s="132">
        <v>880000</v>
      </c>
      <c r="R855" s="149">
        <v>9.9999999999999895E-2</v>
      </c>
      <c r="S855" s="119"/>
      <c r="T855" s="119"/>
      <c r="U855" s="119"/>
      <c r="V855" s="119"/>
      <c r="W855" s="119"/>
      <c r="X855" s="119"/>
      <c r="Y855" s="119"/>
      <c r="Z855" s="119"/>
      <c r="AA855" s="119"/>
    </row>
    <row r="856" spans="1:27" ht="15">
      <c r="A856" s="107">
        <f t="shared" si="122"/>
        <v>4</v>
      </c>
      <c r="B856" s="108" t="s">
        <v>453</v>
      </c>
      <c r="C856" s="109" t="s">
        <v>72</v>
      </c>
      <c r="D856" s="110">
        <v>46109</v>
      </c>
      <c r="E856" s="109" t="str">
        <f>VLOOKUP($C856,xe!$A:$B,2,0)</f>
        <v>47H-02023</v>
      </c>
      <c r="F856" s="111" t="str">
        <f>VLOOKUP($B856,ma!$A:$B,2,0)</f>
        <v>NAM VIỆT ĐỖ H.MÔN ( K BX)</v>
      </c>
      <c r="G856" s="112" t="s">
        <v>2392</v>
      </c>
      <c r="H856" s="113" t="s">
        <v>2315</v>
      </c>
      <c r="I856" s="114"/>
      <c r="J856" s="115" t="s">
        <v>140</v>
      </c>
      <c r="K856" s="116">
        <v>2</v>
      </c>
      <c r="L856" s="117"/>
      <c r="M856" s="114"/>
      <c r="N856" s="118"/>
      <c r="O856" s="118">
        <v>1</v>
      </c>
      <c r="P856" s="114">
        <f>VLOOKUP($B856,ma!$A:$C,3,0)</f>
        <v>800000</v>
      </c>
      <c r="Q856" s="132">
        <v>880000</v>
      </c>
      <c r="R856" s="149">
        <v>9.9999999999999895E-2</v>
      </c>
      <c r="S856" s="119"/>
      <c r="T856" s="119"/>
      <c r="U856" s="119"/>
      <c r="V856" s="119"/>
      <c r="W856" s="119"/>
      <c r="X856" s="119"/>
      <c r="Y856" s="119"/>
      <c r="Z856" s="119"/>
      <c r="AA856" s="119"/>
    </row>
    <row r="857" spans="1:27" ht="15">
      <c r="A857" s="107">
        <f t="shared" si="122"/>
        <v>5</v>
      </c>
      <c r="B857" s="108" t="s">
        <v>453</v>
      </c>
      <c r="C857" s="109" t="s">
        <v>68</v>
      </c>
      <c r="D857" s="110">
        <v>46109</v>
      </c>
      <c r="E857" s="109" t="str">
        <f>VLOOKUP($C857,xe!$A:$B,2,0)</f>
        <v>50H-55829</v>
      </c>
      <c r="F857" s="111" t="str">
        <f>VLOOKUP($B857,ma!$A:$B,2,0)</f>
        <v>NAM VIỆT ĐỖ H.MÔN ( K BX)</v>
      </c>
      <c r="G857" s="112" t="s">
        <v>2393</v>
      </c>
      <c r="H857" s="113" t="s">
        <v>2315</v>
      </c>
      <c r="I857" s="114"/>
      <c r="J857" s="115" t="s">
        <v>140</v>
      </c>
      <c r="K857" s="116">
        <v>2</v>
      </c>
      <c r="L857" s="117"/>
      <c r="M857" s="114"/>
      <c r="N857" s="118"/>
      <c r="O857" s="118">
        <v>1</v>
      </c>
      <c r="P857" s="114">
        <f>VLOOKUP($B857,ma!$A:$C,3,0)</f>
        <v>800000</v>
      </c>
      <c r="Q857" s="132">
        <v>880000</v>
      </c>
      <c r="R857" s="149">
        <v>9.9999999999999895E-2</v>
      </c>
      <c r="S857" s="119"/>
      <c r="T857" s="119"/>
      <c r="U857" s="119"/>
      <c r="V857" s="119"/>
      <c r="W857" s="119"/>
      <c r="X857" s="119"/>
      <c r="Y857" s="119"/>
      <c r="Z857" s="119"/>
      <c r="AA857" s="119"/>
    </row>
    <row r="858" spans="1:27" ht="15">
      <c r="A858" s="107">
        <f t="shared" si="122"/>
        <v>6</v>
      </c>
      <c r="B858" s="108" t="s">
        <v>170</v>
      </c>
      <c r="C858" s="109" t="s">
        <v>2368</v>
      </c>
      <c r="D858" s="110">
        <v>46109</v>
      </c>
      <c r="E858" s="133" t="str">
        <f>VLOOKUP($C858,xe!$A:$B,2,0)</f>
        <v>50E-565,21</v>
      </c>
      <c r="F858" s="111" t="str">
        <f>VLOOKUP($B858,ma!$A:$B,2,0)</f>
        <v>TP2 GÒ VẤP</v>
      </c>
      <c r="G858" s="112" t="s">
        <v>2394</v>
      </c>
      <c r="H858" s="113" t="s">
        <v>1912</v>
      </c>
      <c r="I858" s="114"/>
      <c r="J858" s="115" t="s">
        <v>2395</v>
      </c>
      <c r="K858" s="116">
        <v>1.8</v>
      </c>
      <c r="L858" s="117">
        <f t="shared" ref="L858:L859" si="123">K858*50000</f>
        <v>90000</v>
      </c>
      <c r="M858" s="114"/>
      <c r="N858" s="118"/>
      <c r="O858" s="118">
        <v>1</v>
      </c>
      <c r="P858" s="114">
        <f>VLOOKUP($B858,ma!$A:$C,3,0)</f>
        <v>800000</v>
      </c>
      <c r="Q858" s="132">
        <v>880000</v>
      </c>
      <c r="R858" s="149">
        <v>9.9999999999999895E-2</v>
      </c>
      <c r="S858" s="119"/>
      <c r="T858" s="119"/>
      <c r="U858" s="119"/>
      <c r="V858" s="119"/>
      <c r="W858" s="119"/>
      <c r="X858" s="119"/>
      <c r="Y858" s="119"/>
      <c r="Z858" s="119"/>
      <c r="AA858" s="119"/>
    </row>
    <row r="859" spans="1:27" ht="15">
      <c r="A859" s="107">
        <f t="shared" si="122"/>
        <v>7</v>
      </c>
      <c r="B859" s="108" t="s">
        <v>170</v>
      </c>
      <c r="C859" s="109" t="s">
        <v>76</v>
      </c>
      <c r="D859" s="110">
        <v>46109</v>
      </c>
      <c r="E859" s="109" t="str">
        <f>VLOOKUP($C859,xe!$A:$B,2,0)</f>
        <v>51D-38021</v>
      </c>
      <c r="F859" s="111" t="str">
        <f>VLOOKUP($B859,ma!$A:$B,2,0)</f>
        <v>TP2 GÒ VẤP</v>
      </c>
      <c r="G859" s="112" t="s">
        <v>2396</v>
      </c>
      <c r="H859" s="113" t="s">
        <v>1912</v>
      </c>
      <c r="I859" s="114"/>
      <c r="J859" s="115" t="s">
        <v>2395</v>
      </c>
      <c r="K859" s="116">
        <v>1.8</v>
      </c>
      <c r="L859" s="117">
        <f t="shared" si="123"/>
        <v>90000</v>
      </c>
      <c r="M859" s="114"/>
      <c r="N859" s="118"/>
      <c r="O859" s="118">
        <v>1</v>
      </c>
      <c r="P859" s="114">
        <f>VLOOKUP($B859,ma!$A:$C,3,0)</f>
        <v>800000</v>
      </c>
      <c r="Q859" s="132">
        <v>880000</v>
      </c>
      <c r="R859" s="149">
        <v>9.9999999999999895E-2</v>
      </c>
      <c r="S859" s="119"/>
      <c r="T859" s="119"/>
      <c r="U859" s="119"/>
      <c r="V859" s="119"/>
      <c r="W859" s="119"/>
      <c r="X859" s="119"/>
      <c r="Y859" s="119"/>
      <c r="Z859" s="119"/>
      <c r="AA859" s="119"/>
    </row>
    <row r="860" spans="1:27" ht="15">
      <c r="A860" s="107">
        <f t="shared" si="122"/>
        <v>8</v>
      </c>
      <c r="B860" s="108" t="s">
        <v>491</v>
      </c>
      <c r="C860" s="109" t="s">
        <v>1577</v>
      </c>
      <c r="D860" s="110">
        <v>46109</v>
      </c>
      <c r="E860" s="133" t="s">
        <v>2179</v>
      </c>
      <c r="F860" s="111" t="str">
        <f>VLOOKUP($B860,ma!$A:$B,2,0)</f>
        <v>PHẠM NGUYÊN L.AN</v>
      </c>
      <c r="G860" s="112" t="s">
        <v>2397</v>
      </c>
      <c r="H860" s="113" t="s">
        <v>1912</v>
      </c>
      <c r="I860" s="114"/>
      <c r="J860" s="109"/>
      <c r="K860" s="116">
        <v>2</v>
      </c>
      <c r="L860" s="117">
        <v>50000</v>
      </c>
      <c r="M860" s="114">
        <v>50000</v>
      </c>
      <c r="N860" s="118" t="s">
        <v>1430</v>
      </c>
      <c r="O860" s="118">
        <v>1</v>
      </c>
      <c r="P860" s="114">
        <f>VLOOKUP($B860,ma!$A:$C,3,0)</f>
        <v>900000</v>
      </c>
      <c r="Q860" s="132">
        <v>990000</v>
      </c>
      <c r="R860" s="149">
        <v>9.9999999999999895E-2</v>
      </c>
      <c r="S860" s="119"/>
      <c r="T860" s="119"/>
      <c r="U860" s="119"/>
      <c r="V860" s="119"/>
      <c r="W860" s="119"/>
      <c r="X860" s="119"/>
      <c r="Y860" s="119"/>
      <c r="Z860" s="119"/>
      <c r="AA860" s="119"/>
    </row>
    <row r="861" spans="1:27" ht="15">
      <c r="A861" s="107">
        <f t="shared" si="122"/>
        <v>9</v>
      </c>
      <c r="B861" s="108" t="s">
        <v>289</v>
      </c>
      <c r="C861" s="109" t="s">
        <v>64</v>
      </c>
      <c r="D861" s="110">
        <v>46109</v>
      </c>
      <c r="E861" s="109" t="str">
        <f>VLOOKUP($C861,xe!$A:$B,2,0)</f>
        <v>50H-60635</v>
      </c>
      <c r="F861" s="111" t="str">
        <f>VLOOKUP($B861,ma!$A:$B,2,0)</f>
        <v>ANFOOD Q12 ( K BX )</v>
      </c>
      <c r="G861" s="112" t="s">
        <v>2398</v>
      </c>
      <c r="H861" s="113" t="s">
        <v>1912</v>
      </c>
      <c r="I861" s="114"/>
      <c r="J861" s="109"/>
      <c r="K861" s="116">
        <v>1.2</v>
      </c>
      <c r="L861" s="117"/>
      <c r="M861" s="114"/>
      <c r="N861" s="118"/>
      <c r="O861" s="118">
        <v>1</v>
      </c>
      <c r="P861" s="114">
        <f>VLOOKUP($B861,ma!$A:$C,3,0)</f>
        <v>800000</v>
      </c>
      <c r="Q861" s="132">
        <v>880000</v>
      </c>
      <c r="R861" s="149">
        <v>9.9999999999999895E-2</v>
      </c>
      <c r="S861" s="119"/>
      <c r="T861" s="119"/>
      <c r="U861" s="119"/>
      <c r="V861" s="119"/>
      <c r="W861" s="119"/>
      <c r="X861" s="119"/>
      <c r="Y861" s="119"/>
      <c r="Z861" s="119"/>
      <c r="AA861" s="119"/>
    </row>
    <row r="862" spans="1:27" ht="15">
      <c r="A862" s="107">
        <f t="shared" si="122"/>
        <v>10</v>
      </c>
      <c r="B862" s="108" t="s">
        <v>289</v>
      </c>
      <c r="C862" s="109" t="s">
        <v>1404</v>
      </c>
      <c r="D862" s="110">
        <v>46109</v>
      </c>
      <c r="E862" s="109" t="str">
        <f>VLOOKUP($C862,xe!$A:$B,2,0)</f>
        <v>51C-81056</v>
      </c>
      <c r="F862" s="111" t="str">
        <f>VLOOKUP($B862,ma!$A:$B,2,0)</f>
        <v>ANFOOD Q12 ( K BX )</v>
      </c>
      <c r="G862" s="112" t="s">
        <v>2399</v>
      </c>
      <c r="H862" s="113" t="s">
        <v>1912</v>
      </c>
      <c r="I862" s="114"/>
      <c r="J862" s="109"/>
      <c r="K862" s="116">
        <v>1.6</v>
      </c>
      <c r="L862" s="117"/>
      <c r="M862" s="114"/>
      <c r="N862" s="118"/>
      <c r="O862" s="118">
        <v>1</v>
      </c>
      <c r="P862" s="114">
        <f>VLOOKUP($B862,ma!$A:$C,3,0)</f>
        <v>800000</v>
      </c>
      <c r="Q862" s="132">
        <v>880000</v>
      </c>
      <c r="R862" s="149">
        <v>9.9999999999999895E-2</v>
      </c>
      <c r="S862" s="119"/>
      <c r="T862" s="119"/>
      <c r="U862" s="119"/>
      <c r="V862" s="119"/>
      <c r="W862" s="119"/>
      <c r="X862" s="119"/>
      <c r="Y862" s="119"/>
      <c r="Z862" s="119"/>
      <c r="AA862" s="119"/>
    </row>
    <row r="863" spans="1:27" ht="15">
      <c r="A863" s="107">
        <f t="shared" si="122"/>
        <v>11</v>
      </c>
      <c r="B863" s="108" t="s">
        <v>864</v>
      </c>
      <c r="C863" s="109" t="s">
        <v>1655</v>
      </c>
      <c r="D863" s="110">
        <v>46109</v>
      </c>
      <c r="E863" s="109" t="str">
        <f>VLOOKUP($C863,xe!$A:$B,2,0)</f>
        <v>50H-70216</v>
      </c>
      <c r="F863" s="111" t="str">
        <f>VLOOKUP($B863,ma!$A:$B,2,0)</f>
        <v>SEN VIỆT ( K BX )</v>
      </c>
      <c r="G863" s="112" t="s">
        <v>2400</v>
      </c>
      <c r="H863" s="113" t="s">
        <v>1912</v>
      </c>
      <c r="I863" s="114"/>
      <c r="J863" s="109"/>
      <c r="K863" s="116">
        <v>2</v>
      </c>
      <c r="L863" s="117">
        <v>50000</v>
      </c>
      <c r="M863" s="114"/>
      <c r="N863" s="118"/>
      <c r="O863" s="118">
        <v>1</v>
      </c>
      <c r="P863" s="114">
        <f>VLOOKUP($B863,ma!$A:$C,3,0)</f>
        <v>800000</v>
      </c>
      <c r="Q863" s="132">
        <v>880000</v>
      </c>
      <c r="R863" s="149">
        <v>9.9999999999999895E-2</v>
      </c>
      <c r="S863" s="119"/>
      <c r="T863" s="119"/>
      <c r="U863" s="119"/>
      <c r="V863" s="119"/>
      <c r="W863" s="119"/>
      <c r="X863" s="119"/>
      <c r="Y863" s="119"/>
      <c r="Z863" s="119"/>
      <c r="AA863" s="119"/>
    </row>
    <row r="864" spans="1:27" ht="15">
      <c r="A864" s="107">
        <f t="shared" si="122"/>
        <v>12</v>
      </c>
      <c r="B864" s="108" t="s">
        <v>517</v>
      </c>
      <c r="C864" s="109" t="s">
        <v>27</v>
      </c>
      <c r="D864" s="110">
        <v>46109</v>
      </c>
      <c r="E864" s="109" t="str">
        <f>VLOOKUP($C864,xe!$A:$B,2,0)</f>
        <v>50H-55443</v>
      </c>
      <c r="F864" s="111" t="str">
        <f>VLOOKUP($B864,ma!$A:$B,2,0)</f>
        <v>PHONG VÂN - GÒ VẤP ( K BX )</v>
      </c>
      <c r="G864" s="112" t="s">
        <v>2401</v>
      </c>
      <c r="H864" s="113" t="s">
        <v>1912</v>
      </c>
      <c r="I864" s="114"/>
      <c r="J864" s="109"/>
      <c r="K864" s="116">
        <v>2</v>
      </c>
      <c r="L864" s="117">
        <v>50000</v>
      </c>
      <c r="M864" s="114"/>
      <c r="N864" s="118"/>
      <c r="O864" s="118">
        <v>1</v>
      </c>
      <c r="P864" s="114">
        <f>VLOOKUP($B864,ma!$A:$C,3,0)</f>
        <v>800000</v>
      </c>
      <c r="Q864" s="132">
        <v>880000</v>
      </c>
      <c r="R864" s="149">
        <v>9.9999999999999895E-2</v>
      </c>
      <c r="S864" s="119"/>
      <c r="T864" s="119"/>
      <c r="U864" s="119"/>
      <c r="V864" s="119"/>
      <c r="W864" s="119"/>
      <c r="X864" s="119"/>
      <c r="Y864" s="119"/>
      <c r="Z864" s="119"/>
      <c r="AA864" s="119"/>
    </row>
    <row r="865" spans="1:27" ht="15">
      <c r="A865" s="107">
        <f t="shared" si="122"/>
        <v>13</v>
      </c>
      <c r="B865" s="108" t="s">
        <v>1925</v>
      </c>
      <c r="C865" s="109" t="s">
        <v>2402</v>
      </c>
      <c r="D865" s="110">
        <v>46109</v>
      </c>
      <c r="E865" s="109" t="str">
        <f>VLOOKUP($C865,xe!$A:$B,2,0)</f>
        <v>50H-54580</v>
      </c>
      <c r="F865" s="111" t="str">
        <f>VLOOKUP($B865,ma!$A:$B,2,0)</f>
        <v>PHONG VÂN ( K BX )</v>
      </c>
      <c r="G865" s="112" t="s">
        <v>2403</v>
      </c>
      <c r="H865" s="113" t="s">
        <v>1912</v>
      </c>
      <c r="I865" s="114"/>
      <c r="J865" s="109"/>
      <c r="K865" s="116">
        <v>1.6</v>
      </c>
      <c r="L865" s="117">
        <v>50000</v>
      </c>
      <c r="M865" s="114"/>
      <c r="N865" s="118"/>
      <c r="O865" s="118">
        <v>1</v>
      </c>
      <c r="P865" s="114">
        <f>VLOOKUP($B865,ma!$A:$C,3,0)</f>
        <v>800000</v>
      </c>
      <c r="Q865" s="132">
        <v>880000</v>
      </c>
      <c r="R865" s="149">
        <v>9.9999999999999895E-2</v>
      </c>
      <c r="S865" s="119"/>
      <c r="T865" s="119"/>
      <c r="U865" s="119"/>
      <c r="V865" s="119"/>
      <c r="W865" s="119"/>
      <c r="X865" s="119"/>
      <c r="Y865" s="119"/>
      <c r="Z865" s="119"/>
      <c r="AA865" s="119"/>
    </row>
    <row r="866" spans="1:27" ht="15">
      <c r="A866" s="107">
        <f t="shared" si="122"/>
        <v>14</v>
      </c>
      <c r="B866" s="108" t="s">
        <v>1925</v>
      </c>
      <c r="C866" s="109" t="s">
        <v>2362</v>
      </c>
      <c r="D866" s="110">
        <v>46109</v>
      </c>
      <c r="E866" s="109" t="str">
        <f>VLOOKUP($C866,xe!$A:$B,2,0)</f>
        <v>50H-66445</v>
      </c>
      <c r="F866" s="111" t="str">
        <f>VLOOKUP($B866,ma!$A:$B,2,0)</f>
        <v>PHONG VÂN ( K BX )</v>
      </c>
      <c r="G866" s="112" t="s">
        <v>2404</v>
      </c>
      <c r="H866" s="113" t="s">
        <v>1912</v>
      </c>
      <c r="I866" s="114"/>
      <c r="J866" s="109"/>
      <c r="K866" s="116">
        <v>1.8</v>
      </c>
      <c r="L866" s="117">
        <v>50000</v>
      </c>
      <c r="M866" s="114"/>
      <c r="N866" s="118"/>
      <c r="O866" s="118">
        <v>1</v>
      </c>
      <c r="P866" s="114">
        <f>VLOOKUP($B866,ma!$A:$C,3,0)</f>
        <v>800000</v>
      </c>
      <c r="Q866" s="132">
        <v>880000</v>
      </c>
      <c r="R866" s="149">
        <v>9.9999999999999895E-2</v>
      </c>
      <c r="S866" s="119"/>
      <c r="T866" s="119"/>
      <c r="U866" s="119"/>
      <c r="V866" s="119"/>
      <c r="W866" s="119"/>
      <c r="X866" s="119"/>
      <c r="Y866" s="119"/>
      <c r="Z866" s="119"/>
      <c r="AA866" s="119"/>
    </row>
    <row r="867" spans="1:27" ht="15">
      <c r="A867" s="107">
        <f t="shared" si="122"/>
        <v>15</v>
      </c>
      <c r="B867" s="108" t="s">
        <v>1925</v>
      </c>
      <c r="C867" s="109" t="s">
        <v>2365</v>
      </c>
      <c r="D867" s="110">
        <v>46109</v>
      </c>
      <c r="E867" s="109" t="str">
        <f>VLOOKUP($C867,xe!$A:$B,2,0)</f>
        <v>50H-54580</v>
      </c>
      <c r="F867" s="111" t="str">
        <f>VLOOKUP($B867,ma!$A:$B,2,0)</f>
        <v>PHONG VÂN ( K BX )</v>
      </c>
      <c r="G867" s="112" t="s">
        <v>2405</v>
      </c>
      <c r="H867" s="113" t="s">
        <v>1912</v>
      </c>
      <c r="I867" s="114"/>
      <c r="J867" s="109"/>
      <c r="K867" s="116">
        <v>1.8</v>
      </c>
      <c r="L867" s="117">
        <v>50000</v>
      </c>
      <c r="M867" s="114"/>
      <c r="N867" s="118"/>
      <c r="O867" s="118">
        <v>1</v>
      </c>
      <c r="P867" s="114">
        <f>VLOOKUP($B867,ma!$A:$C,3,0)</f>
        <v>800000</v>
      </c>
      <c r="Q867" s="132">
        <v>880000</v>
      </c>
      <c r="R867" s="149">
        <v>9.9999999999999895E-2</v>
      </c>
      <c r="S867" s="119"/>
      <c r="T867" s="119"/>
      <c r="U867" s="119"/>
      <c r="V867" s="119"/>
      <c r="W867" s="119"/>
      <c r="X867" s="119"/>
      <c r="Y867" s="119"/>
      <c r="Z867" s="119"/>
      <c r="AA867" s="119"/>
    </row>
    <row r="868" spans="1:27" ht="15">
      <c r="A868" s="107">
        <f t="shared" si="122"/>
        <v>16</v>
      </c>
      <c r="B868" s="108" t="s">
        <v>866</v>
      </c>
      <c r="C868" s="109" t="s">
        <v>1493</v>
      </c>
      <c r="D868" s="110">
        <v>46109</v>
      </c>
      <c r="E868" s="109" t="s">
        <v>13</v>
      </c>
      <c r="F868" s="111" t="str">
        <f>VLOOKUP($B868,ma!$A:$B,2,0)</f>
        <v>XUÂN VÂN ( K BX )</v>
      </c>
      <c r="G868" s="112" t="s">
        <v>2406</v>
      </c>
      <c r="H868" s="113" t="s">
        <v>1912</v>
      </c>
      <c r="I868" s="114"/>
      <c r="J868" s="109"/>
      <c r="K868" s="116">
        <v>1.8</v>
      </c>
      <c r="L868" s="117">
        <v>50000</v>
      </c>
      <c r="M868" s="114"/>
      <c r="N868" s="118"/>
      <c r="O868" s="118">
        <v>1</v>
      </c>
      <c r="P868" s="114">
        <f>VLOOKUP($B868,ma!$A:$C,3,0)</f>
        <v>800000</v>
      </c>
      <c r="Q868" s="132">
        <v>880000</v>
      </c>
      <c r="R868" s="149">
        <v>9.9999999999999895E-2</v>
      </c>
      <c r="S868" s="119"/>
      <c r="T868" s="119"/>
      <c r="U868" s="119"/>
      <c r="V868" s="119"/>
      <c r="W868" s="119"/>
      <c r="X868" s="119"/>
      <c r="Y868" s="119"/>
      <c r="Z868" s="119"/>
      <c r="AA868" s="119"/>
    </row>
    <row r="869" spans="1:27" ht="15">
      <c r="A869" s="107">
        <f t="shared" si="122"/>
        <v>17</v>
      </c>
      <c r="B869" s="108" t="s">
        <v>553</v>
      </c>
      <c r="C869" s="109" t="s">
        <v>10</v>
      </c>
      <c r="D869" s="110">
        <v>46109</v>
      </c>
      <c r="E869" s="109" t="str">
        <f>VLOOKUP($C869,xe!$A:$B,2,0)</f>
        <v>50H-50999</v>
      </c>
      <c r="F869" s="111" t="str">
        <f>VLOOKUP($B869,ma!$A:$B,2,0)</f>
        <v>LÂM BÌNH DƯƠNG</v>
      </c>
      <c r="G869" s="112" t="s">
        <v>1412</v>
      </c>
      <c r="H869" s="113" t="s">
        <v>1412</v>
      </c>
      <c r="I869" s="114"/>
      <c r="J869" s="109"/>
      <c r="K869" s="116">
        <v>1</v>
      </c>
      <c r="L869" s="117">
        <f t="shared" ref="L869:L873" si="124">K869*50000</f>
        <v>50000</v>
      </c>
      <c r="M869" s="114"/>
      <c r="N869" s="118"/>
      <c r="O869" s="118">
        <v>1</v>
      </c>
      <c r="P869" s="114">
        <f>VLOOKUP($B869,ma!$A:$C,3,0)</f>
        <v>900000</v>
      </c>
      <c r="Q869" s="132">
        <v>990000</v>
      </c>
      <c r="R869" s="149">
        <v>9.9999999999999895E-2</v>
      </c>
      <c r="S869" s="119"/>
      <c r="T869" s="119"/>
      <c r="U869" s="119"/>
      <c r="V869" s="119"/>
      <c r="W869" s="119"/>
      <c r="X869" s="119"/>
      <c r="Y869" s="119"/>
      <c r="Z869" s="119"/>
      <c r="AA869" s="119"/>
    </row>
    <row r="870" spans="1:27" ht="15">
      <c r="A870" s="107">
        <f t="shared" si="122"/>
        <v>18</v>
      </c>
      <c r="B870" s="108" t="s">
        <v>1099</v>
      </c>
      <c r="C870" s="109" t="s">
        <v>19</v>
      </c>
      <c r="D870" s="110">
        <v>46109</v>
      </c>
      <c r="E870" s="109" t="str">
        <f>VLOOKUP($C870,xe!$A:$B,2,0)</f>
        <v>51H -88294</v>
      </c>
      <c r="F870" s="111" t="str">
        <f>VLOOKUP($B870,ma!$A:$B,2,0)</f>
        <v>E MART SALA</v>
      </c>
      <c r="G870" s="112" t="s">
        <v>2407</v>
      </c>
      <c r="H870" s="113" t="s">
        <v>1912</v>
      </c>
      <c r="I870" s="114"/>
      <c r="J870" s="115" t="s">
        <v>140</v>
      </c>
      <c r="K870" s="116">
        <v>2</v>
      </c>
      <c r="L870" s="117">
        <f t="shared" si="124"/>
        <v>100000</v>
      </c>
      <c r="M870" s="132">
        <v>300000</v>
      </c>
      <c r="N870" s="144" t="s">
        <v>2408</v>
      </c>
      <c r="O870" s="118">
        <v>1</v>
      </c>
      <c r="P870" s="114">
        <f>VLOOKUP($B870,ma!$A:$C,3,0)</f>
        <v>800000</v>
      </c>
      <c r="Q870" s="132">
        <v>880000</v>
      </c>
      <c r="R870" s="149">
        <v>9.9999999999999895E-2</v>
      </c>
      <c r="S870" s="119"/>
      <c r="T870" s="119"/>
      <c r="U870" s="119"/>
      <c r="V870" s="119"/>
      <c r="W870" s="119"/>
      <c r="X870" s="119"/>
      <c r="Y870" s="119"/>
      <c r="Z870" s="119"/>
      <c r="AA870" s="119"/>
    </row>
    <row r="871" spans="1:27" ht="15">
      <c r="A871" s="137">
        <v>1</v>
      </c>
      <c r="B871" s="138" t="s">
        <v>1483</v>
      </c>
      <c r="C871" s="139" t="s">
        <v>1651</v>
      </c>
      <c r="D871" s="140">
        <v>46111</v>
      </c>
      <c r="E871" s="139" t="str">
        <f>VLOOKUP($C871,xe!$A:$B,2,0)</f>
        <v>50H-64316</v>
      </c>
      <c r="F871" s="141" t="str">
        <f>VLOOKUP($B871,ma!$A:$B,2,0)</f>
        <v>LIÊN NGUYỄN B.CHÁNH</v>
      </c>
      <c r="G871" s="142" t="s">
        <v>2409</v>
      </c>
      <c r="H871" s="126" t="s">
        <v>2315</v>
      </c>
      <c r="I871" s="132"/>
      <c r="J871" s="115" t="s">
        <v>140</v>
      </c>
      <c r="K871" s="129">
        <v>2</v>
      </c>
      <c r="L871" s="143">
        <f t="shared" si="124"/>
        <v>100000</v>
      </c>
      <c r="M871" s="132"/>
      <c r="N871" s="144"/>
      <c r="O871" s="144">
        <v>1</v>
      </c>
      <c r="P871" s="132">
        <f>VLOOKUP($B871,ma!$A:$C,3,0)</f>
        <v>800000</v>
      </c>
      <c r="Q871" s="132">
        <v>880000</v>
      </c>
      <c r="R871" s="149">
        <v>9.9999999999999895E-2</v>
      </c>
      <c r="S871" s="156"/>
      <c r="T871" s="156"/>
      <c r="U871" s="156"/>
      <c r="V871" s="156"/>
      <c r="W871" s="156"/>
      <c r="X871" s="156"/>
      <c r="Y871" s="156"/>
      <c r="Z871" s="156"/>
      <c r="AA871" s="156"/>
    </row>
    <row r="872" spans="1:27" ht="15">
      <c r="A872" s="107">
        <f t="shared" ref="A872:A903" si="125">A871+1</f>
        <v>2</v>
      </c>
      <c r="B872" s="108" t="s">
        <v>1483</v>
      </c>
      <c r="C872" s="109" t="s">
        <v>1662</v>
      </c>
      <c r="D872" s="110">
        <v>46111</v>
      </c>
      <c r="E872" s="109" t="str">
        <f>VLOOKUP($C872,xe!$A:$B,2,0)</f>
        <v>50H-74619</v>
      </c>
      <c r="F872" s="111" t="str">
        <f>VLOOKUP($B872,ma!$A:$B,2,0)</f>
        <v>LIÊN NGUYỄN B.CHÁNH</v>
      </c>
      <c r="G872" s="112" t="s">
        <v>2410</v>
      </c>
      <c r="H872" s="113" t="s">
        <v>2315</v>
      </c>
      <c r="I872" s="114"/>
      <c r="J872" s="115" t="s">
        <v>140</v>
      </c>
      <c r="K872" s="116">
        <v>2.2000000000000002</v>
      </c>
      <c r="L872" s="117">
        <f t="shared" si="124"/>
        <v>110000.00000000001</v>
      </c>
      <c r="M872" s="114"/>
      <c r="N872" s="118"/>
      <c r="O872" s="118">
        <v>1</v>
      </c>
      <c r="P872" s="114">
        <f>VLOOKUP($B872,ma!$A:$C,3,0)</f>
        <v>800000</v>
      </c>
      <c r="Q872" s="132">
        <v>880000</v>
      </c>
      <c r="R872" s="149">
        <v>9.9999999999999895E-2</v>
      </c>
      <c r="S872" s="119"/>
      <c r="T872" s="119"/>
      <c r="U872" s="119"/>
      <c r="V872" s="119"/>
      <c r="W872" s="119"/>
      <c r="X872" s="119"/>
      <c r="Y872" s="119"/>
      <c r="Z872" s="119"/>
      <c r="AA872" s="119"/>
    </row>
    <row r="873" spans="1:27" ht="15">
      <c r="A873" s="107">
        <f t="shared" si="125"/>
        <v>3</v>
      </c>
      <c r="B873" s="108" t="s">
        <v>438</v>
      </c>
      <c r="C873" s="109" t="s">
        <v>1506</v>
      </c>
      <c r="D873" s="110">
        <v>46111</v>
      </c>
      <c r="E873" s="109" t="str">
        <f>VLOOKUP($C873,xe!$A:$B,2,0)</f>
        <v>50H-55443</v>
      </c>
      <c r="F873" s="111" t="str">
        <f>VLOOKUP($B873,ma!$A:$B,2,0)</f>
        <v>N.HƯNG Q.6</v>
      </c>
      <c r="G873" s="112" t="s">
        <v>2411</v>
      </c>
      <c r="H873" s="113" t="s">
        <v>2315</v>
      </c>
      <c r="I873" s="114"/>
      <c r="J873" s="115" t="s">
        <v>140</v>
      </c>
      <c r="K873" s="116">
        <v>1.2</v>
      </c>
      <c r="L873" s="117">
        <f t="shared" si="124"/>
        <v>60000</v>
      </c>
      <c r="M873" s="114"/>
      <c r="N873" s="118"/>
      <c r="O873" s="118">
        <v>1</v>
      </c>
      <c r="P873" s="114">
        <f>VLOOKUP($B873,ma!$A:$C,3,0)</f>
        <v>800000</v>
      </c>
      <c r="Q873" s="132">
        <v>880000</v>
      </c>
      <c r="R873" s="149">
        <v>9.9999999999999895E-2</v>
      </c>
      <c r="S873" s="119"/>
      <c r="T873" s="119"/>
      <c r="U873" s="119"/>
      <c r="V873" s="119"/>
      <c r="W873" s="119"/>
      <c r="X873" s="119"/>
      <c r="Y873" s="119"/>
      <c r="Z873" s="119"/>
      <c r="AA873" s="119"/>
    </row>
    <row r="874" spans="1:27" ht="15">
      <c r="A874" s="107">
        <f t="shared" si="125"/>
        <v>4</v>
      </c>
      <c r="B874" s="108" t="s">
        <v>1059</v>
      </c>
      <c r="C874" s="109" t="s">
        <v>66</v>
      </c>
      <c r="D874" s="110">
        <v>46111</v>
      </c>
      <c r="E874" s="109" t="str">
        <f>VLOOKUP($C874,xe!$A:$B,2,0)</f>
        <v>50H-92136</v>
      </c>
      <c r="F874" s="111" t="str">
        <f>VLOOKUP($B874,ma!$A:$B,2,0)</f>
        <v>BHX ( VL)</v>
      </c>
      <c r="G874" s="112" t="s">
        <v>2412</v>
      </c>
      <c r="H874" s="113" t="s">
        <v>2315</v>
      </c>
      <c r="I874" s="114"/>
      <c r="J874" s="109"/>
      <c r="K874" s="116">
        <v>1.2</v>
      </c>
      <c r="L874" s="117">
        <f>K874*80000</f>
        <v>96000</v>
      </c>
      <c r="M874" s="114"/>
      <c r="N874" s="118"/>
      <c r="O874" s="118">
        <v>1</v>
      </c>
      <c r="P874" s="114">
        <f>VLOOKUP($B874,ma!$A:$C,3,0)</f>
        <v>800000</v>
      </c>
      <c r="Q874" s="132">
        <v>880000</v>
      </c>
      <c r="R874" s="149">
        <v>9.9999999999999895E-2</v>
      </c>
      <c r="S874" s="119"/>
      <c r="T874" s="119"/>
      <c r="U874" s="119"/>
      <c r="V874" s="119"/>
      <c r="W874" s="119"/>
      <c r="X874" s="119"/>
      <c r="Y874" s="119"/>
      <c r="Z874" s="119"/>
      <c r="AA874" s="119"/>
    </row>
    <row r="875" spans="1:27" ht="15">
      <c r="A875" s="107">
        <f t="shared" si="125"/>
        <v>5</v>
      </c>
      <c r="B875" s="108" t="s">
        <v>907</v>
      </c>
      <c r="C875" s="109" t="s">
        <v>1524</v>
      </c>
      <c r="D875" s="110">
        <v>46111</v>
      </c>
      <c r="E875" s="109" t="str">
        <f>VLOOKUP($C875,xe!$A:$B,2,0)</f>
        <v>51D-38021</v>
      </c>
      <c r="F875" s="111" t="str">
        <f>VLOOKUP($B875,ma!$A:$B,2,0)</f>
        <v>M. BÌNH PHÚ</v>
      </c>
      <c r="G875" s="112" t="s">
        <v>2413</v>
      </c>
      <c r="H875" s="113" t="s">
        <v>2315</v>
      </c>
      <c r="I875" s="114"/>
      <c r="J875" s="109"/>
      <c r="K875" s="116">
        <v>2</v>
      </c>
      <c r="L875" s="117">
        <f t="shared" ref="L875:L881" si="126">K875*50000</f>
        <v>100000</v>
      </c>
      <c r="M875" s="114"/>
      <c r="N875" s="118"/>
      <c r="O875" s="118">
        <v>1</v>
      </c>
      <c r="P875" s="114">
        <f>VLOOKUP($B875,ma!$A:$C,3,0)</f>
        <v>800000</v>
      </c>
      <c r="Q875" s="132">
        <v>880000</v>
      </c>
      <c r="R875" s="149">
        <v>9.9999999999999895E-2</v>
      </c>
      <c r="S875" s="119"/>
      <c r="T875" s="119"/>
      <c r="U875" s="119"/>
      <c r="V875" s="119"/>
      <c r="W875" s="119"/>
      <c r="X875" s="119"/>
      <c r="Y875" s="119"/>
      <c r="Z875" s="119"/>
      <c r="AA875" s="119"/>
    </row>
    <row r="876" spans="1:27" ht="15">
      <c r="A876" s="107">
        <f t="shared" si="125"/>
        <v>6</v>
      </c>
      <c r="B876" s="108" t="s">
        <v>907</v>
      </c>
      <c r="C876" s="109" t="s">
        <v>2307</v>
      </c>
      <c r="D876" s="110">
        <v>46111</v>
      </c>
      <c r="E876" s="109" t="str">
        <f>VLOOKUP($C876,xe!$A:$B,2,0)</f>
        <v>85H-01932</v>
      </c>
      <c r="F876" s="111" t="str">
        <f>VLOOKUP($B876,ma!$A:$B,2,0)</f>
        <v>M. BÌNH PHÚ</v>
      </c>
      <c r="G876" s="112" t="s">
        <v>2414</v>
      </c>
      <c r="H876" s="113" t="s">
        <v>2315</v>
      </c>
      <c r="I876" s="114"/>
      <c r="J876" s="109"/>
      <c r="K876" s="116">
        <v>2.2000000000000002</v>
      </c>
      <c r="L876" s="117">
        <f t="shared" si="126"/>
        <v>110000.00000000001</v>
      </c>
      <c r="M876" s="114"/>
      <c r="N876" s="118"/>
      <c r="O876" s="118">
        <v>1</v>
      </c>
      <c r="P876" s="114">
        <f>VLOOKUP($B876,ma!$A:$C,3,0)</f>
        <v>800000</v>
      </c>
      <c r="Q876" s="132">
        <v>880000</v>
      </c>
      <c r="R876" s="149">
        <v>9.9999999999999895E-2</v>
      </c>
      <c r="S876" s="119"/>
      <c r="T876" s="119"/>
      <c r="U876" s="119"/>
      <c r="V876" s="119"/>
      <c r="W876" s="119"/>
      <c r="X876" s="119"/>
      <c r="Y876" s="119"/>
      <c r="Z876" s="119"/>
      <c r="AA876" s="119"/>
    </row>
    <row r="877" spans="1:27" ht="15">
      <c r="A877" s="107">
        <f t="shared" si="125"/>
        <v>7</v>
      </c>
      <c r="B877" s="108" t="s">
        <v>907</v>
      </c>
      <c r="C877" s="109" t="s">
        <v>58</v>
      </c>
      <c r="D877" s="110">
        <v>46111</v>
      </c>
      <c r="E877" s="109" t="str">
        <f>VLOOKUP($C877,xe!$A:$B,2,0)</f>
        <v>51C-81056</v>
      </c>
      <c r="F877" s="111" t="str">
        <f>VLOOKUP($B877,ma!$A:$B,2,0)</f>
        <v>M. BÌNH PHÚ</v>
      </c>
      <c r="G877" s="112" t="s">
        <v>2415</v>
      </c>
      <c r="H877" s="113" t="s">
        <v>2315</v>
      </c>
      <c r="I877" s="114"/>
      <c r="J877" s="109"/>
      <c r="K877" s="116">
        <v>2</v>
      </c>
      <c r="L877" s="117">
        <f t="shared" si="126"/>
        <v>100000</v>
      </c>
      <c r="M877" s="114"/>
      <c r="N877" s="118"/>
      <c r="O877" s="118">
        <v>1</v>
      </c>
      <c r="P877" s="114">
        <f>VLOOKUP($B877,ma!$A:$C,3,0)</f>
        <v>800000</v>
      </c>
      <c r="Q877" s="132">
        <v>880000</v>
      </c>
      <c r="R877" s="149">
        <v>9.9999999999999895E-2</v>
      </c>
      <c r="S877" s="119"/>
      <c r="T877" s="119"/>
      <c r="U877" s="119"/>
      <c r="V877" s="119"/>
      <c r="W877" s="119"/>
      <c r="X877" s="119"/>
      <c r="Y877" s="119"/>
      <c r="Z877" s="119"/>
      <c r="AA877" s="119"/>
    </row>
    <row r="878" spans="1:27" ht="15">
      <c r="A878" s="107">
        <f t="shared" si="125"/>
        <v>8</v>
      </c>
      <c r="B878" s="108" t="s">
        <v>907</v>
      </c>
      <c r="C878" s="109" t="s">
        <v>1538</v>
      </c>
      <c r="D878" s="110">
        <v>46111</v>
      </c>
      <c r="E878" s="109" t="str">
        <f>VLOOKUP($C878,xe!$A:$B,2,0)</f>
        <v>62H-01887</v>
      </c>
      <c r="F878" s="111" t="str">
        <f>VLOOKUP($B878,ma!$A:$B,2,0)</f>
        <v>M. BÌNH PHÚ</v>
      </c>
      <c r="G878" s="112" t="s">
        <v>2416</v>
      </c>
      <c r="H878" s="113" t="s">
        <v>2315</v>
      </c>
      <c r="I878" s="114"/>
      <c r="J878" s="109"/>
      <c r="K878" s="116">
        <v>2</v>
      </c>
      <c r="L878" s="117">
        <f t="shared" si="126"/>
        <v>100000</v>
      </c>
      <c r="M878" s="114"/>
      <c r="N878" s="118"/>
      <c r="O878" s="118">
        <v>1</v>
      </c>
      <c r="P878" s="114">
        <f>VLOOKUP($B878,ma!$A:$C,3,0)</f>
        <v>800000</v>
      </c>
      <c r="Q878" s="132">
        <v>880000</v>
      </c>
      <c r="R878" s="149">
        <v>9.9999999999999895E-2</v>
      </c>
      <c r="S878" s="119"/>
      <c r="T878" s="119"/>
      <c r="U878" s="119"/>
      <c r="V878" s="119"/>
      <c r="W878" s="119"/>
      <c r="X878" s="119"/>
      <c r="Y878" s="119"/>
      <c r="Z878" s="119"/>
      <c r="AA878" s="119"/>
    </row>
    <row r="879" spans="1:27" ht="15">
      <c r="A879" s="107">
        <f t="shared" si="125"/>
        <v>9</v>
      </c>
      <c r="B879" s="108" t="s">
        <v>907</v>
      </c>
      <c r="C879" s="109" t="s">
        <v>1490</v>
      </c>
      <c r="D879" s="110">
        <v>46111</v>
      </c>
      <c r="E879" s="109" t="str">
        <f>VLOOKUP($C879,xe!$A:$B,2,0)</f>
        <v>50H-44024</v>
      </c>
      <c r="F879" s="111" t="str">
        <f>VLOOKUP($B879,ma!$A:$B,2,0)</f>
        <v>M. BÌNH PHÚ</v>
      </c>
      <c r="G879" s="112" t="s">
        <v>2417</v>
      </c>
      <c r="H879" s="113" t="s">
        <v>2315</v>
      </c>
      <c r="I879" s="114"/>
      <c r="J879" s="109"/>
      <c r="K879" s="116">
        <v>2</v>
      </c>
      <c r="L879" s="117">
        <f t="shared" si="126"/>
        <v>100000</v>
      </c>
      <c r="M879" s="114"/>
      <c r="N879" s="118"/>
      <c r="O879" s="118">
        <v>1</v>
      </c>
      <c r="P879" s="114">
        <f>VLOOKUP($B879,ma!$A:$C,3,0)</f>
        <v>800000</v>
      </c>
      <c r="Q879" s="132">
        <v>880000</v>
      </c>
      <c r="R879" s="149">
        <v>9.9999999999999895E-2</v>
      </c>
      <c r="S879" s="119"/>
      <c r="T879" s="119"/>
      <c r="U879" s="119"/>
      <c r="V879" s="119"/>
      <c r="W879" s="119"/>
      <c r="X879" s="119"/>
      <c r="Y879" s="119"/>
      <c r="Z879" s="119"/>
      <c r="AA879" s="119"/>
    </row>
    <row r="880" spans="1:27" ht="15">
      <c r="A880" s="107">
        <f t="shared" si="125"/>
        <v>10</v>
      </c>
      <c r="B880" s="108" t="s">
        <v>1128</v>
      </c>
      <c r="C880" s="109" t="s">
        <v>2365</v>
      </c>
      <c r="D880" s="110">
        <v>46111</v>
      </c>
      <c r="E880" s="109" t="str">
        <f>VLOOKUP($C880,xe!$A:$B,2,0)</f>
        <v>50H-54580</v>
      </c>
      <c r="F880" s="111" t="str">
        <f>VLOOKUP($B880,ma!$A:$B,2,0)</f>
        <v>SATRA SÀI GÒN</v>
      </c>
      <c r="G880" s="112" t="s">
        <v>2418</v>
      </c>
      <c r="H880" s="113" t="s">
        <v>2208</v>
      </c>
      <c r="I880" s="114"/>
      <c r="J880" s="109"/>
      <c r="K880" s="116">
        <v>2</v>
      </c>
      <c r="L880" s="117">
        <f t="shared" si="126"/>
        <v>100000</v>
      </c>
      <c r="M880" s="114">
        <v>30000</v>
      </c>
      <c r="N880" s="118" t="s">
        <v>1423</v>
      </c>
      <c r="O880" s="118">
        <v>1</v>
      </c>
      <c r="P880" s="114">
        <f>VLOOKUP($B880,ma!$A:$C,3,0)</f>
        <v>800000</v>
      </c>
      <c r="Q880" s="132">
        <v>880000</v>
      </c>
      <c r="R880" s="149">
        <v>9.9999999999999895E-2</v>
      </c>
      <c r="S880" s="119"/>
      <c r="T880" s="119"/>
      <c r="U880" s="119"/>
      <c r="V880" s="119"/>
      <c r="W880" s="119"/>
      <c r="X880" s="119"/>
      <c r="Y880" s="119"/>
      <c r="Z880" s="119"/>
      <c r="AA880" s="119"/>
    </row>
    <row r="881" spans="1:27" ht="15">
      <c r="A881" s="107">
        <f t="shared" si="125"/>
        <v>11</v>
      </c>
      <c r="B881" s="108" t="s">
        <v>1128</v>
      </c>
      <c r="C881" s="109" t="s">
        <v>1546</v>
      </c>
      <c r="D881" s="110">
        <v>46111</v>
      </c>
      <c r="E881" s="109" t="s">
        <v>2172</v>
      </c>
      <c r="F881" s="111" t="str">
        <f>VLOOKUP($B881,ma!$A:$B,2,0)</f>
        <v>SATRA SÀI GÒN</v>
      </c>
      <c r="G881" s="112" t="s">
        <v>2419</v>
      </c>
      <c r="H881" s="113" t="s">
        <v>2208</v>
      </c>
      <c r="I881" s="114"/>
      <c r="J881" s="109"/>
      <c r="K881" s="116">
        <v>2</v>
      </c>
      <c r="L881" s="117">
        <f t="shared" si="126"/>
        <v>100000</v>
      </c>
      <c r="M881" s="114">
        <v>30000</v>
      </c>
      <c r="N881" s="118" t="s">
        <v>1423</v>
      </c>
      <c r="O881" s="118">
        <v>1</v>
      </c>
      <c r="P881" s="114">
        <f>VLOOKUP($B881,ma!$A:$C,3,0)</f>
        <v>800000</v>
      </c>
      <c r="Q881" s="132">
        <v>880000</v>
      </c>
      <c r="R881" s="149">
        <v>9.9999999999999895E-2</v>
      </c>
      <c r="S881" s="119"/>
      <c r="T881" s="119"/>
      <c r="U881" s="119"/>
      <c r="V881" s="119"/>
      <c r="W881" s="119"/>
      <c r="X881" s="119"/>
      <c r="Y881" s="119"/>
      <c r="Z881" s="119"/>
      <c r="AA881" s="119"/>
    </row>
    <row r="882" spans="1:27" ht="15">
      <c r="A882" s="107">
        <f t="shared" si="125"/>
        <v>12</v>
      </c>
      <c r="B882" s="108" t="s">
        <v>517</v>
      </c>
      <c r="C882" s="109" t="s">
        <v>2368</v>
      </c>
      <c r="D882" s="110">
        <v>46111</v>
      </c>
      <c r="E882" s="133" t="str">
        <f>VLOOKUP($C882,xe!$A:$B,2,0)</f>
        <v>50E-565,21</v>
      </c>
      <c r="F882" s="111" t="str">
        <f>VLOOKUP($B882,ma!$A:$B,2,0)</f>
        <v>PHONG VÂN - GÒ VẤP ( K BX )</v>
      </c>
      <c r="G882" s="112" t="s">
        <v>2420</v>
      </c>
      <c r="H882" s="113"/>
      <c r="I882" s="114"/>
      <c r="J882" s="109"/>
      <c r="K882" s="116">
        <v>1.8</v>
      </c>
      <c r="L882" s="117"/>
      <c r="M882" s="114"/>
      <c r="N882" s="118"/>
      <c r="O882" s="118">
        <v>1</v>
      </c>
      <c r="P882" s="114">
        <f>VLOOKUP($B882,ma!$A:$C,3,0)</f>
        <v>800000</v>
      </c>
      <c r="Q882" s="132">
        <v>880000</v>
      </c>
      <c r="R882" s="149">
        <v>9.9999999999999895E-2</v>
      </c>
      <c r="S882" s="119"/>
      <c r="T882" s="119"/>
      <c r="U882" s="119"/>
      <c r="V882" s="119"/>
      <c r="W882" s="119"/>
      <c r="X882" s="119"/>
      <c r="Y882" s="119"/>
      <c r="Z882" s="119"/>
      <c r="AA882" s="119"/>
    </row>
    <row r="883" spans="1:27" ht="15">
      <c r="A883" s="107">
        <f t="shared" si="125"/>
        <v>13</v>
      </c>
      <c r="B883" s="108" t="s">
        <v>2421</v>
      </c>
      <c r="C883" s="109" t="s">
        <v>10</v>
      </c>
      <c r="D883" s="110">
        <v>46111</v>
      </c>
      <c r="E883" s="109" t="str">
        <f>VLOOKUP($C883,xe!$A:$B,2,0)</f>
        <v>50H-50999</v>
      </c>
      <c r="F883" s="111" t="str">
        <f>VLOOKUP($B883,ma!$A:$B,2,0)</f>
        <v>Paparotti Tân Phú</v>
      </c>
      <c r="G883" s="112" t="s">
        <v>2422</v>
      </c>
      <c r="H883" s="113" t="s">
        <v>2208</v>
      </c>
      <c r="I883" s="114"/>
      <c r="J883" s="109"/>
      <c r="K883" s="116">
        <v>1.2</v>
      </c>
      <c r="L883" s="117">
        <f t="shared" ref="L883:L885" si="127">K883*50000</f>
        <v>60000</v>
      </c>
      <c r="M883" s="114"/>
      <c r="N883" s="118"/>
      <c r="O883" s="118">
        <v>1</v>
      </c>
      <c r="P883" s="114">
        <f>VLOOKUP($B883,ma!$A:$C,3,0)</f>
        <v>800000</v>
      </c>
      <c r="Q883" s="132">
        <v>880000</v>
      </c>
      <c r="R883" s="149">
        <v>9.9999999999999895E-2</v>
      </c>
      <c r="S883" s="119"/>
      <c r="T883" s="119"/>
      <c r="U883" s="119"/>
      <c r="V883" s="119"/>
      <c r="W883" s="119"/>
      <c r="X883" s="119"/>
      <c r="Y883" s="119"/>
      <c r="Z883" s="119"/>
      <c r="AA883" s="119"/>
    </row>
    <row r="884" spans="1:27" ht="15">
      <c r="A884" s="107">
        <f t="shared" si="125"/>
        <v>14</v>
      </c>
      <c r="B884" s="108" t="s">
        <v>741</v>
      </c>
      <c r="C884" s="109" t="s">
        <v>6</v>
      </c>
      <c r="D884" s="110">
        <v>46111</v>
      </c>
      <c r="E884" s="109" t="str">
        <f>VLOOKUP($C884,xe!$A:$B,2,0)</f>
        <v>50H-69501</v>
      </c>
      <c r="F884" s="111" t="str">
        <f>VLOOKUP($B884,ma!$A:$B,2,0)</f>
        <v>HUBCAKE</v>
      </c>
      <c r="G884" s="112" t="s">
        <v>2423</v>
      </c>
      <c r="H884" s="113" t="s">
        <v>2315</v>
      </c>
      <c r="I884" s="114"/>
      <c r="J884" s="109"/>
      <c r="K884" s="116">
        <v>1</v>
      </c>
      <c r="L884" s="117">
        <f t="shared" si="127"/>
        <v>50000</v>
      </c>
      <c r="M884" s="114">
        <v>30000</v>
      </c>
      <c r="N884" s="118" t="s">
        <v>1423</v>
      </c>
      <c r="O884" s="118">
        <v>1</v>
      </c>
      <c r="P884" s="114">
        <f>VLOOKUP($B884,ma!$A:$C,3,0)</f>
        <v>800000</v>
      </c>
      <c r="Q884" s="132">
        <v>880000</v>
      </c>
      <c r="R884" s="149">
        <v>9.9999999999999895E-2</v>
      </c>
      <c r="S884" s="119"/>
      <c r="T884" s="119"/>
      <c r="U884" s="119"/>
      <c r="V884" s="119"/>
      <c r="W884" s="119"/>
      <c r="X884" s="119"/>
      <c r="Y884" s="119"/>
      <c r="Z884" s="119"/>
      <c r="AA884" s="119"/>
    </row>
    <row r="885" spans="1:27" ht="15">
      <c r="A885" s="107">
        <f t="shared" si="125"/>
        <v>15</v>
      </c>
      <c r="B885" s="108" t="s">
        <v>680</v>
      </c>
      <c r="C885" s="109" t="s">
        <v>64</v>
      </c>
      <c r="D885" s="110">
        <v>46111</v>
      </c>
      <c r="E885" s="109" t="str">
        <f>VLOOKUP($C885,xe!$A:$B,2,0)</f>
        <v>50H-60635</v>
      </c>
      <c r="F885" s="111" t="str">
        <f>VLOOKUP($B885,ma!$A:$B,2,0)</f>
        <v>TA BAKER Q,12</v>
      </c>
      <c r="G885" s="112" t="s">
        <v>2424</v>
      </c>
      <c r="H885" s="113" t="s">
        <v>2315</v>
      </c>
      <c r="I885" s="114"/>
      <c r="J885" s="109"/>
      <c r="K885" s="116">
        <v>1.6</v>
      </c>
      <c r="L885" s="117">
        <f t="shared" si="127"/>
        <v>80000</v>
      </c>
      <c r="M885" s="114"/>
      <c r="N885" s="118"/>
      <c r="O885" s="118">
        <v>1</v>
      </c>
      <c r="P885" s="114">
        <f>VLOOKUP($B885,ma!$A:$C,3,0)</f>
        <v>800000</v>
      </c>
      <c r="Q885" s="132">
        <v>880000</v>
      </c>
      <c r="R885" s="149">
        <v>9.9999999999999895E-2</v>
      </c>
      <c r="S885" s="119"/>
      <c r="T885" s="119"/>
      <c r="U885" s="119"/>
      <c r="V885" s="119"/>
      <c r="W885" s="119"/>
      <c r="X885" s="119"/>
      <c r="Y885" s="119"/>
      <c r="Z885" s="119"/>
      <c r="AA885" s="119"/>
    </row>
    <row r="886" spans="1:27" ht="15">
      <c r="A886" s="107">
        <f t="shared" si="125"/>
        <v>16</v>
      </c>
      <c r="B886" s="108" t="s">
        <v>2425</v>
      </c>
      <c r="C886" s="109" t="s">
        <v>80</v>
      </c>
      <c r="D886" s="110">
        <v>46111</v>
      </c>
      <c r="E886" s="109" t="str">
        <f>VLOOKUP($C886,xe!$A:$B,2,0)</f>
        <v>51D-95538</v>
      </c>
      <c r="F886" s="111" t="str">
        <f>VLOOKUP($B886,ma!$A:$B,2,0)</f>
        <v>CHOLIMEX BINH CHÁNH ( KBX )</v>
      </c>
      <c r="G886" s="112" t="s">
        <v>2426</v>
      </c>
      <c r="H886" s="113" t="s">
        <v>2315</v>
      </c>
      <c r="I886" s="114"/>
      <c r="J886" s="109"/>
      <c r="K886" s="116">
        <v>2.2000000000000002</v>
      </c>
      <c r="L886" s="117"/>
      <c r="M886" s="114"/>
      <c r="N886" s="118"/>
      <c r="O886" s="118">
        <v>1</v>
      </c>
      <c r="P886" s="114">
        <f>VLOOKUP($B886,ma!$A:$C,3,0)</f>
        <v>800000</v>
      </c>
      <c r="Q886" s="132">
        <v>880000</v>
      </c>
      <c r="R886" s="149">
        <v>9.9999999999999895E-2</v>
      </c>
      <c r="S886" s="119"/>
      <c r="T886" s="119"/>
      <c r="U886" s="119"/>
      <c r="V886" s="119"/>
      <c r="W886" s="119"/>
      <c r="X886" s="119"/>
      <c r="Y886" s="119"/>
      <c r="Z886" s="119"/>
      <c r="AA886" s="119"/>
    </row>
    <row r="887" spans="1:27" ht="15">
      <c r="A887" s="107">
        <f t="shared" si="125"/>
        <v>17</v>
      </c>
      <c r="B887" s="108" t="s">
        <v>866</v>
      </c>
      <c r="C887" s="109" t="s">
        <v>19</v>
      </c>
      <c r="D887" s="110">
        <v>46111</v>
      </c>
      <c r="E887" s="109" t="str">
        <f>VLOOKUP($C887,xe!$A:$B,2,0)</f>
        <v>51H -88294</v>
      </c>
      <c r="F887" s="111" t="str">
        <f>VLOOKUP($B887,ma!$A:$B,2,0)</f>
        <v>XUÂN VÂN ( K BX )</v>
      </c>
      <c r="G887" s="112" t="s">
        <v>2427</v>
      </c>
      <c r="H887" s="113" t="s">
        <v>2208</v>
      </c>
      <c r="I887" s="114"/>
      <c r="J887" s="109"/>
      <c r="K887" s="116">
        <v>2</v>
      </c>
      <c r="L887" s="117">
        <v>50000</v>
      </c>
      <c r="M887" s="114"/>
      <c r="N887" s="118"/>
      <c r="O887" s="118">
        <v>1</v>
      </c>
      <c r="P887" s="114">
        <f>VLOOKUP($B887,ma!$A:$C,3,0)</f>
        <v>800000</v>
      </c>
      <c r="Q887" s="132">
        <v>880000</v>
      </c>
      <c r="R887" s="149">
        <v>9.9999999999999895E-2</v>
      </c>
      <c r="S887" s="119"/>
      <c r="T887" s="119"/>
      <c r="U887" s="119"/>
      <c r="V887" s="119"/>
      <c r="W887" s="119"/>
      <c r="X887" s="119"/>
      <c r="Y887" s="119"/>
      <c r="Z887" s="119"/>
      <c r="AA887" s="119"/>
    </row>
    <row r="888" spans="1:27" ht="15">
      <c r="A888" s="107">
        <f t="shared" si="125"/>
        <v>18</v>
      </c>
      <c r="B888" s="108" t="s">
        <v>866</v>
      </c>
      <c r="C888" s="109" t="s">
        <v>14</v>
      </c>
      <c r="D888" s="110">
        <v>46111</v>
      </c>
      <c r="E888" s="109" t="str">
        <f>VLOOKUP($C888,xe!$A:$B,2,0)</f>
        <v>50H-64470</v>
      </c>
      <c r="F888" s="111" t="str">
        <f>VLOOKUP($B888,ma!$A:$B,2,0)</f>
        <v>XUÂN VÂN ( K BX )</v>
      </c>
      <c r="G888" s="112" t="s">
        <v>2428</v>
      </c>
      <c r="H888" s="113" t="s">
        <v>2208</v>
      </c>
      <c r="I888" s="114"/>
      <c r="J888" s="109"/>
      <c r="K888" s="116">
        <v>2</v>
      </c>
      <c r="L888" s="117">
        <v>50000</v>
      </c>
      <c r="M888" s="114">
        <v>30000</v>
      </c>
      <c r="N888" s="118" t="s">
        <v>1423</v>
      </c>
      <c r="O888" s="118">
        <v>1</v>
      </c>
      <c r="P888" s="114">
        <f>VLOOKUP($B888,ma!$A:$C,3,0)</f>
        <v>800000</v>
      </c>
      <c r="Q888" s="132">
        <v>880000</v>
      </c>
      <c r="R888" s="149">
        <v>9.9999999999999895E-2</v>
      </c>
      <c r="S888" s="119"/>
      <c r="T888" s="119"/>
      <c r="U888" s="119"/>
      <c r="V888" s="119"/>
      <c r="W888" s="119"/>
      <c r="X888" s="119"/>
      <c r="Y888" s="119"/>
      <c r="Z888" s="119"/>
      <c r="AA888" s="119"/>
    </row>
    <row r="889" spans="1:27" ht="15">
      <c r="A889" s="107">
        <f t="shared" si="125"/>
        <v>19</v>
      </c>
      <c r="B889" s="108" t="s">
        <v>866</v>
      </c>
      <c r="C889" s="109" t="s">
        <v>34</v>
      </c>
      <c r="D889" s="110">
        <v>46111</v>
      </c>
      <c r="E889" s="109" t="str">
        <f>VLOOKUP($C889,xe!$A:$B,2,0)</f>
        <v>50H-66445</v>
      </c>
      <c r="F889" s="111" t="str">
        <f>VLOOKUP($B889,ma!$A:$B,2,0)</f>
        <v>XUÂN VÂN ( K BX )</v>
      </c>
      <c r="G889" s="112" t="s">
        <v>2429</v>
      </c>
      <c r="H889" s="113" t="s">
        <v>2315</v>
      </c>
      <c r="I889" s="114"/>
      <c r="J889" s="109"/>
      <c r="K889" s="116">
        <v>2</v>
      </c>
      <c r="L889" s="117">
        <v>50000</v>
      </c>
      <c r="M889" s="114"/>
      <c r="N889" s="118"/>
      <c r="O889" s="118">
        <v>1</v>
      </c>
      <c r="P889" s="114">
        <f>VLOOKUP($B889,ma!$A:$C,3,0)</f>
        <v>800000</v>
      </c>
      <c r="Q889" s="132">
        <v>880000</v>
      </c>
      <c r="R889" s="149">
        <v>9.9999999999999895E-2</v>
      </c>
      <c r="S889" s="119"/>
      <c r="T889" s="119"/>
      <c r="U889" s="119"/>
      <c r="V889" s="119"/>
      <c r="W889" s="119"/>
      <c r="X889" s="119"/>
      <c r="Y889" s="119"/>
      <c r="Z889" s="119"/>
      <c r="AA889" s="119"/>
    </row>
    <row r="890" spans="1:27" ht="15">
      <c r="A890" s="107">
        <f t="shared" si="125"/>
        <v>20</v>
      </c>
      <c r="B890" s="108" t="s">
        <v>1925</v>
      </c>
      <c r="C890" s="109" t="s">
        <v>1577</v>
      </c>
      <c r="D890" s="110">
        <v>46111</v>
      </c>
      <c r="E890" s="133" t="s">
        <v>2179</v>
      </c>
      <c r="F890" s="111" t="str">
        <f>VLOOKUP($B890,ma!$A:$B,2,0)</f>
        <v>PHONG VÂN ( K BX )</v>
      </c>
      <c r="G890" s="112" t="s">
        <v>2430</v>
      </c>
      <c r="H890" s="113" t="s">
        <v>2315</v>
      </c>
      <c r="I890" s="114"/>
      <c r="J890" s="109"/>
      <c r="K890" s="116">
        <v>2</v>
      </c>
      <c r="L890" s="117">
        <v>50000</v>
      </c>
      <c r="M890" s="114">
        <v>160000</v>
      </c>
      <c r="N890" s="118" t="s">
        <v>2431</v>
      </c>
      <c r="O890" s="118">
        <v>1</v>
      </c>
      <c r="P890" s="114">
        <f>VLOOKUP($B890,ma!$A:$C,3,0)</f>
        <v>800000</v>
      </c>
      <c r="Q890" s="132">
        <v>880000</v>
      </c>
      <c r="R890" s="149">
        <v>9.9999999999999895E-2</v>
      </c>
      <c r="S890" s="119"/>
      <c r="T890" s="119"/>
      <c r="U890" s="119"/>
      <c r="V890" s="119"/>
      <c r="W890" s="119"/>
      <c r="X890" s="119"/>
      <c r="Y890" s="119"/>
      <c r="Z890" s="119"/>
      <c r="AA890" s="119"/>
    </row>
    <row r="891" spans="1:27" ht="15">
      <c r="A891" s="107">
        <f t="shared" si="125"/>
        <v>21</v>
      </c>
      <c r="B891" s="108" t="s">
        <v>1063</v>
      </c>
      <c r="C891" s="109" t="s">
        <v>1493</v>
      </c>
      <c r="D891" s="110">
        <v>46111</v>
      </c>
      <c r="E891" s="109" t="s">
        <v>13</v>
      </c>
      <c r="F891" s="111" t="str">
        <f>VLOOKUP($B891,ma!$A:$B,2,0)</f>
        <v>BHX CẦN ĐƯỚC</v>
      </c>
      <c r="G891" s="112" t="s">
        <v>2432</v>
      </c>
      <c r="H891" s="113" t="s">
        <v>2315</v>
      </c>
      <c r="I891" s="114"/>
      <c r="J891" s="109"/>
      <c r="K891" s="116">
        <v>1.8</v>
      </c>
      <c r="L891" s="117">
        <f>K891*50000</f>
        <v>90000</v>
      </c>
      <c r="M891" s="114"/>
      <c r="N891" s="118"/>
      <c r="O891" s="118">
        <v>1</v>
      </c>
      <c r="P891" s="114">
        <f>VLOOKUP($B891,ma!$A:$C,3,0)</f>
        <v>900000</v>
      </c>
      <c r="Q891" s="132">
        <v>990000</v>
      </c>
      <c r="R891" s="149">
        <v>9.9999999999999895E-2</v>
      </c>
      <c r="S891" s="119"/>
      <c r="T891" s="119"/>
      <c r="U891" s="119"/>
      <c r="V891" s="119"/>
      <c r="W891" s="119"/>
      <c r="X891" s="119"/>
      <c r="Y891" s="119"/>
      <c r="Z891" s="119"/>
      <c r="AA891" s="119"/>
    </row>
    <row r="892" spans="1:27" ht="15">
      <c r="A892" s="107">
        <f t="shared" si="125"/>
        <v>22</v>
      </c>
      <c r="B892" s="108" t="s">
        <v>1063</v>
      </c>
      <c r="C892" s="109" t="s">
        <v>1655</v>
      </c>
      <c r="D892" s="110">
        <v>46111</v>
      </c>
      <c r="E892" s="109" t="str">
        <f>VLOOKUP($C892,xe!$A:$B,2,0)</f>
        <v>50H-70216</v>
      </c>
      <c r="F892" s="111" t="str">
        <f>VLOOKUP($B892,ma!$A:$B,2,0)</f>
        <v>BHX CẦN ĐƯỚC</v>
      </c>
      <c r="G892" s="112" t="s">
        <v>2433</v>
      </c>
      <c r="H892" s="113" t="s">
        <v>2315</v>
      </c>
      <c r="I892" s="114"/>
      <c r="J892" s="109"/>
      <c r="K892" s="116">
        <v>1.8</v>
      </c>
      <c r="L892" s="134">
        <v>220000</v>
      </c>
      <c r="M892" s="114">
        <v>30000</v>
      </c>
      <c r="N892" s="118" t="s">
        <v>1423</v>
      </c>
      <c r="O892" s="118">
        <v>1</v>
      </c>
      <c r="P892" s="114">
        <f>VLOOKUP($B892,ma!$A:$C,3,0)</f>
        <v>900000</v>
      </c>
      <c r="Q892" s="132">
        <v>990000</v>
      </c>
      <c r="R892" s="149">
        <v>9.9999999999999895E-2</v>
      </c>
      <c r="S892" s="119"/>
      <c r="T892" s="119"/>
      <c r="U892" s="119"/>
      <c r="V892" s="119"/>
      <c r="W892" s="119"/>
      <c r="X892" s="119"/>
      <c r="Y892" s="119"/>
      <c r="Z892" s="119"/>
      <c r="AA892" s="119"/>
    </row>
    <row r="893" spans="1:27" ht="15">
      <c r="A893" s="107">
        <f t="shared" si="125"/>
        <v>23</v>
      </c>
      <c r="B893" s="108" t="s">
        <v>1063</v>
      </c>
      <c r="C893" s="109" t="s">
        <v>1500</v>
      </c>
      <c r="D893" s="110">
        <v>46111</v>
      </c>
      <c r="E893" s="109" t="str">
        <f>VLOOKUP($C893,xe!$A:$B,2,0)</f>
        <v>50H 87442</v>
      </c>
      <c r="F893" s="111" t="str">
        <f>VLOOKUP($B893,ma!$A:$B,2,0)</f>
        <v>BHX CẦN ĐƯỚC</v>
      </c>
      <c r="G893" s="112" t="s">
        <v>2434</v>
      </c>
      <c r="H893" s="113" t="s">
        <v>2315</v>
      </c>
      <c r="I893" s="114"/>
      <c r="J893" s="109"/>
      <c r="K893" s="116">
        <v>1.8</v>
      </c>
      <c r="L893" s="134">
        <v>220000</v>
      </c>
      <c r="M893" s="114"/>
      <c r="N893" s="118"/>
      <c r="O893" s="118">
        <v>1</v>
      </c>
      <c r="P893" s="114">
        <f>VLOOKUP($B893,ma!$A:$C,3,0)</f>
        <v>900000</v>
      </c>
      <c r="Q893" s="132">
        <v>990000</v>
      </c>
      <c r="R893" s="149">
        <v>9.9999999999999895E-2</v>
      </c>
      <c r="S893" s="119"/>
      <c r="T893" s="119"/>
      <c r="U893" s="119"/>
      <c r="V893" s="119"/>
      <c r="W893" s="119"/>
      <c r="X893" s="119"/>
      <c r="Y893" s="119"/>
      <c r="Z893" s="119"/>
      <c r="AA893" s="119"/>
    </row>
    <row r="894" spans="1:27" ht="15">
      <c r="A894" s="107">
        <f t="shared" si="125"/>
        <v>24</v>
      </c>
      <c r="B894" s="108" t="s">
        <v>2230</v>
      </c>
      <c r="C894" s="109" t="s">
        <v>10</v>
      </c>
      <c r="D894" s="110">
        <v>46111</v>
      </c>
      <c r="E894" s="109" t="str">
        <f>VLOOKUP($C894,xe!$A:$B,2,0)</f>
        <v>50H-50999</v>
      </c>
      <c r="F894" s="111" t="str">
        <f>VLOOKUP($B894,ma!$A:$B,2,0)</f>
        <v>VFS</v>
      </c>
      <c r="G894" s="112" t="s">
        <v>2435</v>
      </c>
      <c r="H894" s="113" t="s">
        <v>2208</v>
      </c>
      <c r="I894" s="114"/>
      <c r="J894" s="109"/>
      <c r="K894" s="116">
        <v>1.4</v>
      </c>
      <c r="L894" s="117">
        <f t="shared" ref="L894:L895" si="128">K894*50000</f>
        <v>70000</v>
      </c>
      <c r="M894" s="114"/>
      <c r="N894" s="118"/>
      <c r="O894" s="118">
        <v>1</v>
      </c>
      <c r="P894" s="114">
        <f>VLOOKUP($B894,ma!$A:$C,3,0)</f>
        <v>800000</v>
      </c>
      <c r="Q894" s="132">
        <v>880000</v>
      </c>
      <c r="R894" s="149">
        <v>9.9999999999999895E-2</v>
      </c>
      <c r="S894" s="119"/>
      <c r="T894" s="119"/>
      <c r="U894" s="119"/>
      <c r="V894" s="119"/>
      <c r="W894" s="119"/>
      <c r="X894" s="119"/>
      <c r="Y894" s="119"/>
      <c r="Z894" s="119"/>
      <c r="AA894" s="119"/>
    </row>
    <row r="895" spans="1:27" ht="15">
      <c r="A895" s="107">
        <f t="shared" si="125"/>
        <v>25</v>
      </c>
      <c r="B895" s="108" t="s">
        <v>2230</v>
      </c>
      <c r="C895" s="109" t="s">
        <v>1500</v>
      </c>
      <c r="D895" s="110">
        <v>46111</v>
      </c>
      <c r="E895" s="109" t="str">
        <f>VLOOKUP($C895,xe!$A:$B,2,0)</f>
        <v>50H 87442</v>
      </c>
      <c r="F895" s="111" t="str">
        <f>VLOOKUP($B895,ma!$A:$B,2,0)</f>
        <v>VFS</v>
      </c>
      <c r="G895" s="112" t="s">
        <v>2436</v>
      </c>
      <c r="H895" s="113" t="s">
        <v>2208</v>
      </c>
      <c r="I895" s="114"/>
      <c r="J895" s="109"/>
      <c r="K895" s="116">
        <v>1.4</v>
      </c>
      <c r="L895" s="117">
        <f t="shared" si="128"/>
        <v>70000</v>
      </c>
      <c r="M895" s="114"/>
      <c r="N895" s="118"/>
      <c r="O895" s="118">
        <v>1</v>
      </c>
      <c r="P895" s="114">
        <f>VLOOKUP($B895,ma!$A:$C,3,0)</f>
        <v>800000</v>
      </c>
      <c r="Q895" s="132">
        <v>880000</v>
      </c>
      <c r="R895" s="149">
        <v>9.9999999999999895E-2</v>
      </c>
      <c r="S895" s="119"/>
      <c r="T895" s="119"/>
      <c r="U895" s="119"/>
      <c r="V895" s="119"/>
      <c r="W895" s="119"/>
      <c r="X895" s="119"/>
      <c r="Y895" s="119"/>
      <c r="Z895" s="119"/>
      <c r="AA895" s="119"/>
    </row>
    <row r="896" spans="1:27" ht="15">
      <c r="A896" s="107">
        <f t="shared" si="125"/>
        <v>26</v>
      </c>
      <c r="B896" s="108" t="s">
        <v>2437</v>
      </c>
      <c r="C896" s="109" t="s">
        <v>1506</v>
      </c>
      <c r="D896" s="110">
        <v>46111</v>
      </c>
      <c r="E896" s="109" t="str">
        <f>VLOOKUP($C896,xe!$A:$B,2,0)</f>
        <v>50H-55443</v>
      </c>
      <c r="F896" s="111" t="str">
        <f>VLOOKUP($B896,ma!$A:$B,2,0)</f>
        <v>BHX LONG BÌNH</v>
      </c>
      <c r="G896" s="112" t="s">
        <v>2438</v>
      </c>
      <c r="H896" s="113" t="s">
        <v>2208</v>
      </c>
      <c r="I896" s="114"/>
      <c r="J896" s="109"/>
      <c r="K896" s="116">
        <v>2.2000000000000002</v>
      </c>
      <c r="L896" s="134">
        <v>210000</v>
      </c>
      <c r="M896" s="114">
        <v>30000</v>
      </c>
      <c r="N896" s="118" t="s">
        <v>1423</v>
      </c>
      <c r="O896" s="118">
        <v>1</v>
      </c>
      <c r="P896" s="114">
        <f>VLOOKUP($B896,ma!$A:$C,3,0)</f>
        <v>900000</v>
      </c>
      <c r="Q896" s="132">
        <v>990000</v>
      </c>
      <c r="R896" s="149">
        <v>9.9999999999999895E-2</v>
      </c>
      <c r="S896" s="119"/>
      <c r="T896" s="119"/>
      <c r="U896" s="119"/>
      <c r="V896" s="119"/>
      <c r="W896" s="119"/>
      <c r="X896" s="119"/>
      <c r="Y896" s="119"/>
      <c r="Z896" s="119"/>
      <c r="AA896" s="119"/>
    </row>
    <row r="897" spans="1:27" ht="15">
      <c r="A897" s="107">
        <f t="shared" si="125"/>
        <v>27</v>
      </c>
      <c r="B897" s="108" t="s">
        <v>2437</v>
      </c>
      <c r="C897" s="109" t="s">
        <v>2368</v>
      </c>
      <c r="D897" s="110">
        <v>46111</v>
      </c>
      <c r="E897" s="133" t="str">
        <f>VLOOKUP($C897,xe!$A:$B,2,0)</f>
        <v>50E-565,21</v>
      </c>
      <c r="F897" s="111" t="str">
        <f>VLOOKUP($B897,ma!$A:$B,2,0)</f>
        <v>BHX LONG BÌNH</v>
      </c>
      <c r="G897" s="112" t="s">
        <v>2439</v>
      </c>
      <c r="H897" s="113" t="s">
        <v>2208</v>
      </c>
      <c r="I897" s="114"/>
      <c r="J897" s="109"/>
      <c r="K897" s="116">
        <v>2.2000000000000002</v>
      </c>
      <c r="L897" s="117">
        <f>K897*80000</f>
        <v>176000</v>
      </c>
      <c r="M897" s="114"/>
      <c r="N897" s="118"/>
      <c r="O897" s="118">
        <v>1</v>
      </c>
      <c r="P897" s="114">
        <f>VLOOKUP($B897,ma!$A:$C,3,0)</f>
        <v>900000</v>
      </c>
      <c r="Q897" s="132">
        <v>990000</v>
      </c>
      <c r="R897" s="149">
        <v>9.9999999999999895E-2</v>
      </c>
      <c r="S897" s="119"/>
      <c r="T897" s="119"/>
      <c r="U897" s="119"/>
      <c r="V897" s="119"/>
      <c r="W897" s="119"/>
      <c r="X897" s="119"/>
      <c r="Y897" s="119"/>
      <c r="Z897" s="119"/>
      <c r="AA897" s="119"/>
    </row>
    <row r="898" spans="1:27" ht="15">
      <c r="A898" s="107">
        <f t="shared" si="125"/>
        <v>28</v>
      </c>
      <c r="B898" s="108" t="s">
        <v>2440</v>
      </c>
      <c r="C898" s="109" t="s">
        <v>1502</v>
      </c>
      <c r="D898" s="110">
        <v>46111</v>
      </c>
      <c r="E898" s="133" t="s">
        <v>2179</v>
      </c>
      <c r="F898" s="111" t="str">
        <f>VLOOKUP($B898,ma!$A:$B,2,0)</f>
        <v>BC MIỀN ĐÔNG</v>
      </c>
      <c r="G898" s="112" t="s">
        <v>2441</v>
      </c>
      <c r="H898" s="113" t="s">
        <v>2208</v>
      </c>
      <c r="I898" s="114"/>
      <c r="J898" s="109"/>
      <c r="K898" s="116">
        <v>2</v>
      </c>
      <c r="L898" s="117">
        <f t="shared" ref="L898:L912" si="129">K898*50000</f>
        <v>100000</v>
      </c>
      <c r="M898" s="114">
        <v>50000</v>
      </c>
      <c r="N898" s="118" t="s">
        <v>2442</v>
      </c>
      <c r="O898" s="118">
        <v>1</v>
      </c>
      <c r="P898" s="114">
        <f>VLOOKUP($B898,ma!$A:$C,3,0)</f>
        <v>800000</v>
      </c>
      <c r="Q898" s="132">
        <v>880000</v>
      </c>
      <c r="R898" s="149">
        <v>9.9999999999999895E-2</v>
      </c>
      <c r="S898" s="119"/>
      <c r="T898" s="119"/>
      <c r="U898" s="119"/>
      <c r="V898" s="119"/>
      <c r="W898" s="119"/>
      <c r="X898" s="119"/>
      <c r="Y898" s="119"/>
      <c r="Z898" s="119"/>
      <c r="AA898" s="119"/>
    </row>
    <row r="899" spans="1:27" ht="15">
      <c r="A899" s="107">
        <f t="shared" si="125"/>
        <v>29</v>
      </c>
      <c r="B899" s="108" t="s">
        <v>1462</v>
      </c>
      <c r="C899" s="109" t="s">
        <v>34</v>
      </c>
      <c r="D899" s="110">
        <v>46111</v>
      </c>
      <c r="E899" s="109" t="str">
        <f>VLOOKUP($C899,xe!$A:$B,2,0)</f>
        <v>50H-66445</v>
      </c>
      <c r="F899" s="111" t="str">
        <f>VLOOKUP($B899,ma!$A:$B,2,0)</f>
        <v>M. AN PHÚ</v>
      </c>
      <c r="G899" s="112" t="s">
        <v>1405</v>
      </c>
      <c r="H899" s="113" t="s">
        <v>2208</v>
      </c>
      <c r="I899" s="114"/>
      <c r="J899" s="147" t="s">
        <v>1457</v>
      </c>
      <c r="K899" s="116">
        <v>1.8</v>
      </c>
      <c r="L899" s="117">
        <f t="shared" si="129"/>
        <v>90000</v>
      </c>
      <c r="M899" s="114">
        <v>30000</v>
      </c>
      <c r="N899" s="118" t="s">
        <v>1423</v>
      </c>
      <c r="O899" s="118">
        <v>1</v>
      </c>
      <c r="P899" s="114">
        <f>VLOOKUP($B899,ma!$A:$C,3,0)</f>
        <v>800000</v>
      </c>
      <c r="Q899" s="132">
        <v>880000</v>
      </c>
      <c r="R899" s="149">
        <v>9.9999999999999895E-2</v>
      </c>
      <c r="S899" s="119"/>
      <c r="T899" s="119"/>
      <c r="U899" s="119"/>
      <c r="V899" s="119"/>
      <c r="W899" s="119"/>
      <c r="X899" s="119"/>
      <c r="Y899" s="119"/>
      <c r="Z899" s="119"/>
      <c r="AA899" s="119"/>
    </row>
    <row r="900" spans="1:27" ht="15">
      <c r="A900" s="107">
        <f t="shared" si="125"/>
        <v>30</v>
      </c>
      <c r="B900" s="108" t="s">
        <v>1462</v>
      </c>
      <c r="C900" s="109" t="s">
        <v>2229</v>
      </c>
      <c r="D900" s="110">
        <v>46111</v>
      </c>
      <c r="E900" s="109" t="str">
        <f>VLOOKUP($C900,xe!$A:$B,2,0)</f>
        <v>51D-95538</v>
      </c>
      <c r="F900" s="111" t="str">
        <f>VLOOKUP($B900,ma!$A:$B,2,0)</f>
        <v>M. AN PHÚ</v>
      </c>
      <c r="G900" s="112" t="s">
        <v>1405</v>
      </c>
      <c r="H900" s="113" t="s">
        <v>2208</v>
      </c>
      <c r="I900" s="114"/>
      <c r="J900" s="147" t="s">
        <v>1457</v>
      </c>
      <c r="K900" s="116">
        <v>1.8</v>
      </c>
      <c r="L900" s="117">
        <f t="shared" si="129"/>
        <v>90000</v>
      </c>
      <c r="M900" s="114"/>
      <c r="N900" s="118"/>
      <c r="O900" s="118">
        <v>1</v>
      </c>
      <c r="P900" s="114">
        <f>VLOOKUP($B900,ma!$A:$C,3,0)</f>
        <v>800000</v>
      </c>
      <c r="Q900" s="132">
        <v>880000</v>
      </c>
      <c r="R900" s="149">
        <v>9.9999999999999895E-2</v>
      </c>
      <c r="S900" s="119"/>
      <c r="T900" s="119"/>
      <c r="U900" s="119"/>
      <c r="V900" s="119"/>
      <c r="W900" s="119"/>
      <c r="X900" s="119"/>
      <c r="Y900" s="119"/>
      <c r="Z900" s="119"/>
      <c r="AA900" s="119"/>
    </row>
    <row r="901" spans="1:27" ht="15">
      <c r="A901" s="107">
        <f t="shared" si="125"/>
        <v>31</v>
      </c>
      <c r="B901" s="108" t="s">
        <v>1462</v>
      </c>
      <c r="C901" s="109" t="s">
        <v>1546</v>
      </c>
      <c r="D901" s="110">
        <v>46111</v>
      </c>
      <c r="E901" s="109" t="s">
        <v>2172</v>
      </c>
      <c r="F901" s="111" t="str">
        <f>VLOOKUP($B901,ma!$A:$B,2,0)</f>
        <v>M. AN PHÚ</v>
      </c>
      <c r="G901" s="112" t="s">
        <v>1405</v>
      </c>
      <c r="H901" s="113" t="s">
        <v>2208</v>
      </c>
      <c r="I901" s="114"/>
      <c r="J901" s="147" t="s">
        <v>1457</v>
      </c>
      <c r="K901" s="116">
        <v>1.8</v>
      </c>
      <c r="L901" s="117">
        <f t="shared" si="129"/>
        <v>90000</v>
      </c>
      <c r="M901" s="114">
        <v>30000</v>
      </c>
      <c r="N901" s="118" t="s">
        <v>1430</v>
      </c>
      <c r="O901" s="118">
        <v>1</v>
      </c>
      <c r="P901" s="114">
        <f>VLOOKUP($B901,ma!$A:$C,3,0)</f>
        <v>800000</v>
      </c>
      <c r="Q901" s="132">
        <v>880000</v>
      </c>
      <c r="R901" s="149">
        <v>9.9999999999999895E-2</v>
      </c>
      <c r="S901" s="119"/>
      <c r="T901" s="119"/>
      <c r="U901" s="119"/>
      <c r="V901" s="119"/>
      <c r="W901" s="119"/>
      <c r="X901" s="119"/>
      <c r="Y901" s="119"/>
      <c r="Z901" s="119"/>
      <c r="AA901" s="119"/>
    </row>
    <row r="902" spans="1:27" ht="15">
      <c r="A902" s="107">
        <f t="shared" si="125"/>
        <v>32</v>
      </c>
      <c r="B902" s="108" t="s">
        <v>1462</v>
      </c>
      <c r="C902" s="109" t="s">
        <v>2365</v>
      </c>
      <c r="D902" s="110">
        <v>46111</v>
      </c>
      <c r="E902" s="109" t="str">
        <f>VLOOKUP($C902,xe!$A:$B,2,0)</f>
        <v>50H-54580</v>
      </c>
      <c r="F902" s="111" t="str">
        <f>VLOOKUP($B902,ma!$A:$B,2,0)</f>
        <v>M. AN PHÚ</v>
      </c>
      <c r="G902" s="112" t="s">
        <v>1405</v>
      </c>
      <c r="H902" s="113" t="s">
        <v>2208</v>
      </c>
      <c r="I902" s="114"/>
      <c r="J902" s="147" t="s">
        <v>1457</v>
      </c>
      <c r="K902" s="116">
        <v>1.8</v>
      </c>
      <c r="L902" s="117">
        <f t="shared" si="129"/>
        <v>90000</v>
      </c>
      <c r="M902" s="114"/>
      <c r="N902" s="118"/>
      <c r="O902" s="118">
        <v>1</v>
      </c>
      <c r="P902" s="114">
        <f>VLOOKUP($B902,ma!$A:$C,3,0)</f>
        <v>800000</v>
      </c>
      <c r="Q902" s="132">
        <v>880000</v>
      </c>
      <c r="R902" s="149">
        <v>9.9999999999999895E-2</v>
      </c>
      <c r="S902" s="119"/>
      <c r="T902" s="119"/>
      <c r="U902" s="119"/>
      <c r="V902" s="119"/>
      <c r="W902" s="119"/>
      <c r="X902" s="119"/>
      <c r="Y902" s="119"/>
      <c r="Z902" s="119"/>
      <c r="AA902" s="119"/>
    </row>
    <row r="903" spans="1:27" ht="15">
      <c r="A903" s="107">
        <f t="shared" si="125"/>
        <v>33</v>
      </c>
      <c r="B903" s="108" t="s">
        <v>1462</v>
      </c>
      <c r="C903" s="109" t="s">
        <v>1655</v>
      </c>
      <c r="D903" s="110">
        <v>46111</v>
      </c>
      <c r="E903" s="109" t="str">
        <f>VLOOKUP($C903,xe!$A:$B,2,0)</f>
        <v>50H-70216</v>
      </c>
      <c r="F903" s="111" t="str">
        <f>VLOOKUP($B903,ma!$A:$B,2,0)</f>
        <v>M. AN PHÚ</v>
      </c>
      <c r="G903" s="112" t="s">
        <v>1405</v>
      </c>
      <c r="H903" s="113" t="s">
        <v>2208</v>
      </c>
      <c r="I903" s="114"/>
      <c r="J903" s="147" t="s">
        <v>1457</v>
      </c>
      <c r="K903" s="116">
        <v>1.8</v>
      </c>
      <c r="L903" s="117">
        <f t="shared" si="129"/>
        <v>90000</v>
      </c>
      <c r="M903" s="114">
        <v>30000</v>
      </c>
      <c r="N903" s="118" t="s">
        <v>1430</v>
      </c>
      <c r="O903" s="118">
        <v>1</v>
      </c>
      <c r="P903" s="114">
        <f>VLOOKUP($B903,ma!$A:$C,3,0)</f>
        <v>800000</v>
      </c>
      <c r="Q903" s="132">
        <v>880000</v>
      </c>
      <c r="R903" s="149">
        <v>9.9999999999999895E-2</v>
      </c>
      <c r="S903" s="119"/>
      <c r="T903" s="119"/>
      <c r="U903" s="119"/>
      <c r="V903" s="119"/>
      <c r="W903" s="119"/>
      <c r="X903" s="119"/>
      <c r="Y903" s="119"/>
      <c r="Z903" s="119"/>
      <c r="AA903" s="119"/>
    </row>
    <row r="904" spans="1:27" ht="15">
      <c r="A904" s="137">
        <v>1</v>
      </c>
      <c r="B904" s="138" t="s">
        <v>110</v>
      </c>
      <c r="C904" s="139" t="s">
        <v>14</v>
      </c>
      <c r="D904" s="140">
        <v>46112</v>
      </c>
      <c r="E904" s="139" t="str">
        <f>VLOOKUP($C904,xe!$A:$B,2,0)</f>
        <v>50H-64470</v>
      </c>
      <c r="F904" s="141" t="str">
        <f>VLOOKUP($B904,ma!$A:$B,2,0)</f>
        <v>CALOFIC - UNI ( xe nhỏ )</v>
      </c>
      <c r="G904" s="142" t="s">
        <v>2443</v>
      </c>
      <c r="H904" s="126" t="s">
        <v>1788</v>
      </c>
      <c r="I904" s="132"/>
      <c r="J904" s="115" t="s">
        <v>140</v>
      </c>
      <c r="K904" s="129">
        <v>1.6</v>
      </c>
      <c r="L904" s="143">
        <f t="shared" si="129"/>
        <v>80000</v>
      </c>
      <c r="M904" s="132"/>
      <c r="N904" s="144"/>
      <c r="O904" s="144">
        <v>1</v>
      </c>
      <c r="P904" s="132">
        <f>VLOOKUP($B904,ma!$A:$C,3,0)</f>
        <v>300000</v>
      </c>
      <c r="Q904" s="132">
        <f>VLOOKUP($B904,ma!$A:$C,3,0)</f>
        <v>300000</v>
      </c>
      <c r="R904" s="156"/>
      <c r="S904" s="156"/>
      <c r="T904" s="156"/>
      <c r="U904" s="156"/>
      <c r="V904" s="156"/>
      <c r="W904" s="156"/>
      <c r="X904" s="156"/>
      <c r="Y904" s="156"/>
      <c r="Z904" s="156"/>
      <c r="AA904" s="156"/>
    </row>
    <row r="905" spans="1:27" ht="15">
      <c r="A905" s="107">
        <f t="shared" ref="A905:A939" si="130">A904+1</f>
        <v>2</v>
      </c>
      <c r="B905" s="108" t="s">
        <v>110</v>
      </c>
      <c r="C905" s="109" t="s">
        <v>1493</v>
      </c>
      <c r="D905" s="110">
        <v>46112</v>
      </c>
      <c r="E905" s="109" t="s">
        <v>13</v>
      </c>
      <c r="F905" s="111" t="str">
        <f>VLOOKUP($B905,ma!$A:$B,2,0)</f>
        <v>CALOFIC - UNI ( xe nhỏ )</v>
      </c>
      <c r="G905" s="112" t="s">
        <v>2444</v>
      </c>
      <c r="H905" s="113" t="s">
        <v>2208</v>
      </c>
      <c r="I905" s="114"/>
      <c r="J905" s="115" t="s">
        <v>140</v>
      </c>
      <c r="K905" s="116">
        <v>1.6</v>
      </c>
      <c r="L905" s="117">
        <f t="shared" si="129"/>
        <v>80000</v>
      </c>
      <c r="M905" s="114"/>
      <c r="N905" s="118"/>
      <c r="O905" s="118">
        <v>1</v>
      </c>
      <c r="P905" s="114">
        <f>VLOOKUP($B905,ma!$A:$C,3,0)</f>
        <v>300000</v>
      </c>
      <c r="Q905" s="114">
        <f>VLOOKUP($B905,ma!$A:$C,3,0)</f>
        <v>300000</v>
      </c>
      <c r="R905" s="119"/>
      <c r="S905" s="119"/>
      <c r="T905" s="119"/>
      <c r="U905" s="119"/>
      <c r="V905" s="119"/>
      <c r="W905" s="119"/>
      <c r="X905" s="119"/>
      <c r="Y905" s="119"/>
      <c r="Z905" s="119"/>
      <c r="AA905" s="119"/>
    </row>
    <row r="906" spans="1:27" ht="15">
      <c r="A906" s="107">
        <f t="shared" si="130"/>
        <v>3</v>
      </c>
      <c r="B906" s="108" t="s">
        <v>2445</v>
      </c>
      <c r="C906" s="109" t="s">
        <v>2446</v>
      </c>
      <c r="D906" s="110">
        <v>46112</v>
      </c>
      <c r="E906" s="109" t="str">
        <f>VLOOKUP($C906,xe!$A:$B,2,0)</f>
        <v>50H-50999</v>
      </c>
      <c r="F906" s="111" t="str">
        <f>VLOOKUP($B906,ma!$A:$B,2,0)</f>
        <v>PHÚC ANH - B.THẠNH</v>
      </c>
      <c r="G906" s="112" t="s">
        <v>2447</v>
      </c>
      <c r="H906" s="113" t="s">
        <v>2208</v>
      </c>
      <c r="I906" s="114"/>
      <c r="J906" s="115" t="s">
        <v>140</v>
      </c>
      <c r="K906" s="116">
        <v>1.2</v>
      </c>
      <c r="L906" s="117">
        <f t="shared" si="129"/>
        <v>60000</v>
      </c>
      <c r="M906" s="114"/>
      <c r="N906" s="118"/>
      <c r="O906" s="118">
        <v>1</v>
      </c>
      <c r="P906" s="114">
        <f>VLOOKUP($B906,ma!$A:$C,3,0)</f>
        <v>800000</v>
      </c>
      <c r="Q906" s="132">
        <v>880000</v>
      </c>
      <c r="R906" s="149">
        <v>9.9999999999999895E-2</v>
      </c>
      <c r="S906" s="119"/>
      <c r="T906" s="119"/>
      <c r="U906" s="119"/>
      <c r="V906" s="119"/>
      <c r="W906" s="119"/>
      <c r="X906" s="119"/>
      <c r="Y906" s="119"/>
      <c r="Z906" s="119"/>
      <c r="AA906" s="119"/>
    </row>
    <row r="907" spans="1:27" ht="15">
      <c r="A907" s="107">
        <f t="shared" si="130"/>
        <v>4</v>
      </c>
      <c r="B907" s="108" t="s">
        <v>1452</v>
      </c>
      <c r="C907" s="109" t="s">
        <v>58</v>
      </c>
      <c r="D907" s="110">
        <v>46112</v>
      </c>
      <c r="E907" s="109" t="str">
        <f>VLOOKUP($C907,xe!$A:$B,2,0)</f>
        <v>51C-81056</v>
      </c>
      <c r="F907" s="111" t="str">
        <f>VLOOKUP($B907,ma!$A:$B,2,0)</f>
        <v>E MART SALA</v>
      </c>
      <c r="G907" s="112" t="s">
        <v>2448</v>
      </c>
      <c r="H907" s="113" t="s">
        <v>2208</v>
      </c>
      <c r="I907" s="114"/>
      <c r="J907" s="115" t="s">
        <v>140</v>
      </c>
      <c r="K907" s="116">
        <v>1.6</v>
      </c>
      <c r="L907" s="117">
        <f t="shared" si="129"/>
        <v>80000</v>
      </c>
      <c r="M907" s="114"/>
      <c r="N907" s="118"/>
      <c r="O907" s="118">
        <v>1</v>
      </c>
      <c r="P907" s="114">
        <f>VLOOKUP($B907,ma!$A:$C,3,0)</f>
        <v>800000</v>
      </c>
      <c r="Q907" s="132">
        <v>880000</v>
      </c>
      <c r="R907" s="149">
        <v>9.9999999999999895E-2</v>
      </c>
      <c r="S907" s="119"/>
      <c r="T907" s="119"/>
      <c r="U907" s="119"/>
      <c r="V907" s="119"/>
      <c r="W907" s="119"/>
      <c r="X907" s="119"/>
      <c r="Y907" s="119"/>
      <c r="Z907" s="119"/>
      <c r="AA907" s="119"/>
    </row>
    <row r="908" spans="1:27" ht="15">
      <c r="A908" s="107">
        <f t="shared" si="130"/>
        <v>5</v>
      </c>
      <c r="B908" s="108" t="s">
        <v>1452</v>
      </c>
      <c r="C908" s="109" t="s">
        <v>60</v>
      </c>
      <c r="D908" s="110">
        <v>46112</v>
      </c>
      <c r="E908" s="109" t="str">
        <f>VLOOKUP($C908,xe!$A:$B,2,0)</f>
        <v>50H-11822</v>
      </c>
      <c r="F908" s="111" t="str">
        <f>VLOOKUP($B908,ma!$A:$B,2,0)</f>
        <v>E MART SALA</v>
      </c>
      <c r="G908" s="112" t="s">
        <v>2449</v>
      </c>
      <c r="H908" s="113" t="s">
        <v>2208</v>
      </c>
      <c r="I908" s="114"/>
      <c r="J908" s="115" t="s">
        <v>140</v>
      </c>
      <c r="K908" s="116">
        <v>1.6</v>
      </c>
      <c r="L908" s="117">
        <f t="shared" si="129"/>
        <v>80000</v>
      </c>
      <c r="M908" s="114"/>
      <c r="N908" s="118"/>
      <c r="O908" s="118">
        <v>1</v>
      </c>
      <c r="P908" s="114">
        <f>VLOOKUP($B908,ma!$A:$C,3,0)</f>
        <v>800000</v>
      </c>
      <c r="Q908" s="132">
        <v>880000</v>
      </c>
      <c r="R908" s="149">
        <v>9.9999999999999895E-2</v>
      </c>
      <c r="S908" s="119"/>
      <c r="T908" s="119"/>
      <c r="U908" s="119"/>
      <c r="V908" s="119"/>
      <c r="W908" s="119"/>
      <c r="X908" s="119"/>
      <c r="Y908" s="119"/>
      <c r="Z908" s="119"/>
      <c r="AA908" s="119"/>
    </row>
    <row r="909" spans="1:27" ht="15">
      <c r="A909" s="107">
        <f t="shared" si="130"/>
        <v>6</v>
      </c>
      <c r="B909" s="108" t="s">
        <v>1452</v>
      </c>
      <c r="C909" s="109" t="s">
        <v>1538</v>
      </c>
      <c r="D909" s="110">
        <v>46112</v>
      </c>
      <c r="E909" s="109" t="str">
        <f>VLOOKUP($C909,xe!$A:$B,2,0)</f>
        <v>62H-01887</v>
      </c>
      <c r="F909" s="111" t="str">
        <f>VLOOKUP($B909,ma!$A:$B,2,0)</f>
        <v>E MART SALA</v>
      </c>
      <c r="G909" s="112" t="s">
        <v>2450</v>
      </c>
      <c r="H909" s="113" t="s">
        <v>2208</v>
      </c>
      <c r="I909" s="114"/>
      <c r="J909" s="115" t="s">
        <v>140</v>
      </c>
      <c r="K909" s="116">
        <v>1.6</v>
      </c>
      <c r="L909" s="117">
        <f t="shared" si="129"/>
        <v>80000</v>
      </c>
      <c r="M909" s="114"/>
      <c r="N909" s="118"/>
      <c r="O909" s="118">
        <v>1</v>
      </c>
      <c r="P909" s="114">
        <f>VLOOKUP($B909,ma!$A:$C,3,0)</f>
        <v>800000</v>
      </c>
      <c r="Q909" s="132">
        <v>880000</v>
      </c>
      <c r="R909" s="149">
        <v>9.9999999999999895E-2</v>
      </c>
      <c r="S909" s="119"/>
      <c r="T909" s="119"/>
      <c r="U909" s="119"/>
      <c r="V909" s="119"/>
      <c r="W909" s="119"/>
      <c r="X909" s="119"/>
      <c r="Y909" s="119"/>
      <c r="Z909" s="119"/>
      <c r="AA909" s="119"/>
    </row>
    <row r="910" spans="1:27" ht="15">
      <c r="A910" s="107">
        <f t="shared" si="130"/>
        <v>7</v>
      </c>
      <c r="B910" s="108" t="s">
        <v>1124</v>
      </c>
      <c r="C910" s="109" t="s">
        <v>2451</v>
      </c>
      <c r="D910" s="110">
        <v>46112</v>
      </c>
      <c r="E910" s="109" t="str">
        <f>VLOOKUP($C910,xe!$A:$B,2,0)</f>
        <v>50H-60635</v>
      </c>
      <c r="F910" s="111" t="str">
        <f>VLOOKUP($B910,ma!$A:$B,2,0)</f>
        <v>SATRA VIETTEL</v>
      </c>
      <c r="G910" s="112" t="s">
        <v>2452</v>
      </c>
      <c r="H910" s="113" t="s">
        <v>2453</v>
      </c>
      <c r="I910" s="114"/>
      <c r="J910" s="109"/>
      <c r="K910" s="116">
        <v>1.2</v>
      </c>
      <c r="L910" s="117">
        <f t="shared" si="129"/>
        <v>60000</v>
      </c>
      <c r="M910" s="114"/>
      <c r="N910" s="118"/>
      <c r="O910" s="118">
        <v>1</v>
      </c>
      <c r="P910" s="114">
        <f>VLOOKUP($B910,ma!$A:$C,3,0)</f>
        <v>800000</v>
      </c>
      <c r="Q910" s="132">
        <v>880000</v>
      </c>
      <c r="R910" s="149">
        <v>9.9999999999999895E-2</v>
      </c>
      <c r="S910" s="119"/>
      <c r="T910" s="119"/>
      <c r="U910" s="119"/>
      <c r="V910" s="119"/>
      <c r="W910" s="119"/>
      <c r="X910" s="119"/>
      <c r="Y910" s="119"/>
      <c r="Z910" s="119"/>
      <c r="AA910" s="119"/>
    </row>
    <row r="911" spans="1:27" ht="15">
      <c r="A911" s="107">
        <f t="shared" si="130"/>
        <v>8</v>
      </c>
      <c r="B911" s="108" t="s">
        <v>814</v>
      </c>
      <c r="C911" s="109" t="s">
        <v>1524</v>
      </c>
      <c r="D911" s="110">
        <v>46112</v>
      </c>
      <c r="E911" s="109" t="str">
        <f>VLOOKUP($C911,xe!$A:$B,2,0)</f>
        <v>51D-38021</v>
      </c>
      <c r="F911" s="111" t="str">
        <f>VLOOKUP($B911,ma!$A:$B,2,0)</f>
        <v>VINAFOOD KYOEI</v>
      </c>
      <c r="G911" s="112" t="s">
        <v>2454</v>
      </c>
      <c r="H911" s="113" t="s">
        <v>2208</v>
      </c>
      <c r="I911" s="114"/>
      <c r="J911" s="109"/>
      <c r="K911" s="116">
        <v>1.6</v>
      </c>
      <c r="L911" s="117">
        <f t="shared" si="129"/>
        <v>80000</v>
      </c>
      <c r="M911" s="114"/>
      <c r="N911" s="118"/>
      <c r="O911" s="118">
        <v>1</v>
      </c>
      <c r="P911" s="114">
        <f>VLOOKUP($B911,ma!$A:$C,3,0)</f>
        <v>800000</v>
      </c>
      <c r="Q911" s="132">
        <v>880000</v>
      </c>
      <c r="R911" s="149">
        <v>9.9999999999999895E-2</v>
      </c>
      <c r="S911" s="119"/>
      <c r="T911" s="119"/>
      <c r="U911" s="119"/>
      <c r="V911" s="119"/>
      <c r="W911" s="119"/>
      <c r="X911" s="119"/>
      <c r="Y911" s="119"/>
      <c r="Z911" s="119"/>
      <c r="AA911" s="119"/>
    </row>
    <row r="912" spans="1:27" ht="15">
      <c r="A912" s="107">
        <f t="shared" si="130"/>
        <v>9</v>
      </c>
      <c r="B912" s="108" t="s">
        <v>814</v>
      </c>
      <c r="C912" s="109" t="s">
        <v>2307</v>
      </c>
      <c r="D912" s="110">
        <v>46112</v>
      </c>
      <c r="E912" s="109" t="str">
        <f>VLOOKUP($C912,xe!$A:$B,2,0)</f>
        <v>85H-01932</v>
      </c>
      <c r="F912" s="111" t="str">
        <f>VLOOKUP($B912,ma!$A:$B,2,0)</f>
        <v>VINAFOOD KYOEI</v>
      </c>
      <c r="G912" s="112" t="s">
        <v>2455</v>
      </c>
      <c r="H912" s="113" t="s">
        <v>2208</v>
      </c>
      <c r="I912" s="114"/>
      <c r="J912" s="109"/>
      <c r="K912" s="116">
        <v>1.6</v>
      </c>
      <c r="L912" s="117">
        <f t="shared" si="129"/>
        <v>80000</v>
      </c>
      <c r="M912" s="114"/>
      <c r="N912" s="118"/>
      <c r="O912" s="118">
        <v>1</v>
      </c>
      <c r="P912" s="114">
        <f>VLOOKUP($B912,ma!$A:$C,3,0)</f>
        <v>800000</v>
      </c>
      <c r="Q912" s="132">
        <v>880000</v>
      </c>
      <c r="R912" s="149">
        <v>9.9999999999999895E-2</v>
      </c>
      <c r="S912" s="119"/>
      <c r="T912" s="119"/>
      <c r="U912" s="119"/>
      <c r="V912" s="119"/>
      <c r="W912" s="119"/>
      <c r="X912" s="119"/>
      <c r="Y912" s="119"/>
      <c r="Z912" s="119"/>
      <c r="AA912" s="119"/>
    </row>
    <row r="913" spans="1:27" ht="15">
      <c r="A913" s="107">
        <f t="shared" si="130"/>
        <v>10</v>
      </c>
      <c r="B913" s="108" t="s">
        <v>1934</v>
      </c>
      <c r="C913" s="109" t="s">
        <v>1522</v>
      </c>
      <c r="D913" s="110">
        <v>46112</v>
      </c>
      <c r="E913" s="109" t="str">
        <f>VLOOKUP($C913,xe!$A:$B,2,0)</f>
        <v>47H-02023</v>
      </c>
      <c r="F913" s="111" t="str">
        <f>VLOOKUP($B913,ma!$A:$B,2,0)</f>
        <v>BHX ( TĐN)</v>
      </c>
      <c r="G913" s="112" t="s">
        <v>2456</v>
      </c>
      <c r="H913" s="113" t="s">
        <v>2453</v>
      </c>
      <c r="I913" s="114"/>
      <c r="J913" s="109"/>
      <c r="K913" s="116">
        <v>1.8</v>
      </c>
      <c r="L913" s="117">
        <f t="shared" ref="L913:L917" si="131">K913*80000</f>
        <v>144000</v>
      </c>
      <c r="M913" s="114"/>
      <c r="N913" s="118"/>
      <c r="O913" s="118">
        <v>1</v>
      </c>
      <c r="P913" s="114">
        <f>VLOOKUP($B913,ma!$A:$C,3,0)</f>
        <v>800000</v>
      </c>
      <c r="Q913" s="132">
        <v>880000</v>
      </c>
      <c r="R913" s="149">
        <v>9.9999999999999895E-2</v>
      </c>
      <c r="S913" s="119"/>
      <c r="T913" s="119"/>
      <c r="U913" s="119"/>
      <c r="V913" s="119"/>
      <c r="W913" s="119"/>
      <c r="X913" s="119"/>
      <c r="Y913" s="119"/>
      <c r="Z913" s="119"/>
      <c r="AA913" s="119"/>
    </row>
    <row r="914" spans="1:27" ht="15">
      <c r="A914" s="107">
        <f t="shared" si="130"/>
        <v>11</v>
      </c>
      <c r="B914" s="108" t="s">
        <v>1934</v>
      </c>
      <c r="C914" s="109" t="s">
        <v>2259</v>
      </c>
      <c r="D914" s="110">
        <v>46112</v>
      </c>
      <c r="E914" s="133" t="str">
        <f>VLOOKUP($C914,xe!$A:$B,2,0)</f>
        <v>61H-12700</v>
      </c>
      <c r="F914" s="111" t="str">
        <f>VLOOKUP($B914,ma!$A:$B,2,0)</f>
        <v>BHX ( TĐN)</v>
      </c>
      <c r="G914" s="112" t="s">
        <v>2457</v>
      </c>
      <c r="H914" s="113" t="s">
        <v>2453</v>
      </c>
      <c r="I914" s="114"/>
      <c r="J914" s="109"/>
      <c r="K914" s="116">
        <v>1.8</v>
      </c>
      <c r="L914" s="117">
        <f t="shared" si="131"/>
        <v>144000</v>
      </c>
      <c r="M914" s="114"/>
      <c r="N914" s="118"/>
      <c r="O914" s="118">
        <v>1</v>
      </c>
      <c r="P914" s="114">
        <f>VLOOKUP($B914,ma!$A:$C,3,0)</f>
        <v>800000</v>
      </c>
      <c r="Q914" s="132">
        <v>880000</v>
      </c>
      <c r="R914" s="149">
        <v>9.9999999999999895E-2</v>
      </c>
      <c r="S914" s="119"/>
      <c r="T914" s="119"/>
      <c r="U914" s="119"/>
      <c r="V914" s="119"/>
      <c r="W914" s="119"/>
      <c r="X914" s="119"/>
      <c r="Y914" s="119"/>
      <c r="Z914" s="119"/>
      <c r="AA914" s="119"/>
    </row>
    <row r="915" spans="1:27" ht="15">
      <c r="A915" s="107">
        <f t="shared" si="130"/>
        <v>12</v>
      </c>
      <c r="B915" s="108" t="s">
        <v>1934</v>
      </c>
      <c r="C915" s="109" t="s">
        <v>1490</v>
      </c>
      <c r="D915" s="110">
        <v>46112</v>
      </c>
      <c r="E915" s="109" t="str">
        <f>VLOOKUP($C915,xe!$A:$B,2,0)</f>
        <v>50H-44024</v>
      </c>
      <c r="F915" s="111" t="str">
        <f>VLOOKUP($B915,ma!$A:$B,2,0)</f>
        <v>BHX ( TĐN)</v>
      </c>
      <c r="G915" s="112" t="s">
        <v>2458</v>
      </c>
      <c r="H915" s="113" t="s">
        <v>2453</v>
      </c>
      <c r="I915" s="114"/>
      <c r="J915" s="109"/>
      <c r="K915" s="116">
        <v>1.8</v>
      </c>
      <c r="L915" s="117">
        <f t="shared" si="131"/>
        <v>144000</v>
      </c>
      <c r="M915" s="114"/>
      <c r="N915" s="118"/>
      <c r="O915" s="118">
        <v>1</v>
      </c>
      <c r="P915" s="114">
        <f>VLOOKUP($B915,ma!$A:$C,3,0)</f>
        <v>800000</v>
      </c>
      <c r="Q915" s="132">
        <v>880000</v>
      </c>
      <c r="R915" s="149">
        <v>9.9999999999999895E-2</v>
      </c>
      <c r="S915" s="119"/>
      <c r="T915" s="119"/>
      <c r="U915" s="119"/>
      <c r="V915" s="119"/>
      <c r="W915" s="119"/>
      <c r="X915" s="119"/>
      <c r="Y915" s="119"/>
      <c r="Z915" s="119"/>
      <c r="AA915" s="119"/>
    </row>
    <row r="916" spans="1:27" ht="15">
      <c r="A916" s="107">
        <f t="shared" si="130"/>
        <v>13</v>
      </c>
      <c r="B916" s="108" t="s">
        <v>1934</v>
      </c>
      <c r="C916" s="109" t="s">
        <v>1649</v>
      </c>
      <c r="D916" s="110">
        <v>46112</v>
      </c>
      <c r="E916" s="109" t="str">
        <f>VLOOKUP($C916,xe!$A:$B,2,0)</f>
        <v>50H-92136</v>
      </c>
      <c r="F916" s="111" t="str">
        <f>VLOOKUP($B916,ma!$A:$B,2,0)</f>
        <v>BHX ( TĐN)</v>
      </c>
      <c r="G916" s="112" t="s">
        <v>2459</v>
      </c>
      <c r="H916" s="113" t="s">
        <v>2453</v>
      </c>
      <c r="I916" s="114"/>
      <c r="J916" s="109"/>
      <c r="K916" s="116">
        <v>1.8</v>
      </c>
      <c r="L916" s="117">
        <f t="shared" si="131"/>
        <v>144000</v>
      </c>
      <c r="M916" s="114"/>
      <c r="N916" s="118"/>
      <c r="O916" s="118">
        <v>1</v>
      </c>
      <c r="P916" s="114">
        <f>VLOOKUP($B916,ma!$A:$C,3,0)</f>
        <v>800000</v>
      </c>
      <c r="Q916" s="132">
        <v>880000</v>
      </c>
      <c r="R916" s="149">
        <v>9.9999999999999895E-2</v>
      </c>
      <c r="S916" s="119"/>
      <c r="T916" s="119"/>
      <c r="U916" s="119"/>
      <c r="V916" s="119"/>
      <c r="W916" s="119"/>
      <c r="X916" s="119"/>
      <c r="Y916" s="119"/>
      <c r="Z916" s="119"/>
      <c r="AA916" s="119"/>
    </row>
    <row r="917" spans="1:27" ht="15">
      <c r="A917" s="107">
        <f t="shared" si="130"/>
        <v>14</v>
      </c>
      <c r="B917" s="108" t="s">
        <v>1934</v>
      </c>
      <c r="C917" s="109" t="s">
        <v>2245</v>
      </c>
      <c r="D917" s="110">
        <v>46112</v>
      </c>
      <c r="E917" s="109" t="str">
        <f>VLOOKUP($C917,xe!$A:$B,2,0)</f>
        <v>50H-55829</v>
      </c>
      <c r="F917" s="111" t="str">
        <f>VLOOKUP($B917,ma!$A:$B,2,0)</f>
        <v>BHX ( TĐN)</v>
      </c>
      <c r="G917" s="112" t="s">
        <v>2460</v>
      </c>
      <c r="H917" s="113" t="s">
        <v>2453</v>
      </c>
      <c r="I917" s="114"/>
      <c r="J917" s="109"/>
      <c r="K917" s="116">
        <v>1.8</v>
      </c>
      <c r="L917" s="117">
        <f t="shared" si="131"/>
        <v>144000</v>
      </c>
      <c r="M917" s="114"/>
      <c r="N917" s="118"/>
      <c r="O917" s="118">
        <v>1</v>
      </c>
      <c r="P917" s="114">
        <f>VLOOKUP($B917,ma!$A:$C,3,0)</f>
        <v>800000</v>
      </c>
      <c r="Q917" s="132">
        <v>880000</v>
      </c>
      <c r="R917" s="149">
        <v>9.9999999999999895E-2</v>
      </c>
      <c r="S917" s="119"/>
      <c r="T917" s="119"/>
      <c r="U917" s="119"/>
      <c r="V917" s="119"/>
      <c r="W917" s="119"/>
      <c r="X917" s="119"/>
      <c r="Y917" s="119"/>
      <c r="Z917" s="119"/>
      <c r="AA917" s="119"/>
    </row>
    <row r="918" spans="1:27" ht="15">
      <c r="A918" s="107">
        <f t="shared" si="130"/>
        <v>15</v>
      </c>
      <c r="B918" s="108" t="s">
        <v>1872</v>
      </c>
      <c r="C918" s="109" t="s">
        <v>1662</v>
      </c>
      <c r="D918" s="110">
        <v>46112</v>
      </c>
      <c r="E918" s="109" t="str">
        <f>VLOOKUP($C918,xe!$A:$B,2,0)</f>
        <v>50H-74619</v>
      </c>
      <c r="F918" s="111" t="str">
        <f>VLOOKUP($B918,ma!$A:$B,2,0)</f>
        <v>VĂN HẬU CỦ CHI</v>
      </c>
      <c r="G918" s="112" t="s">
        <v>1671</v>
      </c>
      <c r="H918" s="113" t="s">
        <v>1671</v>
      </c>
      <c r="I918" s="114"/>
      <c r="J918" s="109"/>
      <c r="K918" s="116">
        <v>1.6</v>
      </c>
      <c r="L918" s="117">
        <f>K918*100000</f>
        <v>160000</v>
      </c>
      <c r="M918" s="114"/>
      <c r="N918" s="118"/>
      <c r="O918" s="118">
        <v>1</v>
      </c>
      <c r="P918" s="114">
        <f>VLOOKUP($B918,ma!$A:$C,3,0)</f>
        <v>900000</v>
      </c>
      <c r="Q918" s="132">
        <v>990000</v>
      </c>
      <c r="R918" s="149">
        <v>9.9999999999999895E-2</v>
      </c>
      <c r="S918" s="119"/>
      <c r="T918" s="119"/>
      <c r="U918" s="119"/>
      <c r="V918" s="119"/>
      <c r="W918" s="119"/>
      <c r="X918" s="119"/>
      <c r="Y918" s="119"/>
      <c r="Z918" s="119"/>
      <c r="AA918" s="119"/>
    </row>
    <row r="919" spans="1:27" ht="15">
      <c r="A919" s="107">
        <f t="shared" si="130"/>
        <v>16</v>
      </c>
      <c r="B919" s="108" t="s">
        <v>1747</v>
      </c>
      <c r="C919" s="109" t="s">
        <v>19</v>
      </c>
      <c r="D919" s="110">
        <v>46112</v>
      </c>
      <c r="E919" s="109" t="str">
        <f>VLOOKUP($C919,xe!$A:$B,2,0)</f>
        <v>51H -88294</v>
      </c>
      <c r="F919" s="111" t="str">
        <f>VLOOKUP($B919,ma!$A:$B,2,0)</f>
        <v>SATRA SÀI GÒN</v>
      </c>
      <c r="G919" s="112" t="s">
        <v>2461</v>
      </c>
      <c r="H919" s="113" t="s">
        <v>2208</v>
      </c>
      <c r="I919" s="114"/>
      <c r="J919" s="109"/>
      <c r="K919" s="116">
        <v>2</v>
      </c>
      <c r="L919" s="117">
        <f t="shared" ref="L919:L921" si="132">K919*50000</f>
        <v>100000</v>
      </c>
      <c r="M919" s="114"/>
      <c r="N919" s="118"/>
      <c r="O919" s="118">
        <v>1</v>
      </c>
      <c r="P919" s="114">
        <f>VLOOKUP($B919,ma!$A:$C,3,0)</f>
        <v>800000</v>
      </c>
      <c r="Q919" s="132">
        <v>880000</v>
      </c>
      <c r="R919" s="149">
        <v>9.9999999999999895E-2</v>
      </c>
      <c r="S919" s="119"/>
      <c r="T919" s="119"/>
      <c r="U919" s="119"/>
      <c r="V919" s="119"/>
      <c r="W919" s="119"/>
      <c r="X919" s="119"/>
      <c r="Y919" s="119"/>
      <c r="Z919" s="119"/>
      <c r="AA919" s="119"/>
    </row>
    <row r="920" spans="1:27" ht="15">
      <c r="A920" s="107">
        <f t="shared" si="130"/>
        <v>17</v>
      </c>
      <c r="B920" s="108" t="s">
        <v>1747</v>
      </c>
      <c r="C920" s="109" t="s">
        <v>1669</v>
      </c>
      <c r="D920" s="110">
        <v>46112</v>
      </c>
      <c r="E920" s="109" t="str">
        <f>VLOOKUP($C920,xe!$A:$B,2,0)</f>
        <v>50H-69501</v>
      </c>
      <c r="F920" s="111" t="str">
        <f>VLOOKUP($B920,ma!$A:$B,2,0)</f>
        <v>SATRA SÀI GÒN</v>
      </c>
      <c r="G920" s="112" t="s">
        <v>2462</v>
      </c>
      <c r="H920" s="113" t="s">
        <v>2208</v>
      </c>
      <c r="I920" s="114"/>
      <c r="J920" s="109"/>
      <c r="K920" s="116">
        <v>2</v>
      </c>
      <c r="L920" s="117">
        <f t="shared" si="132"/>
        <v>100000</v>
      </c>
      <c r="M920" s="114"/>
      <c r="N920" s="118"/>
      <c r="O920" s="118">
        <v>1</v>
      </c>
      <c r="P920" s="114">
        <f>VLOOKUP($B920,ma!$A:$C,3,0)</f>
        <v>800000</v>
      </c>
      <c r="Q920" s="132">
        <v>880000</v>
      </c>
      <c r="R920" s="149">
        <v>9.9999999999999895E-2</v>
      </c>
      <c r="S920" s="119"/>
      <c r="T920" s="119"/>
      <c r="U920" s="119"/>
      <c r="V920" s="119"/>
      <c r="W920" s="119"/>
      <c r="X920" s="119"/>
      <c r="Y920" s="119"/>
      <c r="Z920" s="119"/>
      <c r="AA920" s="119"/>
    </row>
    <row r="921" spans="1:27" ht="15">
      <c r="A921" s="107">
        <f t="shared" si="130"/>
        <v>18</v>
      </c>
      <c r="B921" s="108" t="s">
        <v>1747</v>
      </c>
      <c r="C921" s="109" t="s">
        <v>1651</v>
      </c>
      <c r="D921" s="110">
        <v>46112</v>
      </c>
      <c r="E921" s="109" t="str">
        <f>VLOOKUP($C921,xe!$A:$B,2,0)</f>
        <v>50H-64316</v>
      </c>
      <c r="F921" s="111" t="str">
        <f>VLOOKUP($B921,ma!$A:$B,2,0)</f>
        <v>SATRA SÀI GÒN</v>
      </c>
      <c r="G921" s="112" t="s">
        <v>2463</v>
      </c>
      <c r="H921" s="113" t="s">
        <v>2208</v>
      </c>
      <c r="I921" s="114"/>
      <c r="J921" s="109"/>
      <c r="K921" s="116">
        <v>2</v>
      </c>
      <c r="L921" s="117">
        <f t="shared" si="132"/>
        <v>100000</v>
      </c>
      <c r="M921" s="114"/>
      <c r="N921" s="118"/>
      <c r="O921" s="118">
        <v>1</v>
      </c>
      <c r="P921" s="114">
        <f>VLOOKUP($B921,ma!$A:$C,3,0)</f>
        <v>800000</v>
      </c>
      <c r="Q921" s="132">
        <v>880000</v>
      </c>
      <c r="R921" s="149">
        <v>9.9999999999999895E-2</v>
      </c>
      <c r="S921" s="119"/>
      <c r="T921" s="119"/>
      <c r="U921" s="119"/>
      <c r="V921" s="119"/>
      <c r="W921" s="119"/>
      <c r="X921" s="119"/>
      <c r="Y921" s="119"/>
      <c r="Z921" s="119"/>
      <c r="AA921" s="119"/>
    </row>
    <row r="922" spans="1:27" ht="15">
      <c r="A922" s="107">
        <f t="shared" si="130"/>
        <v>19</v>
      </c>
      <c r="B922" s="108" t="s">
        <v>1489</v>
      </c>
      <c r="C922" s="109" t="s">
        <v>1493</v>
      </c>
      <c r="D922" s="110">
        <v>46112</v>
      </c>
      <c r="E922" s="109" t="s">
        <v>13</v>
      </c>
      <c r="F922" s="111" t="str">
        <f>VLOOKUP($B922,ma!$A:$B,2,0)</f>
        <v>XUÂN VÂN ( K BX )</v>
      </c>
      <c r="G922" s="112" t="s">
        <v>2464</v>
      </c>
      <c r="H922" s="113" t="s">
        <v>2208</v>
      </c>
      <c r="I922" s="114"/>
      <c r="J922" s="109"/>
      <c r="K922" s="116">
        <v>2</v>
      </c>
      <c r="L922" s="117">
        <v>50000</v>
      </c>
      <c r="M922" s="114"/>
      <c r="N922" s="118"/>
      <c r="O922" s="118">
        <v>1</v>
      </c>
      <c r="P922" s="114">
        <f>VLOOKUP($B922,ma!$A:$C,3,0)</f>
        <v>800000</v>
      </c>
      <c r="Q922" s="132">
        <v>880000</v>
      </c>
      <c r="R922" s="149">
        <v>9.9999999999999895E-2</v>
      </c>
      <c r="S922" s="119"/>
      <c r="T922" s="119"/>
      <c r="U922" s="119"/>
      <c r="V922" s="119"/>
      <c r="W922" s="119"/>
      <c r="X922" s="119"/>
      <c r="Y922" s="119"/>
      <c r="Z922" s="119"/>
      <c r="AA922" s="119"/>
    </row>
    <row r="923" spans="1:27" ht="15">
      <c r="A923" s="107">
        <f t="shared" si="130"/>
        <v>20</v>
      </c>
      <c r="B923" s="108" t="s">
        <v>1489</v>
      </c>
      <c r="C923" s="109" t="s">
        <v>19</v>
      </c>
      <c r="D923" s="110">
        <v>46112</v>
      </c>
      <c r="E923" s="109" t="str">
        <f>VLOOKUP($C923,xe!$A:$B,2,0)</f>
        <v>51H -88294</v>
      </c>
      <c r="F923" s="111" t="str">
        <f>VLOOKUP($B923,ma!$A:$B,2,0)</f>
        <v>XUÂN VÂN ( K BX )</v>
      </c>
      <c r="G923" s="112" t="s">
        <v>2465</v>
      </c>
      <c r="H923" s="113" t="s">
        <v>2208</v>
      </c>
      <c r="I923" s="114"/>
      <c r="J923" s="109"/>
      <c r="K923" s="116">
        <v>2</v>
      </c>
      <c r="L923" s="117">
        <v>50000</v>
      </c>
      <c r="M923" s="114"/>
      <c r="N923" s="118"/>
      <c r="O923" s="118">
        <v>1</v>
      </c>
      <c r="P923" s="114">
        <f>VLOOKUP($B923,ma!$A:$C,3,0)</f>
        <v>800000</v>
      </c>
      <c r="Q923" s="132">
        <v>880000</v>
      </c>
      <c r="R923" s="149">
        <v>9.9999999999999895E-2</v>
      </c>
      <c r="S923" s="119"/>
      <c r="T923" s="119"/>
      <c r="U923" s="119"/>
      <c r="V923" s="119"/>
      <c r="W923" s="119"/>
      <c r="X923" s="119"/>
      <c r="Y923" s="119"/>
      <c r="Z923" s="119"/>
      <c r="AA923" s="119"/>
    </row>
    <row r="924" spans="1:27" ht="15">
      <c r="A924" s="107">
        <f t="shared" si="130"/>
        <v>21</v>
      </c>
      <c r="B924" s="108" t="s">
        <v>645</v>
      </c>
      <c r="C924" s="109" t="s">
        <v>1502</v>
      </c>
      <c r="D924" s="110">
        <v>46112</v>
      </c>
      <c r="E924" s="133" t="s">
        <v>2179</v>
      </c>
      <c r="F924" s="111" t="str">
        <f>VLOOKUP($B924,ma!$A:$B,2,0)</f>
        <v>Tân Nhất Hương</v>
      </c>
      <c r="G924" s="112" t="s">
        <v>2466</v>
      </c>
      <c r="H924" s="113" t="s">
        <v>2208</v>
      </c>
      <c r="I924" s="114"/>
      <c r="J924" s="109"/>
      <c r="K924" s="116">
        <v>1.6</v>
      </c>
      <c r="L924" s="117">
        <f>K924*50000</f>
        <v>80000</v>
      </c>
      <c r="M924" s="114"/>
      <c r="N924" s="118"/>
      <c r="O924" s="118">
        <v>1</v>
      </c>
      <c r="P924" s="114">
        <f>VLOOKUP($B924,ma!$A:$C,3,0)</f>
        <v>800000</v>
      </c>
      <c r="Q924" s="132">
        <v>880000</v>
      </c>
      <c r="R924" s="149">
        <v>9.9999999999999895E-2</v>
      </c>
      <c r="S924" s="119"/>
      <c r="T924" s="119"/>
      <c r="U924" s="119"/>
      <c r="V924" s="119"/>
      <c r="W924" s="119"/>
      <c r="X924" s="119"/>
      <c r="Y924" s="119"/>
      <c r="Z924" s="119"/>
      <c r="AA924" s="119"/>
    </row>
    <row r="925" spans="1:27" ht="15">
      <c r="A925" s="107">
        <f t="shared" si="130"/>
        <v>22</v>
      </c>
      <c r="B925" s="108" t="s">
        <v>1471</v>
      </c>
      <c r="C925" s="109" t="s">
        <v>2257</v>
      </c>
      <c r="D925" s="110">
        <v>46112</v>
      </c>
      <c r="E925" s="109" t="str">
        <f>VLOOKUP($C925,xe!$A:$B,2,0)</f>
        <v>50H-86564</v>
      </c>
      <c r="F925" s="111" t="str">
        <f>VLOOKUP($B925,ma!$A:$B,2,0)</f>
        <v>VỊ NGỌT HAPPY ( K BX )</v>
      </c>
      <c r="G925" s="112" t="s">
        <v>2467</v>
      </c>
      <c r="H925" s="113" t="s">
        <v>2208</v>
      </c>
      <c r="I925" s="114"/>
      <c r="J925" s="109"/>
      <c r="K925" s="116">
        <v>1.6</v>
      </c>
      <c r="L925" s="117"/>
      <c r="M925" s="114"/>
      <c r="N925" s="118"/>
      <c r="O925" s="118">
        <v>1</v>
      </c>
      <c r="P925" s="114">
        <f>VLOOKUP($B925,ma!$A:$C,3,0)</f>
        <v>800000</v>
      </c>
      <c r="Q925" s="132">
        <v>880000</v>
      </c>
      <c r="R925" s="149">
        <v>9.9999999999999895E-2</v>
      </c>
      <c r="S925" s="119"/>
      <c r="T925" s="119"/>
      <c r="U925" s="119"/>
      <c r="V925" s="119"/>
      <c r="W925" s="119"/>
      <c r="X925" s="119"/>
      <c r="Y925" s="119"/>
      <c r="Z925" s="119"/>
      <c r="AA925" s="119"/>
    </row>
    <row r="926" spans="1:27" ht="15">
      <c r="A926" s="107">
        <f t="shared" si="130"/>
        <v>23</v>
      </c>
      <c r="B926" s="108" t="s">
        <v>1471</v>
      </c>
      <c r="C926" s="109" t="s">
        <v>1655</v>
      </c>
      <c r="D926" s="110">
        <v>46112</v>
      </c>
      <c r="E926" s="109" t="str">
        <f>VLOOKUP($C926,xe!$A:$B,2,0)</f>
        <v>50H-70216</v>
      </c>
      <c r="F926" s="111" t="str">
        <f>VLOOKUP($B926,ma!$A:$B,2,0)</f>
        <v>VỊ NGỌT HAPPY ( K BX )</v>
      </c>
      <c r="G926" s="112" t="s">
        <v>2468</v>
      </c>
      <c r="H926" s="113" t="s">
        <v>2208</v>
      </c>
      <c r="I926" s="114"/>
      <c r="J926" s="109"/>
      <c r="K926" s="116">
        <v>1.6</v>
      </c>
      <c r="L926" s="117">
        <v>50000</v>
      </c>
      <c r="M926" s="114"/>
      <c r="N926" s="118"/>
      <c r="O926" s="118">
        <v>1</v>
      </c>
      <c r="P926" s="114">
        <f>VLOOKUP($B926,ma!$A:$C,3,0)</f>
        <v>800000</v>
      </c>
      <c r="Q926" s="132">
        <v>880000</v>
      </c>
      <c r="R926" s="149">
        <v>9.9999999999999895E-2</v>
      </c>
      <c r="S926" s="119"/>
      <c r="T926" s="119"/>
      <c r="U926" s="119"/>
      <c r="V926" s="119"/>
      <c r="W926" s="119"/>
      <c r="X926" s="119"/>
      <c r="Y926" s="119"/>
      <c r="Z926" s="119"/>
      <c r="AA926" s="119"/>
    </row>
    <row r="927" spans="1:27" ht="15">
      <c r="A927" s="107">
        <f t="shared" si="130"/>
        <v>24</v>
      </c>
      <c r="B927" s="108" t="s">
        <v>1894</v>
      </c>
      <c r="C927" s="109" t="s">
        <v>1669</v>
      </c>
      <c r="D927" s="110">
        <v>46112</v>
      </c>
      <c r="E927" s="109" t="str">
        <f>VLOOKUP($C927,xe!$A:$B,2,0)</f>
        <v>50H-69501</v>
      </c>
      <c r="F927" s="111" t="str">
        <f>VLOOKUP($B927,ma!$A:$B,2,0)</f>
        <v>QUẬN 8</v>
      </c>
      <c r="G927" s="112" t="s">
        <v>2469</v>
      </c>
      <c r="H927" s="113" t="s">
        <v>2453</v>
      </c>
      <c r="I927" s="114"/>
      <c r="J927" s="147" t="s">
        <v>1457</v>
      </c>
      <c r="K927" s="116">
        <v>2</v>
      </c>
      <c r="L927" s="117">
        <f>K927*50000</f>
        <v>100000</v>
      </c>
      <c r="M927" s="114"/>
      <c r="N927" s="118"/>
      <c r="O927" s="118">
        <v>1</v>
      </c>
      <c r="P927" s="114">
        <f>VLOOKUP($B927,ma!$A:$C,3,0)</f>
        <v>800000</v>
      </c>
      <c r="Q927" s="132">
        <v>880000</v>
      </c>
      <c r="R927" s="149">
        <v>9.9999999999999895E-2</v>
      </c>
      <c r="S927" s="119"/>
      <c r="T927" s="119"/>
      <c r="U927" s="119"/>
      <c r="V927" s="119"/>
      <c r="W927" s="119"/>
      <c r="X927" s="119"/>
      <c r="Y927" s="119"/>
      <c r="Z927" s="119"/>
      <c r="AA927" s="119"/>
    </row>
    <row r="928" spans="1:27" ht="15">
      <c r="A928" s="107">
        <f t="shared" si="130"/>
        <v>25</v>
      </c>
      <c r="B928" s="108" t="s">
        <v>1576</v>
      </c>
      <c r="C928" s="109" t="s">
        <v>2362</v>
      </c>
      <c r="D928" s="110">
        <v>46112</v>
      </c>
      <c r="E928" s="109" t="str">
        <f>VLOOKUP($C928,xe!$A:$B,2,0)</f>
        <v>50H-66445</v>
      </c>
      <c r="F928" s="111" t="str">
        <f>VLOOKUP($B928,ma!$A:$B,2,0)</f>
        <v>HỒNG Á ( K BX )</v>
      </c>
      <c r="G928" s="112" t="s">
        <v>2470</v>
      </c>
      <c r="H928" s="113" t="s">
        <v>2208</v>
      </c>
      <c r="I928" s="114"/>
      <c r="J928" s="109"/>
      <c r="K928" s="116">
        <v>1</v>
      </c>
      <c r="L928" s="117">
        <v>50000</v>
      </c>
      <c r="M928" s="114"/>
      <c r="N928" s="118"/>
      <c r="O928" s="118">
        <v>1</v>
      </c>
      <c r="P928" s="114">
        <f>VLOOKUP($B928,ma!$A:$C,3,0)</f>
        <v>800000</v>
      </c>
      <c r="Q928" s="132">
        <v>880000</v>
      </c>
      <c r="R928" s="149">
        <v>9.9999999999999895E-2</v>
      </c>
      <c r="S928" s="119"/>
      <c r="T928" s="119"/>
      <c r="U928" s="119"/>
      <c r="V928" s="119"/>
      <c r="W928" s="119"/>
      <c r="X928" s="119"/>
      <c r="Y928" s="119"/>
      <c r="Z928" s="119"/>
      <c r="AA928" s="119"/>
    </row>
    <row r="929" spans="1:27" ht="15">
      <c r="A929" s="107">
        <f t="shared" si="130"/>
        <v>26</v>
      </c>
      <c r="B929" s="108" t="s">
        <v>1467</v>
      </c>
      <c r="C929" s="109" t="s">
        <v>1546</v>
      </c>
      <c r="D929" s="110">
        <v>46112</v>
      </c>
      <c r="E929" s="109" t="s">
        <v>2172</v>
      </c>
      <c r="F929" s="111" t="str">
        <f>VLOOKUP($B929,ma!$A:$B,2,0)</f>
        <v>LÊ GIA THỦ ĐỨC</v>
      </c>
      <c r="G929" s="112" t="s">
        <v>2471</v>
      </c>
      <c r="H929" s="113" t="s">
        <v>2208</v>
      </c>
      <c r="I929" s="114"/>
      <c r="J929" s="109"/>
      <c r="K929" s="116">
        <v>1.2</v>
      </c>
      <c r="L929" s="117">
        <f>K929*50000</f>
        <v>60000</v>
      </c>
      <c r="M929" s="114"/>
      <c r="N929" s="118"/>
      <c r="O929" s="118">
        <v>1</v>
      </c>
      <c r="P929" s="114">
        <f>VLOOKUP($B929,ma!$A:$C,3,0)</f>
        <v>800000</v>
      </c>
      <c r="Q929" s="132">
        <v>880000</v>
      </c>
      <c r="R929" s="149">
        <v>9.9999999999999895E-2</v>
      </c>
      <c r="S929" s="119"/>
      <c r="T929" s="119"/>
      <c r="U929" s="119"/>
      <c r="V929" s="119"/>
      <c r="W929" s="119"/>
      <c r="X929" s="119"/>
      <c r="Y929" s="119"/>
      <c r="Z929" s="119"/>
      <c r="AA929" s="119"/>
    </row>
    <row r="930" spans="1:27" ht="15">
      <c r="A930" s="107">
        <f t="shared" si="130"/>
        <v>27</v>
      </c>
      <c r="B930" s="108" t="s">
        <v>1751</v>
      </c>
      <c r="C930" s="109" t="s">
        <v>2365</v>
      </c>
      <c r="D930" s="110">
        <v>46112</v>
      </c>
      <c r="E930" s="109" t="str">
        <f>VLOOKUP($C930,xe!$A:$B,2,0)</f>
        <v>50H-54580</v>
      </c>
      <c r="F930" s="111" t="str">
        <f>VLOOKUP($B930,ma!$A:$B,2,0)</f>
        <v>BIBICA MIỀN TÂY ( KBX )</v>
      </c>
      <c r="G930" s="112" t="s">
        <v>2472</v>
      </c>
      <c r="H930" s="113" t="s">
        <v>2208</v>
      </c>
      <c r="I930" s="114"/>
      <c r="J930" s="109"/>
      <c r="K930" s="116">
        <v>2</v>
      </c>
      <c r="L930" s="117">
        <v>50000</v>
      </c>
      <c r="M930" s="114"/>
      <c r="N930" s="118"/>
      <c r="O930" s="118">
        <v>1</v>
      </c>
      <c r="P930" s="114">
        <f>VLOOKUP($B930,ma!$A:$C,3,0)</f>
        <v>900000</v>
      </c>
      <c r="Q930" s="132">
        <v>990000</v>
      </c>
      <c r="R930" s="149">
        <v>9.9999999999999895E-2</v>
      </c>
      <c r="S930" s="119"/>
      <c r="T930" s="119"/>
      <c r="U930" s="119"/>
      <c r="V930" s="119"/>
      <c r="W930" s="119"/>
      <c r="X930" s="119"/>
      <c r="Y930" s="119"/>
      <c r="Z930" s="119"/>
      <c r="AA930" s="119"/>
    </row>
    <row r="931" spans="1:27" ht="15">
      <c r="A931" s="107">
        <f t="shared" si="130"/>
        <v>28</v>
      </c>
      <c r="B931" s="108" t="s">
        <v>1751</v>
      </c>
      <c r="C931" s="109" t="s">
        <v>2229</v>
      </c>
      <c r="D931" s="110">
        <v>46112</v>
      </c>
      <c r="E931" s="109" t="str">
        <f>VLOOKUP($C931,xe!$A:$B,2,0)</f>
        <v>51D-95538</v>
      </c>
      <c r="F931" s="111" t="str">
        <f>VLOOKUP($B931,ma!$A:$B,2,0)</f>
        <v>BIBICA MIỀN TÂY ( KBX )</v>
      </c>
      <c r="G931" s="112" t="s">
        <v>2473</v>
      </c>
      <c r="H931" s="113" t="s">
        <v>2208</v>
      </c>
      <c r="I931" s="114"/>
      <c r="J931" s="109"/>
      <c r="K931" s="116">
        <v>2</v>
      </c>
      <c r="L931" s="117"/>
      <c r="M931" s="114"/>
      <c r="N931" s="118"/>
      <c r="O931" s="118">
        <v>1</v>
      </c>
      <c r="P931" s="114">
        <f>VLOOKUP($B931,ma!$A:$C,3,0)</f>
        <v>900000</v>
      </c>
      <c r="Q931" s="132">
        <v>990000</v>
      </c>
      <c r="R931" s="149">
        <v>9.9999999999999895E-2</v>
      </c>
      <c r="S931" s="119"/>
      <c r="T931" s="119"/>
      <c r="U931" s="119"/>
      <c r="V931" s="119"/>
      <c r="W931" s="119"/>
      <c r="X931" s="119"/>
      <c r="Y931" s="119"/>
      <c r="Z931" s="119"/>
      <c r="AA931" s="119"/>
    </row>
    <row r="932" spans="1:27" ht="15">
      <c r="A932" s="107">
        <f t="shared" si="130"/>
        <v>29</v>
      </c>
      <c r="B932" s="108" t="s">
        <v>1063</v>
      </c>
      <c r="C932" s="109" t="s">
        <v>1651</v>
      </c>
      <c r="D932" s="110">
        <v>46112</v>
      </c>
      <c r="E932" s="109" t="str">
        <f>VLOOKUP($C932,xe!$A:$B,2,0)</f>
        <v>50H-64316</v>
      </c>
      <c r="F932" s="111" t="str">
        <f>VLOOKUP($B932,ma!$A:$B,2,0)</f>
        <v>BHX CẦN ĐƯỚC</v>
      </c>
      <c r="G932" s="112" t="s">
        <v>2474</v>
      </c>
      <c r="H932" s="113" t="s">
        <v>2208</v>
      </c>
      <c r="I932" s="114"/>
      <c r="J932" s="109"/>
      <c r="K932" s="116">
        <v>1.8</v>
      </c>
      <c r="L932" s="117">
        <f t="shared" ref="L932:L934" si="133">K932*100000</f>
        <v>180000</v>
      </c>
      <c r="M932" s="114"/>
      <c r="N932" s="118"/>
      <c r="O932" s="118">
        <v>1</v>
      </c>
      <c r="P932" s="114">
        <f>VLOOKUP($B932,ma!$A:$C,3,0)</f>
        <v>900000</v>
      </c>
      <c r="Q932" s="132">
        <v>990000</v>
      </c>
      <c r="R932" s="149">
        <v>9.9999999999999895E-2</v>
      </c>
      <c r="S932" s="119"/>
      <c r="T932" s="119"/>
      <c r="U932" s="119"/>
      <c r="V932" s="119"/>
      <c r="W932" s="119"/>
      <c r="X932" s="119"/>
      <c r="Y932" s="119"/>
      <c r="Z932" s="119"/>
      <c r="AA932" s="119"/>
    </row>
    <row r="933" spans="1:27" ht="15">
      <c r="A933" s="107">
        <f t="shared" si="130"/>
        <v>30</v>
      </c>
      <c r="B933" s="108" t="s">
        <v>1063</v>
      </c>
      <c r="C933" s="109" t="s">
        <v>14</v>
      </c>
      <c r="D933" s="110">
        <v>46112</v>
      </c>
      <c r="E933" s="109" t="str">
        <f>VLOOKUP($C933,xe!$A:$B,2,0)</f>
        <v>50H-64470</v>
      </c>
      <c r="F933" s="111" t="str">
        <f>VLOOKUP($B933,ma!$A:$B,2,0)</f>
        <v>BHX CẦN ĐƯỚC</v>
      </c>
      <c r="G933" s="112" t="s">
        <v>2475</v>
      </c>
      <c r="H933" s="113" t="s">
        <v>2208</v>
      </c>
      <c r="I933" s="114"/>
      <c r="J933" s="109"/>
      <c r="K933" s="116">
        <v>1.8</v>
      </c>
      <c r="L933" s="117">
        <f t="shared" si="133"/>
        <v>180000</v>
      </c>
      <c r="M933" s="114"/>
      <c r="N933" s="118"/>
      <c r="O933" s="118">
        <v>1</v>
      </c>
      <c r="P933" s="114">
        <f>VLOOKUP($B933,ma!$A:$C,3,0)</f>
        <v>900000</v>
      </c>
      <c r="Q933" s="132">
        <v>990000</v>
      </c>
      <c r="R933" s="149">
        <v>9.9999999999999895E-2</v>
      </c>
      <c r="S933" s="119"/>
      <c r="T933" s="119"/>
      <c r="U933" s="119"/>
      <c r="V933" s="119"/>
      <c r="W933" s="119"/>
      <c r="X933" s="119"/>
      <c r="Y933" s="119"/>
      <c r="Z933" s="119"/>
      <c r="AA933" s="119"/>
    </row>
    <row r="934" spans="1:27" ht="15">
      <c r="A934" s="107">
        <f t="shared" si="130"/>
        <v>31</v>
      </c>
      <c r="B934" s="108" t="s">
        <v>1063</v>
      </c>
      <c r="C934" s="109" t="s">
        <v>1506</v>
      </c>
      <c r="D934" s="110">
        <v>46112</v>
      </c>
      <c r="E934" s="109" t="str">
        <f>VLOOKUP($C934,xe!$A:$B,2,0)</f>
        <v>50H-55443</v>
      </c>
      <c r="F934" s="111" t="str">
        <f>VLOOKUP($B934,ma!$A:$B,2,0)</f>
        <v>BHX CẦN ĐƯỚC</v>
      </c>
      <c r="G934" s="112" t="s">
        <v>2476</v>
      </c>
      <c r="H934" s="113" t="s">
        <v>2208</v>
      </c>
      <c r="I934" s="114"/>
      <c r="J934" s="109"/>
      <c r="K934" s="116">
        <v>1.8</v>
      </c>
      <c r="L934" s="117">
        <f t="shared" si="133"/>
        <v>180000</v>
      </c>
      <c r="M934" s="114"/>
      <c r="N934" s="118"/>
      <c r="O934" s="118">
        <v>1</v>
      </c>
      <c r="P934" s="114">
        <f>VLOOKUP($B934,ma!$A:$C,3,0)</f>
        <v>900000</v>
      </c>
      <c r="Q934" s="132">
        <v>990000</v>
      </c>
      <c r="R934" s="149">
        <v>9.9999999999999895E-2</v>
      </c>
      <c r="S934" s="119"/>
      <c r="T934" s="119"/>
      <c r="U934" s="119"/>
      <c r="V934" s="119"/>
      <c r="W934" s="119"/>
      <c r="X934" s="119"/>
      <c r="Y934" s="119"/>
      <c r="Z934" s="119"/>
      <c r="AA934" s="119"/>
    </row>
    <row r="935" spans="1:27" ht="15">
      <c r="A935" s="107">
        <f t="shared" si="130"/>
        <v>32</v>
      </c>
      <c r="B935" s="108" t="s">
        <v>1063</v>
      </c>
      <c r="C935" s="109" t="s">
        <v>2368</v>
      </c>
      <c r="D935" s="110">
        <v>46112</v>
      </c>
      <c r="E935" s="133" t="str">
        <f>VLOOKUP($C935,xe!$A:$B,2,0)</f>
        <v>50E-565,21</v>
      </c>
      <c r="F935" s="111" t="str">
        <f>VLOOKUP($B935,ma!$A:$B,2,0)</f>
        <v>BHX CẦN ĐƯỚC</v>
      </c>
      <c r="G935" s="112" t="s">
        <v>2477</v>
      </c>
      <c r="H935" s="113" t="s">
        <v>2208</v>
      </c>
      <c r="I935" s="114"/>
      <c r="J935" s="109"/>
      <c r="K935" s="116">
        <v>1.8</v>
      </c>
      <c r="L935" s="117">
        <f>K935*80000</f>
        <v>144000</v>
      </c>
      <c r="M935" s="114"/>
      <c r="N935" s="118"/>
      <c r="O935" s="118">
        <v>1</v>
      </c>
      <c r="P935" s="114">
        <f>VLOOKUP($B935,ma!$A:$C,3,0)</f>
        <v>900000</v>
      </c>
      <c r="Q935" s="132">
        <v>990000</v>
      </c>
      <c r="R935" s="149">
        <v>9.9999999999999895E-2</v>
      </c>
      <c r="S935" s="119"/>
      <c r="T935" s="119"/>
      <c r="U935" s="119"/>
      <c r="V935" s="119"/>
      <c r="W935" s="119"/>
      <c r="X935" s="119"/>
      <c r="Y935" s="119"/>
      <c r="Z935" s="119"/>
      <c r="AA935" s="119"/>
    </row>
    <row r="936" spans="1:27" ht="15">
      <c r="A936" s="107">
        <f t="shared" si="130"/>
        <v>33</v>
      </c>
      <c r="B936" s="108" t="s">
        <v>1981</v>
      </c>
      <c r="C936" s="109" t="s">
        <v>1669</v>
      </c>
      <c r="D936" s="110">
        <v>46112</v>
      </c>
      <c r="E936" s="109" t="str">
        <f>VLOOKUP($C936,xe!$A:$B,2,0)</f>
        <v>50H-69501</v>
      </c>
      <c r="F936" s="111" t="str">
        <f>VLOOKUP($B936,ma!$A:$B,2,0)</f>
        <v>NGUYỄN VĂN CỪ</v>
      </c>
      <c r="G936" s="112" t="s">
        <v>2478</v>
      </c>
      <c r="H936" s="113" t="s">
        <v>2453</v>
      </c>
      <c r="I936" s="114"/>
      <c r="J936" s="109"/>
      <c r="K936" s="116">
        <v>1.6</v>
      </c>
      <c r="L936" s="117">
        <f>K936*100000</f>
        <v>160000</v>
      </c>
      <c r="M936" s="114"/>
      <c r="N936" s="118"/>
      <c r="O936" s="118">
        <v>1</v>
      </c>
      <c r="P936" s="114">
        <f>VLOOKUP($B936,ma!$A:$C,3,0)</f>
        <v>800000</v>
      </c>
      <c r="Q936" s="132">
        <v>880000</v>
      </c>
      <c r="R936" s="149">
        <v>9.9999999999999895E-2</v>
      </c>
      <c r="S936" s="119"/>
      <c r="T936" s="119"/>
      <c r="U936" s="119"/>
      <c r="V936" s="119"/>
      <c r="W936" s="119"/>
      <c r="X936" s="119"/>
      <c r="Y936" s="119"/>
      <c r="Z936" s="119"/>
      <c r="AA936" s="119"/>
    </row>
    <row r="937" spans="1:27" ht="15">
      <c r="A937" s="107">
        <f t="shared" si="130"/>
        <v>34</v>
      </c>
      <c r="B937" s="108" t="s">
        <v>1660</v>
      </c>
      <c r="C937" s="109" t="s">
        <v>2362</v>
      </c>
      <c r="D937" s="110">
        <v>46112</v>
      </c>
      <c r="E937" s="109" t="str">
        <f>VLOOKUP($C937,xe!$A:$B,2,0)</f>
        <v>50H-66445</v>
      </c>
      <c r="F937" s="111" t="str">
        <f>VLOOKUP($B937,ma!$A:$B,2,0)</f>
        <v>M. HIỆP PHÚ</v>
      </c>
      <c r="G937" s="112" t="s">
        <v>2479</v>
      </c>
      <c r="H937" s="113" t="s">
        <v>2453</v>
      </c>
      <c r="I937" s="114"/>
      <c r="J937" s="109"/>
      <c r="K937" s="116">
        <v>1.6</v>
      </c>
      <c r="L937" s="117">
        <f t="shared" ref="L937:L939" si="134">K937*50000</f>
        <v>80000</v>
      </c>
      <c r="M937" s="114"/>
      <c r="N937" s="118"/>
      <c r="O937" s="118">
        <v>1</v>
      </c>
      <c r="P937" s="114">
        <f>VLOOKUP($B937,ma!$A:$C,3,0)</f>
        <v>800000</v>
      </c>
      <c r="Q937" s="132">
        <v>880000</v>
      </c>
      <c r="R937" s="149">
        <v>9.9999999999999895E-2</v>
      </c>
      <c r="S937" s="119"/>
      <c r="T937" s="119"/>
      <c r="U937" s="119"/>
      <c r="V937" s="119"/>
      <c r="W937" s="119"/>
      <c r="X937" s="119"/>
      <c r="Y937" s="119"/>
      <c r="Z937" s="119"/>
      <c r="AA937" s="119"/>
    </row>
    <row r="938" spans="1:27" ht="15">
      <c r="A938" s="107">
        <f t="shared" si="130"/>
        <v>35</v>
      </c>
      <c r="B938" s="108" t="s">
        <v>1660</v>
      </c>
      <c r="C938" s="109" t="s">
        <v>1490</v>
      </c>
      <c r="D938" s="110">
        <v>46112</v>
      </c>
      <c r="E938" s="109" t="str">
        <f>VLOOKUP($C938,xe!$A:$B,2,0)</f>
        <v>50H-44024</v>
      </c>
      <c r="F938" s="111" t="str">
        <f>VLOOKUP($B938,ma!$A:$B,2,0)</f>
        <v>M. HIỆP PHÚ</v>
      </c>
      <c r="G938" s="112" t="s">
        <v>2480</v>
      </c>
      <c r="H938" s="113" t="s">
        <v>2453</v>
      </c>
      <c r="I938" s="114"/>
      <c r="J938" s="109"/>
      <c r="K938" s="116">
        <v>1.6</v>
      </c>
      <c r="L938" s="117">
        <f t="shared" si="134"/>
        <v>80000</v>
      </c>
      <c r="M938" s="114"/>
      <c r="N938" s="118"/>
      <c r="O938" s="118">
        <v>1</v>
      </c>
      <c r="P938" s="114">
        <f>VLOOKUP($B938,ma!$A:$C,3,0)</f>
        <v>800000</v>
      </c>
      <c r="Q938" s="132">
        <v>880000</v>
      </c>
      <c r="R938" s="149">
        <v>9.9999999999999895E-2</v>
      </c>
      <c r="S938" s="119"/>
      <c r="T938" s="119"/>
      <c r="U938" s="119"/>
      <c r="V938" s="119"/>
      <c r="W938" s="119"/>
      <c r="X938" s="119"/>
      <c r="Y938" s="119"/>
      <c r="Z938" s="119"/>
      <c r="AA938" s="119"/>
    </row>
    <row r="939" spans="1:27" ht="15">
      <c r="A939" s="107">
        <f t="shared" si="130"/>
        <v>36</v>
      </c>
      <c r="B939" s="108" t="s">
        <v>1009</v>
      </c>
      <c r="C939" s="109" t="s">
        <v>1493</v>
      </c>
      <c r="D939" s="110">
        <v>46112</v>
      </c>
      <c r="E939" s="109" t="s">
        <v>13</v>
      </c>
      <c r="F939" s="111" t="str">
        <f>VLOOKUP($B939,ma!$A:$B,2,0)</f>
        <v>BC PHÚ THẠNH</v>
      </c>
      <c r="G939" s="112" t="s">
        <v>2481</v>
      </c>
      <c r="H939" s="113" t="s">
        <v>2453</v>
      </c>
      <c r="I939" s="114"/>
      <c r="J939" s="109"/>
      <c r="K939" s="116">
        <v>2</v>
      </c>
      <c r="L939" s="117">
        <f t="shared" si="134"/>
        <v>100000</v>
      </c>
      <c r="M939" s="114"/>
      <c r="N939" s="118"/>
      <c r="O939" s="118">
        <v>1</v>
      </c>
      <c r="P939" s="114">
        <f>VLOOKUP($B939,ma!$A:$C,3,0)</f>
        <v>800000</v>
      </c>
      <c r="Q939" s="132">
        <v>440000</v>
      </c>
      <c r="R939" s="149">
        <v>9.9999999999999895E-2</v>
      </c>
      <c r="S939" s="119"/>
      <c r="T939" s="119"/>
      <c r="U939" s="119"/>
      <c r="V939" s="119"/>
      <c r="W939" s="119"/>
      <c r="X939" s="119"/>
      <c r="Y939" s="119"/>
      <c r="Z939" s="119"/>
      <c r="AA939" s="119"/>
    </row>
    <row r="940" spans="1:27" ht="16">
      <c r="A940" s="107">
        <f>A855+1</f>
        <v>4</v>
      </c>
      <c r="B940" s="167"/>
      <c r="C940" s="168"/>
      <c r="D940" s="169"/>
      <c r="E940" s="170" t="e">
        <f>VLOOKUP($C940,xe!$A:$B,2,0)</f>
        <v>#N/A</v>
      </c>
      <c r="F940" s="171" t="e">
        <f>VLOOKUP($B940,ma!$A:$B,2,0)</f>
        <v>#N/A</v>
      </c>
      <c r="G940" s="172"/>
      <c r="H940" s="172"/>
      <c r="I940" s="173">
        <f t="shared" ref="I940:M940" si="135">SUBTOTAL(9,I9:I939)</f>
        <v>348586</v>
      </c>
      <c r="J940" s="173">
        <f t="shared" si="135"/>
        <v>0</v>
      </c>
      <c r="K940" s="173">
        <f t="shared" si="135"/>
        <v>1619.6999999999969</v>
      </c>
      <c r="L940" s="173">
        <f t="shared" si="135"/>
        <v>77390000</v>
      </c>
      <c r="M940" s="173">
        <f t="shared" si="135"/>
        <v>13320000</v>
      </c>
      <c r="N940" s="173">
        <f>SUBTOTAL(9,N9:N618)</f>
        <v>0</v>
      </c>
      <c r="O940" s="173">
        <f t="shared" ref="O940:Q940" si="136">SUBTOTAL(9,O9:O939)</f>
        <v>931</v>
      </c>
      <c r="P940" s="173">
        <f t="shared" si="136"/>
        <v>733900000</v>
      </c>
      <c r="Q940" s="173">
        <f t="shared" si="136"/>
        <v>795800000</v>
      </c>
      <c r="R940" s="32"/>
      <c r="S940" s="32"/>
      <c r="T940" s="32"/>
      <c r="U940" s="32"/>
    </row>
    <row r="941" spans="1:27" ht="16">
      <c r="A941" s="174"/>
      <c r="B941" s="174"/>
      <c r="C941" s="175"/>
      <c r="D941" s="176"/>
      <c r="E941" s="177" t="s">
        <v>2482</v>
      </c>
      <c r="F941" s="178">
        <f>I940+L940+M940</f>
        <v>91058586</v>
      </c>
      <c r="G941" s="179"/>
      <c r="H941" s="179"/>
      <c r="I941" s="180"/>
      <c r="J941" s="180"/>
      <c r="K941" s="181"/>
      <c r="L941" s="182"/>
      <c r="M941" s="183"/>
      <c r="N941" s="184"/>
      <c r="O941" s="184"/>
      <c r="P941" s="38"/>
      <c r="Q941" s="184"/>
      <c r="R941" s="32"/>
      <c r="S941" s="32"/>
      <c r="T941" s="32"/>
      <c r="U941" s="32"/>
    </row>
    <row r="942" spans="1:27" ht="16">
      <c r="A942" s="174"/>
      <c r="B942" s="174"/>
      <c r="C942" s="175"/>
      <c r="D942" s="176"/>
      <c r="E942" s="185" t="s">
        <v>2483</v>
      </c>
      <c r="F942" s="186">
        <v>7000000</v>
      </c>
      <c r="G942" s="179"/>
      <c r="H942" s="179"/>
      <c r="I942" s="180"/>
      <c r="J942" s="184"/>
      <c r="K942" s="187"/>
      <c r="L942" s="182"/>
      <c r="M942" s="183"/>
      <c r="N942" s="184"/>
      <c r="O942" s="180"/>
      <c r="P942" s="180"/>
      <c r="Q942" s="184"/>
      <c r="R942" s="32"/>
      <c r="S942" s="32"/>
      <c r="T942" s="32"/>
      <c r="U942" s="32"/>
    </row>
    <row r="943" spans="1:27" ht="16">
      <c r="A943" s="188"/>
      <c r="B943" s="188"/>
      <c r="C943" s="175"/>
      <c r="D943" s="176"/>
      <c r="E943" s="185" t="s">
        <v>2484</v>
      </c>
      <c r="F943" s="186">
        <v>800000</v>
      </c>
      <c r="G943" s="179"/>
      <c r="H943" s="179"/>
      <c r="I943" s="180"/>
      <c r="J943" s="180"/>
      <c r="K943" s="181"/>
      <c r="L943" s="182"/>
      <c r="M943" s="189"/>
      <c r="N943" s="180"/>
      <c r="O943" s="180"/>
      <c r="P943" s="180"/>
      <c r="Q943" s="184"/>
      <c r="R943" s="32"/>
      <c r="S943" s="32"/>
      <c r="T943" s="32"/>
      <c r="U943" s="32"/>
    </row>
    <row r="944" spans="1:27" ht="16">
      <c r="A944" s="174"/>
      <c r="B944" s="174"/>
      <c r="C944" s="190"/>
      <c r="D944" s="191"/>
      <c r="E944" s="185"/>
      <c r="F944" s="186">
        <f>SUM(F941:F943)</f>
        <v>98858586</v>
      </c>
      <c r="G944" s="179"/>
      <c r="H944" s="179"/>
      <c r="I944" s="180"/>
      <c r="J944" s="180"/>
      <c r="K944" s="181"/>
      <c r="L944" s="182"/>
      <c r="M944" s="189"/>
      <c r="N944" s="180"/>
      <c r="O944" s="180"/>
      <c r="P944" s="180"/>
      <c r="Q944" s="180"/>
      <c r="R944" s="32"/>
      <c r="S944" s="32"/>
      <c r="T944" s="32"/>
      <c r="U944" s="32"/>
    </row>
    <row r="945" spans="1:21" ht="16">
      <c r="A945" s="174"/>
      <c r="B945" s="174"/>
      <c r="C945" s="190"/>
      <c r="D945" s="191"/>
      <c r="E945" s="185" t="s">
        <v>2485</v>
      </c>
      <c r="F945" s="186">
        <v>9500000</v>
      </c>
      <c r="G945" s="188"/>
      <c r="H945" s="179"/>
      <c r="I945" s="180"/>
      <c r="J945" s="180"/>
      <c r="K945" s="181"/>
      <c r="L945" s="182"/>
      <c r="M945" s="189"/>
      <c r="N945" s="180"/>
      <c r="O945" s="180"/>
      <c r="P945" s="180"/>
      <c r="Q945" s="180"/>
      <c r="R945" s="32"/>
      <c r="S945" s="32"/>
      <c r="T945" s="32"/>
      <c r="U945" s="32"/>
    </row>
    <row r="946" spans="1:21" ht="16">
      <c r="A946" s="180"/>
      <c r="B946" s="180"/>
      <c r="C946" s="190"/>
      <c r="D946" s="191"/>
      <c r="E946" s="185" t="s">
        <v>2486</v>
      </c>
      <c r="F946" s="186">
        <v>2000000</v>
      </c>
      <c r="G946" s="483"/>
      <c r="H946" s="482"/>
      <c r="I946" s="184"/>
      <c r="J946" s="180"/>
      <c r="K946" s="181"/>
      <c r="L946" s="182"/>
      <c r="M946" s="189"/>
      <c r="N946" s="180"/>
      <c r="O946" s="180"/>
      <c r="P946" s="180"/>
      <c r="Q946" s="180"/>
      <c r="R946" s="32"/>
      <c r="S946" s="32"/>
      <c r="T946" s="32"/>
      <c r="U946" s="32"/>
    </row>
    <row r="947" spans="1:21" ht="18">
      <c r="A947" s="174"/>
      <c r="B947" s="174"/>
      <c r="C947" s="190"/>
      <c r="D947" s="191"/>
      <c r="E947" s="192" t="s">
        <v>2487</v>
      </c>
      <c r="F947" s="193"/>
      <c r="G947" s="194"/>
      <c r="H947" s="179"/>
      <c r="I947" s="180"/>
      <c r="J947" s="180"/>
      <c r="K947" s="181"/>
      <c r="L947" s="182"/>
      <c r="M947" s="189"/>
      <c r="N947" s="180"/>
      <c r="O947" s="180"/>
      <c r="P947" s="180"/>
      <c r="Q947" s="180"/>
      <c r="R947" s="32"/>
      <c r="S947" s="32"/>
      <c r="T947" s="32"/>
      <c r="U947" s="32"/>
    </row>
    <row r="948" spans="1:21" ht="18">
      <c r="A948" s="174"/>
      <c r="B948" s="174"/>
      <c r="C948" s="190"/>
      <c r="D948" s="191"/>
      <c r="E948" s="192" t="s">
        <v>2488</v>
      </c>
      <c r="F948" s="195">
        <f>F944-F945-F946-F947</f>
        <v>87358586</v>
      </c>
      <c r="G948" s="194"/>
      <c r="H948" s="179"/>
      <c r="I948" s="180"/>
      <c r="J948" s="180"/>
      <c r="K948" s="181"/>
      <c r="L948" s="182"/>
      <c r="M948" s="189"/>
      <c r="N948" s="180"/>
      <c r="O948" s="180"/>
      <c r="P948" s="180"/>
      <c r="Q948" s="180"/>
      <c r="R948" s="32"/>
      <c r="S948" s="32"/>
      <c r="T948" s="32"/>
      <c r="U948" s="32"/>
    </row>
    <row r="949" spans="1:21" ht="13">
      <c r="C949" s="196"/>
      <c r="D949" s="196"/>
      <c r="L949" s="74"/>
      <c r="M949" s="197"/>
    </row>
    <row r="950" spans="1:21" ht="13">
      <c r="C950" s="196"/>
      <c r="D950" s="196"/>
      <c r="L950" s="74"/>
      <c r="M950" s="197"/>
    </row>
    <row r="951" spans="1:21" ht="13">
      <c r="C951" s="196"/>
      <c r="D951" s="196"/>
      <c r="L951" s="74"/>
      <c r="M951" s="197"/>
    </row>
    <row r="952" spans="1:21" ht="13">
      <c r="C952" s="196"/>
      <c r="D952" s="196"/>
      <c r="L952" s="74"/>
      <c r="M952" s="197"/>
    </row>
    <row r="953" spans="1:21" ht="13">
      <c r="C953" s="196"/>
      <c r="D953" s="196"/>
      <c r="L953" s="74"/>
      <c r="M953" s="197"/>
    </row>
    <row r="954" spans="1:21" ht="13">
      <c r="C954" s="196"/>
      <c r="D954" s="196"/>
      <c r="L954" s="74"/>
      <c r="M954" s="197"/>
    </row>
    <row r="955" spans="1:21" ht="13">
      <c r="C955" s="196"/>
      <c r="D955" s="196"/>
      <c r="L955" s="74"/>
      <c r="M955" s="197"/>
    </row>
    <row r="956" spans="1:21" ht="13">
      <c r="C956" s="196"/>
      <c r="D956" s="196"/>
      <c r="L956" s="74"/>
      <c r="M956" s="197"/>
    </row>
    <row r="957" spans="1:21" ht="13">
      <c r="C957" s="196"/>
      <c r="D957" s="196"/>
      <c r="L957" s="74"/>
      <c r="M957" s="197"/>
    </row>
    <row r="958" spans="1:21" ht="13">
      <c r="C958" s="196"/>
      <c r="D958" s="196"/>
      <c r="L958" s="74"/>
      <c r="M958" s="197"/>
    </row>
    <row r="959" spans="1:21" ht="13">
      <c r="C959" s="196"/>
      <c r="D959" s="196"/>
      <c r="L959" s="74"/>
      <c r="M959" s="197"/>
    </row>
    <row r="960" spans="1:21" ht="13">
      <c r="C960" s="196"/>
      <c r="D960" s="196"/>
      <c r="L960" s="74"/>
      <c r="M960" s="197"/>
    </row>
    <row r="961" spans="3:13" ht="13">
      <c r="C961" s="196"/>
      <c r="D961" s="196"/>
      <c r="L961" s="74"/>
      <c r="M961" s="197"/>
    </row>
    <row r="962" spans="3:13" ht="13">
      <c r="C962" s="196"/>
      <c r="D962" s="196"/>
      <c r="L962" s="74"/>
      <c r="M962" s="197"/>
    </row>
    <row r="963" spans="3:13" ht="13">
      <c r="C963" s="196"/>
      <c r="D963" s="196"/>
      <c r="L963" s="74"/>
      <c r="M963" s="197"/>
    </row>
    <row r="964" spans="3:13" ht="13">
      <c r="C964" s="196"/>
      <c r="D964" s="196"/>
      <c r="L964" s="74"/>
      <c r="M964" s="197"/>
    </row>
    <row r="965" spans="3:13" ht="13">
      <c r="C965" s="196"/>
      <c r="D965" s="196"/>
      <c r="L965" s="74"/>
      <c r="M965" s="197"/>
    </row>
    <row r="966" spans="3:13" ht="13">
      <c r="C966" s="196"/>
      <c r="D966" s="196"/>
      <c r="L966" s="74"/>
      <c r="M966" s="197"/>
    </row>
    <row r="967" spans="3:13" ht="13">
      <c r="C967" s="196"/>
      <c r="D967" s="196"/>
      <c r="L967" s="74"/>
      <c r="M967" s="197"/>
    </row>
    <row r="968" spans="3:13" ht="13">
      <c r="C968" s="196"/>
      <c r="D968" s="196"/>
      <c r="L968" s="74"/>
      <c r="M968" s="197"/>
    </row>
    <row r="969" spans="3:13" ht="13">
      <c r="C969" s="196"/>
      <c r="D969" s="196"/>
      <c r="L969" s="74"/>
      <c r="M969" s="197"/>
    </row>
    <row r="970" spans="3:13" ht="13">
      <c r="C970" s="196"/>
      <c r="D970" s="196"/>
      <c r="L970" s="74"/>
      <c r="M970" s="197"/>
    </row>
    <row r="971" spans="3:13" ht="13">
      <c r="C971" s="196"/>
      <c r="D971" s="196"/>
      <c r="L971" s="74"/>
      <c r="M971" s="197"/>
    </row>
    <row r="972" spans="3:13" ht="13">
      <c r="C972" s="196"/>
      <c r="D972" s="196"/>
      <c r="L972" s="74"/>
      <c r="M972" s="197"/>
    </row>
    <row r="973" spans="3:13" ht="13">
      <c r="C973" s="196"/>
      <c r="D973" s="196"/>
      <c r="L973" s="74"/>
      <c r="M973" s="197"/>
    </row>
    <row r="974" spans="3:13" ht="13">
      <c r="C974" s="196"/>
      <c r="D974" s="196"/>
      <c r="L974" s="74"/>
      <c r="M974" s="197"/>
    </row>
    <row r="975" spans="3:13" ht="13">
      <c r="C975" s="196"/>
      <c r="D975" s="196"/>
      <c r="L975" s="74"/>
      <c r="M975" s="197"/>
    </row>
    <row r="976" spans="3:13" ht="13">
      <c r="C976" s="196"/>
      <c r="D976" s="196"/>
      <c r="L976" s="74"/>
      <c r="M976" s="197"/>
    </row>
    <row r="977" spans="3:13" ht="13">
      <c r="C977" s="196"/>
      <c r="D977" s="196"/>
      <c r="L977" s="74"/>
      <c r="M977" s="197"/>
    </row>
    <row r="978" spans="3:13" ht="13">
      <c r="C978" s="196"/>
      <c r="D978" s="196"/>
      <c r="L978" s="74"/>
      <c r="M978" s="197"/>
    </row>
    <row r="979" spans="3:13" ht="13">
      <c r="C979" s="196"/>
      <c r="D979" s="196"/>
      <c r="L979" s="74"/>
      <c r="M979" s="197"/>
    </row>
    <row r="980" spans="3:13" ht="13">
      <c r="C980" s="196"/>
      <c r="D980" s="196"/>
      <c r="L980" s="74"/>
      <c r="M980" s="197"/>
    </row>
    <row r="981" spans="3:13" ht="13">
      <c r="C981" s="196"/>
      <c r="D981" s="196"/>
      <c r="L981" s="74"/>
      <c r="M981" s="197"/>
    </row>
    <row r="982" spans="3:13" ht="13">
      <c r="C982" s="196"/>
      <c r="D982" s="196"/>
      <c r="L982" s="74"/>
      <c r="M982" s="197"/>
    </row>
    <row r="983" spans="3:13" ht="13">
      <c r="C983" s="196"/>
      <c r="D983" s="196"/>
      <c r="L983" s="74"/>
      <c r="M983" s="197"/>
    </row>
    <row r="984" spans="3:13" ht="13">
      <c r="C984" s="196"/>
      <c r="D984" s="196"/>
      <c r="L984" s="74"/>
      <c r="M984" s="197"/>
    </row>
    <row r="985" spans="3:13" ht="13">
      <c r="C985" s="196"/>
      <c r="D985" s="196"/>
      <c r="L985" s="74"/>
      <c r="M985" s="197"/>
    </row>
    <row r="986" spans="3:13" ht="13">
      <c r="C986" s="196"/>
      <c r="D986" s="196"/>
      <c r="L986" s="74"/>
      <c r="M986" s="197"/>
    </row>
    <row r="987" spans="3:13" ht="13">
      <c r="C987" s="196"/>
      <c r="D987" s="196"/>
      <c r="L987" s="74"/>
      <c r="M987" s="197"/>
    </row>
    <row r="988" spans="3:13" ht="13">
      <c r="C988" s="196"/>
      <c r="D988" s="196"/>
      <c r="L988" s="74"/>
      <c r="M988" s="197"/>
    </row>
    <row r="989" spans="3:13" ht="13">
      <c r="C989" s="196"/>
      <c r="D989" s="196"/>
      <c r="L989" s="74"/>
      <c r="M989" s="197"/>
    </row>
    <row r="990" spans="3:13" ht="13">
      <c r="C990" s="196"/>
      <c r="D990" s="196"/>
      <c r="L990" s="74"/>
      <c r="M990" s="197"/>
    </row>
    <row r="991" spans="3:13" ht="13">
      <c r="C991" s="196"/>
      <c r="D991" s="196"/>
      <c r="L991" s="74"/>
      <c r="M991" s="197"/>
    </row>
    <row r="992" spans="3:13" ht="13">
      <c r="C992" s="196"/>
      <c r="D992" s="196"/>
      <c r="L992" s="74"/>
      <c r="M992" s="197"/>
    </row>
    <row r="993" spans="3:13" ht="13">
      <c r="C993" s="196"/>
      <c r="D993" s="196"/>
      <c r="L993" s="74"/>
      <c r="M993" s="197"/>
    </row>
    <row r="994" spans="3:13" ht="13">
      <c r="C994" s="196"/>
      <c r="D994" s="196"/>
      <c r="L994" s="74"/>
      <c r="M994" s="197"/>
    </row>
    <row r="995" spans="3:13" ht="13">
      <c r="C995" s="196"/>
      <c r="D995" s="196"/>
      <c r="L995" s="74"/>
      <c r="M995" s="197"/>
    </row>
    <row r="996" spans="3:13" ht="13">
      <c r="C996" s="196"/>
      <c r="D996" s="196"/>
      <c r="L996" s="74"/>
      <c r="M996" s="197"/>
    </row>
    <row r="997" spans="3:13" ht="13">
      <c r="C997" s="196"/>
      <c r="D997" s="196"/>
      <c r="L997" s="74"/>
      <c r="M997" s="197"/>
    </row>
    <row r="998" spans="3:13" ht="13">
      <c r="C998" s="196"/>
      <c r="D998" s="196"/>
      <c r="L998" s="74"/>
      <c r="M998" s="197"/>
    </row>
    <row r="999" spans="3:13" ht="13">
      <c r="C999" s="196"/>
      <c r="D999" s="196"/>
      <c r="L999" s="74"/>
      <c r="M999" s="197"/>
    </row>
    <row r="1000" spans="3:13" ht="13">
      <c r="C1000" s="196"/>
      <c r="D1000" s="196"/>
      <c r="L1000" s="74"/>
      <c r="M1000" s="197"/>
    </row>
    <row r="1001" spans="3:13" ht="13">
      <c r="C1001" s="196"/>
      <c r="D1001" s="196"/>
      <c r="L1001" s="74"/>
      <c r="M1001" s="197"/>
    </row>
    <row r="1002" spans="3:13" ht="13">
      <c r="C1002" s="196"/>
      <c r="D1002" s="196"/>
      <c r="L1002" s="74"/>
      <c r="M1002" s="197"/>
    </row>
    <row r="1003" spans="3:13" ht="13">
      <c r="C1003" s="196"/>
      <c r="D1003" s="196"/>
      <c r="L1003" s="74"/>
      <c r="M1003" s="197"/>
    </row>
    <row r="1004" spans="3:13" ht="13">
      <c r="C1004" s="196"/>
      <c r="D1004" s="196"/>
      <c r="L1004" s="74"/>
      <c r="M1004" s="197"/>
    </row>
    <row r="1005" spans="3:13" ht="13">
      <c r="C1005" s="196"/>
      <c r="D1005" s="196"/>
      <c r="L1005" s="74"/>
      <c r="M1005" s="197"/>
    </row>
    <row r="1006" spans="3:13" ht="13">
      <c r="C1006" s="196"/>
      <c r="D1006" s="196"/>
      <c r="L1006" s="74"/>
      <c r="M1006" s="197"/>
    </row>
    <row r="1007" spans="3:13" ht="13">
      <c r="C1007" s="196"/>
      <c r="D1007" s="196"/>
      <c r="L1007" s="74"/>
      <c r="M1007" s="197"/>
    </row>
    <row r="1008" spans="3:13" ht="13">
      <c r="C1008" s="196"/>
      <c r="D1008" s="196"/>
      <c r="L1008" s="74"/>
      <c r="M1008" s="197"/>
    </row>
    <row r="1009" spans="3:13" ht="13">
      <c r="C1009" s="196"/>
      <c r="D1009" s="196"/>
      <c r="L1009" s="74"/>
      <c r="M1009" s="197"/>
    </row>
    <row r="1010" spans="3:13" ht="13">
      <c r="C1010" s="196"/>
      <c r="D1010" s="196"/>
      <c r="L1010" s="74"/>
      <c r="M1010" s="197"/>
    </row>
    <row r="1011" spans="3:13" ht="13">
      <c r="C1011" s="196"/>
      <c r="D1011" s="196"/>
      <c r="L1011" s="74"/>
      <c r="M1011" s="197"/>
    </row>
    <row r="1012" spans="3:13" ht="13">
      <c r="C1012" s="196"/>
      <c r="D1012" s="196"/>
      <c r="L1012" s="74"/>
      <c r="M1012" s="197"/>
    </row>
    <row r="1013" spans="3:13" ht="13">
      <c r="C1013" s="196"/>
      <c r="D1013" s="196"/>
      <c r="L1013" s="74"/>
      <c r="M1013" s="197"/>
    </row>
    <row r="1014" spans="3:13" ht="13">
      <c r="C1014" s="196"/>
      <c r="D1014" s="196"/>
      <c r="L1014" s="74"/>
      <c r="M1014" s="197"/>
    </row>
    <row r="1015" spans="3:13" ht="13">
      <c r="C1015" s="196"/>
      <c r="D1015" s="196"/>
      <c r="L1015" s="74"/>
      <c r="M1015" s="197"/>
    </row>
    <row r="1016" spans="3:13" ht="13">
      <c r="C1016" s="196"/>
      <c r="D1016" s="196"/>
      <c r="L1016" s="74"/>
      <c r="M1016" s="197"/>
    </row>
    <row r="1017" spans="3:13" ht="13">
      <c r="C1017" s="196"/>
      <c r="D1017" s="196"/>
      <c r="L1017" s="74"/>
      <c r="M1017" s="197"/>
    </row>
    <row r="1018" spans="3:13" ht="13">
      <c r="C1018" s="196"/>
      <c r="D1018" s="196"/>
      <c r="L1018" s="74"/>
      <c r="M1018" s="197"/>
    </row>
    <row r="1019" spans="3:13" ht="13">
      <c r="C1019" s="196"/>
      <c r="D1019" s="196"/>
      <c r="L1019" s="74"/>
      <c r="M1019" s="197"/>
    </row>
    <row r="1020" spans="3:13" ht="13">
      <c r="C1020" s="196"/>
      <c r="D1020" s="196"/>
      <c r="L1020" s="74"/>
      <c r="M1020" s="197"/>
    </row>
    <row r="1021" spans="3:13" ht="13">
      <c r="C1021" s="196"/>
      <c r="D1021" s="196"/>
      <c r="L1021" s="74"/>
      <c r="M1021" s="197"/>
    </row>
    <row r="1022" spans="3:13" ht="13">
      <c r="C1022" s="196"/>
      <c r="D1022" s="196"/>
      <c r="L1022" s="74"/>
      <c r="M1022" s="197"/>
    </row>
    <row r="1023" spans="3:13" ht="13">
      <c r="C1023" s="196"/>
      <c r="D1023" s="196"/>
      <c r="L1023" s="74"/>
      <c r="M1023" s="197"/>
    </row>
    <row r="1024" spans="3:13" ht="13">
      <c r="C1024" s="196"/>
      <c r="D1024" s="196"/>
      <c r="L1024" s="74"/>
      <c r="M1024" s="197"/>
    </row>
    <row r="1025" spans="3:13" ht="13">
      <c r="C1025" s="196"/>
      <c r="D1025" s="196"/>
      <c r="L1025" s="74"/>
      <c r="M1025" s="197"/>
    </row>
    <row r="1026" spans="3:13" ht="13">
      <c r="C1026" s="196"/>
      <c r="D1026" s="196"/>
      <c r="L1026" s="74"/>
      <c r="M1026" s="197"/>
    </row>
    <row r="1027" spans="3:13" ht="13">
      <c r="C1027" s="196"/>
      <c r="D1027" s="196"/>
      <c r="L1027" s="74"/>
      <c r="M1027" s="197"/>
    </row>
    <row r="1028" spans="3:13" ht="13">
      <c r="C1028" s="196"/>
      <c r="D1028" s="196"/>
      <c r="L1028" s="74"/>
      <c r="M1028" s="197"/>
    </row>
    <row r="1029" spans="3:13" ht="13">
      <c r="C1029" s="196"/>
      <c r="D1029" s="196"/>
      <c r="L1029" s="74"/>
      <c r="M1029" s="197"/>
    </row>
    <row r="1030" spans="3:13" ht="13">
      <c r="C1030" s="196"/>
      <c r="D1030" s="196"/>
      <c r="L1030" s="74"/>
      <c r="M1030" s="197"/>
    </row>
    <row r="1031" spans="3:13" ht="13">
      <c r="C1031" s="196"/>
      <c r="D1031" s="196"/>
      <c r="L1031" s="74"/>
      <c r="M1031" s="197"/>
    </row>
    <row r="1032" spans="3:13" ht="13">
      <c r="C1032" s="196"/>
      <c r="D1032" s="196"/>
      <c r="L1032" s="74"/>
      <c r="M1032" s="197"/>
    </row>
    <row r="1033" spans="3:13" ht="13">
      <c r="C1033" s="196"/>
      <c r="D1033" s="196"/>
      <c r="L1033" s="74"/>
      <c r="M1033" s="197"/>
    </row>
    <row r="1034" spans="3:13" ht="13">
      <c r="C1034" s="196"/>
      <c r="D1034" s="196"/>
      <c r="L1034" s="74"/>
      <c r="M1034" s="197"/>
    </row>
    <row r="1035" spans="3:13" ht="13">
      <c r="C1035" s="196"/>
      <c r="D1035" s="196"/>
      <c r="L1035" s="74"/>
      <c r="M1035" s="197"/>
    </row>
    <row r="1036" spans="3:13" ht="13">
      <c r="C1036" s="196"/>
      <c r="D1036" s="196"/>
      <c r="L1036" s="74"/>
      <c r="M1036" s="197"/>
    </row>
    <row r="1037" spans="3:13" ht="13">
      <c r="C1037" s="196"/>
      <c r="D1037" s="196"/>
      <c r="L1037" s="74"/>
      <c r="M1037" s="197"/>
    </row>
    <row r="1038" spans="3:13" ht="13">
      <c r="C1038" s="196"/>
      <c r="D1038" s="196"/>
      <c r="L1038" s="74"/>
      <c r="M1038" s="197"/>
    </row>
    <row r="1039" spans="3:13" ht="13">
      <c r="C1039" s="196"/>
      <c r="D1039" s="196"/>
      <c r="L1039" s="74"/>
      <c r="M1039" s="197"/>
    </row>
    <row r="1040" spans="3:13" ht="13">
      <c r="C1040" s="196"/>
      <c r="D1040" s="196"/>
      <c r="L1040" s="74"/>
      <c r="M1040" s="197"/>
    </row>
    <row r="1041" spans="3:13" ht="13">
      <c r="C1041" s="196"/>
      <c r="D1041" s="196"/>
      <c r="L1041" s="74"/>
      <c r="M1041" s="197"/>
    </row>
    <row r="1042" spans="3:13" ht="13">
      <c r="C1042" s="196"/>
      <c r="D1042" s="196"/>
      <c r="L1042" s="74"/>
      <c r="M1042" s="197"/>
    </row>
    <row r="1043" spans="3:13" ht="13">
      <c r="C1043" s="196"/>
      <c r="D1043" s="196"/>
      <c r="L1043" s="74"/>
      <c r="M1043" s="197"/>
    </row>
    <row r="1044" spans="3:13" ht="13">
      <c r="C1044" s="196"/>
      <c r="D1044" s="196"/>
      <c r="L1044" s="74"/>
      <c r="M1044" s="197"/>
    </row>
    <row r="1045" spans="3:13" ht="13">
      <c r="C1045" s="196"/>
      <c r="D1045" s="196"/>
      <c r="L1045" s="74"/>
      <c r="M1045" s="197"/>
    </row>
    <row r="1046" spans="3:13" ht="13">
      <c r="C1046" s="196"/>
      <c r="D1046" s="196"/>
      <c r="L1046" s="74"/>
      <c r="M1046" s="197"/>
    </row>
    <row r="1047" spans="3:13" ht="13">
      <c r="C1047" s="196"/>
      <c r="D1047" s="196"/>
      <c r="L1047" s="74"/>
      <c r="M1047" s="197"/>
    </row>
    <row r="1048" spans="3:13" ht="13">
      <c r="C1048" s="196"/>
      <c r="D1048" s="196"/>
      <c r="L1048" s="74"/>
      <c r="M1048" s="197"/>
    </row>
    <row r="1049" spans="3:13" ht="13">
      <c r="C1049" s="196"/>
      <c r="D1049" s="196"/>
      <c r="L1049" s="74"/>
      <c r="M1049" s="197"/>
    </row>
    <row r="1050" spans="3:13" ht="13">
      <c r="C1050" s="196"/>
      <c r="D1050" s="196"/>
      <c r="L1050" s="74"/>
      <c r="M1050" s="197"/>
    </row>
    <row r="1051" spans="3:13" ht="13">
      <c r="C1051" s="196"/>
      <c r="D1051" s="196"/>
      <c r="L1051" s="74"/>
      <c r="M1051" s="197"/>
    </row>
    <row r="1052" spans="3:13" ht="13">
      <c r="C1052" s="196"/>
      <c r="D1052" s="196"/>
      <c r="L1052" s="74"/>
      <c r="M1052" s="197"/>
    </row>
    <row r="1053" spans="3:13" ht="13">
      <c r="C1053" s="196"/>
      <c r="D1053" s="196"/>
      <c r="L1053" s="74"/>
      <c r="M1053" s="197"/>
    </row>
    <row r="1054" spans="3:13" ht="13">
      <c r="C1054" s="196"/>
      <c r="D1054" s="196"/>
      <c r="L1054" s="74"/>
      <c r="M1054" s="197"/>
    </row>
    <row r="1055" spans="3:13" ht="13">
      <c r="C1055" s="196"/>
      <c r="D1055" s="196"/>
      <c r="L1055" s="74"/>
      <c r="M1055" s="197"/>
    </row>
    <row r="1056" spans="3:13" ht="13">
      <c r="C1056" s="196"/>
      <c r="D1056" s="196"/>
      <c r="L1056" s="74"/>
      <c r="M1056" s="197"/>
    </row>
    <row r="1057" spans="3:13" ht="13">
      <c r="C1057" s="196"/>
      <c r="D1057" s="196"/>
      <c r="L1057" s="74"/>
      <c r="M1057" s="197"/>
    </row>
    <row r="1058" spans="3:13" ht="13">
      <c r="C1058" s="196"/>
      <c r="D1058" s="196"/>
      <c r="L1058" s="74"/>
      <c r="M1058" s="197"/>
    </row>
    <row r="1059" spans="3:13" ht="13">
      <c r="C1059" s="196"/>
      <c r="D1059" s="196"/>
      <c r="L1059" s="74"/>
      <c r="M1059" s="197"/>
    </row>
    <row r="1060" spans="3:13" ht="13">
      <c r="C1060" s="196"/>
      <c r="D1060" s="196"/>
      <c r="L1060" s="74"/>
      <c r="M1060" s="197"/>
    </row>
    <row r="1061" spans="3:13" ht="13">
      <c r="C1061" s="196"/>
      <c r="D1061" s="196"/>
      <c r="L1061" s="74"/>
      <c r="M1061" s="197"/>
    </row>
    <row r="1062" spans="3:13" ht="13">
      <c r="C1062" s="196"/>
      <c r="D1062" s="196"/>
      <c r="L1062" s="74"/>
      <c r="M1062" s="197"/>
    </row>
    <row r="1063" spans="3:13" ht="13">
      <c r="C1063" s="196"/>
      <c r="D1063" s="196"/>
      <c r="L1063" s="74"/>
      <c r="M1063" s="197"/>
    </row>
    <row r="1064" spans="3:13" ht="13">
      <c r="C1064" s="196"/>
      <c r="D1064" s="196"/>
      <c r="L1064" s="74"/>
      <c r="M1064" s="197"/>
    </row>
    <row r="1065" spans="3:13" ht="13">
      <c r="C1065" s="196"/>
      <c r="D1065" s="196"/>
      <c r="L1065" s="74"/>
      <c r="M1065" s="197"/>
    </row>
    <row r="1066" spans="3:13" ht="13">
      <c r="C1066" s="196"/>
      <c r="D1066" s="196"/>
      <c r="L1066" s="74"/>
      <c r="M1066" s="197"/>
    </row>
    <row r="1067" spans="3:13" ht="13">
      <c r="C1067" s="196"/>
      <c r="D1067" s="196"/>
      <c r="L1067" s="74"/>
      <c r="M1067" s="197"/>
    </row>
    <row r="1068" spans="3:13" ht="13">
      <c r="C1068" s="196"/>
      <c r="D1068" s="196"/>
      <c r="L1068" s="74"/>
      <c r="M1068" s="197"/>
    </row>
    <row r="1069" spans="3:13" ht="13">
      <c r="C1069" s="196"/>
      <c r="D1069" s="196"/>
      <c r="L1069" s="74"/>
      <c r="M1069" s="197"/>
    </row>
    <row r="1070" spans="3:13" ht="13">
      <c r="C1070" s="196"/>
      <c r="D1070" s="196"/>
      <c r="L1070" s="74"/>
      <c r="M1070" s="197"/>
    </row>
    <row r="1071" spans="3:13" ht="13">
      <c r="C1071" s="196"/>
      <c r="D1071" s="196"/>
      <c r="L1071" s="74"/>
      <c r="M1071" s="197"/>
    </row>
    <row r="1072" spans="3:13" ht="13">
      <c r="C1072" s="196"/>
      <c r="D1072" s="196"/>
      <c r="L1072" s="74"/>
      <c r="M1072" s="197"/>
    </row>
    <row r="1073" spans="3:13" ht="13">
      <c r="C1073" s="196"/>
      <c r="D1073" s="196"/>
      <c r="L1073" s="74"/>
      <c r="M1073" s="197"/>
    </row>
    <row r="1074" spans="3:13" ht="13">
      <c r="C1074" s="196"/>
      <c r="D1074" s="196"/>
      <c r="L1074" s="74"/>
      <c r="M1074" s="197"/>
    </row>
    <row r="1075" spans="3:13" ht="13">
      <c r="C1075" s="196"/>
      <c r="D1075" s="196"/>
      <c r="L1075" s="74"/>
      <c r="M1075" s="197"/>
    </row>
    <row r="1076" spans="3:13" ht="13">
      <c r="C1076" s="196"/>
      <c r="D1076" s="196"/>
      <c r="L1076" s="74"/>
      <c r="M1076" s="197"/>
    </row>
    <row r="1077" spans="3:13" ht="13">
      <c r="C1077" s="196"/>
      <c r="D1077" s="196"/>
      <c r="L1077" s="74"/>
      <c r="M1077" s="197"/>
    </row>
    <row r="1078" spans="3:13" ht="13">
      <c r="C1078" s="196"/>
      <c r="D1078" s="196"/>
      <c r="L1078" s="74"/>
      <c r="M1078" s="197"/>
    </row>
    <row r="1079" spans="3:13" ht="13">
      <c r="C1079" s="196"/>
      <c r="D1079" s="196"/>
      <c r="L1079" s="74"/>
      <c r="M1079" s="197"/>
    </row>
    <row r="1080" spans="3:13" ht="13">
      <c r="C1080" s="196"/>
      <c r="D1080" s="196"/>
      <c r="L1080" s="74"/>
      <c r="M1080" s="197"/>
    </row>
    <row r="1081" spans="3:13" ht="13">
      <c r="C1081" s="196"/>
      <c r="D1081" s="196"/>
      <c r="L1081" s="74"/>
      <c r="M1081" s="197"/>
    </row>
    <row r="1082" spans="3:13" ht="13">
      <c r="C1082" s="196"/>
      <c r="D1082" s="196"/>
      <c r="L1082" s="74"/>
      <c r="M1082" s="197"/>
    </row>
    <row r="1083" spans="3:13" ht="13">
      <c r="C1083" s="196"/>
      <c r="D1083" s="196"/>
      <c r="L1083" s="74"/>
      <c r="M1083" s="197"/>
    </row>
    <row r="1084" spans="3:13" ht="13">
      <c r="C1084" s="196"/>
      <c r="D1084" s="196"/>
      <c r="L1084" s="74"/>
      <c r="M1084" s="197"/>
    </row>
    <row r="1085" spans="3:13" ht="13">
      <c r="C1085" s="196"/>
      <c r="D1085" s="196"/>
      <c r="L1085" s="74"/>
      <c r="M1085" s="197"/>
    </row>
    <row r="1086" spans="3:13" ht="13">
      <c r="C1086" s="196"/>
      <c r="D1086" s="196"/>
      <c r="L1086" s="74"/>
      <c r="M1086" s="197"/>
    </row>
    <row r="1087" spans="3:13" ht="13">
      <c r="C1087" s="196"/>
      <c r="D1087" s="196"/>
      <c r="L1087" s="74"/>
      <c r="M1087" s="197"/>
    </row>
    <row r="1088" spans="3:13" ht="13">
      <c r="C1088" s="196"/>
      <c r="D1088" s="196"/>
      <c r="L1088" s="74"/>
      <c r="M1088" s="197"/>
    </row>
    <row r="1089" spans="3:13" ht="13">
      <c r="C1089" s="196"/>
      <c r="D1089" s="196"/>
      <c r="L1089" s="74"/>
      <c r="M1089" s="197"/>
    </row>
    <row r="1090" spans="3:13" ht="13">
      <c r="C1090" s="196"/>
      <c r="D1090" s="196"/>
      <c r="L1090" s="74"/>
      <c r="M1090" s="197"/>
    </row>
    <row r="1091" spans="3:13" ht="13">
      <c r="C1091" s="196"/>
      <c r="D1091" s="196"/>
      <c r="L1091" s="74"/>
      <c r="M1091" s="197"/>
    </row>
    <row r="1092" spans="3:13" ht="13">
      <c r="C1092" s="196"/>
      <c r="D1092" s="196"/>
      <c r="L1092" s="74"/>
      <c r="M1092" s="197"/>
    </row>
    <row r="1093" spans="3:13" ht="13">
      <c r="C1093" s="196"/>
      <c r="D1093" s="196"/>
      <c r="L1093" s="74"/>
      <c r="M1093" s="197"/>
    </row>
    <row r="1094" spans="3:13" ht="13">
      <c r="C1094" s="196"/>
      <c r="D1094" s="196"/>
      <c r="L1094" s="74"/>
      <c r="M1094" s="197"/>
    </row>
    <row r="1095" spans="3:13" ht="13">
      <c r="C1095" s="196"/>
      <c r="D1095" s="196"/>
      <c r="L1095" s="74"/>
      <c r="M1095" s="197"/>
    </row>
    <row r="1096" spans="3:13" ht="13">
      <c r="C1096" s="196"/>
      <c r="D1096" s="196"/>
      <c r="L1096" s="74"/>
      <c r="M1096" s="197"/>
    </row>
    <row r="1097" spans="3:13" ht="13">
      <c r="C1097" s="196"/>
      <c r="D1097" s="196"/>
      <c r="L1097" s="74"/>
      <c r="M1097" s="197"/>
    </row>
    <row r="1098" spans="3:13" ht="13">
      <c r="C1098" s="196"/>
      <c r="D1098" s="196"/>
      <c r="L1098" s="74"/>
      <c r="M1098" s="197"/>
    </row>
    <row r="1099" spans="3:13" ht="13">
      <c r="C1099" s="196"/>
      <c r="D1099" s="196"/>
      <c r="L1099" s="74"/>
      <c r="M1099" s="197"/>
    </row>
    <row r="1100" spans="3:13" ht="13">
      <c r="C1100" s="196"/>
      <c r="D1100" s="196"/>
      <c r="L1100" s="74"/>
      <c r="M1100" s="197"/>
    </row>
    <row r="1101" spans="3:13" ht="13">
      <c r="C1101" s="196"/>
      <c r="D1101" s="196"/>
      <c r="L1101" s="74"/>
      <c r="M1101" s="197"/>
    </row>
    <row r="1102" spans="3:13" ht="13">
      <c r="C1102" s="196"/>
      <c r="D1102" s="196"/>
      <c r="L1102" s="74"/>
      <c r="M1102" s="197"/>
    </row>
    <row r="1103" spans="3:13" ht="13">
      <c r="C1103" s="196"/>
      <c r="D1103" s="196"/>
      <c r="L1103" s="74"/>
      <c r="M1103" s="197"/>
    </row>
    <row r="1104" spans="3:13" ht="13">
      <c r="C1104" s="196"/>
      <c r="D1104" s="196"/>
      <c r="L1104" s="74"/>
      <c r="M1104" s="197"/>
    </row>
    <row r="1105" spans="3:13" ht="13">
      <c r="C1105" s="196"/>
      <c r="D1105" s="196"/>
      <c r="L1105" s="74"/>
      <c r="M1105" s="197"/>
    </row>
    <row r="1106" spans="3:13" ht="13">
      <c r="C1106" s="196"/>
      <c r="D1106" s="196"/>
      <c r="L1106" s="74"/>
      <c r="M1106" s="197"/>
    </row>
    <row r="1107" spans="3:13" ht="13">
      <c r="C1107" s="196"/>
      <c r="D1107" s="196"/>
      <c r="L1107" s="74"/>
      <c r="M1107" s="197"/>
    </row>
    <row r="1108" spans="3:13" ht="13">
      <c r="C1108" s="196"/>
      <c r="D1108" s="196"/>
      <c r="L1108" s="74"/>
      <c r="M1108" s="197"/>
    </row>
    <row r="1109" spans="3:13" ht="13">
      <c r="C1109" s="196"/>
      <c r="D1109" s="196"/>
      <c r="L1109" s="74"/>
      <c r="M1109" s="197"/>
    </row>
    <row r="1110" spans="3:13" ht="13">
      <c r="C1110" s="196"/>
      <c r="D1110" s="196"/>
      <c r="L1110" s="74"/>
      <c r="M1110" s="197"/>
    </row>
    <row r="1111" spans="3:13" ht="13">
      <c r="C1111" s="196"/>
      <c r="D1111" s="196"/>
      <c r="L1111" s="74"/>
      <c r="M1111" s="197"/>
    </row>
    <row r="1112" spans="3:13" ht="13">
      <c r="C1112" s="196"/>
      <c r="D1112" s="196"/>
      <c r="L1112" s="74"/>
      <c r="M1112" s="197"/>
    </row>
    <row r="1113" spans="3:13" ht="13">
      <c r="C1113" s="196"/>
      <c r="D1113" s="196"/>
      <c r="L1113" s="74"/>
      <c r="M1113" s="197"/>
    </row>
    <row r="1114" spans="3:13" ht="13">
      <c r="C1114" s="196"/>
      <c r="D1114" s="196"/>
      <c r="L1114" s="74"/>
      <c r="M1114" s="197"/>
    </row>
    <row r="1115" spans="3:13" ht="13">
      <c r="C1115" s="196"/>
      <c r="D1115" s="196"/>
      <c r="L1115" s="74"/>
      <c r="M1115" s="197"/>
    </row>
    <row r="1116" spans="3:13" ht="13">
      <c r="C1116" s="196"/>
      <c r="D1116" s="196"/>
      <c r="L1116" s="74"/>
      <c r="M1116" s="197"/>
    </row>
    <row r="1117" spans="3:13" ht="13">
      <c r="C1117" s="196"/>
      <c r="D1117" s="196"/>
      <c r="L1117" s="74"/>
      <c r="M1117" s="197"/>
    </row>
    <row r="1118" spans="3:13" ht="13">
      <c r="C1118" s="196"/>
      <c r="D1118" s="196"/>
      <c r="L1118" s="74"/>
      <c r="M1118" s="197"/>
    </row>
    <row r="1119" spans="3:13" ht="13">
      <c r="C1119" s="196"/>
      <c r="D1119" s="196"/>
      <c r="L1119" s="74"/>
      <c r="M1119" s="197"/>
    </row>
    <row r="1120" spans="3:13" ht="13">
      <c r="C1120" s="196"/>
      <c r="D1120" s="196"/>
      <c r="L1120" s="74"/>
      <c r="M1120" s="197"/>
    </row>
    <row r="1121" spans="3:13" ht="13">
      <c r="C1121" s="196"/>
      <c r="D1121" s="196"/>
      <c r="L1121" s="74"/>
      <c r="M1121" s="197"/>
    </row>
    <row r="1122" spans="3:13" ht="13">
      <c r="C1122" s="196"/>
      <c r="D1122" s="196"/>
      <c r="L1122" s="74"/>
      <c r="M1122" s="197"/>
    </row>
    <row r="1123" spans="3:13" ht="13">
      <c r="C1123" s="196"/>
      <c r="D1123" s="196"/>
      <c r="L1123" s="74"/>
      <c r="M1123" s="197"/>
    </row>
    <row r="1124" spans="3:13" ht="13">
      <c r="C1124" s="196"/>
      <c r="D1124" s="196"/>
      <c r="L1124" s="74"/>
      <c r="M1124" s="197"/>
    </row>
    <row r="1125" spans="3:13" ht="13">
      <c r="C1125" s="196"/>
      <c r="D1125" s="196"/>
      <c r="L1125" s="74"/>
      <c r="M1125" s="197"/>
    </row>
    <row r="1126" spans="3:13" ht="13">
      <c r="C1126" s="196"/>
      <c r="D1126" s="196"/>
      <c r="L1126" s="74"/>
      <c r="M1126" s="197"/>
    </row>
    <row r="1127" spans="3:13" ht="13">
      <c r="C1127" s="196"/>
      <c r="D1127" s="196"/>
      <c r="L1127" s="74"/>
      <c r="M1127" s="197"/>
    </row>
    <row r="1128" spans="3:13" ht="13">
      <c r="C1128" s="196"/>
      <c r="D1128" s="196"/>
      <c r="L1128" s="74"/>
      <c r="M1128" s="197"/>
    </row>
    <row r="1129" spans="3:13" ht="13">
      <c r="C1129" s="196"/>
      <c r="D1129" s="196"/>
      <c r="L1129" s="74"/>
      <c r="M1129" s="197"/>
    </row>
    <row r="1130" spans="3:13" ht="13">
      <c r="C1130" s="196"/>
      <c r="D1130" s="196"/>
      <c r="L1130" s="74"/>
      <c r="M1130" s="197"/>
    </row>
    <row r="1131" spans="3:13" ht="13">
      <c r="C1131" s="196"/>
      <c r="D1131" s="196"/>
      <c r="L1131" s="74"/>
      <c r="M1131" s="197"/>
    </row>
    <row r="1132" spans="3:13" ht="13">
      <c r="C1132" s="196"/>
      <c r="D1132" s="196"/>
      <c r="L1132" s="74"/>
      <c r="M1132" s="197"/>
    </row>
    <row r="1133" spans="3:13" ht="13">
      <c r="C1133" s="196"/>
      <c r="D1133" s="196"/>
      <c r="L1133" s="74"/>
      <c r="M1133" s="197"/>
    </row>
    <row r="1134" spans="3:13" ht="13">
      <c r="C1134" s="196"/>
      <c r="D1134" s="196"/>
      <c r="L1134" s="74"/>
      <c r="M1134" s="197"/>
    </row>
    <row r="1135" spans="3:13" ht="13">
      <c r="C1135" s="196"/>
      <c r="D1135" s="196"/>
      <c r="L1135" s="74"/>
      <c r="M1135" s="197"/>
    </row>
    <row r="1136" spans="3:13" ht="13">
      <c r="C1136" s="196"/>
      <c r="D1136" s="196"/>
      <c r="L1136" s="74"/>
      <c r="M1136" s="197"/>
    </row>
    <row r="1137" spans="3:13" ht="13">
      <c r="C1137" s="196"/>
      <c r="D1137" s="196"/>
      <c r="L1137" s="74"/>
      <c r="M1137" s="197"/>
    </row>
    <row r="1138" spans="3:13" ht="13">
      <c r="C1138" s="196"/>
      <c r="D1138" s="196"/>
      <c r="L1138" s="74"/>
      <c r="M1138" s="197"/>
    </row>
    <row r="1139" spans="3:13" ht="13">
      <c r="C1139" s="196"/>
      <c r="D1139" s="196"/>
      <c r="L1139" s="74"/>
      <c r="M1139" s="197"/>
    </row>
    <row r="1140" spans="3:13" ht="13">
      <c r="C1140" s="196"/>
      <c r="D1140" s="196"/>
      <c r="L1140" s="74"/>
      <c r="M1140" s="197"/>
    </row>
    <row r="1141" spans="3:13" ht="13">
      <c r="C1141" s="196"/>
      <c r="D1141" s="196"/>
      <c r="L1141" s="74"/>
      <c r="M1141" s="197"/>
    </row>
    <row r="1142" spans="3:13" ht="13">
      <c r="C1142" s="196"/>
      <c r="D1142" s="196"/>
      <c r="L1142" s="74"/>
      <c r="M1142" s="197"/>
    </row>
    <row r="1143" spans="3:13" ht="13">
      <c r="C1143" s="196"/>
      <c r="D1143" s="196"/>
      <c r="L1143" s="74"/>
      <c r="M1143" s="197"/>
    </row>
    <row r="1144" spans="3:13" ht="13">
      <c r="C1144" s="196"/>
      <c r="D1144" s="196"/>
      <c r="L1144" s="74"/>
      <c r="M1144" s="197"/>
    </row>
    <row r="1145" spans="3:13" ht="13">
      <c r="C1145" s="196"/>
      <c r="D1145" s="196"/>
      <c r="L1145" s="74"/>
      <c r="M1145" s="197"/>
    </row>
    <row r="1146" spans="3:13" ht="13">
      <c r="C1146" s="196"/>
      <c r="D1146" s="196"/>
      <c r="L1146" s="74"/>
      <c r="M1146" s="197"/>
    </row>
    <row r="1147" spans="3:13" ht="13">
      <c r="C1147" s="196"/>
      <c r="D1147" s="196"/>
      <c r="L1147" s="74"/>
      <c r="M1147" s="197"/>
    </row>
    <row r="1148" spans="3:13" ht="13">
      <c r="C1148" s="196"/>
      <c r="D1148" s="196"/>
      <c r="L1148" s="74"/>
      <c r="M1148" s="197"/>
    </row>
    <row r="1149" spans="3:13" ht="13">
      <c r="C1149" s="196"/>
      <c r="D1149" s="196"/>
      <c r="L1149" s="74"/>
      <c r="M1149" s="197"/>
    </row>
    <row r="1150" spans="3:13" ht="13">
      <c r="C1150" s="196"/>
      <c r="D1150" s="196"/>
      <c r="L1150" s="74"/>
      <c r="M1150" s="197"/>
    </row>
    <row r="1151" spans="3:13" ht="13">
      <c r="C1151" s="196"/>
      <c r="D1151" s="196"/>
      <c r="L1151" s="74"/>
      <c r="M1151" s="197"/>
    </row>
    <row r="1152" spans="3:13" ht="13">
      <c r="C1152" s="196"/>
      <c r="D1152" s="196"/>
      <c r="L1152" s="74"/>
      <c r="M1152" s="197"/>
    </row>
    <row r="1153" spans="3:13" ht="13">
      <c r="C1153" s="196"/>
      <c r="D1153" s="196"/>
      <c r="L1153" s="74"/>
      <c r="M1153" s="197"/>
    </row>
    <row r="1154" spans="3:13" ht="13">
      <c r="C1154" s="196"/>
      <c r="D1154" s="196"/>
      <c r="L1154" s="74"/>
      <c r="M1154" s="197"/>
    </row>
    <row r="1155" spans="3:13" ht="13">
      <c r="C1155" s="196"/>
      <c r="D1155" s="196"/>
      <c r="L1155" s="74"/>
      <c r="M1155" s="197"/>
    </row>
    <row r="1156" spans="3:13" ht="13">
      <c r="C1156" s="196"/>
      <c r="D1156" s="196"/>
      <c r="L1156" s="74"/>
      <c r="M1156" s="197"/>
    </row>
    <row r="1157" spans="3:13" ht="13">
      <c r="C1157" s="196"/>
      <c r="D1157" s="196"/>
      <c r="L1157" s="74"/>
      <c r="M1157" s="197"/>
    </row>
    <row r="1158" spans="3:13" ht="13">
      <c r="C1158" s="196"/>
      <c r="D1158" s="196"/>
      <c r="L1158" s="74"/>
      <c r="M1158" s="197"/>
    </row>
    <row r="1159" spans="3:13" ht="13">
      <c r="C1159" s="196"/>
      <c r="D1159" s="196"/>
      <c r="L1159" s="74"/>
      <c r="M1159" s="197"/>
    </row>
    <row r="1160" spans="3:13" ht="13">
      <c r="C1160" s="196"/>
      <c r="D1160" s="196"/>
      <c r="L1160" s="74"/>
      <c r="M1160" s="197"/>
    </row>
    <row r="1161" spans="3:13" ht="13">
      <c r="C1161" s="196"/>
      <c r="D1161" s="196"/>
      <c r="L1161" s="74"/>
      <c r="M1161" s="197"/>
    </row>
    <row r="1162" spans="3:13" ht="13">
      <c r="C1162" s="196"/>
      <c r="D1162" s="196"/>
      <c r="L1162" s="74"/>
      <c r="M1162" s="197"/>
    </row>
    <row r="1163" spans="3:13" ht="13">
      <c r="C1163" s="196"/>
      <c r="D1163" s="196"/>
      <c r="L1163" s="74"/>
      <c r="M1163" s="197"/>
    </row>
    <row r="1164" spans="3:13" ht="13">
      <c r="C1164" s="196"/>
      <c r="D1164" s="196"/>
      <c r="L1164" s="74"/>
      <c r="M1164" s="197"/>
    </row>
    <row r="1165" spans="3:13" ht="13">
      <c r="C1165" s="196"/>
      <c r="D1165" s="196"/>
      <c r="L1165" s="74"/>
      <c r="M1165" s="197"/>
    </row>
    <row r="1166" spans="3:13" ht="13">
      <c r="C1166" s="196"/>
      <c r="D1166" s="196"/>
      <c r="L1166" s="74"/>
      <c r="M1166" s="197"/>
    </row>
    <row r="1167" spans="3:13" ht="13">
      <c r="C1167" s="196"/>
      <c r="D1167" s="196"/>
      <c r="L1167" s="74"/>
      <c r="M1167" s="197"/>
    </row>
    <row r="1168" spans="3:13" ht="13">
      <c r="C1168" s="196"/>
      <c r="D1168" s="196"/>
      <c r="L1168" s="74"/>
      <c r="M1168" s="197"/>
    </row>
    <row r="1169" spans="3:13" ht="13">
      <c r="C1169" s="196"/>
      <c r="D1169" s="196"/>
      <c r="L1169" s="74"/>
      <c r="M1169" s="197"/>
    </row>
    <row r="1170" spans="3:13" ht="13">
      <c r="C1170" s="196"/>
      <c r="D1170" s="196"/>
      <c r="L1170" s="74"/>
      <c r="M1170" s="197"/>
    </row>
    <row r="1171" spans="3:13" ht="13">
      <c r="C1171" s="196"/>
      <c r="D1171" s="196"/>
      <c r="L1171" s="74"/>
      <c r="M1171" s="197"/>
    </row>
    <row r="1172" spans="3:13" ht="13">
      <c r="C1172" s="196"/>
      <c r="D1172" s="196"/>
      <c r="L1172" s="74"/>
      <c r="M1172" s="197"/>
    </row>
    <row r="1173" spans="3:13" ht="13">
      <c r="C1173" s="196"/>
      <c r="D1173" s="196"/>
      <c r="L1173" s="74"/>
      <c r="M1173" s="197"/>
    </row>
    <row r="1174" spans="3:13" ht="13">
      <c r="C1174" s="196"/>
      <c r="D1174" s="196"/>
      <c r="L1174" s="74"/>
      <c r="M1174" s="197"/>
    </row>
    <row r="1175" spans="3:13" ht="13">
      <c r="C1175" s="196"/>
      <c r="D1175" s="196"/>
      <c r="L1175" s="74"/>
      <c r="M1175" s="197"/>
    </row>
    <row r="1176" spans="3:13" ht="13">
      <c r="C1176" s="196"/>
      <c r="D1176" s="196"/>
      <c r="L1176" s="74"/>
      <c r="M1176" s="197"/>
    </row>
    <row r="1177" spans="3:13" ht="13">
      <c r="C1177" s="196"/>
      <c r="D1177" s="196"/>
      <c r="L1177" s="74"/>
      <c r="M1177" s="197"/>
    </row>
    <row r="1178" spans="3:13" ht="13">
      <c r="C1178" s="196"/>
      <c r="D1178" s="196"/>
      <c r="L1178" s="74"/>
      <c r="M1178" s="197"/>
    </row>
    <row r="1179" spans="3:13" ht="13">
      <c r="C1179" s="196"/>
      <c r="D1179" s="196"/>
      <c r="L1179" s="74"/>
      <c r="M1179" s="197"/>
    </row>
    <row r="1180" spans="3:13" ht="13">
      <c r="C1180" s="196"/>
      <c r="D1180" s="196"/>
      <c r="L1180" s="74"/>
      <c r="M1180" s="197"/>
    </row>
    <row r="1181" spans="3:13" ht="13">
      <c r="C1181" s="196"/>
      <c r="D1181" s="196"/>
      <c r="L1181" s="74"/>
      <c r="M1181" s="197"/>
    </row>
    <row r="1182" spans="3:13" ht="13">
      <c r="C1182" s="196"/>
      <c r="D1182" s="196"/>
      <c r="L1182" s="74"/>
      <c r="M1182" s="197"/>
    </row>
    <row r="1183" spans="3:13" ht="13">
      <c r="C1183" s="196"/>
      <c r="D1183" s="196"/>
      <c r="L1183" s="74"/>
      <c r="M1183" s="197"/>
    </row>
    <row r="1184" spans="3:13" ht="13">
      <c r="C1184" s="196"/>
      <c r="D1184" s="196"/>
      <c r="L1184" s="74"/>
      <c r="M1184" s="197"/>
    </row>
    <row r="1185" spans="3:13" ht="13">
      <c r="C1185" s="196"/>
      <c r="D1185" s="196"/>
      <c r="L1185" s="74"/>
      <c r="M1185" s="197"/>
    </row>
    <row r="1186" spans="3:13" ht="13">
      <c r="C1186" s="196"/>
      <c r="D1186" s="196"/>
      <c r="L1186" s="74"/>
      <c r="M1186" s="197"/>
    </row>
    <row r="1187" spans="3:13" ht="13">
      <c r="C1187" s="196"/>
      <c r="D1187" s="196"/>
      <c r="L1187" s="74"/>
      <c r="M1187" s="197"/>
    </row>
    <row r="1188" spans="3:13" ht="13">
      <c r="C1188" s="196"/>
      <c r="D1188" s="196"/>
      <c r="L1188" s="74"/>
      <c r="M1188" s="197"/>
    </row>
    <row r="1189" spans="3:13" ht="13">
      <c r="C1189" s="196"/>
      <c r="D1189" s="196"/>
      <c r="L1189" s="74"/>
      <c r="M1189" s="197"/>
    </row>
    <row r="1190" spans="3:13" ht="13">
      <c r="C1190" s="196"/>
      <c r="D1190" s="196"/>
      <c r="L1190" s="74"/>
      <c r="M1190" s="197"/>
    </row>
    <row r="1191" spans="3:13" ht="13">
      <c r="C1191" s="196"/>
      <c r="D1191" s="196"/>
      <c r="L1191" s="74"/>
      <c r="M1191" s="197"/>
    </row>
    <row r="1192" spans="3:13" ht="13">
      <c r="C1192" s="196"/>
      <c r="D1192" s="196"/>
      <c r="L1192" s="74"/>
      <c r="M1192" s="197"/>
    </row>
    <row r="1193" spans="3:13" ht="13">
      <c r="C1193" s="196"/>
      <c r="D1193" s="196"/>
      <c r="L1193" s="74"/>
      <c r="M1193" s="197"/>
    </row>
    <row r="1194" spans="3:13" ht="13">
      <c r="C1194" s="196"/>
      <c r="D1194" s="196"/>
      <c r="L1194" s="74"/>
      <c r="M1194" s="197"/>
    </row>
    <row r="1195" spans="3:13" ht="13">
      <c r="C1195" s="196"/>
      <c r="D1195" s="196"/>
      <c r="L1195" s="74"/>
      <c r="M1195" s="197"/>
    </row>
    <row r="1196" spans="3:13" ht="13">
      <c r="C1196" s="196"/>
      <c r="D1196" s="196"/>
      <c r="L1196" s="74"/>
      <c r="M1196" s="197"/>
    </row>
    <row r="1197" spans="3:13" ht="13">
      <c r="C1197" s="196"/>
      <c r="D1197" s="196"/>
      <c r="L1197" s="74"/>
      <c r="M1197" s="197"/>
    </row>
    <row r="1198" spans="3:13" ht="13">
      <c r="C1198" s="196"/>
      <c r="D1198" s="196"/>
      <c r="L1198" s="74"/>
      <c r="M1198" s="197"/>
    </row>
    <row r="1199" spans="3:13" ht="13">
      <c r="C1199" s="196"/>
      <c r="D1199" s="196"/>
      <c r="L1199" s="74"/>
      <c r="M1199" s="197"/>
    </row>
    <row r="1200" spans="3:13" ht="13">
      <c r="C1200" s="196"/>
      <c r="D1200" s="196"/>
      <c r="L1200" s="74"/>
      <c r="M1200" s="197"/>
    </row>
    <row r="1201" spans="3:13" ht="13">
      <c r="C1201" s="196"/>
      <c r="D1201" s="196"/>
      <c r="L1201" s="74"/>
      <c r="M1201" s="197"/>
    </row>
    <row r="1202" spans="3:13" ht="13">
      <c r="C1202" s="196"/>
      <c r="D1202" s="196"/>
      <c r="L1202" s="74"/>
      <c r="M1202" s="197"/>
    </row>
    <row r="1203" spans="3:13" ht="13">
      <c r="C1203" s="196"/>
      <c r="D1203" s="196"/>
      <c r="L1203" s="74"/>
      <c r="M1203" s="197"/>
    </row>
    <row r="1204" spans="3:13" ht="13">
      <c r="C1204" s="196"/>
      <c r="D1204" s="196"/>
      <c r="L1204" s="74"/>
      <c r="M1204" s="197"/>
    </row>
    <row r="1205" spans="3:13" ht="13">
      <c r="C1205" s="196"/>
      <c r="D1205" s="196"/>
      <c r="L1205" s="74"/>
      <c r="M1205" s="197"/>
    </row>
    <row r="1206" spans="3:13" ht="13">
      <c r="C1206" s="196"/>
      <c r="D1206" s="196"/>
      <c r="L1206" s="74"/>
      <c r="M1206" s="197"/>
    </row>
    <row r="1207" spans="3:13" ht="13">
      <c r="C1207" s="196"/>
      <c r="D1207" s="196"/>
      <c r="L1207" s="74"/>
      <c r="M1207" s="197"/>
    </row>
    <row r="1208" spans="3:13" ht="13">
      <c r="C1208" s="196"/>
      <c r="D1208" s="196"/>
      <c r="L1208" s="74"/>
      <c r="M1208" s="197"/>
    </row>
    <row r="1209" spans="3:13" ht="13">
      <c r="C1209" s="196"/>
      <c r="D1209" s="196"/>
      <c r="L1209" s="74"/>
      <c r="M1209" s="197"/>
    </row>
    <row r="1210" spans="3:13" ht="13">
      <c r="C1210" s="196"/>
      <c r="D1210" s="196"/>
      <c r="L1210" s="74"/>
      <c r="M1210" s="197"/>
    </row>
    <row r="1211" spans="3:13" ht="13">
      <c r="C1211" s="196"/>
      <c r="D1211" s="196"/>
      <c r="L1211" s="74"/>
      <c r="M1211" s="197"/>
    </row>
    <row r="1212" spans="3:13" ht="13">
      <c r="C1212" s="196"/>
      <c r="D1212" s="196"/>
      <c r="L1212" s="74"/>
      <c r="M1212" s="197"/>
    </row>
    <row r="1213" spans="3:13" ht="13">
      <c r="C1213" s="196"/>
      <c r="D1213" s="196"/>
      <c r="L1213" s="74"/>
      <c r="M1213" s="197"/>
    </row>
    <row r="1214" spans="3:13" ht="13">
      <c r="C1214" s="196"/>
      <c r="D1214" s="196"/>
      <c r="L1214" s="74"/>
      <c r="M1214" s="197"/>
    </row>
    <row r="1215" spans="3:13" ht="13">
      <c r="C1215" s="196"/>
      <c r="D1215" s="196"/>
      <c r="L1215" s="74"/>
      <c r="M1215" s="197"/>
    </row>
    <row r="1216" spans="3:13" ht="13">
      <c r="C1216" s="196"/>
      <c r="D1216" s="196"/>
      <c r="L1216" s="74"/>
      <c r="M1216" s="197"/>
    </row>
    <row r="1217" spans="3:13" ht="13">
      <c r="C1217" s="196"/>
      <c r="D1217" s="196"/>
      <c r="L1217" s="74"/>
      <c r="M1217" s="197"/>
    </row>
    <row r="1218" spans="3:13" ht="13">
      <c r="C1218" s="196"/>
      <c r="D1218" s="196"/>
      <c r="L1218" s="74"/>
      <c r="M1218" s="197"/>
    </row>
    <row r="1219" spans="3:13" ht="13">
      <c r="C1219" s="196"/>
      <c r="D1219" s="196"/>
      <c r="L1219" s="74"/>
      <c r="M1219" s="197"/>
    </row>
    <row r="1220" spans="3:13" ht="13">
      <c r="C1220" s="196"/>
      <c r="D1220" s="196"/>
      <c r="L1220" s="74"/>
      <c r="M1220" s="197"/>
    </row>
    <row r="1221" spans="3:13" ht="13">
      <c r="C1221" s="196"/>
      <c r="D1221" s="196"/>
      <c r="L1221" s="74"/>
      <c r="M1221" s="197"/>
    </row>
    <row r="1222" spans="3:13" ht="13">
      <c r="C1222" s="196"/>
      <c r="D1222" s="196"/>
      <c r="L1222" s="74"/>
      <c r="M1222" s="197"/>
    </row>
    <row r="1223" spans="3:13" ht="13">
      <c r="C1223" s="196"/>
      <c r="D1223" s="196"/>
      <c r="L1223" s="74"/>
      <c r="M1223" s="197"/>
    </row>
    <row r="1224" spans="3:13" ht="13">
      <c r="C1224" s="196"/>
      <c r="D1224" s="196"/>
      <c r="L1224" s="74"/>
      <c r="M1224" s="197"/>
    </row>
    <row r="1225" spans="3:13" ht="13">
      <c r="C1225" s="196"/>
      <c r="D1225" s="196"/>
      <c r="L1225" s="74"/>
      <c r="M1225" s="197"/>
    </row>
    <row r="1226" spans="3:13" ht="13">
      <c r="C1226" s="196"/>
      <c r="D1226" s="196"/>
      <c r="L1226" s="74"/>
      <c r="M1226" s="197"/>
    </row>
    <row r="1227" spans="3:13" ht="13">
      <c r="C1227" s="196"/>
      <c r="D1227" s="196"/>
      <c r="L1227" s="74"/>
      <c r="M1227" s="197"/>
    </row>
    <row r="1228" spans="3:13" ht="13">
      <c r="C1228" s="196"/>
      <c r="D1228" s="196"/>
      <c r="L1228" s="74"/>
      <c r="M1228" s="197"/>
    </row>
    <row r="1229" spans="3:13" ht="13">
      <c r="C1229" s="196"/>
      <c r="D1229" s="196"/>
      <c r="L1229" s="74"/>
      <c r="M1229" s="197"/>
    </row>
    <row r="1230" spans="3:13" ht="13">
      <c r="C1230" s="196"/>
      <c r="D1230" s="196"/>
      <c r="L1230" s="74"/>
      <c r="M1230" s="197"/>
    </row>
    <row r="1231" spans="3:13" ht="13">
      <c r="C1231" s="196"/>
      <c r="D1231" s="196"/>
      <c r="L1231" s="74"/>
      <c r="M1231" s="197"/>
    </row>
    <row r="1232" spans="3:13" ht="13">
      <c r="C1232" s="196"/>
      <c r="D1232" s="196"/>
      <c r="L1232" s="74"/>
      <c r="M1232" s="197"/>
    </row>
    <row r="1233" spans="3:13" ht="13">
      <c r="C1233" s="196"/>
      <c r="D1233" s="196"/>
      <c r="L1233" s="74"/>
      <c r="M1233" s="197"/>
    </row>
    <row r="1234" spans="3:13" ht="13">
      <c r="C1234" s="196"/>
      <c r="D1234" s="196"/>
      <c r="L1234" s="74"/>
      <c r="M1234" s="197"/>
    </row>
    <row r="1235" spans="3:13" ht="13">
      <c r="C1235" s="196"/>
      <c r="D1235" s="196"/>
      <c r="L1235" s="74"/>
      <c r="M1235" s="197"/>
    </row>
    <row r="1236" spans="3:13" ht="13">
      <c r="C1236" s="196"/>
      <c r="D1236" s="196"/>
      <c r="L1236" s="74"/>
      <c r="M1236" s="197"/>
    </row>
    <row r="1237" spans="3:13" ht="13">
      <c r="C1237" s="196"/>
      <c r="D1237" s="196"/>
      <c r="L1237" s="74"/>
      <c r="M1237" s="197"/>
    </row>
    <row r="1238" spans="3:13" ht="13">
      <c r="C1238" s="196"/>
      <c r="D1238" s="196"/>
      <c r="L1238" s="74"/>
      <c r="M1238" s="197"/>
    </row>
    <row r="1239" spans="3:13" ht="13">
      <c r="C1239" s="196"/>
      <c r="D1239" s="196"/>
      <c r="L1239" s="74"/>
      <c r="M1239" s="197"/>
    </row>
    <row r="1240" spans="3:13" ht="13">
      <c r="C1240" s="196"/>
      <c r="D1240" s="196"/>
      <c r="L1240" s="74"/>
      <c r="M1240" s="197"/>
    </row>
    <row r="1241" spans="3:13" ht="13">
      <c r="C1241" s="196"/>
      <c r="D1241" s="196"/>
      <c r="L1241" s="74"/>
      <c r="M1241" s="197"/>
    </row>
    <row r="1242" spans="3:13" ht="13">
      <c r="C1242" s="196"/>
      <c r="D1242" s="196"/>
      <c r="L1242" s="74"/>
      <c r="M1242" s="197"/>
    </row>
    <row r="1243" spans="3:13" ht="13">
      <c r="C1243" s="196"/>
      <c r="D1243" s="196"/>
      <c r="L1243" s="74"/>
      <c r="M1243" s="197"/>
    </row>
    <row r="1244" spans="3:13" ht="13">
      <c r="C1244" s="196"/>
      <c r="D1244" s="196"/>
      <c r="L1244" s="74"/>
      <c r="M1244" s="197"/>
    </row>
    <row r="1245" spans="3:13" ht="13">
      <c r="C1245" s="196"/>
      <c r="D1245" s="196"/>
      <c r="L1245" s="74"/>
      <c r="M1245" s="197"/>
    </row>
    <row r="1246" spans="3:13" ht="13">
      <c r="C1246" s="196"/>
      <c r="D1246" s="196"/>
      <c r="L1246" s="74"/>
      <c r="M1246" s="197"/>
    </row>
    <row r="1247" spans="3:13" ht="13">
      <c r="C1247" s="196"/>
      <c r="D1247" s="196"/>
      <c r="L1247" s="74"/>
      <c r="M1247" s="197"/>
    </row>
    <row r="1248" spans="3:13" ht="13">
      <c r="C1248" s="196"/>
      <c r="D1248" s="196"/>
      <c r="L1248" s="74"/>
      <c r="M1248" s="197"/>
    </row>
    <row r="1249" spans="3:13" ht="13">
      <c r="C1249" s="196"/>
      <c r="D1249" s="196"/>
      <c r="L1249" s="74"/>
      <c r="M1249" s="197"/>
    </row>
    <row r="1250" spans="3:13" ht="13">
      <c r="C1250" s="196"/>
      <c r="D1250" s="196"/>
      <c r="L1250" s="74"/>
      <c r="M1250" s="197"/>
    </row>
    <row r="1251" spans="3:13" ht="13">
      <c r="C1251" s="196"/>
      <c r="D1251" s="196"/>
      <c r="L1251" s="74"/>
      <c r="M1251" s="197"/>
    </row>
    <row r="1252" spans="3:13" ht="13">
      <c r="C1252" s="196"/>
      <c r="D1252" s="196"/>
      <c r="L1252" s="74"/>
      <c r="M1252" s="197"/>
    </row>
    <row r="1253" spans="3:13" ht="13">
      <c r="C1253" s="196"/>
      <c r="D1253" s="196"/>
      <c r="L1253" s="74"/>
      <c r="M1253" s="197"/>
    </row>
    <row r="1254" spans="3:13" ht="13">
      <c r="C1254" s="196"/>
      <c r="D1254" s="196"/>
      <c r="L1254" s="74"/>
      <c r="M1254" s="197"/>
    </row>
    <row r="1255" spans="3:13" ht="13">
      <c r="C1255" s="196"/>
      <c r="D1255" s="196"/>
      <c r="L1255" s="74"/>
      <c r="M1255" s="197"/>
    </row>
    <row r="1256" spans="3:13" ht="13">
      <c r="C1256" s="196"/>
      <c r="D1256" s="196"/>
      <c r="L1256" s="74"/>
      <c r="M1256" s="197"/>
    </row>
    <row r="1257" spans="3:13" ht="13">
      <c r="C1257" s="196"/>
      <c r="D1257" s="196"/>
      <c r="L1257" s="74"/>
      <c r="M1257" s="197"/>
    </row>
    <row r="1258" spans="3:13" ht="13">
      <c r="C1258" s="196"/>
      <c r="D1258" s="196"/>
      <c r="L1258" s="74"/>
      <c r="M1258" s="197"/>
    </row>
    <row r="1259" spans="3:13" ht="13">
      <c r="C1259" s="196"/>
      <c r="D1259" s="196"/>
      <c r="L1259" s="74"/>
      <c r="M1259" s="197"/>
    </row>
    <row r="1260" spans="3:13" ht="13">
      <c r="C1260" s="196"/>
      <c r="D1260" s="196"/>
      <c r="L1260" s="74"/>
      <c r="M1260" s="197"/>
    </row>
    <row r="1261" spans="3:13" ht="13">
      <c r="C1261" s="196"/>
      <c r="D1261" s="196"/>
      <c r="L1261" s="74"/>
      <c r="M1261" s="197"/>
    </row>
    <row r="1262" spans="3:13" ht="13">
      <c r="C1262" s="196"/>
      <c r="D1262" s="196"/>
      <c r="L1262" s="74"/>
      <c r="M1262" s="197"/>
    </row>
    <row r="1263" spans="3:13" ht="13">
      <c r="C1263" s="196"/>
      <c r="D1263" s="196"/>
      <c r="L1263" s="74"/>
      <c r="M1263" s="197"/>
    </row>
    <row r="1264" spans="3:13" ht="13">
      <c r="C1264" s="196"/>
      <c r="D1264" s="196"/>
      <c r="L1264" s="74"/>
      <c r="M1264" s="197"/>
    </row>
    <row r="1265" spans="3:13" ht="13">
      <c r="C1265" s="196"/>
      <c r="D1265" s="196"/>
      <c r="L1265" s="74"/>
      <c r="M1265" s="197"/>
    </row>
    <row r="1266" spans="3:13" ht="13">
      <c r="C1266" s="196"/>
      <c r="D1266" s="196"/>
      <c r="L1266" s="74"/>
      <c r="M1266" s="197"/>
    </row>
    <row r="1267" spans="3:13" ht="13">
      <c r="C1267" s="196"/>
      <c r="D1267" s="196"/>
      <c r="L1267" s="74"/>
      <c r="M1267" s="197"/>
    </row>
    <row r="1268" spans="3:13" ht="13">
      <c r="C1268" s="196"/>
      <c r="D1268" s="196"/>
      <c r="L1268" s="74"/>
      <c r="M1268" s="197"/>
    </row>
    <row r="1269" spans="3:13" ht="13">
      <c r="C1269" s="196"/>
      <c r="D1269" s="196"/>
      <c r="L1269" s="74"/>
      <c r="M1269" s="197"/>
    </row>
    <row r="1270" spans="3:13" ht="13">
      <c r="C1270" s="196"/>
      <c r="D1270" s="196"/>
      <c r="L1270" s="74"/>
      <c r="M1270" s="197"/>
    </row>
    <row r="1271" spans="3:13" ht="13">
      <c r="C1271" s="196"/>
      <c r="D1271" s="196"/>
      <c r="L1271" s="74"/>
      <c r="M1271" s="197"/>
    </row>
    <row r="1272" spans="3:13" ht="13">
      <c r="C1272" s="196"/>
      <c r="D1272" s="196"/>
      <c r="L1272" s="74"/>
      <c r="M1272" s="197"/>
    </row>
    <row r="1273" spans="3:13" ht="13">
      <c r="C1273" s="196"/>
      <c r="D1273" s="196"/>
      <c r="L1273" s="74"/>
      <c r="M1273" s="197"/>
    </row>
    <row r="1274" spans="3:13" ht="13">
      <c r="C1274" s="196"/>
      <c r="D1274" s="196"/>
      <c r="L1274" s="74"/>
      <c r="M1274" s="197"/>
    </row>
    <row r="1275" spans="3:13" ht="13">
      <c r="C1275" s="196"/>
      <c r="D1275" s="196"/>
      <c r="L1275" s="74"/>
      <c r="M1275" s="197"/>
    </row>
    <row r="1276" spans="3:13" ht="13">
      <c r="C1276" s="196"/>
      <c r="D1276" s="196"/>
      <c r="L1276" s="74"/>
      <c r="M1276" s="197"/>
    </row>
    <row r="1277" spans="3:13" ht="13">
      <c r="C1277" s="196"/>
      <c r="D1277" s="196"/>
      <c r="L1277" s="74"/>
      <c r="M1277" s="197"/>
    </row>
    <row r="1278" spans="3:13" ht="13">
      <c r="C1278" s="196"/>
      <c r="D1278" s="196"/>
      <c r="L1278" s="74"/>
      <c r="M1278" s="197"/>
    </row>
    <row r="1279" spans="3:13" ht="13">
      <c r="C1279" s="196"/>
      <c r="D1279" s="196"/>
      <c r="L1279" s="74"/>
      <c r="M1279" s="197"/>
    </row>
    <row r="1280" spans="3:13" ht="13">
      <c r="C1280" s="196"/>
      <c r="D1280" s="196"/>
      <c r="L1280" s="74"/>
      <c r="M1280" s="197"/>
    </row>
    <row r="1281" spans="3:13" ht="13">
      <c r="C1281" s="196"/>
      <c r="D1281" s="196"/>
      <c r="L1281" s="74"/>
      <c r="M1281" s="197"/>
    </row>
    <row r="1282" spans="3:13" ht="13">
      <c r="C1282" s="196"/>
      <c r="D1282" s="196"/>
      <c r="L1282" s="74"/>
      <c r="M1282" s="197"/>
    </row>
    <row r="1283" spans="3:13" ht="13">
      <c r="C1283" s="196"/>
      <c r="D1283" s="196"/>
      <c r="L1283" s="74"/>
      <c r="M1283" s="197"/>
    </row>
    <row r="1284" spans="3:13" ht="13">
      <c r="C1284" s="196"/>
      <c r="D1284" s="196"/>
      <c r="L1284" s="74"/>
      <c r="M1284" s="197"/>
    </row>
    <row r="1285" spans="3:13" ht="13">
      <c r="C1285" s="196"/>
      <c r="D1285" s="196"/>
      <c r="L1285" s="74"/>
      <c r="M1285" s="197"/>
    </row>
    <row r="1286" spans="3:13" ht="13">
      <c r="C1286" s="196"/>
      <c r="D1286" s="196"/>
      <c r="L1286" s="74"/>
      <c r="M1286" s="197"/>
    </row>
    <row r="1287" spans="3:13" ht="13">
      <c r="C1287" s="196"/>
      <c r="D1287" s="196"/>
      <c r="L1287" s="74"/>
      <c r="M1287" s="197"/>
    </row>
    <row r="1288" spans="3:13" ht="13">
      <c r="C1288" s="196"/>
      <c r="D1288" s="196"/>
      <c r="L1288" s="74"/>
      <c r="M1288" s="197"/>
    </row>
    <row r="1289" spans="3:13" ht="13">
      <c r="C1289" s="196"/>
      <c r="D1289" s="196"/>
      <c r="L1289" s="74"/>
      <c r="M1289" s="197"/>
    </row>
    <row r="1290" spans="3:13" ht="13">
      <c r="C1290" s="196"/>
      <c r="D1290" s="196"/>
      <c r="L1290" s="74"/>
      <c r="M1290" s="197"/>
    </row>
    <row r="1291" spans="3:13" ht="13">
      <c r="C1291" s="196"/>
      <c r="D1291" s="196"/>
      <c r="L1291" s="74"/>
      <c r="M1291" s="197"/>
    </row>
    <row r="1292" spans="3:13" ht="13">
      <c r="C1292" s="196"/>
      <c r="D1292" s="196"/>
      <c r="L1292" s="74"/>
      <c r="M1292" s="197"/>
    </row>
    <row r="1293" spans="3:13" ht="13">
      <c r="C1293" s="196"/>
      <c r="D1293" s="196"/>
      <c r="L1293" s="74"/>
      <c r="M1293" s="197"/>
    </row>
    <row r="1294" spans="3:13" ht="13">
      <c r="C1294" s="196"/>
      <c r="D1294" s="196"/>
      <c r="L1294" s="74"/>
      <c r="M1294" s="197"/>
    </row>
    <row r="1295" spans="3:13" ht="13">
      <c r="C1295" s="196"/>
      <c r="D1295" s="196"/>
      <c r="L1295" s="74"/>
      <c r="M1295" s="197"/>
    </row>
    <row r="1296" spans="3:13" ht="13">
      <c r="C1296" s="196"/>
      <c r="D1296" s="196"/>
      <c r="L1296" s="74"/>
      <c r="M1296" s="197"/>
    </row>
    <row r="1297" spans="3:13" ht="13">
      <c r="C1297" s="196"/>
      <c r="D1297" s="196"/>
      <c r="L1297" s="74"/>
      <c r="M1297" s="197"/>
    </row>
    <row r="1298" spans="3:13" ht="13">
      <c r="C1298" s="196"/>
      <c r="D1298" s="196"/>
      <c r="L1298" s="74"/>
      <c r="M1298" s="197"/>
    </row>
    <row r="1299" spans="3:13" ht="13">
      <c r="C1299" s="196"/>
      <c r="D1299" s="196"/>
      <c r="L1299" s="74"/>
      <c r="M1299" s="197"/>
    </row>
    <row r="1300" spans="3:13" ht="13">
      <c r="C1300" s="196"/>
      <c r="D1300" s="196"/>
      <c r="L1300" s="74"/>
      <c r="M1300" s="197"/>
    </row>
    <row r="1301" spans="3:13" ht="13">
      <c r="C1301" s="196"/>
      <c r="D1301" s="196"/>
      <c r="L1301" s="74"/>
      <c r="M1301" s="197"/>
    </row>
    <row r="1302" spans="3:13" ht="13">
      <c r="C1302" s="196"/>
      <c r="D1302" s="196"/>
      <c r="L1302" s="74"/>
      <c r="M1302" s="197"/>
    </row>
    <row r="1303" spans="3:13" ht="13">
      <c r="C1303" s="196"/>
      <c r="D1303" s="196"/>
      <c r="L1303" s="74"/>
      <c r="M1303" s="197"/>
    </row>
    <row r="1304" spans="3:13" ht="13">
      <c r="C1304" s="196"/>
      <c r="D1304" s="196"/>
      <c r="L1304" s="74"/>
      <c r="M1304" s="197"/>
    </row>
    <row r="1305" spans="3:13" ht="13">
      <c r="C1305" s="196"/>
      <c r="D1305" s="196"/>
      <c r="L1305" s="74"/>
      <c r="M1305" s="197"/>
    </row>
    <row r="1306" spans="3:13" ht="13">
      <c r="C1306" s="196"/>
      <c r="D1306" s="196"/>
      <c r="L1306" s="74"/>
      <c r="M1306" s="197"/>
    </row>
    <row r="1307" spans="3:13" ht="13">
      <c r="C1307" s="196"/>
      <c r="D1307" s="196"/>
      <c r="L1307" s="74"/>
      <c r="M1307" s="197"/>
    </row>
    <row r="1308" spans="3:13" ht="13">
      <c r="C1308" s="196"/>
      <c r="D1308" s="196"/>
      <c r="L1308" s="74"/>
      <c r="M1308" s="197"/>
    </row>
    <row r="1309" spans="3:13" ht="13">
      <c r="C1309" s="196"/>
      <c r="D1309" s="196"/>
      <c r="L1309" s="74"/>
      <c r="M1309" s="197"/>
    </row>
    <row r="1310" spans="3:13" ht="13">
      <c r="C1310" s="196"/>
      <c r="D1310" s="196"/>
      <c r="L1310" s="74"/>
      <c r="M1310" s="197"/>
    </row>
    <row r="1311" spans="3:13" ht="13">
      <c r="C1311" s="196"/>
      <c r="D1311" s="196"/>
      <c r="L1311" s="74"/>
      <c r="M1311" s="197"/>
    </row>
    <row r="1312" spans="3:13" ht="13">
      <c r="C1312" s="196"/>
      <c r="D1312" s="196"/>
      <c r="L1312" s="74"/>
      <c r="M1312" s="197"/>
    </row>
    <row r="1313" spans="3:13" ht="13">
      <c r="C1313" s="196"/>
      <c r="D1313" s="196"/>
      <c r="L1313" s="74"/>
      <c r="M1313" s="197"/>
    </row>
    <row r="1314" spans="3:13" ht="13">
      <c r="C1314" s="196"/>
      <c r="D1314" s="196"/>
      <c r="L1314" s="74"/>
      <c r="M1314" s="197"/>
    </row>
    <row r="1315" spans="3:13" ht="13">
      <c r="C1315" s="196"/>
      <c r="D1315" s="196"/>
      <c r="L1315" s="74"/>
      <c r="M1315" s="197"/>
    </row>
    <row r="1316" spans="3:13" ht="13">
      <c r="C1316" s="196"/>
      <c r="D1316" s="196"/>
      <c r="L1316" s="74"/>
      <c r="M1316" s="197"/>
    </row>
    <row r="1317" spans="3:13" ht="13">
      <c r="C1317" s="196"/>
      <c r="D1317" s="196"/>
      <c r="L1317" s="74"/>
      <c r="M1317" s="197"/>
    </row>
    <row r="1318" spans="3:13" ht="13">
      <c r="C1318" s="196"/>
      <c r="D1318" s="196"/>
      <c r="L1318" s="74"/>
      <c r="M1318" s="197"/>
    </row>
    <row r="1319" spans="3:13" ht="13">
      <c r="C1319" s="196"/>
      <c r="D1319" s="196"/>
      <c r="L1319" s="74"/>
      <c r="M1319" s="197"/>
    </row>
    <row r="1320" spans="3:13" ht="13">
      <c r="C1320" s="196"/>
      <c r="D1320" s="196"/>
      <c r="L1320" s="74"/>
      <c r="M1320" s="197"/>
    </row>
    <row r="1321" spans="3:13" ht="13">
      <c r="C1321" s="196"/>
      <c r="D1321" s="196"/>
      <c r="L1321" s="74"/>
      <c r="M1321" s="197"/>
    </row>
    <row r="1322" spans="3:13" ht="13">
      <c r="C1322" s="196"/>
      <c r="D1322" s="196"/>
      <c r="L1322" s="74"/>
      <c r="M1322" s="197"/>
    </row>
    <row r="1323" spans="3:13" ht="13">
      <c r="C1323" s="196"/>
      <c r="D1323" s="196"/>
      <c r="L1323" s="74"/>
      <c r="M1323" s="197"/>
    </row>
    <row r="1324" spans="3:13" ht="13">
      <c r="C1324" s="196"/>
      <c r="D1324" s="196"/>
      <c r="L1324" s="74"/>
      <c r="M1324" s="197"/>
    </row>
    <row r="1325" spans="3:13" ht="13">
      <c r="C1325" s="196"/>
      <c r="D1325" s="196"/>
      <c r="L1325" s="74"/>
      <c r="M1325" s="197"/>
    </row>
    <row r="1326" spans="3:13" ht="13">
      <c r="C1326" s="196"/>
      <c r="D1326" s="196"/>
      <c r="L1326" s="74"/>
      <c r="M1326" s="197"/>
    </row>
    <row r="1327" spans="3:13" ht="13">
      <c r="C1327" s="196"/>
      <c r="D1327" s="196"/>
      <c r="L1327" s="74"/>
      <c r="M1327" s="197"/>
    </row>
    <row r="1328" spans="3:13" ht="13">
      <c r="C1328" s="196"/>
      <c r="D1328" s="196"/>
      <c r="L1328" s="74"/>
      <c r="M1328" s="197"/>
    </row>
    <row r="1329" spans="3:13" ht="13">
      <c r="C1329" s="196"/>
      <c r="D1329" s="196"/>
      <c r="L1329" s="74"/>
      <c r="M1329" s="197"/>
    </row>
    <row r="1330" spans="3:13" ht="13">
      <c r="C1330" s="196"/>
      <c r="D1330" s="196"/>
      <c r="L1330" s="74"/>
      <c r="M1330" s="197"/>
    </row>
    <row r="1331" spans="3:13" ht="13">
      <c r="C1331" s="196"/>
      <c r="D1331" s="196"/>
      <c r="L1331" s="74"/>
      <c r="M1331" s="197"/>
    </row>
    <row r="1332" spans="3:13" ht="13">
      <c r="C1332" s="196"/>
      <c r="D1332" s="196"/>
      <c r="L1332" s="74"/>
      <c r="M1332" s="197"/>
    </row>
    <row r="1333" spans="3:13" ht="13">
      <c r="C1333" s="196"/>
      <c r="D1333" s="196"/>
      <c r="L1333" s="74"/>
      <c r="M1333" s="197"/>
    </row>
    <row r="1334" spans="3:13" ht="13">
      <c r="C1334" s="196"/>
      <c r="D1334" s="196"/>
      <c r="L1334" s="74"/>
      <c r="M1334" s="197"/>
    </row>
    <row r="1335" spans="3:13" ht="13">
      <c r="C1335" s="196"/>
      <c r="D1335" s="196"/>
      <c r="L1335" s="74"/>
      <c r="M1335" s="197"/>
    </row>
    <row r="1336" spans="3:13" ht="13">
      <c r="C1336" s="196"/>
      <c r="D1336" s="196"/>
      <c r="L1336" s="74"/>
      <c r="M1336" s="197"/>
    </row>
    <row r="1337" spans="3:13" ht="13">
      <c r="C1337" s="196"/>
      <c r="D1337" s="196"/>
      <c r="L1337" s="74"/>
      <c r="M1337" s="197"/>
    </row>
    <row r="1338" spans="3:13" ht="13">
      <c r="C1338" s="196"/>
      <c r="D1338" s="196"/>
      <c r="L1338" s="74"/>
      <c r="M1338" s="197"/>
    </row>
    <row r="1339" spans="3:13" ht="13">
      <c r="C1339" s="196"/>
      <c r="D1339" s="196"/>
      <c r="L1339" s="74"/>
      <c r="M1339" s="197"/>
    </row>
    <row r="1340" spans="3:13" ht="13">
      <c r="C1340" s="196"/>
      <c r="D1340" s="196"/>
      <c r="L1340" s="74"/>
      <c r="M1340" s="197"/>
    </row>
    <row r="1341" spans="3:13" ht="13">
      <c r="C1341" s="196"/>
      <c r="D1341" s="196"/>
      <c r="L1341" s="74"/>
      <c r="M1341" s="197"/>
    </row>
    <row r="1342" spans="3:13" ht="13">
      <c r="C1342" s="196"/>
      <c r="D1342" s="196"/>
      <c r="L1342" s="74"/>
      <c r="M1342" s="197"/>
    </row>
    <row r="1343" spans="3:13" ht="13">
      <c r="C1343" s="196"/>
      <c r="D1343" s="196"/>
      <c r="L1343" s="74"/>
      <c r="M1343" s="197"/>
    </row>
    <row r="1344" spans="3:13" ht="13">
      <c r="C1344" s="196"/>
      <c r="D1344" s="196"/>
      <c r="L1344" s="74"/>
      <c r="M1344" s="197"/>
    </row>
    <row r="1345" spans="3:13" ht="13">
      <c r="C1345" s="196"/>
      <c r="D1345" s="196"/>
      <c r="L1345" s="74"/>
      <c r="M1345" s="197"/>
    </row>
    <row r="1346" spans="3:13" ht="13">
      <c r="C1346" s="196"/>
      <c r="D1346" s="196"/>
      <c r="L1346" s="74"/>
      <c r="M1346" s="197"/>
    </row>
    <row r="1347" spans="3:13" ht="13">
      <c r="C1347" s="196"/>
      <c r="D1347" s="196"/>
      <c r="L1347" s="74"/>
      <c r="M1347" s="197"/>
    </row>
    <row r="1348" spans="3:13" ht="13">
      <c r="C1348" s="196"/>
      <c r="D1348" s="196"/>
      <c r="L1348" s="74"/>
      <c r="M1348" s="197"/>
    </row>
    <row r="1349" spans="3:13" ht="13">
      <c r="C1349" s="196"/>
      <c r="D1349" s="196"/>
      <c r="L1349" s="74"/>
      <c r="M1349" s="197"/>
    </row>
    <row r="1350" spans="3:13" ht="13">
      <c r="C1350" s="196"/>
      <c r="D1350" s="196"/>
      <c r="L1350" s="74"/>
      <c r="M1350" s="197"/>
    </row>
    <row r="1351" spans="3:13" ht="13">
      <c r="C1351" s="196"/>
      <c r="D1351" s="196"/>
      <c r="L1351" s="74"/>
      <c r="M1351" s="197"/>
    </row>
    <row r="1352" spans="3:13" ht="13">
      <c r="C1352" s="196"/>
      <c r="D1352" s="196"/>
      <c r="L1352" s="74"/>
      <c r="M1352" s="197"/>
    </row>
    <row r="1353" spans="3:13" ht="13">
      <c r="C1353" s="196"/>
      <c r="D1353" s="196"/>
      <c r="L1353" s="74"/>
      <c r="M1353" s="197"/>
    </row>
    <row r="1354" spans="3:13" ht="13">
      <c r="C1354" s="196"/>
      <c r="D1354" s="196"/>
      <c r="L1354" s="74"/>
      <c r="M1354" s="197"/>
    </row>
    <row r="1355" spans="3:13" ht="13">
      <c r="C1355" s="196"/>
      <c r="D1355" s="196"/>
      <c r="L1355" s="74"/>
      <c r="M1355" s="197"/>
    </row>
    <row r="1356" spans="3:13" ht="13">
      <c r="C1356" s="196"/>
      <c r="D1356" s="196"/>
      <c r="L1356" s="74"/>
      <c r="M1356" s="197"/>
    </row>
    <row r="1357" spans="3:13" ht="13">
      <c r="C1357" s="196"/>
      <c r="D1357" s="196"/>
      <c r="L1357" s="74"/>
      <c r="M1357" s="197"/>
    </row>
    <row r="1358" spans="3:13" ht="13">
      <c r="C1358" s="196"/>
      <c r="D1358" s="196"/>
      <c r="L1358" s="74"/>
      <c r="M1358" s="197"/>
    </row>
    <row r="1359" spans="3:13" ht="13">
      <c r="C1359" s="196"/>
      <c r="D1359" s="196"/>
      <c r="L1359" s="74"/>
      <c r="M1359" s="197"/>
    </row>
    <row r="1360" spans="3:13" ht="13">
      <c r="C1360" s="196"/>
      <c r="D1360" s="196"/>
      <c r="L1360" s="74"/>
      <c r="M1360" s="197"/>
    </row>
    <row r="1361" spans="3:13" ht="13">
      <c r="C1361" s="196"/>
      <c r="D1361" s="196"/>
      <c r="L1361" s="74"/>
      <c r="M1361" s="197"/>
    </row>
    <row r="1362" spans="3:13" ht="13">
      <c r="C1362" s="196"/>
      <c r="D1362" s="196"/>
      <c r="L1362" s="74"/>
      <c r="M1362" s="197"/>
    </row>
    <row r="1363" spans="3:13" ht="13">
      <c r="C1363" s="196"/>
      <c r="D1363" s="196"/>
      <c r="L1363" s="74"/>
      <c r="M1363" s="197"/>
    </row>
    <row r="1364" spans="3:13" ht="13">
      <c r="C1364" s="196"/>
      <c r="D1364" s="196"/>
      <c r="L1364" s="74"/>
      <c r="M1364" s="197"/>
    </row>
    <row r="1365" spans="3:13" ht="13">
      <c r="C1365" s="196"/>
      <c r="D1365" s="196"/>
      <c r="L1365" s="74"/>
      <c r="M1365" s="197"/>
    </row>
    <row r="1366" spans="3:13" ht="13">
      <c r="C1366" s="196"/>
      <c r="D1366" s="196"/>
      <c r="L1366" s="74"/>
      <c r="M1366" s="197"/>
    </row>
    <row r="1367" spans="3:13" ht="13">
      <c r="C1367" s="196"/>
      <c r="D1367" s="196"/>
      <c r="L1367" s="74"/>
      <c r="M1367" s="197"/>
    </row>
    <row r="1368" spans="3:13" ht="13">
      <c r="C1368" s="196"/>
      <c r="D1368" s="196"/>
      <c r="L1368" s="74"/>
      <c r="M1368" s="197"/>
    </row>
    <row r="1369" spans="3:13" ht="13">
      <c r="C1369" s="196"/>
      <c r="D1369" s="196"/>
      <c r="L1369" s="74"/>
      <c r="M1369" s="197"/>
    </row>
    <row r="1370" spans="3:13" ht="13">
      <c r="C1370" s="196"/>
      <c r="D1370" s="196"/>
      <c r="L1370" s="74"/>
      <c r="M1370" s="197"/>
    </row>
    <row r="1371" spans="3:13" ht="13">
      <c r="C1371" s="196"/>
      <c r="D1371" s="196"/>
      <c r="L1371" s="74"/>
      <c r="M1371" s="197"/>
    </row>
    <row r="1372" spans="3:13" ht="13">
      <c r="C1372" s="196"/>
      <c r="D1372" s="196"/>
      <c r="L1372" s="74"/>
      <c r="M1372" s="197"/>
    </row>
    <row r="1373" spans="3:13" ht="13">
      <c r="C1373" s="196"/>
      <c r="D1373" s="196"/>
      <c r="L1373" s="74"/>
      <c r="M1373" s="197"/>
    </row>
    <row r="1374" spans="3:13" ht="13">
      <c r="C1374" s="196"/>
      <c r="D1374" s="196"/>
      <c r="L1374" s="74"/>
      <c r="M1374" s="197"/>
    </row>
    <row r="1375" spans="3:13" ht="13">
      <c r="C1375" s="196"/>
      <c r="D1375" s="196"/>
      <c r="L1375" s="74"/>
      <c r="M1375" s="197"/>
    </row>
    <row r="1376" spans="3:13" ht="13">
      <c r="C1376" s="196"/>
      <c r="D1376" s="196"/>
      <c r="L1376" s="74"/>
      <c r="M1376" s="197"/>
    </row>
    <row r="1377" spans="3:13" ht="13">
      <c r="C1377" s="196"/>
      <c r="D1377" s="196"/>
      <c r="L1377" s="74"/>
      <c r="M1377" s="197"/>
    </row>
    <row r="1378" spans="3:13" ht="13">
      <c r="C1378" s="196"/>
      <c r="D1378" s="196"/>
      <c r="L1378" s="74"/>
      <c r="M1378" s="197"/>
    </row>
    <row r="1379" spans="3:13" ht="13">
      <c r="C1379" s="196"/>
      <c r="D1379" s="196"/>
      <c r="L1379" s="74"/>
      <c r="M1379" s="197"/>
    </row>
    <row r="1380" spans="3:13" ht="13">
      <c r="C1380" s="196"/>
      <c r="D1380" s="196"/>
      <c r="L1380" s="74"/>
      <c r="M1380" s="197"/>
    </row>
    <row r="1381" spans="3:13" ht="13">
      <c r="C1381" s="196"/>
      <c r="D1381" s="196"/>
      <c r="L1381" s="74"/>
      <c r="M1381" s="197"/>
    </row>
    <row r="1382" spans="3:13" ht="13">
      <c r="C1382" s="196"/>
      <c r="D1382" s="196"/>
      <c r="L1382" s="74"/>
      <c r="M1382" s="197"/>
    </row>
    <row r="1383" spans="3:13" ht="13">
      <c r="C1383" s="196"/>
      <c r="D1383" s="196"/>
      <c r="L1383" s="74"/>
      <c r="M1383" s="197"/>
    </row>
    <row r="1384" spans="3:13" ht="13">
      <c r="C1384" s="196"/>
      <c r="D1384" s="196"/>
      <c r="L1384" s="74"/>
      <c r="M1384" s="197"/>
    </row>
    <row r="1385" spans="3:13" ht="13">
      <c r="C1385" s="196"/>
      <c r="D1385" s="196"/>
      <c r="L1385" s="74"/>
      <c r="M1385" s="197"/>
    </row>
    <row r="1386" spans="3:13" ht="13">
      <c r="C1386" s="196"/>
      <c r="D1386" s="196"/>
      <c r="L1386" s="74"/>
      <c r="M1386" s="197"/>
    </row>
    <row r="1387" spans="3:13" ht="13">
      <c r="C1387" s="196"/>
      <c r="D1387" s="196"/>
      <c r="L1387" s="74"/>
      <c r="M1387" s="197"/>
    </row>
    <row r="1388" spans="3:13" ht="13">
      <c r="C1388" s="196"/>
      <c r="D1388" s="196"/>
      <c r="L1388" s="74"/>
      <c r="M1388" s="197"/>
    </row>
    <row r="1389" spans="3:13" ht="13">
      <c r="C1389" s="196"/>
      <c r="D1389" s="196"/>
      <c r="L1389" s="74"/>
      <c r="M1389" s="197"/>
    </row>
    <row r="1390" spans="3:13" ht="13">
      <c r="C1390" s="196"/>
      <c r="D1390" s="196"/>
      <c r="L1390" s="74"/>
      <c r="M1390" s="197"/>
    </row>
    <row r="1391" spans="3:13" ht="13">
      <c r="C1391" s="196"/>
      <c r="D1391" s="196"/>
      <c r="L1391" s="74"/>
      <c r="M1391" s="197"/>
    </row>
    <row r="1392" spans="3:13" ht="13">
      <c r="C1392" s="196"/>
      <c r="D1392" s="196"/>
      <c r="L1392" s="74"/>
      <c r="M1392" s="197"/>
    </row>
    <row r="1393" spans="3:13" ht="13">
      <c r="C1393" s="196"/>
      <c r="D1393" s="196"/>
      <c r="L1393" s="74"/>
      <c r="M1393" s="197"/>
    </row>
    <row r="1394" spans="3:13" ht="13">
      <c r="C1394" s="196"/>
      <c r="D1394" s="196"/>
      <c r="L1394" s="74"/>
      <c r="M1394" s="197"/>
    </row>
    <row r="1395" spans="3:13" ht="13">
      <c r="C1395" s="196"/>
      <c r="D1395" s="196"/>
      <c r="L1395" s="74"/>
      <c r="M1395" s="197"/>
    </row>
    <row r="1396" spans="3:13" ht="13">
      <c r="C1396" s="196"/>
      <c r="D1396" s="196"/>
      <c r="L1396" s="74"/>
      <c r="M1396" s="197"/>
    </row>
    <row r="1397" spans="3:13" ht="13">
      <c r="C1397" s="196"/>
      <c r="D1397" s="196"/>
      <c r="L1397" s="74"/>
      <c r="M1397" s="197"/>
    </row>
    <row r="1398" spans="3:13" ht="13">
      <c r="C1398" s="196"/>
      <c r="D1398" s="196"/>
      <c r="L1398" s="74"/>
      <c r="M1398" s="197"/>
    </row>
    <row r="1399" spans="3:13" ht="13">
      <c r="C1399" s="196"/>
      <c r="D1399" s="196"/>
      <c r="L1399" s="74"/>
      <c r="M1399" s="197"/>
    </row>
    <row r="1400" spans="3:13" ht="13">
      <c r="C1400" s="196"/>
      <c r="D1400" s="196"/>
      <c r="L1400" s="74"/>
      <c r="M1400" s="197"/>
    </row>
    <row r="1401" spans="3:13" ht="13">
      <c r="C1401" s="196"/>
      <c r="D1401" s="196"/>
      <c r="L1401" s="74"/>
      <c r="M1401" s="197"/>
    </row>
    <row r="1402" spans="3:13" ht="13">
      <c r="C1402" s="196"/>
      <c r="D1402" s="196"/>
      <c r="L1402" s="74"/>
      <c r="M1402" s="197"/>
    </row>
    <row r="1403" spans="3:13" ht="13">
      <c r="C1403" s="196"/>
      <c r="D1403" s="196"/>
      <c r="L1403" s="74"/>
      <c r="M1403" s="197"/>
    </row>
    <row r="1404" spans="3:13" ht="13">
      <c r="C1404" s="196"/>
      <c r="D1404" s="196"/>
      <c r="L1404" s="74"/>
      <c r="M1404" s="197"/>
    </row>
    <row r="1405" spans="3:13" ht="13">
      <c r="C1405" s="196"/>
      <c r="D1405" s="196"/>
      <c r="L1405" s="74"/>
      <c r="M1405" s="197"/>
    </row>
    <row r="1406" spans="3:13" ht="13">
      <c r="C1406" s="196"/>
      <c r="D1406" s="196"/>
      <c r="L1406" s="74"/>
      <c r="M1406" s="197"/>
    </row>
    <row r="1407" spans="3:13" ht="13">
      <c r="C1407" s="196"/>
      <c r="D1407" s="196"/>
      <c r="L1407" s="74"/>
      <c r="M1407" s="197"/>
    </row>
    <row r="1408" spans="3:13" ht="13">
      <c r="C1408" s="196"/>
      <c r="D1408" s="196"/>
      <c r="L1408" s="74"/>
      <c r="M1408" s="197"/>
    </row>
    <row r="1409" spans="3:13" ht="13">
      <c r="C1409" s="196"/>
      <c r="D1409" s="196"/>
      <c r="L1409" s="74"/>
      <c r="M1409" s="197"/>
    </row>
    <row r="1410" spans="3:13" ht="13">
      <c r="C1410" s="196"/>
      <c r="D1410" s="196"/>
      <c r="L1410" s="74"/>
      <c r="M1410" s="197"/>
    </row>
    <row r="1411" spans="3:13" ht="13">
      <c r="C1411" s="196"/>
      <c r="D1411" s="196"/>
      <c r="L1411" s="74"/>
      <c r="M1411" s="197"/>
    </row>
    <row r="1412" spans="3:13" ht="13">
      <c r="C1412" s="196"/>
      <c r="D1412" s="196"/>
      <c r="L1412" s="74"/>
      <c r="M1412" s="197"/>
    </row>
    <row r="1413" spans="3:13" ht="13">
      <c r="C1413" s="196"/>
      <c r="D1413" s="196"/>
      <c r="L1413" s="74"/>
      <c r="M1413" s="197"/>
    </row>
    <row r="1414" spans="3:13" ht="13">
      <c r="C1414" s="196"/>
      <c r="D1414" s="196"/>
      <c r="L1414" s="74"/>
      <c r="M1414" s="197"/>
    </row>
    <row r="1415" spans="3:13" ht="13">
      <c r="C1415" s="196"/>
      <c r="D1415" s="196"/>
      <c r="L1415" s="74"/>
      <c r="M1415" s="197"/>
    </row>
    <row r="1416" spans="3:13" ht="13">
      <c r="C1416" s="196"/>
      <c r="D1416" s="196"/>
      <c r="L1416" s="74"/>
      <c r="M1416" s="197"/>
    </row>
    <row r="1417" spans="3:13" ht="13">
      <c r="C1417" s="196"/>
      <c r="D1417" s="196"/>
      <c r="L1417" s="74"/>
      <c r="M1417" s="197"/>
    </row>
    <row r="1418" spans="3:13" ht="13">
      <c r="C1418" s="196"/>
      <c r="D1418" s="196"/>
      <c r="L1418" s="74"/>
      <c r="M1418" s="197"/>
    </row>
    <row r="1419" spans="3:13" ht="13">
      <c r="C1419" s="196"/>
      <c r="D1419" s="196"/>
      <c r="L1419" s="74"/>
      <c r="M1419" s="197"/>
    </row>
    <row r="1420" spans="3:13" ht="13">
      <c r="C1420" s="196"/>
      <c r="D1420" s="196"/>
      <c r="L1420" s="74"/>
      <c r="M1420" s="197"/>
    </row>
    <row r="1421" spans="3:13" ht="13">
      <c r="C1421" s="196"/>
      <c r="D1421" s="196"/>
      <c r="L1421" s="74"/>
      <c r="M1421" s="197"/>
    </row>
    <row r="1422" spans="3:13" ht="13">
      <c r="C1422" s="196"/>
      <c r="D1422" s="196"/>
      <c r="L1422" s="74"/>
      <c r="M1422" s="197"/>
    </row>
    <row r="1423" spans="3:13" ht="13">
      <c r="C1423" s="196"/>
      <c r="D1423" s="196"/>
      <c r="L1423" s="74"/>
      <c r="M1423" s="197"/>
    </row>
    <row r="1424" spans="3:13" ht="13">
      <c r="C1424" s="196"/>
      <c r="D1424" s="196"/>
      <c r="L1424" s="74"/>
      <c r="M1424" s="197"/>
    </row>
    <row r="1425" spans="3:13" ht="13">
      <c r="C1425" s="196"/>
      <c r="D1425" s="196"/>
      <c r="L1425" s="74"/>
      <c r="M1425" s="197"/>
    </row>
    <row r="1426" spans="3:13" ht="13">
      <c r="C1426" s="196"/>
      <c r="D1426" s="196"/>
      <c r="L1426" s="74"/>
      <c r="M1426" s="197"/>
    </row>
    <row r="1427" spans="3:13" ht="13">
      <c r="C1427" s="196"/>
      <c r="D1427" s="196"/>
      <c r="L1427" s="74"/>
      <c r="M1427" s="197"/>
    </row>
    <row r="1428" spans="3:13" ht="13">
      <c r="C1428" s="196"/>
      <c r="D1428" s="196"/>
      <c r="L1428" s="74"/>
      <c r="M1428" s="197"/>
    </row>
    <row r="1429" spans="3:13" ht="13">
      <c r="C1429" s="196"/>
      <c r="D1429" s="196"/>
      <c r="L1429" s="74"/>
      <c r="M1429" s="197"/>
    </row>
    <row r="1430" spans="3:13" ht="13">
      <c r="C1430" s="196"/>
      <c r="D1430" s="196"/>
      <c r="L1430" s="74"/>
      <c r="M1430" s="197"/>
    </row>
    <row r="1431" spans="3:13" ht="13">
      <c r="C1431" s="196"/>
      <c r="D1431" s="196"/>
      <c r="L1431" s="74"/>
      <c r="M1431" s="197"/>
    </row>
    <row r="1432" spans="3:13" ht="13">
      <c r="C1432" s="196"/>
      <c r="D1432" s="196"/>
      <c r="L1432" s="74"/>
      <c r="M1432" s="197"/>
    </row>
    <row r="1433" spans="3:13" ht="13">
      <c r="C1433" s="196"/>
      <c r="D1433" s="196"/>
      <c r="L1433" s="74"/>
      <c r="M1433" s="197"/>
    </row>
    <row r="1434" spans="3:13" ht="13">
      <c r="C1434" s="196"/>
      <c r="D1434" s="196"/>
      <c r="L1434" s="74"/>
      <c r="M1434" s="197"/>
    </row>
    <row r="1435" spans="3:13" ht="13">
      <c r="C1435" s="196"/>
      <c r="D1435" s="196"/>
      <c r="L1435" s="74"/>
      <c r="M1435" s="197"/>
    </row>
    <row r="1436" spans="3:13" ht="13">
      <c r="C1436" s="196"/>
      <c r="D1436" s="196"/>
      <c r="L1436" s="74"/>
      <c r="M1436" s="197"/>
    </row>
    <row r="1437" spans="3:13" ht="13">
      <c r="C1437" s="196"/>
      <c r="D1437" s="196"/>
      <c r="L1437" s="74"/>
      <c r="M1437" s="197"/>
    </row>
    <row r="1438" spans="3:13" ht="13">
      <c r="C1438" s="196"/>
      <c r="D1438" s="196"/>
      <c r="L1438" s="74"/>
      <c r="M1438" s="197"/>
    </row>
    <row r="1439" spans="3:13" ht="13">
      <c r="C1439" s="196"/>
      <c r="D1439" s="196"/>
      <c r="L1439" s="74"/>
      <c r="M1439" s="197"/>
    </row>
    <row r="1440" spans="3:13" ht="13">
      <c r="C1440" s="196"/>
      <c r="D1440" s="196"/>
      <c r="L1440" s="74"/>
      <c r="M1440" s="197"/>
    </row>
    <row r="1441" spans="3:13" ht="13">
      <c r="C1441" s="196"/>
      <c r="D1441" s="196"/>
      <c r="L1441" s="74"/>
      <c r="M1441" s="197"/>
    </row>
    <row r="1442" spans="3:13" ht="13">
      <c r="C1442" s="196"/>
      <c r="D1442" s="196"/>
      <c r="L1442" s="74"/>
      <c r="M1442" s="197"/>
    </row>
    <row r="1443" spans="3:13" ht="13">
      <c r="C1443" s="196"/>
      <c r="D1443" s="196"/>
      <c r="L1443" s="74"/>
      <c r="M1443" s="197"/>
    </row>
    <row r="1444" spans="3:13" ht="13">
      <c r="C1444" s="196"/>
      <c r="D1444" s="196"/>
      <c r="L1444" s="74"/>
      <c r="M1444" s="197"/>
    </row>
    <row r="1445" spans="3:13" ht="13">
      <c r="C1445" s="196"/>
      <c r="D1445" s="196"/>
      <c r="L1445" s="74"/>
      <c r="M1445" s="197"/>
    </row>
    <row r="1446" spans="3:13" ht="13">
      <c r="C1446" s="196"/>
      <c r="D1446" s="196"/>
      <c r="L1446" s="74"/>
      <c r="M1446" s="197"/>
    </row>
    <row r="1447" spans="3:13" ht="13">
      <c r="C1447" s="196"/>
      <c r="D1447" s="196"/>
      <c r="L1447" s="74"/>
      <c r="M1447" s="197"/>
    </row>
    <row r="1448" spans="3:13" ht="13">
      <c r="C1448" s="196"/>
      <c r="D1448" s="196"/>
      <c r="L1448" s="74"/>
      <c r="M1448" s="197"/>
    </row>
    <row r="1449" spans="3:13" ht="13">
      <c r="C1449" s="196"/>
      <c r="D1449" s="196"/>
      <c r="L1449" s="74"/>
      <c r="M1449" s="197"/>
    </row>
    <row r="1450" spans="3:13" ht="13">
      <c r="C1450" s="196"/>
      <c r="D1450" s="196"/>
      <c r="L1450" s="74"/>
      <c r="M1450" s="197"/>
    </row>
    <row r="1451" spans="3:13" ht="13">
      <c r="C1451" s="196"/>
      <c r="D1451" s="196"/>
      <c r="L1451" s="74"/>
      <c r="M1451" s="197"/>
    </row>
    <row r="1452" spans="3:13" ht="13">
      <c r="C1452" s="196"/>
      <c r="D1452" s="196"/>
      <c r="L1452" s="74"/>
      <c r="M1452" s="197"/>
    </row>
    <row r="1453" spans="3:13" ht="13">
      <c r="C1453" s="196"/>
      <c r="D1453" s="196"/>
      <c r="L1453" s="74"/>
      <c r="M1453" s="197"/>
    </row>
    <row r="1454" spans="3:13" ht="13">
      <c r="C1454" s="196"/>
      <c r="D1454" s="196"/>
      <c r="L1454" s="74"/>
      <c r="M1454" s="197"/>
    </row>
    <row r="1455" spans="3:13" ht="13">
      <c r="C1455" s="196"/>
      <c r="D1455" s="196"/>
      <c r="L1455" s="74"/>
      <c r="M1455" s="197"/>
    </row>
    <row r="1456" spans="3:13" ht="13">
      <c r="C1456" s="196"/>
      <c r="D1456" s="196"/>
      <c r="L1456" s="74"/>
      <c r="M1456" s="197"/>
    </row>
    <row r="1457" spans="3:13" ht="13">
      <c r="C1457" s="196"/>
      <c r="D1457" s="196"/>
      <c r="L1457" s="74"/>
      <c r="M1457" s="197"/>
    </row>
    <row r="1458" spans="3:13" ht="13">
      <c r="C1458" s="196"/>
      <c r="D1458" s="196"/>
      <c r="L1458" s="74"/>
      <c r="M1458" s="197"/>
    </row>
    <row r="1459" spans="3:13" ht="13">
      <c r="C1459" s="196"/>
      <c r="D1459" s="196"/>
      <c r="L1459" s="74"/>
      <c r="M1459" s="197"/>
    </row>
    <row r="1460" spans="3:13" ht="13">
      <c r="C1460" s="196"/>
      <c r="D1460" s="196"/>
      <c r="L1460" s="74"/>
      <c r="M1460" s="197"/>
    </row>
    <row r="1461" spans="3:13" ht="13">
      <c r="C1461" s="196"/>
      <c r="D1461" s="196"/>
      <c r="L1461" s="74"/>
      <c r="M1461" s="197"/>
    </row>
    <row r="1462" spans="3:13" ht="13">
      <c r="C1462" s="196"/>
      <c r="D1462" s="196"/>
      <c r="L1462" s="74"/>
      <c r="M1462" s="197"/>
    </row>
    <row r="1463" spans="3:13" ht="13">
      <c r="C1463" s="196"/>
      <c r="D1463" s="196"/>
      <c r="L1463" s="74"/>
      <c r="M1463" s="197"/>
    </row>
    <row r="1464" spans="3:13" ht="13">
      <c r="C1464" s="196"/>
      <c r="D1464" s="196"/>
      <c r="L1464" s="74"/>
      <c r="M1464" s="197"/>
    </row>
    <row r="1465" spans="3:13" ht="13">
      <c r="C1465" s="196"/>
      <c r="D1465" s="196"/>
      <c r="L1465" s="74"/>
      <c r="M1465" s="197"/>
    </row>
    <row r="1466" spans="3:13" ht="13">
      <c r="C1466" s="196"/>
      <c r="D1466" s="196"/>
      <c r="L1466" s="74"/>
      <c r="M1466" s="197"/>
    </row>
    <row r="1467" spans="3:13" ht="13">
      <c r="C1467" s="196"/>
      <c r="D1467" s="196"/>
      <c r="L1467" s="74"/>
      <c r="M1467" s="197"/>
    </row>
    <row r="1468" spans="3:13" ht="13">
      <c r="C1468" s="196"/>
      <c r="D1468" s="196"/>
      <c r="L1468" s="74"/>
      <c r="M1468" s="197"/>
    </row>
    <row r="1469" spans="3:13" ht="13">
      <c r="C1469" s="196"/>
      <c r="D1469" s="196"/>
      <c r="L1469" s="74"/>
      <c r="M1469" s="197"/>
    </row>
    <row r="1470" spans="3:13" ht="13">
      <c r="C1470" s="196"/>
      <c r="D1470" s="196"/>
      <c r="L1470" s="74"/>
      <c r="M1470" s="197"/>
    </row>
    <row r="1471" spans="3:13" ht="13">
      <c r="C1471" s="196"/>
      <c r="D1471" s="196"/>
      <c r="L1471" s="74"/>
      <c r="M1471" s="197"/>
    </row>
    <row r="1472" spans="3:13" ht="13">
      <c r="C1472" s="196"/>
      <c r="D1472" s="196"/>
      <c r="L1472" s="74"/>
      <c r="M1472" s="197"/>
    </row>
    <row r="1473" spans="3:13" ht="13">
      <c r="C1473" s="196"/>
      <c r="D1473" s="196"/>
      <c r="L1473" s="74"/>
      <c r="M1473" s="197"/>
    </row>
    <row r="1474" spans="3:13" ht="13">
      <c r="C1474" s="196"/>
      <c r="D1474" s="196"/>
      <c r="L1474" s="74"/>
      <c r="M1474" s="197"/>
    </row>
    <row r="1475" spans="3:13" ht="13">
      <c r="C1475" s="196"/>
      <c r="D1475" s="196"/>
      <c r="L1475" s="74"/>
      <c r="M1475" s="197"/>
    </row>
    <row r="1476" spans="3:13" ht="13">
      <c r="C1476" s="196"/>
      <c r="D1476" s="196"/>
      <c r="L1476" s="74"/>
      <c r="M1476" s="197"/>
    </row>
    <row r="1477" spans="3:13" ht="13">
      <c r="C1477" s="196"/>
      <c r="D1477" s="196"/>
      <c r="L1477" s="74"/>
      <c r="M1477" s="197"/>
    </row>
    <row r="1478" spans="3:13" ht="13">
      <c r="C1478" s="196"/>
      <c r="D1478" s="196"/>
      <c r="L1478" s="74"/>
      <c r="M1478" s="197"/>
    </row>
    <row r="1479" spans="3:13" ht="13">
      <c r="C1479" s="196"/>
      <c r="D1479" s="196"/>
      <c r="L1479" s="74"/>
      <c r="M1479" s="197"/>
    </row>
    <row r="1480" spans="3:13" ht="13">
      <c r="C1480" s="196"/>
      <c r="D1480" s="196"/>
      <c r="L1480" s="74"/>
      <c r="M1480" s="197"/>
    </row>
    <row r="1481" spans="3:13" ht="13">
      <c r="C1481" s="196"/>
      <c r="D1481" s="196"/>
      <c r="L1481" s="74"/>
      <c r="M1481" s="197"/>
    </row>
    <row r="1482" spans="3:13" ht="13">
      <c r="C1482" s="196"/>
      <c r="D1482" s="196"/>
      <c r="L1482" s="74"/>
      <c r="M1482" s="197"/>
    </row>
    <row r="1483" spans="3:13" ht="13">
      <c r="C1483" s="196"/>
      <c r="D1483" s="196"/>
      <c r="L1483" s="74"/>
      <c r="M1483" s="197"/>
    </row>
    <row r="1484" spans="3:13" ht="13">
      <c r="C1484" s="196"/>
      <c r="D1484" s="196"/>
      <c r="L1484" s="74"/>
      <c r="M1484" s="197"/>
    </row>
    <row r="1485" spans="3:13" ht="13">
      <c r="C1485" s="196"/>
      <c r="D1485" s="196"/>
      <c r="L1485" s="74"/>
      <c r="M1485" s="197"/>
    </row>
    <row r="1486" spans="3:13" ht="13">
      <c r="C1486" s="196"/>
      <c r="D1486" s="196"/>
      <c r="L1486" s="74"/>
      <c r="M1486" s="197"/>
    </row>
    <row r="1487" spans="3:13" ht="13">
      <c r="C1487" s="196"/>
      <c r="D1487" s="196"/>
      <c r="L1487" s="74"/>
      <c r="M1487" s="197"/>
    </row>
    <row r="1488" spans="3:13" ht="13">
      <c r="C1488" s="196"/>
      <c r="D1488" s="196"/>
      <c r="L1488" s="74"/>
      <c r="M1488" s="197"/>
    </row>
    <row r="1489" spans="3:13" ht="13">
      <c r="C1489" s="196"/>
      <c r="D1489" s="196"/>
      <c r="L1489" s="74"/>
      <c r="M1489" s="197"/>
    </row>
    <row r="1490" spans="3:13" ht="13">
      <c r="C1490" s="196"/>
      <c r="D1490" s="196"/>
      <c r="L1490" s="74"/>
      <c r="M1490" s="197"/>
    </row>
    <row r="1491" spans="3:13" ht="13">
      <c r="C1491" s="196"/>
      <c r="D1491" s="196"/>
      <c r="L1491" s="74"/>
      <c r="M1491" s="197"/>
    </row>
    <row r="1492" spans="3:13" ht="13">
      <c r="C1492" s="196"/>
      <c r="D1492" s="196"/>
      <c r="L1492" s="74"/>
      <c r="M1492" s="197"/>
    </row>
    <row r="1493" spans="3:13" ht="13">
      <c r="C1493" s="196"/>
      <c r="D1493" s="196"/>
      <c r="L1493" s="74"/>
      <c r="M1493" s="197"/>
    </row>
    <row r="1494" spans="3:13" ht="13">
      <c r="C1494" s="196"/>
      <c r="D1494" s="196"/>
      <c r="L1494" s="74"/>
      <c r="M1494" s="197"/>
    </row>
    <row r="1495" spans="3:13" ht="13">
      <c r="C1495" s="196"/>
      <c r="D1495" s="196"/>
      <c r="L1495" s="74"/>
      <c r="M1495" s="197"/>
    </row>
    <row r="1496" spans="3:13" ht="13">
      <c r="C1496" s="196"/>
      <c r="D1496" s="196"/>
      <c r="L1496" s="74"/>
      <c r="M1496" s="197"/>
    </row>
    <row r="1497" spans="3:13" ht="13">
      <c r="C1497" s="196"/>
      <c r="D1497" s="196"/>
      <c r="L1497" s="74"/>
      <c r="M1497" s="197"/>
    </row>
    <row r="1498" spans="3:13" ht="13">
      <c r="C1498" s="196"/>
      <c r="D1498" s="196"/>
      <c r="L1498" s="74"/>
      <c r="M1498" s="197"/>
    </row>
    <row r="1499" spans="3:13" ht="13">
      <c r="C1499" s="196"/>
      <c r="D1499" s="196"/>
      <c r="L1499" s="74"/>
      <c r="M1499" s="197"/>
    </row>
    <row r="1500" spans="3:13" ht="13">
      <c r="C1500" s="196"/>
      <c r="D1500" s="196"/>
      <c r="L1500" s="74"/>
      <c r="M1500" s="197"/>
    </row>
    <row r="1501" spans="3:13" ht="13">
      <c r="C1501" s="196"/>
      <c r="D1501" s="196"/>
      <c r="L1501" s="74"/>
      <c r="M1501" s="197"/>
    </row>
    <row r="1502" spans="3:13" ht="13">
      <c r="C1502" s="196"/>
      <c r="D1502" s="196"/>
      <c r="L1502" s="74"/>
      <c r="M1502" s="197"/>
    </row>
    <row r="1503" spans="3:13" ht="13">
      <c r="C1503" s="196"/>
      <c r="D1503" s="196"/>
      <c r="L1503" s="74"/>
      <c r="M1503" s="197"/>
    </row>
    <row r="1504" spans="3:13" ht="13">
      <c r="C1504" s="196"/>
      <c r="D1504" s="196"/>
      <c r="L1504" s="74"/>
      <c r="M1504" s="197"/>
    </row>
    <row r="1505" spans="3:13" ht="13">
      <c r="C1505" s="196"/>
      <c r="D1505" s="196"/>
      <c r="L1505" s="74"/>
      <c r="M1505" s="197"/>
    </row>
    <row r="1506" spans="3:13" ht="13">
      <c r="C1506" s="196"/>
      <c r="D1506" s="196"/>
      <c r="L1506" s="74"/>
      <c r="M1506" s="197"/>
    </row>
    <row r="1507" spans="3:13" ht="13">
      <c r="C1507" s="196"/>
      <c r="D1507" s="196"/>
      <c r="L1507" s="74"/>
      <c r="M1507" s="197"/>
    </row>
  </sheetData>
  <autoFilter ref="B7:Q949" xr:uid="{00000000-0009-0000-0000-000002000000}"/>
  <mergeCells count="9">
    <mergeCell ref="E5:F5"/>
    <mergeCell ref="G946:H946"/>
    <mergeCell ref="D1:Q1"/>
    <mergeCell ref="D2:Q2"/>
    <mergeCell ref="D3:O3"/>
    <mergeCell ref="D4:O4"/>
    <mergeCell ref="Q4:Q5"/>
    <mergeCell ref="K5:N5"/>
    <mergeCell ref="D6:E6"/>
  </mergeCells>
  <dataValidations count="1">
    <dataValidation type="list" allowBlank="1" showErrorMessage="1" sqref="C7:Q7" xr:uid="{00000000-0002-0000-0200-000000000000}">
      <formula1>"B.XẾP,C.phí,Cđường,Đơn giá,ghi chú,Mã,Ngày,Ngày Nộp HĐ,Nơi giao,SỐ HÓA ĐƠN,Số xe,TÀI,TẤN,Thành tiền"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AB1221"/>
  <sheetViews>
    <sheetView workbookViewId="0"/>
  </sheetViews>
  <sheetFormatPr baseColWidth="10" defaultColWidth="12.6640625" defaultRowHeight="15.75" customHeight="1"/>
  <cols>
    <col min="1" max="1" width="7.1640625" customWidth="1"/>
    <col min="2" max="2" width="6.1640625" customWidth="1"/>
    <col min="3" max="3" width="10.1640625" customWidth="1"/>
    <col min="5" max="5" width="10" customWidth="1"/>
    <col min="6" max="6" width="33.6640625" customWidth="1"/>
    <col min="9" max="9" width="16.5" customWidth="1"/>
    <col min="12" max="12" width="19" customWidth="1"/>
    <col min="14" max="14" width="11" customWidth="1"/>
    <col min="16" max="16" width="22" customWidth="1"/>
  </cols>
  <sheetData>
    <row r="1" spans="1:28" ht="16">
      <c r="A1" s="198"/>
      <c r="B1" s="199"/>
      <c r="C1" s="199"/>
      <c r="D1" s="493" t="s">
        <v>2489</v>
      </c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80"/>
      <c r="Q1" s="201"/>
      <c r="R1" s="201"/>
      <c r="S1" s="201"/>
      <c r="T1" s="201"/>
      <c r="U1" s="201"/>
      <c r="V1" s="32"/>
      <c r="W1" s="32"/>
      <c r="X1" s="32"/>
      <c r="Y1" s="32"/>
      <c r="Z1" s="32"/>
      <c r="AA1" s="32"/>
      <c r="AB1" s="32"/>
    </row>
    <row r="2" spans="1:28" ht="16">
      <c r="A2" s="198"/>
      <c r="B2" s="202"/>
      <c r="C2" s="202"/>
      <c r="D2" s="494">
        <v>46054</v>
      </c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203"/>
      <c r="Q2" s="201"/>
      <c r="R2" s="201"/>
      <c r="S2" s="201"/>
      <c r="T2" s="201"/>
      <c r="U2" s="201"/>
      <c r="V2" s="32"/>
      <c r="W2" s="32"/>
      <c r="X2" s="32"/>
      <c r="Y2" s="32"/>
      <c r="Z2" s="32"/>
      <c r="AA2" s="32"/>
      <c r="AB2" s="32"/>
    </row>
    <row r="3" spans="1:28" ht="16">
      <c r="A3" s="198"/>
      <c r="B3" s="202"/>
      <c r="C3" s="202"/>
      <c r="D3" s="204" t="s">
        <v>1384</v>
      </c>
      <c r="E3" s="205"/>
      <c r="F3" s="205"/>
      <c r="G3" s="493" t="s">
        <v>2490</v>
      </c>
      <c r="H3" s="482"/>
      <c r="I3" s="482"/>
      <c r="J3" s="482"/>
      <c r="K3" s="495"/>
      <c r="L3" s="482"/>
      <c r="M3" s="200"/>
      <c r="N3" s="205"/>
      <c r="O3" s="205"/>
      <c r="P3" s="81"/>
      <c r="Q3" s="201"/>
      <c r="R3" s="201"/>
      <c r="S3" s="201"/>
      <c r="T3" s="201"/>
      <c r="U3" s="201"/>
      <c r="V3" s="32"/>
      <c r="W3" s="32"/>
      <c r="X3" s="32"/>
      <c r="Y3" s="32"/>
      <c r="Z3" s="32"/>
      <c r="AA3" s="32"/>
      <c r="AB3" s="32"/>
    </row>
    <row r="4" spans="1:28" ht="16">
      <c r="A4" s="198"/>
      <c r="B4" s="206"/>
      <c r="C4" s="206"/>
      <c r="D4" s="207"/>
      <c r="E4" s="208"/>
      <c r="F4" s="208" t="e">
        <v>#N/A</v>
      </c>
      <c r="G4" s="209"/>
      <c r="H4" s="209"/>
      <c r="I4" s="209"/>
      <c r="J4" s="209"/>
      <c r="K4" s="210">
        <v>2</v>
      </c>
      <c r="L4" s="210">
        <v>2</v>
      </c>
      <c r="M4" s="210"/>
      <c r="N4" s="208" t="e">
        <v>#N/A</v>
      </c>
      <c r="O4" s="205"/>
      <c r="P4" s="81"/>
      <c r="Q4" s="201"/>
      <c r="R4" s="201"/>
      <c r="S4" s="201"/>
      <c r="T4" s="201"/>
      <c r="U4" s="201"/>
      <c r="V4" s="32"/>
      <c r="W4" s="32"/>
      <c r="X4" s="32"/>
      <c r="Y4" s="32"/>
      <c r="Z4" s="32"/>
      <c r="AA4" s="32"/>
      <c r="AB4" s="32"/>
    </row>
    <row r="5" spans="1:28" ht="16">
      <c r="A5" s="211" t="s">
        <v>2491</v>
      </c>
      <c r="B5" s="212" t="s">
        <v>2492</v>
      </c>
      <c r="C5" s="213" t="s">
        <v>2493</v>
      </c>
      <c r="D5" s="212" t="s">
        <v>1389</v>
      </c>
      <c r="E5" s="212" t="s">
        <v>2494</v>
      </c>
      <c r="F5" s="212" t="s">
        <v>1391</v>
      </c>
      <c r="G5" s="212" t="s">
        <v>2495</v>
      </c>
      <c r="H5" s="212" t="s">
        <v>2496</v>
      </c>
      <c r="I5" s="212" t="s">
        <v>2497</v>
      </c>
      <c r="J5" s="212" t="s">
        <v>1393</v>
      </c>
      <c r="K5" s="212" t="s">
        <v>2498</v>
      </c>
      <c r="L5" s="212" t="s">
        <v>1393</v>
      </c>
      <c r="M5" s="212" t="s">
        <v>1397</v>
      </c>
      <c r="N5" s="212" t="s">
        <v>1398</v>
      </c>
      <c r="O5" s="212" t="s">
        <v>1399</v>
      </c>
      <c r="P5" s="212" t="s">
        <v>2499</v>
      </c>
      <c r="Q5" s="201"/>
      <c r="R5" s="201"/>
      <c r="S5" s="201"/>
      <c r="T5" s="201"/>
      <c r="U5" s="201"/>
      <c r="V5" s="32"/>
      <c r="W5" s="32"/>
      <c r="X5" s="32"/>
      <c r="Y5" s="32"/>
      <c r="Z5" s="32"/>
      <c r="AA5" s="32"/>
      <c r="AB5" s="32"/>
    </row>
    <row r="6" spans="1:28" ht="16" hidden="1">
      <c r="A6" s="214">
        <v>1</v>
      </c>
      <c r="B6" s="215" t="s">
        <v>2500</v>
      </c>
      <c r="C6" s="215" t="s">
        <v>35</v>
      </c>
      <c r="D6" s="216">
        <v>46083</v>
      </c>
      <c r="E6" s="133" t="str">
        <f>VLOOKUP($C6,xe!$A:$B,2,0)</f>
        <v>50E-648.73</v>
      </c>
      <c r="F6" s="217" t="str">
        <f>VLOOKUP($B6,ma!$A:$B,2,0)</f>
        <v>MIFA TÂN TẠO</v>
      </c>
      <c r="G6" s="218"/>
      <c r="H6" s="218"/>
      <c r="I6" s="219">
        <v>200000</v>
      </c>
      <c r="J6" s="218"/>
      <c r="K6" s="219">
        <v>20000</v>
      </c>
      <c r="L6" s="218" t="s">
        <v>2501</v>
      </c>
      <c r="M6" s="220">
        <v>13.54</v>
      </c>
      <c r="N6" s="221">
        <f>VLOOKUP($B6,ma!$A:$C,3,0)</f>
        <v>200000</v>
      </c>
      <c r="O6" s="221">
        <f t="shared" ref="O6:O254" si="0">M6*N6</f>
        <v>2708000</v>
      </c>
      <c r="P6" s="221">
        <f t="shared" ref="P6:P120" si="1">O6*10%</f>
        <v>270800</v>
      </c>
      <c r="Q6" s="201"/>
      <c r="R6" s="201"/>
      <c r="S6" s="201"/>
      <c r="T6" s="201"/>
      <c r="U6" s="201"/>
      <c r="V6" s="32"/>
      <c r="W6" s="32"/>
      <c r="X6" s="32"/>
      <c r="Y6" s="32"/>
      <c r="Z6" s="32"/>
      <c r="AA6" s="32"/>
      <c r="AB6" s="32"/>
    </row>
    <row r="7" spans="1:28" ht="16" hidden="1">
      <c r="A7" s="214">
        <f t="shared" ref="A7:A15" si="2">A6+1</f>
        <v>2</v>
      </c>
      <c r="B7" s="215" t="s">
        <v>220</v>
      </c>
      <c r="C7" s="215" t="s">
        <v>37</v>
      </c>
      <c r="D7" s="216">
        <v>46083</v>
      </c>
      <c r="E7" s="109" t="str">
        <f>VLOOKUP($C7,xe!$A:$B,2,0)</f>
        <v>50H-66347</v>
      </c>
      <c r="F7" s="217" t="str">
        <f>VLOOKUP($B7,ma!$A:$B,2,0)</f>
        <v>GIA HOÀNG TIỀN GIANG PALLET</v>
      </c>
      <c r="G7" s="218"/>
      <c r="H7" s="218"/>
      <c r="I7" s="219">
        <v>200000</v>
      </c>
      <c r="J7" s="218" t="s">
        <v>1427</v>
      </c>
      <c r="K7" s="219">
        <v>150000</v>
      </c>
      <c r="L7" s="218" t="s">
        <v>2502</v>
      </c>
      <c r="M7" s="222">
        <v>18.5</v>
      </c>
      <c r="N7" s="221">
        <f>VLOOKUP($B7,ma!$A:$C,3,0)</f>
        <v>230000</v>
      </c>
      <c r="O7" s="221">
        <f t="shared" si="0"/>
        <v>4255000</v>
      </c>
      <c r="P7" s="221">
        <f t="shared" si="1"/>
        <v>425500</v>
      </c>
      <c r="Q7" s="201"/>
      <c r="R7" s="201"/>
      <c r="S7" s="201"/>
      <c r="T7" s="201"/>
      <c r="U7" s="201"/>
      <c r="V7" s="32"/>
      <c r="W7" s="32"/>
      <c r="X7" s="32"/>
      <c r="Y7" s="32"/>
      <c r="Z7" s="32"/>
      <c r="AA7" s="32"/>
      <c r="AB7" s="32"/>
    </row>
    <row r="8" spans="1:28" ht="16" hidden="1">
      <c r="A8" s="214">
        <f t="shared" si="2"/>
        <v>3</v>
      </c>
      <c r="B8" s="215" t="s">
        <v>210</v>
      </c>
      <c r="C8" s="215" t="s">
        <v>37</v>
      </c>
      <c r="D8" s="216">
        <v>46083</v>
      </c>
      <c r="E8" s="109" t="str">
        <f>VLOOKUP($C8,xe!$A:$B,2,0)</f>
        <v>50H-66347</v>
      </c>
      <c r="F8" s="217" t="str">
        <f>VLOOKUP($B8,ma!$A:$B,2,0)</f>
        <v>NDFC - NAIC BẾN LỨC</v>
      </c>
      <c r="G8" s="218"/>
      <c r="H8" s="218"/>
      <c r="I8" s="219">
        <v>100000</v>
      </c>
      <c r="J8" s="218" t="s">
        <v>1427</v>
      </c>
      <c r="K8" s="219"/>
      <c r="L8" s="218"/>
      <c r="M8" s="223">
        <v>1</v>
      </c>
      <c r="N8" s="221">
        <f>VLOOKUP($B8,ma!$A:$C,3,0)</f>
        <v>2400000</v>
      </c>
      <c r="O8" s="221">
        <f t="shared" si="0"/>
        <v>2400000</v>
      </c>
      <c r="P8" s="221">
        <f t="shared" si="1"/>
        <v>240000</v>
      </c>
      <c r="Q8" s="201"/>
      <c r="R8" s="201"/>
      <c r="S8" s="201"/>
      <c r="T8" s="201"/>
      <c r="U8" s="201"/>
      <c r="V8" s="32"/>
      <c r="W8" s="32"/>
      <c r="X8" s="32"/>
      <c r="Y8" s="32"/>
      <c r="Z8" s="32"/>
      <c r="AA8" s="32"/>
      <c r="AB8" s="32"/>
    </row>
    <row r="9" spans="1:28" ht="16" hidden="1">
      <c r="A9" s="214">
        <f t="shared" si="2"/>
        <v>4</v>
      </c>
      <c r="B9" s="215" t="s">
        <v>156</v>
      </c>
      <c r="C9" s="215" t="s">
        <v>39</v>
      </c>
      <c r="D9" s="216">
        <v>46083</v>
      </c>
      <c r="E9" s="109" t="str">
        <f>VLOOKUP($C9,xe!$A:$B,2,0)</f>
        <v>50E-654.34</v>
      </c>
      <c r="F9" s="217" t="str">
        <f>VLOOKUP($B9,ma!$A:$B,2,0)</f>
        <v>TUẤN LỘC Q7 PALLET</v>
      </c>
      <c r="G9" s="218"/>
      <c r="H9" s="218"/>
      <c r="I9" s="219">
        <v>100000</v>
      </c>
      <c r="J9" s="218" t="s">
        <v>1427</v>
      </c>
      <c r="K9" s="219"/>
      <c r="L9" s="218"/>
      <c r="M9" s="224">
        <v>13.5</v>
      </c>
      <c r="N9" s="221">
        <f>VLOOKUP($B9,ma!$A:$C,3,0)</f>
        <v>200000</v>
      </c>
      <c r="O9" s="221">
        <f t="shared" si="0"/>
        <v>2700000</v>
      </c>
      <c r="P9" s="221">
        <f t="shared" si="1"/>
        <v>270000</v>
      </c>
      <c r="Q9" s="201"/>
      <c r="R9" s="201"/>
      <c r="S9" s="201"/>
      <c r="T9" s="201"/>
      <c r="U9" s="201"/>
      <c r="V9" s="32"/>
      <c r="W9" s="32"/>
      <c r="X9" s="32"/>
      <c r="Y9" s="32"/>
      <c r="Z9" s="32"/>
      <c r="AA9" s="32"/>
      <c r="AB9" s="32"/>
    </row>
    <row r="10" spans="1:28" ht="16" hidden="1">
      <c r="A10" s="214">
        <f t="shared" si="2"/>
        <v>5</v>
      </c>
      <c r="B10" s="215" t="s">
        <v>210</v>
      </c>
      <c r="C10" s="215" t="s">
        <v>39</v>
      </c>
      <c r="D10" s="216">
        <v>46083</v>
      </c>
      <c r="E10" s="109" t="str">
        <f>VLOOKUP($C10,xe!$A:$B,2,0)</f>
        <v>50E-654.34</v>
      </c>
      <c r="F10" s="217" t="str">
        <f>VLOOKUP($B10,ma!$A:$B,2,0)</f>
        <v>NDFC - NAIC BẾN LỨC</v>
      </c>
      <c r="G10" s="218"/>
      <c r="H10" s="218"/>
      <c r="I10" s="219">
        <v>100000</v>
      </c>
      <c r="J10" s="218" t="s">
        <v>1427</v>
      </c>
      <c r="K10" s="219"/>
      <c r="L10" s="218"/>
      <c r="M10" s="225">
        <v>1</v>
      </c>
      <c r="N10" s="221">
        <f>VLOOKUP($B10,ma!$A:$C,3,0)</f>
        <v>2400000</v>
      </c>
      <c r="O10" s="221">
        <f t="shared" si="0"/>
        <v>2400000</v>
      </c>
      <c r="P10" s="221">
        <f t="shared" si="1"/>
        <v>240000</v>
      </c>
      <c r="Q10" s="201"/>
      <c r="R10" s="201"/>
      <c r="S10" s="201"/>
      <c r="T10" s="201"/>
      <c r="U10" s="201"/>
      <c r="V10" s="32"/>
      <c r="W10" s="32"/>
      <c r="X10" s="32"/>
      <c r="Y10" s="32"/>
      <c r="Z10" s="32"/>
      <c r="AA10" s="32"/>
      <c r="AB10" s="32"/>
    </row>
    <row r="11" spans="1:28" ht="16" hidden="1">
      <c r="A11" s="214">
        <f t="shared" si="2"/>
        <v>6</v>
      </c>
      <c r="B11" s="215" t="s">
        <v>156</v>
      </c>
      <c r="C11" s="215" t="s">
        <v>41</v>
      </c>
      <c r="D11" s="216">
        <v>46083</v>
      </c>
      <c r="E11" s="109" t="str">
        <f>VLOOKUP($C11,xe!$A:$B,2,0)</f>
        <v>50E-324,01</v>
      </c>
      <c r="F11" s="217" t="str">
        <f>VLOOKUP($B11,ma!$A:$B,2,0)</f>
        <v>TUẤN LỘC Q7 PALLET</v>
      </c>
      <c r="G11" s="218"/>
      <c r="H11" s="218"/>
      <c r="I11" s="219">
        <v>100000</v>
      </c>
      <c r="J11" s="218"/>
      <c r="K11" s="219"/>
      <c r="L11" s="218"/>
      <c r="M11" s="224">
        <v>12.17</v>
      </c>
      <c r="N11" s="221">
        <f>VLOOKUP($B11,ma!$A:$C,3,0)</f>
        <v>200000</v>
      </c>
      <c r="O11" s="221">
        <f t="shared" si="0"/>
        <v>2434000</v>
      </c>
      <c r="P11" s="221">
        <f t="shared" si="1"/>
        <v>243400</v>
      </c>
      <c r="Q11" s="201"/>
      <c r="R11" s="201"/>
      <c r="S11" s="201"/>
      <c r="T11" s="201"/>
      <c r="U11" s="201"/>
      <c r="V11" s="32"/>
      <c r="W11" s="32"/>
      <c r="X11" s="32"/>
      <c r="Y11" s="32"/>
      <c r="Z11" s="32"/>
      <c r="AA11" s="32"/>
      <c r="AB11" s="32"/>
    </row>
    <row r="12" spans="1:28" ht="16" hidden="1">
      <c r="A12" s="214">
        <f t="shared" si="2"/>
        <v>7</v>
      </c>
      <c r="B12" s="215" t="s">
        <v>154</v>
      </c>
      <c r="C12" s="215" t="s">
        <v>41</v>
      </c>
      <c r="D12" s="216">
        <v>46083</v>
      </c>
      <c r="E12" s="109" t="str">
        <f>VLOOKUP($C12,xe!$A:$B,2,0)</f>
        <v>50E-324,01</v>
      </c>
      <c r="F12" s="217" t="str">
        <f>VLOOKUP($B12,ma!$A:$B,2,0)</f>
        <v>TUẤN LỘC Q7 XÁ</v>
      </c>
      <c r="G12" s="218"/>
      <c r="H12" s="218"/>
      <c r="I12" s="219">
        <v>100000</v>
      </c>
      <c r="J12" s="218"/>
      <c r="K12" s="219"/>
      <c r="L12" s="218"/>
      <c r="M12" s="220">
        <v>14.69</v>
      </c>
      <c r="N12" s="221">
        <f>VLOOKUP($B12,ma!$A:$C,3,0)</f>
        <v>200000</v>
      </c>
      <c r="O12" s="221">
        <f t="shared" si="0"/>
        <v>2938000</v>
      </c>
      <c r="P12" s="221">
        <f t="shared" si="1"/>
        <v>293800</v>
      </c>
      <c r="Q12" s="201"/>
      <c r="R12" s="201"/>
      <c r="S12" s="201"/>
      <c r="T12" s="201"/>
      <c r="U12" s="201"/>
      <c r="V12" s="32"/>
      <c r="W12" s="32"/>
      <c r="X12" s="32"/>
      <c r="Y12" s="32"/>
      <c r="Z12" s="32"/>
      <c r="AA12" s="32"/>
      <c r="AB12" s="32"/>
    </row>
    <row r="13" spans="1:28" ht="16" hidden="1">
      <c r="A13" s="214">
        <f t="shared" si="2"/>
        <v>8</v>
      </c>
      <c r="B13" s="215" t="s">
        <v>210</v>
      </c>
      <c r="C13" s="215" t="s">
        <v>43</v>
      </c>
      <c r="D13" s="216">
        <v>46083</v>
      </c>
      <c r="E13" s="109" t="str">
        <f>VLOOKUP($C13,xe!$A:$B,2,0)</f>
        <v>50H-87055</v>
      </c>
      <c r="F13" s="217" t="str">
        <f>VLOOKUP($B13,ma!$A:$B,2,0)</f>
        <v>NDFC - NAIC BẾN LỨC</v>
      </c>
      <c r="G13" s="218"/>
      <c r="H13" s="218"/>
      <c r="I13" s="219">
        <v>100000</v>
      </c>
      <c r="J13" s="218" t="s">
        <v>1427</v>
      </c>
      <c r="K13" s="219"/>
      <c r="L13" s="218"/>
      <c r="M13" s="226">
        <v>1</v>
      </c>
      <c r="N13" s="221">
        <f>VLOOKUP($B13,ma!$A:$C,3,0)</f>
        <v>2400000</v>
      </c>
      <c r="O13" s="221">
        <f t="shared" si="0"/>
        <v>2400000</v>
      </c>
      <c r="P13" s="221">
        <f t="shared" si="1"/>
        <v>240000</v>
      </c>
      <c r="Q13" s="201"/>
      <c r="R13" s="201"/>
      <c r="S13" s="201"/>
      <c r="T13" s="201"/>
      <c r="U13" s="201"/>
      <c r="V13" s="32"/>
      <c r="W13" s="32"/>
      <c r="X13" s="32"/>
      <c r="Y13" s="32"/>
      <c r="Z13" s="32"/>
      <c r="AA13" s="32"/>
      <c r="AB13" s="32"/>
    </row>
    <row r="14" spans="1:28" ht="16" hidden="1">
      <c r="A14" s="214">
        <f t="shared" si="2"/>
        <v>9</v>
      </c>
      <c r="B14" s="215" t="s">
        <v>124</v>
      </c>
      <c r="C14" s="215" t="s">
        <v>43</v>
      </c>
      <c r="D14" s="216">
        <v>46083</v>
      </c>
      <c r="E14" s="109" t="str">
        <f>VLOOKUP($C14,xe!$A:$B,2,0)</f>
        <v>50H-87055</v>
      </c>
      <c r="F14" s="217" t="str">
        <f>VLOOKUP($B14,ma!$A:$B,2,0)</f>
        <v>PHẠM ANH QUẬN 6 PALLET</v>
      </c>
      <c r="G14" s="218"/>
      <c r="H14" s="218"/>
      <c r="I14" s="219">
        <v>100000</v>
      </c>
      <c r="J14" s="218" t="s">
        <v>1427</v>
      </c>
      <c r="K14" s="219"/>
      <c r="L14" s="218"/>
      <c r="M14" s="224">
        <v>13.91</v>
      </c>
      <c r="N14" s="221">
        <f>VLOOKUP($B14,ma!$A:$C,3,0)</f>
        <v>200000</v>
      </c>
      <c r="O14" s="221">
        <f t="shared" si="0"/>
        <v>2782000</v>
      </c>
      <c r="P14" s="221">
        <f t="shared" si="1"/>
        <v>278200</v>
      </c>
      <c r="Q14" s="201"/>
      <c r="R14" s="201"/>
      <c r="S14" s="201"/>
      <c r="T14" s="201"/>
      <c r="U14" s="201"/>
      <c r="V14" s="32"/>
      <c r="W14" s="32"/>
      <c r="X14" s="32"/>
      <c r="Y14" s="32"/>
      <c r="Z14" s="32"/>
      <c r="AA14" s="32"/>
      <c r="AB14" s="32"/>
    </row>
    <row r="15" spans="1:28" ht="16" hidden="1">
      <c r="A15" s="214">
        <f t="shared" si="2"/>
        <v>10</v>
      </c>
      <c r="B15" s="215" t="s">
        <v>2503</v>
      </c>
      <c r="C15" s="215" t="s">
        <v>35</v>
      </c>
      <c r="D15" s="216">
        <v>46084</v>
      </c>
      <c r="E15" s="133" t="str">
        <f>VLOOKUP($C15,xe!$A:$B,2,0)</f>
        <v>50E-648.73</v>
      </c>
      <c r="F15" s="217" t="str">
        <f>VLOOKUP($B15,ma!$A:$B,2,0)</f>
        <v>NDFC - NAIC BẾN LỨC</v>
      </c>
      <c r="G15" s="218"/>
      <c r="H15" s="218"/>
      <c r="I15" s="219">
        <v>100000</v>
      </c>
      <c r="J15" s="218"/>
      <c r="K15" s="219"/>
      <c r="L15" s="218"/>
      <c r="M15" s="225">
        <v>1</v>
      </c>
      <c r="N15" s="221">
        <f>VLOOKUP($B15,ma!$A:$C,3,0)</f>
        <v>2400000</v>
      </c>
      <c r="O15" s="221">
        <f t="shared" si="0"/>
        <v>2400000</v>
      </c>
      <c r="P15" s="221">
        <f t="shared" si="1"/>
        <v>240000</v>
      </c>
      <c r="Q15" s="201"/>
      <c r="R15" s="201"/>
      <c r="S15" s="201"/>
      <c r="T15" s="201"/>
      <c r="U15" s="201"/>
      <c r="V15" s="32"/>
      <c r="W15" s="32"/>
      <c r="X15" s="32"/>
      <c r="Y15" s="32"/>
      <c r="Z15" s="32"/>
      <c r="AA15" s="32"/>
      <c r="AB15" s="32"/>
    </row>
    <row r="16" spans="1:28" ht="16" hidden="1">
      <c r="A16" s="214">
        <v>11</v>
      </c>
      <c r="B16" s="215" t="s">
        <v>2503</v>
      </c>
      <c r="C16" s="215" t="s">
        <v>35</v>
      </c>
      <c r="D16" s="216">
        <v>46084</v>
      </c>
      <c r="E16" s="133" t="str">
        <f>VLOOKUP($C16,xe!$A:$B,2,0)</f>
        <v>50E-648.73</v>
      </c>
      <c r="F16" s="217" t="str">
        <f>VLOOKUP($B16,ma!$A:$B,2,0)</f>
        <v>NDFC - NAIC BẾN LỨC</v>
      </c>
      <c r="G16" s="218"/>
      <c r="H16" s="218"/>
      <c r="I16" s="219">
        <v>100000</v>
      </c>
      <c r="J16" s="218"/>
      <c r="K16" s="219"/>
      <c r="L16" s="218"/>
      <c r="M16" s="225">
        <v>1</v>
      </c>
      <c r="N16" s="221">
        <f>VLOOKUP($B16,ma!$A:$C,3,0)</f>
        <v>2400000</v>
      </c>
      <c r="O16" s="221">
        <f t="shared" si="0"/>
        <v>2400000</v>
      </c>
      <c r="P16" s="221">
        <f t="shared" si="1"/>
        <v>240000</v>
      </c>
      <c r="Q16" s="201"/>
      <c r="R16" s="201"/>
      <c r="S16" s="201"/>
      <c r="T16" s="201"/>
      <c r="U16" s="201"/>
      <c r="V16" s="32"/>
      <c r="W16" s="32"/>
      <c r="X16" s="32"/>
      <c r="Y16" s="32"/>
      <c r="Z16" s="32"/>
      <c r="AA16" s="32"/>
      <c r="AB16" s="32"/>
    </row>
    <row r="17" spans="1:28" ht="16" hidden="1">
      <c r="A17" s="214">
        <v>12</v>
      </c>
      <c r="B17" s="215" t="s">
        <v>2503</v>
      </c>
      <c r="C17" s="215" t="s">
        <v>35</v>
      </c>
      <c r="D17" s="216">
        <v>46084</v>
      </c>
      <c r="E17" s="133" t="str">
        <f>VLOOKUP($C17,xe!$A:$B,2,0)</f>
        <v>50E-648.73</v>
      </c>
      <c r="F17" s="217" t="str">
        <f>VLOOKUP($B17,ma!$A:$B,2,0)</f>
        <v>NDFC - NAIC BẾN LỨC</v>
      </c>
      <c r="G17" s="218"/>
      <c r="H17" s="218"/>
      <c r="I17" s="219">
        <v>100000</v>
      </c>
      <c r="J17" s="218"/>
      <c r="K17" s="219"/>
      <c r="L17" s="218"/>
      <c r="M17" s="225">
        <v>1</v>
      </c>
      <c r="N17" s="221">
        <f>VLOOKUP($B17,ma!$A:$C,3,0)</f>
        <v>2400000</v>
      </c>
      <c r="O17" s="221">
        <f t="shared" si="0"/>
        <v>2400000</v>
      </c>
      <c r="P17" s="221">
        <f t="shared" si="1"/>
        <v>240000</v>
      </c>
      <c r="Q17" s="201"/>
      <c r="R17" s="201"/>
      <c r="S17" s="201"/>
      <c r="T17" s="201"/>
      <c r="U17" s="201"/>
      <c r="V17" s="32"/>
      <c r="W17" s="32"/>
      <c r="X17" s="32"/>
      <c r="Y17" s="32"/>
      <c r="Z17" s="32"/>
      <c r="AA17" s="32"/>
      <c r="AB17" s="32"/>
    </row>
    <row r="18" spans="1:28" ht="16" hidden="1">
      <c r="A18" s="214">
        <v>13</v>
      </c>
      <c r="B18" s="215" t="s">
        <v>2504</v>
      </c>
      <c r="C18" s="215" t="s">
        <v>37</v>
      </c>
      <c r="D18" s="216">
        <v>46084</v>
      </c>
      <c r="E18" s="109" t="str">
        <f>VLOOKUP($C18,xe!$A:$B,2,0)</f>
        <v>50H-66347</v>
      </c>
      <c r="F18" s="217" t="str">
        <f>VLOOKUP($B18,ma!$A:$B,2,0)</f>
        <v>QUẬN 8 PALLET</v>
      </c>
      <c r="G18" s="218"/>
      <c r="H18" s="218"/>
      <c r="I18" s="219">
        <v>100000</v>
      </c>
      <c r="J18" s="218" t="s">
        <v>1427</v>
      </c>
      <c r="K18" s="219"/>
      <c r="L18" s="218"/>
      <c r="M18" s="227">
        <v>14</v>
      </c>
      <c r="N18" s="221">
        <f>VLOOKUP($B18,ma!$A:$C,3,0)</f>
        <v>200000</v>
      </c>
      <c r="O18" s="221">
        <f t="shared" si="0"/>
        <v>2800000</v>
      </c>
      <c r="P18" s="221">
        <f t="shared" si="1"/>
        <v>280000</v>
      </c>
      <c r="Q18" s="201"/>
      <c r="R18" s="201"/>
      <c r="S18" s="201"/>
      <c r="T18" s="201"/>
      <c r="U18" s="201"/>
      <c r="V18" s="32"/>
      <c r="W18" s="32"/>
      <c r="X18" s="32"/>
      <c r="Y18" s="32"/>
      <c r="Z18" s="32"/>
      <c r="AA18" s="32"/>
      <c r="AB18" s="32"/>
    </row>
    <row r="19" spans="1:28" ht="16" hidden="1">
      <c r="A19" s="214">
        <v>14</v>
      </c>
      <c r="B19" s="215" t="s">
        <v>2505</v>
      </c>
      <c r="C19" s="215" t="s">
        <v>37</v>
      </c>
      <c r="D19" s="216">
        <v>46084</v>
      </c>
      <c r="E19" s="109" t="str">
        <f>VLOOKUP($C19,xe!$A:$B,2,0)</f>
        <v>50H-66347</v>
      </c>
      <c r="F19" s="217" t="str">
        <f>VLOOKUP($B19,ma!$A:$B,2,0)</f>
        <v>GIA HOÀNG TIỀN GIANG PALLET</v>
      </c>
      <c r="G19" s="218"/>
      <c r="H19" s="218"/>
      <c r="I19" s="219">
        <v>100000</v>
      </c>
      <c r="J19" s="218" t="s">
        <v>1427</v>
      </c>
      <c r="K19" s="219"/>
      <c r="L19" s="218"/>
      <c r="M19" s="228">
        <v>14.58</v>
      </c>
      <c r="N19" s="221">
        <f>VLOOKUP($B19,ma!$A:$C,3,0)</f>
        <v>230000</v>
      </c>
      <c r="O19" s="221">
        <f t="shared" si="0"/>
        <v>3353400</v>
      </c>
      <c r="P19" s="221">
        <f t="shared" si="1"/>
        <v>335340</v>
      </c>
      <c r="Q19" s="201"/>
      <c r="R19" s="201"/>
      <c r="S19" s="201"/>
      <c r="T19" s="201"/>
      <c r="U19" s="201"/>
      <c r="V19" s="32"/>
      <c r="W19" s="32"/>
      <c r="X19" s="32"/>
      <c r="Y19" s="32"/>
      <c r="Z19" s="32"/>
      <c r="AA19" s="32"/>
      <c r="AB19" s="32"/>
    </row>
    <row r="20" spans="1:28" ht="16" hidden="1">
      <c r="A20" s="214">
        <v>15</v>
      </c>
      <c r="B20" s="215" t="s">
        <v>2503</v>
      </c>
      <c r="C20" s="215" t="s">
        <v>39</v>
      </c>
      <c r="D20" s="216">
        <v>46084</v>
      </c>
      <c r="E20" s="109" t="str">
        <f>VLOOKUP($C20,xe!$A:$B,2,0)</f>
        <v>50E-654.34</v>
      </c>
      <c r="F20" s="217" t="str">
        <f>VLOOKUP($B20,ma!$A:$B,2,0)</f>
        <v>NDFC - NAIC BẾN LỨC</v>
      </c>
      <c r="G20" s="218"/>
      <c r="H20" s="218"/>
      <c r="I20" s="219">
        <v>100000</v>
      </c>
      <c r="J20" s="218" t="s">
        <v>1427</v>
      </c>
      <c r="K20" s="219"/>
      <c r="L20" s="218"/>
      <c r="M20" s="225">
        <v>1</v>
      </c>
      <c r="N20" s="221">
        <f>VLOOKUP($B20,ma!$A:$C,3,0)</f>
        <v>2400000</v>
      </c>
      <c r="O20" s="221">
        <f t="shared" si="0"/>
        <v>2400000</v>
      </c>
      <c r="P20" s="221">
        <f t="shared" si="1"/>
        <v>240000</v>
      </c>
      <c r="Q20" s="201"/>
      <c r="R20" s="201"/>
      <c r="S20" s="201"/>
      <c r="T20" s="201"/>
      <c r="U20" s="201"/>
      <c r="V20" s="32"/>
      <c r="W20" s="32"/>
      <c r="X20" s="32"/>
      <c r="Y20" s="32"/>
      <c r="Z20" s="32"/>
      <c r="AA20" s="32"/>
      <c r="AB20" s="32"/>
    </row>
    <row r="21" spans="1:28" ht="16" hidden="1">
      <c r="A21" s="214">
        <v>16</v>
      </c>
      <c r="B21" s="215" t="s">
        <v>2503</v>
      </c>
      <c r="C21" s="215" t="s">
        <v>39</v>
      </c>
      <c r="D21" s="216">
        <v>46084</v>
      </c>
      <c r="E21" s="109" t="str">
        <f>VLOOKUP($C21,xe!$A:$B,2,0)</f>
        <v>50E-654.34</v>
      </c>
      <c r="F21" s="217" t="str">
        <f>VLOOKUP($B21,ma!$A:$B,2,0)</f>
        <v>NDFC - NAIC BẾN LỨC</v>
      </c>
      <c r="G21" s="218"/>
      <c r="H21" s="218"/>
      <c r="I21" s="219">
        <v>100000</v>
      </c>
      <c r="J21" s="218" t="s">
        <v>1427</v>
      </c>
      <c r="K21" s="219">
        <v>200000</v>
      </c>
      <c r="L21" s="218" t="s">
        <v>1423</v>
      </c>
      <c r="M21" s="225">
        <v>1</v>
      </c>
      <c r="N21" s="221">
        <f>VLOOKUP($B21,ma!$A:$C,3,0)</f>
        <v>2400000</v>
      </c>
      <c r="O21" s="221">
        <f t="shared" si="0"/>
        <v>2400000</v>
      </c>
      <c r="P21" s="221">
        <f t="shared" si="1"/>
        <v>240000</v>
      </c>
      <c r="Q21" s="201"/>
      <c r="R21" s="201"/>
      <c r="S21" s="201"/>
      <c r="T21" s="201"/>
      <c r="U21" s="201"/>
      <c r="V21" s="32"/>
      <c r="W21" s="32"/>
      <c r="X21" s="32"/>
      <c r="Y21" s="32"/>
      <c r="Z21" s="32"/>
      <c r="AA21" s="32"/>
      <c r="AB21" s="32"/>
    </row>
    <row r="22" spans="1:28" ht="16" hidden="1">
      <c r="A22" s="214">
        <v>17</v>
      </c>
      <c r="B22" s="215" t="s">
        <v>2506</v>
      </c>
      <c r="C22" s="215" t="s">
        <v>41</v>
      </c>
      <c r="D22" s="216">
        <v>46084</v>
      </c>
      <c r="E22" s="109" t="str">
        <f>VLOOKUP($C22,xe!$A:$B,2,0)</f>
        <v>50E-324,01</v>
      </c>
      <c r="F22" s="217" t="str">
        <f>VLOOKUP($B22,ma!$A:$B,2,0)</f>
        <v>TUẤN LỘC Q7 PALLET</v>
      </c>
      <c r="G22" s="218"/>
      <c r="H22" s="218"/>
      <c r="I22" s="219">
        <v>50000</v>
      </c>
      <c r="J22" s="218"/>
      <c r="K22" s="219"/>
      <c r="L22" s="218"/>
      <c r="M22" s="220">
        <v>13.05</v>
      </c>
      <c r="N22" s="221">
        <f>VLOOKUP($B22,ma!$A:$C,3,0)</f>
        <v>200000</v>
      </c>
      <c r="O22" s="221">
        <f t="shared" si="0"/>
        <v>2610000</v>
      </c>
      <c r="P22" s="221">
        <f t="shared" si="1"/>
        <v>261000</v>
      </c>
      <c r="Q22" s="201"/>
      <c r="R22" s="201"/>
      <c r="S22" s="201"/>
      <c r="T22" s="201"/>
      <c r="U22" s="201"/>
      <c r="V22" s="32"/>
      <c r="W22" s="32"/>
      <c r="X22" s="32"/>
      <c r="Y22" s="32"/>
      <c r="Z22" s="32"/>
      <c r="AA22" s="32"/>
      <c r="AB22" s="32"/>
    </row>
    <row r="23" spans="1:28" ht="16" hidden="1">
      <c r="A23" s="214">
        <v>18</v>
      </c>
      <c r="B23" s="215" t="s">
        <v>2506</v>
      </c>
      <c r="C23" s="215" t="s">
        <v>41</v>
      </c>
      <c r="D23" s="216">
        <v>46084</v>
      </c>
      <c r="E23" s="109" t="str">
        <f>VLOOKUP($C23,xe!$A:$B,2,0)</f>
        <v>50E-324,01</v>
      </c>
      <c r="F23" s="217" t="str">
        <f>VLOOKUP($B23,ma!$A:$B,2,0)</f>
        <v>TUẤN LỘC Q7 PALLET</v>
      </c>
      <c r="G23" s="218"/>
      <c r="H23" s="218"/>
      <c r="I23" s="219">
        <v>100000</v>
      </c>
      <c r="J23" s="218"/>
      <c r="K23" s="219"/>
      <c r="L23" s="218"/>
      <c r="M23" s="225">
        <v>12</v>
      </c>
      <c r="N23" s="221">
        <f>VLOOKUP($B23,ma!$A:$C,3,0)</f>
        <v>200000</v>
      </c>
      <c r="O23" s="221">
        <f t="shared" si="0"/>
        <v>2400000</v>
      </c>
      <c r="P23" s="221">
        <f t="shared" si="1"/>
        <v>240000</v>
      </c>
      <c r="Q23" s="201"/>
      <c r="R23" s="201"/>
      <c r="S23" s="201"/>
      <c r="T23" s="201"/>
      <c r="U23" s="201"/>
      <c r="V23" s="32"/>
      <c r="W23" s="32"/>
      <c r="X23" s="32"/>
      <c r="Y23" s="32"/>
      <c r="Z23" s="32"/>
      <c r="AA23" s="32"/>
      <c r="AB23" s="32"/>
    </row>
    <row r="24" spans="1:28" ht="16" hidden="1">
      <c r="A24" s="214">
        <v>19</v>
      </c>
      <c r="B24" s="215" t="s">
        <v>2503</v>
      </c>
      <c r="C24" s="215" t="s">
        <v>43</v>
      </c>
      <c r="D24" s="216">
        <v>46084</v>
      </c>
      <c r="E24" s="109" t="str">
        <f>VLOOKUP($C24,xe!$A:$B,2,0)</f>
        <v>50H-87055</v>
      </c>
      <c r="F24" s="217" t="str">
        <f>VLOOKUP($B24,ma!$A:$B,2,0)</f>
        <v>NDFC - NAIC BẾN LỨC</v>
      </c>
      <c r="G24" s="218"/>
      <c r="H24" s="218"/>
      <c r="I24" s="219">
        <v>100000</v>
      </c>
      <c r="J24" s="218" t="s">
        <v>1427</v>
      </c>
      <c r="K24" s="219"/>
      <c r="L24" s="218"/>
      <c r="M24" s="225">
        <v>1</v>
      </c>
      <c r="N24" s="221">
        <f>VLOOKUP($B24,ma!$A:$C,3,0)</f>
        <v>2400000</v>
      </c>
      <c r="O24" s="221">
        <f t="shared" si="0"/>
        <v>2400000</v>
      </c>
      <c r="P24" s="221">
        <f t="shared" si="1"/>
        <v>240000</v>
      </c>
      <c r="Q24" s="201"/>
      <c r="R24" s="201"/>
      <c r="S24" s="201"/>
      <c r="T24" s="201"/>
      <c r="U24" s="201"/>
      <c r="V24" s="32"/>
      <c r="W24" s="32"/>
      <c r="X24" s="32"/>
      <c r="Y24" s="32"/>
      <c r="Z24" s="32"/>
      <c r="AA24" s="32"/>
      <c r="AB24" s="32"/>
    </row>
    <row r="25" spans="1:28" ht="16" hidden="1">
      <c r="A25" s="214">
        <v>20</v>
      </c>
      <c r="B25" s="215" t="s">
        <v>2503</v>
      </c>
      <c r="C25" s="215" t="s">
        <v>43</v>
      </c>
      <c r="D25" s="216">
        <v>46084</v>
      </c>
      <c r="E25" s="109" t="str">
        <f>VLOOKUP($C25,xe!$A:$B,2,0)</f>
        <v>50H-87055</v>
      </c>
      <c r="F25" s="217" t="str">
        <f>VLOOKUP($B25,ma!$A:$B,2,0)</f>
        <v>NDFC - NAIC BẾN LỨC</v>
      </c>
      <c r="G25" s="218"/>
      <c r="H25" s="218"/>
      <c r="I25" s="219">
        <v>100000</v>
      </c>
      <c r="J25" s="218" t="s">
        <v>1427</v>
      </c>
      <c r="K25" s="219">
        <v>200000</v>
      </c>
      <c r="L25" s="218" t="s">
        <v>1423</v>
      </c>
      <c r="M25" s="225">
        <v>1</v>
      </c>
      <c r="N25" s="221">
        <f>VLOOKUP($B25,ma!$A:$C,3,0)</f>
        <v>2400000</v>
      </c>
      <c r="O25" s="221">
        <f t="shared" si="0"/>
        <v>2400000</v>
      </c>
      <c r="P25" s="221">
        <f t="shared" si="1"/>
        <v>240000</v>
      </c>
      <c r="Q25" s="201"/>
      <c r="R25" s="201"/>
      <c r="S25" s="201"/>
      <c r="T25" s="201"/>
      <c r="U25" s="201"/>
      <c r="V25" s="32"/>
      <c r="W25" s="32"/>
      <c r="X25" s="32"/>
      <c r="Y25" s="32"/>
      <c r="Z25" s="32"/>
      <c r="AA25" s="32"/>
      <c r="AB25" s="32"/>
    </row>
    <row r="26" spans="1:28" ht="16" hidden="1">
      <c r="A26" s="214">
        <v>21</v>
      </c>
      <c r="B26" s="215" t="s">
        <v>126</v>
      </c>
      <c r="C26" s="215" t="s">
        <v>35</v>
      </c>
      <c r="D26" s="216">
        <v>46085</v>
      </c>
      <c r="E26" s="133" t="str">
        <f>VLOOKUP($C26,xe!$A:$B,2,0)</f>
        <v>50E-648.73</v>
      </c>
      <c r="F26" s="217" t="str">
        <f>VLOOKUP($B26,ma!$A:$B,2,0)</f>
        <v>QUẬN 8 XÁ</v>
      </c>
      <c r="G26" s="218"/>
      <c r="H26" s="218"/>
      <c r="I26" s="219">
        <v>250000</v>
      </c>
      <c r="J26" s="218"/>
      <c r="K26" s="219"/>
      <c r="L26" s="218"/>
      <c r="M26" s="220">
        <v>14.2</v>
      </c>
      <c r="N26" s="221">
        <f>VLOOKUP($B26,ma!$A:$C,3,0)</f>
        <v>200000</v>
      </c>
      <c r="O26" s="221">
        <f t="shared" si="0"/>
        <v>2840000</v>
      </c>
      <c r="P26" s="221">
        <f t="shared" si="1"/>
        <v>284000</v>
      </c>
      <c r="Q26" s="201"/>
      <c r="R26" s="201"/>
      <c r="S26" s="201"/>
      <c r="T26" s="201"/>
      <c r="U26" s="201"/>
      <c r="V26" s="32"/>
      <c r="W26" s="32"/>
      <c r="X26" s="32"/>
      <c r="Y26" s="32"/>
      <c r="Z26" s="32"/>
      <c r="AA26" s="32"/>
      <c r="AB26" s="32"/>
    </row>
    <row r="27" spans="1:28" ht="16" hidden="1">
      <c r="A27" s="214">
        <v>22</v>
      </c>
      <c r="B27" s="215" t="s">
        <v>220</v>
      </c>
      <c r="C27" s="215" t="s">
        <v>37</v>
      </c>
      <c r="D27" s="216">
        <v>46085</v>
      </c>
      <c r="E27" s="109" t="str">
        <f>VLOOKUP($C27,xe!$A:$B,2,0)</f>
        <v>50H-66347</v>
      </c>
      <c r="F27" s="217" t="str">
        <f>VLOOKUP($B27,ma!$A:$B,2,0)</f>
        <v>GIA HOÀNG TIỀN GIANG PALLET</v>
      </c>
      <c r="G27" s="218"/>
      <c r="H27" s="218"/>
      <c r="I27" s="219">
        <v>100000</v>
      </c>
      <c r="J27" s="218" t="s">
        <v>1427</v>
      </c>
      <c r="K27" s="219"/>
      <c r="L27" s="218"/>
      <c r="M27" s="222">
        <v>13.75</v>
      </c>
      <c r="N27" s="221">
        <f>VLOOKUP($B27,ma!$A:$C,3,0)</f>
        <v>230000</v>
      </c>
      <c r="O27" s="221">
        <f t="shared" si="0"/>
        <v>3162500</v>
      </c>
      <c r="P27" s="221">
        <f t="shared" si="1"/>
        <v>316250</v>
      </c>
      <c r="Q27" s="201"/>
      <c r="R27" s="201"/>
      <c r="S27" s="201"/>
      <c r="T27" s="201"/>
      <c r="U27" s="201"/>
      <c r="V27" s="32"/>
      <c r="W27" s="32"/>
      <c r="X27" s="32"/>
      <c r="Y27" s="32"/>
      <c r="Z27" s="32"/>
      <c r="AA27" s="32"/>
      <c r="AB27" s="32"/>
    </row>
    <row r="28" spans="1:28" ht="16" hidden="1">
      <c r="A28" s="214">
        <v>23</v>
      </c>
      <c r="B28" s="215" t="s">
        <v>212</v>
      </c>
      <c r="C28" s="215" t="s">
        <v>37</v>
      </c>
      <c r="D28" s="216">
        <v>46085</v>
      </c>
      <c r="E28" s="109" t="str">
        <f>VLOOKUP($C28,xe!$A:$B,2,0)</f>
        <v>50H-66347</v>
      </c>
      <c r="F28" s="217" t="str">
        <f>VLOOKUP($B28,ma!$A:$B,2,0)</f>
        <v>NAIC -UNI</v>
      </c>
      <c r="G28" s="218"/>
      <c r="H28" s="218"/>
      <c r="I28" s="219">
        <v>100000</v>
      </c>
      <c r="J28" s="218" t="s">
        <v>1427</v>
      </c>
      <c r="K28" s="219"/>
      <c r="L28" s="218"/>
      <c r="M28" s="227">
        <v>1</v>
      </c>
      <c r="N28" s="221">
        <f>VLOOKUP($B28,ma!$A:$C,3,0)</f>
        <v>2400000</v>
      </c>
      <c r="O28" s="221">
        <f t="shared" si="0"/>
        <v>2400000</v>
      </c>
      <c r="P28" s="221">
        <f t="shared" si="1"/>
        <v>240000</v>
      </c>
      <c r="Q28" s="201"/>
      <c r="R28" s="201"/>
      <c r="S28" s="201"/>
      <c r="T28" s="201"/>
      <c r="U28" s="201"/>
      <c r="V28" s="32"/>
      <c r="W28" s="32"/>
      <c r="X28" s="32"/>
      <c r="Y28" s="32"/>
      <c r="Z28" s="32"/>
      <c r="AA28" s="32"/>
      <c r="AB28" s="32"/>
    </row>
    <row r="29" spans="1:28" ht="16" hidden="1">
      <c r="A29" s="214">
        <v>24</v>
      </c>
      <c r="B29" s="215" t="s">
        <v>126</v>
      </c>
      <c r="C29" s="215" t="s">
        <v>39</v>
      </c>
      <c r="D29" s="216">
        <v>46085</v>
      </c>
      <c r="E29" s="109" t="str">
        <f>VLOOKUP($C29,xe!$A:$B,2,0)</f>
        <v>50E-654.34</v>
      </c>
      <c r="F29" s="217" t="str">
        <f>VLOOKUP($B29,ma!$A:$B,2,0)</f>
        <v>QUẬN 8 XÁ</v>
      </c>
      <c r="G29" s="218"/>
      <c r="H29" s="218"/>
      <c r="I29" s="219">
        <v>200000</v>
      </c>
      <c r="J29" s="218" t="s">
        <v>1427</v>
      </c>
      <c r="K29" s="219">
        <v>200000</v>
      </c>
      <c r="L29" s="218" t="s">
        <v>2507</v>
      </c>
      <c r="M29" s="225">
        <v>12</v>
      </c>
      <c r="N29" s="221">
        <f>VLOOKUP($B29,ma!$A:$C,3,0)</f>
        <v>200000</v>
      </c>
      <c r="O29" s="221">
        <f t="shared" si="0"/>
        <v>2400000</v>
      </c>
      <c r="P29" s="221">
        <f t="shared" si="1"/>
        <v>240000</v>
      </c>
      <c r="Q29" s="201"/>
      <c r="R29" s="201"/>
      <c r="S29" s="201"/>
      <c r="T29" s="201"/>
      <c r="U29" s="201"/>
      <c r="V29" s="32"/>
      <c r="W29" s="32"/>
      <c r="X29" s="32"/>
      <c r="Y29" s="32"/>
      <c r="Z29" s="32"/>
      <c r="AA29" s="32"/>
      <c r="AB29" s="32"/>
    </row>
    <row r="30" spans="1:28" ht="16" hidden="1">
      <c r="A30" s="214">
        <v>25</v>
      </c>
      <c r="B30" s="215" t="s">
        <v>212</v>
      </c>
      <c r="C30" s="215" t="s">
        <v>39</v>
      </c>
      <c r="D30" s="216">
        <v>46085</v>
      </c>
      <c r="E30" s="109" t="str">
        <f>VLOOKUP($C30,xe!$A:$B,2,0)</f>
        <v>50E-654.34</v>
      </c>
      <c r="F30" s="217" t="str">
        <f>VLOOKUP($B30,ma!$A:$B,2,0)</f>
        <v>NAIC -UNI</v>
      </c>
      <c r="G30" s="218"/>
      <c r="H30" s="218"/>
      <c r="I30" s="219">
        <v>100000</v>
      </c>
      <c r="J30" s="218" t="s">
        <v>1427</v>
      </c>
      <c r="K30" s="219"/>
      <c r="L30" s="218"/>
      <c r="M30" s="225">
        <v>1</v>
      </c>
      <c r="N30" s="221">
        <f>VLOOKUP($B30,ma!$A:$C,3,0)</f>
        <v>2400000</v>
      </c>
      <c r="O30" s="221">
        <f t="shared" si="0"/>
        <v>2400000</v>
      </c>
      <c r="P30" s="221">
        <f t="shared" si="1"/>
        <v>240000</v>
      </c>
      <c r="Q30" s="201"/>
      <c r="R30" s="201"/>
      <c r="S30" s="201"/>
      <c r="T30" s="201"/>
      <c r="U30" s="201"/>
      <c r="V30" s="32"/>
      <c r="W30" s="32"/>
      <c r="X30" s="32"/>
      <c r="Y30" s="32"/>
      <c r="Z30" s="32"/>
      <c r="AA30" s="32"/>
      <c r="AB30" s="32"/>
    </row>
    <row r="31" spans="1:28" ht="16" hidden="1">
      <c r="A31" s="214">
        <v>26</v>
      </c>
      <c r="B31" s="215" t="s">
        <v>156</v>
      </c>
      <c r="C31" s="215" t="s">
        <v>41</v>
      </c>
      <c r="D31" s="216">
        <v>46085</v>
      </c>
      <c r="E31" s="109" t="str">
        <f>VLOOKUP($C31,xe!$A:$B,2,0)</f>
        <v>50E-324,01</v>
      </c>
      <c r="F31" s="217" t="str">
        <f>VLOOKUP($B31,ma!$A:$B,2,0)</f>
        <v>TUẤN LỘC Q7 PALLET</v>
      </c>
      <c r="G31" s="218"/>
      <c r="H31" s="218"/>
      <c r="I31" s="219">
        <v>50000</v>
      </c>
      <c r="J31" s="218"/>
      <c r="K31" s="219"/>
      <c r="L31" s="218"/>
      <c r="M31" s="220">
        <v>12.46</v>
      </c>
      <c r="N31" s="221">
        <f>VLOOKUP($B31,ma!$A:$C,3,0)</f>
        <v>200000</v>
      </c>
      <c r="O31" s="221">
        <f t="shared" si="0"/>
        <v>2492000</v>
      </c>
      <c r="P31" s="221">
        <f t="shared" si="1"/>
        <v>249200</v>
      </c>
      <c r="Q31" s="201"/>
      <c r="R31" s="201"/>
      <c r="S31" s="201"/>
      <c r="T31" s="201"/>
      <c r="U31" s="201"/>
      <c r="V31" s="32"/>
      <c r="W31" s="32"/>
      <c r="X31" s="32"/>
      <c r="Y31" s="32"/>
      <c r="Z31" s="32"/>
      <c r="AA31" s="32"/>
      <c r="AB31" s="32"/>
    </row>
    <row r="32" spans="1:28" ht="16" hidden="1">
      <c r="A32" s="214">
        <v>27</v>
      </c>
      <c r="B32" s="215" t="s">
        <v>156</v>
      </c>
      <c r="C32" s="215" t="s">
        <v>41</v>
      </c>
      <c r="D32" s="216">
        <v>46085</v>
      </c>
      <c r="E32" s="109" t="str">
        <f>VLOOKUP($C32,xe!$A:$B,2,0)</f>
        <v>50E-324,01</v>
      </c>
      <c r="F32" s="217" t="str">
        <f>VLOOKUP($B32,ma!$A:$B,2,0)</f>
        <v>TUẤN LỘC Q7 PALLET</v>
      </c>
      <c r="G32" s="218"/>
      <c r="H32" s="218"/>
      <c r="I32" s="219">
        <v>100000</v>
      </c>
      <c r="J32" s="218"/>
      <c r="K32" s="219"/>
      <c r="L32" s="218"/>
      <c r="M32" s="220">
        <v>12</v>
      </c>
      <c r="N32" s="221">
        <f>VLOOKUP($B32,ma!$A:$C,3,0)</f>
        <v>200000</v>
      </c>
      <c r="O32" s="221">
        <f t="shared" si="0"/>
        <v>2400000</v>
      </c>
      <c r="P32" s="221">
        <f t="shared" si="1"/>
        <v>240000</v>
      </c>
      <c r="Q32" s="201"/>
      <c r="R32" s="201"/>
      <c r="S32" s="201"/>
      <c r="T32" s="201"/>
      <c r="U32" s="201"/>
      <c r="V32" s="32"/>
      <c r="W32" s="32"/>
      <c r="X32" s="32"/>
      <c r="Y32" s="32"/>
      <c r="Z32" s="32"/>
      <c r="AA32" s="32"/>
      <c r="AB32" s="32"/>
    </row>
    <row r="33" spans="1:28" ht="16" hidden="1">
      <c r="A33" s="214">
        <v>28</v>
      </c>
      <c r="B33" s="215" t="s">
        <v>228</v>
      </c>
      <c r="C33" s="215" t="s">
        <v>41</v>
      </c>
      <c r="D33" s="216">
        <v>46085</v>
      </c>
      <c r="E33" s="109" t="str">
        <f>VLOOKUP($C33,xe!$A:$B,2,0)</f>
        <v>50E-324,01</v>
      </c>
      <c r="F33" s="217" t="str">
        <f>VLOOKUP($B33,ma!$A:$B,2,0)</f>
        <v>THẮNG THOA PHƯƠNG LÂM</v>
      </c>
      <c r="G33" s="218"/>
      <c r="H33" s="218"/>
      <c r="I33" s="219">
        <v>100000</v>
      </c>
      <c r="J33" s="218"/>
      <c r="K33" s="219"/>
      <c r="L33" s="218"/>
      <c r="M33" s="220">
        <v>12</v>
      </c>
      <c r="N33" s="221">
        <f>VLOOKUP($B33,ma!$A:$C,3,0)</f>
        <v>300000</v>
      </c>
      <c r="O33" s="221">
        <f t="shared" si="0"/>
        <v>3600000</v>
      </c>
      <c r="P33" s="221">
        <f t="shared" si="1"/>
        <v>360000</v>
      </c>
      <c r="Q33" s="201"/>
      <c r="R33" s="201"/>
      <c r="S33" s="201"/>
      <c r="T33" s="201"/>
      <c r="U33" s="201"/>
      <c r="V33" s="32"/>
      <c r="W33" s="32"/>
      <c r="X33" s="32"/>
      <c r="Y33" s="32"/>
      <c r="Z33" s="32"/>
      <c r="AA33" s="32"/>
      <c r="AB33" s="32"/>
    </row>
    <row r="34" spans="1:28" ht="16" hidden="1">
      <c r="A34" s="214">
        <v>29</v>
      </c>
      <c r="B34" s="215" t="s">
        <v>156</v>
      </c>
      <c r="C34" s="215" t="s">
        <v>43</v>
      </c>
      <c r="D34" s="216">
        <v>46085</v>
      </c>
      <c r="E34" s="109" t="str">
        <f>VLOOKUP($C34,xe!$A:$B,2,0)</f>
        <v>50H-87055</v>
      </c>
      <c r="F34" s="217" t="str">
        <f>VLOOKUP($B34,ma!$A:$B,2,0)</f>
        <v>TUẤN LỘC Q7 PALLET</v>
      </c>
      <c r="G34" s="218"/>
      <c r="H34" s="218"/>
      <c r="I34" s="219">
        <v>100000</v>
      </c>
      <c r="J34" s="218" t="s">
        <v>1427</v>
      </c>
      <c r="K34" s="219">
        <v>50000</v>
      </c>
      <c r="L34" s="218" t="s">
        <v>2508</v>
      </c>
      <c r="M34" s="229">
        <v>12</v>
      </c>
      <c r="N34" s="221">
        <f>VLOOKUP($B34,ma!$A:$C,3,0)</f>
        <v>200000</v>
      </c>
      <c r="O34" s="221">
        <f t="shared" si="0"/>
        <v>2400000</v>
      </c>
      <c r="P34" s="221">
        <f t="shared" si="1"/>
        <v>240000</v>
      </c>
      <c r="Q34" s="201"/>
      <c r="R34" s="201"/>
      <c r="S34" s="201"/>
      <c r="T34" s="201"/>
      <c r="U34" s="201"/>
      <c r="V34" s="32"/>
      <c r="W34" s="32"/>
      <c r="X34" s="32"/>
      <c r="Y34" s="32"/>
      <c r="Z34" s="32"/>
      <c r="AA34" s="32"/>
      <c r="AB34" s="32"/>
    </row>
    <row r="35" spans="1:28" ht="16" hidden="1">
      <c r="A35" s="214">
        <v>30</v>
      </c>
      <c r="B35" s="215" t="s">
        <v>212</v>
      </c>
      <c r="C35" s="215" t="s">
        <v>43</v>
      </c>
      <c r="D35" s="216">
        <v>46085</v>
      </c>
      <c r="E35" s="109" t="str">
        <f>VLOOKUP($C35,xe!$A:$B,2,0)</f>
        <v>50H-87055</v>
      </c>
      <c r="F35" s="217" t="str">
        <f>VLOOKUP($B35,ma!$A:$B,2,0)</f>
        <v>NAIC -UNI</v>
      </c>
      <c r="G35" s="218"/>
      <c r="H35" s="218"/>
      <c r="I35" s="219">
        <v>100000</v>
      </c>
      <c r="J35" s="218" t="s">
        <v>1427</v>
      </c>
      <c r="K35" s="219"/>
      <c r="L35" s="218"/>
      <c r="M35" s="225">
        <v>1</v>
      </c>
      <c r="N35" s="221">
        <f>VLOOKUP($B35,ma!$A:$C,3,0)</f>
        <v>2400000</v>
      </c>
      <c r="O35" s="221">
        <f t="shared" si="0"/>
        <v>2400000</v>
      </c>
      <c r="P35" s="221">
        <f t="shared" si="1"/>
        <v>240000</v>
      </c>
      <c r="Q35" s="201"/>
      <c r="R35" s="201"/>
      <c r="S35" s="201"/>
      <c r="T35" s="201"/>
      <c r="U35" s="201"/>
      <c r="V35" s="32"/>
      <c r="W35" s="32"/>
      <c r="X35" s="32"/>
      <c r="Y35" s="32"/>
      <c r="Z35" s="32"/>
      <c r="AA35" s="32"/>
      <c r="AB35" s="32"/>
    </row>
    <row r="36" spans="1:28" ht="16" hidden="1">
      <c r="A36" s="214">
        <v>31</v>
      </c>
      <c r="B36" s="215" t="s">
        <v>2509</v>
      </c>
      <c r="C36" s="215" t="s">
        <v>35</v>
      </c>
      <c r="D36" s="216">
        <v>46086</v>
      </c>
      <c r="E36" s="133" t="str">
        <f>VLOOKUP($C36,xe!$A:$B,2,0)</f>
        <v>50E-648.73</v>
      </c>
      <c r="F36" s="217" t="str">
        <f>VLOOKUP($B36,ma!$A:$B,2,0)</f>
        <v>NAIC -UNI</v>
      </c>
      <c r="G36" s="218"/>
      <c r="H36" s="218"/>
      <c r="I36" s="219">
        <v>100000</v>
      </c>
      <c r="J36" s="218"/>
      <c r="K36" s="219"/>
      <c r="L36" s="218"/>
      <c r="M36" s="225">
        <v>1</v>
      </c>
      <c r="N36" s="221">
        <f>VLOOKUP($B36,ma!$A:$C,3,0)</f>
        <v>2400000</v>
      </c>
      <c r="O36" s="221">
        <f t="shared" si="0"/>
        <v>2400000</v>
      </c>
      <c r="P36" s="221">
        <f t="shared" si="1"/>
        <v>240000</v>
      </c>
      <c r="Q36" s="201"/>
      <c r="R36" s="201"/>
      <c r="S36" s="201"/>
      <c r="T36" s="201"/>
      <c r="U36" s="201"/>
      <c r="V36" s="32"/>
      <c r="W36" s="32"/>
      <c r="X36" s="32"/>
      <c r="Y36" s="32"/>
      <c r="Z36" s="32"/>
      <c r="AA36" s="32"/>
      <c r="AB36" s="32"/>
    </row>
    <row r="37" spans="1:28" ht="16" hidden="1">
      <c r="A37" s="214">
        <v>32</v>
      </c>
      <c r="B37" s="215" t="s">
        <v>2509</v>
      </c>
      <c r="C37" s="215" t="s">
        <v>35</v>
      </c>
      <c r="D37" s="216">
        <v>46086</v>
      </c>
      <c r="E37" s="133" t="str">
        <f>VLOOKUP($C37,xe!$A:$B,2,0)</f>
        <v>50E-648.73</v>
      </c>
      <c r="F37" s="217" t="str">
        <f>VLOOKUP($B37,ma!$A:$B,2,0)</f>
        <v>NAIC -UNI</v>
      </c>
      <c r="G37" s="218"/>
      <c r="H37" s="218"/>
      <c r="I37" s="219">
        <v>100000</v>
      </c>
      <c r="J37" s="218"/>
      <c r="K37" s="219"/>
      <c r="L37" s="218"/>
      <c r="M37" s="225">
        <v>1</v>
      </c>
      <c r="N37" s="221">
        <f>VLOOKUP($B37,ma!$A:$C,3,0)</f>
        <v>2400000</v>
      </c>
      <c r="O37" s="221">
        <f t="shared" si="0"/>
        <v>2400000</v>
      </c>
      <c r="P37" s="221">
        <f t="shared" si="1"/>
        <v>240000</v>
      </c>
      <c r="Q37" s="201"/>
      <c r="R37" s="201"/>
      <c r="S37" s="201"/>
      <c r="T37" s="201"/>
      <c r="U37" s="201"/>
      <c r="V37" s="32"/>
      <c r="W37" s="32"/>
      <c r="X37" s="32"/>
      <c r="Y37" s="32"/>
      <c r="Z37" s="32"/>
      <c r="AA37" s="32"/>
      <c r="AB37" s="32"/>
    </row>
    <row r="38" spans="1:28" ht="16" hidden="1">
      <c r="A38" s="214">
        <v>33</v>
      </c>
      <c r="B38" s="215" t="s">
        <v>2506</v>
      </c>
      <c r="C38" s="215" t="s">
        <v>37</v>
      </c>
      <c r="D38" s="216">
        <v>46086</v>
      </c>
      <c r="E38" s="109" t="str">
        <f>VLOOKUP($C38,xe!$A:$B,2,0)</f>
        <v>50H-66347</v>
      </c>
      <c r="F38" s="217" t="str">
        <f>VLOOKUP($B38,ma!$A:$B,2,0)</f>
        <v>TUẤN LỘC Q7 PALLET</v>
      </c>
      <c r="G38" s="218"/>
      <c r="H38" s="218"/>
      <c r="I38" s="219">
        <v>50000</v>
      </c>
      <c r="J38" s="218" t="s">
        <v>1427</v>
      </c>
      <c r="K38" s="219">
        <v>100000</v>
      </c>
      <c r="L38" s="218" t="s">
        <v>2510</v>
      </c>
      <c r="M38" s="228">
        <v>12.46</v>
      </c>
      <c r="N38" s="221">
        <f>VLOOKUP($B38,ma!$A:$C,3,0)</f>
        <v>200000</v>
      </c>
      <c r="O38" s="221">
        <f t="shared" si="0"/>
        <v>2492000</v>
      </c>
      <c r="P38" s="221">
        <f t="shared" si="1"/>
        <v>249200</v>
      </c>
      <c r="Q38" s="201"/>
      <c r="R38" s="201"/>
      <c r="S38" s="201"/>
      <c r="T38" s="201"/>
      <c r="U38" s="201"/>
      <c r="V38" s="32"/>
      <c r="W38" s="32"/>
      <c r="X38" s="32"/>
      <c r="Y38" s="32"/>
      <c r="Z38" s="32"/>
      <c r="AA38" s="32"/>
      <c r="AB38" s="32"/>
    </row>
    <row r="39" spans="1:28" ht="16" hidden="1">
      <c r="A39" s="214">
        <v>34</v>
      </c>
      <c r="B39" s="215" t="s">
        <v>2506</v>
      </c>
      <c r="C39" s="215" t="s">
        <v>37</v>
      </c>
      <c r="D39" s="216">
        <v>46086</v>
      </c>
      <c r="E39" s="109" t="str">
        <f>VLOOKUP($C39,xe!$A:$B,2,0)</f>
        <v>50H-66347</v>
      </c>
      <c r="F39" s="217" t="str">
        <f>VLOOKUP($B39,ma!$A:$B,2,0)</f>
        <v>TUẤN LỘC Q7 PALLET</v>
      </c>
      <c r="G39" s="218"/>
      <c r="H39" s="218"/>
      <c r="I39" s="219">
        <v>100000</v>
      </c>
      <c r="J39" s="218" t="s">
        <v>1427</v>
      </c>
      <c r="K39" s="219"/>
      <c r="L39" s="218"/>
      <c r="M39" s="222">
        <v>14.1</v>
      </c>
      <c r="N39" s="221">
        <f>VLOOKUP($B39,ma!$A:$C,3,0)</f>
        <v>200000</v>
      </c>
      <c r="O39" s="221">
        <f t="shared" si="0"/>
        <v>2820000</v>
      </c>
      <c r="P39" s="221">
        <f t="shared" si="1"/>
        <v>282000</v>
      </c>
      <c r="Q39" s="201"/>
      <c r="R39" s="201"/>
      <c r="S39" s="201"/>
      <c r="T39" s="201"/>
      <c r="U39" s="201"/>
      <c r="V39" s="32"/>
      <c r="W39" s="32"/>
      <c r="X39" s="32"/>
      <c r="Y39" s="32"/>
      <c r="Z39" s="32"/>
      <c r="AA39" s="32"/>
      <c r="AB39" s="32"/>
    </row>
    <row r="40" spans="1:28" ht="16" hidden="1">
      <c r="A40" s="214">
        <v>35</v>
      </c>
      <c r="B40" s="215" t="s">
        <v>2511</v>
      </c>
      <c r="C40" s="215" t="s">
        <v>39</v>
      </c>
      <c r="D40" s="216">
        <v>46086</v>
      </c>
      <c r="E40" s="109" t="str">
        <f>VLOOKUP($C40,xe!$A:$B,2,0)</f>
        <v>50E-654.34</v>
      </c>
      <c r="F40" s="217" t="str">
        <f>VLOOKUP($B40,ma!$A:$B,2,0)</f>
        <v>LONG KHÁNH XÁ</v>
      </c>
      <c r="G40" s="218"/>
      <c r="H40" s="218"/>
      <c r="I40" s="219">
        <v>200000</v>
      </c>
      <c r="J40" s="218" t="s">
        <v>1427</v>
      </c>
      <c r="K40" s="219"/>
      <c r="L40" s="218"/>
      <c r="M40" s="220">
        <v>15.35</v>
      </c>
      <c r="N40" s="221">
        <f>VLOOKUP($B40,ma!$A:$C,3,0)</f>
        <v>244000</v>
      </c>
      <c r="O40" s="221">
        <f t="shared" si="0"/>
        <v>3745400</v>
      </c>
      <c r="P40" s="221">
        <f t="shared" si="1"/>
        <v>374540</v>
      </c>
      <c r="Q40" s="201"/>
      <c r="R40" s="201"/>
      <c r="S40" s="201"/>
      <c r="T40" s="201"/>
      <c r="U40" s="201"/>
      <c r="V40" s="32"/>
      <c r="W40" s="32"/>
      <c r="X40" s="32"/>
      <c r="Y40" s="32"/>
      <c r="Z40" s="32"/>
      <c r="AA40" s="32"/>
      <c r="AB40" s="32"/>
    </row>
    <row r="41" spans="1:28" ht="16" hidden="1">
      <c r="A41" s="214">
        <v>36</v>
      </c>
      <c r="B41" s="215" t="s">
        <v>2509</v>
      </c>
      <c r="C41" s="215" t="s">
        <v>41</v>
      </c>
      <c r="D41" s="216">
        <v>46086</v>
      </c>
      <c r="E41" s="109" t="str">
        <f>VLOOKUP($C41,xe!$A:$B,2,0)</f>
        <v>50E-324,01</v>
      </c>
      <c r="F41" s="217" t="str">
        <f>VLOOKUP($B41,ma!$A:$B,2,0)</f>
        <v>NAIC -UNI</v>
      </c>
      <c r="G41" s="218"/>
      <c r="H41" s="218"/>
      <c r="I41" s="219">
        <v>100000</v>
      </c>
      <c r="J41" s="218"/>
      <c r="K41" s="219"/>
      <c r="L41" s="218"/>
      <c r="M41" s="225">
        <v>1</v>
      </c>
      <c r="N41" s="221">
        <f>VLOOKUP($B41,ma!$A:$C,3,0)</f>
        <v>2400000</v>
      </c>
      <c r="O41" s="221">
        <f t="shared" si="0"/>
        <v>2400000</v>
      </c>
      <c r="P41" s="221">
        <f t="shared" si="1"/>
        <v>240000</v>
      </c>
      <c r="Q41" s="201"/>
      <c r="R41" s="201"/>
      <c r="S41" s="201"/>
      <c r="T41" s="201"/>
      <c r="U41" s="201"/>
      <c r="V41" s="32"/>
      <c r="W41" s="32"/>
      <c r="X41" s="32"/>
      <c r="Y41" s="32"/>
      <c r="Z41" s="32"/>
      <c r="AA41" s="32"/>
      <c r="AB41" s="32"/>
    </row>
    <row r="42" spans="1:28" ht="16" hidden="1">
      <c r="A42" s="214">
        <v>37</v>
      </c>
      <c r="B42" s="215" t="s">
        <v>2512</v>
      </c>
      <c r="C42" s="215" t="s">
        <v>43</v>
      </c>
      <c r="D42" s="216">
        <v>46086</v>
      </c>
      <c r="E42" s="109" t="str">
        <f>VLOOKUP($C42,xe!$A:$B,2,0)</f>
        <v>50H-87055</v>
      </c>
      <c r="F42" s="217" t="str">
        <f>VLOOKUP($B42,ma!$A:$B,2,0)</f>
        <v>QUẬN 8 XÁ</v>
      </c>
      <c r="G42" s="218"/>
      <c r="H42" s="218"/>
      <c r="I42" s="219">
        <v>250000</v>
      </c>
      <c r="J42" s="218" t="s">
        <v>1427</v>
      </c>
      <c r="K42" s="219"/>
      <c r="L42" s="218"/>
      <c r="M42" s="224">
        <v>15.54</v>
      </c>
      <c r="N42" s="221">
        <f>VLOOKUP($B42,ma!$A:$C,3,0)</f>
        <v>200000</v>
      </c>
      <c r="O42" s="221">
        <f t="shared" si="0"/>
        <v>3108000</v>
      </c>
      <c r="P42" s="221">
        <f t="shared" si="1"/>
        <v>310800</v>
      </c>
      <c r="Q42" s="201"/>
      <c r="R42" s="201"/>
      <c r="S42" s="201"/>
      <c r="T42" s="201"/>
      <c r="U42" s="201"/>
      <c r="V42" s="32"/>
      <c r="W42" s="32"/>
      <c r="X42" s="32"/>
      <c r="Y42" s="32"/>
      <c r="Z42" s="32"/>
      <c r="AA42" s="32"/>
      <c r="AB42" s="32"/>
    </row>
    <row r="43" spans="1:28" ht="16" hidden="1">
      <c r="A43" s="214">
        <v>38</v>
      </c>
      <c r="B43" s="215" t="s">
        <v>2513</v>
      </c>
      <c r="C43" s="215" t="s">
        <v>35</v>
      </c>
      <c r="D43" s="216">
        <v>46087</v>
      </c>
      <c r="E43" s="133" t="str">
        <f>VLOOKUP($C43,xe!$A:$B,2,0)</f>
        <v>50E-648.73</v>
      </c>
      <c r="F43" s="217" t="str">
        <f>VLOOKUP($B43,ma!$A:$B,2,0)</f>
        <v>PHẠM ANH QUẬN 6 PALLET</v>
      </c>
      <c r="G43" s="218"/>
      <c r="H43" s="218"/>
      <c r="I43" s="219">
        <v>130000</v>
      </c>
      <c r="J43" s="218"/>
      <c r="K43" s="219"/>
      <c r="L43" s="218"/>
      <c r="M43" s="220">
        <v>12.89</v>
      </c>
      <c r="N43" s="221">
        <f>VLOOKUP($B43,ma!$A:$C,3,0)</f>
        <v>200000</v>
      </c>
      <c r="O43" s="221">
        <f t="shared" si="0"/>
        <v>2578000</v>
      </c>
      <c r="P43" s="221">
        <f t="shared" si="1"/>
        <v>257800</v>
      </c>
      <c r="Q43" s="201"/>
      <c r="R43" s="201"/>
      <c r="S43" s="201"/>
      <c r="T43" s="201"/>
      <c r="U43" s="201"/>
      <c r="V43" s="32"/>
      <c r="W43" s="32"/>
      <c r="X43" s="32"/>
      <c r="Y43" s="32"/>
      <c r="Z43" s="32"/>
      <c r="AA43" s="32"/>
      <c r="AB43" s="32"/>
    </row>
    <row r="44" spans="1:28" ht="16" hidden="1">
      <c r="A44" s="214">
        <v>39</v>
      </c>
      <c r="B44" s="215" t="s">
        <v>178</v>
      </c>
      <c r="C44" s="215" t="s">
        <v>35</v>
      </c>
      <c r="D44" s="216">
        <v>46087</v>
      </c>
      <c r="E44" s="133" t="str">
        <f>VLOOKUP($C44,xe!$A:$B,2,0)</f>
        <v>50E-648.73</v>
      </c>
      <c r="F44" s="217" t="str">
        <f>VLOOKUP($B44,ma!$A:$B,2,0)</f>
        <v>MIFA TÂN TẠO</v>
      </c>
      <c r="G44" s="218"/>
      <c r="H44" s="218"/>
      <c r="I44" s="219">
        <v>200000</v>
      </c>
      <c r="J44" s="218"/>
      <c r="K44" s="219"/>
      <c r="L44" s="218"/>
      <c r="M44" s="220">
        <v>10.11</v>
      </c>
      <c r="N44" s="221">
        <f>VLOOKUP($B44,ma!$A:$C,3,0)</f>
        <v>200000</v>
      </c>
      <c r="O44" s="221">
        <f t="shared" si="0"/>
        <v>2022000</v>
      </c>
      <c r="P44" s="221">
        <f t="shared" si="1"/>
        <v>202200</v>
      </c>
      <c r="Q44" s="201"/>
      <c r="R44" s="201"/>
      <c r="S44" s="201"/>
      <c r="T44" s="201"/>
      <c r="U44" s="201"/>
      <c r="V44" s="32"/>
      <c r="W44" s="32"/>
      <c r="X44" s="32"/>
      <c r="Y44" s="32"/>
      <c r="Z44" s="32"/>
      <c r="AA44" s="32"/>
      <c r="AB44" s="32"/>
    </row>
    <row r="45" spans="1:28" ht="16" hidden="1">
      <c r="A45" s="214">
        <v>40</v>
      </c>
      <c r="B45" s="215" t="s">
        <v>2513</v>
      </c>
      <c r="C45" s="215" t="s">
        <v>37</v>
      </c>
      <c r="D45" s="216">
        <v>46087</v>
      </c>
      <c r="E45" s="109" t="str">
        <f>VLOOKUP($C45,xe!$A:$B,2,0)</f>
        <v>50H-66347</v>
      </c>
      <c r="F45" s="217" t="str">
        <f>VLOOKUP($B45,ma!$A:$B,2,0)</f>
        <v>PHẠM ANH QUẬN 6 PALLET</v>
      </c>
      <c r="G45" s="218"/>
      <c r="H45" s="218"/>
      <c r="I45" s="219">
        <v>250000</v>
      </c>
      <c r="J45" s="218" t="s">
        <v>1427</v>
      </c>
      <c r="K45" s="219"/>
      <c r="L45" s="218"/>
      <c r="M45" s="222">
        <v>12.72</v>
      </c>
      <c r="N45" s="221">
        <f>VLOOKUP($B45,ma!$A:$C,3,0)</f>
        <v>200000</v>
      </c>
      <c r="O45" s="221">
        <f t="shared" si="0"/>
        <v>2544000</v>
      </c>
      <c r="P45" s="221">
        <f t="shared" si="1"/>
        <v>254400</v>
      </c>
      <c r="Q45" s="201"/>
      <c r="R45" s="201"/>
      <c r="S45" s="201"/>
      <c r="T45" s="201"/>
      <c r="U45" s="201"/>
      <c r="V45" s="32"/>
      <c r="W45" s="32"/>
      <c r="X45" s="32"/>
      <c r="Y45" s="32"/>
      <c r="Z45" s="32"/>
      <c r="AA45" s="32"/>
      <c r="AB45" s="32"/>
    </row>
    <row r="46" spans="1:28" ht="16" hidden="1">
      <c r="A46" s="214">
        <v>41</v>
      </c>
      <c r="B46" s="215" t="s">
        <v>2512</v>
      </c>
      <c r="C46" s="215" t="s">
        <v>37</v>
      </c>
      <c r="D46" s="216">
        <v>46087</v>
      </c>
      <c r="E46" s="109" t="str">
        <f>VLOOKUP($C46,xe!$A:$B,2,0)</f>
        <v>50H-66347</v>
      </c>
      <c r="F46" s="217" t="str">
        <f>VLOOKUP($B46,ma!$A:$B,2,0)</f>
        <v>QUẬN 8 XÁ</v>
      </c>
      <c r="G46" s="218"/>
      <c r="H46" s="218"/>
      <c r="I46" s="219">
        <v>250000</v>
      </c>
      <c r="J46" s="218" t="s">
        <v>1427</v>
      </c>
      <c r="K46" s="219"/>
      <c r="L46" s="218"/>
      <c r="M46" s="222">
        <v>15.1</v>
      </c>
      <c r="N46" s="221">
        <f>VLOOKUP($B46,ma!$A:$C,3,0)</f>
        <v>200000</v>
      </c>
      <c r="O46" s="221">
        <f t="shared" si="0"/>
        <v>3020000</v>
      </c>
      <c r="P46" s="221">
        <f t="shared" si="1"/>
        <v>302000</v>
      </c>
      <c r="Q46" s="201"/>
      <c r="R46" s="201"/>
      <c r="S46" s="201"/>
      <c r="T46" s="201"/>
      <c r="U46" s="201"/>
      <c r="V46" s="32"/>
      <c r="W46" s="32"/>
      <c r="X46" s="32"/>
      <c r="Y46" s="32"/>
      <c r="Z46" s="32"/>
      <c r="AA46" s="32"/>
      <c r="AB46" s="32"/>
    </row>
    <row r="47" spans="1:28" ht="16" hidden="1">
      <c r="A47" s="214">
        <v>42</v>
      </c>
      <c r="B47" s="215" t="s">
        <v>2503</v>
      </c>
      <c r="C47" s="215" t="s">
        <v>39</v>
      </c>
      <c r="D47" s="216">
        <v>46087</v>
      </c>
      <c r="E47" s="109" t="str">
        <f>VLOOKUP($C47,xe!$A:$B,2,0)</f>
        <v>50E-654.34</v>
      </c>
      <c r="F47" s="217" t="str">
        <f>VLOOKUP($B47,ma!$A:$B,2,0)</f>
        <v>NDFC - NAIC BẾN LỨC</v>
      </c>
      <c r="G47" s="218"/>
      <c r="H47" s="218"/>
      <c r="I47" s="219">
        <v>100000</v>
      </c>
      <c r="J47" s="218" t="s">
        <v>1427</v>
      </c>
      <c r="K47" s="219"/>
      <c r="L47" s="218"/>
      <c r="M47" s="225">
        <v>1</v>
      </c>
      <c r="N47" s="221">
        <f>VLOOKUP($B47,ma!$A:$C,3,0)</f>
        <v>2400000</v>
      </c>
      <c r="O47" s="221">
        <f t="shared" si="0"/>
        <v>2400000</v>
      </c>
      <c r="P47" s="221">
        <f t="shared" si="1"/>
        <v>240000</v>
      </c>
      <c r="Q47" s="201"/>
      <c r="R47" s="201"/>
      <c r="S47" s="201"/>
      <c r="T47" s="201"/>
      <c r="U47" s="201"/>
      <c r="V47" s="32"/>
      <c r="W47" s="32"/>
      <c r="X47" s="32"/>
      <c r="Y47" s="32"/>
      <c r="Z47" s="32"/>
      <c r="AA47" s="32"/>
      <c r="AB47" s="32"/>
    </row>
    <row r="48" spans="1:28" ht="16" hidden="1">
      <c r="A48" s="214">
        <v>43</v>
      </c>
      <c r="B48" s="215" t="s">
        <v>2509</v>
      </c>
      <c r="C48" s="215" t="s">
        <v>39</v>
      </c>
      <c r="D48" s="216">
        <v>46087</v>
      </c>
      <c r="E48" s="109" t="str">
        <f>VLOOKUP($C48,xe!$A:$B,2,0)</f>
        <v>50E-654.34</v>
      </c>
      <c r="F48" s="217" t="str">
        <f>VLOOKUP($B48,ma!$A:$B,2,0)</f>
        <v>NAIC -UNI</v>
      </c>
      <c r="G48" s="218"/>
      <c r="H48" s="218"/>
      <c r="I48" s="219">
        <v>100000</v>
      </c>
      <c r="J48" s="218" t="s">
        <v>1427</v>
      </c>
      <c r="K48" s="219"/>
      <c r="L48" s="218"/>
      <c r="M48" s="225">
        <v>1</v>
      </c>
      <c r="N48" s="221">
        <f>VLOOKUP($B48,ma!$A:$C,3,0)</f>
        <v>2400000</v>
      </c>
      <c r="O48" s="221">
        <f t="shared" si="0"/>
        <v>2400000</v>
      </c>
      <c r="P48" s="221">
        <f t="shared" si="1"/>
        <v>240000</v>
      </c>
      <c r="Q48" s="201"/>
      <c r="R48" s="201"/>
      <c r="S48" s="201"/>
      <c r="T48" s="201"/>
      <c r="U48" s="201"/>
      <c r="V48" s="32"/>
      <c r="W48" s="32"/>
      <c r="X48" s="32"/>
      <c r="Y48" s="32"/>
      <c r="Z48" s="32"/>
      <c r="AA48" s="32"/>
      <c r="AB48" s="32"/>
    </row>
    <row r="49" spans="1:28" ht="16" hidden="1">
      <c r="A49" s="214">
        <v>44</v>
      </c>
      <c r="B49" s="215" t="s">
        <v>2514</v>
      </c>
      <c r="C49" s="215" t="s">
        <v>39</v>
      </c>
      <c r="D49" s="216">
        <v>46087</v>
      </c>
      <c r="E49" s="109" t="str">
        <f>VLOOKUP($C49,xe!$A:$B,2,0)</f>
        <v>50E-654.34</v>
      </c>
      <c r="F49" s="217" t="str">
        <f>VLOOKUP($B49,ma!$A:$B,2,0)</f>
        <v>ÚT GIAO LONG AN</v>
      </c>
      <c r="G49" s="218"/>
      <c r="H49" s="218"/>
      <c r="I49" s="219">
        <v>250000</v>
      </c>
      <c r="J49" s="218" t="s">
        <v>1427</v>
      </c>
      <c r="K49" s="219"/>
      <c r="L49" s="218"/>
      <c r="M49" s="220">
        <v>14.49</v>
      </c>
      <c r="N49" s="221">
        <f>VLOOKUP($B49,ma!$A:$C,3,0)</f>
        <v>212000</v>
      </c>
      <c r="O49" s="221">
        <f t="shared" si="0"/>
        <v>3071880</v>
      </c>
      <c r="P49" s="221">
        <f t="shared" si="1"/>
        <v>307188</v>
      </c>
      <c r="Q49" s="201"/>
      <c r="R49" s="201"/>
      <c r="S49" s="201"/>
      <c r="T49" s="201"/>
      <c r="U49" s="201"/>
      <c r="V49" s="32"/>
      <c r="W49" s="32"/>
      <c r="X49" s="32"/>
      <c r="Y49" s="32"/>
      <c r="Z49" s="32"/>
      <c r="AA49" s="32"/>
      <c r="AB49" s="32"/>
    </row>
    <row r="50" spans="1:28" ht="16" hidden="1">
      <c r="A50" s="214">
        <v>45</v>
      </c>
      <c r="B50" s="215" t="s">
        <v>2506</v>
      </c>
      <c r="C50" s="215" t="s">
        <v>41</v>
      </c>
      <c r="D50" s="216">
        <v>46087</v>
      </c>
      <c r="E50" s="109" t="str">
        <f>VLOOKUP($C50,xe!$A:$B,2,0)</f>
        <v>50E-324,01</v>
      </c>
      <c r="F50" s="217" t="str">
        <f>VLOOKUP($B50,ma!$A:$B,2,0)</f>
        <v>TUẤN LỘC Q7 PALLET</v>
      </c>
      <c r="G50" s="218"/>
      <c r="H50" s="218"/>
      <c r="I50" s="219">
        <v>50000</v>
      </c>
      <c r="J50" s="218"/>
      <c r="K50" s="219"/>
      <c r="L50" s="218"/>
      <c r="M50" s="220">
        <v>13.21</v>
      </c>
      <c r="N50" s="221">
        <f>VLOOKUP($B50,ma!$A:$C,3,0)</f>
        <v>200000</v>
      </c>
      <c r="O50" s="221">
        <f t="shared" si="0"/>
        <v>2642000</v>
      </c>
      <c r="P50" s="221">
        <f t="shared" si="1"/>
        <v>264200</v>
      </c>
      <c r="Q50" s="201"/>
      <c r="R50" s="201"/>
      <c r="S50" s="201"/>
      <c r="T50" s="201"/>
      <c r="U50" s="201"/>
      <c r="V50" s="32"/>
      <c r="W50" s="32"/>
      <c r="X50" s="32"/>
      <c r="Y50" s="32"/>
      <c r="Z50" s="32"/>
      <c r="AA50" s="32"/>
      <c r="AB50" s="32"/>
    </row>
    <row r="51" spans="1:28" ht="16" hidden="1">
      <c r="A51" s="214">
        <v>46</v>
      </c>
      <c r="B51" s="215" t="s">
        <v>2512</v>
      </c>
      <c r="C51" s="215" t="s">
        <v>41</v>
      </c>
      <c r="D51" s="216">
        <v>46087</v>
      </c>
      <c r="E51" s="109" t="str">
        <f>VLOOKUP($C51,xe!$A:$B,2,0)</f>
        <v>50E-324,01</v>
      </c>
      <c r="F51" s="217" t="str">
        <f>VLOOKUP($B51,ma!$A:$B,2,0)</f>
        <v>QUẬN 8 XÁ</v>
      </c>
      <c r="G51" s="218"/>
      <c r="H51" s="218"/>
      <c r="I51" s="219">
        <v>200000</v>
      </c>
      <c r="J51" s="218"/>
      <c r="K51" s="219"/>
      <c r="L51" s="218"/>
      <c r="M51" s="224">
        <v>15.07</v>
      </c>
      <c r="N51" s="221">
        <f>VLOOKUP($B51,ma!$A:$C,3,0)</f>
        <v>200000</v>
      </c>
      <c r="O51" s="221">
        <f t="shared" si="0"/>
        <v>3014000</v>
      </c>
      <c r="P51" s="221">
        <f t="shared" si="1"/>
        <v>301400</v>
      </c>
      <c r="Q51" s="201"/>
      <c r="R51" s="201"/>
      <c r="S51" s="201"/>
      <c r="T51" s="201"/>
      <c r="U51" s="201"/>
      <c r="V51" s="32"/>
      <c r="W51" s="32"/>
      <c r="X51" s="32"/>
      <c r="Y51" s="32"/>
      <c r="Z51" s="32"/>
      <c r="AA51" s="32"/>
      <c r="AB51" s="32"/>
    </row>
    <row r="52" spans="1:28" ht="16" hidden="1">
      <c r="A52" s="214">
        <v>47</v>
      </c>
      <c r="B52" s="215" t="s">
        <v>2503</v>
      </c>
      <c r="C52" s="215" t="s">
        <v>43</v>
      </c>
      <c r="D52" s="216">
        <v>46087</v>
      </c>
      <c r="E52" s="109" t="str">
        <f>VLOOKUP($C52,xe!$A:$B,2,0)</f>
        <v>50H-87055</v>
      </c>
      <c r="F52" s="217" t="str">
        <f>VLOOKUP($B52,ma!$A:$B,2,0)</f>
        <v>NDFC - NAIC BẾN LỨC</v>
      </c>
      <c r="G52" s="218"/>
      <c r="H52" s="218"/>
      <c r="I52" s="219">
        <v>100000</v>
      </c>
      <c r="J52" s="218" t="s">
        <v>1427</v>
      </c>
      <c r="K52" s="219"/>
      <c r="L52" s="218"/>
      <c r="M52" s="225">
        <v>1</v>
      </c>
      <c r="N52" s="221">
        <f>VLOOKUP($B52,ma!$A:$C,3,0)</f>
        <v>2400000</v>
      </c>
      <c r="O52" s="221">
        <f t="shared" si="0"/>
        <v>2400000</v>
      </c>
      <c r="P52" s="221">
        <f t="shared" si="1"/>
        <v>240000</v>
      </c>
      <c r="Q52" s="201"/>
      <c r="R52" s="201"/>
      <c r="S52" s="201"/>
      <c r="T52" s="201"/>
      <c r="U52" s="201"/>
      <c r="V52" s="32"/>
      <c r="W52" s="32"/>
      <c r="X52" s="32"/>
      <c r="Y52" s="32"/>
      <c r="Z52" s="32"/>
      <c r="AA52" s="32"/>
      <c r="AB52" s="32"/>
    </row>
    <row r="53" spans="1:28" ht="16" hidden="1">
      <c r="A53" s="214">
        <v>48</v>
      </c>
      <c r="B53" s="215" t="s">
        <v>2503</v>
      </c>
      <c r="C53" s="215" t="s">
        <v>43</v>
      </c>
      <c r="D53" s="216">
        <v>46087</v>
      </c>
      <c r="E53" s="109" t="str">
        <f>VLOOKUP($C53,xe!$A:$B,2,0)</f>
        <v>50H-87055</v>
      </c>
      <c r="F53" s="217" t="str">
        <f>VLOOKUP($B53,ma!$A:$B,2,0)</f>
        <v>NDFC - NAIC BẾN LỨC</v>
      </c>
      <c r="G53" s="218"/>
      <c r="H53" s="218"/>
      <c r="I53" s="219">
        <v>100000</v>
      </c>
      <c r="J53" s="218" t="s">
        <v>1427</v>
      </c>
      <c r="K53" s="219"/>
      <c r="L53" s="218"/>
      <c r="M53" s="225">
        <v>1</v>
      </c>
      <c r="N53" s="221">
        <f>VLOOKUP($B53,ma!$A:$C,3,0)</f>
        <v>2400000</v>
      </c>
      <c r="O53" s="221">
        <f t="shared" si="0"/>
        <v>2400000</v>
      </c>
      <c r="P53" s="221">
        <f t="shared" si="1"/>
        <v>240000</v>
      </c>
      <c r="Q53" s="201"/>
      <c r="R53" s="201"/>
      <c r="S53" s="201"/>
      <c r="T53" s="201"/>
      <c r="U53" s="201"/>
      <c r="V53" s="32"/>
      <c r="W53" s="32"/>
      <c r="X53" s="32"/>
      <c r="Y53" s="32"/>
      <c r="Z53" s="32"/>
      <c r="AA53" s="32"/>
      <c r="AB53" s="32"/>
    </row>
    <row r="54" spans="1:28" ht="16" hidden="1">
      <c r="A54" s="214">
        <v>49</v>
      </c>
      <c r="B54" s="215" t="s">
        <v>2509</v>
      </c>
      <c r="C54" s="215" t="s">
        <v>43</v>
      </c>
      <c r="D54" s="216">
        <v>46087</v>
      </c>
      <c r="E54" s="109" t="str">
        <f>VLOOKUP($C54,xe!$A:$B,2,0)</f>
        <v>50H-87055</v>
      </c>
      <c r="F54" s="217" t="str">
        <f>VLOOKUP($B54,ma!$A:$B,2,0)</f>
        <v>NAIC -UNI</v>
      </c>
      <c r="G54" s="218"/>
      <c r="H54" s="218"/>
      <c r="I54" s="219">
        <v>100000</v>
      </c>
      <c r="J54" s="218" t="s">
        <v>1427</v>
      </c>
      <c r="K54" s="219"/>
      <c r="L54" s="218"/>
      <c r="M54" s="225">
        <v>1</v>
      </c>
      <c r="N54" s="221">
        <f>VLOOKUP($B54,ma!$A:$C,3,0)</f>
        <v>2400000</v>
      </c>
      <c r="O54" s="221">
        <f t="shared" si="0"/>
        <v>2400000</v>
      </c>
      <c r="P54" s="221">
        <f t="shared" si="1"/>
        <v>240000</v>
      </c>
      <c r="Q54" s="201"/>
      <c r="R54" s="201"/>
      <c r="S54" s="201"/>
      <c r="T54" s="201"/>
      <c r="U54" s="201"/>
      <c r="V54" s="32"/>
      <c r="W54" s="32"/>
      <c r="X54" s="32"/>
      <c r="Y54" s="32"/>
      <c r="Z54" s="32"/>
      <c r="AA54" s="32"/>
      <c r="AB54" s="32"/>
    </row>
    <row r="55" spans="1:28" ht="16" hidden="1">
      <c r="A55" s="214">
        <v>50</v>
      </c>
      <c r="B55" s="215" t="s">
        <v>2503</v>
      </c>
      <c r="C55" s="215" t="s">
        <v>35</v>
      </c>
      <c r="D55" s="216">
        <v>46088</v>
      </c>
      <c r="E55" s="133" t="str">
        <f>VLOOKUP($C55,xe!$A:$B,2,0)</f>
        <v>50E-648.73</v>
      </c>
      <c r="F55" s="217" t="str">
        <f>VLOOKUP($B55,ma!$A:$B,2,0)</f>
        <v>NDFC - NAIC BẾN LỨC</v>
      </c>
      <c r="G55" s="218"/>
      <c r="H55" s="218"/>
      <c r="I55" s="219">
        <v>100000</v>
      </c>
      <c r="J55" s="218"/>
      <c r="K55" s="219"/>
      <c r="L55" s="218"/>
      <c r="M55" s="225">
        <v>1</v>
      </c>
      <c r="N55" s="221">
        <f>VLOOKUP($B55,ma!$A:$C,3,0)</f>
        <v>2400000</v>
      </c>
      <c r="O55" s="221">
        <f t="shared" si="0"/>
        <v>2400000</v>
      </c>
      <c r="P55" s="221">
        <f t="shared" si="1"/>
        <v>240000</v>
      </c>
      <c r="Q55" s="201"/>
      <c r="R55" s="201"/>
      <c r="S55" s="201"/>
      <c r="T55" s="201"/>
      <c r="U55" s="201"/>
      <c r="V55" s="32"/>
      <c r="W55" s="32"/>
      <c r="X55" s="32"/>
      <c r="Y55" s="32"/>
      <c r="Z55" s="32"/>
      <c r="AA55" s="32"/>
      <c r="AB55" s="32"/>
    </row>
    <row r="56" spans="1:28" ht="16" hidden="1">
      <c r="A56" s="214">
        <v>51</v>
      </c>
      <c r="B56" s="215" t="s">
        <v>2503</v>
      </c>
      <c r="C56" s="215" t="s">
        <v>37</v>
      </c>
      <c r="D56" s="216">
        <v>46088</v>
      </c>
      <c r="E56" s="109" t="str">
        <f>VLOOKUP($C56,xe!$A:$B,2,0)</f>
        <v>50H-66347</v>
      </c>
      <c r="F56" s="217" t="str">
        <f>VLOOKUP($B56,ma!$A:$B,2,0)</f>
        <v>NDFC - NAIC BẾN LỨC</v>
      </c>
      <c r="G56" s="218"/>
      <c r="H56" s="218"/>
      <c r="I56" s="219">
        <v>100000</v>
      </c>
      <c r="J56" s="218" t="s">
        <v>1427</v>
      </c>
      <c r="K56" s="219"/>
      <c r="L56" s="218"/>
      <c r="M56" s="227">
        <v>1</v>
      </c>
      <c r="N56" s="221">
        <f>VLOOKUP($B56,ma!$A:$C,3,0)</f>
        <v>2400000</v>
      </c>
      <c r="O56" s="221">
        <f t="shared" si="0"/>
        <v>2400000</v>
      </c>
      <c r="P56" s="221">
        <f t="shared" si="1"/>
        <v>240000</v>
      </c>
      <c r="Q56" s="201"/>
      <c r="R56" s="201"/>
      <c r="S56" s="201"/>
      <c r="T56" s="201"/>
      <c r="U56" s="201"/>
      <c r="V56" s="32"/>
      <c r="W56" s="32"/>
      <c r="X56" s="32"/>
      <c r="Y56" s="32"/>
      <c r="Z56" s="32"/>
      <c r="AA56" s="32"/>
      <c r="AB56" s="32"/>
    </row>
    <row r="57" spans="1:28" ht="16" hidden="1">
      <c r="A57" s="214">
        <v>52</v>
      </c>
      <c r="B57" s="215" t="s">
        <v>2509</v>
      </c>
      <c r="C57" s="215" t="s">
        <v>37</v>
      </c>
      <c r="D57" s="216">
        <v>46088</v>
      </c>
      <c r="E57" s="109" t="str">
        <f>VLOOKUP($C57,xe!$A:$B,2,0)</f>
        <v>50H-66347</v>
      </c>
      <c r="F57" s="217" t="str">
        <f>VLOOKUP($B57,ma!$A:$B,2,0)</f>
        <v>NAIC -UNI</v>
      </c>
      <c r="G57" s="218"/>
      <c r="H57" s="218"/>
      <c r="I57" s="219">
        <v>100000</v>
      </c>
      <c r="J57" s="218" t="s">
        <v>1427</v>
      </c>
      <c r="K57" s="219"/>
      <c r="L57" s="218"/>
      <c r="M57" s="227">
        <v>1</v>
      </c>
      <c r="N57" s="221">
        <f>VLOOKUP($B57,ma!$A:$C,3,0)</f>
        <v>2400000</v>
      </c>
      <c r="O57" s="221">
        <f t="shared" si="0"/>
        <v>2400000</v>
      </c>
      <c r="P57" s="221">
        <f t="shared" si="1"/>
        <v>240000</v>
      </c>
      <c r="Q57" s="201"/>
      <c r="R57" s="201"/>
      <c r="S57" s="201"/>
      <c r="T57" s="201"/>
      <c r="U57" s="201"/>
      <c r="V57" s="32"/>
      <c r="W57" s="32"/>
      <c r="X57" s="32"/>
      <c r="Y57" s="32"/>
      <c r="Z57" s="32"/>
      <c r="AA57" s="32"/>
      <c r="AB57" s="32"/>
    </row>
    <row r="58" spans="1:28" ht="16" hidden="1">
      <c r="A58" s="214">
        <v>52</v>
      </c>
      <c r="B58" s="215" t="s">
        <v>2515</v>
      </c>
      <c r="C58" s="215" t="s">
        <v>37</v>
      </c>
      <c r="D58" s="216">
        <v>46088</v>
      </c>
      <c r="E58" s="109" t="str">
        <f>VLOOKUP($C58,xe!$A:$B,2,0)</f>
        <v>50H-66347</v>
      </c>
      <c r="F58" s="217" t="str">
        <f>VLOOKUP($B58,ma!$A:$B,2,0)</f>
        <v>VINH NAM ANH</v>
      </c>
      <c r="G58" s="218"/>
      <c r="H58" s="218"/>
      <c r="I58" s="219"/>
      <c r="J58" s="218"/>
      <c r="K58" s="219">
        <v>350000</v>
      </c>
      <c r="L58" s="218" t="s">
        <v>1734</v>
      </c>
      <c r="M58" s="222">
        <v>15.63</v>
      </c>
      <c r="N58" s="221">
        <f>VLOOKUP($B58,ma!$A:$C,3,0)</f>
        <v>200000</v>
      </c>
      <c r="O58" s="221">
        <f t="shared" si="0"/>
        <v>3126000</v>
      </c>
      <c r="P58" s="221">
        <f t="shared" si="1"/>
        <v>312600</v>
      </c>
      <c r="Q58" s="201"/>
      <c r="R58" s="201"/>
      <c r="S58" s="201"/>
      <c r="T58" s="201"/>
      <c r="U58" s="201"/>
      <c r="V58" s="32"/>
      <c r="W58" s="32"/>
      <c r="X58" s="32"/>
      <c r="Y58" s="32"/>
      <c r="Z58" s="32"/>
      <c r="AA58" s="32"/>
      <c r="AB58" s="32"/>
    </row>
    <row r="59" spans="1:28" ht="16" hidden="1">
      <c r="A59" s="214">
        <v>53</v>
      </c>
      <c r="B59" s="215" t="s">
        <v>2516</v>
      </c>
      <c r="C59" s="215" t="s">
        <v>39</v>
      </c>
      <c r="D59" s="216">
        <v>46088</v>
      </c>
      <c r="E59" s="109" t="str">
        <f>VLOOKUP($C59,xe!$A:$B,2,0)</f>
        <v>50E-654.34</v>
      </c>
      <c r="F59" s="217" t="str">
        <f>VLOOKUP($B59,ma!$A:$B,2,0)</f>
        <v>PHẠM ANH QUẬN 6 XÁ</v>
      </c>
      <c r="G59" s="218"/>
      <c r="H59" s="218"/>
      <c r="I59" s="219">
        <v>200000</v>
      </c>
      <c r="J59" s="218" t="s">
        <v>1427</v>
      </c>
      <c r="K59" s="219">
        <v>20000</v>
      </c>
      <c r="L59" s="218" t="s">
        <v>2517</v>
      </c>
      <c r="M59" s="230">
        <v>14.62</v>
      </c>
      <c r="N59" s="221">
        <f>VLOOKUP($B59,ma!$A:$C,3,0)</f>
        <v>200000</v>
      </c>
      <c r="O59" s="221">
        <f t="shared" si="0"/>
        <v>2924000</v>
      </c>
      <c r="P59" s="221">
        <f t="shared" si="1"/>
        <v>292400</v>
      </c>
      <c r="Q59" s="201"/>
      <c r="R59" s="201"/>
      <c r="S59" s="201"/>
      <c r="T59" s="201"/>
      <c r="U59" s="201"/>
      <c r="V59" s="32"/>
      <c r="W59" s="32"/>
      <c r="X59" s="32"/>
      <c r="Y59" s="32"/>
      <c r="Z59" s="32"/>
      <c r="AA59" s="32"/>
      <c r="AB59" s="32"/>
    </row>
    <row r="60" spans="1:28" ht="16" hidden="1">
      <c r="A60" s="214">
        <v>54</v>
      </c>
      <c r="B60" s="215" t="s">
        <v>2506</v>
      </c>
      <c r="C60" s="215" t="s">
        <v>41</v>
      </c>
      <c r="D60" s="216">
        <v>46088</v>
      </c>
      <c r="E60" s="109" t="str">
        <f>VLOOKUP($C60,xe!$A:$B,2,0)</f>
        <v>50E-324,01</v>
      </c>
      <c r="F60" s="217" t="str">
        <f>VLOOKUP($B60,ma!$A:$B,2,0)</f>
        <v>TUẤN LỘC Q7 PALLET</v>
      </c>
      <c r="G60" s="218"/>
      <c r="H60" s="218"/>
      <c r="I60" s="219">
        <v>150000</v>
      </c>
      <c r="J60" s="218"/>
      <c r="K60" s="219"/>
      <c r="L60" s="218"/>
      <c r="M60" s="230">
        <v>12.71</v>
      </c>
      <c r="N60" s="221">
        <f>VLOOKUP($B60,ma!$A:$C,3,0)</f>
        <v>200000</v>
      </c>
      <c r="O60" s="221">
        <f t="shared" si="0"/>
        <v>2542000</v>
      </c>
      <c r="P60" s="221">
        <f t="shared" si="1"/>
        <v>254200</v>
      </c>
      <c r="Q60" s="201"/>
      <c r="R60" s="201"/>
      <c r="S60" s="201"/>
      <c r="T60" s="201"/>
      <c r="U60" s="201"/>
      <c r="V60" s="32"/>
      <c r="W60" s="32"/>
      <c r="X60" s="32"/>
      <c r="Y60" s="32"/>
      <c r="Z60" s="32"/>
      <c r="AA60" s="32"/>
      <c r="AB60" s="32"/>
    </row>
    <row r="61" spans="1:28" ht="16" hidden="1">
      <c r="A61" s="214">
        <v>55</v>
      </c>
      <c r="B61" s="215" t="s">
        <v>2512</v>
      </c>
      <c r="C61" s="215" t="s">
        <v>41</v>
      </c>
      <c r="D61" s="216">
        <v>46088</v>
      </c>
      <c r="E61" s="109" t="str">
        <f>VLOOKUP($C61,xe!$A:$B,2,0)</f>
        <v>50E-324,01</v>
      </c>
      <c r="F61" s="217" t="str">
        <f>VLOOKUP($B61,ma!$A:$B,2,0)</f>
        <v>QUẬN 8 XÁ</v>
      </c>
      <c r="G61" s="218"/>
      <c r="H61" s="218"/>
      <c r="I61" s="219">
        <v>200000</v>
      </c>
      <c r="J61" s="218"/>
      <c r="K61" s="219"/>
      <c r="L61" s="218"/>
      <c r="M61" s="230">
        <v>15.45</v>
      </c>
      <c r="N61" s="221">
        <f>VLOOKUP($B61,ma!$A:$C,3,0)</f>
        <v>200000</v>
      </c>
      <c r="O61" s="221">
        <f t="shared" si="0"/>
        <v>3090000</v>
      </c>
      <c r="P61" s="221">
        <f t="shared" si="1"/>
        <v>309000</v>
      </c>
      <c r="Q61" s="201"/>
      <c r="R61" s="201"/>
      <c r="S61" s="201"/>
      <c r="T61" s="201"/>
      <c r="U61" s="201"/>
      <c r="V61" s="32"/>
      <c r="W61" s="32"/>
      <c r="X61" s="32"/>
      <c r="Y61" s="32"/>
      <c r="Z61" s="32"/>
      <c r="AA61" s="32"/>
      <c r="AB61" s="32"/>
    </row>
    <row r="62" spans="1:28" ht="16" hidden="1">
      <c r="A62" s="214">
        <v>56</v>
      </c>
      <c r="B62" s="215" t="s">
        <v>2518</v>
      </c>
      <c r="C62" s="215" t="s">
        <v>43</v>
      </c>
      <c r="D62" s="216">
        <v>46088</v>
      </c>
      <c r="E62" s="109" t="str">
        <f>VLOOKUP($C62,xe!$A:$B,2,0)</f>
        <v>50H-87055</v>
      </c>
      <c r="F62" s="217" t="str">
        <f>VLOOKUP($B62,ma!$A:$B,2,0)</f>
        <v>NESTLE &gt;10</v>
      </c>
      <c r="G62" s="218"/>
      <c r="H62" s="218"/>
      <c r="I62" s="219">
        <v>250000</v>
      </c>
      <c r="J62" s="218" t="s">
        <v>1427</v>
      </c>
      <c r="K62" s="219"/>
      <c r="L62" s="218"/>
      <c r="M62" s="231">
        <v>10</v>
      </c>
      <c r="N62" s="221">
        <f>VLOOKUP($B62,ma!$A:$C,3,0)</f>
        <v>363000</v>
      </c>
      <c r="O62" s="221">
        <f t="shared" si="0"/>
        <v>3630000</v>
      </c>
      <c r="P62" s="221">
        <f t="shared" si="1"/>
        <v>363000</v>
      </c>
      <c r="Q62" s="201"/>
      <c r="R62" s="201"/>
      <c r="S62" s="201"/>
      <c r="T62" s="201"/>
      <c r="U62" s="201"/>
      <c r="V62" s="32"/>
      <c r="W62" s="32"/>
      <c r="X62" s="32"/>
      <c r="Y62" s="32"/>
      <c r="Z62" s="32"/>
      <c r="AA62" s="32"/>
      <c r="AB62" s="32"/>
    </row>
    <row r="63" spans="1:28" ht="16" hidden="1">
      <c r="A63" s="214">
        <v>57</v>
      </c>
      <c r="B63" s="215" t="s">
        <v>2506</v>
      </c>
      <c r="C63" s="215" t="s">
        <v>2519</v>
      </c>
      <c r="D63" s="216">
        <v>46090</v>
      </c>
      <c r="E63" s="133" t="str">
        <f>VLOOKUP($C63,xe!$A:$B,2,0)</f>
        <v>50E-648.73</v>
      </c>
      <c r="F63" s="217" t="str">
        <f>VLOOKUP($B63,ma!$A:$B,2,0)</f>
        <v>TUẤN LỘC Q7 PALLET</v>
      </c>
      <c r="G63" s="218"/>
      <c r="H63" s="218"/>
      <c r="I63" s="219">
        <v>80000</v>
      </c>
      <c r="J63" s="218"/>
      <c r="K63" s="232"/>
      <c r="L63" s="233"/>
      <c r="M63" s="230">
        <v>13.4</v>
      </c>
      <c r="N63" s="221">
        <f>VLOOKUP($B63,ma!$A:$C,3,0)</f>
        <v>200000</v>
      </c>
      <c r="O63" s="221">
        <f t="shared" si="0"/>
        <v>2680000</v>
      </c>
      <c r="P63" s="221">
        <f t="shared" si="1"/>
        <v>268000</v>
      </c>
      <c r="Q63" s="201"/>
      <c r="R63" s="201"/>
      <c r="S63" s="201"/>
      <c r="T63" s="201"/>
      <c r="U63" s="201"/>
      <c r="V63" s="32"/>
      <c r="W63" s="32"/>
      <c r="X63" s="32"/>
      <c r="Y63" s="32"/>
      <c r="Z63" s="32"/>
      <c r="AA63" s="32"/>
      <c r="AB63" s="32"/>
    </row>
    <row r="64" spans="1:28" ht="16" hidden="1">
      <c r="A64" s="214">
        <v>58</v>
      </c>
      <c r="B64" s="215" t="s">
        <v>2506</v>
      </c>
      <c r="C64" s="215" t="s">
        <v>2519</v>
      </c>
      <c r="D64" s="216">
        <v>46090</v>
      </c>
      <c r="E64" s="133" t="str">
        <f>VLOOKUP($C64,xe!$A:$B,2,0)</f>
        <v>50E-648.73</v>
      </c>
      <c r="F64" s="217" t="str">
        <f>VLOOKUP($B64,ma!$A:$B,2,0)</f>
        <v>TUẤN LỘC Q7 PALLET</v>
      </c>
      <c r="G64" s="218"/>
      <c r="H64" s="218"/>
      <c r="I64" s="219">
        <v>150000</v>
      </c>
      <c r="J64" s="218"/>
      <c r="K64" s="219"/>
      <c r="L64" s="218"/>
      <c r="M64" s="230">
        <v>11.34</v>
      </c>
      <c r="N64" s="221">
        <f>VLOOKUP($B64,ma!$A:$C,3,0)</f>
        <v>200000</v>
      </c>
      <c r="O64" s="221">
        <f t="shared" si="0"/>
        <v>2268000</v>
      </c>
      <c r="P64" s="221">
        <f t="shared" si="1"/>
        <v>226800</v>
      </c>
      <c r="Q64" s="201"/>
      <c r="R64" s="201"/>
      <c r="S64" s="201"/>
      <c r="T64" s="201"/>
      <c r="U64" s="201"/>
      <c r="V64" s="32"/>
      <c r="W64" s="32"/>
      <c r="X64" s="32"/>
      <c r="Y64" s="32"/>
      <c r="Z64" s="32"/>
      <c r="AA64" s="32"/>
      <c r="AB64" s="32"/>
    </row>
    <row r="65" spans="1:28" ht="16" hidden="1">
      <c r="A65" s="214">
        <v>59</v>
      </c>
      <c r="B65" s="215" t="s">
        <v>2520</v>
      </c>
      <c r="C65" s="215" t="s">
        <v>37</v>
      </c>
      <c r="D65" s="216">
        <v>46090</v>
      </c>
      <c r="E65" s="109" t="str">
        <f>VLOOKUP($C65,xe!$A:$B,2,0)</f>
        <v>50H-66347</v>
      </c>
      <c r="F65" s="217" t="str">
        <f>VLOOKUP($B65,ma!$A:$B,2,0)</f>
        <v>GIA HOÀNG TIỀN GIANG XÁ</v>
      </c>
      <c r="G65" s="218"/>
      <c r="H65" s="218"/>
      <c r="I65" s="219">
        <v>250000</v>
      </c>
      <c r="J65" s="218" t="s">
        <v>1427</v>
      </c>
      <c r="K65" s="219">
        <v>35000</v>
      </c>
      <c r="L65" s="218" t="s">
        <v>2521</v>
      </c>
      <c r="M65" s="228">
        <v>18.510000000000002</v>
      </c>
      <c r="N65" s="221">
        <f>VLOOKUP($B65,ma!$A:$C,3,0)</f>
        <v>230000</v>
      </c>
      <c r="O65" s="221">
        <f t="shared" si="0"/>
        <v>4257300</v>
      </c>
      <c r="P65" s="221">
        <f t="shared" si="1"/>
        <v>425730</v>
      </c>
      <c r="Q65" s="201"/>
      <c r="R65" s="201"/>
      <c r="S65" s="201"/>
      <c r="T65" s="201"/>
      <c r="U65" s="201"/>
      <c r="V65" s="32"/>
      <c r="W65" s="32"/>
      <c r="X65" s="32"/>
      <c r="Y65" s="32"/>
      <c r="Z65" s="32"/>
      <c r="AA65" s="32"/>
      <c r="AB65" s="32"/>
    </row>
    <row r="66" spans="1:28" ht="16" hidden="1">
      <c r="A66" s="214">
        <v>60</v>
      </c>
      <c r="B66" s="215" t="s">
        <v>2509</v>
      </c>
      <c r="C66" s="215" t="s">
        <v>37</v>
      </c>
      <c r="D66" s="216">
        <v>46090</v>
      </c>
      <c r="E66" s="109" t="str">
        <f>VLOOKUP($C66,xe!$A:$B,2,0)</f>
        <v>50H-66347</v>
      </c>
      <c r="F66" s="217" t="str">
        <f>VLOOKUP($B66,ma!$A:$B,2,0)</f>
        <v>NAIC -UNI</v>
      </c>
      <c r="G66" s="218"/>
      <c r="H66" s="218"/>
      <c r="I66" s="219">
        <v>100000</v>
      </c>
      <c r="J66" s="218" t="s">
        <v>1427</v>
      </c>
      <c r="K66" s="219"/>
      <c r="L66" s="218"/>
      <c r="M66" s="231">
        <v>1</v>
      </c>
      <c r="N66" s="221">
        <f>VLOOKUP($B66,ma!$A:$C,3,0)</f>
        <v>2400000</v>
      </c>
      <c r="O66" s="221">
        <f t="shared" si="0"/>
        <v>2400000</v>
      </c>
      <c r="P66" s="221">
        <f t="shared" si="1"/>
        <v>240000</v>
      </c>
      <c r="Q66" s="201"/>
      <c r="R66" s="201"/>
      <c r="S66" s="201"/>
      <c r="T66" s="201"/>
      <c r="U66" s="201"/>
      <c r="V66" s="32"/>
      <c r="W66" s="32"/>
      <c r="X66" s="32"/>
      <c r="Y66" s="32"/>
      <c r="Z66" s="32"/>
      <c r="AA66" s="32"/>
      <c r="AB66" s="32"/>
    </row>
    <row r="67" spans="1:28" ht="16" hidden="1">
      <c r="A67" s="214">
        <v>61</v>
      </c>
      <c r="B67" s="215" t="s">
        <v>2513</v>
      </c>
      <c r="C67" s="215" t="s">
        <v>39</v>
      </c>
      <c r="D67" s="216">
        <v>46090</v>
      </c>
      <c r="E67" s="109" t="str">
        <f>VLOOKUP($C67,xe!$A:$B,2,0)</f>
        <v>50E-654.34</v>
      </c>
      <c r="F67" s="217" t="str">
        <f>VLOOKUP($B67,ma!$A:$B,2,0)</f>
        <v>PHẠM ANH QUẬN 6 PALLET</v>
      </c>
      <c r="G67" s="218"/>
      <c r="H67" s="218"/>
      <c r="I67" s="219">
        <v>100000</v>
      </c>
      <c r="J67" s="218" t="s">
        <v>1427</v>
      </c>
      <c r="K67" s="219">
        <v>20000</v>
      </c>
      <c r="L67" s="218" t="s">
        <v>2517</v>
      </c>
      <c r="M67" s="230">
        <v>11.5</v>
      </c>
      <c r="N67" s="221">
        <f>VLOOKUP($B67,ma!$A:$C,3,0)</f>
        <v>200000</v>
      </c>
      <c r="O67" s="221">
        <f t="shared" si="0"/>
        <v>2300000</v>
      </c>
      <c r="P67" s="221">
        <f t="shared" si="1"/>
        <v>230000</v>
      </c>
      <c r="Q67" s="201"/>
      <c r="R67" s="201"/>
      <c r="S67" s="201"/>
      <c r="T67" s="201"/>
      <c r="U67" s="201"/>
      <c r="V67" s="32"/>
      <c r="W67" s="32"/>
      <c r="X67" s="32"/>
      <c r="Y67" s="32"/>
      <c r="Z67" s="32"/>
      <c r="AA67" s="32"/>
      <c r="AB67" s="32"/>
    </row>
    <row r="68" spans="1:28" ht="16" hidden="1">
      <c r="A68" s="214">
        <v>62</v>
      </c>
      <c r="B68" s="215" t="s">
        <v>2506</v>
      </c>
      <c r="C68" s="215" t="s">
        <v>41</v>
      </c>
      <c r="D68" s="216">
        <v>46090</v>
      </c>
      <c r="E68" s="109" t="str">
        <f>VLOOKUP($C68,xe!$A:$B,2,0)</f>
        <v>50E-324,01</v>
      </c>
      <c r="F68" s="217" t="str">
        <f>VLOOKUP($B68,ma!$A:$B,2,0)</f>
        <v>TUẤN LỘC Q7 PALLET</v>
      </c>
      <c r="G68" s="218"/>
      <c r="H68" s="218"/>
      <c r="I68" s="219">
        <v>100000</v>
      </c>
      <c r="J68" s="218"/>
      <c r="K68" s="219"/>
      <c r="L68" s="218"/>
      <c r="M68" s="230">
        <v>11.55</v>
      </c>
      <c r="N68" s="221">
        <f>VLOOKUP($B68,ma!$A:$C,3,0)</f>
        <v>200000</v>
      </c>
      <c r="O68" s="221">
        <f t="shared" si="0"/>
        <v>2310000</v>
      </c>
      <c r="P68" s="221">
        <f t="shared" si="1"/>
        <v>231000</v>
      </c>
      <c r="Q68" s="201"/>
      <c r="R68" s="201"/>
      <c r="S68" s="201"/>
      <c r="T68" s="201"/>
      <c r="U68" s="201"/>
      <c r="V68" s="32"/>
      <c r="W68" s="32"/>
      <c r="X68" s="32"/>
      <c r="Y68" s="32"/>
      <c r="Z68" s="32"/>
      <c r="AA68" s="32"/>
      <c r="AB68" s="32"/>
    </row>
    <row r="69" spans="1:28" ht="16" hidden="1">
      <c r="A69" s="214">
        <v>63</v>
      </c>
      <c r="B69" s="215" t="s">
        <v>2506</v>
      </c>
      <c r="C69" s="215" t="s">
        <v>41</v>
      </c>
      <c r="D69" s="216">
        <v>46090</v>
      </c>
      <c r="E69" s="109" t="str">
        <f>VLOOKUP($C69,xe!$A:$B,2,0)</f>
        <v>50E-324,01</v>
      </c>
      <c r="F69" s="217" t="str">
        <f>VLOOKUP($B69,ma!$A:$B,2,0)</f>
        <v>TUẤN LỘC Q7 PALLET</v>
      </c>
      <c r="G69" s="218"/>
      <c r="H69" s="218"/>
      <c r="I69" s="219">
        <v>50000</v>
      </c>
      <c r="J69" s="218"/>
      <c r="K69" s="219"/>
      <c r="L69" s="218"/>
      <c r="M69" s="230">
        <v>14.12</v>
      </c>
      <c r="N69" s="221">
        <f>VLOOKUP($B69,ma!$A:$C,3,0)</f>
        <v>200000</v>
      </c>
      <c r="O69" s="221">
        <f t="shared" si="0"/>
        <v>2824000</v>
      </c>
      <c r="P69" s="221">
        <f t="shared" si="1"/>
        <v>282400</v>
      </c>
      <c r="Q69" s="201"/>
      <c r="R69" s="201"/>
      <c r="S69" s="201"/>
      <c r="T69" s="201"/>
      <c r="U69" s="201"/>
      <c r="V69" s="32"/>
      <c r="W69" s="32"/>
      <c r="X69" s="32"/>
      <c r="Y69" s="32"/>
      <c r="Z69" s="32"/>
      <c r="AA69" s="32"/>
      <c r="AB69" s="32"/>
    </row>
    <row r="70" spans="1:28" ht="16" hidden="1">
      <c r="A70" s="214">
        <v>64</v>
      </c>
      <c r="B70" s="215" t="s">
        <v>2504</v>
      </c>
      <c r="C70" s="215" t="s">
        <v>43</v>
      </c>
      <c r="D70" s="216">
        <v>46090</v>
      </c>
      <c r="E70" s="109" t="str">
        <f>VLOOKUP($C70,xe!$A:$B,2,0)</f>
        <v>50H-87055</v>
      </c>
      <c r="F70" s="217" t="str">
        <f>VLOOKUP($B70,ma!$A:$B,2,0)</f>
        <v>QUẬN 8 PALLET</v>
      </c>
      <c r="G70" s="218"/>
      <c r="H70" s="218"/>
      <c r="I70" s="219">
        <v>100000</v>
      </c>
      <c r="J70" s="218" t="s">
        <v>1427</v>
      </c>
      <c r="K70" s="219"/>
      <c r="L70" s="218"/>
      <c r="M70" s="230">
        <v>11.72</v>
      </c>
      <c r="N70" s="221">
        <f>VLOOKUP($B70,ma!$A:$C,3,0)</f>
        <v>200000</v>
      </c>
      <c r="O70" s="221">
        <f t="shared" si="0"/>
        <v>2344000</v>
      </c>
      <c r="P70" s="221">
        <f t="shared" si="1"/>
        <v>234400</v>
      </c>
      <c r="Q70" s="201"/>
      <c r="R70" s="201"/>
      <c r="S70" s="201"/>
      <c r="T70" s="201"/>
      <c r="U70" s="201"/>
      <c r="V70" s="32"/>
      <c r="W70" s="32"/>
      <c r="X70" s="32"/>
      <c r="Y70" s="32"/>
      <c r="Z70" s="32"/>
      <c r="AA70" s="32"/>
      <c r="AB70" s="32"/>
    </row>
    <row r="71" spans="1:28" ht="16" hidden="1">
      <c r="A71" s="214">
        <v>65</v>
      </c>
      <c r="B71" s="215" t="s">
        <v>2509</v>
      </c>
      <c r="C71" s="215" t="s">
        <v>43</v>
      </c>
      <c r="D71" s="216">
        <v>46090</v>
      </c>
      <c r="E71" s="109" t="str">
        <f>VLOOKUP($C71,xe!$A:$B,2,0)</f>
        <v>50H-87055</v>
      </c>
      <c r="F71" s="217" t="str">
        <f>VLOOKUP($B71,ma!$A:$B,2,0)</f>
        <v>NAIC -UNI</v>
      </c>
      <c r="G71" s="218"/>
      <c r="H71" s="218"/>
      <c r="I71" s="219">
        <v>100000</v>
      </c>
      <c r="J71" s="218" t="s">
        <v>1427</v>
      </c>
      <c r="K71" s="219">
        <v>20000</v>
      </c>
      <c r="L71" s="218" t="s">
        <v>2517</v>
      </c>
      <c r="M71" s="231">
        <v>1</v>
      </c>
      <c r="N71" s="221">
        <f>VLOOKUP($B71,ma!$A:$C,3,0)</f>
        <v>2400000</v>
      </c>
      <c r="O71" s="221">
        <f t="shared" si="0"/>
        <v>2400000</v>
      </c>
      <c r="P71" s="221">
        <f t="shared" si="1"/>
        <v>240000</v>
      </c>
      <c r="Q71" s="201"/>
      <c r="R71" s="201"/>
      <c r="S71" s="201"/>
      <c r="T71" s="201"/>
      <c r="U71" s="201"/>
      <c r="V71" s="32"/>
      <c r="W71" s="32"/>
      <c r="X71" s="32"/>
      <c r="Y71" s="32"/>
      <c r="Z71" s="32"/>
      <c r="AA71" s="32"/>
      <c r="AB71" s="32"/>
    </row>
    <row r="72" spans="1:28" ht="16" hidden="1">
      <c r="A72" s="214">
        <v>65</v>
      </c>
      <c r="B72" s="215" t="s">
        <v>2503</v>
      </c>
      <c r="C72" s="215" t="s">
        <v>2519</v>
      </c>
      <c r="D72" s="216">
        <v>46091</v>
      </c>
      <c r="E72" s="133" t="str">
        <f>VLOOKUP($C72,xe!$A:$B,2,0)</f>
        <v>50E-648.73</v>
      </c>
      <c r="F72" s="217" t="str">
        <f>VLOOKUP($B72,ma!$A:$B,2,0)</f>
        <v>NDFC - NAIC BẾN LỨC</v>
      </c>
      <c r="G72" s="218"/>
      <c r="H72" s="218"/>
      <c r="I72" s="219">
        <v>100000</v>
      </c>
      <c r="J72" s="218"/>
      <c r="K72" s="219"/>
      <c r="L72" s="218"/>
      <c r="M72" s="231">
        <v>1</v>
      </c>
      <c r="N72" s="221">
        <f>VLOOKUP($B72,ma!$A:$C,3,0)</f>
        <v>2400000</v>
      </c>
      <c r="O72" s="221">
        <f t="shared" si="0"/>
        <v>2400000</v>
      </c>
      <c r="P72" s="221">
        <f t="shared" si="1"/>
        <v>240000</v>
      </c>
      <c r="Q72" s="201"/>
      <c r="R72" s="201"/>
      <c r="S72" s="201"/>
      <c r="T72" s="201"/>
      <c r="U72" s="201"/>
      <c r="V72" s="32"/>
      <c r="W72" s="32"/>
      <c r="X72" s="32"/>
      <c r="Y72" s="32"/>
      <c r="Z72" s="32"/>
      <c r="AA72" s="32"/>
      <c r="AB72" s="32"/>
    </row>
    <row r="73" spans="1:28" ht="16" hidden="1">
      <c r="A73" s="214">
        <v>66</v>
      </c>
      <c r="B73" s="215" t="s">
        <v>2503</v>
      </c>
      <c r="C73" s="215" t="s">
        <v>2519</v>
      </c>
      <c r="D73" s="216">
        <v>46091</v>
      </c>
      <c r="E73" s="133" t="str">
        <f>VLOOKUP($C73,xe!$A:$B,2,0)</f>
        <v>50E-648.73</v>
      </c>
      <c r="F73" s="217" t="str">
        <f>VLOOKUP($B73,ma!$A:$B,2,0)</f>
        <v>NDFC - NAIC BẾN LỨC</v>
      </c>
      <c r="G73" s="218"/>
      <c r="H73" s="218"/>
      <c r="I73" s="219">
        <v>100000</v>
      </c>
      <c r="J73" s="218"/>
      <c r="K73" s="219">
        <v>200000</v>
      </c>
      <c r="L73" s="218" t="s">
        <v>1423</v>
      </c>
      <c r="M73" s="231">
        <v>1</v>
      </c>
      <c r="N73" s="221">
        <f>VLOOKUP($B73,ma!$A:$C,3,0)</f>
        <v>2400000</v>
      </c>
      <c r="O73" s="221">
        <f t="shared" si="0"/>
        <v>2400000</v>
      </c>
      <c r="P73" s="221">
        <f t="shared" si="1"/>
        <v>240000</v>
      </c>
      <c r="Q73" s="201"/>
      <c r="R73" s="201"/>
      <c r="S73" s="201"/>
      <c r="T73" s="201"/>
      <c r="U73" s="201"/>
      <c r="V73" s="32"/>
      <c r="W73" s="32"/>
      <c r="X73" s="32"/>
      <c r="Y73" s="32"/>
      <c r="Z73" s="32"/>
      <c r="AA73" s="32"/>
      <c r="AB73" s="32"/>
    </row>
    <row r="74" spans="1:28" ht="16" hidden="1">
      <c r="A74" s="214">
        <v>67</v>
      </c>
      <c r="B74" s="215" t="s">
        <v>2503</v>
      </c>
      <c r="C74" s="215" t="s">
        <v>37</v>
      </c>
      <c r="D74" s="216">
        <v>46091</v>
      </c>
      <c r="E74" s="109" t="str">
        <f>VLOOKUP($C74,xe!$A:$B,2,0)</f>
        <v>50H-66347</v>
      </c>
      <c r="F74" s="217" t="str">
        <f>VLOOKUP($B74,ma!$A:$B,2,0)</f>
        <v>NDFC - NAIC BẾN LỨC</v>
      </c>
      <c r="G74" s="218"/>
      <c r="H74" s="218"/>
      <c r="I74" s="219">
        <v>100000</v>
      </c>
      <c r="J74" s="218" t="s">
        <v>1427</v>
      </c>
      <c r="K74" s="219"/>
      <c r="L74" s="218"/>
      <c r="M74" s="231">
        <v>1</v>
      </c>
      <c r="N74" s="221">
        <f>VLOOKUP($B74,ma!$A:$C,3,0)</f>
        <v>2400000</v>
      </c>
      <c r="O74" s="221">
        <f t="shared" si="0"/>
        <v>2400000</v>
      </c>
      <c r="P74" s="221">
        <f t="shared" si="1"/>
        <v>240000</v>
      </c>
      <c r="Q74" s="201"/>
      <c r="R74" s="201"/>
      <c r="S74" s="201"/>
      <c r="T74" s="201"/>
      <c r="U74" s="201"/>
      <c r="V74" s="32"/>
      <c r="W74" s="32"/>
      <c r="X74" s="32"/>
      <c r="Y74" s="32"/>
      <c r="Z74" s="32"/>
      <c r="AA74" s="32"/>
      <c r="AB74" s="32"/>
    </row>
    <row r="75" spans="1:28" ht="16" hidden="1">
      <c r="A75" s="214">
        <v>68</v>
      </c>
      <c r="B75" s="215" t="s">
        <v>2509</v>
      </c>
      <c r="C75" s="215" t="s">
        <v>37</v>
      </c>
      <c r="D75" s="216">
        <v>46091</v>
      </c>
      <c r="E75" s="109" t="str">
        <f>VLOOKUP($C75,xe!$A:$B,2,0)</f>
        <v>50H-66347</v>
      </c>
      <c r="F75" s="217" t="str">
        <f>VLOOKUP($B75,ma!$A:$B,2,0)</f>
        <v>NAIC -UNI</v>
      </c>
      <c r="G75" s="218"/>
      <c r="H75" s="218"/>
      <c r="I75" s="219">
        <v>100000</v>
      </c>
      <c r="J75" s="218" t="s">
        <v>1427</v>
      </c>
      <c r="K75" s="219"/>
      <c r="L75" s="218"/>
      <c r="M75" s="231">
        <v>1</v>
      </c>
      <c r="N75" s="221">
        <f>VLOOKUP($B75,ma!$A:$C,3,0)</f>
        <v>2400000</v>
      </c>
      <c r="O75" s="221">
        <f t="shared" si="0"/>
        <v>2400000</v>
      </c>
      <c r="P75" s="221">
        <f t="shared" si="1"/>
        <v>240000</v>
      </c>
      <c r="Q75" s="201"/>
      <c r="R75" s="201"/>
      <c r="S75" s="201"/>
      <c r="T75" s="201"/>
      <c r="U75" s="201"/>
      <c r="V75" s="32"/>
      <c r="W75" s="32"/>
      <c r="X75" s="32"/>
      <c r="Y75" s="32"/>
      <c r="Z75" s="32"/>
      <c r="AA75" s="32"/>
      <c r="AB75" s="32"/>
    </row>
    <row r="76" spans="1:28" ht="16" hidden="1">
      <c r="A76" s="214">
        <v>69</v>
      </c>
      <c r="B76" s="215" t="s">
        <v>2503</v>
      </c>
      <c r="C76" s="215" t="s">
        <v>39</v>
      </c>
      <c r="D76" s="216">
        <v>46091</v>
      </c>
      <c r="E76" s="109" t="str">
        <f>VLOOKUP($C76,xe!$A:$B,2,0)</f>
        <v>50E-654.34</v>
      </c>
      <c r="F76" s="217" t="str">
        <f>VLOOKUP($B76,ma!$A:$B,2,0)</f>
        <v>NDFC - NAIC BẾN LỨC</v>
      </c>
      <c r="G76" s="218"/>
      <c r="H76" s="218"/>
      <c r="I76" s="219">
        <v>100000</v>
      </c>
      <c r="J76" s="218" t="s">
        <v>1427</v>
      </c>
      <c r="K76" s="219"/>
      <c r="L76" s="218"/>
      <c r="M76" s="231">
        <v>1</v>
      </c>
      <c r="N76" s="221">
        <f>VLOOKUP($B76,ma!$A:$C,3,0)</f>
        <v>2400000</v>
      </c>
      <c r="O76" s="221">
        <f t="shared" si="0"/>
        <v>2400000</v>
      </c>
      <c r="P76" s="221">
        <f t="shared" si="1"/>
        <v>240000</v>
      </c>
      <c r="Q76" s="201"/>
      <c r="R76" s="201"/>
      <c r="S76" s="201"/>
      <c r="T76" s="201"/>
      <c r="U76" s="201"/>
      <c r="V76" s="32"/>
      <c r="W76" s="32"/>
      <c r="X76" s="32"/>
      <c r="Y76" s="32"/>
      <c r="Z76" s="32"/>
      <c r="AA76" s="32"/>
      <c r="AB76" s="32"/>
    </row>
    <row r="77" spans="1:28" ht="16" hidden="1">
      <c r="A77" s="214">
        <v>15.71</v>
      </c>
      <c r="B77" s="215" t="s">
        <v>236</v>
      </c>
      <c r="C77" s="215" t="s">
        <v>39</v>
      </c>
      <c r="D77" s="216">
        <v>46091</v>
      </c>
      <c r="E77" s="109" t="str">
        <f>VLOOKUP($C77,xe!$A:$B,2,0)</f>
        <v>50E-654.34</v>
      </c>
      <c r="F77" s="217" t="str">
        <f>VLOOKUP($B77,ma!$A:$B,2,0)</f>
        <v>HOÀNG MINH PHÁT HÓC MÔN</v>
      </c>
      <c r="G77" s="218"/>
      <c r="H77" s="218"/>
      <c r="I77" s="219">
        <v>200000</v>
      </c>
      <c r="J77" s="218" t="s">
        <v>1427</v>
      </c>
      <c r="K77" s="219">
        <v>20000</v>
      </c>
      <c r="L77" s="218" t="s">
        <v>2517</v>
      </c>
      <c r="M77" s="230">
        <v>15.71</v>
      </c>
      <c r="N77" s="221">
        <f>VLOOKUP($B77,ma!$A:$C,3,0)</f>
        <v>200000</v>
      </c>
      <c r="O77" s="221">
        <f t="shared" si="0"/>
        <v>3142000</v>
      </c>
      <c r="P77" s="221">
        <f t="shared" si="1"/>
        <v>314200</v>
      </c>
      <c r="Q77" s="201"/>
      <c r="R77" s="201"/>
      <c r="S77" s="201"/>
      <c r="T77" s="201"/>
      <c r="U77" s="201"/>
      <c r="V77" s="32"/>
      <c r="W77" s="32"/>
      <c r="X77" s="32"/>
      <c r="Y77" s="32"/>
      <c r="Z77" s="32"/>
      <c r="AA77" s="32"/>
      <c r="AB77" s="32"/>
    </row>
    <row r="78" spans="1:28" ht="16" hidden="1">
      <c r="A78" s="214">
        <v>71</v>
      </c>
      <c r="B78" s="215" t="s">
        <v>2506</v>
      </c>
      <c r="C78" s="215" t="s">
        <v>41</v>
      </c>
      <c r="D78" s="216">
        <v>46091</v>
      </c>
      <c r="E78" s="109" t="str">
        <f>VLOOKUP($C78,xe!$A:$B,2,0)</f>
        <v>50E-324,01</v>
      </c>
      <c r="F78" s="217" t="str">
        <f>VLOOKUP($B78,ma!$A:$B,2,0)</f>
        <v>TUẤN LỘC Q7 PALLET</v>
      </c>
      <c r="G78" s="218"/>
      <c r="H78" s="218"/>
      <c r="I78" s="219">
        <v>50000</v>
      </c>
      <c r="J78" s="218"/>
      <c r="K78" s="219"/>
      <c r="L78" s="218"/>
      <c r="M78" s="230">
        <v>12.49</v>
      </c>
      <c r="N78" s="221">
        <f>VLOOKUP($B78,ma!$A:$C,3,0)</f>
        <v>200000</v>
      </c>
      <c r="O78" s="221">
        <f t="shared" si="0"/>
        <v>2498000</v>
      </c>
      <c r="P78" s="221">
        <f t="shared" si="1"/>
        <v>249800</v>
      </c>
      <c r="Q78" s="201"/>
      <c r="R78" s="201"/>
      <c r="S78" s="201"/>
      <c r="T78" s="201"/>
      <c r="U78" s="201"/>
      <c r="V78" s="32"/>
      <c r="W78" s="32"/>
      <c r="X78" s="32"/>
      <c r="Y78" s="32"/>
      <c r="Z78" s="32"/>
      <c r="AA78" s="32"/>
      <c r="AB78" s="32"/>
    </row>
    <row r="79" spans="1:28" ht="16" hidden="1">
      <c r="A79" s="214">
        <v>72</v>
      </c>
      <c r="B79" s="215" t="s">
        <v>2512</v>
      </c>
      <c r="C79" s="215" t="s">
        <v>41</v>
      </c>
      <c r="D79" s="216">
        <v>46091</v>
      </c>
      <c r="E79" s="109" t="str">
        <f>VLOOKUP($C79,xe!$A:$B,2,0)</f>
        <v>50E-324,01</v>
      </c>
      <c r="F79" s="217" t="str">
        <f>VLOOKUP($B79,ma!$A:$B,2,0)</f>
        <v>QUẬN 8 XÁ</v>
      </c>
      <c r="G79" s="218"/>
      <c r="H79" s="218"/>
      <c r="I79" s="219">
        <v>200000</v>
      </c>
      <c r="J79" s="218"/>
      <c r="K79" s="219"/>
      <c r="L79" s="218"/>
      <c r="M79" s="231">
        <v>12</v>
      </c>
      <c r="N79" s="221">
        <f>VLOOKUP($B79,ma!$A:$C,3,0)</f>
        <v>200000</v>
      </c>
      <c r="O79" s="221">
        <f t="shared" si="0"/>
        <v>2400000</v>
      </c>
      <c r="P79" s="221">
        <f t="shared" si="1"/>
        <v>240000</v>
      </c>
      <c r="Q79" s="201"/>
      <c r="R79" s="201"/>
      <c r="S79" s="201"/>
      <c r="T79" s="201"/>
      <c r="U79" s="201"/>
      <c r="V79" s="32"/>
      <c r="W79" s="32"/>
      <c r="X79" s="32"/>
      <c r="Y79" s="32"/>
      <c r="Z79" s="32"/>
      <c r="AA79" s="32"/>
      <c r="AB79" s="32"/>
    </row>
    <row r="80" spans="1:28" ht="16" hidden="1">
      <c r="A80" s="214">
        <v>73</v>
      </c>
      <c r="B80" s="215" t="s">
        <v>2506</v>
      </c>
      <c r="C80" s="215" t="s">
        <v>43</v>
      </c>
      <c r="D80" s="216">
        <v>46091</v>
      </c>
      <c r="E80" s="109" t="str">
        <f>VLOOKUP($C80,xe!$A:$B,2,0)</f>
        <v>50H-87055</v>
      </c>
      <c r="F80" s="217" t="str">
        <f>VLOOKUP($B80,ma!$A:$B,2,0)</f>
        <v>TUẤN LỘC Q7 PALLET</v>
      </c>
      <c r="G80" s="218"/>
      <c r="H80" s="218"/>
      <c r="I80" s="219">
        <v>100000</v>
      </c>
      <c r="J80" s="218" t="s">
        <v>1427</v>
      </c>
      <c r="K80" s="219"/>
      <c r="L80" s="218"/>
      <c r="M80" s="231">
        <v>12</v>
      </c>
      <c r="N80" s="221">
        <f>VLOOKUP($B80,ma!$A:$C,3,0)</f>
        <v>200000</v>
      </c>
      <c r="O80" s="221">
        <f t="shared" si="0"/>
        <v>2400000</v>
      </c>
      <c r="P80" s="221">
        <f t="shared" si="1"/>
        <v>240000</v>
      </c>
      <c r="Q80" s="201"/>
      <c r="R80" s="201"/>
      <c r="S80" s="201"/>
      <c r="T80" s="201"/>
      <c r="U80" s="201"/>
      <c r="V80" s="32"/>
      <c r="W80" s="32"/>
      <c r="X80" s="32"/>
      <c r="Y80" s="32"/>
      <c r="Z80" s="32"/>
      <c r="AA80" s="32"/>
      <c r="AB80" s="32"/>
    </row>
    <row r="81" spans="1:28" ht="16" hidden="1">
      <c r="A81" s="214">
        <v>74</v>
      </c>
      <c r="B81" s="215" t="s">
        <v>2503</v>
      </c>
      <c r="C81" s="215" t="s">
        <v>43</v>
      </c>
      <c r="D81" s="216">
        <v>46091</v>
      </c>
      <c r="E81" s="109" t="str">
        <f>VLOOKUP($C81,xe!$A:$B,2,0)</f>
        <v>50H-87055</v>
      </c>
      <c r="F81" s="217" t="str">
        <f>VLOOKUP($B81,ma!$A:$B,2,0)</f>
        <v>NDFC - NAIC BẾN LỨC</v>
      </c>
      <c r="G81" s="218"/>
      <c r="H81" s="218"/>
      <c r="I81" s="219">
        <v>100000</v>
      </c>
      <c r="J81" s="218" t="s">
        <v>1427</v>
      </c>
      <c r="K81" s="219"/>
      <c r="L81" s="218"/>
      <c r="M81" s="231">
        <v>1</v>
      </c>
      <c r="N81" s="221">
        <f>VLOOKUP($B81,ma!$A:$C,3,0)</f>
        <v>2400000</v>
      </c>
      <c r="O81" s="221">
        <f t="shared" si="0"/>
        <v>2400000</v>
      </c>
      <c r="P81" s="221">
        <f t="shared" si="1"/>
        <v>240000</v>
      </c>
      <c r="Q81" s="201"/>
      <c r="R81" s="201"/>
      <c r="S81" s="201"/>
      <c r="T81" s="201"/>
      <c r="U81" s="201"/>
      <c r="V81" s="32"/>
      <c r="W81" s="32"/>
      <c r="X81" s="32"/>
      <c r="Y81" s="32"/>
      <c r="Z81" s="32"/>
      <c r="AA81" s="32"/>
      <c r="AB81" s="32"/>
    </row>
    <row r="82" spans="1:28" ht="16" hidden="1">
      <c r="A82" s="214">
        <v>75</v>
      </c>
      <c r="B82" s="215" t="s">
        <v>2509</v>
      </c>
      <c r="C82" s="215" t="s">
        <v>2519</v>
      </c>
      <c r="D82" s="216">
        <v>46092</v>
      </c>
      <c r="E82" s="133" t="str">
        <f>VLOOKUP($C82,xe!$A:$B,2,0)</f>
        <v>50E-648.73</v>
      </c>
      <c r="F82" s="217" t="str">
        <f>VLOOKUP($B82,ma!$A:$B,2,0)</f>
        <v>NAIC -UNI</v>
      </c>
      <c r="G82" s="218"/>
      <c r="H82" s="218"/>
      <c r="I82" s="219">
        <v>100000</v>
      </c>
      <c r="J82" s="218"/>
      <c r="K82" s="219"/>
      <c r="L82" s="218"/>
      <c r="M82" s="231">
        <v>1</v>
      </c>
      <c r="N82" s="221">
        <f>VLOOKUP($B82,ma!$A:$C,3,0)</f>
        <v>2400000</v>
      </c>
      <c r="O82" s="221">
        <f t="shared" si="0"/>
        <v>2400000</v>
      </c>
      <c r="P82" s="221">
        <f t="shared" si="1"/>
        <v>240000</v>
      </c>
      <c r="Q82" s="201"/>
      <c r="R82" s="201"/>
      <c r="S82" s="201"/>
      <c r="T82" s="201"/>
      <c r="U82" s="201"/>
      <c r="V82" s="32"/>
      <c r="W82" s="32"/>
      <c r="X82" s="32"/>
      <c r="Y82" s="32"/>
      <c r="Z82" s="32"/>
      <c r="AA82" s="32"/>
      <c r="AB82" s="32"/>
    </row>
    <row r="83" spans="1:28" ht="16" hidden="1">
      <c r="A83" s="214">
        <v>76</v>
      </c>
      <c r="B83" s="215" t="s">
        <v>2505</v>
      </c>
      <c r="C83" s="215" t="s">
        <v>2519</v>
      </c>
      <c r="D83" s="216">
        <v>46092</v>
      </c>
      <c r="E83" s="133" t="str">
        <f>VLOOKUP($C83,xe!$A:$B,2,0)</f>
        <v>50E-648.73</v>
      </c>
      <c r="F83" s="217" t="str">
        <f>VLOOKUP($B83,ma!$A:$B,2,0)</f>
        <v>GIA HOÀNG TIỀN GIANG PALLET</v>
      </c>
      <c r="G83" s="218"/>
      <c r="H83" s="218"/>
      <c r="I83" s="219">
        <v>100000</v>
      </c>
      <c r="J83" s="218"/>
      <c r="K83" s="219"/>
      <c r="L83" s="218"/>
      <c r="M83" s="230">
        <v>14.34</v>
      </c>
      <c r="N83" s="221">
        <f>VLOOKUP($B83,ma!$A:$C,3,0)</f>
        <v>230000</v>
      </c>
      <c r="O83" s="221">
        <f t="shared" si="0"/>
        <v>3298200</v>
      </c>
      <c r="P83" s="221">
        <f t="shared" si="1"/>
        <v>329820</v>
      </c>
      <c r="Q83" s="201"/>
      <c r="R83" s="201"/>
      <c r="S83" s="201"/>
      <c r="T83" s="201"/>
      <c r="U83" s="201"/>
      <c r="V83" s="32"/>
      <c r="W83" s="32"/>
      <c r="X83" s="32"/>
      <c r="Y83" s="32"/>
      <c r="Z83" s="32"/>
      <c r="AA83" s="32"/>
      <c r="AB83" s="32"/>
    </row>
    <row r="84" spans="1:28" ht="16" hidden="1">
      <c r="A84" s="214">
        <v>77</v>
      </c>
      <c r="B84" s="215" t="s">
        <v>2513</v>
      </c>
      <c r="C84" s="215" t="s">
        <v>37</v>
      </c>
      <c r="D84" s="216">
        <v>46092</v>
      </c>
      <c r="E84" s="109" t="str">
        <f>VLOOKUP($C84,xe!$A:$B,2,0)</f>
        <v>50H-66347</v>
      </c>
      <c r="F84" s="217" t="str">
        <f>VLOOKUP($B84,ma!$A:$B,2,0)</f>
        <v>PHẠM ANH QUẬN 6 PALLET</v>
      </c>
      <c r="G84" s="218"/>
      <c r="H84" s="218"/>
      <c r="I84" s="219">
        <v>100000</v>
      </c>
      <c r="J84" s="218" t="s">
        <v>1427</v>
      </c>
      <c r="K84" s="219"/>
      <c r="L84" s="218"/>
      <c r="M84" s="228">
        <v>11.48</v>
      </c>
      <c r="N84" s="221">
        <f>VLOOKUP($B84,ma!$A:$C,3,0)</f>
        <v>200000</v>
      </c>
      <c r="O84" s="221">
        <f t="shared" si="0"/>
        <v>2296000</v>
      </c>
      <c r="P84" s="221">
        <f t="shared" si="1"/>
        <v>229600</v>
      </c>
      <c r="Q84" s="201"/>
      <c r="R84" s="201"/>
      <c r="S84" s="201"/>
      <c r="T84" s="201"/>
      <c r="U84" s="201"/>
      <c r="V84" s="32"/>
      <c r="W84" s="32"/>
      <c r="X84" s="32"/>
      <c r="Y84" s="32"/>
      <c r="Z84" s="32"/>
      <c r="AA84" s="32"/>
      <c r="AB84" s="32"/>
    </row>
    <row r="85" spans="1:28" ht="16" hidden="1">
      <c r="A85" s="214">
        <v>78</v>
      </c>
      <c r="B85" s="215" t="s">
        <v>2506</v>
      </c>
      <c r="C85" s="215" t="s">
        <v>37</v>
      </c>
      <c r="D85" s="216">
        <v>46092</v>
      </c>
      <c r="E85" s="109" t="str">
        <f>VLOOKUP($C85,xe!$A:$B,2,0)</f>
        <v>50H-66347</v>
      </c>
      <c r="F85" s="217" t="str">
        <f>VLOOKUP($B85,ma!$A:$B,2,0)</f>
        <v>TUẤN LỘC Q7 PALLET</v>
      </c>
      <c r="G85" s="218"/>
      <c r="H85" s="218"/>
      <c r="I85" s="219">
        <v>50000</v>
      </c>
      <c r="J85" s="218" t="s">
        <v>1427</v>
      </c>
      <c r="K85" s="219"/>
      <c r="L85" s="218"/>
      <c r="M85" s="228">
        <v>12.47</v>
      </c>
      <c r="N85" s="221">
        <f>VLOOKUP($B85,ma!$A:$C,3,0)</f>
        <v>200000</v>
      </c>
      <c r="O85" s="221">
        <f t="shared" si="0"/>
        <v>2494000</v>
      </c>
      <c r="P85" s="221">
        <f t="shared" si="1"/>
        <v>249400</v>
      </c>
      <c r="Q85" s="201"/>
      <c r="R85" s="201"/>
      <c r="S85" s="201"/>
      <c r="T85" s="201"/>
      <c r="U85" s="201"/>
      <c r="V85" s="32"/>
      <c r="W85" s="32"/>
      <c r="X85" s="32"/>
      <c r="Y85" s="32"/>
      <c r="Z85" s="32"/>
      <c r="AA85" s="32"/>
      <c r="AB85" s="32"/>
    </row>
    <row r="86" spans="1:28" ht="16" hidden="1">
      <c r="A86" s="214">
        <v>79</v>
      </c>
      <c r="B86" s="215" t="s">
        <v>2506</v>
      </c>
      <c r="C86" s="215" t="s">
        <v>39</v>
      </c>
      <c r="D86" s="216">
        <v>46092</v>
      </c>
      <c r="E86" s="109" t="str">
        <f>VLOOKUP($C86,xe!$A:$B,2,0)</f>
        <v>50E-654.34</v>
      </c>
      <c r="F86" s="217" t="str">
        <f>VLOOKUP($B86,ma!$A:$B,2,0)</f>
        <v>TUẤN LỘC Q7 PALLET</v>
      </c>
      <c r="G86" s="218"/>
      <c r="H86" s="218"/>
      <c r="I86" s="219">
        <v>50000</v>
      </c>
      <c r="J86" s="218" t="s">
        <v>1427</v>
      </c>
      <c r="K86" s="219"/>
      <c r="L86" s="218"/>
      <c r="M86" s="230">
        <v>11.48</v>
      </c>
      <c r="N86" s="221">
        <f>VLOOKUP($B86,ma!$A:$C,3,0)</f>
        <v>200000</v>
      </c>
      <c r="O86" s="221">
        <f t="shared" si="0"/>
        <v>2296000</v>
      </c>
      <c r="P86" s="221">
        <f t="shared" si="1"/>
        <v>229600</v>
      </c>
      <c r="Q86" s="201"/>
      <c r="R86" s="201"/>
      <c r="S86" s="201"/>
      <c r="T86" s="201"/>
      <c r="U86" s="201"/>
      <c r="V86" s="32"/>
      <c r="W86" s="32"/>
      <c r="X86" s="32"/>
      <c r="Y86" s="32"/>
      <c r="Z86" s="32"/>
      <c r="AA86" s="32"/>
      <c r="AB86" s="32"/>
    </row>
    <row r="87" spans="1:28" ht="16" hidden="1">
      <c r="A87" s="214">
        <v>80</v>
      </c>
      <c r="B87" s="215" t="s">
        <v>2506</v>
      </c>
      <c r="C87" s="215" t="s">
        <v>39</v>
      </c>
      <c r="D87" s="216">
        <v>46092</v>
      </c>
      <c r="E87" s="109" t="str">
        <f>VLOOKUP($C87,xe!$A:$B,2,0)</f>
        <v>50E-654.34</v>
      </c>
      <c r="F87" s="217" t="str">
        <f>VLOOKUP($B87,ma!$A:$B,2,0)</f>
        <v>TUẤN LỘC Q7 PALLET</v>
      </c>
      <c r="G87" s="218"/>
      <c r="H87" s="218"/>
      <c r="I87" s="219">
        <v>100000</v>
      </c>
      <c r="J87" s="218" t="s">
        <v>1427</v>
      </c>
      <c r="K87" s="219">
        <v>50000</v>
      </c>
      <c r="L87" s="218" t="s">
        <v>2508</v>
      </c>
      <c r="M87" s="231">
        <v>12</v>
      </c>
      <c r="N87" s="221">
        <f>VLOOKUP($B87,ma!$A:$C,3,0)</f>
        <v>200000</v>
      </c>
      <c r="O87" s="221">
        <f t="shared" si="0"/>
        <v>2400000</v>
      </c>
      <c r="P87" s="221">
        <f t="shared" si="1"/>
        <v>240000</v>
      </c>
      <c r="Q87" s="201"/>
      <c r="R87" s="201"/>
      <c r="S87" s="201"/>
      <c r="T87" s="201"/>
      <c r="U87" s="201"/>
      <c r="V87" s="32"/>
      <c r="W87" s="32"/>
      <c r="X87" s="32"/>
      <c r="Y87" s="32"/>
      <c r="Z87" s="32"/>
      <c r="AA87" s="32"/>
      <c r="AB87" s="32"/>
    </row>
    <row r="88" spans="1:28" ht="16" hidden="1">
      <c r="A88" s="214">
        <v>81</v>
      </c>
      <c r="B88" s="215" t="s">
        <v>2512</v>
      </c>
      <c r="C88" s="215" t="s">
        <v>41</v>
      </c>
      <c r="D88" s="216">
        <v>46092</v>
      </c>
      <c r="E88" s="109" t="str">
        <f>VLOOKUP($C88,xe!$A:$B,2,0)</f>
        <v>50E-324,01</v>
      </c>
      <c r="F88" s="217" t="str">
        <f>VLOOKUP($B88,ma!$A:$B,2,0)</f>
        <v>QUẬN 8 XÁ</v>
      </c>
      <c r="G88" s="218"/>
      <c r="H88" s="218"/>
      <c r="I88" s="219">
        <v>200000</v>
      </c>
      <c r="J88" s="218"/>
      <c r="K88" s="219"/>
      <c r="L88" s="218"/>
      <c r="M88" s="230">
        <v>15.62</v>
      </c>
      <c r="N88" s="221">
        <f>VLOOKUP($B88,ma!$A:$C,3,0)</f>
        <v>200000</v>
      </c>
      <c r="O88" s="221">
        <f t="shared" si="0"/>
        <v>3124000</v>
      </c>
      <c r="P88" s="221">
        <f t="shared" si="1"/>
        <v>312400</v>
      </c>
      <c r="Q88" s="201"/>
      <c r="R88" s="201"/>
      <c r="S88" s="201"/>
      <c r="T88" s="201"/>
      <c r="U88" s="201"/>
      <c r="V88" s="32"/>
      <c r="W88" s="32"/>
      <c r="X88" s="32"/>
      <c r="Y88" s="32"/>
      <c r="Z88" s="32"/>
      <c r="AA88" s="32"/>
      <c r="AB88" s="32"/>
    </row>
    <row r="89" spans="1:28" ht="16" hidden="1">
      <c r="A89" s="214">
        <v>82</v>
      </c>
      <c r="B89" s="215" t="s">
        <v>2513</v>
      </c>
      <c r="C89" s="215" t="s">
        <v>43</v>
      </c>
      <c r="D89" s="216">
        <v>46092</v>
      </c>
      <c r="E89" s="109" t="str">
        <f>VLOOKUP($C89,xe!$A:$B,2,0)</f>
        <v>50H-87055</v>
      </c>
      <c r="F89" s="217" t="str">
        <f>VLOOKUP($B89,ma!$A:$B,2,0)</f>
        <v>PHẠM ANH QUẬN 6 PALLET</v>
      </c>
      <c r="G89" s="218"/>
      <c r="H89" s="218"/>
      <c r="I89" s="219">
        <v>100000</v>
      </c>
      <c r="J89" s="218" t="s">
        <v>1427</v>
      </c>
      <c r="K89" s="219"/>
      <c r="L89" s="218"/>
      <c r="M89" s="230">
        <v>13.51</v>
      </c>
      <c r="N89" s="221">
        <f>VLOOKUP($B89,ma!$A:$C,3,0)</f>
        <v>200000</v>
      </c>
      <c r="O89" s="221">
        <f t="shared" si="0"/>
        <v>2702000</v>
      </c>
      <c r="P89" s="221">
        <f t="shared" si="1"/>
        <v>270200</v>
      </c>
      <c r="Q89" s="201"/>
      <c r="R89" s="201"/>
      <c r="S89" s="201"/>
      <c r="T89" s="201"/>
      <c r="U89" s="201"/>
      <c r="V89" s="32"/>
      <c r="W89" s="32"/>
      <c r="X89" s="32"/>
      <c r="Y89" s="32"/>
      <c r="Z89" s="32"/>
      <c r="AA89" s="32"/>
      <c r="AB89" s="32"/>
    </row>
    <row r="90" spans="1:28" ht="16" hidden="1">
      <c r="A90" s="214">
        <v>83</v>
      </c>
      <c r="B90" s="215" t="s">
        <v>2509</v>
      </c>
      <c r="C90" s="215" t="s">
        <v>43</v>
      </c>
      <c r="D90" s="216">
        <v>46092</v>
      </c>
      <c r="E90" s="109" t="str">
        <f>VLOOKUP($C90,xe!$A:$B,2,0)</f>
        <v>50H-87055</v>
      </c>
      <c r="F90" s="217" t="str">
        <f>VLOOKUP($B90,ma!$A:$B,2,0)</f>
        <v>NAIC -UNI</v>
      </c>
      <c r="G90" s="218"/>
      <c r="H90" s="218"/>
      <c r="I90" s="219">
        <v>100000</v>
      </c>
      <c r="J90" s="218" t="s">
        <v>1427</v>
      </c>
      <c r="K90" s="219"/>
      <c r="L90" s="218"/>
      <c r="M90" s="231">
        <v>1</v>
      </c>
      <c r="N90" s="221">
        <f>VLOOKUP($B90,ma!$A:$C,3,0)</f>
        <v>2400000</v>
      </c>
      <c r="O90" s="221">
        <f t="shared" si="0"/>
        <v>2400000</v>
      </c>
      <c r="P90" s="221">
        <f t="shared" si="1"/>
        <v>240000</v>
      </c>
      <c r="Q90" s="201"/>
      <c r="R90" s="201"/>
      <c r="S90" s="201"/>
      <c r="T90" s="201"/>
      <c r="U90" s="201"/>
      <c r="V90" s="32"/>
      <c r="W90" s="32"/>
      <c r="X90" s="32"/>
      <c r="Y90" s="32"/>
      <c r="Z90" s="32"/>
      <c r="AA90" s="32"/>
      <c r="AB90" s="32"/>
    </row>
    <row r="91" spans="1:28" ht="16" hidden="1">
      <c r="A91" s="214">
        <v>84</v>
      </c>
      <c r="B91" s="215" t="s">
        <v>2522</v>
      </c>
      <c r="C91" s="215" t="s">
        <v>2519</v>
      </c>
      <c r="D91" s="216">
        <v>46093</v>
      </c>
      <c r="E91" s="133" t="str">
        <f>VLOOKUP($C91,xe!$A:$B,2,0)</f>
        <v>50E-648.73</v>
      </c>
      <c r="F91" s="217" t="str">
        <f>VLOOKUP($B91,ma!$A:$B,2,0)</f>
        <v>PHAN MINH VŨ-BIÊN HOÀ PALLET</v>
      </c>
      <c r="G91" s="218"/>
      <c r="H91" s="218"/>
      <c r="I91" s="219">
        <v>120000</v>
      </c>
      <c r="J91" s="218"/>
      <c r="K91" s="219"/>
      <c r="L91" s="218"/>
      <c r="M91" s="230">
        <v>12.86</v>
      </c>
      <c r="N91" s="221">
        <f>VLOOKUP($B91,ma!$A:$C,3,0)</f>
        <v>238000</v>
      </c>
      <c r="O91" s="221">
        <f t="shared" si="0"/>
        <v>3060680</v>
      </c>
      <c r="P91" s="221">
        <f t="shared" si="1"/>
        <v>306068</v>
      </c>
      <c r="Q91" s="201"/>
      <c r="R91" s="201"/>
      <c r="S91" s="201"/>
      <c r="T91" s="201"/>
      <c r="U91" s="201"/>
      <c r="V91" s="32"/>
      <c r="W91" s="32"/>
      <c r="X91" s="32"/>
      <c r="Y91" s="32"/>
      <c r="Z91" s="32"/>
      <c r="AA91" s="32"/>
      <c r="AB91" s="32"/>
    </row>
    <row r="92" spans="1:28" ht="16" hidden="1">
      <c r="A92" s="214">
        <v>85</v>
      </c>
      <c r="B92" s="215" t="s">
        <v>2509</v>
      </c>
      <c r="C92" s="215" t="s">
        <v>37</v>
      </c>
      <c r="D92" s="216">
        <v>46093</v>
      </c>
      <c r="E92" s="109" t="str">
        <f>VLOOKUP($C92,xe!$A:$B,2,0)</f>
        <v>50H-66347</v>
      </c>
      <c r="F92" s="217" t="str">
        <f>VLOOKUP($B92,ma!$A:$B,2,0)</f>
        <v>NAIC -UNI</v>
      </c>
      <c r="G92" s="218"/>
      <c r="H92" s="218"/>
      <c r="I92" s="219">
        <v>100000</v>
      </c>
      <c r="J92" s="218" t="s">
        <v>1427</v>
      </c>
      <c r="K92" s="219"/>
      <c r="L92" s="218"/>
      <c r="M92" s="231">
        <v>1</v>
      </c>
      <c r="N92" s="221">
        <f>VLOOKUP($B92,ma!$A:$C,3,0)</f>
        <v>2400000</v>
      </c>
      <c r="O92" s="221">
        <f t="shared" si="0"/>
        <v>2400000</v>
      </c>
      <c r="P92" s="221">
        <f t="shared" si="1"/>
        <v>240000</v>
      </c>
      <c r="Q92" s="201"/>
      <c r="R92" s="201"/>
      <c r="S92" s="201"/>
      <c r="T92" s="201"/>
      <c r="U92" s="201"/>
      <c r="V92" s="32"/>
      <c r="W92" s="32"/>
      <c r="X92" s="32"/>
      <c r="Y92" s="32"/>
      <c r="Z92" s="32"/>
      <c r="AA92" s="32"/>
      <c r="AB92" s="32"/>
    </row>
    <row r="93" spans="1:28" ht="16" hidden="1">
      <c r="A93" s="214">
        <v>86</v>
      </c>
      <c r="B93" s="215" t="s">
        <v>238</v>
      </c>
      <c r="C93" s="215" t="s">
        <v>37</v>
      </c>
      <c r="D93" s="216">
        <v>46093</v>
      </c>
      <c r="E93" s="109" t="str">
        <f>VLOOKUP($C93,xe!$A:$B,2,0)</f>
        <v>50H-66347</v>
      </c>
      <c r="F93" s="217" t="str">
        <f>VLOOKUP($B93,ma!$A:$B,2,0)</f>
        <v>HÓA CHẤT VIỆT MỸ XE LỚN</v>
      </c>
      <c r="G93" s="218"/>
      <c r="H93" s="218"/>
      <c r="I93" s="219">
        <v>200000</v>
      </c>
      <c r="J93" s="218" t="s">
        <v>1427</v>
      </c>
      <c r="K93" s="219"/>
      <c r="L93" s="218"/>
      <c r="M93" s="228">
        <v>10.46</v>
      </c>
      <c r="N93" s="221">
        <f>VLOOKUP($B93,ma!$A:$C,3,0)</f>
        <v>200000</v>
      </c>
      <c r="O93" s="221">
        <f t="shared" si="0"/>
        <v>2092000.0000000002</v>
      </c>
      <c r="P93" s="221">
        <f t="shared" si="1"/>
        <v>209200.00000000003</v>
      </c>
      <c r="Q93" s="201"/>
      <c r="R93" s="201"/>
      <c r="S93" s="201"/>
      <c r="T93" s="201"/>
      <c r="U93" s="201"/>
      <c r="V93" s="32"/>
      <c r="W93" s="32"/>
      <c r="X93" s="32"/>
      <c r="Y93" s="32"/>
      <c r="Z93" s="32"/>
      <c r="AA93" s="32"/>
      <c r="AB93" s="32"/>
    </row>
    <row r="94" spans="1:28" ht="16" hidden="1">
      <c r="A94" s="214">
        <v>87</v>
      </c>
      <c r="B94" s="215" t="s">
        <v>2512</v>
      </c>
      <c r="C94" s="215" t="s">
        <v>39</v>
      </c>
      <c r="D94" s="216">
        <v>46093</v>
      </c>
      <c r="E94" s="109" t="str">
        <f>VLOOKUP($C94,xe!$A:$B,2,0)</f>
        <v>50E-654.34</v>
      </c>
      <c r="F94" s="217" t="str">
        <f>VLOOKUP($B94,ma!$A:$B,2,0)</f>
        <v>QUẬN 8 XÁ</v>
      </c>
      <c r="G94" s="218"/>
      <c r="H94" s="218"/>
      <c r="I94" s="219">
        <v>200000</v>
      </c>
      <c r="J94" s="218" t="s">
        <v>1427</v>
      </c>
      <c r="K94" s="219"/>
      <c r="L94" s="218"/>
      <c r="M94" s="230">
        <v>14.95</v>
      </c>
      <c r="N94" s="221">
        <f>VLOOKUP($B94,ma!$A:$C,3,0)</f>
        <v>200000</v>
      </c>
      <c r="O94" s="221">
        <f t="shared" si="0"/>
        <v>2990000</v>
      </c>
      <c r="P94" s="221">
        <f t="shared" si="1"/>
        <v>299000</v>
      </c>
      <c r="Q94" s="201"/>
      <c r="R94" s="201"/>
      <c r="S94" s="201"/>
      <c r="T94" s="201"/>
      <c r="U94" s="201"/>
      <c r="V94" s="32"/>
      <c r="W94" s="32"/>
      <c r="X94" s="32"/>
      <c r="Y94" s="32"/>
      <c r="Z94" s="32"/>
      <c r="AA94" s="32"/>
      <c r="AB94" s="32"/>
    </row>
    <row r="95" spans="1:28" ht="16" hidden="1">
      <c r="A95" s="214">
        <v>88</v>
      </c>
      <c r="B95" s="215" t="s">
        <v>2506</v>
      </c>
      <c r="C95" s="215" t="s">
        <v>41</v>
      </c>
      <c r="D95" s="216">
        <v>46093</v>
      </c>
      <c r="E95" s="109" t="str">
        <f>VLOOKUP($C95,xe!$A:$B,2,0)</f>
        <v>50E-324,01</v>
      </c>
      <c r="F95" s="217" t="str">
        <f>VLOOKUP($B95,ma!$A:$B,2,0)</f>
        <v>TUẤN LỘC Q7 PALLET</v>
      </c>
      <c r="G95" s="218"/>
      <c r="H95" s="218"/>
      <c r="I95" s="219">
        <v>100000</v>
      </c>
      <c r="J95" s="218"/>
      <c r="K95" s="219"/>
      <c r="L95" s="218"/>
      <c r="M95" s="230">
        <v>11.54</v>
      </c>
      <c r="N95" s="221">
        <f>VLOOKUP($B95,ma!$A:$C,3,0)</f>
        <v>200000</v>
      </c>
      <c r="O95" s="221">
        <f t="shared" si="0"/>
        <v>2308000</v>
      </c>
      <c r="P95" s="221">
        <f t="shared" si="1"/>
        <v>230800</v>
      </c>
      <c r="Q95" s="201"/>
      <c r="R95" s="201"/>
      <c r="S95" s="201"/>
      <c r="T95" s="201"/>
      <c r="U95" s="201"/>
      <c r="V95" s="32"/>
      <c r="W95" s="32"/>
      <c r="X95" s="32"/>
      <c r="Y95" s="32"/>
      <c r="Z95" s="32"/>
      <c r="AA95" s="32"/>
      <c r="AB95" s="32"/>
    </row>
    <row r="96" spans="1:28" ht="16" hidden="1">
      <c r="A96" s="214">
        <v>89</v>
      </c>
      <c r="B96" s="215" t="s">
        <v>2506</v>
      </c>
      <c r="C96" s="215" t="s">
        <v>41</v>
      </c>
      <c r="D96" s="216">
        <v>46093</v>
      </c>
      <c r="E96" s="109" t="str">
        <f>VLOOKUP($C96,xe!$A:$B,2,0)</f>
        <v>50E-324,01</v>
      </c>
      <c r="F96" s="217" t="str">
        <f>VLOOKUP($B96,ma!$A:$B,2,0)</f>
        <v>TUẤN LỘC Q7 PALLET</v>
      </c>
      <c r="G96" s="218"/>
      <c r="H96" s="218"/>
      <c r="I96" s="219">
        <v>100000</v>
      </c>
      <c r="J96" s="218"/>
      <c r="K96" s="219"/>
      <c r="L96" s="218"/>
      <c r="M96" s="230">
        <v>12.88</v>
      </c>
      <c r="N96" s="221">
        <f>VLOOKUP($B96,ma!$A:$C,3,0)</f>
        <v>200000</v>
      </c>
      <c r="O96" s="221">
        <f t="shared" si="0"/>
        <v>2576000</v>
      </c>
      <c r="P96" s="221">
        <f t="shared" si="1"/>
        <v>257600</v>
      </c>
      <c r="Q96" s="201"/>
      <c r="R96" s="201"/>
      <c r="S96" s="201"/>
      <c r="T96" s="201"/>
      <c r="U96" s="201"/>
      <c r="V96" s="32"/>
      <c r="W96" s="32"/>
      <c r="X96" s="32"/>
      <c r="Y96" s="32"/>
      <c r="Z96" s="32"/>
      <c r="AA96" s="32"/>
      <c r="AB96" s="32"/>
    </row>
    <row r="97" spans="1:28" ht="16" hidden="1">
      <c r="A97" s="214">
        <v>90</v>
      </c>
      <c r="B97" s="215" t="s">
        <v>2506</v>
      </c>
      <c r="C97" s="215" t="s">
        <v>43</v>
      </c>
      <c r="D97" s="216">
        <v>46093</v>
      </c>
      <c r="E97" s="109" t="str">
        <f>VLOOKUP($C97,xe!$A:$B,2,0)</f>
        <v>50H-87055</v>
      </c>
      <c r="F97" s="217" t="str">
        <f>VLOOKUP($B97,ma!$A:$B,2,0)</f>
        <v>TUẤN LỘC Q7 PALLET</v>
      </c>
      <c r="G97" s="218"/>
      <c r="H97" s="218"/>
      <c r="I97" s="219">
        <v>100000</v>
      </c>
      <c r="J97" s="218" t="s">
        <v>1427</v>
      </c>
      <c r="K97" s="219"/>
      <c r="L97" s="218"/>
      <c r="M97" s="230">
        <v>14.44</v>
      </c>
      <c r="N97" s="221">
        <f>VLOOKUP($B97,ma!$A:$C,3,0)</f>
        <v>200000</v>
      </c>
      <c r="O97" s="221">
        <f t="shared" si="0"/>
        <v>2888000</v>
      </c>
      <c r="P97" s="221">
        <f t="shared" si="1"/>
        <v>288800</v>
      </c>
      <c r="Q97" s="201"/>
      <c r="R97" s="201"/>
      <c r="S97" s="201"/>
      <c r="T97" s="201"/>
      <c r="U97" s="201"/>
      <c r="V97" s="32"/>
      <c r="W97" s="32"/>
      <c r="X97" s="32"/>
      <c r="Y97" s="32"/>
      <c r="Z97" s="32"/>
      <c r="AA97" s="32"/>
      <c r="AB97" s="32"/>
    </row>
    <row r="98" spans="1:28" ht="16" hidden="1">
      <c r="A98" s="214">
        <v>91</v>
      </c>
      <c r="B98" s="215" t="s">
        <v>2509</v>
      </c>
      <c r="C98" s="215" t="s">
        <v>43</v>
      </c>
      <c r="D98" s="216">
        <v>46093</v>
      </c>
      <c r="E98" s="109" t="str">
        <f>VLOOKUP($C98,xe!$A:$B,2,0)</f>
        <v>50H-87055</v>
      </c>
      <c r="F98" s="217" t="str">
        <f>VLOOKUP($B98,ma!$A:$B,2,0)</f>
        <v>NAIC -UNI</v>
      </c>
      <c r="G98" s="218"/>
      <c r="H98" s="218"/>
      <c r="I98" s="219">
        <v>100000</v>
      </c>
      <c r="J98" s="218" t="s">
        <v>1427</v>
      </c>
      <c r="K98" s="219"/>
      <c r="L98" s="218"/>
      <c r="M98" s="231">
        <v>1</v>
      </c>
      <c r="N98" s="221">
        <f>VLOOKUP($B98,ma!$A:$C,3,0)</f>
        <v>2400000</v>
      </c>
      <c r="O98" s="221">
        <f t="shared" si="0"/>
        <v>2400000</v>
      </c>
      <c r="P98" s="221">
        <f t="shared" si="1"/>
        <v>240000</v>
      </c>
      <c r="Q98" s="201"/>
      <c r="R98" s="201"/>
      <c r="S98" s="201"/>
      <c r="T98" s="201"/>
      <c r="U98" s="201"/>
      <c r="V98" s="32"/>
      <c r="W98" s="32"/>
      <c r="X98" s="32"/>
      <c r="Y98" s="32"/>
      <c r="Z98" s="32"/>
      <c r="AA98" s="32"/>
      <c r="AB98" s="32"/>
    </row>
    <row r="99" spans="1:28" ht="16" hidden="1">
      <c r="A99" s="214">
        <v>92</v>
      </c>
      <c r="B99" s="215" t="s">
        <v>2513</v>
      </c>
      <c r="C99" s="215" t="s">
        <v>2523</v>
      </c>
      <c r="D99" s="216">
        <v>46093</v>
      </c>
      <c r="E99" s="109" t="str">
        <f>VLOOKUP($C99,xe!$A:$B,2,0)</f>
        <v>50E-757,74</v>
      </c>
      <c r="F99" s="217" t="str">
        <f>VLOOKUP($B99,ma!$A:$B,2,0)</f>
        <v>PHẠM ANH QUẬN 6 PALLET</v>
      </c>
      <c r="G99" s="218"/>
      <c r="H99" s="218"/>
      <c r="I99" s="219">
        <v>100000</v>
      </c>
      <c r="J99" s="218"/>
      <c r="K99" s="219">
        <v>140000</v>
      </c>
      <c r="L99" s="218" t="s">
        <v>2524</v>
      </c>
      <c r="M99" s="230">
        <v>12.33</v>
      </c>
      <c r="N99" s="221">
        <f>VLOOKUP($B99,ma!$A:$C,3,0)</f>
        <v>200000</v>
      </c>
      <c r="O99" s="221">
        <f t="shared" si="0"/>
        <v>2466000</v>
      </c>
      <c r="P99" s="221">
        <f t="shared" si="1"/>
        <v>246600</v>
      </c>
      <c r="Q99" s="201"/>
      <c r="R99" s="201"/>
      <c r="S99" s="201"/>
      <c r="T99" s="201"/>
      <c r="U99" s="201"/>
      <c r="V99" s="32"/>
      <c r="W99" s="32"/>
      <c r="X99" s="32"/>
      <c r="Y99" s="32"/>
      <c r="Z99" s="32"/>
      <c r="AA99" s="32"/>
      <c r="AB99" s="32"/>
    </row>
    <row r="100" spans="1:28" ht="16" hidden="1">
      <c r="A100" s="214">
        <v>93</v>
      </c>
      <c r="B100" s="215" t="s">
        <v>2509</v>
      </c>
      <c r="C100" s="215" t="s">
        <v>2523</v>
      </c>
      <c r="D100" s="216">
        <v>46093</v>
      </c>
      <c r="E100" s="109" t="str">
        <f>VLOOKUP($C100,xe!$A:$B,2,0)</f>
        <v>50E-757,74</v>
      </c>
      <c r="F100" s="217" t="str">
        <f>VLOOKUP($B100,ma!$A:$B,2,0)</f>
        <v>NAIC -UNI</v>
      </c>
      <c r="G100" s="218"/>
      <c r="H100" s="218"/>
      <c r="I100" s="219">
        <v>100000</v>
      </c>
      <c r="J100" s="218"/>
      <c r="K100" s="219">
        <v>365000</v>
      </c>
      <c r="L100" s="218" t="s">
        <v>2507</v>
      </c>
      <c r="M100" s="231">
        <v>1</v>
      </c>
      <c r="N100" s="221">
        <f>VLOOKUP($B100,ma!$A:$C,3,0)</f>
        <v>2400000</v>
      </c>
      <c r="O100" s="221">
        <f t="shared" si="0"/>
        <v>2400000</v>
      </c>
      <c r="P100" s="221">
        <f t="shared" si="1"/>
        <v>240000</v>
      </c>
      <c r="Q100" s="201"/>
      <c r="R100" s="201"/>
      <c r="S100" s="201"/>
      <c r="T100" s="201"/>
      <c r="U100" s="201"/>
      <c r="V100" s="32"/>
      <c r="W100" s="32"/>
      <c r="X100" s="32"/>
      <c r="Y100" s="32"/>
      <c r="Z100" s="32"/>
      <c r="AA100" s="32"/>
      <c r="AB100" s="32"/>
    </row>
    <row r="101" spans="1:28" ht="16" hidden="1">
      <c r="A101" s="234">
        <v>95</v>
      </c>
      <c r="B101" s="235" t="s">
        <v>2513</v>
      </c>
      <c r="C101" s="235" t="s">
        <v>43</v>
      </c>
      <c r="D101" s="236">
        <v>46094</v>
      </c>
      <c r="E101" s="139" t="str">
        <f>VLOOKUP($C101,xe!$A:$B,2,0)</f>
        <v>50H-87055</v>
      </c>
      <c r="F101" s="237" t="str">
        <f>VLOOKUP($B101,ma!$A:$B,2,0)</f>
        <v>PHẠM ANH QUẬN 6 PALLET</v>
      </c>
      <c r="G101" s="238"/>
      <c r="H101" s="238"/>
      <c r="I101" s="239">
        <v>150000</v>
      </c>
      <c r="J101" s="218" t="s">
        <v>1427</v>
      </c>
      <c r="K101" s="239"/>
      <c r="L101" s="238"/>
      <c r="M101" s="240">
        <v>12.17</v>
      </c>
      <c r="N101" s="241">
        <f>VLOOKUP($B101,ma!$A:$C,3,0)</f>
        <v>200000</v>
      </c>
      <c r="O101" s="241">
        <f t="shared" si="0"/>
        <v>2434000</v>
      </c>
      <c r="P101" s="241">
        <f t="shared" si="1"/>
        <v>243400</v>
      </c>
      <c r="Q101" s="201"/>
      <c r="R101" s="201"/>
      <c r="S101" s="201"/>
      <c r="T101" s="201"/>
      <c r="U101" s="201"/>
      <c r="V101" s="32"/>
      <c r="W101" s="32"/>
      <c r="X101" s="32"/>
      <c r="Y101" s="32"/>
      <c r="Z101" s="32"/>
      <c r="AA101" s="32"/>
      <c r="AB101" s="32"/>
    </row>
    <row r="102" spans="1:28" ht="16" hidden="1">
      <c r="A102" s="214">
        <v>96</v>
      </c>
      <c r="B102" s="215" t="s">
        <v>2513</v>
      </c>
      <c r="C102" s="215" t="s">
        <v>41</v>
      </c>
      <c r="D102" s="216">
        <v>46094</v>
      </c>
      <c r="E102" s="109" t="str">
        <f>VLOOKUP($C102,xe!$A:$B,2,0)</f>
        <v>50E-324,01</v>
      </c>
      <c r="F102" s="217" t="str">
        <f>VLOOKUP($B102,ma!$A:$B,2,0)</f>
        <v>PHẠM ANH QUẬN 6 PALLET</v>
      </c>
      <c r="G102" s="218"/>
      <c r="H102" s="218"/>
      <c r="I102" s="219">
        <v>100000</v>
      </c>
      <c r="J102" s="218"/>
      <c r="K102" s="219">
        <v>200000</v>
      </c>
      <c r="L102" s="218" t="s">
        <v>2525</v>
      </c>
      <c r="M102" s="230">
        <v>12.37</v>
      </c>
      <c r="N102" s="221">
        <f>VLOOKUP($B102,ma!$A:$C,3,0)</f>
        <v>200000</v>
      </c>
      <c r="O102" s="221">
        <f t="shared" si="0"/>
        <v>2474000</v>
      </c>
      <c r="P102" s="221">
        <f t="shared" si="1"/>
        <v>247400</v>
      </c>
      <c r="Q102" s="201"/>
      <c r="R102" s="201"/>
      <c r="S102" s="201"/>
      <c r="T102" s="201"/>
      <c r="U102" s="201"/>
      <c r="V102" s="32"/>
      <c r="W102" s="32"/>
      <c r="X102" s="32"/>
      <c r="Y102" s="32"/>
      <c r="Z102" s="32"/>
      <c r="AA102" s="32"/>
      <c r="AB102" s="32"/>
    </row>
    <row r="103" spans="1:28" ht="16" hidden="1">
      <c r="A103" s="214">
        <v>97</v>
      </c>
      <c r="B103" s="215" t="s">
        <v>2506</v>
      </c>
      <c r="C103" s="215" t="s">
        <v>41</v>
      </c>
      <c r="D103" s="216">
        <v>46094</v>
      </c>
      <c r="E103" s="109" t="str">
        <f>VLOOKUP($C103,xe!$A:$B,2,0)</f>
        <v>50E-324,01</v>
      </c>
      <c r="F103" s="217" t="str">
        <f>VLOOKUP($B103,ma!$A:$B,2,0)</f>
        <v>TUẤN LỘC Q7 PALLET</v>
      </c>
      <c r="G103" s="218"/>
      <c r="H103" s="218"/>
      <c r="I103" s="219">
        <v>100000</v>
      </c>
      <c r="J103" s="218"/>
      <c r="K103" s="219"/>
      <c r="L103" s="218"/>
      <c r="M103" s="230">
        <v>13.8</v>
      </c>
      <c r="N103" s="221">
        <f>VLOOKUP($B103,ma!$A:$C,3,0)</f>
        <v>200000</v>
      </c>
      <c r="O103" s="221">
        <f t="shared" si="0"/>
        <v>2760000</v>
      </c>
      <c r="P103" s="221">
        <f t="shared" si="1"/>
        <v>276000</v>
      </c>
      <c r="Q103" s="201"/>
      <c r="R103" s="201"/>
      <c r="S103" s="201"/>
      <c r="T103" s="201"/>
      <c r="U103" s="201"/>
      <c r="V103" s="32"/>
      <c r="W103" s="32"/>
      <c r="X103" s="32"/>
      <c r="Y103" s="32"/>
      <c r="Z103" s="32"/>
      <c r="AA103" s="32"/>
      <c r="AB103" s="32"/>
    </row>
    <row r="104" spans="1:28" ht="16" hidden="1">
      <c r="A104" s="214">
        <v>98</v>
      </c>
      <c r="B104" s="215" t="s">
        <v>2506</v>
      </c>
      <c r="C104" s="215" t="s">
        <v>41</v>
      </c>
      <c r="D104" s="216">
        <v>46094</v>
      </c>
      <c r="E104" s="109" t="str">
        <f>VLOOKUP($C104,xe!$A:$B,2,0)</f>
        <v>50E-324,01</v>
      </c>
      <c r="F104" s="217" t="str">
        <f>VLOOKUP($B104,ma!$A:$B,2,0)</f>
        <v>TUẤN LỘC Q7 PALLET</v>
      </c>
      <c r="G104" s="218"/>
      <c r="H104" s="218"/>
      <c r="I104" s="219">
        <v>50000</v>
      </c>
      <c r="J104" s="218"/>
      <c r="K104" s="219"/>
      <c r="L104" s="218"/>
      <c r="M104" s="230">
        <v>11.89</v>
      </c>
      <c r="N104" s="221">
        <f>VLOOKUP($B104,ma!$A:$C,3,0)</f>
        <v>200000</v>
      </c>
      <c r="O104" s="221">
        <f t="shared" si="0"/>
        <v>2378000</v>
      </c>
      <c r="P104" s="221">
        <f t="shared" si="1"/>
        <v>237800</v>
      </c>
      <c r="Q104" s="201"/>
      <c r="R104" s="201"/>
      <c r="S104" s="201"/>
      <c r="T104" s="201"/>
      <c r="U104" s="201"/>
      <c r="V104" s="32"/>
      <c r="W104" s="32"/>
      <c r="X104" s="32"/>
      <c r="Y104" s="32"/>
      <c r="Z104" s="32"/>
      <c r="AA104" s="32"/>
      <c r="AB104" s="32"/>
    </row>
    <row r="105" spans="1:28" ht="16" hidden="1">
      <c r="A105" s="214">
        <v>99</v>
      </c>
      <c r="B105" s="215" t="s">
        <v>2503</v>
      </c>
      <c r="C105" s="215" t="s">
        <v>2523</v>
      </c>
      <c r="D105" s="216">
        <v>46094</v>
      </c>
      <c r="E105" s="109" t="str">
        <f>VLOOKUP($C105,xe!$A:$B,2,0)</f>
        <v>50E-757,74</v>
      </c>
      <c r="F105" s="217" t="str">
        <f>VLOOKUP($B105,ma!$A:$B,2,0)</f>
        <v>NDFC - NAIC BẾN LỨC</v>
      </c>
      <c r="G105" s="218"/>
      <c r="H105" s="218"/>
      <c r="I105" s="219">
        <v>100000</v>
      </c>
      <c r="J105" s="218"/>
      <c r="K105" s="219">
        <v>120000</v>
      </c>
      <c r="L105" s="218" t="s">
        <v>2526</v>
      </c>
      <c r="M105" s="231">
        <v>1</v>
      </c>
      <c r="N105" s="221">
        <f>VLOOKUP($B105,ma!$A:$C,3,0)</f>
        <v>2400000</v>
      </c>
      <c r="O105" s="221">
        <f t="shared" si="0"/>
        <v>2400000</v>
      </c>
      <c r="P105" s="221">
        <f t="shared" si="1"/>
        <v>240000</v>
      </c>
      <c r="Q105" s="201"/>
      <c r="R105" s="201"/>
      <c r="S105" s="201"/>
      <c r="T105" s="201"/>
      <c r="U105" s="201"/>
      <c r="V105" s="32"/>
      <c r="W105" s="32"/>
      <c r="X105" s="32"/>
      <c r="Y105" s="32"/>
      <c r="Z105" s="32"/>
      <c r="AA105" s="32"/>
      <c r="AB105" s="32"/>
    </row>
    <row r="106" spans="1:28" ht="16" hidden="1">
      <c r="A106" s="214">
        <v>100</v>
      </c>
      <c r="B106" s="215" t="s">
        <v>2503</v>
      </c>
      <c r="C106" s="215" t="s">
        <v>39</v>
      </c>
      <c r="D106" s="216">
        <v>46094</v>
      </c>
      <c r="E106" s="109" t="str">
        <f>VLOOKUP($C106,xe!$A:$B,2,0)</f>
        <v>50E-654.34</v>
      </c>
      <c r="F106" s="217" t="str">
        <f>VLOOKUP($B106,ma!$A:$B,2,0)</f>
        <v>NDFC - NAIC BẾN LỨC</v>
      </c>
      <c r="G106" s="218"/>
      <c r="H106" s="218"/>
      <c r="I106" s="219">
        <v>100000</v>
      </c>
      <c r="J106" s="218" t="s">
        <v>1427</v>
      </c>
      <c r="K106" s="219"/>
      <c r="L106" s="218"/>
      <c r="M106" s="231">
        <v>1</v>
      </c>
      <c r="N106" s="221">
        <f>VLOOKUP($B106,ma!$A:$C,3,0)</f>
        <v>2400000</v>
      </c>
      <c r="O106" s="221">
        <f t="shared" si="0"/>
        <v>2400000</v>
      </c>
      <c r="P106" s="221">
        <f t="shared" si="1"/>
        <v>240000</v>
      </c>
      <c r="Q106" s="201"/>
      <c r="R106" s="201"/>
      <c r="S106" s="201"/>
      <c r="T106" s="201"/>
      <c r="U106" s="201"/>
      <c r="V106" s="32"/>
      <c r="W106" s="32"/>
      <c r="X106" s="32"/>
      <c r="Y106" s="32"/>
      <c r="Z106" s="32"/>
      <c r="AA106" s="32"/>
      <c r="AB106" s="32"/>
    </row>
    <row r="107" spans="1:28" ht="16" hidden="1">
      <c r="A107" s="214">
        <v>101</v>
      </c>
      <c r="B107" s="215" t="s">
        <v>2503</v>
      </c>
      <c r="C107" s="215" t="s">
        <v>2519</v>
      </c>
      <c r="D107" s="216">
        <v>46094</v>
      </c>
      <c r="E107" s="133" t="str">
        <f>VLOOKUP($C107,xe!$A:$B,2,0)</f>
        <v>50E-648.73</v>
      </c>
      <c r="F107" s="217" t="str">
        <f>VLOOKUP($B107,ma!$A:$B,2,0)</f>
        <v>NDFC - NAIC BẾN LỨC</v>
      </c>
      <c r="G107" s="218"/>
      <c r="H107" s="218"/>
      <c r="I107" s="219">
        <v>100000</v>
      </c>
      <c r="J107" s="218"/>
      <c r="K107" s="219"/>
      <c r="L107" s="218"/>
      <c r="M107" s="231">
        <v>1</v>
      </c>
      <c r="N107" s="221">
        <f>VLOOKUP($B107,ma!$A:$C,3,0)</f>
        <v>2400000</v>
      </c>
      <c r="O107" s="221">
        <f t="shared" si="0"/>
        <v>2400000</v>
      </c>
      <c r="P107" s="221">
        <f t="shared" si="1"/>
        <v>240000</v>
      </c>
      <c r="Q107" s="201"/>
      <c r="R107" s="201"/>
      <c r="S107" s="201"/>
      <c r="T107" s="201"/>
      <c r="U107" s="201"/>
      <c r="V107" s="32"/>
      <c r="W107" s="32"/>
      <c r="X107" s="32"/>
      <c r="Y107" s="32"/>
      <c r="Z107" s="32"/>
      <c r="AA107" s="32"/>
      <c r="AB107" s="32"/>
    </row>
    <row r="108" spans="1:28" ht="16" hidden="1">
      <c r="A108" s="214">
        <v>102</v>
      </c>
      <c r="B108" s="215" t="s">
        <v>2503</v>
      </c>
      <c r="C108" s="215" t="s">
        <v>43</v>
      </c>
      <c r="D108" s="216">
        <v>46094</v>
      </c>
      <c r="E108" s="109" t="str">
        <f>VLOOKUP($C108,xe!$A:$B,2,0)</f>
        <v>50H-87055</v>
      </c>
      <c r="F108" s="217" t="str">
        <f>VLOOKUP($B108,ma!$A:$B,2,0)</f>
        <v>NDFC - NAIC BẾN LỨC</v>
      </c>
      <c r="G108" s="218"/>
      <c r="H108" s="218"/>
      <c r="I108" s="219">
        <v>100000</v>
      </c>
      <c r="J108" s="218" t="s">
        <v>1427</v>
      </c>
      <c r="K108" s="219">
        <v>200000</v>
      </c>
      <c r="L108" s="218" t="s">
        <v>1423</v>
      </c>
      <c r="M108" s="231">
        <v>1</v>
      </c>
      <c r="N108" s="221">
        <f>VLOOKUP($B108,ma!$A:$C,3,0)</f>
        <v>2400000</v>
      </c>
      <c r="O108" s="221">
        <f t="shared" si="0"/>
        <v>2400000</v>
      </c>
      <c r="P108" s="221">
        <f t="shared" si="1"/>
        <v>240000</v>
      </c>
      <c r="Q108" s="201"/>
      <c r="R108" s="201"/>
      <c r="S108" s="201"/>
      <c r="T108" s="201"/>
      <c r="U108" s="201"/>
      <c r="V108" s="32"/>
      <c r="W108" s="32"/>
      <c r="X108" s="32"/>
      <c r="Y108" s="32"/>
      <c r="Z108" s="32"/>
      <c r="AA108" s="32"/>
      <c r="AB108" s="32"/>
    </row>
    <row r="109" spans="1:28" ht="16" hidden="1">
      <c r="A109" s="214">
        <v>103</v>
      </c>
      <c r="B109" s="215" t="s">
        <v>2509</v>
      </c>
      <c r="C109" s="215" t="s">
        <v>39</v>
      </c>
      <c r="D109" s="216">
        <v>46094</v>
      </c>
      <c r="E109" s="109" t="str">
        <f>VLOOKUP($C109,xe!$A:$B,2,0)</f>
        <v>50E-654.34</v>
      </c>
      <c r="F109" s="217" t="str">
        <f>VLOOKUP($B109,ma!$A:$B,2,0)</f>
        <v>NAIC -UNI</v>
      </c>
      <c r="G109" s="218"/>
      <c r="H109" s="218"/>
      <c r="I109" s="219">
        <v>100000</v>
      </c>
      <c r="J109" s="218" t="s">
        <v>1427</v>
      </c>
      <c r="K109" s="219"/>
      <c r="L109" s="218"/>
      <c r="M109" s="231">
        <v>1</v>
      </c>
      <c r="N109" s="221">
        <f>VLOOKUP($B109,ma!$A:$C,3,0)</f>
        <v>2400000</v>
      </c>
      <c r="O109" s="221">
        <f t="shared" si="0"/>
        <v>2400000</v>
      </c>
      <c r="P109" s="221">
        <f t="shared" si="1"/>
        <v>240000</v>
      </c>
      <c r="Q109" s="201"/>
      <c r="R109" s="201"/>
      <c r="S109" s="201"/>
      <c r="T109" s="201"/>
      <c r="U109" s="201"/>
      <c r="V109" s="32"/>
      <c r="W109" s="32"/>
      <c r="X109" s="32"/>
      <c r="Y109" s="32"/>
      <c r="Z109" s="32"/>
      <c r="AA109" s="32"/>
      <c r="AB109" s="32"/>
    </row>
    <row r="110" spans="1:28" ht="16" hidden="1">
      <c r="A110" s="214">
        <v>104</v>
      </c>
      <c r="B110" s="215" t="s">
        <v>2509</v>
      </c>
      <c r="C110" s="215" t="s">
        <v>2519</v>
      </c>
      <c r="D110" s="216">
        <v>46094</v>
      </c>
      <c r="E110" s="133" t="str">
        <f>VLOOKUP($C110,xe!$A:$B,2,0)</f>
        <v>50E-648.73</v>
      </c>
      <c r="F110" s="217" t="str">
        <f>VLOOKUP($B110,ma!$A:$B,2,0)</f>
        <v>NAIC -UNI</v>
      </c>
      <c r="G110" s="218"/>
      <c r="H110" s="218"/>
      <c r="I110" s="219">
        <v>100000</v>
      </c>
      <c r="J110" s="218"/>
      <c r="K110" s="219"/>
      <c r="L110" s="218"/>
      <c r="M110" s="231">
        <v>1</v>
      </c>
      <c r="N110" s="221">
        <f>VLOOKUP($B110,ma!$A:$C,3,0)</f>
        <v>2400000</v>
      </c>
      <c r="O110" s="221">
        <f t="shared" si="0"/>
        <v>2400000</v>
      </c>
      <c r="P110" s="221">
        <f t="shared" si="1"/>
        <v>240000</v>
      </c>
      <c r="Q110" s="201"/>
      <c r="R110" s="201"/>
      <c r="S110" s="201"/>
      <c r="T110" s="201"/>
      <c r="U110" s="201"/>
      <c r="V110" s="32"/>
      <c r="W110" s="32"/>
      <c r="X110" s="32"/>
      <c r="Y110" s="32"/>
      <c r="Z110" s="32"/>
      <c r="AA110" s="32"/>
      <c r="AB110" s="32"/>
    </row>
    <row r="111" spans="1:28" ht="16" hidden="1">
      <c r="A111" s="214">
        <v>105</v>
      </c>
      <c r="B111" s="215" t="s">
        <v>178</v>
      </c>
      <c r="C111" s="215" t="s">
        <v>37</v>
      </c>
      <c r="D111" s="216">
        <v>46094</v>
      </c>
      <c r="E111" s="109" t="str">
        <f>VLOOKUP($C111,xe!$A:$B,2,0)</f>
        <v>50H-66347</v>
      </c>
      <c r="F111" s="217" t="str">
        <f>VLOOKUP($B111,ma!$A:$B,2,0)</f>
        <v>MIFA TÂN TẠO</v>
      </c>
      <c r="G111" s="218"/>
      <c r="H111" s="218"/>
      <c r="I111" s="219">
        <v>200000</v>
      </c>
      <c r="J111" s="218" t="s">
        <v>1427</v>
      </c>
      <c r="K111" s="219"/>
      <c r="L111" s="218"/>
      <c r="M111" s="228">
        <v>15.6</v>
      </c>
      <c r="N111" s="221">
        <f>VLOOKUP($B111,ma!$A:$C,3,0)</f>
        <v>200000</v>
      </c>
      <c r="O111" s="221">
        <f t="shared" si="0"/>
        <v>3120000</v>
      </c>
      <c r="P111" s="221">
        <f t="shared" si="1"/>
        <v>312000</v>
      </c>
      <c r="Q111" s="201"/>
      <c r="R111" s="201"/>
      <c r="S111" s="201"/>
      <c r="T111" s="201"/>
      <c r="U111" s="201"/>
      <c r="V111" s="32"/>
      <c r="W111" s="32"/>
      <c r="X111" s="32"/>
      <c r="Y111" s="32"/>
      <c r="Z111" s="32"/>
      <c r="AA111" s="32"/>
      <c r="AB111" s="32"/>
    </row>
    <row r="112" spans="1:28" ht="16" hidden="1">
      <c r="A112" s="214">
        <v>106</v>
      </c>
      <c r="B112" s="215" t="s">
        <v>236</v>
      </c>
      <c r="C112" s="215" t="s">
        <v>37</v>
      </c>
      <c r="D112" s="216">
        <v>46094</v>
      </c>
      <c r="E112" s="109" t="str">
        <f>VLOOKUP($C112,xe!$A:$B,2,0)</f>
        <v>50H-66347</v>
      </c>
      <c r="F112" s="217" t="str">
        <f>VLOOKUP($B112,ma!$A:$B,2,0)</f>
        <v>HOÀNG MINH PHÁT HÓC MÔN</v>
      </c>
      <c r="G112" s="218"/>
      <c r="H112" s="218"/>
      <c r="I112" s="219">
        <v>200000</v>
      </c>
      <c r="J112" s="218" t="s">
        <v>1427</v>
      </c>
      <c r="K112" s="219"/>
      <c r="L112" s="218"/>
      <c r="M112" s="228">
        <v>15.6</v>
      </c>
      <c r="N112" s="221">
        <v>200000</v>
      </c>
      <c r="O112" s="221">
        <f t="shared" si="0"/>
        <v>3120000</v>
      </c>
      <c r="P112" s="221">
        <f t="shared" si="1"/>
        <v>312000</v>
      </c>
      <c r="Q112" s="201"/>
      <c r="R112" s="201"/>
      <c r="S112" s="201"/>
      <c r="T112" s="201"/>
      <c r="U112" s="201"/>
      <c r="V112" s="32"/>
      <c r="W112" s="32"/>
      <c r="X112" s="32"/>
      <c r="Y112" s="32"/>
      <c r="Z112" s="32"/>
      <c r="AA112" s="32"/>
      <c r="AB112" s="32"/>
    </row>
    <row r="113" spans="1:28" ht="16">
      <c r="A113" s="214">
        <v>107</v>
      </c>
      <c r="B113" s="215" t="s">
        <v>2527</v>
      </c>
      <c r="C113" s="215" t="s">
        <v>2523</v>
      </c>
      <c r="D113" s="216">
        <v>46094</v>
      </c>
      <c r="E113" s="109" t="str">
        <f>VLOOKUP($C113,xe!$A:$B,2,0)</f>
        <v>50E-757,74</v>
      </c>
      <c r="F113" s="217" t="str">
        <f>VLOOKUP($B113,ma!$A:$B,2,0)</f>
        <v>PHÚ QUỐC</v>
      </c>
      <c r="G113" s="218"/>
      <c r="H113" s="218"/>
      <c r="I113" s="219">
        <v>200000</v>
      </c>
      <c r="J113" s="218"/>
      <c r="K113" s="219">
        <v>600000</v>
      </c>
      <c r="L113" s="218" t="s">
        <v>2528</v>
      </c>
      <c r="M113" s="230">
        <v>15</v>
      </c>
      <c r="N113" s="221">
        <v>660000</v>
      </c>
      <c r="O113" s="221">
        <f t="shared" si="0"/>
        <v>9900000</v>
      </c>
      <c r="P113" s="221">
        <f t="shared" si="1"/>
        <v>990000</v>
      </c>
      <c r="Q113" s="201"/>
      <c r="R113" s="201"/>
      <c r="S113" s="201"/>
      <c r="T113" s="201"/>
      <c r="U113" s="201"/>
      <c r="V113" s="32"/>
      <c r="W113" s="32"/>
      <c r="X113" s="32"/>
      <c r="Y113" s="32"/>
      <c r="Z113" s="32"/>
      <c r="AA113" s="32"/>
      <c r="AB113" s="32"/>
    </row>
    <row r="114" spans="1:28" ht="16" hidden="1">
      <c r="A114" s="214">
        <v>108</v>
      </c>
      <c r="B114" s="215"/>
      <c r="C114" s="235" t="s">
        <v>43</v>
      </c>
      <c r="D114" s="236">
        <v>46094</v>
      </c>
      <c r="E114" s="139" t="str">
        <f>VLOOKUP($C114,xe!$A:$B,2,0)</f>
        <v>50H-87055</v>
      </c>
      <c r="F114" s="237" t="s">
        <v>2529</v>
      </c>
      <c r="G114" s="238"/>
      <c r="H114" s="238"/>
      <c r="I114" s="239">
        <v>100000</v>
      </c>
      <c r="J114" s="218" t="s">
        <v>1427</v>
      </c>
      <c r="K114" s="239"/>
      <c r="L114" s="238"/>
      <c r="M114" s="242">
        <v>10</v>
      </c>
      <c r="N114" s="241">
        <v>220000</v>
      </c>
      <c r="O114" s="241">
        <f t="shared" si="0"/>
        <v>2200000</v>
      </c>
      <c r="P114" s="241">
        <f t="shared" si="1"/>
        <v>220000</v>
      </c>
      <c r="Q114" s="201"/>
      <c r="R114" s="201"/>
      <c r="S114" s="201"/>
      <c r="T114" s="201"/>
      <c r="U114" s="201"/>
      <c r="V114" s="32"/>
      <c r="W114" s="32"/>
      <c r="X114" s="32"/>
      <c r="Y114" s="32"/>
      <c r="Z114" s="32"/>
      <c r="AA114" s="32"/>
      <c r="AB114" s="32"/>
    </row>
    <row r="115" spans="1:28" ht="16" hidden="1">
      <c r="A115" s="243">
        <v>46095</v>
      </c>
      <c r="B115" s="215" t="s">
        <v>2506</v>
      </c>
      <c r="C115" s="215" t="s">
        <v>2519</v>
      </c>
      <c r="D115" s="216">
        <v>46095</v>
      </c>
      <c r="E115" s="133" t="str">
        <f>VLOOKUP($C115,xe!$A:$B,2,0)</f>
        <v>50E-648.73</v>
      </c>
      <c r="F115" s="217" t="str">
        <f>VLOOKUP($B115,ma!$A:$B,2,0)</f>
        <v>TUẤN LỘC Q7 PALLET</v>
      </c>
      <c r="G115" s="218"/>
      <c r="H115" s="218"/>
      <c r="I115" s="219">
        <v>80000</v>
      </c>
      <c r="J115" s="218"/>
      <c r="K115" s="219"/>
      <c r="L115" s="218"/>
      <c r="M115" s="230">
        <v>12.61</v>
      </c>
      <c r="N115" s="221">
        <f>VLOOKUP($B115,ma!$A:$C,3,0)</f>
        <v>200000</v>
      </c>
      <c r="O115" s="221">
        <f t="shared" si="0"/>
        <v>2522000</v>
      </c>
      <c r="P115" s="221">
        <f t="shared" si="1"/>
        <v>252200</v>
      </c>
      <c r="Q115" s="201"/>
      <c r="R115" s="201"/>
      <c r="S115" s="201"/>
      <c r="T115" s="201"/>
      <c r="U115" s="201"/>
      <c r="V115" s="32"/>
      <c r="W115" s="32"/>
      <c r="X115" s="32"/>
      <c r="Y115" s="32"/>
      <c r="Z115" s="32"/>
      <c r="AA115" s="32"/>
      <c r="AB115" s="32"/>
    </row>
    <row r="116" spans="1:28" ht="16" hidden="1">
      <c r="A116" s="214">
        <v>110</v>
      </c>
      <c r="B116" s="215" t="s">
        <v>2506</v>
      </c>
      <c r="C116" s="215" t="s">
        <v>2519</v>
      </c>
      <c r="D116" s="216">
        <v>46095</v>
      </c>
      <c r="E116" s="133" t="str">
        <f>VLOOKUP($C116,xe!$A:$B,2,0)</f>
        <v>50E-648.73</v>
      </c>
      <c r="F116" s="217" t="str">
        <f>VLOOKUP($B116,ma!$A:$B,2,0)</f>
        <v>TUẤN LỘC Q7 PALLET</v>
      </c>
      <c r="G116" s="218"/>
      <c r="H116" s="218"/>
      <c r="I116" s="219">
        <v>100000</v>
      </c>
      <c r="J116" s="218"/>
      <c r="K116" s="219"/>
      <c r="L116" s="218"/>
      <c r="M116" s="231">
        <v>12</v>
      </c>
      <c r="N116" s="221">
        <f>VLOOKUP($B116,ma!$A:$C,3,0)</f>
        <v>200000</v>
      </c>
      <c r="O116" s="221">
        <f t="shared" si="0"/>
        <v>2400000</v>
      </c>
      <c r="P116" s="221">
        <f t="shared" si="1"/>
        <v>240000</v>
      </c>
      <c r="Q116" s="201"/>
      <c r="R116" s="201"/>
      <c r="S116" s="201"/>
      <c r="T116" s="201"/>
      <c r="U116" s="201"/>
      <c r="V116" s="32"/>
      <c r="W116" s="32"/>
      <c r="X116" s="32"/>
      <c r="Y116" s="32"/>
      <c r="Z116" s="32"/>
      <c r="AA116" s="32"/>
      <c r="AB116" s="32"/>
    </row>
    <row r="117" spans="1:28" ht="16" hidden="1">
      <c r="A117" s="214">
        <v>111</v>
      </c>
      <c r="B117" s="215" t="s">
        <v>2513</v>
      </c>
      <c r="C117" s="215" t="s">
        <v>39</v>
      </c>
      <c r="D117" s="216">
        <v>46095</v>
      </c>
      <c r="E117" s="109" t="str">
        <f>VLOOKUP($C117,xe!$A:$B,2,0)</f>
        <v>50E-654.34</v>
      </c>
      <c r="F117" s="217" t="str">
        <f>VLOOKUP($B117,ma!$A:$B,2,0)</f>
        <v>PHẠM ANH QUẬN 6 PALLET</v>
      </c>
      <c r="G117" s="218"/>
      <c r="H117" s="218"/>
      <c r="I117" s="219">
        <v>250000</v>
      </c>
      <c r="J117" s="218" t="s">
        <v>1427</v>
      </c>
      <c r="K117" s="219"/>
      <c r="L117" s="218"/>
      <c r="M117" s="230">
        <v>15.08</v>
      </c>
      <c r="N117" s="221">
        <f>VLOOKUP($B117,ma!$A:$C,3,0)</f>
        <v>200000</v>
      </c>
      <c r="O117" s="221">
        <f t="shared" si="0"/>
        <v>3016000</v>
      </c>
      <c r="P117" s="221">
        <f t="shared" si="1"/>
        <v>301600</v>
      </c>
      <c r="Q117" s="201"/>
      <c r="R117" s="201"/>
      <c r="S117" s="201"/>
      <c r="T117" s="201"/>
      <c r="U117" s="201"/>
      <c r="V117" s="32"/>
      <c r="W117" s="32"/>
      <c r="X117" s="32"/>
      <c r="Y117" s="32"/>
      <c r="Z117" s="32"/>
      <c r="AA117" s="32"/>
      <c r="AB117" s="32"/>
    </row>
    <row r="118" spans="1:28" ht="16" hidden="1">
      <c r="A118" s="214">
        <v>112</v>
      </c>
      <c r="B118" s="215" t="s">
        <v>2505</v>
      </c>
      <c r="C118" s="215" t="s">
        <v>39</v>
      </c>
      <c r="D118" s="216">
        <v>46095</v>
      </c>
      <c r="E118" s="109" t="str">
        <f>VLOOKUP($C118,xe!$A:$B,2,0)</f>
        <v>50E-654.34</v>
      </c>
      <c r="F118" s="217" t="str">
        <f>VLOOKUP($B118,ma!$A:$B,2,0)</f>
        <v>GIA HOÀNG TIỀN GIANG PALLET</v>
      </c>
      <c r="G118" s="218"/>
      <c r="H118" s="218"/>
      <c r="I118" s="219">
        <v>100000</v>
      </c>
      <c r="J118" s="218" t="s">
        <v>1427</v>
      </c>
      <c r="K118" s="219"/>
      <c r="L118" s="218"/>
      <c r="M118" s="230">
        <v>13.65</v>
      </c>
      <c r="N118" s="221">
        <f>VLOOKUP($B118,ma!$A:$C,3,0)</f>
        <v>230000</v>
      </c>
      <c r="O118" s="221">
        <f t="shared" si="0"/>
        <v>3139500</v>
      </c>
      <c r="P118" s="221">
        <f t="shared" si="1"/>
        <v>313950</v>
      </c>
      <c r="Q118" s="201"/>
      <c r="R118" s="201"/>
      <c r="S118" s="201"/>
      <c r="T118" s="201"/>
      <c r="U118" s="201"/>
      <c r="V118" s="32"/>
      <c r="W118" s="32"/>
      <c r="X118" s="32"/>
      <c r="Y118" s="32"/>
      <c r="Z118" s="32"/>
      <c r="AA118" s="32"/>
      <c r="AB118" s="32"/>
    </row>
    <row r="119" spans="1:28" ht="16" hidden="1">
      <c r="A119" s="214">
        <v>113</v>
      </c>
      <c r="B119" s="215" t="s">
        <v>2530</v>
      </c>
      <c r="C119" s="215" t="s">
        <v>41</v>
      </c>
      <c r="D119" s="216">
        <v>46095</v>
      </c>
      <c r="E119" s="109" t="str">
        <f>VLOOKUP($C119,xe!$A:$B,2,0)</f>
        <v>50E-324,01</v>
      </c>
      <c r="F119" s="217" t="str">
        <f>VLOOKUP($B119,ma!$A:$B,2,0)</f>
        <v>QUẬN 9 XÁ</v>
      </c>
      <c r="G119" s="218"/>
      <c r="H119" s="218"/>
      <c r="I119" s="219">
        <v>200000</v>
      </c>
      <c r="J119" s="218"/>
      <c r="K119" s="219"/>
      <c r="L119" s="218"/>
      <c r="M119" s="230">
        <v>15.07</v>
      </c>
      <c r="N119" s="221">
        <f>VLOOKUP($B119,ma!$A:$C,3,0)</f>
        <v>200000</v>
      </c>
      <c r="O119" s="221">
        <f t="shared" si="0"/>
        <v>3014000</v>
      </c>
      <c r="P119" s="221">
        <f t="shared" si="1"/>
        <v>301400</v>
      </c>
      <c r="Q119" s="201"/>
      <c r="R119" s="201"/>
      <c r="S119" s="201"/>
      <c r="T119" s="201"/>
      <c r="U119" s="201"/>
      <c r="V119" s="32"/>
      <c r="W119" s="32"/>
      <c r="X119" s="32"/>
      <c r="Y119" s="32"/>
      <c r="Z119" s="32"/>
      <c r="AA119" s="32"/>
      <c r="AB119" s="32"/>
    </row>
    <row r="120" spans="1:28" ht="16" hidden="1">
      <c r="A120" s="214">
        <v>114</v>
      </c>
      <c r="B120" s="215" t="s">
        <v>2530</v>
      </c>
      <c r="C120" s="215" t="s">
        <v>41</v>
      </c>
      <c r="D120" s="216">
        <v>46095</v>
      </c>
      <c r="E120" s="109" t="str">
        <f>VLOOKUP($C120,xe!$A:$B,2,0)</f>
        <v>50E-324,01</v>
      </c>
      <c r="F120" s="217" t="str">
        <f>VLOOKUP($B120,ma!$A:$B,2,0)</f>
        <v>QUẬN 9 XÁ</v>
      </c>
      <c r="G120" s="218"/>
      <c r="H120" s="218"/>
      <c r="I120" s="219">
        <v>200000</v>
      </c>
      <c r="J120" s="218"/>
      <c r="K120" s="219"/>
      <c r="L120" s="218"/>
      <c r="M120" s="231">
        <v>12</v>
      </c>
      <c r="N120" s="221">
        <f>VLOOKUP($B120,ma!$A:$C,3,0)</f>
        <v>200000</v>
      </c>
      <c r="O120" s="221">
        <f t="shared" si="0"/>
        <v>2400000</v>
      </c>
      <c r="P120" s="221">
        <f t="shared" si="1"/>
        <v>240000</v>
      </c>
      <c r="Q120" s="201"/>
      <c r="R120" s="201"/>
      <c r="S120" s="201"/>
      <c r="T120" s="201"/>
      <c r="U120" s="201"/>
      <c r="V120" s="32"/>
      <c r="W120" s="32"/>
      <c r="X120" s="32"/>
      <c r="Y120" s="32"/>
      <c r="Z120" s="32"/>
      <c r="AA120" s="32"/>
      <c r="AB120" s="32"/>
    </row>
    <row r="121" spans="1:28" ht="16" hidden="1">
      <c r="A121" s="214">
        <v>115</v>
      </c>
      <c r="B121" s="215" t="s">
        <v>112</v>
      </c>
      <c r="C121" s="215" t="s">
        <v>43</v>
      </c>
      <c r="D121" s="216">
        <v>46095</v>
      </c>
      <c r="E121" s="109" t="str">
        <f>VLOOKUP($C121,xe!$A:$B,2,0)</f>
        <v>50H-87055</v>
      </c>
      <c r="F121" s="217" t="str">
        <f>VLOOKUP($B121,ma!$A:$B,2,0)</f>
        <v>CALOFIC - UNI ( xe lớn )</v>
      </c>
      <c r="G121" s="218"/>
      <c r="H121" s="218"/>
      <c r="I121" s="219"/>
      <c r="J121" s="218"/>
      <c r="K121" s="219">
        <v>50000</v>
      </c>
      <c r="L121" s="218" t="s">
        <v>2508</v>
      </c>
      <c r="M121" s="231">
        <v>1</v>
      </c>
      <c r="N121" s="221">
        <f>VLOOKUP($B121,ma!$A:$C,3,0)</f>
        <v>400000</v>
      </c>
      <c r="O121" s="221">
        <f t="shared" si="0"/>
        <v>400000</v>
      </c>
      <c r="P121" s="221">
        <v>100000</v>
      </c>
      <c r="Q121" s="201"/>
      <c r="R121" s="201"/>
      <c r="S121" s="201"/>
      <c r="T121" s="201"/>
      <c r="U121" s="201"/>
      <c r="V121" s="32"/>
      <c r="W121" s="32"/>
      <c r="X121" s="32"/>
      <c r="Y121" s="32"/>
      <c r="Z121" s="32"/>
      <c r="AA121" s="32"/>
      <c r="AB121" s="32"/>
    </row>
    <row r="122" spans="1:28" ht="16">
      <c r="A122" s="234">
        <v>116</v>
      </c>
      <c r="B122" s="235" t="s">
        <v>2527</v>
      </c>
      <c r="C122" s="235" t="s">
        <v>2523</v>
      </c>
      <c r="D122" s="236">
        <v>46097</v>
      </c>
      <c r="E122" s="139" t="str">
        <f>VLOOKUP($C122,xe!$A:$B,2,0)</f>
        <v>50E-757,74</v>
      </c>
      <c r="F122" s="237" t="str">
        <f>VLOOKUP($B122,ma!$A:$B,2,0)</f>
        <v>PHÚ QUỐC</v>
      </c>
      <c r="G122" s="238"/>
      <c r="H122" s="238"/>
      <c r="I122" s="239">
        <v>300000</v>
      </c>
      <c r="J122" s="238" t="s">
        <v>2531</v>
      </c>
      <c r="K122" s="239"/>
      <c r="L122" s="238"/>
      <c r="M122" s="240">
        <v>13.5</v>
      </c>
      <c r="N122" s="241">
        <v>370000</v>
      </c>
      <c r="O122" s="241">
        <f t="shared" si="0"/>
        <v>4995000</v>
      </c>
      <c r="P122" s="244">
        <v>500000</v>
      </c>
      <c r="Q122" s="201"/>
      <c r="R122" s="201"/>
      <c r="S122" s="201"/>
      <c r="T122" s="201"/>
      <c r="U122" s="201"/>
      <c r="V122" s="32"/>
      <c r="W122" s="32"/>
      <c r="X122" s="32"/>
      <c r="Y122" s="32"/>
      <c r="Z122" s="32"/>
      <c r="AA122" s="32"/>
      <c r="AB122" s="32"/>
    </row>
    <row r="123" spans="1:28" ht="16" hidden="1">
      <c r="A123" s="214">
        <v>117</v>
      </c>
      <c r="B123" s="215" t="s">
        <v>2532</v>
      </c>
      <c r="C123" s="215" t="s">
        <v>39</v>
      </c>
      <c r="D123" s="216">
        <v>46097</v>
      </c>
      <c r="E123" s="109" t="str">
        <f>VLOOKUP($C123,xe!$A:$B,2,0)</f>
        <v>50E-654.34</v>
      </c>
      <c r="F123" s="217" t="str">
        <f>VLOOKUP($B123,ma!$A:$B,2,0)</f>
        <v>Chuyển hàng MCC</v>
      </c>
      <c r="G123" s="218"/>
      <c r="H123" s="218"/>
      <c r="I123" s="219">
        <v>100000</v>
      </c>
      <c r="J123" s="218" t="s">
        <v>1427</v>
      </c>
      <c r="K123" s="219"/>
      <c r="L123" s="218"/>
      <c r="M123" s="231">
        <v>1</v>
      </c>
      <c r="N123" s="221">
        <f>VLOOKUP($B123,ma!$A:$C,3,0)</f>
        <v>414000</v>
      </c>
      <c r="O123" s="221">
        <f t="shared" si="0"/>
        <v>414000</v>
      </c>
      <c r="P123" s="221">
        <v>100000</v>
      </c>
      <c r="Q123" s="201"/>
      <c r="R123" s="201"/>
      <c r="S123" s="201"/>
      <c r="T123" s="201"/>
      <c r="U123" s="201"/>
      <c r="V123" s="32"/>
      <c r="W123" s="32"/>
      <c r="X123" s="32"/>
      <c r="Y123" s="32"/>
      <c r="Z123" s="32"/>
      <c r="AA123" s="32"/>
      <c r="AB123" s="32"/>
    </row>
    <row r="124" spans="1:28" ht="16" hidden="1">
      <c r="A124" s="214">
        <v>118</v>
      </c>
      <c r="B124" s="215" t="s">
        <v>2506</v>
      </c>
      <c r="C124" s="215" t="s">
        <v>2519</v>
      </c>
      <c r="D124" s="216">
        <v>46097</v>
      </c>
      <c r="E124" s="133" t="str">
        <f>VLOOKUP($C124,xe!$A:$B,2,0)</f>
        <v>50E-648.73</v>
      </c>
      <c r="F124" s="217" t="str">
        <f>VLOOKUP($B124,ma!$A:$B,2,0)</f>
        <v>TUẤN LỘC Q7 PALLET</v>
      </c>
      <c r="G124" s="218"/>
      <c r="H124" s="218"/>
      <c r="I124" s="219">
        <v>50000</v>
      </c>
      <c r="J124" s="218"/>
      <c r="K124" s="219"/>
      <c r="L124" s="218"/>
      <c r="M124" s="230">
        <v>13.71</v>
      </c>
      <c r="N124" s="221">
        <f>VLOOKUP($B124,ma!$A:$C,3,0)</f>
        <v>200000</v>
      </c>
      <c r="O124" s="221">
        <f t="shared" si="0"/>
        <v>2742000</v>
      </c>
      <c r="P124" s="221">
        <f t="shared" ref="P124:P179" si="3">O124*10%</f>
        <v>274200</v>
      </c>
      <c r="Q124" s="201"/>
      <c r="R124" s="201"/>
      <c r="S124" s="201"/>
      <c r="T124" s="201"/>
      <c r="U124" s="201"/>
      <c r="V124" s="32"/>
      <c r="W124" s="32"/>
      <c r="X124" s="32"/>
      <c r="Y124" s="32"/>
      <c r="Z124" s="32"/>
      <c r="AA124" s="32"/>
      <c r="AB124" s="32"/>
    </row>
    <row r="125" spans="1:28" ht="16" hidden="1">
      <c r="A125" s="214">
        <v>119</v>
      </c>
      <c r="B125" s="215" t="s">
        <v>2533</v>
      </c>
      <c r="C125" s="215" t="s">
        <v>2519</v>
      </c>
      <c r="D125" s="216">
        <v>46097</v>
      </c>
      <c r="E125" s="133" t="str">
        <f>VLOOKUP($C125,xe!$A:$B,2,0)</f>
        <v>50E-648.73</v>
      </c>
      <c r="F125" s="217" t="str">
        <f>VLOOKUP($B125,ma!$A:$B,2,0)</f>
        <v>TUẤN LỘC Q7 XÁ</v>
      </c>
      <c r="G125" s="218"/>
      <c r="H125" s="218"/>
      <c r="I125" s="219">
        <v>150000</v>
      </c>
      <c r="J125" s="218"/>
      <c r="K125" s="219"/>
      <c r="L125" s="218"/>
      <c r="M125" s="230">
        <v>12.13</v>
      </c>
      <c r="N125" s="221">
        <f>VLOOKUP($B125,ma!$A:$C,3,0)</f>
        <v>200000</v>
      </c>
      <c r="O125" s="221">
        <f t="shared" si="0"/>
        <v>2426000</v>
      </c>
      <c r="P125" s="221">
        <f t="shared" si="3"/>
        <v>242600</v>
      </c>
      <c r="Q125" s="201"/>
      <c r="R125" s="201"/>
      <c r="S125" s="201"/>
      <c r="T125" s="201"/>
      <c r="U125" s="201"/>
      <c r="V125" s="32"/>
      <c r="W125" s="32"/>
      <c r="X125" s="32"/>
      <c r="Y125" s="32"/>
      <c r="Z125" s="32"/>
      <c r="AA125" s="32"/>
      <c r="AB125" s="32"/>
    </row>
    <row r="126" spans="1:28" ht="16" hidden="1">
      <c r="A126" s="214">
        <v>120</v>
      </c>
      <c r="B126" s="215" t="s">
        <v>2512</v>
      </c>
      <c r="C126" s="215" t="s">
        <v>39</v>
      </c>
      <c r="D126" s="216">
        <v>46097</v>
      </c>
      <c r="E126" s="109" t="str">
        <f>VLOOKUP($C126,xe!$A:$B,2,0)</f>
        <v>50E-654.34</v>
      </c>
      <c r="F126" s="217" t="str">
        <f>VLOOKUP($B126,ma!$A:$B,2,0)</f>
        <v>QUẬN 8 XÁ</v>
      </c>
      <c r="G126" s="218"/>
      <c r="H126" s="218"/>
      <c r="I126" s="219">
        <v>200000</v>
      </c>
      <c r="J126" s="218" t="s">
        <v>1427</v>
      </c>
      <c r="K126" s="219"/>
      <c r="L126" s="218"/>
      <c r="M126" s="230">
        <v>14.68</v>
      </c>
      <c r="N126" s="221">
        <f>VLOOKUP($B126,ma!$A:$C,3,0)</f>
        <v>200000</v>
      </c>
      <c r="O126" s="221">
        <f t="shared" si="0"/>
        <v>2936000</v>
      </c>
      <c r="P126" s="221">
        <f t="shared" si="3"/>
        <v>293600</v>
      </c>
      <c r="Q126" s="201"/>
      <c r="R126" s="201"/>
      <c r="S126" s="201"/>
      <c r="T126" s="201"/>
      <c r="U126" s="201"/>
      <c r="V126" s="32"/>
      <c r="W126" s="32"/>
      <c r="X126" s="32"/>
      <c r="Y126" s="32"/>
      <c r="Z126" s="32"/>
      <c r="AA126" s="32"/>
      <c r="AB126" s="32"/>
    </row>
    <row r="127" spans="1:28" ht="16" hidden="1">
      <c r="A127" s="214">
        <v>121</v>
      </c>
      <c r="B127" s="215" t="s">
        <v>2509</v>
      </c>
      <c r="C127" s="215" t="s">
        <v>41</v>
      </c>
      <c r="D127" s="216">
        <v>46097</v>
      </c>
      <c r="E127" s="109" t="str">
        <f>VLOOKUP($C127,xe!$A:$B,2,0)</f>
        <v>50E-324,01</v>
      </c>
      <c r="F127" s="217" t="str">
        <f>VLOOKUP($B127,ma!$A:$B,2,0)</f>
        <v>NAIC -UNI</v>
      </c>
      <c r="G127" s="218"/>
      <c r="H127" s="218"/>
      <c r="I127" s="219">
        <v>100000</v>
      </c>
      <c r="J127" s="218"/>
      <c r="K127" s="219"/>
      <c r="L127" s="218"/>
      <c r="M127" s="231">
        <v>1</v>
      </c>
      <c r="N127" s="221">
        <f>VLOOKUP($B127,ma!$A:$C,3,0)</f>
        <v>2400000</v>
      </c>
      <c r="O127" s="221">
        <f t="shared" si="0"/>
        <v>2400000</v>
      </c>
      <c r="P127" s="221">
        <f t="shared" si="3"/>
        <v>240000</v>
      </c>
      <c r="Q127" s="201"/>
      <c r="R127" s="201"/>
      <c r="S127" s="201"/>
      <c r="T127" s="201"/>
      <c r="U127" s="201"/>
      <c r="V127" s="32"/>
      <c r="W127" s="32"/>
      <c r="X127" s="32"/>
      <c r="Y127" s="32"/>
      <c r="Z127" s="32"/>
      <c r="AA127" s="32"/>
      <c r="AB127" s="32"/>
    </row>
    <row r="128" spans="1:28" ht="16" hidden="1">
      <c r="A128" s="214">
        <v>122</v>
      </c>
      <c r="B128" s="215" t="s">
        <v>2530</v>
      </c>
      <c r="C128" s="215" t="s">
        <v>41</v>
      </c>
      <c r="D128" s="216">
        <v>46097</v>
      </c>
      <c r="E128" s="109" t="str">
        <f>VLOOKUP($C128,xe!$A:$B,2,0)</f>
        <v>50E-324,01</v>
      </c>
      <c r="F128" s="217" t="str">
        <f>VLOOKUP($B128,ma!$A:$B,2,0)</f>
        <v>QUẬN 9 XÁ</v>
      </c>
      <c r="G128" s="218"/>
      <c r="H128" s="218"/>
      <c r="I128" s="219">
        <v>200000</v>
      </c>
      <c r="J128" s="218"/>
      <c r="K128" s="219"/>
      <c r="L128" s="218"/>
      <c r="M128" s="230">
        <v>13.94</v>
      </c>
      <c r="N128" s="221">
        <f>VLOOKUP($B128,ma!$A:$C,3,0)</f>
        <v>200000</v>
      </c>
      <c r="O128" s="221">
        <f t="shared" si="0"/>
        <v>2788000</v>
      </c>
      <c r="P128" s="221">
        <f t="shared" si="3"/>
        <v>278800</v>
      </c>
      <c r="Q128" s="201"/>
      <c r="R128" s="201"/>
      <c r="S128" s="201"/>
      <c r="T128" s="201"/>
      <c r="U128" s="201"/>
      <c r="V128" s="32"/>
      <c r="W128" s="32"/>
      <c r="X128" s="32"/>
      <c r="Y128" s="32"/>
      <c r="Z128" s="32"/>
      <c r="AA128" s="32"/>
      <c r="AB128" s="32"/>
    </row>
    <row r="129" spans="1:28" ht="16" hidden="1">
      <c r="A129" s="214">
        <v>123</v>
      </c>
      <c r="B129" s="215" t="s">
        <v>2512</v>
      </c>
      <c r="C129" s="215" t="s">
        <v>43</v>
      </c>
      <c r="D129" s="216">
        <v>46097</v>
      </c>
      <c r="E129" s="109" t="str">
        <f>VLOOKUP($C129,xe!$A:$B,2,0)</f>
        <v>50H-87055</v>
      </c>
      <c r="F129" s="217" t="str">
        <f>VLOOKUP($B129,ma!$A:$B,2,0)</f>
        <v>QUẬN 8 XÁ</v>
      </c>
      <c r="G129" s="218"/>
      <c r="H129" s="218"/>
      <c r="I129" s="219">
        <v>200000</v>
      </c>
      <c r="J129" s="218" t="s">
        <v>1427</v>
      </c>
      <c r="K129" s="219"/>
      <c r="L129" s="218"/>
      <c r="M129" s="230">
        <v>14.85</v>
      </c>
      <c r="N129" s="221">
        <f>VLOOKUP($B129,ma!$A:$C,3,0)</f>
        <v>200000</v>
      </c>
      <c r="O129" s="221">
        <f t="shared" si="0"/>
        <v>2970000</v>
      </c>
      <c r="P129" s="221">
        <f t="shared" si="3"/>
        <v>297000</v>
      </c>
      <c r="Q129" s="201"/>
      <c r="R129" s="201"/>
      <c r="S129" s="201"/>
      <c r="T129" s="201"/>
      <c r="U129" s="201"/>
      <c r="V129" s="32"/>
      <c r="W129" s="32"/>
      <c r="X129" s="32"/>
      <c r="Y129" s="32"/>
      <c r="Z129" s="32"/>
      <c r="AA129" s="32"/>
      <c r="AB129" s="32"/>
    </row>
    <row r="130" spans="1:28" ht="16" hidden="1">
      <c r="A130" s="214">
        <v>124</v>
      </c>
      <c r="B130" s="215" t="s">
        <v>2516</v>
      </c>
      <c r="C130" s="215" t="s">
        <v>2523</v>
      </c>
      <c r="D130" s="216">
        <v>46097</v>
      </c>
      <c r="E130" s="109" t="str">
        <f>VLOOKUP($C130,xe!$A:$B,2,0)</f>
        <v>50E-757,74</v>
      </c>
      <c r="F130" s="217" t="str">
        <f>VLOOKUP($B130,ma!$A:$B,2,0)</f>
        <v>PHẠM ANH QUẬN 6 XÁ</v>
      </c>
      <c r="G130" s="218"/>
      <c r="H130" s="218"/>
      <c r="I130" s="219">
        <v>350000</v>
      </c>
      <c r="J130" s="218"/>
      <c r="K130" s="219"/>
      <c r="L130" s="218"/>
      <c r="M130" s="230">
        <v>14.63</v>
      </c>
      <c r="N130" s="221">
        <f>VLOOKUP($B130,ma!$A:$C,3,0)</f>
        <v>200000</v>
      </c>
      <c r="O130" s="221">
        <f t="shared" si="0"/>
        <v>2926000</v>
      </c>
      <c r="P130" s="221">
        <f t="shared" si="3"/>
        <v>292600</v>
      </c>
      <c r="Q130" s="201"/>
      <c r="R130" s="201"/>
      <c r="S130" s="201"/>
      <c r="T130" s="201"/>
      <c r="U130" s="201"/>
      <c r="V130" s="32"/>
      <c r="W130" s="32"/>
      <c r="X130" s="32"/>
      <c r="Y130" s="32"/>
      <c r="Z130" s="32"/>
      <c r="AA130" s="32"/>
      <c r="AB130" s="32"/>
    </row>
    <row r="131" spans="1:28" ht="16" hidden="1">
      <c r="A131" s="214">
        <v>125</v>
      </c>
      <c r="B131" s="215" t="s">
        <v>2506</v>
      </c>
      <c r="C131" s="215" t="s">
        <v>2523</v>
      </c>
      <c r="D131" s="216">
        <v>46097</v>
      </c>
      <c r="E131" s="109" t="str">
        <f>VLOOKUP($C131,xe!$A:$B,2,0)</f>
        <v>50E-757,74</v>
      </c>
      <c r="F131" s="217" t="str">
        <f>VLOOKUP($B131,ma!$A:$B,2,0)</f>
        <v>TUẤN LỘC Q7 PALLET</v>
      </c>
      <c r="G131" s="218"/>
      <c r="H131" s="218"/>
      <c r="I131" s="219">
        <v>50000</v>
      </c>
      <c r="J131" s="218"/>
      <c r="K131" s="219"/>
      <c r="L131" s="218"/>
      <c r="M131" s="230">
        <v>13.36</v>
      </c>
      <c r="N131" s="221">
        <f>VLOOKUP($B131,ma!$A:$C,3,0)</f>
        <v>200000</v>
      </c>
      <c r="O131" s="221">
        <f t="shared" si="0"/>
        <v>2672000</v>
      </c>
      <c r="P131" s="221">
        <f t="shared" si="3"/>
        <v>267200</v>
      </c>
      <c r="Q131" s="201"/>
      <c r="R131" s="201"/>
      <c r="S131" s="201"/>
      <c r="T131" s="201"/>
      <c r="U131" s="201"/>
      <c r="V131" s="32"/>
      <c r="W131" s="32"/>
      <c r="X131" s="32"/>
      <c r="Y131" s="32"/>
      <c r="Z131" s="32"/>
      <c r="AA131" s="32"/>
      <c r="AB131" s="32"/>
    </row>
    <row r="132" spans="1:28" ht="16" hidden="1">
      <c r="A132" s="214">
        <v>126</v>
      </c>
      <c r="B132" s="215" t="s">
        <v>2503</v>
      </c>
      <c r="C132" s="215" t="s">
        <v>2519</v>
      </c>
      <c r="D132" s="216">
        <v>46098</v>
      </c>
      <c r="E132" s="133" t="str">
        <f>VLOOKUP($C132,xe!$A:$B,2,0)</f>
        <v>50E-648.73</v>
      </c>
      <c r="F132" s="217" t="str">
        <f>VLOOKUP($B132,ma!$A:$B,2,0)</f>
        <v>NDFC - NAIC BẾN LỨC</v>
      </c>
      <c r="G132" s="218"/>
      <c r="H132" s="218"/>
      <c r="I132" s="219">
        <v>100000</v>
      </c>
      <c r="J132" s="218"/>
      <c r="K132" s="219"/>
      <c r="L132" s="218"/>
      <c r="M132" s="231">
        <v>1</v>
      </c>
      <c r="N132" s="221">
        <f>VLOOKUP($B132,ma!$A:$C,3,0)</f>
        <v>2400000</v>
      </c>
      <c r="O132" s="221">
        <f t="shared" si="0"/>
        <v>2400000</v>
      </c>
      <c r="P132" s="221">
        <f t="shared" si="3"/>
        <v>240000</v>
      </c>
      <c r="Q132" s="201"/>
      <c r="R132" s="201"/>
      <c r="S132" s="201"/>
      <c r="T132" s="201"/>
      <c r="U132" s="201"/>
      <c r="V132" s="32"/>
      <c r="W132" s="32"/>
      <c r="X132" s="32"/>
      <c r="Y132" s="32"/>
      <c r="Z132" s="32"/>
      <c r="AA132" s="32"/>
      <c r="AB132" s="32"/>
    </row>
    <row r="133" spans="1:28" ht="16" hidden="1">
      <c r="A133" s="214">
        <v>127</v>
      </c>
      <c r="B133" s="215" t="s">
        <v>2503</v>
      </c>
      <c r="C133" s="215" t="s">
        <v>2519</v>
      </c>
      <c r="D133" s="216">
        <v>46098</v>
      </c>
      <c r="E133" s="133" t="str">
        <f>VLOOKUP($C133,xe!$A:$B,2,0)</f>
        <v>50E-648.73</v>
      </c>
      <c r="F133" s="217" t="str">
        <f>VLOOKUP($B133,ma!$A:$B,2,0)</f>
        <v>NDFC - NAIC BẾN LỨC</v>
      </c>
      <c r="G133" s="218"/>
      <c r="H133" s="218"/>
      <c r="I133" s="219">
        <v>100000</v>
      </c>
      <c r="J133" s="218"/>
      <c r="K133" s="219"/>
      <c r="L133" s="218"/>
      <c r="M133" s="231">
        <v>1</v>
      </c>
      <c r="N133" s="221">
        <f>VLOOKUP($B133,ma!$A:$C,3,0)</f>
        <v>2400000</v>
      </c>
      <c r="O133" s="221">
        <f t="shared" si="0"/>
        <v>2400000</v>
      </c>
      <c r="P133" s="221">
        <f t="shared" si="3"/>
        <v>240000</v>
      </c>
      <c r="Q133" s="201"/>
      <c r="R133" s="201"/>
      <c r="S133" s="201"/>
      <c r="T133" s="201"/>
      <c r="U133" s="201"/>
      <c r="V133" s="32"/>
      <c r="W133" s="32"/>
      <c r="X133" s="32"/>
      <c r="Y133" s="32"/>
      <c r="Z133" s="32"/>
      <c r="AA133" s="32"/>
      <c r="AB133" s="32"/>
    </row>
    <row r="134" spans="1:28" ht="16" hidden="1">
      <c r="A134" s="214">
        <v>128</v>
      </c>
      <c r="B134" s="215" t="s">
        <v>2503</v>
      </c>
      <c r="C134" s="215" t="s">
        <v>39</v>
      </c>
      <c r="D134" s="216">
        <v>46098</v>
      </c>
      <c r="E134" s="109" t="str">
        <f>VLOOKUP($C134,xe!$A:$B,2,0)</f>
        <v>50E-654.34</v>
      </c>
      <c r="F134" s="217" t="str">
        <f>VLOOKUP($B134,ma!$A:$B,2,0)</f>
        <v>NDFC - NAIC BẾN LỨC</v>
      </c>
      <c r="G134" s="218"/>
      <c r="H134" s="218"/>
      <c r="I134" s="219">
        <v>100000</v>
      </c>
      <c r="J134" s="218" t="s">
        <v>1427</v>
      </c>
      <c r="K134" s="219"/>
      <c r="L134" s="218"/>
      <c r="M134" s="231">
        <v>1</v>
      </c>
      <c r="N134" s="221">
        <f>VLOOKUP($B134,ma!$A:$C,3,0)</f>
        <v>2400000</v>
      </c>
      <c r="O134" s="221">
        <f t="shared" si="0"/>
        <v>2400000</v>
      </c>
      <c r="P134" s="221">
        <f t="shared" si="3"/>
        <v>240000</v>
      </c>
      <c r="Q134" s="201"/>
      <c r="R134" s="201"/>
      <c r="S134" s="201"/>
      <c r="T134" s="201"/>
      <c r="U134" s="201"/>
      <c r="V134" s="32"/>
      <c r="W134" s="32"/>
      <c r="X134" s="32"/>
      <c r="Y134" s="32"/>
      <c r="Z134" s="32"/>
      <c r="AA134" s="32"/>
      <c r="AB134" s="32"/>
    </row>
    <row r="135" spans="1:28" ht="16" hidden="1">
      <c r="A135" s="214">
        <v>129</v>
      </c>
      <c r="B135" s="215" t="s">
        <v>2503</v>
      </c>
      <c r="C135" s="215" t="s">
        <v>39</v>
      </c>
      <c r="D135" s="216">
        <v>46098</v>
      </c>
      <c r="E135" s="109" t="str">
        <f>VLOOKUP($C135,xe!$A:$B,2,0)</f>
        <v>50E-654.34</v>
      </c>
      <c r="F135" s="217" t="str">
        <f>VLOOKUP($B135,ma!$A:$B,2,0)</f>
        <v>NDFC - NAIC BẾN LỨC</v>
      </c>
      <c r="G135" s="218"/>
      <c r="H135" s="218"/>
      <c r="I135" s="219">
        <v>100000</v>
      </c>
      <c r="J135" s="218" t="s">
        <v>1427</v>
      </c>
      <c r="K135" s="219">
        <v>200000</v>
      </c>
      <c r="L135" s="218" t="s">
        <v>1423</v>
      </c>
      <c r="M135" s="231">
        <v>1</v>
      </c>
      <c r="N135" s="221">
        <f>VLOOKUP($B135,ma!$A:$C,3,0)</f>
        <v>2400000</v>
      </c>
      <c r="O135" s="221">
        <f t="shared" si="0"/>
        <v>2400000</v>
      </c>
      <c r="P135" s="221">
        <f t="shared" si="3"/>
        <v>240000</v>
      </c>
      <c r="Q135" s="201"/>
      <c r="R135" s="201"/>
      <c r="S135" s="201"/>
      <c r="T135" s="201"/>
      <c r="U135" s="201"/>
      <c r="V135" s="32"/>
      <c r="W135" s="32"/>
      <c r="X135" s="32"/>
      <c r="Y135" s="32"/>
      <c r="Z135" s="32"/>
      <c r="AA135" s="32"/>
      <c r="AB135" s="32"/>
    </row>
    <row r="136" spans="1:28" ht="16" hidden="1">
      <c r="A136" s="214">
        <v>130</v>
      </c>
      <c r="B136" s="215" t="s">
        <v>2506</v>
      </c>
      <c r="C136" s="215" t="s">
        <v>41</v>
      </c>
      <c r="D136" s="216">
        <v>46098</v>
      </c>
      <c r="E136" s="109" t="str">
        <f>VLOOKUP($C136,xe!$A:$B,2,0)</f>
        <v>50E-324,01</v>
      </c>
      <c r="F136" s="217" t="str">
        <f>VLOOKUP($B136,ma!$A:$B,2,0)</f>
        <v>TUẤN LỘC Q7 PALLET</v>
      </c>
      <c r="G136" s="218"/>
      <c r="H136" s="218"/>
      <c r="I136" s="219">
        <v>150000</v>
      </c>
      <c r="J136" s="218"/>
      <c r="K136" s="219"/>
      <c r="L136" s="218"/>
      <c r="M136" s="230">
        <v>13.48</v>
      </c>
      <c r="N136" s="221">
        <f>VLOOKUP($B136,ma!$A:$C,3,0)</f>
        <v>200000</v>
      </c>
      <c r="O136" s="221">
        <f t="shared" si="0"/>
        <v>2696000</v>
      </c>
      <c r="P136" s="221">
        <f t="shared" si="3"/>
        <v>269600</v>
      </c>
      <c r="Q136" s="201"/>
      <c r="R136" s="201"/>
      <c r="S136" s="201"/>
      <c r="T136" s="201"/>
      <c r="U136" s="201"/>
      <c r="V136" s="32"/>
      <c r="W136" s="32"/>
      <c r="X136" s="32"/>
      <c r="Y136" s="32"/>
      <c r="Z136" s="32"/>
      <c r="AA136" s="32"/>
      <c r="AB136" s="32"/>
    </row>
    <row r="137" spans="1:28" ht="16" hidden="1">
      <c r="A137" s="214">
        <v>131</v>
      </c>
      <c r="B137" s="215" t="s">
        <v>2506</v>
      </c>
      <c r="C137" s="215" t="s">
        <v>41</v>
      </c>
      <c r="D137" s="216">
        <v>46098</v>
      </c>
      <c r="E137" s="109" t="str">
        <f>VLOOKUP($C137,xe!$A:$B,2,0)</f>
        <v>50E-324,01</v>
      </c>
      <c r="F137" s="217" t="str">
        <f>VLOOKUP($B137,ma!$A:$B,2,0)</f>
        <v>TUẤN LỘC Q7 PALLET</v>
      </c>
      <c r="G137" s="218"/>
      <c r="H137" s="218"/>
      <c r="I137" s="219">
        <v>100000</v>
      </c>
      <c r="J137" s="218"/>
      <c r="K137" s="219"/>
      <c r="L137" s="218"/>
      <c r="M137" s="230">
        <v>12.58</v>
      </c>
      <c r="N137" s="221">
        <f>VLOOKUP($B137,ma!$A:$C,3,0)</f>
        <v>200000</v>
      </c>
      <c r="O137" s="221">
        <f t="shared" si="0"/>
        <v>2516000</v>
      </c>
      <c r="P137" s="221">
        <f t="shared" si="3"/>
        <v>251600</v>
      </c>
      <c r="Q137" s="201"/>
      <c r="R137" s="201"/>
      <c r="S137" s="201"/>
      <c r="T137" s="201"/>
      <c r="U137" s="201"/>
      <c r="V137" s="32"/>
      <c r="W137" s="32"/>
      <c r="X137" s="32"/>
      <c r="Y137" s="32"/>
      <c r="Z137" s="32"/>
      <c r="AA137" s="32"/>
      <c r="AB137" s="32"/>
    </row>
    <row r="138" spans="1:28" ht="16" hidden="1">
      <c r="A138" s="214">
        <v>132</v>
      </c>
      <c r="B138" s="215" t="s">
        <v>2503</v>
      </c>
      <c r="C138" s="215" t="s">
        <v>43</v>
      </c>
      <c r="D138" s="216">
        <v>46098</v>
      </c>
      <c r="E138" s="109" t="str">
        <f>VLOOKUP($C138,xe!$A:$B,2,0)</f>
        <v>50H-87055</v>
      </c>
      <c r="F138" s="217" t="str">
        <f>VLOOKUP($B138,ma!$A:$B,2,0)</f>
        <v>NDFC - NAIC BẾN LỨC</v>
      </c>
      <c r="G138" s="218"/>
      <c r="H138" s="218"/>
      <c r="I138" s="219">
        <v>100000</v>
      </c>
      <c r="J138" s="218" t="s">
        <v>1427</v>
      </c>
      <c r="K138" s="219"/>
      <c r="L138" s="218"/>
      <c r="M138" s="231">
        <v>1</v>
      </c>
      <c r="N138" s="221">
        <f>VLOOKUP($B138,ma!$A:$C,3,0)</f>
        <v>2400000</v>
      </c>
      <c r="O138" s="221">
        <f t="shared" si="0"/>
        <v>2400000</v>
      </c>
      <c r="P138" s="221">
        <f t="shared" si="3"/>
        <v>240000</v>
      </c>
      <c r="Q138" s="201"/>
      <c r="R138" s="201"/>
      <c r="S138" s="201"/>
      <c r="T138" s="201"/>
      <c r="U138" s="201"/>
      <c r="V138" s="32"/>
      <c r="W138" s="32"/>
      <c r="X138" s="32"/>
      <c r="Y138" s="32"/>
      <c r="Z138" s="32"/>
      <c r="AA138" s="32"/>
      <c r="AB138" s="32"/>
    </row>
    <row r="139" spans="1:28" ht="16" hidden="1">
      <c r="A139" s="214">
        <v>133</v>
      </c>
      <c r="B139" s="215" t="s">
        <v>2503</v>
      </c>
      <c r="C139" s="215" t="s">
        <v>43</v>
      </c>
      <c r="D139" s="216">
        <v>46098</v>
      </c>
      <c r="E139" s="109" t="str">
        <f>VLOOKUP($C139,xe!$A:$B,2,0)</f>
        <v>50H-87055</v>
      </c>
      <c r="F139" s="217" t="str">
        <f>VLOOKUP($B139,ma!$A:$B,2,0)</f>
        <v>NDFC - NAIC BẾN LỨC</v>
      </c>
      <c r="G139" s="218"/>
      <c r="H139" s="218"/>
      <c r="I139" s="219">
        <v>100000</v>
      </c>
      <c r="J139" s="218" t="s">
        <v>1427</v>
      </c>
      <c r="K139" s="219">
        <v>200000</v>
      </c>
      <c r="L139" s="218" t="s">
        <v>1423</v>
      </c>
      <c r="M139" s="231">
        <v>1</v>
      </c>
      <c r="N139" s="221">
        <f>VLOOKUP($B139,ma!$A:$C,3,0)</f>
        <v>2400000</v>
      </c>
      <c r="O139" s="221">
        <f t="shared" si="0"/>
        <v>2400000</v>
      </c>
      <c r="P139" s="221">
        <f t="shared" si="3"/>
        <v>240000</v>
      </c>
      <c r="Q139" s="201"/>
      <c r="R139" s="201"/>
      <c r="S139" s="201"/>
      <c r="T139" s="201"/>
      <c r="U139" s="201"/>
      <c r="V139" s="32"/>
      <c r="W139" s="32"/>
      <c r="X139" s="32"/>
      <c r="Y139" s="32"/>
      <c r="Z139" s="32"/>
      <c r="AA139" s="32"/>
      <c r="AB139" s="32"/>
    </row>
    <row r="140" spans="1:28" ht="16" hidden="1">
      <c r="A140" s="214">
        <v>134</v>
      </c>
      <c r="B140" s="215" t="s">
        <v>2503</v>
      </c>
      <c r="C140" s="215" t="s">
        <v>2523</v>
      </c>
      <c r="D140" s="216">
        <v>46098</v>
      </c>
      <c r="E140" s="109" t="str">
        <f>VLOOKUP($C140,xe!$A:$B,2,0)</f>
        <v>50E-757,74</v>
      </c>
      <c r="F140" s="217" t="str">
        <f>VLOOKUP($B140,ma!$A:$B,2,0)</f>
        <v>NDFC - NAIC BẾN LỨC</v>
      </c>
      <c r="G140" s="218"/>
      <c r="H140" s="218"/>
      <c r="I140" s="219">
        <v>100000</v>
      </c>
      <c r="J140" s="218"/>
      <c r="K140" s="219"/>
      <c r="L140" s="218"/>
      <c r="M140" s="231">
        <v>1</v>
      </c>
      <c r="N140" s="221">
        <f>VLOOKUP($B140,ma!$A:$C,3,0)</f>
        <v>2400000</v>
      </c>
      <c r="O140" s="221">
        <f t="shared" si="0"/>
        <v>2400000</v>
      </c>
      <c r="P140" s="221">
        <f t="shared" si="3"/>
        <v>240000</v>
      </c>
      <c r="Q140" s="201"/>
      <c r="R140" s="201"/>
      <c r="S140" s="201"/>
      <c r="T140" s="201"/>
      <c r="U140" s="201"/>
      <c r="V140" s="32"/>
      <c r="W140" s="32"/>
      <c r="X140" s="32"/>
      <c r="Y140" s="32"/>
      <c r="Z140" s="32"/>
      <c r="AA140" s="32"/>
      <c r="AB140" s="32"/>
    </row>
    <row r="141" spans="1:28" ht="16" hidden="1">
      <c r="A141" s="214">
        <v>135</v>
      </c>
      <c r="B141" s="215" t="s">
        <v>2509</v>
      </c>
      <c r="C141" s="215" t="s">
        <v>2523</v>
      </c>
      <c r="D141" s="216">
        <v>46098</v>
      </c>
      <c r="E141" s="109" t="str">
        <f>VLOOKUP($C141,xe!$A:$B,2,0)</f>
        <v>50E-757,74</v>
      </c>
      <c r="F141" s="217" t="str">
        <f>VLOOKUP($B141,ma!$A:$B,2,0)</f>
        <v>NAIC -UNI</v>
      </c>
      <c r="G141" s="218"/>
      <c r="H141" s="218"/>
      <c r="I141" s="219">
        <v>100000</v>
      </c>
      <c r="J141" s="218"/>
      <c r="K141" s="219"/>
      <c r="L141" s="218"/>
      <c r="M141" s="231">
        <v>1</v>
      </c>
      <c r="N141" s="221">
        <f>VLOOKUP($B141,ma!$A:$C,3,0)</f>
        <v>2400000</v>
      </c>
      <c r="O141" s="221">
        <f t="shared" si="0"/>
        <v>2400000</v>
      </c>
      <c r="P141" s="221">
        <f t="shared" si="3"/>
        <v>240000</v>
      </c>
      <c r="Q141" s="201"/>
      <c r="R141" s="201"/>
      <c r="S141" s="201"/>
      <c r="T141" s="201"/>
      <c r="U141" s="201"/>
      <c r="V141" s="32"/>
      <c r="W141" s="32"/>
      <c r="X141" s="32"/>
      <c r="Y141" s="32"/>
      <c r="Z141" s="32"/>
      <c r="AA141" s="32"/>
      <c r="AB141" s="32"/>
    </row>
    <row r="142" spans="1:28" ht="16" hidden="1">
      <c r="A142" s="214">
        <v>136</v>
      </c>
      <c r="B142" s="215" t="s">
        <v>2509</v>
      </c>
      <c r="C142" s="215" t="s">
        <v>2519</v>
      </c>
      <c r="D142" s="216">
        <v>46098</v>
      </c>
      <c r="E142" s="133" t="str">
        <f>VLOOKUP($C142,xe!$A:$B,2,0)</f>
        <v>50E-648.73</v>
      </c>
      <c r="F142" s="217" t="str">
        <f>VLOOKUP($B142,ma!$A:$B,2,0)</f>
        <v>NAIC -UNI</v>
      </c>
      <c r="G142" s="218"/>
      <c r="H142" s="218"/>
      <c r="I142" s="219">
        <v>100000</v>
      </c>
      <c r="J142" s="218"/>
      <c r="K142" s="219"/>
      <c r="L142" s="218"/>
      <c r="M142" s="231">
        <v>1</v>
      </c>
      <c r="N142" s="221">
        <f>VLOOKUP($B142,ma!$A:$C,3,0)</f>
        <v>2400000</v>
      </c>
      <c r="O142" s="221">
        <f t="shared" si="0"/>
        <v>2400000</v>
      </c>
      <c r="P142" s="221">
        <f t="shared" si="3"/>
        <v>240000</v>
      </c>
      <c r="Q142" s="201"/>
      <c r="R142" s="201"/>
      <c r="S142" s="201"/>
      <c r="T142" s="201"/>
      <c r="U142" s="201"/>
      <c r="V142" s="32"/>
      <c r="W142" s="32"/>
      <c r="X142" s="32"/>
      <c r="Y142" s="32"/>
      <c r="Z142" s="32"/>
      <c r="AA142" s="32"/>
      <c r="AB142" s="32"/>
    </row>
    <row r="143" spans="1:28" ht="16" hidden="1">
      <c r="A143" s="214">
        <v>137</v>
      </c>
      <c r="B143" s="215" t="s">
        <v>178</v>
      </c>
      <c r="C143" s="215" t="s">
        <v>2519</v>
      </c>
      <c r="D143" s="216">
        <v>46099</v>
      </c>
      <c r="E143" s="133" t="str">
        <f>VLOOKUP($C143,xe!$A:$B,2,0)</f>
        <v>50E-648.73</v>
      </c>
      <c r="F143" s="217" t="str">
        <f>VLOOKUP($B143,ma!$A:$B,2,0)</f>
        <v>MIFA TÂN TẠO</v>
      </c>
      <c r="G143" s="218"/>
      <c r="H143" s="218"/>
      <c r="I143" s="219">
        <v>200000</v>
      </c>
      <c r="J143" s="218"/>
      <c r="K143" s="219">
        <v>20000</v>
      </c>
      <c r="L143" s="218" t="s">
        <v>2501</v>
      </c>
      <c r="M143" s="230">
        <v>14.15</v>
      </c>
      <c r="N143" s="221">
        <f>VLOOKUP($B143,ma!$A:$C,3,0)</f>
        <v>200000</v>
      </c>
      <c r="O143" s="221">
        <f t="shared" si="0"/>
        <v>2830000</v>
      </c>
      <c r="P143" s="221">
        <f t="shared" si="3"/>
        <v>283000</v>
      </c>
      <c r="Q143" s="201"/>
      <c r="R143" s="201"/>
      <c r="S143" s="201"/>
      <c r="T143" s="201"/>
      <c r="U143" s="201"/>
      <c r="V143" s="32"/>
      <c r="W143" s="32"/>
      <c r="X143" s="32"/>
      <c r="Y143" s="32"/>
      <c r="Z143" s="32"/>
      <c r="AA143" s="32"/>
      <c r="AB143" s="32"/>
    </row>
    <row r="144" spans="1:28" ht="16" hidden="1">
      <c r="A144" s="214">
        <v>138</v>
      </c>
      <c r="B144" s="215" t="s">
        <v>2513</v>
      </c>
      <c r="C144" s="215" t="s">
        <v>39</v>
      </c>
      <c r="D144" s="216">
        <v>46099</v>
      </c>
      <c r="E144" s="109" t="str">
        <f>VLOOKUP($C144,xe!$A:$B,2,0)</f>
        <v>50E-654.34</v>
      </c>
      <c r="F144" s="217" t="str">
        <f>VLOOKUP($B144,ma!$A:$B,2,0)</f>
        <v>PHẠM ANH QUẬN 6 PALLET</v>
      </c>
      <c r="G144" s="218"/>
      <c r="H144" s="218"/>
      <c r="I144" s="219">
        <v>250000</v>
      </c>
      <c r="J144" s="218" t="s">
        <v>1427</v>
      </c>
      <c r="K144" s="219"/>
      <c r="L144" s="218"/>
      <c r="M144" s="231">
        <v>13.3</v>
      </c>
      <c r="N144" s="221">
        <f>VLOOKUP($B144,ma!$A:$C,3,0)</f>
        <v>200000</v>
      </c>
      <c r="O144" s="221">
        <f t="shared" si="0"/>
        <v>2660000</v>
      </c>
      <c r="P144" s="221">
        <f t="shared" si="3"/>
        <v>266000</v>
      </c>
      <c r="Q144" s="201"/>
      <c r="R144" s="201"/>
      <c r="S144" s="201"/>
      <c r="T144" s="201"/>
      <c r="U144" s="201"/>
      <c r="V144" s="32"/>
      <c r="W144" s="32"/>
      <c r="X144" s="32"/>
      <c r="Y144" s="32"/>
      <c r="Z144" s="32"/>
      <c r="AA144" s="32"/>
      <c r="AB144" s="32"/>
    </row>
    <row r="145" spans="1:28" ht="16" hidden="1">
      <c r="A145" s="214">
        <v>139</v>
      </c>
      <c r="B145" s="215" t="s">
        <v>2509</v>
      </c>
      <c r="C145" s="215" t="s">
        <v>39</v>
      </c>
      <c r="D145" s="216">
        <v>46099</v>
      </c>
      <c r="E145" s="109" t="str">
        <f>VLOOKUP($C145,xe!$A:$B,2,0)</f>
        <v>50E-654.34</v>
      </c>
      <c r="F145" s="217" t="str">
        <f>VLOOKUP($B145,ma!$A:$B,2,0)</f>
        <v>NAIC -UNI</v>
      </c>
      <c r="G145" s="218"/>
      <c r="H145" s="218"/>
      <c r="I145" s="219">
        <v>100000</v>
      </c>
      <c r="J145" s="218" t="s">
        <v>1427</v>
      </c>
      <c r="K145" s="219"/>
      <c r="L145" s="218"/>
      <c r="M145" s="231">
        <v>1</v>
      </c>
      <c r="N145" s="221">
        <f>VLOOKUP($B145,ma!$A:$C,3,0)</f>
        <v>2400000</v>
      </c>
      <c r="O145" s="221">
        <f t="shared" si="0"/>
        <v>2400000</v>
      </c>
      <c r="P145" s="221">
        <f t="shared" si="3"/>
        <v>240000</v>
      </c>
      <c r="Q145" s="201"/>
      <c r="R145" s="201"/>
      <c r="S145" s="201"/>
      <c r="T145" s="201"/>
      <c r="U145" s="201"/>
      <c r="V145" s="32"/>
      <c r="W145" s="32"/>
      <c r="X145" s="32"/>
      <c r="Y145" s="32"/>
      <c r="Z145" s="32"/>
      <c r="AA145" s="32"/>
      <c r="AB145" s="32"/>
    </row>
    <row r="146" spans="1:28" ht="16" hidden="1">
      <c r="A146" s="214">
        <v>140</v>
      </c>
      <c r="B146" s="215" t="s">
        <v>2506</v>
      </c>
      <c r="C146" s="215" t="s">
        <v>41</v>
      </c>
      <c r="D146" s="216">
        <v>46099</v>
      </c>
      <c r="E146" s="109" t="str">
        <f>VLOOKUP($C146,xe!$A:$B,2,0)</f>
        <v>50E-324,01</v>
      </c>
      <c r="F146" s="217" t="str">
        <f>VLOOKUP($B146,ma!$A:$B,2,0)</f>
        <v>TUẤN LỘC Q7 PALLET</v>
      </c>
      <c r="G146" s="218"/>
      <c r="H146" s="218"/>
      <c r="I146" s="219">
        <v>100000</v>
      </c>
      <c r="J146" s="218"/>
      <c r="K146" s="219"/>
      <c r="L146" s="218"/>
      <c r="M146" s="230">
        <v>12.94</v>
      </c>
      <c r="N146" s="221">
        <f>VLOOKUP($B146,ma!$A:$C,3,0)</f>
        <v>200000</v>
      </c>
      <c r="O146" s="221">
        <f t="shared" si="0"/>
        <v>2588000</v>
      </c>
      <c r="P146" s="221">
        <f t="shared" si="3"/>
        <v>258800</v>
      </c>
      <c r="Q146" s="201"/>
      <c r="R146" s="201"/>
      <c r="S146" s="201"/>
      <c r="T146" s="201"/>
      <c r="U146" s="201"/>
      <c r="V146" s="32"/>
      <c r="W146" s="32"/>
      <c r="X146" s="32"/>
      <c r="Y146" s="32"/>
      <c r="Z146" s="32"/>
      <c r="AA146" s="32"/>
      <c r="AB146" s="32"/>
    </row>
    <row r="147" spans="1:28" ht="16" hidden="1">
      <c r="A147" s="214">
        <v>141</v>
      </c>
      <c r="B147" s="215" t="s">
        <v>2506</v>
      </c>
      <c r="C147" s="215" t="s">
        <v>41</v>
      </c>
      <c r="D147" s="216">
        <v>46099</v>
      </c>
      <c r="E147" s="109" t="str">
        <f>VLOOKUP($C147,xe!$A:$B,2,0)</f>
        <v>50E-324,01</v>
      </c>
      <c r="F147" s="217" t="str">
        <f>VLOOKUP($B147,ma!$A:$B,2,0)</f>
        <v>TUẤN LỘC Q7 PALLET</v>
      </c>
      <c r="G147" s="218"/>
      <c r="H147" s="218"/>
      <c r="I147" s="219">
        <v>50000</v>
      </c>
      <c r="J147" s="218"/>
      <c r="K147" s="219"/>
      <c r="L147" s="218"/>
      <c r="M147" s="230">
        <v>11.66</v>
      </c>
      <c r="N147" s="221">
        <f>VLOOKUP($B147,ma!$A:$C,3,0)</f>
        <v>200000</v>
      </c>
      <c r="O147" s="221">
        <f t="shared" si="0"/>
        <v>2332000</v>
      </c>
      <c r="P147" s="221">
        <f t="shared" si="3"/>
        <v>233200</v>
      </c>
      <c r="Q147" s="201"/>
      <c r="R147" s="201"/>
      <c r="S147" s="201"/>
      <c r="T147" s="201"/>
      <c r="U147" s="201"/>
      <c r="V147" s="32"/>
      <c r="W147" s="32"/>
      <c r="X147" s="32"/>
      <c r="Y147" s="32"/>
      <c r="Z147" s="32"/>
      <c r="AA147" s="32"/>
      <c r="AB147" s="32"/>
    </row>
    <row r="148" spans="1:28" ht="16" hidden="1">
      <c r="A148" s="214">
        <v>142</v>
      </c>
      <c r="B148" s="215" t="s">
        <v>2505</v>
      </c>
      <c r="C148" s="215" t="s">
        <v>43</v>
      </c>
      <c r="D148" s="216">
        <v>46099</v>
      </c>
      <c r="E148" s="109" t="str">
        <f>VLOOKUP($C148,xe!$A:$B,2,0)</f>
        <v>50H-87055</v>
      </c>
      <c r="F148" s="217" t="str">
        <f>VLOOKUP($B148,ma!$A:$B,2,0)</f>
        <v>GIA HOÀNG TIỀN GIANG PALLET</v>
      </c>
      <c r="G148" s="218"/>
      <c r="H148" s="218"/>
      <c r="I148" s="219">
        <v>100000</v>
      </c>
      <c r="J148" s="218" t="s">
        <v>1427</v>
      </c>
      <c r="K148" s="219"/>
      <c r="L148" s="218"/>
      <c r="M148" s="231">
        <v>12</v>
      </c>
      <c r="N148" s="221">
        <f>VLOOKUP($B148,ma!$A:$C,3,0)</f>
        <v>230000</v>
      </c>
      <c r="O148" s="221">
        <f t="shared" si="0"/>
        <v>2760000</v>
      </c>
      <c r="P148" s="221">
        <f t="shared" si="3"/>
        <v>276000</v>
      </c>
      <c r="Q148" s="201"/>
      <c r="R148" s="201"/>
      <c r="S148" s="201"/>
      <c r="T148" s="201"/>
      <c r="U148" s="201"/>
      <c r="V148" s="32"/>
      <c r="W148" s="32"/>
      <c r="X148" s="32"/>
      <c r="Y148" s="32"/>
      <c r="Z148" s="32"/>
      <c r="AA148" s="32"/>
      <c r="AB148" s="32"/>
    </row>
    <row r="149" spans="1:28" ht="16" hidden="1">
      <c r="A149" s="214">
        <v>143</v>
      </c>
      <c r="B149" s="215" t="s">
        <v>2509</v>
      </c>
      <c r="C149" s="215" t="s">
        <v>43</v>
      </c>
      <c r="D149" s="216">
        <v>46099</v>
      </c>
      <c r="E149" s="109" t="str">
        <f>VLOOKUP($C149,xe!$A:$B,2,0)</f>
        <v>50H-87055</v>
      </c>
      <c r="F149" s="217" t="str">
        <f>VLOOKUP($B149,ma!$A:$B,2,0)</f>
        <v>NAIC -UNI</v>
      </c>
      <c r="G149" s="218"/>
      <c r="H149" s="218"/>
      <c r="I149" s="219">
        <v>100000</v>
      </c>
      <c r="J149" s="218" t="s">
        <v>1427</v>
      </c>
      <c r="K149" s="219">
        <v>50000</v>
      </c>
      <c r="L149" s="218" t="s">
        <v>2508</v>
      </c>
      <c r="M149" s="231">
        <v>1</v>
      </c>
      <c r="N149" s="221">
        <f>VLOOKUP($B149,ma!$A:$C,3,0)</f>
        <v>2400000</v>
      </c>
      <c r="O149" s="221">
        <f t="shared" si="0"/>
        <v>2400000</v>
      </c>
      <c r="P149" s="221">
        <f t="shared" si="3"/>
        <v>240000</v>
      </c>
      <c r="Q149" s="201"/>
      <c r="R149" s="201"/>
      <c r="S149" s="201"/>
      <c r="T149" s="201"/>
      <c r="U149" s="201"/>
      <c r="V149" s="32"/>
      <c r="W149" s="32"/>
      <c r="X149" s="32"/>
      <c r="Y149" s="32"/>
      <c r="Z149" s="32"/>
      <c r="AA149" s="32"/>
      <c r="AB149" s="32"/>
    </row>
    <row r="150" spans="1:28" ht="16" hidden="1">
      <c r="A150" s="214">
        <v>144</v>
      </c>
      <c r="B150" s="215" t="s">
        <v>2534</v>
      </c>
      <c r="C150" s="215" t="s">
        <v>2523</v>
      </c>
      <c r="D150" s="216">
        <v>46099</v>
      </c>
      <c r="E150" s="109" t="str">
        <f>VLOOKUP($C150,xe!$A:$B,2,0)</f>
        <v>50E-757,74</v>
      </c>
      <c r="F150" s="217" t="str">
        <f>VLOOKUP($B150,ma!$A:$B,2,0)</f>
        <v xml:space="preserve">LONG KHÁNH PALLET </v>
      </c>
      <c r="G150" s="218"/>
      <c r="H150" s="218"/>
      <c r="I150" s="219">
        <v>100000</v>
      </c>
      <c r="J150" s="218"/>
      <c r="K150" s="219">
        <v>20000</v>
      </c>
      <c r="L150" s="218" t="s">
        <v>2535</v>
      </c>
      <c r="M150" s="230">
        <v>12.52</v>
      </c>
      <c r="N150" s="221">
        <f>VLOOKUP($B150,ma!$A:$C,3,0)</f>
        <v>244000</v>
      </c>
      <c r="O150" s="221">
        <f t="shared" si="0"/>
        <v>3054880</v>
      </c>
      <c r="P150" s="221">
        <f t="shared" si="3"/>
        <v>305488</v>
      </c>
      <c r="Q150" s="201"/>
      <c r="R150" s="201"/>
      <c r="S150" s="201"/>
      <c r="T150" s="201"/>
      <c r="U150" s="201"/>
      <c r="V150" s="32"/>
      <c r="W150" s="32"/>
      <c r="X150" s="32"/>
      <c r="Y150" s="32"/>
      <c r="Z150" s="32"/>
      <c r="AA150" s="32"/>
      <c r="AB150" s="32"/>
    </row>
    <row r="151" spans="1:28" ht="16" hidden="1">
      <c r="A151" s="214">
        <v>145</v>
      </c>
      <c r="B151" s="215" t="s">
        <v>2504</v>
      </c>
      <c r="C151" s="215" t="s">
        <v>2519</v>
      </c>
      <c r="D151" s="216">
        <v>46100</v>
      </c>
      <c r="E151" s="133" t="str">
        <f>VLOOKUP($C151,xe!$A:$B,2,0)</f>
        <v>50E-648.73</v>
      </c>
      <c r="F151" s="217" t="str">
        <f>VLOOKUP($B151,ma!$A:$B,2,0)</f>
        <v>QUẬN 8 PALLET</v>
      </c>
      <c r="G151" s="218"/>
      <c r="H151" s="218"/>
      <c r="I151" s="219">
        <v>100000</v>
      </c>
      <c r="J151" s="218"/>
      <c r="K151" s="219">
        <v>20000</v>
      </c>
      <c r="L151" s="218" t="s">
        <v>2501</v>
      </c>
      <c r="M151" s="230">
        <v>12.6</v>
      </c>
      <c r="N151" s="221">
        <f>VLOOKUP($B151,ma!$A:$C,3,0)</f>
        <v>200000</v>
      </c>
      <c r="O151" s="221">
        <f t="shared" si="0"/>
        <v>2520000</v>
      </c>
      <c r="P151" s="221">
        <f t="shared" si="3"/>
        <v>252000</v>
      </c>
      <c r="Q151" s="201"/>
      <c r="R151" s="201"/>
      <c r="S151" s="201"/>
      <c r="T151" s="201"/>
      <c r="U151" s="201"/>
      <c r="V151" s="32"/>
      <c r="W151" s="32"/>
      <c r="X151" s="32"/>
      <c r="Y151" s="32"/>
      <c r="Z151" s="32"/>
      <c r="AA151" s="32"/>
      <c r="AB151" s="32"/>
    </row>
    <row r="152" spans="1:28" ht="16" hidden="1">
      <c r="A152" s="214">
        <v>146</v>
      </c>
      <c r="B152" s="215" t="s">
        <v>2509</v>
      </c>
      <c r="C152" s="215" t="s">
        <v>2519</v>
      </c>
      <c r="D152" s="216">
        <v>46100</v>
      </c>
      <c r="E152" s="133" t="str">
        <f>VLOOKUP($C152,xe!$A:$B,2,0)</f>
        <v>50E-648.73</v>
      </c>
      <c r="F152" s="217" t="str">
        <f>VLOOKUP($B152,ma!$A:$B,2,0)</f>
        <v>NAIC -UNI</v>
      </c>
      <c r="G152" s="218"/>
      <c r="H152" s="218"/>
      <c r="I152" s="219">
        <v>100000</v>
      </c>
      <c r="J152" s="218"/>
      <c r="K152" s="219"/>
      <c r="L152" s="218"/>
      <c r="M152" s="231">
        <v>1</v>
      </c>
      <c r="N152" s="221">
        <f>VLOOKUP($B152,ma!$A:$C,3,0)</f>
        <v>2400000</v>
      </c>
      <c r="O152" s="221">
        <f t="shared" si="0"/>
        <v>2400000</v>
      </c>
      <c r="P152" s="221">
        <f t="shared" si="3"/>
        <v>240000</v>
      </c>
      <c r="Q152" s="201"/>
      <c r="R152" s="201"/>
      <c r="S152" s="201"/>
      <c r="T152" s="201"/>
      <c r="U152" s="201"/>
      <c r="V152" s="32"/>
      <c r="W152" s="32"/>
      <c r="X152" s="32"/>
      <c r="Y152" s="32"/>
      <c r="Z152" s="32"/>
      <c r="AA152" s="32"/>
      <c r="AB152" s="32"/>
    </row>
    <row r="153" spans="1:28" ht="16" hidden="1">
      <c r="A153" s="214">
        <v>147</v>
      </c>
      <c r="B153" s="215" t="s">
        <v>2509</v>
      </c>
      <c r="C153" s="215" t="s">
        <v>39</v>
      </c>
      <c r="D153" s="216">
        <v>46100</v>
      </c>
      <c r="E153" s="109" t="str">
        <f>VLOOKUP($C153,xe!$A:$B,2,0)</f>
        <v>50E-654.34</v>
      </c>
      <c r="F153" s="217" t="str">
        <f>VLOOKUP($B153,ma!$A:$B,2,0)</f>
        <v>NAIC -UNI</v>
      </c>
      <c r="G153" s="218"/>
      <c r="H153" s="218"/>
      <c r="I153" s="219">
        <v>100000</v>
      </c>
      <c r="J153" s="218" t="s">
        <v>1427</v>
      </c>
      <c r="K153" s="219"/>
      <c r="L153" s="218"/>
      <c r="M153" s="231">
        <v>1</v>
      </c>
      <c r="N153" s="221">
        <f>VLOOKUP($B153,ma!$A:$C,3,0)</f>
        <v>2400000</v>
      </c>
      <c r="O153" s="221">
        <f t="shared" si="0"/>
        <v>2400000</v>
      </c>
      <c r="P153" s="221">
        <f t="shared" si="3"/>
        <v>240000</v>
      </c>
      <c r="Q153" s="201"/>
      <c r="R153" s="201"/>
      <c r="S153" s="201"/>
      <c r="T153" s="201"/>
      <c r="U153" s="201"/>
      <c r="V153" s="32"/>
      <c r="W153" s="32"/>
      <c r="X153" s="32"/>
      <c r="Y153" s="32"/>
      <c r="Z153" s="32"/>
      <c r="AA153" s="32"/>
      <c r="AB153" s="32"/>
    </row>
    <row r="154" spans="1:28" ht="16" hidden="1">
      <c r="A154" s="214">
        <v>148</v>
      </c>
      <c r="B154" s="215" t="s">
        <v>2506</v>
      </c>
      <c r="C154" s="215" t="s">
        <v>41</v>
      </c>
      <c r="D154" s="216">
        <v>46100</v>
      </c>
      <c r="E154" s="109" t="str">
        <f>VLOOKUP($C154,xe!$A:$B,2,0)</f>
        <v>50E-324,01</v>
      </c>
      <c r="F154" s="217" t="str">
        <f>VLOOKUP($B154,ma!$A:$B,2,0)</f>
        <v>TUẤN LỘC Q7 PALLET</v>
      </c>
      <c r="G154" s="218"/>
      <c r="H154" s="218"/>
      <c r="I154" s="219">
        <v>100000</v>
      </c>
      <c r="J154" s="218"/>
      <c r="K154" s="219"/>
      <c r="L154" s="218"/>
      <c r="M154" s="230">
        <v>11.92</v>
      </c>
      <c r="N154" s="221">
        <f>VLOOKUP($B154,ma!$A:$C,3,0)</f>
        <v>200000</v>
      </c>
      <c r="O154" s="221">
        <f t="shared" si="0"/>
        <v>2384000</v>
      </c>
      <c r="P154" s="221">
        <f t="shared" si="3"/>
        <v>238400</v>
      </c>
      <c r="Q154" s="201"/>
      <c r="R154" s="201"/>
      <c r="S154" s="201"/>
      <c r="T154" s="201"/>
      <c r="U154" s="201"/>
      <c r="V154" s="32"/>
      <c r="W154" s="32"/>
      <c r="X154" s="32"/>
      <c r="Y154" s="32"/>
      <c r="Z154" s="32"/>
      <c r="AA154" s="32"/>
      <c r="AB154" s="32"/>
    </row>
    <row r="155" spans="1:28" ht="16" hidden="1">
      <c r="A155" s="214">
        <v>149</v>
      </c>
      <c r="B155" s="215" t="s">
        <v>2506</v>
      </c>
      <c r="C155" s="215" t="s">
        <v>41</v>
      </c>
      <c r="D155" s="216">
        <v>46100</v>
      </c>
      <c r="E155" s="109" t="str">
        <f>VLOOKUP($C155,xe!$A:$B,2,0)</f>
        <v>50E-324,01</v>
      </c>
      <c r="F155" s="217" t="str">
        <f>VLOOKUP($B155,ma!$A:$B,2,0)</f>
        <v>TUẤN LỘC Q7 PALLET</v>
      </c>
      <c r="G155" s="218"/>
      <c r="H155" s="218"/>
      <c r="I155" s="219">
        <v>50000</v>
      </c>
      <c r="J155" s="218"/>
      <c r="K155" s="219"/>
      <c r="L155" s="218"/>
      <c r="M155" s="230">
        <v>12.56</v>
      </c>
      <c r="N155" s="221">
        <f>VLOOKUP($B155,ma!$A:$C,3,0)</f>
        <v>200000</v>
      </c>
      <c r="O155" s="221">
        <f t="shared" si="0"/>
        <v>2512000</v>
      </c>
      <c r="P155" s="221">
        <f t="shared" si="3"/>
        <v>251200</v>
      </c>
      <c r="Q155" s="201"/>
      <c r="R155" s="201"/>
      <c r="S155" s="201"/>
      <c r="T155" s="201"/>
      <c r="U155" s="201"/>
      <c r="V155" s="32"/>
      <c r="W155" s="32"/>
      <c r="X155" s="32"/>
      <c r="Y155" s="32"/>
      <c r="Z155" s="32"/>
      <c r="AA155" s="32"/>
      <c r="AB155" s="32"/>
    </row>
    <row r="156" spans="1:28" ht="16" hidden="1">
      <c r="A156" s="214">
        <v>150</v>
      </c>
      <c r="B156" s="215" t="s">
        <v>2536</v>
      </c>
      <c r="C156" s="215" t="s">
        <v>43</v>
      </c>
      <c r="D156" s="216">
        <v>46100</v>
      </c>
      <c r="E156" s="109" t="str">
        <f>VLOOKUP($C156,xe!$A:$B,2,0)</f>
        <v>50H-87055</v>
      </c>
      <c r="F156" s="217" t="str">
        <f>VLOOKUP($B156,ma!$A:$B,2,0)</f>
        <v>QUẬN 9 PALLET</v>
      </c>
      <c r="G156" s="218"/>
      <c r="H156" s="218"/>
      <c r="I156" s="219">
        <v>100000</v>
      </c>
      <c r="J156" s="218" t="s">
        <v>1427</v>
      </c>
      <c r="K156" s="219">
        <v>3000000</v>
      </c>
      <c r="L156" s="218" t="s">
        <v>2537</v>
      </c>
      <c r="M156" s="230">
        <v>13.55</v>
      </c>
      <c r="N156" s="221">
        <f>VLOOKUP($B156,ma!$A:$C,3,0)</f>
        <v>200000</v>
      </c>
      <c r="O156" s="221">
        <f t="shared" si="0"/>
        <v>2710000</v>
      </c>
      <c r="P156" s="221">
        <f t="shared" si="3"/>
        <v>271000</v>
      </c>
      <c r="Q156" s="201"/>
      <c r="R156" s="201"/>
      <c r="S156" s="201"/>
      <c r="T156" s="201"/>
      <c r="U156" s="201"/>
      <c r="V156" s="32"/>
      <c r="W156" s="32"/>
      <c r="X156" s="32"/>
      <c r="Y156" s="32"/>
      <c r="Z156" s="32"/>
      <c r="AA156" s="32"/>
      <c r="AB156" s="32"/>
    </row>
    <row r="157" spans="1:28" ht="16" hidden="1">
      <c r="A157" s="214">
        <v>151</v>
      </c>
      <c r="B157" s="215" t="s">
        <v>2513</v>
      </c>
      <c r="C157" s="215" t="s">
        <v>2523</v>
      </c>
      <c r="D157" s="216">
        <v>46100</v>
      </c>
      <c r="E157" s="109" t="str">
        <f>VLOOKUP($C157,xe!$A:$B,2,0)</f>
        <v>50E-757,74</v>
      </c>
      <c r="F157" s="217" t="str">
        <f>VLOOKUP($B157,ma!$A:$B,2,0)</f>
        <v>PHẠM ANH QUẬN 6 PALLET</v>
      </c>
      <c r="G157" s="218"/>
      <c r="H157" s="218"/>
      <c r="I157" s="219">
        <v>100000</v>
      </c>
      <c r="J157" s="218"/>
      <c r="K157" s="219"/>
      <c r="L157" s="218"/>
      <c r="M157" s="230">
        <v>12.19</v>
      </c>
      <c r="N157" s="221">
        <f>VLOOKUP($B157,ma!$A:$C,3,0)</f>
        <v>200000</v>
      </c>
      <c r="O157" s="221">
        <f t="shared" si="0"/>
        <v>2438000</v>
      </c>
      <c r="P157" s="221">
        <f t="shared" si="3"/>
        <v>243800</v>
      </c>
      <c r="Q157" s="201"/>
      <c r="R157" s="201"/>
      <c r="S157" s="201"/>
      <c r="T157" s="201"/>
      <c r="U157" s="201"/>
      <c r="V157" s="32"/>
      <c r="W157" s="32"/>
      <c r="X157" s="32"/>
      <c r="Y157" s="32"/>
      <c r="Z157" s="32"/>
      <c r="AA157" s="32"/>
      <c r="AB157" s="32"/>
    </row>
    <row r="158" spans="1:28" ht="16" hidden="1">
      <c r="A158" s="214">
        <v>152</v>
      </c>
      <c r="B158" s="215" t="s">
        <v>2509</v>
      </c>
      <c r="C158" s="215" t="s">
        <v>2523</v>
      </c>
      <c r="D158" s="216">
        <v>46100</v>
      </c>
      <c r="E158" s="109" t="str">
        <f>VLOOKUP($C158,xe!$A:$B,2,0)</f>
        <v>50E-757,74</v>
      </c>
      <c r="F158" s="217" t="str">
        <f>VLOOKUP($B158,ma!$A:$B,2,0)</f>
        <v>NAIC -UNI</v>
      </c>
      <c r="G158" s="218"/>
      <c r="H158" s="218"/>
      <c r="I158" s="219">
        <v>100000</v>
      </c>
      <c r="J158" s="218"/>
      <c r="K158" s="219"/>
      <c r="L158" s="218"/>
      <c r="M158" s="231">
        <v>1</v>
      </c>
      <c r="N158" s="221">
        <f>VLOOKUP($B158,ma!$A:$C,3,0)</f>
        <v>2400000</v>
      </c>
      <c r="O158" s="221">
        <f t="shared" si="0"/>
        <v>2400000</v>
      </c>
      <c r="P158" s="221">
        <f t="shared" si="3"/>
        <v>240000</v>
      </c>
      <c r="Q158" s="201"/>
      <c r="R158" s="201"/>
      <c r="S158" s="201"/>
      <c r="T158" s="201"/>
      <c r="U158" s="201"/>
      <c r="V158" s="32"/>
      <c r="W158" s="32"/>
      <c r="X158" s="32"/>
      <c r="Y158" s="32"/>
      <c r="Z158" s="32"/>
      <c r="AA158" s="32"/>
      <c r="AB158" s="32"/>
    </row>
    <row r="159" spans="1:28" ht="16" hidden="1">
      <c r="A159" s="214">
        <v>153</v>
      </c>
      <c r="B159" s="215" t="s">
        <v>128</v>
      </c>
      <c r="C159" s="215" t="s">
        <v>2519</v>
      </c>
      <c r="D159" s="216">
        <v>46101</v>
      </c>
      <c r="E159" s="133" t="str">
        <f>VLOOKUP($C159,xe!$A:$B,2,0)</f>
        <v>50E-648.73</v>
      </c>
      <c r="F159" s="217" t="str">
        <f>VLOOKUP($B159,ma!$A:$B,2,0)</f>
        <v>QUẬN 8 PALLET</v>
      </c>
      <c r="G159" s="218"/>
      <c r="H159" s="218"/>
      <c r="I159" s="219">
        <v>100000</v>
      </c>
      <c r="J159" s="218"/>
      <c r="K159" s="219"/>
      <c r="L159" s="218"/>
      <c r="M159" s="230">
        <v>12.73</v>
      </c>
      <c r="N159" s="221">
        <f>VLOOKUP($B159,ma!$A:$C,3,0)</f>
        <v>200000</v>
      </c>
      <c r="O159" s="221">
        <f t="shared" si="0"/>
        <v>2546000</v>
      </c>
      <c r="P159" s="221">
        <f t="shared" si="3"/>
        <v>254600</v>
      </c>
      <c r="Q159" s="201"/>
      <c r="R159" s="201"/>
      <c r="S159" s="201"/>
      <c r="T159" s="201"/>
      <c r="U159" s="201"/>
      <c r="V159" s="32"/>
      <c r="W159" s="32"/>
      <c r="X159" s="32"/>
      <c r="Y159" s="32"/>
      <c r="Z159" s="32"/>
      <c r="AA159" s="32"/>
      <c r="AB159" s="32"/>
    </row>
    <row r="160" spans="1:28" ht="16" hidden="1">
      <c r="A160" s="214">
        <v>154</v>
      </c>
      <c r="B160" s="215" t="s">
        <v>210</v>
      </c>
      <c r="C160" s="215" t="s">
        <v>2519</v>
      </c>
      <c r="D160" s="216">
        <v>46101</v>
      </c>
      <c r="E160" s="133" t="str">
        <f>VLOOKUP($C160,xe!$A:$B,2,0)</f>
        <v>50E-648.73</v>
      </c>
      <c r="F160" s="217" t="str">
        <f>VLOOKUP($B160,ma!$A:$B,2,0)</f>
        <v>NDFC - NAIC BẾN LỨC</v>
      </c>
      <c r="G160" s="218"/>
      <c r="H160" s="218"/>
      <c r="I160" s="219">
        <v>100000</v>
      </c>
      <c r="J160" s="218"/>
      <c r="K160" s="219"/>
      <c r="L160" s="218"/>
      <c r="M160" s="231">
        <v>1</v>
      </c>
      <c r="N160" s="221">
        <f>VLOOKUP($B160,ma!$A:$C,3,0)</f>
        <v>2400000</v>
      </c>
      <c r="O160" s="221">
        <f t="shared" si="0"/>
        <v>2400000</v>
      </c>
      <c r="P160" s="221">
        <f t="shared" si="3"/>
        <v>240000</v>
      </c>
      <c r="Q160" s="201"/>
      <c r="R160" s="201"/>
      <c r="S160" s="201"/>
      <c r="T160" s="201"/>
      <c r="U160" s="201"/>
      <c r="V160" s="32"/>
      <c r="W160" s="32"/>
      <c r="X160" s="32"/>
      <c r="Y160" s="32"/>
      <c r="Z160" s="32"/>
      <c r="AA160" s="32"/>
      <c r="AB160" s="32"/>
    </row>
    <row r="161" spans="1:28" ht="16" hidden="1">
      <c r="A161" s="214">
        <v>155</v>
      </c>
      <c r="B161" s="215" t="s">
        <v>210</v>
      </c>
      <c r="C161" s="215" t="s">
        <v>39</v>
      </c>
      <c r="D161" s="216">
        <v>46101</v>
      </c>
      <c r="E161" s="109" t="str">
        <f>VLOOKUP($C161,xe!$A:$B,2,0)</f>
        <v>50E-654.34</v>
      </c>
      <c r="F161" s="217" t="str">
        <f>VLOOKUP($B161,ma!$A:$B,2,0)</f>
        <v>NDFC - NAIC BẾN LỨC</v>
      </c>
      <c r="G161" s="218"/>
      <c r="H161" s="218"/>
      <c r="I161" s="219">
        <v>100000</v>
      </c>
      <c r="J161" s="218" t="s">
        <v>1427</v>
      </c>
      <c r="K161" s="219">
        <v>200000</v>
      </c>
      <c r="L161" s="218" t="s">
        <v>1423</v>
      </c>
      <c r="M161" s="231">
        <v>1</v>
      </c>
      <c r="N161" s="221">
        <f>VLOOKUP($B161,ma!$A:$C,3,0)</f>
        <v>2400000</v>
      </c>
      <c r="O161" s="221">
        <f t="shared" si="0"/>
        <v>2400000</v>
      </c>
      <c r="P161" s="221">
        <f t="shared" si="3"/>
        <v>240000</v>
      </c>
      <c r="Q161" s="201"/>
      <c r="R161" s="201"/>
      <c r="S161" s="201"/>
      <c r="T161" s="201"/>
      <c r="U161" s="201"/>
      <c r="V161" s="32"/>
      <c r="W161" s="32"/>
      <c r="X161" s="32"/>
      <c r="Y161" s="32"/>
      <c r="Z161" s="32"/>
      <c r="AA161" s="32"/>
      <c r="AB161" s="32"/>
    </row>
    <row r="162" spans="1:28" ht="16" hidden="1">
      <c r="A162" s="214">
        <v>156</v>
      </c>
      <c r="B162" s="215" t="s">
        <v>210</v>
      </c>
      <c r="C162" s="215" t="s">
        <v>39</v>
      </c>
      <c r="D162" s="216">
        <v>46101</v>
      </c>
      <c r="E162" s="109" t="str">
        <f>VLOOKUP($C162,xe!$A:$B,2,0)</f>
        <v>50E-654.34</v>
      </c>
      <c r="F162" s="217" t="str">
        <f>VLOOKUP($B162,ma!$A:$B,2,0)</f>
        <v>NDFC - NAIC BẾN LỨC</v>
      </c>
      <c r="G162" s="218"/>
      <c r="H162" s="218"/>
      <c r="I162" s="219">
        <v>100000</v>
      </c>
      <c r="J162" s="218" t="s">
        <v>1427</v>
      </c>
      <c r="K162" s="219"/>
      <c r="L162" s="218"/>
      <c r="M162" s="231">
        <v>1</v>
      </c>
      <c r="N162" s="221">
        <f>VLOOKUP($B162,ma!$A:$C,3,0)</f>
        <v>2400000</v>
      </c>
      <c r="O162" s="221">
        <f t="shared" si="0"/>
        <v>2400000</v>
      </c>
      <c r="P162" s="221">
        <f t="shared" si="3"/>
        <v>240000</v>
      </c>
      <c r="Q162" s="201"/>
      <c r="R162" s="201"/>
      <c r="S162" s="201"/>
      <c r="T162" s="201"/>
      <c r="U162" s="201"/>
      <c r="V162" s="32"/>
      <c r="W162" s="32"/>
      <c r="X162" s="32"/>
      <c r="Y162" s="32"/>
      <c r="Z162" s="32"/>
      <c r="AA162" s="32"/>
      <c r="AB162" s="32"/>
    </row>
    <row r="163" spans="1:28" ht="16" hidden="1">
      <c r="A163" s="214">
        <v>157</v>
      </c>
      <c r="B163" s="215" t="s">
        <v>156</v>
      </c>
      <c r="C163" s="215" t="s">
        <v>41</v>
      </c>
      <c r="D163" s="216">
        <v>46101</v>
      </c>
      <c r="E163" s="109" t="str">
        <f>VLOOKUP($C163,xe!$A:$B,2,0)</f>
        <v>50E-324,01</v>
      </c>
      <c r="F163" s="217" t="str">
        <f>VLOOKUP($B163,ma!$A:$B,2,0)</f>
        <v>TUẤN LỘC Q7 PALLET</v>
      </c>
      <c r="G163" s="218"/>
      <c r="H163" s="218"/>
      <c r="I163" s="219">
        <v>100000</v>
      </c>
      <c r="J163" s="218"/>
      <c r="K163" s="219"/>
      <c r="L163" s="218"/>
      <c r="M163" s="230">
        <v>11.88</v>
      </c>
      <c r="N163" s="221">
        <f>VLOOKUP($B163,ma!$A:$C,3,0)</f>
        <v>200000</v>
      </c>
      <c r="O163" s="221">
        <f t="shared" si="0"/>
        <v>2376000</v>
      </c>
      <c r="P163" s="221">
        <f t="shared" si="3"/>
        <v>237600</v>
      </c>
      <c r="Q163" s="201"/>
      <c r="R163" s="201"/>
      <c r="S163" s="201"/>
      <c r="T163" s="201"/>
      <c r="U163" s="201"/>
      <c r="V163" s="32"/>
      <c r="W163" s="32"/>
      <c r="X163" s="32"/>
      <c r="Y163" s="32"/>
      <c r="Z163" s="32"/>
      <c r="AA163" s="32"/>
      <c r="AB163" s="32"/>
    </row>
    <row r="164" spans="1:28" ht="16" hidden="1">
      <c r="A164" s="214">
        <v>158</v>
      </c>
      <c r="B164" s="215" t="s">
        <v>156</v>
      </c>
      <c r="C164" s="215" t="s">
        <v>41</v>
      </c>
      <c r="D164" s="216">
        <v>46101</v>
      </c>
      <c r="E164" s="109" t="str">
        <f>VLOOKUP($C164,xe!$A:$B,2,0)</f>
        <v>50E-324,01</v>
      </c>
      <c r="F164" s="217" t="str">
        <f>VLOOKUP($B164,ma!$A:$B,2,0)</f>
        <v>TUẤN LỘC Q7 PALLET</v>
      </c>
      <c r="G164" s="218"/>
      <c r="H164" s="218"/>
      <c r="I164" s="219">
        <v>100000</v>
      </c>
      <c r="J164" s="218"/>
      <c r="K164" s="219"/>
      <c r="L164" s="218"/>
      <c r="M164" s="230">
        <v>14.05</v>
      </c>
      <c r="N164" s="221">
        <f>VLOOKUP($B164,ma!$A:$C,3,0)</f>
        <v>200000</v>
      </c>
      <c r="O164" s="221">
        <f t="shared" si="0"/>
        <v>2810000</v>
      </c>
      <c r="P164" s="221">
        <f t="shared" si="3"/>
        <v>281000</v>
      </c>
      <c r="Q164" s="201"/>
      <c r="R164" s="201"/>
      <c r="S164" s="201"/>
      <c r="T164" s="201"/>
      <c r="U164" s="201"/>
      <c r="V164" s="32"/>
      <c r="W164" s="32"/>
      <c r="X164" s="32"/>
      <c r="Y164" s="32"/>
      <c r="Z164" s="32"/>
      <c r="AA164" s="32"/>
      <c r="AB164" s="32"/>
    </row>
    <row r="165" spans="1:28" ht="16" hidden="1">
      <c r="A165" s="214">
        <v>159</v>
      </c>
      <c r="B165" s="215" t="s">
        <v>156</v>
      </c>
      <c r="C165" s="215" t="s">
        <v>41</v>
      </c>
      <c r="D165" s="216">
        <v>46101</v>
      </c>
      <c r="E165" s="109" t="str">
        <f>VLOOKUP($C165,xe!$A:$B,2,0)</f>
        <v>50E-324,01</v>
      </c>
      <c r="F165" s="217" t="str">
        <f>VLOOKUP($B165,ma!$A:$B,2,0)</f>
        <v>TUẤN LỘC Q7 PALLET</v>
      </c>
      <c r="G165" s="218"/>
      <c r="H165" s="218"/>
      <c r="I165" s="219">
        <v>50000</v>
      </c>
      <c r="J165" s="218"/>
      <c r="K165" s="219"/>
      <c r="L165" s="218"/>
      <c r="M165" s="230">
        <v>12.58</v>
      </c>
      <c r="N165" s="221">
        <f>VLOOKUP($B165,ma!$A:$C,3,0)</f>
        <v>200000</v>
      </c>
      <c r="O165" s="221">
        <f t="shared" si="0"/>
        <v>2516000</v>
      </c>
      <c r="P165" s="221">
        <f t="shared" si="3"/>
        <v>251600</v>
      </c>
      <c r="Q165" s="201"/>
      <c r="R165" s="201"/>
      <c r="S165" s="201"/>
      <c r="T165" s="201"/>
      <c r="U165" s="201"/>
      <c r="V165" s="32"/>
      <c r="W165" s="32"/>
      <c r="X165" s="32"/>
      <c r="Y165" s="32"/>
      <c r="Z165" s="32"/>
      <c r="AA165" s="32"/>
      <c r="AB165" s="32"/>
    </row>
    <row r="166" spans="1:28" ht="16" hidden="1">
      <c r="A166" s="214">
        <v>160</v>
      </c>
      <c r="B166" s="215" t="s">
        <v>130</v>
      </c>
      <c r="C166" s="215" t="s">
        <v>43</v>
      </c>
      <c r="D166" s="216">
        <v>46101</v>
      </c>
      <c r="E166" s="109" t="str">
        <f>VLOOKUP($C166,xe!$A:$B,2,0)</f>
        <v>50H-87055</v>
      </c>
      <c r="F166" s="217" t="str">
        <f>VLOOKUP($B166,ma!$A:$B,2,0)</f>
        <v>QUẬN 9 XÁ</v>
      </c>
      <c r="G166" s="218"/>
      <c r="H166" s="218"/>
      <c r="I166" s="219">
        <v>200000</v>
      </c>
      <c r="J166" s="218" t="s">
        <v>1427</v>
      </c>
      <c r="K166" s="219"/>
      <c r="L166" s="218"/>
      <c r="M166" s="230">
        <v>13.41</v>
      </c>
      <c r="N166" s="221">
        <f>VLOOKUP($B166,ma!$A:$C,3,0)</f>
        <v>200000</v>
      </c>
      <c r="O166" s="221">
        <f t="shared" si="0"/>
        <v>2682000</v>
      </c>
      <c r="P166" s="221">
        <f t="shared" si="3"/>
        <v>268200</v>
      </c>
      <c r="Q166" s="201"/>
      <c r="R166" s="201"/>
      <c r="S166" s="201"/>
      <c r="T166" s="201"/>
      <c r="U166" s="201"/>
      <c r="V166" s="32"/>
      <c r="W166" s="32"/>
      <c r="X166" s="32"/>
      <c r="Y166" s="32"/>
      <c r="Z166" s="32"/>
      <c r="AA166" s="32"/>
      <c r="AB166" s="32"/>
    </row>
    <row r="167" spans="1:28" ht="16" hidden="1">
      <c r="A167" s="214">
        <v>161</v>
      </c>
      <c r="B167" s="215" t="s">
        <v>210</v>
      </c>
      <c r="C167" s="215" t="s">
        <v>43</v>
      </c>
      <c r="D167" s="216">
        <v>46101</v>
      </c>
      <c r="E167" s="109" t="str">
        <f>VLOOKUP($C167,xe!$A:$B,2,0)</f>
        <v>50H-87055</v>
      </c>
      <c r="F167" s="217" t="str">
        <f>VLOOKUP($B167,ma!$A:$B,2,0)</f>
        <v>NDFC - NAIC BẾN LỨC</v>
      </c>
      <c r="G167" s="218"/>
      <c r="H167" s="218"/>
      <c r="I167" s="219">
        <v>100000</v>
      </c>
      <c r="J167" s="218" t="s">
        <v>1427</v>
      </c>
      <c r="K167" s="219">
        <v>200000</v>
      </c>
      <c r="L167" s="218" t="s">
        <v>1423</v>
      </c>
      <c r="M167" s="231">
        <v>1</v>
      </c>
      <c r="N167" s="221">
        <f>VLOOKUP($B167,ma!$A:$C,3,0)</f>
        <v>2400000</v>
      </c>
      <c r="O167" s="221">
        <f t="shared" si="0"/>
        <v>2400000</v>
      </c>
      <c r="P167" s="221">
        <f t="shared" si="3"/>
        <v>240000</v>
      </c>
      <c r="Q167" s="201"/>
      <c r="R167" s="201"/>
      <c r="S167" s="201"/>
      <c r="T167" s="201"/>
      <c r="U167" s="201"/>
      <c r="V167" s="32"/>
      <c r="W167" s="32"/>
      <c r="X167" s="32"/>
      <c r="Y167" s="32"/>
      <c r="Z167" s="32"/>
      <c r="AA167" s="32"/>
      <c r="AB167" s="32"/>
    </row>
    <row r="168" spans="1:28" ht="16" hidden="1">
      <c r="A168" s="214">
        <v>162</v>
      </c>
      <c r="B168" s="215" t="s">
        <v>210</v>
      </c>
      <c r="C168" s="215" t="s">
        <v>2523</v>
      </c>
      <c r="D168" s="216">
        <v>46101</v>
      </c>
      <c r="E168" s="109" t="str">
        <f>VLOOKUP($C168,xe!$A:$B,2,0)</f>
        <v>50E-757,74</v>
      </c>
      <c r="F168" s="217" t="str">
        <f>VLOOKUP($B168,ma!$A:$B,2,0)</f>
        <v>NDFC - NAIC BẾN LỨC</v>
      </c>
      <c r="G168" s="218"/>
      <c r="H168" s="218"/>
      <c r="I168" s="219">
        <v>100000</v>
      </c>
      <c r="J168" s="218"/>
      <c r="K168" s="219"/>
      <c r="L168" s="218"/>
      <c r="M168" s="231">
        <v>1</v>
      </c>
      <c r="N168" s="221">
        <f>VLOOKUP($B168,ma!$A:$C,3,0)</f>
        <v>2400000</v>
      </c>
      <c r="O168" s="221">
        <f t="shared" si="0"/>
        <v>2400000</v>
      </c>
      <c r="P168" s="221">
        <f t="shared" si="3"/>
        <v>240000</v>
      </c>
      <c r="Q168" s="201"/>
      <c r="R168" s="201"/>
      <c r="S168" s="201"/>
      <c r="T168" s="201"/>
      <c r="U168" s="201"/>
      <c r="V168" s="32"/>
      <c r="W168" s="32"/>
      <c r="X168" s="32"/>
      <c r="Y168" s="32"/>
      <c r="Z168" s="32"/>
      <c r="AA168" s="32"/>
      <c r="AB168" s="32"/>
    </row>
    <row r="169" spans="1:28" ht="16" hidden="1">
      <c r="A169" s="214">
        <v>163</v>
      </c>
      <c r="B169" s="215" t="s">
        <v>210</v>
      </c>
      <c r="C169" s="215" t="s">
        <v>2523</v>
      </c>
      <c r="D169" s="216">
        <v>46101</v>
      </c>
      <c r="E169" s="109" t="str">
        <f>VLOOKUP($C169,xe!$A:$B,2,0)</f>
        <v>50E-757,74</v>
      </c>
      <c r="F169" s="217" t="str">
        <f>VLOOKUP($B169,ma!$A:$B,2,0)</f>
        <v>NDFC - NAIC BẾN LỨC</v>
      </c>
      <c r="G169" s="218"/>
      <c r="H169" s="218"/>
      <c r="I169" s="219">
        <v>100000</v>
      </c>
      <c r="J169" s="218"/>
      <c r="K169" s="219"/>
      <c r="L169" s="218"/>
      <c r="M169" s="231">
        <v>1</v>
      </c>
      <c r="N169" s="221">
        <f>VLOOKUP($B169,ma!$A:$C,3,0)</f>
        <v>2400000</v>
      </c>
      <c r="O169" s="221">
        <f t="shared" si="0"/>
        <v>2400000</v>
      </c>
      <c r="P169" s="221">
        <f t="shared" si="3"/>
        <v>240000</v>
      </c>
      <c r="Q169" s="201"/>
      <c r="R169" s="201"/>
      <c r="S169" s="201"/>
      <c r="T169" s="201"/>
      <c r="U169" s="201"/>
      <c r="V169" s="32"/>
      <c r="W169" s="32"/>
      <c r="X169" s="32"/>
      <c r="Y169" s="32"/>
      <c r="Z169" s="32"/>
      <c r="AA169" s="32"/>
      <c r="AB169" s="32"/>
    </row>
    <row r="170" spans="1:28" ht="16" hidden="1">
      <c r="A170" s="214">
        <v>163</v>
      </c>
      <c r="B170" s="215" t="s">
        <v>212</v>
      </c>
      <c r="C170" s="215" t="s">
        <v>2523</v>
      </c>
      <c r="D170" s="216">
        <v>46101</v>
      </c>
      <c r="E170" s="109" t="str">
        <f>VLOOKUP($C170,xe!$A:$B,2,0)</f>
        <v>50E-757,74</v>
      </c>
      <c r="F170" s="217" t="str">
        <f>VLOOKUP($B170,ma!$A:$B,2,0)</f>
        <v>NAIC -UNI</v>
      </c>
      <c r="G170" s="218"/>
      <c r="H170" s="218"/>
      <c r="I170" s="219">
        <v>100000</v>
      </c>
      <c r="J170" s="218"/>
      <c r="K170" s="219">
        <v>516000</v>
      </c>
      <c r="L170" s="218" t="s">
        <v>2507</v>
      </c>
      <c r="M170" s="231">
        <v>1</v>
      </c>
      <c r="N170" s="221">
        <f>VLOOKUP($B170,ma!$A:$C,3,0)</f>
        <v>2400000</v>
      </c>
      <c r="O170" s="221">
        <f t="shared" si="0"/>
        <v>2400000</v>
      </c>
      <c r="P170" s="221">
        <f t="shared" si="3"/>
        <v>240000</v>
      </c>
      <c r="Q170" s="201"/>
      <c r="R170" s="201"/>
      <c r="S170" s="201"/>
      <c r="T170" s="201"/>
      <c r="U170" s="201"/>
      <c r="V170" s="32"/>
      <c r="W170" s="32"/>
      <c r="X170" s="32"/>
      <c r="Y170" s="32"/>
      <c r="Z170" s="32"/>
      <c r="AA170" s="32"/>
      <c r="AB170" s="32"/>
    </row>
    <row r="171" spans="1:28" ht="16" hidden="1">
      <c r="A171" s="214">
        <v>163</v>
      </c>
      <c r="B171" s="215" t="s">
        <v>2534</v>
      </c>
      <c r="C171" s="215" t="s">
        <v>2519</v>
      </c>
      <c r="D171" s="216">
        <v>46102</v>
      </c>
      <c r="E171" s="133" t="str">
        <f>VLOOKUP($C171,xe!$A:$B,2,0)</f>
        <v>50E-648.73</v>
      </c>
      <c r="F171" s="217" t="str">
        <f>VLOOKUP($B171,ma!$A:$B,2,0)</f>
        <v xml:space="preserve">LONG KHÁNH PALLET </v>
      </c>
      <c r="G171" s="218"/>
      <c r="H171" s="218"/>
      <c r="I171" s="219">
        <v>150000</v>
      </c>
      <c r="J171" s="218"/>
      <c r="K171" s="219"/>
      <c r="L171" s="218"/>
      <c r="M171" s="230">
        <v>12.07</v>
      </c>
      <c r="N171" s="221">
        <f>VLOOKUP($B171,ma!$A:$C,3,0)</f>
        <v>244000</v>
      </c>
      <c r="O171" s="221">
        <f t="shared" si="0"/>
        <v>2945080</v>
      </c>
      <c r="P171" s="221">
        <f t="shared" si="3"/>
        <v>294508</v>
      </c>
      <c r="Q171" s="201"/>
      <c r="R171" s="201"/>
      <c r="S171" s="201"/>
      <c r="T171" s="201"/>
      <c r="U171" s="201"/>
      <c r="V171" s="32"/>
      <c r="W171" s="32"/>
      <c r="X171" s="32"/>
      <c r="Y171" s="32"/>
      <c r="Z171" s="32"/>
      <c r="AA171" s="32"/>
      <c r="AB171" s="32"/>
    </row>
    <row r="172" spans="1:28" ht="16" hidden="1">
      <c r="A172" s="214">
        <v>163</v>
      </c>
      <c r="B172" s="215" t="s">
        <v>2530</v>
      </c>
      <c r="C172" s="215" t="s">
        <v>2523</v>
      </c>
      <c r="D172" s="216">
        <v>46102</v>
      </c>
      <c r="E172" s="109" t="s">
        <v>38</v>
      </c>
      <c r="F172" s="217" t="str">
        <f>VLOOKUP($B172,ma!$A:$B,2,0)</f>
        <v>QUẬN 9 XÁ</v>
      </c>
      <c r="G172" s="218"/>
      <c r="H172" s="218"/>
      <c r="I172" s="219">
        <v>200000</v>
      </c>
      <c r="J172" s="218"/>
      <c r="K172" s="219"/>
      <c r="L172" s="218"/>
      <c r="M172" s="231">
        <v>12</v>
      </c>
      <c r="N172" s="221">
        <f>VLOOKUP($B172,ma!$A:$C,3,0)</f>
        <v>200000</v>
      </c>
      <c r="O172" s="221">
        <f t="shared" si="0"/>
        <v>2400000</v>
      </c>
      <c r="P172" s="221">
        <f t="shared" si="3"/>
        <v>240000</v>
      </c>
      <c r="Q172" s="201"/>
      <c r="R172" s="201"/>
      <c r="S172" s="201"/>
      <c r="T172" s="201"/>
      <c r="U172" s="201"/>
      <c r="V172" s="32"/>
      <c r="W172" s="32"/>
      <c r="X172" s="32"/>
      <c r="Y172" s="32"/>
      <c r="Z172" s="32"/>
      <c r="AA172" s="32"/>
      <c r="AB172" s="32"/>
    </row>
    <row r="173" spans="1:28" ht="16" hidden="1">
      <c r="A173" s="214">
        <v>163</v>
      </c>
      <c r="B173" s="215" t="s">
        <v>212</v>
      </c>
      <c r="C173" s="215" t="s">
        <v>39</v>
      </c>
      <c r="D173" s="216">
        <v>46102</v>
      </c>
      <c r="E173" s="109" t="str">
        <f>VLOOKUP($C173,xe!$A:$B,2,0)</f>
        <v>50E-654.34</v>
      </c>
      <c r="F173" s="217" t="str">
        <f>VLOOKUP($B173,ma!$A:$B,2,0)</f>
        <v>NAIC -UNI</v>
      </c>
      <c r="G173" s="218"/>
      <c r="H173" s="218"/>
      <c r="I173" s="219">
        <v>100000</v>
      </c>
      <c r="J173" s="218" t="s">
        <v>1427</v>
      </c>
      <c r="K173" s="219"/>
      <c r="L173" s="218"/>
      <c r="M173" s="231">
        <v>1</v>
      </c>
      <c r="N173" s="221">
        <f>VLOOKUP($B173,ma!$A:$C,3,0)</f>
        <v>2400000</v>
      </c>
      <c r="O173" s="221">
        <f t="shared" si="0"/>
        <v>2400000</v>
      </c>
      <c r="P173" s="221">
        <f t="shared" si="3"/>
        <v>240000</v>
      </c>
      <c r="Q173" s="201"/>
      <c r="R173" s="201"/>
      <c r="S173" s="201"/>
      <c r="T173" s="201"/>
      <c r="U173" s="201"/>
      <c r="V173" s="32"/>
      <c r="W173" s="32"/>
      <c r="X173" s="32"/>
      <c r="Y173" s="32"/>
      <c r="Z173" s="32"/>
      <c r="AA173" s="32"/>
      <c r="AB173" s="32"/>
    </row>
    <row r="174" spans="1:28" ht="16" hidden="1">
      <c r="A174" s="214">
        <v>163</v>
      </c>
      <c r="B174" s="215" t="s">
        <v>2538</v>
      </c>
      <c r="C174" s="215" t="s">
        <v>39</v>
      </c>
      <c r="D174" s="216">
        <v>46102</v>
      </c>
      <c r="E174" s="109" t="str">
        <f>VLOOKUP($C174,xe!$A:$B,2,0)</f>
        <v>50E-654.34</v>
      </c>
      <c r="F174" s="217" t="str">
        <f>VLOOKUP($B174,ma!$A:$B,2,0)</f>
        <v>TÂN HÙNG THÁI ĐỨC HOÀ</v>
      </c>
      <c r="G174" s="218"/>
      <c r="H174" s="218"/>
      <c r="I174" s="219">
        <v>200000</v>
      </c>
      <c r="J174" s="218" t="s">
        <v>1427</v>
      </c>
      <c r="K174" s="219">
        <v>220000</v>
      </c>
      <c r="L174" s="218" t="s">
        <v>2507</v>
      </c>
      <c r="M174" s="230">
        <v>15.64</v>
      </c>
      <c r="N174" s="221">
        <f>VLOOKUP($B174,ma!$A:$C,3,0)</f>
        <v>210000</v>
      </c>
      <c r="O174" s="221">
        <f t="shared" si="0"/>
        <v>3284400</v>
      </c>
      <c r="P174" s="221">
        <f t="shared" si="3"/>
        <v>328440</v>
      </c>
      <c r="Q174" s="201"/>
      <c r="R174" s="201"/>
      <c r="S174" s="201"/>
      <c r="T174" s="201"/>
      <c r="U174" s="201"/>
      <c r="V174" s="32"/>
      <c r="W174" s="32"/>
      <c r="X174" s="32"/>
      <c r="Y174" s="32"/>
      <c r="Z174" s="32"/>
      <c r="AA174" s="32"/>
      <c r="AB174" s="32"/>
    </row>
    <row r="175" spans="1:28" ht="16" hidden="1">
      <c r="A175" s="214">
        <v>163</v>
      </c>
      <c r="B175" s="215" t="s">
        <v>2516</v>
      </c>
      <c r="C175" s="215" t="s">
        <v>41</v>
      </c>
      <c r="D175" s="216">
        <v>46102</v>
      </c>
      <c r="E175" s="109" t="str">
        <f>VLOOKUP($C175,xe!$A:$B,2,0)</f>
        <v>50E-324,01</v>
      </c>
      <c r="F175" s="217" t="str">
        <f>VLOOKUP($B175,ma!$A:$B,2,0)</f>
        <v>PHẠM ANH QUẬN 6 XÁ</v>
      </c>
      <c r="G175" s="218"/>
      <c r="H175" s="218"/>
      <c r="I175" s="219">
        <v>200000</v>
      </c>
      <c r="J175" s="218"/>
      <c r="K175" s="219"/>
      <c r="L175" s="218"/>
      <c r="M175" s="230">
        <v>14.72</v>
      </c>
      <c r="N175" s="221">
        <f>VLOOKUP($B175,ma!$A:$C,3,0)</f>
        <v>200000</v>
      </c>
      <c r="O175" s="221">
        <f t="shared" si="0"/>
        <v>2944000</v>
      </c>
      <c r="P175" s="221">
        <f t="shared" si="3"/>
        <v>294400</v>
      </c>
      <c r="Q175" s="201"/>
      <c r="R175" s="201"/>
      <c r="S175" s="201"/>
      <c r="T175" s="201"/>
      <c r="U175" s="201"/>
      <c r="V175" s="32"/>
      <c r="W175" s="32"/>
      <c r="X175" s="32"/>
      <c r="Y175" s="32"/>
      <c r="Z175" s="32"/>
      <c r="AA175" s="32"/>
      <c r="AB175" s="32"/>
    </row>
    <row r="176" spans="1:28" ht="16" hidden="1">
      <c r="A176" s="214">
        <v>163</v>
      </c>
      <c r="B176" s="215" t="s">
        <v>2504</v>
      </c>
      <c r="C176" s="215" t="s">
        <v>41</v>
      </c>
      <c r="D176" s="216">
        <v>46102</v>
      </c>
      <c r="E176" s="109" t="str">
        <f>VLOOKUP($C176,xe!$A:$B,2,0)</f>
        <v>50E-324,01</v>
      </c>
      <c r="F176" s="217" t="str">
        <f>VLOOKUP($B176,ma!$A:$B,2,0)</f>
        <v>QUẬN 8 PALLET</v>
      </c>
      <c r="G176" s="218"/>
      <c r="H176" s="218"/>
      <c r="I176" s="219">
        <v>100000</v>
      </c>
      <c r="J176" s="218"/>
      <c r="K176" s="219"/>
      <c r="L176" s="218"/>
      <c r="M176" s="230">
        <v>13.29</v>
      </c>
      <c r="N176" s="221">
        <f>VLOOKUP($B176,ma!$A:$C,3,0)</f>
        <v>200000</v>
      </c>
      <c r="O176" s="221">
        <f t="shared" si="0"/>
        <v>2658000</v>
      </c>
      <c r="P176" s="221">
        <f t="shared" si="3"/>
        <v>265800</v>
      </c>
      <c r="Q176" s="201"/>
      <c r="R176" s="201"/>
      <c r="S176" s="201"/>
      <c r="T176" s="201"/>
      <c r="U176" s="201"/>
      <c r="V176" s="32"/>
      <c r="W176" s="32"/>
      <c r="X176" s="32"/>
      <c r="Y176" s="32"/>
      <c r="Z176" s="32"/>
      <c r="AA176" s="32"/>
      <c r="AB176" s="32"/>
    </row>
    <row r="177" spans="1:28" ht="16" hidden="1">
      <c r="A177" s="214">
        <v>163</v>
      </c>
      <c r="B177" s="215" t="s">
        <v>2506</v>
      </c>
      <c r="C177" s="215" t="s">
        <v>43</v>
      </c>
      <c r="D177" s="216">
        <v>46102</v>
      </c>
      <c r="E177" s="109" t="str">
        <f>VLOOKUP($C177,xe!$A:$B,2,0)</f>
        <v>50H-87055</v>
      </c>
      <c r="F177" s="217" t="str">
        <f>VLOOKUP($B177,ma!$A:$B,2,0)</f>
        <v>TUẤN LỘC Q7 PALLET</v>
      </c>
      <c r="G177" s="218"/>
      <c r="H177" s="218"/>
      <c r="I177" s="219">
        <v>200000</v>
      </c>
      <c r="J177" s="218" t="s">
        <v>1427</v>
      </c>
      <c r="K177" s="219"/>
      <c r="L177" s="218"/>
      <c r="M177" s="230">
        <v>11.67</v>
      </c>
      <c r="N177" s="221">
        <f>VLOOKUP($B177,ma!$A:$C,3,0)</f>
        <v>200000</v>
      </c>
      <c r="O177" s="221">
        <f t="shared" si="0"/>
        <v>2334000</v>
      </c>
      <c r="P177" s="221">
        <f t="shared" si="3"/>
        <v>233400</v>
      </c>
      <c r="Q177" s="201"/>
      <c r="R177" s="201"/>
      <c r="S177" s="201"/>
      <c r="T177" s="201"/>
      <c r="U177" s="201"/>
      <c r="V177" s="32"/>
      <c r="W177" s="32"/>
      <c r="X177" s="32"/>
      <c r="Y177" s="32"/>
      <c r="Z177" s="32"/>
      <c r="AA177" s="32"/>
      <c r="AB177" s="32"/>
    </row>
    <row r="178" spans="1:28" ht="16" hidden="1">
      <c r="A178" s="214">
        <v>163</v>
      </c>
      <c r="B178" s="215" t="s">
        <v>2509</v>
      </c>
      <c r="C178" s="215" t="s">
        <v>43</v>
      </c>
      <c r="D178" s="216">
        <v>46102</v>
      </c>
      <c r="E178" s="109" t="str">
        <f>VLOOKUP($C178,xe!$A:$B,2,0)</f>
        <v>50H-87055</v>
      </c>
      <c r="F178" s="217" t="str">
        <f>VLOOKUP($B178,ma!$A:$B,2,0)</f>
        <v>NAIC -UNI</v>
      </c>
      <c r="G178" s="218"/>
      <c r="H178" s="218"/>
      <c r="I178" s="219">
        <v>100000</v>
      </c>
      <c r="J178" s="218" t="s">
        <v>1427</v>
      </c>
      <c r="K178" s="219"/>
      <c r="L178" s="218"/>
      <c r="M178" s="231">
        <v>1</v>
      </c>
      <c r="N178" s="221">
        <f>VLOOKUP($B178,ma!$A:$C,3,0)</f>
        <v>2400000</v>
      </c>
      <c r="O178" s="221">
        <f t="shared" si="0"/>
        <v>2400000</v>
      </c>
      <c r="P178" s="221">
        <f t="shared" si="3"/>
        <v>240000</v>
      </c>
      <c r="Q178" s="201"/>
      <c r="R178" s="201"/>
      <c r="S178" s="201"/>
      <c r="T178" s="201"/>
      <c r="U178" s="201"/>
      <c r="V178" s="32"/>
      <c r="W178" s="32"/>
      <c r="X178" s="32"/>
      <c r="Y178" s="32"/>
      <c r="Z178" s="32"/>
      <c r="AA178" s="32"/>
      <c r="AB178" s="32"/>
    </row>
    <row r="179" spans="1:28" ht="16" hidden="1">
      <c r="A179" s="214">
        <v>163</v>
      </c>
      <c r="B179" s="215" t="s">
        <v>2506</v>
      </c>
      <c r="C179" s="215" t="s">
        <v>2523</v>
      </c>
      <c r="D179" s="216">
        <v>46102</v>
      </c>
      <c r="E179" s="109" t="str">
        <f>VLOOKUP($C179,xe!$A:$B,2,0)</f>
        <v>50E-757,74</v>
      </c>
      <c r="F179" s="217" t="str">
        <f>VLOOKUP($B179,ma!$A:$B,2,0)</f>
        <v>TUẤN LỘC Q7 PALLET</v>
      </c>
      <c r="G179" s="218"/>
      <c r="H179" s="218"/>
      <c r="I179" s="219">
        <v>50000</v>
      </c>
      <c r="J179" s="218"/>
      <c r="K179" s="219">
        <v>30000</v>
      </c>
      <c r="L179" s="218" t="s">
        <v>2535</v>
      </c>
      <c r="M179" s="230">
        <v>12.55</v>
      </c>
      <c r="N179" s="221">
        <f>VLOOKUP($B179,ma!$A:$C,3,0)</f>
        <v>200000</v>
      </c>
      <c r="O179" s="221">
        <f t="shared" si="0"/>
        <v>2510000</v>
      </c>
      <c r="P179" s="221">
        <f t="shared" si="3"/>
        <v>251000</v>
      </c>
      <c r="Q179" s="201"/>
      <c r="R179" s="201"/>
      <c r="S179" s="201"/>
      <c r="T179" s="201"/>
      <c r="U179" s="201"/>
      <c r="V179" s="32"/>
      <c r="W179" s="32"/>
      <c r="X179" s="32"/>
      <c r="Y179" s="32"/>
      <c r="Z179" s="32"/>
      <c r="AA179" s="32"/>
      <c r="AB179" s="32"/>
    </row>
    <row r="180" spans="1:28" ht="16" hidden="1">
      <c r="A180" s="214">
        <v>163</v>
      </c>
      <c r="B180" s="215" t="s">
        <v>112</v>
      </c>
      <c r="C180" s="215" t="s">
        <v>2523</v>
      </c>
      <c r="D180" s="216">
        <v>46102</v>
      </c>
      <c r="E180" s="109" t="str">
        <f>VLOOKUP($C180,xe!$A:$B,2,0)</f>
        <v>50E-757,74</v>
      </c>
      <c r="F180" s="217" t="str">
        <f>VLOOKUP($B180,ma!$A:$B,2,0)</f>
        <v>CALOFIC - UNI ( xe lớn )</v>
      </c>
      <c r="G180" s="218"/>
      <c r="H180" s="218"/>
      <c r="I180" s="219">
        <v>50000</v>
      </c>
      <c r="J180" s="218"/>
      <c r="K180" s="219"/>
      <c r="L180" s="218"/>
      <c r="M180" s="231">
        <v>1</v>
      </c>
      <c r="N180" s="221">
        <f>VLOOKUP($B180,ma!$A:$C,3,0)</f>
        <v>400000</v>
      </c>
      <c r="O180" s="221">
        <f t="shared" si="0"/>
        <v>400000</v>
      </c>
      <c r="P180" s="221">
        <v>100000</v>
      </c>
      <c r="Q180" s="201"/>
      <c r="R180" s="201"/>
      <c r="S180" s="201"/>
      <c r="T180" s="201"/>
      <c r="U180" s="201"/>
      <c r="V180" s="32"/>
      <c r="W180" s="32"/>
      <c r="X180" s="32"/>
      <c r="Y180" s="32"/>
      <c r="Z180" s="32"/>
      <c r="AA180" s="32"/>
      <c r="AB180" s="32"/>
    </row>
    <row r="181" spans="1:28" ht="16" hidden="1">
      <c r="A181" s="214">
        <v>163</v>
      </c>
      <c r="B181" s="215" t="s">
        <v>2506</v>
      </c>
      <c r="C181" s="215" t="s">
        <v>2519</v>
      </c>
      <c r="D181" s="216">
        <v>46104</v>
      </c>
      <c r="E181" s="133" t="str">
        <f>VLOOKUP($C181,xe!$A:$B,2,0)</f>
        <v>50E-648.73</v>
      </c>
      <c r="F181" s="217" t="str">
        <f>VLOOKUP($B181,ma!$A:$B,2,0)</f>
        <v>TUẤN LỘC Q7 PALLET</v>
      </c>
      <c r="G181" s="218"/>
      <c r="H181" s="218"/>
      <c r="I181" s="219">
        <v>120000</v>
      </c>
      <c r="J181" s="218"/>
      <c r="K181" s="219"/>
      <c r="L181" s="218"/>
      <c r="M181" s="231">
        <v>12</v>
      </c>
      <c r="N181" s="221">
        <f>VLOOKUP($B181,ma!$A:$C,3,0)</f>
        <v>200000</v>
      </c>
      <c r="O181" s="221">
        <f t="shared" si="0"/>
        <v>2400000</v>
      </c>
      <c r="P181" s="221">
        <f t="shared" ref="P181:P254" si="4">O181*10%</f>
        <v>240000</v>
      </c>
      <c r="Q181" s="201"/>
      <c r="R181" s="201"/>
      <c r="S181" s="201"/>
      <c r="T181" s="201"/>
      <c r="U181" s="201"/>
      <c r="V181" s="32"/>
      <c r="W181" s="32"/>
      <c r="X181" s="32"/>
      <c r="Y181" s="32"/>
      <c r="Z181" s="32"/>
      <c r="AA181" s="32"/>
      <c r="AB181" s="32"/>
    </row>
    <row r="182" spans="1:28" ht="16" hidden="1">
      <c r="A182" s="214">
        <v>163</v>
      </c>
      <c r="B182" s="215" t="s">
        <v>2504</v>
      </c>
      <c r="C182" s="215" t="s">
        <v>2519</v>
      </c>
      <c r="D182" s="216">
        <v>46104</v>
      </c>
      <c r="E182" s="133" t="str">
        <f>VLOOKUP($C182,xe!$A:$B,2,0)</f>
        <v>50E-648.73</v>
      </c>
      <c r="F182" s="217" t="str">
        <f>VLOOKUP($B182,ma!$A:$B,2,0)</f>
        <v>QUẬN 8 PALLET</v>
      </c>
      <c r="G182" s="218"/>
      <c r="H182" s="218"/>
      <c r="I182" s="219">
        <v>100000</v>
      </c>
      <c r="J182" s="218"/>
      <c r="K182" s="219"/>
      <c r="L182" s="218"/>
      <c r="M182" s="230">
        <v>12.05</v>
      </c>
      <c r="N182" s="221">
        <f>VLOOKUP($B182,ma!$A:$C,3,0)</f>
        <v>200000</v>
      </c>
      <c r="O182" s="221">
        <f t="shared" si="0"/>
        <v>2410000</v>
      </c>
      <c r="P182" s="221">
        <f t="shared" si="4"/>
        <v>241000</v>
      </c>
      <c r="Q182" s="201"/>
      <c r="R182" s="201"/>
      <c r="S182" s="201"/>
      <c r="T182" s="201"/>
      <c r="U182" s="201"/>
      <c r="V182" s="32"/>
      <c r="W182" s="32"/>
      <c r="X182" s="32"/>
      <c r="Y182" s="32"/>
      <c r="Z182" s="32"/>
      <c r="AA182" s="32"/>
      <c r="AB182" s="32"/>
    </row>
    <row r="183" spans="1:28" ht="16" hidden="1">
      <c r="A183" s="214">
        <v>163</v>
      </c>
      <c r="B183" s="215" t="s">
        <v>2504</v>
      </c>
      <c r="C183" s="215" t="s">
        <v>39</v>
      </c>
      <c r="D183" s="216">
        <v>46104</v>
      </c>
      <c r="E183" s="109" t="str">
        <f>VLOOKUP($C183,xe!$A:$B,2,0)</f>
        <v>50E-654.34</v>
      </c>
      <c r="F183" s="217" t="str">
        <f>VLOOKUP($B183,ma!$A:$B,2,0)</f>
        <v>QUẬN 8 PALLET</v>
      </c>
      <c r="G183" s="218"/>
      <c r="H183" s="218"/>
      <c r="I183" s="219">
        <v>150000</v>
      </c>
      <c r="J183" s="218" t="s">
        <v>1427</v>
      </c>
      <c r="K183" s="219"/>
      <c r="L183" s="218"/>
      <c r="M183" s="230">
        <v>11.77</v>
      </c>
      <c r="N183" s="221">
        <f>VLOOKUP($B183,ma!$A:$C,3,0)</f>
        <v>200000</v>
      </c>
      <c r="O183" s="221">
        <f t="shared" si="0"/>
        <v>2354000</v>
      </c>
      <c r="P183" s="221">
        <f t="shared" si="4"/>
        <v>235400</v>
      </c>
      <c r="Q183" s="201" t="s">
        <v>2539</v>
      </c>
      <c r="R183" s="201"/>
      <c r="S183" s="201"/>
      <c r="T183" s="201"/>
      <c r="U183" s="201"/>
      <c r="V183" s="32"/>
      <c r="W183" s="32"/>
      <c r="X183" s="32"/>
      <c r="Y183" s="32"/>
      <c r="Z183" s="32"/>
      <c r="AA183" s="32"/>
      <c r="AB183" s="32"/>
    </row>
    <row r="184" spans="1:28" ht="16" hidden="1">
      <c r="A184" s="214">
        <v>163</v>
      </c>
      <c r="B184" s="215" t="s">
        <v>2506</v>
      </c>
      <c r="C184" s="215" t="s">
        <v>41</v>
      </c>
      <c r="D184" s="216">
        <v>46104</v>
      </c>
      <c r="E184" s="109" t="str">
        <f>VLOOKUP($C184,xe!$A:$B,2,0)</f>
        <v>50E-324,01</v>
      </c>
      <c r="F184" s="217" t="str">
        <f>VLOOKUP($B184,ma!$A:$B,2,0)</f>
        <v>TUẤN LỘC Q7 PALLET</v>
      </c>
      <c r="G184" s="218"/>
      <c r="H184" s="218"/>
      <c r="I184" s="219">
        <v>100000</v>
      </c>
      <c r="J184" s="218"/>
      <c r="K184" s="219"/>
      <c r="L184" s="218"/>
      <c r="M184" s="230">
        <v>11.55</v>
      </c>
      <c r="N184" s="221">
        <f>VLOOKUP($B184,ma!$A:$C,3,0)</f>
        <v>200000</v>
      </c>
      <c r="O184" s="221">
        <f t="shared" si="0"/>
        <v>2310000</v>
      </c>
      <c r="P184" s="221">
        <f t="shared" si="4"/>
        <v>231000</v>
      </c>
      <c r="Q184" s="201"/>
      <c r="R184" s="201"/>
      <c r="S184" s="201"/>
      <c r="T184" s="201"/>
      <c r="U184" s="201"/>
      <c r="V184" s="32"/>
      <c r="W184" s="32"/>
      <c r="X184" s="32"/>
      <c r="Y184" s="32"/>
      <c r="Z184" s="32"/>
      <c r="AA184" s="32"/>
      <c r="AB184" s="32"/>
    </row>
    <row r="185" spans="1:28" ht="16" hidden="1">
      <c r="A185" s="214">
        <v>163</v>
      </c>
      <c r="B185" s="215" t="s">
        <v>2533</v>
      </c>
      <c r="C185" s="215" t="s">
        <v>41</v>
      </c>
      <c r="D185" s="216">
        <v>46104</v>
      </c>
      <c r="E185" s="109" t="str">
        <f>VLOOKUP($C185,xe!$A:$B,2,0)</f>
        <v>50E-324,01</v>
      </c>
      <c r="F185" s="217" t="str">
        <f>VLOOKUP($B185,ma!$A:$B,2,0)</f>
        <v>TUẤN LỘC Q7 XÁ</v>
      </c>
      <c r="G185" s="218"/>
      <c r="H185" s="218"/>
      <c r="I185" s="219">
        <v>50000</v>
      </c>
      <c r="J185" s="218"/>
      <c r="K185" s="219"/>
      <c r="L185" s="218"/>
      <c r="M185" s="230">
        <v>12.94</v>
      </c>
      <c r="N185" s="221">
        <f>VLOOKUP($B185,ma!$A:$C,3,0)</f>
        <v>200000</v>
      </c>
      <c r="O185" s="221">
        <f t="shared" si="0"/>
        <v>2588000</v>
      </c>
      <c r="P185" s="221">
        <f t="shared" si="4"/>
        <v>258800</v>
      </c>
      <c r="Q185" s="201"/>
      <c r="R185" s="201"/>
      <c r="S185" s="201"/>
      <c r="T185" s="201"/>
      <c r="U185" s="201"/>
      <c r="V185" s="32"/>
      <c r="W185" s="32"/>
      <c r="X185" s="32"/>
      <c r="Y185" s="32"/>
      <c r="Z185" s="32"/>
      <c r="AA185" s="32"/>
      <c r="AB185" s="32"/>
    </row>
    <row r="186" spans="1:28" ht="16" hidden="1">
      <c r="A186" s="214">
        <v>163</v>
      </c>
      <c r="B186" s="215" t="s">
        <v>2506</v>
      </c>
      <c r="C186" s="215" t="s">
        <v>43</v>
      </c>
      <c r="D186" s="216">
        <v>46104</v>
      </c>
      <c r="E186" s="109" t="str">
        <f>VLOOKUP($C186,xe!$A:$B,2,0)</f>
        <v>50H-87055</v>
      </c>
      <c r="F186" s="217" t="str">
        <f>VLOOKUP($B186,ma!$A:$B,2,0)</f>
        <v>TUẤN LỘC Q7 PALLET</v>
      </c>
      <c r="G186" s="218"/>
      <c r="H186" s="218"/>
      <c r="I186" s="219">
        <v>100000</v>
      </c>
      <c r="J186" s="218" t="s">
        <v>1427</v>
      </c>
      <c r="K186" s="219"/>
      <c r="L186" s="218"/>
      <c r="M186" s="231">
        <v>12</v>
      </c>
      <c r="N186" s="221">
        <f>VLOOKUP($B186,ma!$A:$C,3,0)</f>
        <v>200000</v>
      </c>
      <c r="O186" s="221">
        <f t="shared" si="0"/>
        <v>2400000</v>
      </c>
      <c r="P186" s="221">
        <f t="shared" si="4"/>
        <v>240000</v>
      </c>
      <c r="Q186" s="201"/>
      <c r="R186" s="201"/>
      <c r="S186" s="201"/>
      <c r="T186" s="201"/>
      <c r="U186" s="201"/>
      <c r="V186" s="32"/>
      <c r="W186" s="32"/>
      <c r="X186" s="32"/>
      <c r="Y186" s="32"/>
      <c r="Z186" s="32"/>
      <c r="AA186" s="32"/>
      <c r="AB186" s="32"/>
    </row>
    <row r="187" spans="1:28" ht="16" hidden="1">
      <c r="A187" s="214">
        <v>163</v>
      </c>
      <c r="B187" s="215" t="s">
        <v>2513</v>
      </c>
      <c r="C187" s="215" t="s">
        <v>2523</v>
      </c>
      <c r="D187" s="216">
        <v>46104</v>
      </c>
      <c r="E187" s="109" t="str">
        <f>VLOOKUP($C187,xe!$A:$B,2,0)</f>
        <v>50E-757,74</v>
      </c>
      <c r="F187" s="217" t="str">
        <f>VLOOKUP($B187,ma!$A:$B,2,0)</f>
        <v>PHẠM ANH QUẬN 6 PALLET</v>
      </c>
      <c r="G187" s="218"/>
      <c r="H187" s="218"/>
      <c r="I187" s="219">
        <v>120000</v>
      </c>
      <c r="J187" s="218"/>
      <c r="K187" s="219">
        <v>140000</v>
      </c>
      <c r="L187" s="218" t="s">
        <v>2540</v>
      </c>
      <c r="M187" s="230">
        <v>11.42</v>
      </c>
      <c r="N187" s="221">
        <f>VLOOKUP($B187,ma!$A:$C,3,0)</f>
        <v>200000</v>
      </c>
      <c r="O187" s="221">
        <f t="shared" si="0"/>
        <v>2284000</v>
      </c>
      <c r="P187" s="221">
        <f t="shared" si="4"/>
        <v>228400</v>
      </c>
      <c r="Q187" s="201"/>
      <c r="R187" s="201"/>
      <c r="S187" s="201"/>
      <c r="T187" s="201"/>
      <c r="U187" s="201"/>
      <c r="V187" s="32"/>
      <c r="W187" s="32"/>
      <c r="X187" s="32"/>
      <c r="Y187" s="32"/>
      <c r="Z187" s="32"/>
      <c r="AA187" s="32"/>
      <c r="AB187" s="32"/>
    </row>
    <row r="188" spans="1:28" ht="16" hidden="1">
      <c r="A188" s="214">
        <v>163</v>
      </c>
      <c r="B188" s="215" t="s">
        <v>2520</v>
      </c>
      <c r="C188" s="215" t="s">
        <v>2523</v>
      </c>
      <c r="D188" s="216">
        <v>46104</v>
      </c>
      <c r="E188" s="109" t="str">
        <f>VLOOKUP($C188,xe!$A:$B,2,0)</f>
        <v>50E-757,74</v>
      </c>
      <c r="F188" s="217" t="str">
        <f>VLOOKUP($B188,ma!$A:$B,2,0)</f>
        <v>GIA HOÀNG TIỀN GIANG XÁ</v>
      </c>
      <c r="G188" s="218"/>
      <c r="H188" s="218"/>
      <c r="I188" s="219">
        <v>200000</v>
      </c>
      <c r="J188" s="218"/>
      <c r="K188" s="219"/>
      <c r="L188" s="218"/>
      <c r="M188" s="231">
        <v>12</v>
      </c>
      <c r="N188" s="221">
        <f>VLOOKUP($B188,ma!$A:$C,3,0)</f>
        <v>230000</v>
      </c>
      <c r="O188" s="221">
        <f t="shared" si="0"/>
        <v>2760000</v>
      </c>
      <c r="P188" s="221">
        <f t="shared" si="4"/>
        <v>276000</v>
      </c>
      <c r="Q188" s="201"/>
      <c r="R188" s="201"/>
      <c r="S188" s="201"/>
      <c r="T188" s="201"/>
      <c r="U188" s="201"/>
      <c r="V188" s="32"/>
      <c r="W188" s="32"/>
      <c r="X188" s="32"/>
      <c r="Y188" s="32"/>
      <c r="Z188" s="32"/>
      <c r="AA188" s="32"/>
      <c r="AB188" s="32"/>
    </row>
    <row r="189" spans="1:28" ht="16" hidden="1">
      <c r="A189" s="214">
        <v>163</v>
      </c>
      <c r="B189" s="215" t="s">
        <v>2512</v>
      </c>
      <c r="C189" s="215" t="s">
        <v>2519</v>
      </c>
      <c r="D189" s="216">
        <v>46105</v>
      </c>
      <c r="E189" s="133" t="str">
        <f>VLOOKUP($C189,xe!$A:$B,2,0)</f>
        <v>50E-648.73</v>
      </c>
      <c r="F189" s="217" t="str">
        <f>VLOOKUP($B189,ma!$A:$B,2,0)</f>
        <v>QUẬN 8 XÁ</v>
      </c>
      <c r="G189" s="218"/>
      <c r="H189" s="218"/>
      <c r="I189" s="219">
        <v>300000</v>
      </c>
      <c r="J189" s="218"/>
      <c r="K189" s="219"/>
      <c r="L189" s="218"/>
      <c r="M189" s="230">
        <v>13.85</v>
      </c>
      <c r="N189" s="221">
        <f>VLOOKUP($B189,ma!$A:$C,3,0)</f>
        <v>200000</v>
      </c>
      <c r="O189" s="221">
        <f t="shared" si="0"/>
        <v>2770000</v>
      </c>
      <c r="P189" s="221">
        <f t="shared" si="4"/>
        <v>277000</v>
      </c>
      <c r="Q189" s="201"/>
      <c r="R189" s="201"/>
      <c r="S189" s="201"/>
      <c r="T189" s="201"/>
      <c r="U189" s="201"/>
      <c r="V189" s="32"/>
      <c r="W189" s="32"/>
      <c r="X189" s="32"/>
      <c r="Y189" s="32"/>
      <c r="Z189" s="32"/>
      <c r="AA189" s="32"/>
      <c r="AB189" s="32"/>
    </row>
    <row r="190" spans="1:28" ht="16" hidden="1">
      <c r="A190" s="214">
        <v>163</v>
      </c>
      <c r="B190" s="215" t="s">
        <v>2513</v>
      </c>
      <c r="C190" s="215" t="s">
        <v>39</v>
      </c>
      <c r="D190" s="216">
        <v>46105</v>
      </c>
      <c r="E190" s="109" t="str">
        <f>VLOOKUP($C190,xe!$A:$B,2,0)</f>
        <v>50E-654.34</v>
      </c>
      <c r="F190" s="217" t="str">
        <f>VLOOKUP($B190,ma!$A:$B,2,0)</f>
        <v>PHẠM ANH QUẬN 6 PALLET</v>
      </c>
      <c r="G190" s="218"/>
      <c r="H190" s="218"/>
      <c r="I190" s="219">
        <v>100000</v>
      </c>
      <c r="J190" s="218" t="s">
        <v>1427</v>
      </c>
      <c r="K190" s="219"/>
      <c r="L190" s="218"/>
      <c r="M190" s="230">
        <v>12.39</v>
      </c>
      <c r="N190" s="221">
        <f>VLOOKUP($B190,ma!$A:$C,3,0)</f>
        <v>200000</v>
      </c>
      <c r="O190" s="221">
        <f t="shared" si="0"/>
        <v>2478000</v>
      </c>
      <c r="P190" s="221">
        <f t="shared" si="4"/>
        <v>247800</v>
      </c>
      <c r="Q190" s="201"/>
      <c r="R190" s="201"/>
      <c r="S190" s="201"/>
      <c r="T190" s="201"/>
      <c r="U190" s="201"/>
      <c r="V190" s="32"/>
      <c r="W190" s="32"/>
      <c r="X190" s="32"/>
      <c r="Y190" s="32"/>
      <c r="Z190" s="32"/>
      <c r="AA190" s="32"/>
      <c r="AB190" s="32"/>
    </row>
    <row r="191" spans="1:28" ht="16" hidden="1">
      <c r="A191" s="214">
        <v>163</v>
      </c>
      <c r="B191" s="215" t="s">
        <v>2503</v>
      </c>
      <c r="C191" s="215" t="s">
        <v>39</v>
      </c>
      <c r="D191" s="216">
        <v>46105</v>
      </c>
      <c r="E191" s="109" t="str">
        <f>VLOOKUP($C191,xe!$A:$B,2,0)</f>
        <v>50E-654.34</v>
      </c>
      <c r="F191" s="217" t="str">
        <f>VLOOKUP($B191,ma!$A:$B,2,0)</f>
        <v>NDFC - NAIC BẾN LỨC</v>
      </c>
      <c r="G191" s="218"/>
      <c r="H191" s="218"/>
      <c r="I191" s="219">
        <v>100000</v>
      </c>
      <c r="J191" s="218" t="s">
        <v>1427</v>
      </c>
      <c r="K191" s="219"/>
      <c r="L191" s="218"/>
      <c r="M191" s="231">
        <v>1</v>
      </c>
      <c r="N191" s="221">
        <f>VLOOKUP($B191,ma!$A:$C,3,0)</f>
        <v>2400000</v>
      </c>
      <c r="O191" s="221">
        <f t="shared" si="0"/>
        <v>2400000</v>
      </c>
      <c r="P191" s="221">
        <f t="shared" si="4"/>
        <v>240000</v>
      </c>
      <c r="Q191" s="201"/>
      <c r="R191" s="201"/>
      <c r="S191" s="201"/>
      <c r="T191" s="201"/>
      <c r="U191" s="201"/>
      <c r="V191" s="32"/>
      <c r="W191" s="32"/>
      <c r="X191" s="32"/>
      <c r="Y191" s="32"/>
      <c r="Z191" s="32"/>
      <c r="AA191" s="32"/>
      <c r="AB191" s="32"/>
    </row>
    <row r="192" spans="1:28" ht="16" hidden="1">
      <c r="A192" s="214">
        <v>163</v>
      </c>
      <c r="B192" s="215" t="s">
        <v>2506</v>
      </c>
      <c r="C192" s="215" t="s">
        <v>41</v>
      </c>
      <c r="D192" s="216">
        <v>46105</v>
      </c>
      <c r="E192" s="109" t="str">
        <f>VLOOKUP($C192,xe!$A:$B,2,0)</f>
        <v>50E-324,01</v>
      </c>
      <c r="F192" s="217" t="str">
        <f>VLOOKUP($B192,ma!$A:$B,2,0)</f>
        <v>TUẤN LỘC Q7 PALLET</v>
      </c>
      <c r="G192" s="218"/>
      <c r="H192" s="218"/>
      <c r="I192" s="219">
        <v>100000</v>
      </c>
      <c r="J192" s="218"/>
      <c r="K192" s="219"/>
      <c r="L192" s="218"/>
      <c r="M192" s="230">
        <v>12.37</v>
      </c>
      <c r="N192" s="221">
        <f>VLOOKUP($B192,ma!$A:$C,3,0)</f>
        <v>200000</v>
      </c>
      <c r="O192" s="221">
        <f t="shared" si="0"/>
        <v>2474000</v>
      </c>
      <c r="P192" s="221">
        <f t="shared" si="4"/>
        <v>247400</v>
      </c>
      <c r="Q192" s="201"/>
      <c r="R192" s="201"/>
      <c r="S192" s="201"/>
      <c r="T192" s="201"/>
      <c r="U192" s="201"/>
      <c r="V192" s="32"/>
      <c r="W192" s="32"/>
      <c r="X192" s="32"/>
      <c r="Y192" s="32"/>
      <c r="Z192" s="32"/>
      <c r="AA192" s="32"/>
      <c r="AB192" s="32"/>
    </row>
    <row r="193" spans="1:28" ht="16" hidden="1">
      <c r="A193" s="214">
        <v>163</v>
      </c>
      <c r="B193" s="215" t="s">
        <v>2506</v>
      </c>
      <c r="C193" s="215" t="s">
        <v>41</v>
      </c>
      <c r="D193" s="216">
        <v>46105</v>
      </c>
      <c r="E193" s="109" t="str">
        <f>VLOOKUP($C193,xe!$A:$B,2,0)</f>
        <v>50E-324,01</v>
      </c>
      <c r="F193" s="217" t="str">
        <f>VLOOKUP($B193,ma!$A:$B,2,0)</f>
        <v>TUẤN LỘC Q7 PALLET</v>
      </c>
      <c r="G193" s="218"/>
      <c r="H193" s="218"/>
      <c r="I193" s="219">
        <v>100000</v>
      </c>
      <c r="J193" s="218"/>
      <c r="K193" s="219"/>
      <c r="L193" s="218"/>
      <c r="M193" s="230">
        <v>14.16</v>
      </c>
      <c r="N193" s="221">
        <f>VLOOKUP($B193,ma!$A:$C,3,0)</f>
        <v>200000</v>
      </c>
      <c r="O193" s="221">
        <f t="shared" si="0"/>
        <v>2832000</v>
      </c>
      <c r="P193" s="221">
        <f t="shared" si="4"/>
        <v>283200</v>
      </c>
      <c r="Q193" s="201"/>
      <c r="R193" s="201"/>
      <c r="S193" s="201"/>
      <c r="T193" s="201"/>
      <c r="U193" s="201"/>
      <c r="V193" s="32"/>
      <c r="W193" s="32"/>
      <c r="X193" s="32"/>
      <c r="Y193" s="32"/>
      <c r="Z193" s="32"/>
      <c r="AA193" s="32"/>
      <c r="AB193" s="32"/>
    </row>
    <row r="194" spans="1:28" ht="16" hidden="1">
      <c r="A194" s="214">
        <v>163</v>
      </c>
      <c r="B194" s="215" t="s">
        <v>2506</v>
      </c>
      <c r="C194" s="215" t="s">
        <v>41</v>
      </c>
      <c r="D194" s="216">
        <v>46105</v>
      </c>
      <c r="E194" s="109" t="str">
        <f>VLOOKUP($C194,xe!$A:$B,2,0)</f>
        <v>50E-324,01</v>
      </c>
      <c r="F194" s="217" t="str">
        <f>VLOOKUP($B194,ma!$A:$B,2,0)</f>
        <v>TUẤN LỘC Q7 PALLET</v>
      </c>
      <c r="G194" s="218"/>
      <c r="H194" s="218"/>
      <c r="I194" s="219">
        <v>50000</v>
      </c>
      <c r="J194" s="218"/>
      <c r="K194" s="219"/>
      <c r="L194" s="218"/>
      <c r="M194" s="231">
        <v>12</v>
      </c>
      <c r="N194" s="221">
        <f>VLOOKUP($B194,ma!$A:$C,3,0)</f>
        <v>200000</v>
      </c>
      <c r="O194" s="221">
        <f t="shared" si="0"/>
        <v>2400000</v>
      </c>
      <c r="P194" s="221">
        <f t="shared" si="4"/>
        <v>240000</v>
      </c>
      <c r="Q194" s="201"/>
      <c r="R194" s="201"/>
      <c r="S194" s="201"/>
      <c r="T194" s="201"/>
      <c r="U194" s="201"/>
      <c r="V194" s="32"/>
      <c r="W194" s="32"/>
      <c r="X194" s="32"/>
      <c r="Y194" s="32"/>
      <c r="Z194" s="32"/>
      <c r="AA194" s="32"/>
      <c r="AB194" s="32"/>
    </row>
    <row r="195" spans="1:28" ht="16" hidden="1">
      <c r="A195" s="214">
        <v>163</v>
      </c>
      <c r="B195" s="215" t="s">
        <v>2503</v>
      </c>
      <c r="C195" s="215" t="s">
        <v>43</v>
      </c>
      <c r="D195" s="216">
        <v>46105</v>
      </c>
      <c r="E195" s="109" t="str">
        <f>VLOOKUP($C195,xe!$A:$B,2,0)</f>
        <v>50H-87055</v>
      </c>
      <c r="F195" s="217" t="str">
        <f>VLOOKUP($B195,ma!$A:$B,2,0)</f>
        <v>NDFC - NAIC BẾN LỨC</v>
      </c>
      <c r="G195" s="218"/>
      <c r="H195" s="218"/>
      <c r="I195" s="219">
        <v>100000</v>
      </c>
      <c r="J195" s="218" t="s">
        <v>1427</v>
      </c>
      <c r="K195" s="219"/>
      <c r="L195" s="218"/>
      <c r="M195" s="231">
        <v>1</v>
      </c>
      <c r="N195" s="221">
        <f>VLOOKUP($B195,ma!$A:$C,3,0)</f>
        <v>2400000</v>
      </c>
      <c r="O195" s="221">
        <f t="shared" si="0"/>
        <v>2400000</v>
      </c>
      <c r="P195" s="221">
        <f t="shared" si="4"/>
        <v>240000</v>
      </c>
      <c r="Q195" s="201"/>
      <c r="R195" s="201"/>
      <c r="S195" s="201"/>
      <c r="T195" s="201"/>
      <c r="U195" s="201"/>
      <c r="V195" s="32"/>
      <c r="W195" s="32"/>
      <c r="X195" s="32"/>
      <c r="Y195" s="32"/>
      <c r="Z195" s="32"/>
      <c r="AA195" s="32"/>
      <c r="AB195" s="32"/>
    </row>
    <row r="196" spans="1:28" ht="16" hidden="1">
      <c r="A196" s="214">
        <v>163</v>
      </c>
      <c r="B196" s="215" t="s">
        <v>2503</v>
      </c>
      <c r="C196" s="215" t="s">
        <v>43</v>
      </c>
      <c r="D196" s="216">
        <v>46105</v>
      </c>
      <c r="E196" s="109" t="str">
        <f>VLOOKUP($C196,xe!$A:$B,2,0)</f>
        <v>50H-87055</v>
      </c>
      <c r="F196" s="217" t="str">
        <f>VLOOKUP($B196,ma!$A:$B,2,0)</f>
        <v>NDFC - NAIC BẾN LỨC</v>
      </c>
      <c r="G196" s="218"/>
      <c r="H196" s="218"/>
      <c r="I196" s="219">
        <v>100000</v>
      </c>
      <c r="J196" s="218" t="s">
        <v>1427</v>
      </c>
      <c r="K196" s="219">
        <v>200000</v>
      </c>
      <c r="L196" s="218" t="s">
        <v>1423</v>
      </c>
      <c r="M196" s="231">
        <v>1</v>
      </c>
      <c r="N196" s="221">
        <f>VLOOKUP($B196,ma!$A:$C,3,0)</f>
        <v>2400000</v>
      </c>
      <c r="O196" s="221">
        <f t="shared" si="0"/>
        <v>2400000</v>
      </c>
      <c r="P196" s="221">
        <f t="shared" si="4"/>
        <v>240000</v>
      </c>
      <c r="Q196" s="201"/>
      <c r="R196" s="201"/>
      <c r="S196" s="201"/>
      <c r="T196" s="201"/>
      <c r="U196" s="201"/>
      <c r="V196" s="32"/>
      <c r="W196" s="32"/>
      <c r="X196" s="32"/>
      <c r="Y196" s="32"/>
      <c r="Z196" s="32"/>
      <c r="AA196" s="32"/>
      <c r="AB196" s="32"/>
    </row>
    <row r="197" spans="1:28" ht="16" hidden="1">
      <c r="A197" s="214">
        <v>163</v>
      </c>
      <c r="B197" s="215" t="s">
        <v>2503</v>
      </c>
      <c r="C197" s="215" t="s">
        <v>2523</v>
      </c>
      <c r="D197" s="216">
        <v>46105</v>
      </c>
      <c r="E197" s="109" t="str">
        <f>VLOOKUP($C197,xe!$A:$B,2,0)</f>
        <v>50E-757,74</v>
      </c>
      <c r="F197" s="217" t="str">
        <f>VLOOKUP($B197,ma!$A:$B,2,0)</f>
        <v>NDFC - NAIC BẾN LỨC</v>
      </c>
      <c r="G197" s="218"/>
      <c r="H197" s="218"/>
      <c r="I197" s="219">
        <v>100000</v>
      </c>
      <c r="J197" s="218"/>
      <c r="K197" s="219"/>
      <c r="L197" s="218"/>
      <c r="M197" s="231">
        <v>1</v>
      </c>
      <c r="N197" s="221">
        <f>VLOOKUP($B197,ma!$A:$C,3,0)</f>
        <v>2400000</v>
      </c>
      <c r="O197" s="221">
        <f t="shared" si="0"/>
        <v>2400000</v>
      </c>
      <c r="P197" s="221">
        <f t="shared" si="4"/>
        <v>240000</v>
      </c>
      <c r="Q197" s="201"/>
      <c r="R197" s="201"/>
      <c r="S197" s="201"/>
      <c r="T197" s="201"/>
      <c r="U197" s="201"/>
      <c r="V197" s="32"/>
      <c r="W197" s="32"/>
      <c r="X197" s="32"/>
      <c r="Y197" s="32"/>
      <c r="Z197" s="32"/>
      <c r="AA197" s="32"/>
      <c r="AB197" s="32"/>
    </row>
    <row r="198" spans="1:28" ht="16" hidden="1">
      <c r="A198" s="214">
        <v>163</v>
      </c>
      <c r="B198" s="215" t="s">
        <v>2509</v>
      </c>
      <c r="C198" s="215" t="s">
        <v>2523</v>
      </c>
      <c r="D198" s="216">
        <v>46105</v>
      </c>
      <c r="E198" s="109" t="str">
        <f>VLOOKUP($C198,xe!$A:$B,2,0)</f>
        <v>50E-757,74</v>
      </c>
      <c r="F198" s="217" t="str">
        <f>VLOOKUP($B198,ma!$A:$B,2,0)</f>
        <v>NAIC -UNI</v>
      </c>
      <c r="G198" s="218"/>
      <c r="H198" s="218"/>
      <c r="I198" s="219">
        <v>100000</v>
      </c>
      <c r="J198" s="218"/>
      <c r="K198" s="219"/>
      <c r="L198" s="218"/>
      <c r="M198" s="231">
        <v>1</v>
      </c>
      <c r="N198" s="221">
        <f>VLOOKUP($B198,ma!$A:$C,3,0)</f>
        <v>2400000</v>
      </c>
      <c r="O198" s="221">
        <f t="shared" si="0"/>
        <v>2400000</v>
      </c>
      <c r="P198" s="221">
        <f t="shared" si="4"/>
        <v>240000</v>
      </c>
      <c r="Q198" s="201"/>
      <c r="R198" s="201"/>
      <c r="S198" s="201"/>
      <c r="T198" s="201"/>
      <c r="U198" s="201"/>
      <c r="V198" s="32"/>
      <c r="W198" s="32"/>
      <c r="X198" s="32"/>
      <c r="Y198" s="32"/>
      <c r="Z198" s="32"/>
      <c r="AA198" s="32"/>
      <c r="AB198" s="32"/>
    </row>
    <row r="199" spans="1:28" ht="16" hidden="1">
      <c r="A199" s="214">
        <v>163</v>
      </c>
      <c r="B199" s="215" t="s">
        <v>2534</v>
      </c>
      <c r="C199" s="215" t="s">
        <v>2519</v>
      </c>
      <c r="D199" s="216">
        <v>46105</v>
      </c>
      <c r="E199" s="133" t="str">
        <f>VLOOKUP($C199,xe!$A:$B,2,0)</f>
        <v>50E-648.73</v>
      </c>
      <c r="F199" s="217" t="str">
        <f>VLOOKUP($B199,ma!$A:$B,2,0)</f>
        <v xml:space="preserve">LONG KHÁNH PALLET </v>
      </c>
      <c r="G199" s="218"/>
      <c r="H199" s="218"/>
      <c r="I199" s="219">
        <v>100000</v>
      </c>
      <c r="J199" s="218"/>
      <c r="K199" s="219"/>
      <c r="L199" s="218"/>
      <c r="M199" s="230">
        <v>13.85</v>
      </c>
      <c r="N199" s="221">
        <f>VLOOKUP($B199,ma!$A:$C,3,0)</f>
        <v>244000</v>
      </c>
      <c r="O199" s="221">
        <f t="shared" si="0"/>
        <v>3379400</v>
      </c>
      <c r="P199" s="221">
        <f t="shared" si="4"/>
        <v>337940</v>
      </c>
      <c r="Q199" s="201"/>
      <c r="R199" s="201"/>
      <c r="S199" s="201"/>
      <c r="T199" s="201"/>
      <c r="U199" s="201"/>
      <c r="V199" s="32"/>
      <c r="W199" s="32"/>
      <c r="X199" s="32"/>
      <c r="Y199" s="32"/>
      <c r="Z199" s="32"/>
      <c r="AA199" s="32"/>
      <c r="AB199" s="32"/>
    </row>
    <row r="200" spans="1:28" ht="16" hidden="1">
      <c r="A200" s="214">
        <v>163</v>
      </c>
      <c r="B200" s="215" t="s">
        <v>2503</v>
      </c>
      <c r="C200" s="215" t="s">
        <v>2519</v>
      </c>
      <c r="D200" s="216">
        <v>46106</v>
      </c>
      <c r="E200" s="133" t="str">
        <f>VLOOKUP($C200,xe!$A:$B,2,0)</f>
        <v>50E-648.73</v>
      </c>
      <c r="F200" s="217" t="str">
        <f>VLOOKUP($B200,ma!$A:$B,2,0)</f>
        <v>NDFC - NAIC BẾN LỨC</v>
      </c>
      <c r="G200" s="218"/>
      <c r="H200" s="218"/>
      <c r="I200" s="219">
        <v>100000</v>
      </c>
      <c r="J200" s="218"/>
      <c r="K200" s="219">
        <v>224000</v>
      </c>
      <c r="L200" s="218" t="s">
        <v>2541</v>
      </c>
      <c r="M200" s="231">
        <v>1</v>
      </c>
      <c r="N200" s="221">
        <f>VLOOKUP($B200,ma!$A:$C,3,0)</f>
        <v>2400000</v>
      </c>
      <c r="O200" s="221">
        <f t="shared" si="0"/>
        <v>2400000</v>
      </c>
      <c r="P200" s="221">
        <f t="shared" si="4"/>
        <v>240000</v>
      </c>
      <c r="Q200" s="201">
        <v>200000</v>
      </c>
      <c r="R200" s="201"/>
      <c r="S200" s="201"/>
      <c r="T200" s="201"/>
      <c r="U200" s="201"/>
      <c r="V200" s="32"/>
      <c r="W200" s="32"/>
      <c r="X200" s="32"/>
      <c r="Y200" s="32"/>
      <c r="Z200" s="32"/>
      <c r="AA200" s="32"/>
      <c r="AB200" s="32"/>
    </row>
    <row r="201" spans="1:28" ht="16" hidden="1">
      <c r="A201" s="214">
        <v>163</v>
      </c>
      <c r="B201" s="215" t="s">
        <v>2503</v>
      </c>
      <c r="C201" s="215" t="s">
        <v>39</v>
      </c>
      <c r="D201" s="216">
        <v>46106</v>
      </c>
      <c r="E201" s="109" t="str">
        <f>VLOOKUP($C201,xe!$A:$B,2,0)</f>
        <v>50E-654.34</v>
      </c>
      <c r="F201" s="217" t="str">
        <f>VLOOKUP($B201,ma!$A:$B,2,0)</f>
        <v>NDFC - NAIC BẾN LỨC</v>
      </c>
      <c r="G201" s="218"/>
      <c r="H201" s="218"/>
      <c r="I201" s="219">
        <v>100000</v>
      </c>
      <c r="J201" s="218" t="s">
        <v>1427</v>
      </c>
      <c r="K201" s="219"/>
      <c r="L201" s="218"/>
      <c r="M201" s="231">
        <v>1</v>
      </c>
      <c r="N201" s="221">
        <f>VLOOKUP($B201,ma!$A:$C,3,0)</f>
        <v>2400000</v>
      </c>
      <c r="O201" s="221">
        <f t="shared" si="0"/>
        <v>2400000</v>
      </c>
      <c r="P201" s="221">
        <f t="shared" si="4"/>
        <v>240000</v>
      </c>
      <c r="Q201" s="201"/>
      <c r="R201" s="201"/>
      <c r="S201" s="201"/>
      <c r="T201" s="201"/>
      <c r="U201" s="201"/>
      <c r="V201" s="32"/>
      <c r="W201" s="32"/>
      <c r="X201" s="32"/>
      <c r="Y201" s="32"/>
      <c r="Z201" s="32"/>
      <c r="AA201" s="32"/>
      <c r="AB201" s="32"/>
    </row>
    <row r="202" spans="1:28" ht="16" hidden="1">
      <c r="A202" s="214">
        <v>163</v>
      </c>
      <c r="B202" s="215" t="s">
        <v>2509</v>
      </c>
      <c r="C202" s="215" t="s">
        <v>39</v>
      </c>
      <c r="D202" s="216">
        <v>46106</v>
      </c>
      <c r="E202" s="109" t="str">
        <f>VLOOKUP($C202,xe!$A:$B,2,0)</f>
        <v>50E-654.34</v>
      </c>
      <c r="F202" s="217" t="str">
        <f>VLOOKUP($B202,ma!$A:$B,2,0)</f>
        <v>NAIC -UNI</v>
      </c>
      <c r="G202" s="218"/>
      <c r="H202" s="218"/>
      <c r="I202" s="219">
        <v>100000</v>
      </c>
      <c r="J202" s="218" t="s">
        <v>1427</v>
      </c>
      <c r="K202" s="219"/>
      <c r="L202" s="218"/>
      <c r="M202" s="231">
        <v>1</v>
      </c>
      <c r="N202" s="221">
        <f>VLOOKUP($B202,ma!$A:$C,3,0)</f>
        <v>2400000</v>
      </c>
      <c r="O202" s="221">
        <f t="shared" si="0"/>
        <v>2400000</v>
      </c>
      <c r="P202" s="221">
        <f t="shared" si="4"/>
        <v>240000</v>
      </c>
      <c r="Q202" s="201"/>
      <c r="R202" s="201"/>
      <c r="S202" s="201"/>
      <c r="T202" s="201"/>
      <c r="U202" s="201"/>
      <c r="V202" s="32"/>
      <c r="W202" s="32"/>
      <c r="X202" s="32"/>
      <c r="Y202" s="32"/>
      <c r="Z202" s="32"/>
      <c r="AA202" s="32"/>
      <c r="AB202" s="32"/>
    </row>
    <row r="203" spans="1:28" ht="16" hidden="1">
      <c r="A203" s="214">
        <v>163</v>
      </c>
      <c r="B203" s="215" t="s">
        <v>2506</v>
      </c>
      <c r="C203" s="215" t="s">
        <v>41</v>
      </c>
      <c r="D203" s="216">
        <v>46106</v>
      </c>
      <c r="E203" s="109" t="str">
        <f>VLOOKUP($C203,xe!$A:$B,2,0)</f>
        <v>50E-324,01</v>
      </c>
      <c r="F203" s="217" t="str">
        <f>VLOOKUP($B203,ma!$A:$B,2,0)</f>
        <v>TUẤN LỘC Q7 PALLET</v>
      </c>
      <c r="G203" s="218"/>
      <c r="H203" s="218"/>
      <c r="I203" s="219">
        <v>50000</v>
      </c>
      <c r="J203" s="218"/>
      <c r="K203" s="219"/>
      <c r="L203" s="218"/>
      <c r="M203" s="230">
        <v>11.65</v>
      </c>
      <c r="N203" s="221">
        <f>VLOOKUP($B203,ma!$A:$C,3,0)</f>
        <v>200000</v>
      </c>
      <c r="O203" s="221">
        <f t="shared" si="0"/>
        <v>2330000</v>
      </c>
      <c r="P203" s="221">
        <f t="shared" si="4"/>
        <v>233000</v>
      </c>
      <c r="Q203" s="201"/>
      <c r="R203" s="201"/>
      <c r="S203" s="201"/>
      <c r="T203" s="201"/>
      <c r="U203" s="201"/>
      <c r="V203" s="32"/>
      <c r="W203" s="32"/>
      <c r="X203" s="32"/>
      <c r="Y203" s="32"/>
      <c r="Z203" s="32"/>
      <c r="AA203" s="32"/>
      <c r="AB203" s="32"/>
    </row>
    <row r="204" spans="1:28" ht="16" hidden="1">
      <c r="A204" s="214">
        <v>163</v>
      </c>
      <c r="B204" s="215" t="s">
        <v>2504</v>
      </c>
      <c r="C204" s="215" t="s">
        <v>41</v>
      </c>
      <c r="D204" s="216">
        <v>46106</v>
      </c>
      <c r="E204" s="109" t="str">
        <f>VLOOKUP($C204,xe!$A:$B,2,0)</f>
        <v>50E-324,01</v>
      </c>
      <c r="F204" s="217" t="str">
        <f>VLOOKUP($B204,ma!$A:$B,2,0)</f>
        <v>QUẬN 8 PALLET</v>
      </c>
      <c r="G204" s="218"/>
      <c r="H204" s="218"/>
      <c r="I204" s="219">
        <v>100000</v>
      </c>
      <c r="J204" s="218"/>
      <c r="K204" s="219"/>
      <c r="L204" s="218"/>
      <c r="M204" s="230">
        <v>12.77</v>
      </c>
      <c r="N204" s="221">
        <f>VLOOKUP($B204,ma!$A:$C,3,0)</f>
        <v>200000</v>
      </c>
      <c r="O204" s="221">
        <f t="shared" si="0"/>
        <v>2554000</v>
      </c>
      <c r="P204" s="221">
        <f t="shared" si="4"/>
        <v>255400</v>
      </c>
      <c r="Q204" s="201"/>
      <c r="R204" s="201"/>
      <c r="S204" s="201"/>
      <c r="T204" s="201"/>
      <c r="U204" s="201"/>
      <c r="V204" s="32"/>
      <c r="W204" s="32"/>
      <c r="X204" s="32"/>
      <c r="Y204" s="32"/>
      <c r="Z204" s="32"/>
      <c r="AA204" s="32"/>
      <c r="AB204" s="32"/>
    </row>
    <row r="205" spans="1:28" ht="16" hidden="1">
      <c r="A205" s="214">
        <v>163</v>
      </c>
      <c r="B205" s="215" t="s">
        <v>2503</v>
      </c>
      <c r="C205" s="215" t="s">
        <v>43</v>
      </c>
      <c r="D205" s="216">
        <v>46106</v>
      </c>
      <c r="E205" s="109" t="str">
        <f>VLOOKUP($C205,xe!$A:$B,2,0)</f>
        <v>50H-87055</v>
      </c>
      <c r="F205" s="217" t="str">
        <f>VLOOKUP($B205,ma!$A:$B,2,0)</f>
        <v>NDFC - NAIC BẾN LỨC</v>
      </c>
      <c r="G205" s="218"/>
      <c r="H205" s="218"/>
      <c r="I205" s="219">
        <v>100000</v>
      </c>
      <c r="J205" s="218" t="s">
        <v>1427</v>
      </c>
      <c r="K205" s="219"/>
      <c r="L205" s="218"/>
      <c r="M205" s="231">
        <v>1</v>
      </c>
      <c r="N205" s="221">
        <f>VLOOKUP($B205,ma!$A:$C,3,0)</f>
        <v>2400000</v>
      </c>
      <c r="O205" s="221">
        <f t="shared" si="0"/>
        <v>2400000</v>
      </c>
      <c r="P205" s="221">
        <f t="shared" si="4"/>
        <v>240000</v>
      </c>
      <c r="Q205" s="201"/>
      <c r="R205" s="201"/>
      <c r="S205" s="201"/>
      <c r="T205" s="201"/>
      <c r="U205" s="201"/>
      <c r="V205" s="32"/>
      <c r="W205" s="32"/>
      <c r="X205" s="32"/>
      <c r="Y205" s="32"/>
      <c r="Z205" s="32"/>
      <c r="AA205" s="32"/>
      <c r="AB205" s="32"/>
    </row>
    <row r="206" spans="1:28" ht="16" hidden="1">
      <c r="A206" s="214">
        <v>163</v>
      </c>
      <c r="B206" s="215" t="s">
        <v>2509</v>
      </c>
      <c r="C206" s="215" t="s">
        <v>43</v>
      </c>
      <c r="D206" s="216">
        <v>46106</v>
      </c>
      <c r="E206" s="109" t="str">
        <f>VLOOKUP($C206,xe!$A:$B,2,0)</f>
        <v>50H-87055</v>
      </c>
      <c r="F206" s="217" t="str">
        <f>VLOOKUP($B206,ma!$A:$B,2,0)</f>
        <v>NAIC -UNI</v>
      </c>
      <c r="G206" s="218"/>
      <c r="H206" s="218"/>
      <c r="I206" s="219">
        <v>100000</v>
      </c>
      <c r="J206" s="218" t="s">
        <v>1427</v>
      </c>
      <c r="K206" s="219">
        <v>200000</v>
      </c>
      <c r="L206" s="218" t="s">
        <v>1423</v>
      </c>
      <c r="M206" s="231">
        <v>1</v>
      </c>
      <c r="N206" s="221">
        <f>VLOOKUP($B206,ma!$A:$C,3,0)</f>
        <v>2400000</v>
      </c>
      <c r="O206" s="221">
        <f t="shared" si="0"/>
        <v>2400000</v>
      </c>
      <c r="P206" s="221">
        <f t="shared" si="4"/>
        <v>240000</v>
      </c>
      <c r="Q206" s="201">
        <v>200000</v>
      </c>
      <c r="R206" s="201"/>
      <c r="S206" s="201"/>
      <c r="T206" s="201"/>
      <c r="U206" s="201"/>
      <c r="V206" s="32"/>
      <c r="W206" s="32"/>
      <c r="X206" s="32"/>
      <c r="Y206" s="32"/>
      <c r="Z206" s="32"/>
      <c r="AA206" s="32"/>
      <c r="AB206" s="32"/>
    </row>
    <row r="207" spans="1:28" ht="16" hidden="1">
      <c r="A207" s="214">
        <v>163</v>
      </c>
      <c r="B207" s="215" t="s">
        <v>2513</v>
      </c>
      <c r="C207" s="215" t="s">
        <v>2523</v>
      </c>
      <c r="D207" s="216">
        <v>46106</v>
      </c>
      <c r="E207" s="109" t="str">
        <f>VLOOKUP($C207,xe!$A:$B,2,0)</f>
        <v>50E-757,74</v>
      </c>
      <c r="F207" s="217" t="str">
        <f>VLOOKUP($B207,ma!$A:$B,2,0)</f>
        <v>PHẠM ANH QUẬN 6 PALLET</v>
      </c>
      <c r="G207" s="218"/>
      <c r="H207" s="218"/>
      <c r="I207" s="219">
        <v>100000</v>
      </c>
      <c r="J207" s="218"/>
      <c r="K207" s="219">
        <v>20000</v>
      </c>
      <c r="L207" s="218" t="s">
        <v>2501</v>
      </c>
      <c r="M207" s="231">
        <v>12</v>
      </c>
      <c r="N207" s="221">
        <f>VLOOKUP($B207,ma!$A:$C,3,0)</f>
        <v>200000</v>
      </c>
      <c r="O207" s="221">
        <f t="shared" si="0"/>
        <v>2400000</v>
      </c>
      <c r="P207" s="221">
        <f t="shared" si="4"/>
        <v>240000</v>
      </c>
      <c r="Q207" s="201"/>
      <c r="R207" s="201"/>
      <c r="S207" s="201"/>
      <c r="T207" s="201"/>
      <c r="U207" s="201"/>
      <c r="V207" s="32"/>
      <c r="W207" s="32"/>
      <c r="X207" s="32"/>
      <c r="Y207" s="32"/>
      <c r="Z207" s="32"/>
      <c r="AA207" s="32"/>
      <c r="AB207" s="32"/>
    </row>
    <row r="208" spans="1:28" ht="16" hidden="1">
      <c r="A208" s="214">
        <v>163</v>
      </c>
      <c r="B208" s="215" t="s">
        <v>2504</v>
      </c>
      <c r="C208" s="215" t="s">
        <v>2519</v>
      </c>
      <c r="D208" s="216">
        <v>46107</v>
      </c>
      <c r="E208" s="133" t="str">
        <f>VLOOKUP($C208,xe!$A:$B,2,0)</f>
        <v>50E-648.73</v>
      </c>
      <c r="F208" s="217" t="str">
        <f>VLOOKUP($B208,ma!$A:$B,2,0)</f>
        <v>QUẬN 8 PALLET</v>
      </c>
      <c r="G208" s="218"/>
      <c r="H208" s="218"/>
      <c r="I208" s="219">
        <v>150000</v>
      </c>
      <c r="J208" s="218"/>
      <c r="K208" s="219">
        <v>200000</v>
      </c>
      <c r="L208" s="218" t="s">
        <v>1423</v>
      </c>
      <c r="M208" s="230">
        <v>12.67</v>
      </c>
      <c r="N208" s="221">
        <f>VLOOKUP($B208,ma!$A:$C,3,0)</f>
        <v>200000</v>
      </c>
      <c r="O208" s="221">
        <f t="shared" si="0"/>
        <v>2534000</v>
      </c>
      <c r="P208" s="221">
        <f t="shared" si="4"/>
        <v>253400</v>
      </c>
      <c r="Q208" s="201"/>
      <c r="R208" s="201"/>
      <c r="S208" s="201"/>
      <c r="T208" s="201"/>
      <c r="U208" s="201"/>
      <c r="V208" s="32"/>
      <c r="W208" s="32"/>
      <c r="X208" s="32"/>
      <c r="Y208" s="32"/>
      <c r="Z208" s="32"/>
      <c r="AA208" s="32"/>
      <c r="AB208" s="32"/>
    </row>
    <row r="209" spans="1:28" ht="16" hidden="1">
      <c r="A209" s="214">
        <v>163</v>
      </c>
      <c r="B209" s="215" t="s">
        <v>2509</v>
      </c>
      <c r="C209" s="215" t="s">
        <v>2542</v>
      </c>
      <c r="D209" s="216">
        <v>46107</v>
      </c>
      <c r="E209" s="133" t="str">
        <f>VLOOKUP($C209,xe!$A:$B,2,0)</f>
        <v>50E-648.73</v>
      </c>
      <c r="F209" s="217" t="str">
        <f>VLOOKUP($B209,ma!$A:$B,2,0)</f>
        <v>NAIC -UNI</v>
      </c>
      <c r="G209" s="218"/>
      <c r="H209" s="218"/>
      <c r="I209" s="219">
        <v>100000</v>
      </c>
      <c r="J209" s="218"/>
      <c r="K209" s="219"/>
      <c r="L209" s="218"/>
      <c r="M209" s="231">
        <v>1</v>
      </c>
      <c r="N209" s="221">
        <f>VLOOKUP($B209,ma!$A:$C,3,0)</f>
        <v>2400000</v>
      </c>
      <c r="O209" s="221">
        <f t="shared" si="0"/>
        <v>2400000</v>
      </c>
      <c r="P209" s="221">
        <f t="shared" si="4"/>
        <v>240000</v>
      </c>
      <c r="Q209" s="201"/>
      <c r="R209" s="201"/>
      <c r="S209" s="201"/>
      <c r="T209" s="201"/>
      <c r="U209" s="201"/>
      <c r="V209" s="32"/>
      <c r="W209" s="32"/>
      <c r="X209" s="32"/>
      <c r="Y209" s="32"/>
      <c r="Z209" s="32"/>
      <c r="AA209" s="32"/>
      <c r="AB209" s="32"/>
    </row>
    <row r="210" spans="1:28" ht="16" hidden="1">
      <c r="A210" s="214">
        <v>163</v>
      </c>
      <c r="B210" s="215" t="s">
        <v>2522</v>
      </c>
      <c r="C210" s="215" t="s">
        <v>39</v>
      </c>
      <c r="D210" s="216">
        <v>46107</v>
      </c>
      <c r="E210" s="109" t="str">
        <f>VLOOKUP($C210,xe!$A:$B,2,0)</f>
        <v>50E-654.34</v>
      </c>
      <c r="F210" s="217" t="str">
        <f>VLOOKUP($B210,ma!$A:$B,2,0)</f>
        <v>PHAN MINH VŨ-BIÊN HOÀ PALLET</v>
      </c>
      <c r="G210" s="218"/>
      <c r="H210" s="218"/>
      <c r="I210" s="219">
        <v>150000</v>
      </c>
      <c r="J210" s="218" t="s">
        <v>1427</v>
      </c>
      <c r="K210" s="219"/>
      <c r="L210" s="218"/>
      <c r="M210" s="230">
        <v>13.19</v>
      </c>
      <c r="N210" s="221">
        <f>VLOOKUP($B210,ma!$A:$C,3,0)</f>
        <v>238000</v>
      </c>
      <c r="O210" s="221">
        <f t="shared" si="0"/>
        <v>3139220</v>
      </c>
      <c r="P210" s="221">
        <f t="shared" si="4"/>
        <v>313922</v>
      </c>
      <c r="Q210" s="201"/>
      <c r="R210" s="201"/>
      <c r="S210" s="201"/>
      <c r="T210" s="201"/>
      <c r="U210" s="201"/>
      <c r="V210" s="32"/>
      <c r="W210" s="32"/>
      <c r="X210" s="32"/>
      <c r="Y210" s="32"/>
      <c r="Z210" s="32"/>
      <c r="AA210" s="32"/>
      <c r="AB210" s="32"/>
    </row>
    <row r="211" spans="1:28" ht="16" hidden="1">
      <c r="A211" s="214">
        <v>163</v>
      </c>
      <c r="B211" s="215" t="s">
        <v>156</v>
      </c>
      <c r="C211" s="215" t="s">
        <v>41</v>
      </c>
      <c r="D211" s="216">
        <v>46107</v>
      </c>
      <c r="E211" s="109" t="str">
        <f>VLOOKUP($C211,xe!$A:$B,2,0)</f>
        <v>50E-324,01</v>
      </c>
      <c r="F211" s="217" t="str">
        <f>VLOOKUP($B211,ma!$A:$B,2,0)</f>
        <v>TUẤN LỘC Q7 PALLET</v>
      </c>
      <c r="G211" s="218"/>
      <c r="H211" s="218"/>
      <c r="I211" s="219">
        <v>50000</v>
      </c>
      <c r="J211" s="218"/>
      <c r="K211" s="219"/>
      <c r="L211" s="218"/>
      <c r="M211" s="231">
        <v>12</v>
      </c>
      <c r="N211" s="221">
        <f>VLOOKUP($B211,ma!$A:$C,3,0)</f>
        <v>200000</v>
      </c>
      <c r="O211" s="221">
        <f t="shared" si="0"/>
        <v>2400000</v>
      </c>
      <c r="P211" s="221">
        <f t="shared" si="4"/>
        <v>240000</v>
      </c>
      <c r="Q211" s="201"/>
      <c r="R211" s="201"/>
      <c r="S211" s="201"/>
      <c r="T211" s="201"/>
      <c r="U211" s="201"/>
      <c r="V211" s="32"/>
      <c r="W211" s="32"/>
      <c r="X211" s="32"/>
      <c r="Y211" s="32"/>
      <c r="Z211" s="32"/>
      <c r="AA211" s="32"/>
      <c r="AB211" s="32"/>
    </row>
    <row r="212" spans="1:28" ht="16" hidden="1">
      <c r="A212" s="214">
        <v>163</v>
      </c>
      <c r="B212" s="215" t="s">
        <v>130</v>
      </c>
      <c r="C212" s="215" t="s">
        <v>41</v>
      </c>
      <c r="D212" s="216">
        <v>46107</v>
      </c>
      <c r="E212" s="109" t="str">
        <f>VLOOKUP($C212,xe!$A:$B,2,0)</f>
        <v>50E-324,01</v>
      </c>
      <c r="F212" s="217" t="str">
        <f>VLOOKUP($B212,ma!$A:$B,2,0)</f>
        <v>QUẬN 9 XÁ</v>
      </c>
      <c r="G212" s="218"/>
      <c r="H212" s="218"/>
      <c r="I212" s="219">
        <v>200000</v>
      </c>
      <c r="J212" s="218"/>
      <c r="K212" s="219"/>
      <c r="L212" s="218"/>
      <c r="M212" s="231">
        <v>12</v>
      </c>
      <c r="N212" s="221">
        <f>VLOOKUP($B212,ma!$A:$C,3,0)</f>
        <v>200000</v>
      </c>
      <c r="O212" s="221">
        <f t="shared" si="0"/>
        <v>2400000</v>
      </c>
      <c r="P212" s="221">
        <f t="shared" si="4"/>
        <v>240000</v>
      </c>
      <c r="Q212" s="201"/>
      <c r="R212" s="201"/>
      <c r="S212" s="201"/>
      <c r="T212" s="201"/>
      <c r="U212" s="201"/>
      <c r="V212" s="32"/>
      <c r="W212" s="32"/>
      <c r="X212" s="32"/>
      <c r="Y212" s="32"/>
      <c r="Z212" s="32"/>
      <c r="AA212" s="32"/>
      <c r="AB212" s="32"/>
    </row>
    <row r="213" spans="1:28" ht="16" hidden="1">
      <c r="A213" s="214">
        <v>163</v>
      </c>
      <c r="B213" s="215" t="s">
        <v>236</v>
      </c>
      <c r="C213" s="215" t="s">
        <v>43</v>
      </c>
      <c r="D213" s="216">
        <v>46107</v>
      </c>
      <c r="E213" s="109" t="str">
        <f>VLOOKUP($C213,xe!$A:$B,2,0)</f>
        <v>50H-87055</v>
      </c>
      <c r="F213" s="217" t="str">
        <f>VLOOKUP($B213,ma!$A:$B,2,0)</f>
        <v>HOÀNG MINH PHÁT HÓC MÔN</v>
      </c>
      <c r="G213" s="218"/>
      <c r="H213" s="218"/>
      <c r="I213" s="219">
        <v>200000</v>
      </c>
      <c r="J213" s="218" t="s">
        <v>1427</v>
      </c>
      <c r="K213" s="219"/>
      <c r="L213" s="218"/>
      <c r="M213" s="231">
        <v>12</v>
      </c>
      <c r="N213" s="221">
        <f>VLOOKUP($B213,ma!$A:$C,3,0)</f>
        <v>200000</v>
      </c>
      <c r="O213" s="221">
        <f t="shared" si="0"/>
        <v>2400000</v>
      </c>
      <c r="P213" s="221">
        <f t="shared" si="4"/>
        <v>240000</v>
      </c>
      <c r="Q213" s="201"/>
      <c r="R213" s="201"/>
      <c r="S213" s="201"/>
      <c r="T213" s="201"/>
      <c r="U213" s="201"/>
      <c r="V213" s="32"/>
      <c r="W213" s="32"/>
      <c r="X213" s="32"/>
      <c r="Y213" s="32"/>
      <c r="Z213" s="32"/>
      <c r="AA213" s="32"/>
      <c r="AB213" s="32"/>
    </row>
    <row r="214" spans="1:28" ht="16" hidden="1">
      <c r="A214" s="214">
        <v>163</v>
      </c>
      <c r="B214" s="215" t="s">
        <v>212</v>
      </c>
      <c r="C214" s="215" t="s">
        <v>43</v>
      </c>
      <c r="D214" s="216">
        <v>46107</v>
      </c>
      <c r="E214" s="109" t="str">
        <f>VLOOKUP($C214,xe!$A:$B,2,0)</f>
        <v>50H-87055</v>
      </c>
      <c r="F214" s="217" t="str">
        <f>VLOOKUP($B214,ma!$A:$B,2,0)</f>
        <v>NAIC -UNI</v>
      </c>
      <c r="G214" s="218"/>
      <c r="H214" s="218"/>
      <c r="I214" s="219">
        <v>100000</v>
      </c>
      <c r="J214" s="218" t="s">
        <v>1427</v>
      </c>
      <c r="K214" s="219"/>
      <c r="L214" s="218"/>
      <c r="M214" s="231">
        <v>1</v>
      </c>
      <c r="N214" s="221">
        <f>VLOOKUP($B214,ma!$A:$C,3,0)</f>
        <v>2400000</v>
      </c>
      <c r="O214" s="221">
        <f t="shared" si="0"/>
        <v>2400000</v>
      </c>
      <c r="P214" s="221">
        <f t="shared" si="4"/>
        <v>240000</v>
      </c>
      <c r="Q214" s="201"/>
      <c r="R214" s="201"/>
      <c r="S214" s="201"/>
      <c r="T214" s="201"/>
      <c r="U214" s="201"/>
      <c r="V214" s="32"/>
      <c r="W214" s="32"/>
      <c r="X214" s="32"/>
      <c r="Y214" s="32"/>
      <c r="Z214" s="32"/>
      <c r="AA214" s="32"/>
      <c r="AB214" s="32"/>
    </row>
    <row r="215" spans="1:28" ht="16" hidden="1">
      <c r="A215" s="214">
        <v>163</v>
      </c>
      <c r="B215" s="215" t="s">
        <v>156</v>
      </c>
      <c r="C215" s="215" t="s">
        <v>2523</v>
      </c>
      <c r="D215" s="216">
        <v>46107</v>
      </c>
      <c r="E215" s="109" t="str">
        <f>VLOOKUP($C215,xe!$A:$B,2,0)</f>
        <v>50E-757,74</v>
      </c>
      <c r="F215" s="217" t="str">
        <f>VLOOKUP($B215,ma!$A:$B,2,0)</f>
        <v>TUẤN LỘC Q7 PALLET</v>
      </c>
      <c r="G215" s="218"/>
      <c r="H215" s="218"/>
      <c r="I215" s="219">
        <v>100000</v>
      </c>
      <c r="J215" s="218"/>
      <c r="K215" s="219">
        <v>20000</v>
      </c>
      <c r="L215" s="218" t="s">
        <v>2501</v>
      </c>
      <c r="M215" s="231">
        <v>12</v>
      </c>
      <c r="N215" s="221">
        <f>VLOOKUP($B215,ma!$A:$C,3,0)</f>
        <v>200000</v>
      </c>
      <c r="O215" s="221">
        <f t="shared" si="0"/>
        <v>2400000</v>
      </c>
      <c r="P215" s="221">
        <f t="shared" si="4"/>
        <v>240000</v>
      </c>
      <c r="Q215" s="201"/>
      <c r="R215" s="201"/>
      <c r="S215" s="201"/>
      <c r="T215" s="201"/>
      <c r="U215" s="201"/>
      <c r="V215" s="32"/>
      <c r="W215" s="32"/>
      <c r="X215" s="32"/>
      <c r="Y215" s="32"/>
      <c r="Z215" s="32"/>
      <c r="AA215" s="32"/>
      <c r="AB215" s="32"/>
    </row>
    <row r="216" spans="1:28" ht="16" hidden="1">
      <c r="A216" s="214">
        <v>163</v>
      </c>
      <c r="B216" s="215" t="s">
        <v>128</v>
      </c>
      <c r="C216" s="215" t="s">
        <v>2523</v>
      </c>
      <c r="D216" s="216">
        <v>46107</v>
      </c>
      <c r="E216" s="109" t="str">
        <f>VLOOKUP($C216,xe!$A:$B,2,0)</f>
        <v>50E-757,74</v>
      </c>
      <c r="F216" s="217" t="str">
        <f>VLOOKUP($B216,ma!$A:$B,2,0)</f>
        <v>QUẬN 8 PALLET</v>
      </c>
      <c r="G216" s="218"/>
      <c r="H216" s="218"/>
      <c r="I216" s="219">
        <v>50000</v>
      </c>
      <c r="J216" s="218"/>
      <c r="K216" s="219"/>
      <c r="L216" s="218"/>
      <c r="M216" s="231">
        <v>12</v>
      </c>
      <c r="N216" s="221">
        <f>VLOOKUP($B216,ma!$A:$C,3,0)</f>
        <v>200000</v>
      </c>
      <c r="O216" s="221">
        <f t="shared" si="0"/>
        <v>2400000</v>
      </c>
      <c r="P216" s="221">
        <f t="shared" si="4"/>
        <v>240000</v>
      </c>
      <c r="Q216" s="201"/>
      <c r="R216" s="201"/>
      <c r="S216" s="201"/>
      <c r="T216" s="201"/>
      <c r="U216" s="201"/>
      <c r="V216" s="32"/>
      <c r="W216" s="32"/>
      <c r="X216" s="32"/>
      <c r="Y216" s="32"/>
      <c r="Z216" s="32"/>
      <c r="AA216" s="32"/>
      <c r="AB216" s="32"/>
    </row>
    <row r="217" spans="1:28" ht="16" hidden="1">
      <c r="A217" s="214">
        <v>163</v>
      </c>
      <c r="B217" s="215" t="s">
        <v>124</v>
      </c>
      <c r="C217" s="215" t="s">
        <v>2542</v>
      </c>
      <c r="D217" s="216">
        <v>46108</v>
      </c>
      <c r="E217" s="133" t="str">
        <f>VLOOKUP($C217,xe!$A:$B,2,0)</f>
        <v>50E-648.73</v>
      </c>
      <c r="F217" s="217" t="str">
        <f>VLOOKUP($B217,ma!$A:$B,2,0)</f>
        <v>PHẠM ANH QUẬN 6 PALLET</v>
      </c>
      <c r="G217" s="218"/>
      <c r="H217" s="218"/>
      <c r="I217" s="219">
        <v>100000</v>
      </c>
      <c r="J217" s="218"/>
      <c r="K217" s="219"/>
      <c r="L217" s="218"/>
      <c r="M217" s="230">
        <v>12.71</v>
      </c>
      <c r="N217" s="221">
        <f>VLOOKUP($B217,ma!$A:$C,3,0)</f>
        <v>200000</v>
      </c>
      <c r="O217" s="221">
        <f t="shared" si="0"/>
        <v>2542000</v>
      </c>
      <c r="P217" s="221">
        <f t="shared" si="4"/>
        <v>254200</v>
      </c>
      <c r="Q217" s="201"/>
      <c r="R217" s="201"/>
      <c r="S217" s="201"/>
      <c r="T217" s="201"/>
      <c r="U217" s="201"/>
      <c r="V217" s="32"/>
      <c r="W217" s="32"/>
      <c r="X217" s="32"/>
      <c r="Y217" s="32"/>
      <c r="Z217" s="32"/>
      <c r="AA217" s="32"/>
      <c r="AB217" s="32"/>
    </row>
    <row r="218" spans="1:28" ht="16" hidden="1">
      <c r="A218" s="214">
        <v>163</v>
      </c>
      <c r="B218" s="215" t="s">
        <v>212</v>
      </c>
      <c r="C218" s="215" t="s">
        <v>2542</v>
      </c>
      <c r="D218" s="216">
        <v>46108</v>
      </c>
      <c r="E218" s="133" t="str">
        <f>VLOOKUP($C218,xe!$A:$B,2,0)</f>
        <v>50E-648.73</v>
      </c>
      <c r="F218" s="217" t="str">
        <f>VLOOKUP($B218,ma!$A:$B,2,0)</f>
        <v>NAIC -UNI</v>
      </c>
      <c r="G218" s="218"/>
      <c r="H218" s="218"/>
      <c r="I218" s="219">
        <v>100000</v>
      </c>
      <c r="J218" s="218"/>
      <c r="K218" s="219"/>
      <c r="L218" s="218"/>
      <c r="M218" s="231">
        <v>1</v>
      </c>
      <c r="N218" s="221">
        <f>VLOOKUP($B218,ma!$A:$C,3,0)</f>
        <v>2400000</v>
      </c>
      <c r="O218" s="221">
        <f t="shared" si="0"/>
        <v>2400000</v>
      </c>
      <c r="P218" s="221">
        <f t="shared" si="4"/>
        <v>240000</v>
      </c>
      <c r="Q218" s="201"/>
      <c r="R218" s="201"/>
      <c r="S218" s="201"/>
      <c r="T218" s="201"/>
      <c r="U218" s="201"/>
      <c r="V218" s="32"/>
      <c r="W218" s="32"/>
      <c r="X218" s="32"/>
      <c r="Y218" s="32"/>
      <c r="Z218" s="32"/>
      <c r="AA218" s="32"/>
      <c r="AB218" s="32"/>
    </row>
    <row r="219" spans="1:28" ht="16" hidden="1">
      <c r="A219" s="214">
        <v>163</v>
      </c>
      <c r="B219" s="215" t="s">
        <v>220</v>
      </c>
      <c r="C219" s="215" t="s">
        <v>39</v>
      </c>
      <c r="D219" s="216">
        <v>46108</v>
      </c>
      <c r="E219" s="109" t="str">
        <f>VLOOKUP($C219,xe!$A:$B,2,0)</f>
        <v>50E-654.34</v>
      </c>
      <c r="F219" s="217" t="str">
        <f>VLOOKUP($B219,ma!$A:$B,2,0)</f>
        <v>GIA HOÀNG TIỀN GIANG PALLET</v>
      </c>
      <c r="G219" s="218"/>
      <c r="H219" s="218"/>
      <c r="I219" s="219">
        <v>100000</v>
      </c>
      <c r="J219" s="218" t="s">
        <v>1427</v>
      </c>
      <c r="K219" s="219"/>
      <c r="L219" s="218"/>
      <c r="M219" s="231">
        <v>13</v>
      </c>
      <c r="N219" s="221">
        <f>VLOOKUP($B219,ma!$A:$C,3,0)</f>
        <v>230000</v>
      </c>
      <c r="O219" s="221">
        <f t="shared" si="0"/>
        <v>2990000</v>
      </c>
      <c r="P219" s="221">
        <f t="shared" si="4"/>
        <v>299000</v>
      </c>
      <c r="Q219" s="201"/>
      <c r="R219" s="201"/>
      <c r="S219" s="201"/>
      <c r="T219" s="201"/>
      <c r="U219" s="201"/>
      <c r="V219" s="32"/>
      <c r="W219" s="32"/>
      <c r="X219" s="32"/>
      <c r="Y219" s="32"/>
      <c r="Z219" s="32"/>
      <c r="AA219" s="32"/>
      <c r="AB219" s="32"/>
    </row>
    <row r="220" spans="1:28" ht="16" hidden="1">
      <c r="A220" s="214">
        <v>163</v>
      </c>
      <c r="B220" s="215" t="s">
        <v>210</v>
      </c>
      <c r="C220" s="215" t="s">
        <v>39</v>
      </c>
      <c r="D220" s="216">
        <v>46108</v>
      </c>
      <c r="E220" s="109" t="str">
        <f>VLOOKUP($C220,xe!$A:$B,2,0)</f>
        <v>50E-654.34</v>
      </c>
      <c r="F220" s="217" t="str">
        <f>VLOOKUP($B220,ma!$A:$B,2,0)</f>
        <v>NDFC - NAIC BẾN LỨC</v>
      </c>
      <c r="G220" s="218"/>
      <c r="H220" s="218"/>
      <c r="I220" s="219">
        <v>100000</v>
      </c>
      <c r="J220" s="218" t="s">
        <v>1427</v>
      </c>
      <c r="K220" s="219"/>
      <c r="L220" s="218"/>
      <c r="M220" s="231">
        <v>1</v>
      </c>
      <c r="N220" s="221">
        <f>VLOOKUP($B220,ma!$A:$C,3,0)</f>
        <v>2400000</v>
      </c>
      <c r="O220" s="221">
        <f t="shared" si="0"/>
        <v>2400000</v>
      </c>
      <c r="P220" s="221">
        <f t="shared" si="4"/>
        <v>240000</v>
      </c>
      <c r="Q220" s="201"/>
      <c r="R220" s="201"/>
      <c r="S220" s="201"/>
      <c r="T220" s="201"/>
      <c r="U220" s="201"/>
      <c r="V220" s="32"/>
      <c r="W220" s="32"/>
      <c r="X220" s="32"/>
      <c r="Y220" s="32"/>
      <c r="Z220" s="32"/>
      <c r="AA220" s="32"/>
      <c r="AB220" s="32"/>
    </row>
    <row r="221" spans="1:28" ht="16" hidden="1">
      <c r="A221" s="214">
        <v>163</v>
      </c>
      <c r="B221" s="215" t="s">
        <v>212</v>
      </c>
      <c r="C221" s="215" t="s">
        <v>39</v>
      </c>
      <c r="D221" s="216">
        <v>46108</v>
      </c>
      <c r="E221" s="109" t="str">
        <f>VLOOKUP($C221,xe!$A:$B,2,0)</f>
        <v>50E-654.34</v>
      </c>
      <c r="F221" s="217" t="str">
        <f>VLOOKUP($B221,ma!$A:$B,2,0)</f>
        <v>NAIC -UNI</v>
      </c>
      <c r="G221" s="218"/>
      <c r="H221" s="218"/>
      <c r="I221" s="219">
        <v>100000</v>
      </c>
      <c r="J221" s="218" t="s">
        <v>1427</v>
      </c>
      <c r="K221" s="219"/>
      <c r="L221" s="218"/>
      <c r="M221" s="231">
        <v>1</v>
      </c>
      <c r="N221" s="221">
        <f>VLOOKUP($B221,ma!$A:$C,3,0)</f>
        <v>2400000</v>
      </c>
      <c r="O221" s="221">
        <f t="shared" si="0"/>
        <v>2400000</v>
      </c>
      <c r="P221" s="221">
        <f t="shared" si="4"/>
        <v>240000</v>
      </c>
      <c r="Q221" s="201"/>
      <c r="R221" s="201"/>
      <c r="S221" s="201"/>
      <c r="T221" s="201"/>
      <c r="U221" s="201"/>
      <c r="V221" s="32"/>
      <c r="W221" s="32"/>
      <c r="X221" s="32"/>
      <c r="Y221" s="32"/>
      <c r="Z221" s="32"/>
      <c r="AA221" s="32"/>
      <c r="AB221" s="32"/>
    </row>
    <row r="222" spans="1:28" ht="16" hidden="1">
      <c r="A222" s="214">
        <v>163</v>
      </c>
      <c r="B222" s="215" t="s">
        <v>126</v>
      </c>
      <c r="C222" s="215" t="s">
        <v>41</v>
      </c>
      <c r="D222" s="216">
        <v>46108</v>
      </c>
      <c r="E222" s="109" t="str">
        <f>VLOOKUP($C222,xe!$A:$B,2,0)</f>
        <v>50E-324,01</v>
      </c>
      <c r="F222" s="217" t="str">
        <f>VLOOKUP($B222,ma!$A:$B,2,0)</f>
        <v>QUẬN 8 XÁ</v>
      </c>
      <c r="G222" s="218"/>
      <c r="H222" s="218"/>
      <c r="I222" s="219">
        <v>200000</v>
      </c>
      <c r="J222" s="218"/>
      <c r="K222" s="219">
        <v>100000</v>
      </c>
      <c r="L222" s="218" t="s">
        <v>2501</v>
      </c>
      <c r="M222" s="231">
        <v>12</v>
      </c>
      <c r="N222" s="221">
        <f>VLOOKUP($B222,ma!$A:$C,3,0)</f>
        <v>200000</v>
      </c>
      <c r="O222" s="221">
        <f t="shared" si="0"/>
        <v>2400000</v>
      </c>
      <c r="P222" s="221">
        <f t="shared" si="4"/>
        <v>240000</v>
      </c>
      <c r="Q222" s="201"/>
      <c r="R222" s="201"/>
      <c r="S222" s="201"/>
      <c r="T222" s="201"/>
      <c r="U222" s="201"/>
      <c r="V222" s="32"/>
      <c r="W222" s="32"/>
      <c r="X222" s="32"/>
      <c r="Y222" s="32"/>
      <c r="Z222" s="32"/>
      <c r="AA222" s="32"/>
      <c r="AB222" s="32"/>
    </row>
    <row r="223" spans="1:28" ht="16" hidden="1">
      <c r="A223" s="214">
        <v>163</v>
      </c>
      <c r="B223" s="215" t="s">
        <v>156</v>
      </c>
      <c r="C223" s="215" t="s">
        <v>43</v>
      </c>
      <c r="D223" s="216">
        <v>46108</v>
      </c>
      <c r="E223" s="109" t="str">
        <f>VLOOKUP($C223,xe!$A:$B,2,0)</f>
        <v>50H-87055</v>
      </c>
      <c r="F223" s="217" t="str">
        <f>VLOOKUP($B223,ma!$A:$B,2,0)</f>
        <v>TUẤN LỘC Q7 PALLET</v>
      </c>
      <c r="G223" s="218"/>
      <c r="H223" s="218"/>
      <c r="I223" s="219">
        <v>100000</v>
      </c>
      <c r="J223" s="218" t="s">
        <v>1427</v>
      </c>
      <c r="K223" s="219"/>
      <c r="L223" s="218"/>
      <c r="M223" s="231">
        <v>12</v>
      </c>
      <c r="N223" s="221">
        <f>VLOOKUP($B223,ma!$A:$C,3,0)</f>
        <v>200000</v>
      </c>
      <c r="O223" s="221">
        <f t="shared" si="0"/>
        <v>2400000</v>
      </c>
      <c r="P223" s="221">
        <f t="shared" si="4"/>
        <v>240000</v>
      </c>
      <c r="Q223" s="201"/>
      <c r="R223" s="201"/>
      <c r="S223" s="201"/>
      <c r="T223" s="201"/>
      <c r="U223" s="201"/>
      <c r="V223" s="32"/>
      <c r="W223" s="32"/>
      <c r="X223" s="32"/>
      <c r="Y223" s="32"/>
      <c r="Z223" s="32"/>
      <c r="AA223" s="32"/>
      <c r="AB223" s="32"/>
    </row>
    <row r="224" spans="1:28" ht="16" hidden="1">
      <c r="A224" s="214">
        <v>163</v>
      </c>
      <c r="B224" s="215" t="s">
        <v>156</v>
      </c>
      <c r="C224" s="215" t="s">
        <v>43</v>
      </c>
      <c r="D224" s="216">
        <v>46108</v>
      </c>
      <c r="E224" s="109" t="str">
        <f>VLOOKUP($C224,xe!$A:$B,2,0)</f>
        <v>50H-87055</v>
      </c>
      <c r="F224" s="217" t="str">
        <f>VLOOKUP($B224,ma!$A:$B,2,0)</f>
        <v>TUẤN LỘC Q7 PALLET</v>
      </c>
      <c r="G224" s="218"/>
      <c r="H224" s="218"/>
      <c r="I224" s="219">
        <v>100000</v>
      </c>
      <c r="J224" s="218" t="s">
        <v>1427</v>
      </c>
      <c r="K224" s="219">
        <v>50000</v>
      </c>
      <c r="L224" s="218" t="s">
        <v>2508</v>
      </c>
      <c r="M224" s="231">
        <v>12</v>
      </c>
      <c r="N224" s="221">
        <f>VLOOKUP($B224,ma!$A:$C,3,0)</f>
        <v>200000</v>
      </c>
      <c r="O224" s="221">
        <f t="shared" si="0"/>
        <v>2400000</v>
      </c>
      <c r="P224" s="221">
        <f t="shared" si="4"/>
        <v>240000</v>
      </c>
      <c r="Q224" s="201"/>
      <c r="R224" s="201"/>
      <c r="S224" s="201"/>
      <c r="T224" s="201"/>
      <c r="U224" s="201"/>
      <c r="V224" s="32"/>
      <c r="W224" s="32"/>
      <c r="X224" s="32"/>
      <c r="Y224" s="32"/>
      <c r="Z224" s="32"/>
      <c r="AA224" s="32"/>
      <c r="AB224" s="32"/>
    </row>
    <row r="225" spans="1:28" ht="16" hidden="1">
      <c r="A225" s="214">
        <v>163</v>
      </c>
      <c r="B225" s="215" t="s">
        <v>210</v>
      </c>
      <c r="C225" s="215" t="s">
        <v>2523</v>
      </c>
      <c r="D225" s="216">
        <v>46108</v>
      </c>
      <c r="E225" s="109" t="str">
        <f>VLOOKUP($C225,xe!$A:$B,2,0)</f>
        <v>50E-757,74</v>
      </c>
      <c r="F225" s="217" t="str">
        <f>VLOOKUP($B225,ma!$A:$B,2,0)</f>
        <v>NDFC - NAIC BẾN LỨC</v>
      </c>
      <c r="G225" s="218"/>
      <c r="H225" s="218"/>
      <c r="I225" s="219">
        <v>100000</v>
      </c>
      <c r="J225" s="218"/>
      <c r="K225" s="219"/>
      <c r="L225" s="218"/>
      <c r="M225" s="231">
        <v>1</v>
      </c>
      <c r="N225" s="221">
        <f>VLOOKUP($B225,ma!$A:$C,3,0)</f>
        <v>2400000</v>
      </c>
      <c r="O225" s="221">
        <f t="shared" si="0"/>
        <v>2400000</v>
      </c>
      <c r="P225" s="221">
        <f t="shared" si="4"/>
        <v>240000</v>
      </c>
      <c r="Q225" s="201"/>
      <c r="R225" s="201"/>
      <c r="S225" s="201"/>
      <c r="T225" s="201"/>
      <c r="U225" s="201"/>
      <c r="V225" s="32"/>
      <c r="W225" s="32"/>
      <c r="X225" s="32"/>
      <c r="Y225" s="32"/>
      <c r="Z225" s="32"/>
      <c r="AA225" s="32"/>
      <c r="AB225" s="32"/>
    </row>
    <row r="226" spans="1:28" ht="16" hidden="1">
      <c r="A226" s="214">
        <v>164</v>
      </c>
      <c r="B226" s="215" t="s">
        <v>212</v>
      </c>
      <c r="C226" s="215" t="s">
        <v>2523</v>
      </c>
      <c r="D226" s="216">
        <v>46108</v>
      </c>
      <c r="E226" s="109" t="str">
        <f>VLOOKUP($C226,xe!$A:$B,2,0)</f>
        <v>50E-757,74</v>
      </c>
      <c r="F226" s="217" t="str">
        <f>VLOOKUP($B226,ma!$A:$B,2,0)</f>
        <v>NAIC -UNI</v>
      </c>
      <c r="G226" s="218"/>
      <c r="H226" s="218"/>
      <c r="I226" s="219">
        <v>100000</v>
      </c>
      <c r="J226" s="218"/>
      <c r="K226" s="219"/>
      <c r="L226" s="218"/>
      <c r="M226" s="231">
        <v>1</v>
      </c>
      <c r="N226" s="221">
        <f>VLOOKUP($B226,ma!$A:$C,3,0)</f>
        <v>2400000</v>
      </c>
      <c r="O226" s="221">
        <f t="shared" si="0"/>
        <v>2400000</v>
      </c>
      <c r="P226" s="221">
        <f t="shared" si="4"/>
        <v>240000</v>
      </c>
      <c r="Q226" s="201"/>
      <c r="R226" s="201"/>
      <c r="S226" s="201"/>
      <c r="T226" s="201"/>
      <c r="U226" s="201"/>
      <c r="V226" s="32"/>
      <c r="W226" s="32"/>
      <c r="X226" s="32"/>
      <c r="Y226" s="32"/>
      <c r="Z226" s="32"/>
      <c r="AA226" s="32"/>
      <c r="AB226" s="32"/>
    </row>
    <row r="227" spans="1:28" ht="16" hidden="1">
      <c r="A227" s="214">
        <v>164</v>
      </c>
      <c r="B227" s="215" t="s">
        <v>2506</v>
      </c>
      <c r="C227" s="215" t="s">
        <v>2542</v>
      </c>
      <c r="D227" s="216">
        <v>46109</v>
      </c>
      <c r="E227" s="133" t="str">
        <f>VLOOKUP($C227,xe!$A:$B,2,0)</f>
        <v>50E-648.73</v>
      </c>
      <c r="F227" s="217" t="str">
        <f>VLOOKUP($B227,ma!$A:$B,2,0)</f>
        <v>TUẤN LỘC Q7 PALLET</v>
      </c>
      <c r="G227" s="218"/>
      <c r="H227" s="218"/>
      <c r="I227" s="219">
        <v>100000</v>
      </c>
      <c r="J227" s="218"/>
      <c r="K227" s="219"/>
      <c r="L227" s="218"/>
      <c r="M227" s="230">
        <v>13.34</v>
      </c>
      <c r="N227" s="221">
        <f>VLOOKUP($B227,ma!$A:$C,3,0)</f>
        <v>200000</v>
      </c>
      <c r="O227" s="221">
        <f t="shared" si="0"/>
        <v>2668000</v>
      </c>
      <c r="P227" s="221">
        <f t="shared" si="4"/>
        <v>266800</v>
      </c>
      <c r="Q227" s="201"/>
      <c r="R227" s="201"/>
      <c r="S227" s="201"/>
      <c r="T227" s="201"/>
      <c r="U227" s="201"/>
      <c r="V227" s="32"/>
      <c r="W227" s="32"/>
      <c r="X227" s="32"/>
      <c r="Y227" s="32"/>
      <c r="Z227" s="32"/>
      <c r="AA227" s="32"/>
      <c r="AB227" s="32"/>
    </row>
    <row r="228" spans="1:28" ht="16" hidden="1">
      <c r="A228" s="214">
        <v>164</v>
      </c>
      <c r="B228" s="215" t="s">
        <v>2504</v>
      </c>
      <c r="C228" s="215" t="s">
        <v>2542</v>
      </c>
      <c r="D228" s="216">
        <v>46109</v>
      </c>
      <c r="E228" s="133" t="str">
        <f>VLOOKUP($C228,xe!$A:$B,2,0)</f>
        <v>50E-648.73</v>
      </c>
      <c r="F228" s="217" t="str">
        <f>VLOOKUP($B228,ma!$A:$B,2,0)</f>
        <v>QUẬN 8 PALLET</v>
      </c>
      <c r="G228" s="218"/>
      <c r="H228" s="218"/>
      <c r="I228" s="219">
        <v>120000</v>
      </c>
      <c r="J228" s="218"/>
      <c r="K228" s="219"/>
      <c r="L228" s="218"/>
      <c r="M228" s="230">
        <v>13.71</v>
      </c>
      <c r="N228" s="221">
        <f>VLOOKUP($B228,ma!$A:$C,3,0)</f>
        <v>200000</v>
      </c>
      <c r="O228" s="221">
        <f t="shared" si="0"/>
        <v>2742000</v>
      </c>
      <c r="P228" s="221">
        <f t="shared" si="4"/>
        <v>274200</v>
      </c>
      <c r="Q228" s="201"/>
      <c r="R228" s="201"/>
      <c r="S228" s="201"/>
      <c r="T228" s="201"/>
      <c r="U228" s="201"/>
      <c r="V228" s="32"/>
      <c r="W228" s="32"/>
      <c r="X228" s="32"/>
      <c r="Y228" s="32"/>
      <c r="Z228" s="32"/>
      <c r="AA228" s="32"/>
      <c r="AB228" s="32"/>
    </row>
    <row r="229" spans="1:28" ht="16" hidden="1">
      <c r="A229" s="214">
        <v>164</v>
      </c>
      <c r="B229" s="215" t="s">
        <v>2504</v>
      </c>
      <c r="C229" s="215" t="s">
        <v>39</v>
      </c>
      <c r="D229" s="216">
        <v>46109</v>
      </c>
      <c r="E229" s="109" t="str">
        <f>VLOOKUP($C229,xe!$A:$B,2,0)</f>
        <v>50E-654.34</v>
      </c>
      <c r="F229" s="217" t="str">
        <f>VLOOKUP($B229,ma!$A:$B,2,0)</f>
        <v>QUẬN 8 PALLET</v>
      </c>
      <c r="G229" s="218"/>
      <c r="H229" s="218"/>
      <c r="I229" s="219">
        <v>150000</v>
      </c>
      <c r="J229" s="218" t="s">
        <v>1427</v>
      </c>
      <c r="K229" s="219"/>
      <c r="L229" s="218"/>
      <c r="M229" s="230">
        <v>13.59</v>
      </c>
      <c r="N229" s="221">
        <f>VLOOKUP($B229,ma!$A:$C,3,0)</f>
        <v>200000</v>
      </c>
      <c r="O229" s="221">
        <f t="shared" si="0"/>
        <v>2718000</v>
      </c>
      <c r="P229" s="221">
        <f t="shared" si="4"/>
        <v>271800</v>
      </c>
      <c r="Q229" s="201"/>
      <c r="R229" s="201"/>
      <c r="S229" s="201"/>
      <c r="T229" s="201"/>
      <c r="U229" s="201"/>
      <c r="V229" s="32"/>
      <c r="W229" s="32"/>
      <c r="X229" s="32"/>
      <c r="Y229" s="32"/>
      <c r="Z229" s="32"/>
      <c r="AA229" s="32"/>
      <c r="AB229" s="32"/>
    </row>
    <row r="230" spans="1:28" ht="16" hidden="1">
      <c r="A230" s="214">
        <v>164</v>
      </c>
      <c r="B230" s="215" t="s">
        <v>2516</v>
      </c>
      <c r="C230" s="215" t="s">
        <v>41</v>
      </c>
      <c r="D230" s="216">
        <v>46109</v>
      </c>
      <c r="E230" s="109" t="str">
        <f>VLOOKUP($C230,xe!$A:$B,2,0)</f>
        <v>50E-324,01</v>
      </c>
      <c r="F230" s="217" t="str">
        <f>VLOOKUP($B230,ma!$A:$B,2,0)</f>
        <v>PHẠM ANH QUẬN 6 XÁ</v>
      </c>
      <c r="G230" s="218"/>
      <c r="H230" s="218"/>
      <c r="I230" s="219">
        <v>300000</v>
      </c>
      <c r="J230" s="218"/>
      <c r="K230" s="219"/>
      <c r="L230" s="218"/>
      <c r="M230" s="231">
        <v>12</v>
      </c>
      <c r="N230" s="221">
        <f>VLOOKUP($B230,ma!$A:$C,3,0)</f>
        <v>200000</v>
      </c>
      <c r="O230" s="221">
        <f t="shared" si="0"/>
        <v>2400000</v>
      </c>
      <c r="P230" s="221">
        <f t="shared" si="4"/>
        <v>240000</v>
      </c>
      <c r="Q230" s="201"/>
      <c r="R230" s="201"/>
      <c r="S230" s="201"/>
      <c r="T230" s="201"/>
      <c r="U230" s="201"/>
      <c r="V230" s="32"/>
      <c r="W230" s="32"/>
      <c r="X230" s="32"/>
      <c r="Y230" s="32"/>
      <c r="Z230" s="32"/>
      <c r="AA230" s="32"/>
      <c r="AB230" s="32"/>
    </row>
    <row r="231" spans="1:28" ht="16" hidden="1">
      <c r="A231" s="214">
        <v>164</v>
      </c>
      <c r="B231" s="215" t="s">
        <v>2506</v>
      </c>
      <c r="C231" s="215" t="s">
        <v>41</v>
      </c>
      <c r="D231" s="216">
        <v>46109</v>
      </c>
      <c r="E231" s="109" t="str">
        <f>VLOOKUP($C231,xe!$A:$B,2,0)</f>
        <v>50E-324,01</v>
      </c>
      <c r="F231" s="217" t="str">
        <f>VLOOKUP($B231,ma!$A:$B,2,0)</f>
        <v>TUẤN LỘC Q7 PALLET</v>
      </c>
      <c r="G231" s="218"/>
      <c r="H231" s="218"/>
      <c r="I231" s="219">
        <v>50000</v>
      </c>
      <c r="J231" s="218"/>
      <c r="K231" s="219"/>
      <c r="L231" s="218"/>
      <c r="M231" s="231">
        <v>12</v>
      </c>
      <c r="N231" s="221">
        <f>VLOOKUP($B231,ma!$A:$C,3,0)</f>
        <v>200000</v>
      </c>
      <c r="O231" s="221">
        <f t="shared" si="0"/>
        <v>2400000</v>
      </c>
      <c r="P231" s="221">
        <f t="shared" si="4"/>
        <v>240000</v>
      </c>
      <c r="Q231" s="201"/>
      <c r="R231" s="201"/>
      <c r="S231" s="201"/>
      <c r="T231" s="201"/>
      <c r="U231" s="201"/>
      <c r="V231" s="32"/>
      <c r="W231" s="32"/>
      <c r="X231" s="32"/>
      <c r="Y231" s="32"/>
      <c r="Z231" s="32"/>
      <c r="AA231" s="32"/>
      <c r="AB231" s="32"/>
    </row>
    <row r="232" spans="1:28" ht="16" hidden="1">
      <c r="A232" s="214">
        <v>164</v>
      </c>
      <c r="B232" s="215" t="s">
        <v>2506</v>
      </c>
      <c r="C232" s="215" t="s">
        <v>41</v>
      </c>
      <c r="D232" s="216">
        <v>46109</v>
      </c>
      <c r="E232" s="109" t="str">
        <f>VLOOKUP($C232,xe!$A:$B,2,0)</f>
        <v>50E-324,01</v>
      </c>
      <c r="F232" s="217" t="str">
        <f>VLOOKUP($B232,ma!$A:$B,2,0)</f>
        <v>TUẤN LỘC Q7 PALLET</v>
      </c>
      <c r="G232" s="218"/>
      <c r="H232" s="218"/>
      <c r="I232" s="219">
        <v>100000</v>
      </c>
      <c r="J232" s="218"/>
      <c r="K232" s="219"/>
      <c r="L232" s="218"/>
      <c r="M232" s="231">
        <v>12</v>
      </c>
      <c r="N232" s="221">
        <f>VLOOKUP($B232,ma!$A:$C,3,0)</f>
        <v>200000</v>
      </c>
      <c r="O232" s="221">
        <f t="shared" si="0"/>
        <v>2400000</v>
      </c>
      <c r="P232" s="221">
        <f t="shared" si="4"/>
        <v>240000</v>
      </c>
      <c r="Q232" s="201"/>
      <c r="R232" s="201"/>
      <c r="S232" s="201"/>
      <c r="T232" s="201"/>
      <c r="U232" s="201"/>
      <c r="V232" s="32"/>
      <c r="W232" s="32"/>
      <c r="X232" s="32"/>
      <c r="Y232" s="32"/>
      <c r="Z232" s="32"/>
      <c r="AA232" s="32"/>
      <c r="AB232" s="32"/>
    </row>
    <row r="233" spans="1:28" ht="16" hidden="1">
      <c r="A233" s="214">
        <v>164</v>
      </c>
      <c r="B233" s="215" t="s">
        <v>2503</v>
      </c>
      <c r="C233" s="215" t="s">
        <v>43</v>
      </c>
      <c r="D233" s="216">
        <v>46109</v>
      </c>
      <c r="E233" s="109" t="str">
        <f>VLOOKUP($C233,xe!$A:$B,2,0)</f>
        <v>50H-87055</v>
      </c>
      <c r="F233" s="217" t="str">
        <f>VLOOKUP($B233,ma!$A:$B,2,0)</f>
        <v>NDFC - NAIC BẾN LỨC</v>
      </c>
      <c r="G233" s="218"/>
      <c r="H233" s="218"/>
      <c r="I233" s="219">
        <v>100000</v>
      </c>
      <c r="J233" s="218" t="s">
        <v>1427</v>
      </c>
      <c r="K233" s="219"/>
      <c r="L233" s="218"/>
      <c r="M233" s="231">
        <v>1</v>
      </c>
      <c r="N233" s="221">
        <f>VLOOKUP($B233,ma!$A:$C,3,0)</f>
        <v>2400000</v>
      </c>
      <c r="O233" s="221">
        <f t="shared" si="0"/>
        <v>2400000</v>
      </c>
      <c r="P233" s="221">
        <f t="shared" si="4"/>
        <v>240000</v>
      </c>
      <c r="Q233" s="201"/>
      <c r="R233" s="201"/>
      <c r="S233" s="201"/>
      <c r="T233" s="201"/>
      <c r="U233" s="201"/>
      <c r="V233" s="32"/>
      <c r="W233" s="32"/>
      <c r="X233" s="32"/>
      <c r="Y233" s="32"/>
      <c r="Z233" s="32"/>
      <c r="AA233" s="32"/>
      <c r="AB233" s="32"/>
    </row>
    <row r="234" spans="1:28" ht="16" hidden="1">
      <c r="A234" s="214">
        <v>164</v>
      </c>
      <c r="B234" s="215" t="s">
        <v>2509</v>
      </c>
      <c r="C234" s="215" t="s">
        <v>43</v>
      </c>
      <c r="D234" s="216">
        <v>46109</v>
      </c>
      <c r="E234" s="109" t="str">
        <f>VLOOKUP($C234,xe!$A:$B,2,0)</f>
        <v>50H-87055</v>
      </c>
      <c r="F234" s="217" t="str">
        <f>VLOOKUP($B234,ma!$A:$B,2,0)</f>
        <v>NAIC -UNI</v>
      </c>
      <c r="G234" s="218"/>
      <c r="H234" s="218"/>
      <c r="I234" s="219">
        <v>100000</v>
      </c>
      <c r="J234" s="218" t="s">
        <v>1427</v>
      </c>
      <c r="K234" s="219"/>
      <c r="L234" s="218"/>
      <c r="M234" s="231">
        <v>1</v>
      </c>
      <c r="N234" s="221">
        <f>VLOOKUP($B234,ma!$A:$C,3,0)</f>
        <v>2400000</v>
      </c>
      <c r="O234" s="221">
        <f t="shared" si="0"/>
        <v>2400000</v>
      </c>
      <c r="P234" s="221">
        <f t="shared" si="4"/>
        <v>240000</v>
      </c>
      <c r="Q234" s="201"/>
      <c r="R234" s="201"/>
      <c r="S234" s="201"/>
      <c r="T234" s="201"/>
      <c r="U234" s="201"/>
      <c r="V234" s="32"/>
      <c r="W234" s="32"/>
      <c r="X234" s="32"/>
      <c r="Y234" s="32"/>
      <c r="Z234" s="32"/>
      <c r="AA234" s="32"/>
      <c r="AB234" s="32"/>
    </row>
    <row r="235" spans="1:28" ht="16" hidden="1">
      <c r="A235" s="214">
        <v>164</v>
      </c>
      <c r="B235" s="215" t="s">
        <v>2530</v>
      </c>
      <c r="C235" s="215" t="s">
        <v>2523</v>
      </c>
      <c r="D235" s="216">
        <v>46109</v>
      </c>
      <c r="E235" s="109" t="str">
        <f>VLOOKUP($C235,xe!$A:$B,2,0)</f>
        <v>50E-757,74</v>
      </c>
      <c r="F235" s="217" t="str">
        <f>VLOOKUP($B235,ma!$A:$B,2,0)</f>
        <v>QUẬN 9 XÁ</v>
      </c>
      <c r="G235" s="218"/>
      <c r="H235" s="218"/>
      <c r="I235" s="219">
        <v>200000</v>
      </c>
      <c r="J235" s="218"/>
      <c r="K235" s="219"/>
      <c r="L235" s="218"/>
      <c r="M235" s="231">
        <v>12</v>
      </c>
      <c r="N235" s="221">
        <f>VLOOKUP($B235,ma!$A:$C,3,0)</f>
        <v>200000</v>
      </c>
      <c r="O235" s="221">
        <f t="shared" si="0"/>
        <v>2400000</v>
      </c>
      <c r="P235" s="221">
        <f t="shared" si="4"/>
        <v>240000</v>
      </c>
      <c r="Q235" s="201"/>
      <c r="R235" s="201"/>
      <c r="S235" s="201"/>
      <c r="T235" s="201"/>
      <c r="U235" s="201"/>
      <c r="V235" s="32"/>
      <c r="W235" s="32"/>
      <c r="X235" s="32"/>
      <c r="Y235" s="32"/>
      <c r="Z235" s="32"/>
      <c r="AA235" s="32"/>
      <c r="AB235" s="32"/>
    </row>
    <row r="236" spans="1:28" ht="16" hidden="1">
      <c r="A236" s="214">
        <v>164</v>
      </c>
      <c r="B236" s="215" t="s">
        <v>2503</v>
      </c>
      <c r="C236" s="215" t="s">
        <v>2523</v>
      </c>
      <c r="D236" s="216">
        <v>46109</v>
      </c>
      <c r="E236" s="109" t="str">
        <f>VLOOKUP($C236,xe!$A:$B,2,0)</f>
        <v>50E-757,74</v>
      </c>
      <c r="F236" s="217" t="str">
        <f>VLOOKUP($B236,ma!$A:$B,2,0)</f>
        <v>NDFC - NAIC BẾN LỨC</v>
      </c>
      <c r="G236" s="218"/>
      <c r="H236" s="218"/>
      <c r="I236" s="219">
        <v>100000</v>
      </c>
      <c r="J236" s="218"/>
      <c r="K236" s="219"/>
      <c r="L236" s="218"/>
      <c r="M236" s="231">
        <v>1</v>
      </c>
      <c r="N236" s="221">
        <f>VLOOKUP($B236,ma!$A:$C,3,0)</f>
        <v>2400000</v>
      </c>
      <c r="O236" s="221">
        <f t="shared" si="0"/>
        <v>2400000</v>
      </c>
      <c r="P236" s="221">
        <f t="shared" si="4"/>
        <v>240000</v>
      </c>
      <c r="Q236" s="201"/>
      <c r="R236" s="201"/>
      <c r="S236" s="201"/>
      <c r="T236" s="201"/>
      <c r="U236" s="201"/>
      <c r="V236" s="32"/>
      <c r="W236" s="32"/>
      <c r="X236" s="32"/>
      <c r="Y236" s="32"/>
      <c r="Z236" s="32"/>
      <c r="AA236" s="32"/>
      <c r="AB236" s="32"/>
    </row>
    <row r="237" spans="1:28" ht="16" hidden="1">
      <c r="A237" s="214">
        <v>164</v>
      </c>
      <c r="B237" s="215" t="s">
        <v>2509</v>
      </c>
      <c r="C237" s="215" t="s">
        <v>2523</v>
      </c>
      <c r="D237" s="216">
        <v>46109</v>
      </c>
      <c r="E237" s="109" t="str">
        <f>VLOOKUP($C237,xe!$A:$B,2,0)</f>
        <v>50E-757,74</v>
      </c>
      <c r="F237" s="217" t="str">
        <f>VLOOKUP($B237,ma!$A:$B,2,0)</f>
        <v>NAIC -UNI</v>
      </c>
      <c r="G237" s="218"/>
      <c r="H237" s="218"/>
      <c r="I237" s="219">
        <v>100000</v>
      </c>
      <c r="J237" s="218"/>
      <c r="K237" s="219"/>
      <c r="L237" s="218"/>
      <c r="M237" s="231">
        <v>1</v>
      </c>
      <c r="N237" s="221">
        <f>VLOOKUP($B237,ma!$A:$C,3,0)</f>
        <v>2400000</v>
      </c>
      <c r="O237" s="221">
        <f t="shared" si="0"/>
        <v>2400000</v>
      </c>
      <c r="P237" s="221">
        <f t="shared" si="4"/>
        <v>240000</v>
      </c>
      <c r="Q237" s="201"/>
      <c r="R237" s="201"/>
      <c r="S237" s="201"/>
      <c r="T237" s="201"/>
      <c r="U237" s="201"/>
      <c r="V237" s="32"/>
      <c r="W237" s="32"/>
      <c r="X237" s="32"/>
      <c r="Y237" s="32"/>
      <c r="Z237" s="32"/>
      <c r="AA237" s="32"/>
      <c r="AB237" s="32"/>
    </row>
    <row r="238" spans="1:28" ht="16" hidden="1">
      <c r="A238" s="214">
        <v>164</v>
      </c>
      <c r="B238" s="215" t="s">
        <v>2504</v>
      </c>
      <c r="C238" s="215" t="s">
        <v>2542</v>
      </c>
      <c r="D238" s="216">
        <v>46111</v>
      </c>
      <c r="E238" s="133" t="str">
        <f>VLOOKUP($C238,xe!$A:$B,2,0)</f>
        <v>50E-648.73</v>
      </c>
      <c r="F238" s="217" t="str">
        <f>VLOOKUP($B238,ma!$A:$B,2,0)</f>
        <v>QUẬN 8 PALLET</v>
      </c>
      <c r="G238" s="218"/>
      <c r="H238" s="218"/>
      <c r="I238" s="219">
        <v>150000</v>
      </c>
      <c r="J238" s="218"/>
      <c r="K238" s="219"/>
      <c r="L238" s="218"/>
      <c r="M238" s="230">
        <v>11.85</v>
      </c>
      <c r="N238" s="221">
        <f>VLOOKUP($B238,ma!$A:$C,3,0)</f>
        <v>200000</v>
      </c>
      <c r="O238" s="221">
        <f t="shared" si="0"/>
        <v>2370000</v>
      </c>
      <c r="P238" s="221">
        <f t="shared" si="4"/>
        <v>237000</v>
      </c>
      <c r="Q238" s="201"/>
      <c r="R238" s="201"/>
      <c r="S238" s="201"/>
      <c r="T238" s="201"/>
      <c r="U238" s="201"/>
      <c r="V238" s="32"/>
      <c r="W238" s="32"/>
      <c r="X238" s="32"/>
      <c r="Y238" s="32"/>
      <c r="Z238" s="32"/>
      <c r="AA238" s="32"/>
      <c r="AB238" s="32"/>
    </row>
    <row r="239" spans="1:28" ht="16" hidden="1">
      <c r="A239" s="214">
        <v>164</v>
      </c>
      <c r="B239" s="215" t="s">
        <v>2520</v>
      </c>
      <c r="C239" s="215" t="s">
        <v>39</v>
      </c>
      <c r="D239" s="216">
        <v>46111</v>
      </c>
      <c r="E239" s="109" t="str">
        <f>VLOOKUP($C239,xe!$A:$B,2,0)</f>
        <v>50E-654.34</v>
      </c>
      <c r="F239" s="217" t="str">
        <f>VLOOKUP($B239,ma!$A:$B,2,0)</f>
        <v>GIA HOÀNG TIỀN GIANG XÁ</v>
      </c>
      <c r="G239" s="218"/>
      <c r="H239" s="218"/>
      <c r="I239" s="219">
        <v>200000</v>
      </c>
      <c r="J239" s="218" t="s">
        <v>1427</v>
      </c>
      <c r="K239" s="219"/>
      <c r="L239" s="218"/>
      <c r="M239" s="230">
        <v>15.64</v>
      </c>
      <c r="N239" s="221">
        <f>VLOOKUP($B239,ma!$A:$C,3,0)</f>
        <v>230000</v>
      </c>
      <c r="O239" s="221">
        <f t="shared" si="0"/>
        <v>3597200</v>
      </c>
      <c r="P239" s="221">
        <f t="shared" si="4"/>
        <v>359720</v>
      </c>
      <c r="Q239" s="201"/>
      <c r="R239" s="201"/>
      <c r="S239" s="201"/>
      <c r="T239" s="201"/>
      <c r="U239" s="201"/>
      <c r="V239" s="32"/>
      <c r="W239" s="32"/>
      <c r="X239" s="32"/>
      <c r="Y239" s="32"/>
      <c r="Z239" s="32"/>
      <c r="AA239" s="32"/>
      <c r="AB239" s="32"/>
    </row>
    <row r="240" spans="1:28" ht="16" hidden="1">
      <c r="A240" s="214">
        <v>164</v>
      </c>
      <c r="B240" s="215" t="s">
        <v>2513</v>
      </c>
      <c r="C240" s="215" t="s">
        <v>41</v>
      </c>
      <c r="D240" s="216">
        <v>46111</v>
      </c>
      <c r="E240" s="109" t="str">
        <f>VLOOKUP($C240,xe!$A:$B,2,0)</f>
        <v>50E-324,01</v>
      </c>
      <c r="F240" s="217" t="str">
        <f>VLOOKUP($B240,ma!$A:$B,2,0)</f>
        <v>PHẠM ANH QUẬN 6 PALLET</v>
      </c>
      <c r="G240" s="218"/>
      <c r="H240" s="218"/>
      <c r="I240" s="219">
        <v>100000</v>
      </c>
      <c r="J240" s="218"/>
      <c r="K240" s="219"/>
      <c r="L240" s="218"/>
      <c r="M240" s="231">
        <v>12</v>
      </c>
      <c r="N240" s="221">
        <f>VLOOKUP($B240,ma!$A:$C,3,0)</f>
        <v>200000</v>
      </c>
      <c r="O240" s="221">
        <f t="shared" si="0"/>
        <v>2400000</v>
      </c>
      <c r="P240" s="221">
        <f t="shared" si="4"/>
        <v>240000</v>
      </c>
      <c r="Q240" s="201"/>
      <c r="R240" s="201"/>
      <c r="S240" s="201"/>
      <c r="T240" s="201"/>
      <c r="U240" s="201"/>
      <c r="V240" s="32"/>
      <c r="W240" s="32"/>
      <c r="X240" s="32"/>
      <c r="Y240" s="32"/>
      <c r="Z240" s="32"/>
      <c r="AA240" s="32"/>
      <c r="AB240" s="32"/>
    </row>
    <row r="241" spans="1:28" ht="16" hidden="1">
      <c r="A241" s="214">
        <v>164</v>
      </c>
      <c r="B241" s="215" t="s">
        <v>2506</v>
      </c>
      <c r="C241" s="215" t="s">
        <v>41</v>
      </c>
      <c r="D241" s="216">
        <v>46111</v>
      </c>
      <c r="E241" s="109" t="str">
        <f>VLOOKUP($C241,xe!$A:$B,2,0)</f>
        <v>50E-324,01</v>
      </c>
      <c r="F241" s="217" t="str">
        <f>VLOOKUP($B241,ma!$A:$B,2,0)</f>
        <v>TUẤN LỘC Q7 PALLET</v>
      </c>
      <c r="G241" s="218"/>
      <c r="H241" s="218"/>
      <c r="I241" s="219">
        <v>50000</v>
      </c>
      <c r="J241" s="218"/>
      <c r="K241" s="219"/>
      <c r="L241" s="218"/>
      <c r="M241" s="231">
        <v>12</v>
      </c>
      <c r="N241" s="221">
        <f>VLOOKUP($B241,ma!$A:$C,3,0)</f>
        <v>200000</v>
      </c>
      <c r="O241" s="221">
        <f t="shared" si="0"/>
        <v>2400000</v>
      </c>
      <c r="P241" s="221">
        <f t="shared" si="4"/>
        <v>240000</v>
      </c>
      <c r="Q241" s="201"/>
      <c r="R241" s="201"/>
      <c r="S241" s="201"/>
      <c r="T241" s="201"/>
      <c r="U241" s="201"/>
      <c r="V241" s="32"/>
      <c r="W241" s="32"/>
      <c r="X241" s="32"/>
      <c r="Y241" s="32"/>
      <c r="Z241" s="32"/>
      <c r="AA241" s="32"/>
      <c r="AB241" s="32"/>
    </row>
    <row r="242" spans="1:28" ht="16" hidden="1">
      <c r="A242" s="214">
        <v>164</v>
      </c>
      <c r="B242" s="215" t="s">
        <v>2504</v>
      </c>
      <c r="C242" s="215" t="s">
        <v>43</v>
      </c>
      <c r="D242" s="216">
        <v>46111</v>
      </c>
      <c r="E242" s="109" t="str">
        <f>VLOOKUP($C242,xe!$A:$B,2,0)</f>
        <v>50H-87055</v>
      </c>
      <c r="F242" s="217" t="str">
        <f>VLOOKUP($B242,ma!$A:$B,2,0)</f>
        <v>QUẬN 8 PALLET</v>
      </c>
      <c r="G242" s="218"/>
      <c r="H242" s="218"/>
      <c r="I242" s="219">
        <v>100000</v>
      </c>
      <c r="J242" s="218"/>
      <c r="K242" s="219"/>
      <c r="L242" s="218"/>
      <c r="M242" s="231">
        <v>12</v>
      </c>
      <c r="N242" s="221">
        <f>VLOOKUP($B242,ma!$A:$C,3,0)</f>
        <v>200000</v>
      </c>
      <c r="O242" s="221">
        <f t="shared" si="0"/>
        <v>2400000</v>
      </c>
      <c r="P242" s="221">
        <f t="shared" si="4"/>
        <v>240000</v>
      </c>
      <c r="Q242" s="201"/>
      <c r="R242" s="201"/>
      <c r="S242" s="201"/>
      <c r="T242" s="201"/>
      <c r="U242" s="201"/>
      <c r="V242" s="32"/>
      <c r="W242" s="32"/>
      <c r="X242" s="32"/>
      <c r="Y242" s="32"/>
      <c r="Z242" s="32"/>
      <c r="AA242" s="32"/>
      <c r="AB242" s="32"/>
    </row>
    <row r="243" spans="1:28" ht="16" hidden="1">
      <c r="A243" s="214">
        <v>164</v>
      </c>
      <c r="B243" s="215" t="s">
        <v>2509</v>
      </c>
      <c r="C243" s="215" t="s">
        <v>43</v>
      </c>
      <c r="D243" s="216">
        <v>46111</v>
      </c>
      <c r="E243" s="109" t="str">
        <f>VLOOKUP($C243,xe!$A:$B,2,0)</f>
        <v>50H-87055</v>
      </c>
      <c r="F243" s="217" t="str">
        <f>VLOOKUP($B243,ma!$A:$B,2,0)</f>
        <v>NAIC -UNI</v>
      </c>
      <c r="G243" s="218"/>
      <c r="H243" s="218"/>
      <c r="I243" s="219">
        <v>100000</v>
      </c>
      <c r="J243" s="218"/>
      <c r="K243" s="219">
        <v>20000</v>
      </c>
      <c r="L243" s="218" t="s">
        <v>2543</v>
      </c>
      <c r="M243" s="231">
        <v>1</v>
      </c>
      <c r="N243" s="221">
        <f>VLOOKUP($B243,ma!$A:$C,3,0)</f>
        <v>2400000</v>
      </c>
      <c r="O243" s="221">
        <f t="shared" si="0"/>
        <v>2400000</v>
      </c>
      <c r="P243" s="221">
        <f t="shared" si="4"/>
        <v>240000</v>
      </c>
      <c r="Q243" s="201"/>
      <c r="R243" s="201"/>
      <c r="S243" s="201"/>
      <c r="T243" s="201"/>
      <c r="U243" s="201"/>
      <c r="V243" s="32"/>
      <c r="W243" s="32"/>
      <c r="X243" s="32"/>
      <c r="Y243" s="32"/>
      <c r="Z243" s="32"/>
      <c r="AA243" s="32"/>
      <c r="AB243" s="32"/>
    </row>
    <row r="244" spans="1:28" ht="16" hidden="1">
      <c r="A244" s="214">
        <v>164</v>
      </c>
      <c r="B244" s="215" t="s">
        <v>2533</v>
      </c>
      <c r="C244" s="215" t="s">
        <v>2523</v>
      </c>
      <c r="D244" s="216">
        <v>46111</v>
      </c>
      <c r="E244" s="109" t="str">
        <f>VLOOKUP($C244,xe!$A:$B,2,0)</f>
        <v>50E-757,74</v>
      </c>
      <c r="F244" s="217" t="str">
        <f>VLOOKUP($B244,ma!$A:$B,2,0)</f>
        <v>TUẤN LỘC Q7 XÁ</v>
      </c>
      <c r="G244" s="218"/>
      <c r="H244" s="218"/>
      <c r="I244" s="219">
        <v>100000</v>
      </c>
      <c r="J244" s="218"/>
      <c r="K244" s="219"/>
      <c r="L244" s="218"/>
      <c r="M244" s="231">
        <v>12</v>
      </c>
      <c r="N244" s="221">
        <f>VLOOKUP($B244,ma!$A:$C,3,0)</f>
        <v>200000</v>
      </c>
      <c r="O244" s="221">
        <f t="shared" si="0"/>
        <v>2400000</v>
      </c>
      <c r="P244" s="221">
        <f t="shared" si="4"/>
        <v>240000</v>
      </c>
      <c r="Q244" s="201"/>
      <c r="R244" s="201"/>
      <c r="S244" s="201"/>
      <c r="T244" s="201"/>
      <c r="U244" s="201"/>
      <c r="V244" s="32"/>
      <c r="W244" s="32"/>
      <c r="X244" s="32"/>
      <c r="Y244" s="32"/>
      <c r="Z244" s="32"/>
      <c r="AA244" s="32"/>
      <c r="AB244" s="32"/>
    </row>
    <row r="245" spans="1:28" ht="16" hidden="1">
      <c r="A245" s="214">
        <v>164</v>
      </c>
      <c r="B245" s="215" t="s">
        <v>210</v>
      </c>
      <c r="C245" s="215" t="s">
        <v>2542</v>
      </c>
      <c r="D245" s="216">
        <v>46112</v>
      </c>
      <c r="E245" s="133" t="str">
        <f>VLOOKUP($C245,xe!$A:$B,2,0)</f>
        <v>50E-648.73</v>
      </c>
      <c r="F245" s="217" t="str">
        <f>VLOOKUP($B245,ma!$A:$B,2,0)</f>
        <v>NDFC - NAIC BẾN LỨC</v>
      </c>
      <c r="G245" s="218"/>
      <c r="H245" s="218"/>
      <c r="I245" s="219">
        <v>100000</v>
      </c>
      <c r="J245" s="218"/>
      <c r="K245" s="219"/>
      <c r="L245" s="218"/>
      <c r="M245" s="231">
        <v>1</v>
      </c>
      <c r="N245" s="221">
        <f>VLOOKUP($B245,ma!$A:$C,3,0)</f>
        <v>2400000</v>
      </c>
      <c r="O245" s="221">
        <f t="shared" si="0"/>
        <v>2400000</v>
      </c>
      <c r="P245" s="221">
        <f t="shared" si="4"/>
        <v>240000</v>
      </c>
      <c r="Q245" s="201"/>
      <c r="R245" s="201"/>
      <c r="S245" s="201"/>
      <c r="T245" s="201"/>
      <c r="U245" s="201"/>
      <c r="V245" s="32"/>
      <c r="W245" s="32"/>
      <c r="X245" s="32"/>
      <c r="Y245" s="32"/>
      <c r="Z245" s="32"/>
      <c r="AA245" s="32"/>
      <c r="AB245" s="32"/>
    </row>
    <row r="246" spans="1:28" ht="16" hidden="1">
      <c r="A246" s="214">
        <v>164</v>
      </c>
      <c r="B246" s="215" t="s">
        <v>212</v>
      </c>
      <c r="C246" s="215" t="s">
        <v>2542</v>
      </c>
      <c r="D246" s="216">
        <v>46112</v>
      </c>
      <c r="E246" s="133" t="str">
        <f>VLOOKUP($C246,xe!$A:$B,2,0)</f>
        <v>50E-648.73</v>
      </c>
      <c r="F246" s="217" t="str">
        <f>VLOOKUP($B246,ma!$A:$B,2,0)</f>
        <v>NAIC -UNI</v>
      </c>
      <c r="G246" s="218"/>
      <c r="H246" s="218"/>
      <c r="I246" s="219">
        <v>100000</v>
      </c>
      <c r="J246" s="218"/>
      <c r="K246" s="219"/>
      <c r="L246" s="218"/>
      <c r="M246" s="231">
        <v>1</v>
      </c>
      <c r="N246" s="221">
        <f>VLOOKUP($B246,ma!$A:$C,3,0)</f>
        <v>2400000</v>
      </c>
      <c r="O246" s="221">
        <f t="shared" si="0"/>
        <v>2400000</v>
      </c>
      <c r="P246" s="221">
        <f t="shared" si="4"/>
        <v>240000</v>
      </c>
      <c r="Q246" s="201"/>
      <c r="R246" s="201"/>
      <c r="S246" s="201"/>
      <c r="T246" s="201"/>
      <c r="U246" s="201"/>
      <c r="V246" s="32"/>
      <c r="W246" s="32"/>
      <c r="X246" s="32"/>
      <c r="Y246" s="32"/>
      <c r="Z246" s="32"/>
      <c r="AA246" s="32"/>
      <c r="AB246" s="32"/>
    </row>
    <row r="247" spans="1:28" ht="16" hidden="1">
      <c r="A247" s="214">
        <v>164</v>
      </c>
      <c r="B247" s="215" t="s">
        <v>124</v>
      </c>
      <c r="C247" s="215" t="s">
        <v>39</v>
      </c>
      <c r="D247" s="216">
        <v>46112</v>
      </c>
      <c r="E247" s="109" t="str">
        <f>VLOOKUP($C247,xe!$A:$B,2,0)</f>
        <v>50E-654.34</v>
      </c>
      <c r="F247" s="217" t="str">
        <f>VLOOKUP($B247,ma!$A:$B,2,0)</f>
        <v>PHẠM ANH QUẬN 6 PALLET</v>
      </c>
      <c r="G247" s="218"/>
      <c r="H247" s="218"/>
      <c r="I247" s="219">
        <v>200000</v>
      </c>
      <c r="J247" s="218" t="s">
        <v>1427</v>
      </c>
      <c r="K247" s="219"/>
      <c r="L247" s="218"/>
      <c r="M247" s="230">
        <v>12.58</v>
      </c>
      <c r="N247" s="221">
        <f>VLOOKUP($B247,ma!$A:$C,3,0)</f>
        <v>200000</v>
      </c>
      <c r="O247" s="221">
        <f t="shared" si="0"/>
        <v>2516000</v>
      </c>
      <c r="P247" s="221">
        <f t="shared" si="4"/>
        <v>251600</v>
      </c>
      <c r="Q247" s="201"/>
      <c r="R247" s="201"/>
      <c r="S247" s="201"/>
      <c r="T247" s="201"/>
      <c r="U247" s="201"/>
      <c r="V247" s="32"/>
      <c r="W247" s="32"/>
      <c r="X247" s="32"/>
      <c r="Y247" s="32"/>
      <c r="Z247" s="32"/>
      <c r="AA247" s="32"/>
      <c r="AB247" s="32"/>
    </row>
    <row r="248" spans="1:28" ht="16" hidden="1">
      <c r="A248" s="214">
        <v>164</v>
      </c>
      <c r="B248" s="215" t="s">
        <v>156</v>
      </c>
      <c r="C248" s="215" t="s">
        <v>39</v>
      </c>
      <c r="D248" s="216">
        <v>46112</v>
      </c>
      <c r="E248" s="109" t="str">
        <f>VLOOKUP($C248,xe!$A:$B,2,0)</f>
        <v>50E-654.34</v>
      </c>
      <c r="F248" s="217" t="str">
        <f>VLOOKUP($B248,ma!$A:$B,2,0)</f>
        <v>TUẤN LỘC Q7 PALLET</v>
      </c>
      <c r="G248" s="218"/>
      <c r="H248" s="218"/>
      <c r="I248" s="219">
        <v>100000</v>
      </c>
      <c r="J248" s="218" t="s">
        <v>1427</v>
      </c>
      <c r="K248" s="219"/>
      <c r="L248" s="218"/>
      <c r="M248" s="230">
        <v>12</v>
      </c>
      <c r="N248" s="221">
        <f>VLOOKUP($B248,ma!$A:$C,3,0)</f>
        <v>200000</v>
      </c>
      <c r="O248" s="221">
        <f t="shared" si="0"/>
        <v>2400000</v>
      </c>
      <c r="P248" s="221">
        <f t="shared" si="4"/>
        <v>240000</v>
      </c>
      <c r="Q248" s="201"/>
      <c r="R248" s="201"/>
      <c r="S248" s="201"/>
      <c r="T248" s="201"/>
      <c r="U248" s="201"/>
      <c r="V248" s="32"/>
      <c r="W248" s="32"/>
      <c r="X248" s="32"/>
      <c r="Y248" s="32"/>
      <c r="Z248" s="32"/>
      <c r="AA248" s="32"/>
      <c r="AB248" s="32"/>
    </row>
    <row r="249" spans="1:28" ht="16" hidden="1">
      <c r="A249" s="214">
        <v>164</v>
      </c>
      <c r="B249" s="215" t="s">
        <v>126</v>
      </c>
      <c r="C249" s="215" t="s">
        <v>41</v>
      </c>
      <c r="D249" s="216">
        <v>46112</v>
      </c>
      <c r="E249" s="109" t="str">
        <f>VLOOKUP($C249,xe!$A:$B,2,0)</f>
        <v>50E-324,01</v>
      </c>
      <c r="F249" s="217" t="str">
        <f>VLOOKUP($B249,ma!$A:$B,2,0)</f>
        <v>QUẬN 8 XÁ</v>
      </c>
      <c r="G249" s="218"/>
      <c r="H249" s="218"/>
      <c r="I249" s="219">
        <v>200000</v>
      </c>
      <c r="J249" s="218"/>
      <c r="K249" s="219"/>
      <c r="L249" s="218"/>
      <c r="M249" s="231">
        <v>12</v>
      </c>
      <c r="N249" s="221">
        <f>VLOOKUP($B249,ma!$A:$C,3,0)</f>
        <v>200000</v>
      </c>
      <c r="O249" s="221">
        <f t="shared" si="0"/>
        <v>2400000</v>
      </c>
      <c r="P249" s="221">
        <f t="shared" si="4"/>
        <v>240000</v>
      </c>
      <c r="Q249" s="201"/>
      <c r="R249" s="201"/>
      <c r="S249" s="201"/>
      <c r="T249" s="201"/>
      <c r="U249" s="201"/>
      <c r="V249" s="32"/>
      <c r="W249" s="32"/>
      <c r="X249" s="32"/>
      <c r="Y249" s="32"/>
      <c r="Z249" s="32"/>
      <c r="AA249" s="32"/>
      <c r="AB249" s="32"/>
    </row>
    <row r="250" spans="1:28" ht="16" hidden="1">
      <c r="A250" s="214">
        <v>164</v>
      </c>
      <c r="B250" s="215" t="s">
        <v>156</v>
      </c>
      <c r="C250" s="215" t="s">
        <v>43</v>
      </c>
      <c r="D250" s="216">
        <v>46112</v>
      </c>
      <c r="E250" s="109" t="str">
        <f>VLOOKUP($C250,xe!$A:$B,2,0)</f>
        <v>50H-87055</v>
      </c>
      <c r="F250" s="217" t="str">
        <f>VLOOKUP($B250,ma!$A:$B,2,0)</f>
        <v>TUẤN LỘC Q7 PALLET</v>
      </c>
      <c r="G250" s="218"/>
      <c r="H250" s="218"/>
      <c r="I250" s="219">
        <v>100000</v>
      </c>
      <c r="J250" s="218"/>
      <c r="K250" s="219">
        <v>50000</v>
      </c>
      <c r="L250" s="218" t="s">
        <v>2508</v>
      </c>
      <c r="M250" s="231">
        <v>12</v>
      </c>
      <c r="N250" s="221">
        <f>VLOOKUP($B250,ma!$A:$C,3,0)</f>
        <v>200000</v>
      </c>
      <c r="O250" s="221">
        <f t="shared" si="0"/>
        <v>2400000</v>
      </c>
      <c r="P250" s="221">
        <f t="shared" si="4"/>
        <v>240000</v>
      </c>
      <c r="Q250" s="201"/>
      <c r="R250" s="201"/>
      <c r="S250" s="201"/>
      <c r="T250" s="201"/>
      <c r="U250" s="201"/>
      <c r="V250" s="32"/>
      <c r="W250" s="32"/>
      <c r="X250" s="32"/>
      <c r="Y250" s="32"/>
      <c r="Z250" s="32"/>
      <c r="AA250" s="32"/>
      <c r="AB250" s="32"/>
    </row>
    <row r="251" spans="1:28" ht="16" hidden="1">
      <c r="A251" s="214">
        <v>164</v>
      </c>
      <c r="B251" s="215" t="s">
        <v>156</v>
      </c>
      <c r="C251" s="215" t="s">
        <v>43</v>
      </c>
      <c r="D251" s="216">
        <v>46112</v>
      </c>
      <c r="E251" s="109" t="str">
        <f>VLOOKUP($C251,xe!$A:$B,2,0)</f>
        <v>50H-87055</v>
      </c>
      <c r="F251" s="217" t="str">
        <f>VLOOKUP($B251,ma!$A:$B,2,0)</f>
        <v>TUẤN LỘC Q7 PALLET</v>
      </c>
      <c r="G251" s="218"/>
      <c r="H251" s="218"/>
      <c r="I251" s="219">
        <v>100000</v>
      </c>
      <c r="J251" s="218"/>
      <c r="K251" s="219"/>
      <c r="L251" s="218"/>
      <c r="M251" s="231">
        <v>12</v>
      </c>
      <c r="N251" s="221">
        <f>VLOOKUP($B251,ma!$A:$C,3,0)</f>
        <v>200000</v>
      </c>
      <c r="O251" s="221">
        <f t="shared" si="0"/>
        <v>2400000</v>
      </c>
      <c r="P251" s="221">
        <f t="shared" si="4"/>
        <v>240000</v>
      </c>
      <c r="Q251" s="201"/>
      <c r="R251" s="201"/>
      <c r="S251" s="201"/>
      <c r="T251" s="201"/>
      <c r="U251" s="201"/>
      <c r="V251" s="32"/>
      <c r="W251" s="32"/>
      <c r="X251" s="32"/>
      <c r="Y251" s="32"/>
      <c r="Z251" s="32"/>
      <c r="AA251" s="32"/>
      <c r="AB251" s="32"/>
    </row>
    <row r="252" spans="1:28" ht="16" hidden="1">
      <c r="A252" s="214">
        <v>164</v>
      </c>
      <c r="B252" s="215" t="s">
        <v>210</v>
      </c>
      <c r="C252" s="215" t="s">
        <v>2523</v>
      </c>
      <c r="D252" s="216">
        <v>46112</v>
      </c>
      <c r="E252" s="109" t="str">
        <f>VLOOKUP($C252,xe!$A:$B,2,0)</f>
        <v>50E-757,74</v>
      </c>
      <c r="F252" s="217" t="str">
        <f>VLOOKUP($B252,ma!$A:$B,2,0)</f>
        <v>NDFC - NAIC BẾN LỨC</v>
      </c>
      <c r="G252" s="218"/>
      <c r="H252" s="218"/>
      <c r="I252" s="219">
        <v>100000</v>
      </c>
      <c r="J252" s="218"/>
      <c r="K252" s="219">
        <v>65000</v>
      </c>
      <c r="L252" s="218" t="s">
        <v>2544</v>
      </c>
      <c r="M252" s="231">
        <v>1</v>
      </c>
      <c r="N252" s="221">
        <f>VLOOKUP($B252,ma!$A:$C,3,0)</f>
        <v>2400000</v>
      </c>
      <c r="O252" s="221">
        <f t="shared" si="0"/>
        <v>2400000</v>
      </c>
      <c r="P252" s="221">
        <f t="shared" si="4"/>
        <v>240000</v>
      </c>
      <c r="Q252" s="201"/>
      <c r="R252" s="201"/>
      <c r="S252" s="201"/>
      <c r="T252" s="201"/>
      <c r="U252" s="201"/>
      <c r="V252" s="32"/>
      <c r="W252" s="32"/>
      <c r="X252" s="32"/>
      <c r="Y252" s="32"/>
      <c r="Z252" s="32"/>
      <c r="AA252" s="32"/>
      <c r="AB252" s="32"/>
    </row>
    <row r="253" spans="1:28" ht="16" hidden="1">
      <c r="A253" s="214">
        <v>164</v>
      </c>
      <c r="B253" s="215" t="s">
        <v>2503</v>
      </c>
      <c r="C253" s="215" t="s">
        <v>2523</v>
      </c>
      <c r="D253" s="216">
        <v>46112</v>
      </c>
      <c r="E253" s="109" t="str">
        <f>VLOOKUP($C253,xe!$A:$B,2,0)</f>
        <v>50E-757,74</v>
      </c>
      <c r="F253" s="217" t="str">
        <f>VLOOKUP($B253,ma!$A:$B,2,0)</f>
        <v>NDFC - NAIC BẾN LỨC</v>
      </c>
      <c r="G253" s="218"/>
      <c r="H253" s="218"/>
      <c r="I253" s="219">
        <v>100000</v>
      </c>
      <c r="J253" s="218"/>
      <c r="K253" s="219"/>
      <c r="L253" s="218"/>
      <c r="M253" s="231">
        <v>1</v>
      </c>
      <c r="N253" s="221">
        <f>VLOOKUP($B253,ma!$A:$C,3,0)</f>
        <v>2400000</v>
      </c>
      <c r="O253" s="221">
        <f t="shared" si="0"/>
        <v>2400000</v>
      </c>
      <c r="P253" s="221">
        <f t="shared" si="4"/>
        <v>240000</v>
      </c>
      <c r="Q253" s="201"/>
      <c r="R253" s="201"/>
      <c r="S253" s="201"/>
      <c r="T253" s="201"/>
      <c r="U253" s="201"/>
      <c r="V253" s="32"/>
      <c r="W253" s="32"/>
      <c r="X253" s="32"/>
      <c r="Y253" s="32"/>
      <c r="Z253" s="32"/>
      <c r="AA253" s="32"/>
      <c r="AB253" s="32"/>
    </row>
    <row r="254" spans="1:28" ht="16" hidden="1">
      <c r="A254" s="214">
        <v>164</v>
      </c>
      <c r="B254" s="215" t="s">
        <v>2509</v>
      </c>
      <c r="C254" s="215" t="s">
        <v>2523</v>
      </c>
      <c r="D254" s="216">
        <v>46112</v>
      </c>
      <c r="E254" s="109" t="str">
        <f>VLOOKUP($C254,xe!$A:$B,2,0)</f>
        <v>50E-757,74</v>
      </c>
      <c r="F254" s="217" t="str">
        <f>VLOOKUP($B254,ma!$A:$B,2,0)</f>
        <v>NAIC -UNI</v>
      </c>
      <c r="G254" s="218"/>
      <c r="H254" s="218"/>
      <c r="I254" s="219">
        <v>100000</v>
      </c>
      <c r="J254" s="218"/>
      <c r="K254" s="219">
        <v>200000</v>
      </c>
      <c r="L254" s="218" t="s">
        <v>1423</v>
      </c>
      <c r="M254" s="231">
        <v>1</v>
      </c>
      <c r="N254" s="221">
        <f>VLOOKUP($B254,ma!$A:$C,3,0)</f>
        <v>2400000</v>
      </c>
      <c r="O254" s="221">
        <f t="shared" si="0"/>
        <v>2400000</v>
      </c>
      <c r="P254" s="221">
        <f t="shared" si="4"/>
        <v>240000</v>
      </c>
      <c r="Q254" s="201"/>
      <c r="R254" s="201"/>
      <c r="S254" s="201"/>
      <c r="T254" s="201"/>
      <c r="U254" s="201"/>
      <c r="V254" s="32"/>
      <c r="W254" s="32"/>
      <c r="X254" s="32"/>
      <c r="Y254" s="32"/>
      <c r="Z254" s="32"/>
      <c r="AA254" s="32"/>
      <c r="AB254" s="32"/>
    </row>
    <row r="255" spans="1:28" ht="16" hidden="1">
      <c r="A255" s="214">
        <v>165</v>
      </c>
      <c r="B255" s="245"/>
      <c r="C255" s="245"/>
      <c r="D255" s="216"/>
      <c r="E255" s="109" t="e">
        <f>VLOOKUP($C255,xe!$A:$B,2,0)</f>
        <v>#N/A</v>
      </c>
      <c r="F255" s="217" t="e">
        <f>VLOOKUP($B255,ma!$A:$B,2,0)</f>
        <v>#N/A</v>
      </c>
      <c r="G255" s="246"/>
      <c r="H255" s="247"/>
      <c r="I255" s="248">
        <f>SUBTOTAL(9,I6:I254)</f>
        <v>500000</v>
      </c>
      <c r="J255" s="249"/>
      <c r="K255" s="248">
        <f>SUBTOTAL(9,K6:K254)</f>
        <v>600000</v>
      </c>
      <c r="L255" s="246"/>
      <c r="M255" s="248">
        <f>SUM(M6:M254)</f>
        <v>2072.2300000000005</v>
      </c>
      <c r="N255" s="250"/>
      <c r="O255" s="250">
        <f t="shared" ref="O255:P255" si="5">SUBTOTAL(9,O6:O254)</f>
        <v>14895000</v>
      </c>
      <c r="P255" s="250">
        <f t="shared" si="5"/>
        <v>1490000</v>
      </c>
      <c r="Q255" s="201"/>
      <c r="R255" s="201"/>
      <c r="S255" s="201"/>
      <c r="T255" s="201"/>
      <c r="U255" s="201"/>
      <c r="V255" s="32"/>
      <c r="W255" s="32"/>
      <c r="X255" s="32"/>
      <c r="Y255" s="32"/>
      <c r="Z255" s="32"/>
      <c r="AA255" s="32"/>
      <c r="AB255" s="32"/>
    </row>
    <row r="256" spans="1:28" ht="16">
      <c r="A256" s="198"/>
      <c r="B256" s="202"/>
      <c r="C256" s="202"/>
      <c r="D256" s="198"/>
      <c r="E256" s="198"/>
      <c r="F256" s="198"/>
      <c r="G256" s="251"/>
      <c r="H256" s="251"/>
      <c r="I256" s="251"/>
      <c r="J256" s="251"/>
      <c r="K256" s="205"/>
      <c r="L256" s="205"/>
      <c r="M256" s="205"/>
      <c r="N256" s="251"/>
      <c r="O256" s="205"/>
      <c r="P256" s="252"/>
      <c r="Q256" s="201"/>
      <c r="R256" s="201"/>
      <c r="S256" s="201"/>
      <c r="T256" s="184"/>
      <c r="U256" s="184"/>
      <c r="V256" s="32"/>
      <c r="W256" s="32"/>
      <c r="X256" s="32"/>
      <c r="Y256" s="32"/>
      <c r="Z256" s="32"/>
      <c r="AA256" s="32"/>
      <c r="AB256" s="32"/>
    </row>
    <row r="257" spans="1:28" ht="16">
      <c r="A257" s="198"/>
      <c r="B257" s="202"/>
      <c r="C257" s="202"/>
      <c r="D257" s="198"/>
      <c r="E257" s="198"/>
      <c r="F257" s="198"/>
      <c r="G257" s="251"/>
      <c r="H257" s="251"/>
      <c r="I257" s="253" t="s">
        <v>2545</v>
      </c>
      <c r="J257" s="254">
        <v>6000000</v>
      </c>
      <c r="K257" s="205"/>
      <c r="L257" s="205"/>
      <c r="M257" s="205"/>
      <c r="N257" s="251"/>
      <c r="O257" s="205"/>
      <c r="P257" s="252"/>
      <c r="Q257" s="201"/>
      <c r="R257" s="201"/>
      <c r="S257" s="201"/>
      <c r="T257" s="184"/>
      <c r="U257" s="184"/>
      <c r="V257" s="32"/>
      <c r="W257" s="32"/>
      <c r="X257" s="32"/>
      <c r="Y257" s="32"/>
      <c r="Z257" s="32"/>
      <c r="AA257" s="32"/>
      <c r="AB257" s="32"/>
    </row>
    <row r="258" spans="1:28" ht="16">
      <c r="A258" s="198"/>
      <c r="B258" s="202"/>
      <c r="C258" s="202"/>
      <c r="D258" s="198"/>
      <c r="E258" s="198"/>
      <c r="F258" s="198"/>
      <c r="G258" s="251"/>
      <c r="H258" s="255"/>
      <c r="I258" s="253" t="s">
        <v>2546</v>
      </c>
      <c r="J258" s="256">
        <f>P255</f>
        <v>1490000</v>
      </c>
      <c r="K258" s="205"/>
      <c r="L258" s="205"/>
      <c r="M258" s="205"/>
      <c r="N258" s="251"/>
      <c r="O258" s="205"/>
      <c r="P258" s="252"/>
      <c r="Q258" s="201"/>
      <c r="R258" s="201"/>
      <c r="S258" s="201"/>
      <c r="T258" s="184"/>
      <c r="U258" s="184"/>
      <c r="V258" s="32"/>
      <c r="W258" s="32"/>
      <c r="X258" s="32"/>
      <c r="Y258" s="32"/>
      <c r="Z258" s="32"/>
      <c r="AA258" s="32"/>
      <c r="AB258" s="32"/>
    </row>
    <row r="259" spans="1:28" ht="16">
      <c r="A259" s="198"/>
      <c r="B259" s="202"/>
      <c r="C259" s="202"/>
      <c r="D259" s="198"/>
      <c r="E259" s="198"/>
      <c r="F259" s="198"/>
      <c r="G259" s="257"/>
      <c r="H259" s="251"/>
      <c r="I259" s="258" t="s">
        <v>2547</v>
      </c>
      <c r="J259" s="259">
        <v>1000000</v>
      </c>
      <c r="K259" s="205"/>
      <c r="L259" s="205"/>
      <c r="M259" s="205"/>
      <c r="N259" s="251"/>
      <c r="O259" s="205"/>
      <c r="P259" s="252"/>
      <c r="Q259" s="201"/>
      <c r="R259" s="201"/>
      <c r="S259" s="201"/>
      <c r="T259" s="184"/>
      <c r="U259" s="184"/>
      <c r="V259" s="32"/>
      <c r="W259" s="32"/>
      <c r="X259" s="32"/>
      <c r="Y259" s="32"/>
      <c r="Z259" s="32"/>
      <c r="AA259" s="32"/>
      <c r="AB259" s="32"/>
    </row>
    <row r="260" spans="1:28" ht="16">
      <c r="A260" s="198"/>
      <c r="B260" s="202"/>
      <c r="C260" s="202"/>
      <c r="D260" s="198"/>
      <c r="E260" s="198"/>
      <c r="F260" s="198"/>
      <c r="G260" s="251"/>
      <c r="H260" s="251"/>
      <c r="I260" s="260" t="s">
        <v>2548</v>
      </c>
      <c r="J260" s="256">
        <f>SUM(J257:J259)</f>
        <v>8490000</v>
      </c>
      <c r="K260" s="205"/>
      <c r="L260" s="205"/>
      <c r="M260" s="251"/>
      <c r="N260" s="251"/>
      <c r="O260" s="205"/>
      <c r="P260" s="261"/>
      <c r="Q260" s="201"/>
      <c r="R260" s="201"/>
      <c r="S260" s="201"/>
      <c r="T260" s="184"/>
      <c r="U260" s="201"/>
      <c r="V260" s="32"/>
      <c r="W260" s="32"/>
      <c r="X260" s="32"/>
      <c r="Y260" s="32"/>
      <c r="Z260" s="32"/>
      <c r="AA260" s="32"/>
      <c r="AB260" s="32"/>
    </row>
    <row r="261" spans="1:28" ht="16">
      <c r="A261" s="198"/>
      <c r="B261" s="198"/>
      <c r="C261" s="198"/>
      <c r="D261" s="262"/>
      <c r="E261" s="262"/>
      <c r="F261" s="262"/>
      <c r="G261" s="198"/>
      <c r="H261" s="198"/>
      <c r="I261" s="258" t="s">
        <v>2549</v>
      </c>
      <c r="J261" s="259">
        <f>I255+K255</f>
        <v>1100000</v>
      </c>
      <c r="K261" s="205"/>
      <c r="L261" s="205"/>
      <c r="M261" s="198"/>
      <c r="N261" s="198"/>
      <c r="O261" s="198"/>
      <c r="P261" s="261"/>
      <c r="Q261" s="201"/>
      <c r="R261" s="201"/>
      <c r="S261" s="201"/>
      <c r="T261" s="201"/>
      <c r="U261" s="201"/>
      <c r="V261" s="32"/>
      <c r="W261" s="32"/>
      <c r="X261" s="32"/>
      <c r="Y261" s="32"/>
      <c r="Z261" s="32"/>
      <c r="AA261" s="32"/>
      <c r="AB261" s="32"/>
    </row>
    <row r="262" spans="1:28" ht="16">
      <c r="A262" s="198"/>
      <c r="B262" s="198"/>
      <c r="C262" s="198"/>
      <c r="D262" s="262"/>
      <c r="E262" s="262"/>
      <c r="F262" s="262"/>
      <c r="G262" s="198"/>
      <c r="H262" s="198"/>
      <c r="I262" s="260"/>
      <c r="J262" s="256">
        <f>J260+J261</f>
        <v>9590000</v>
      </c>
      <c r="K262" s="205"/>
      <c r="L262" s="205"/>
      <c r="M262" s="198"/>
      <c r="N262" s="198"/>
      <c r="O262" s="198"/>
      <c r="P262" s="261"/>
      <c r="Q262" s="201"/>
      <c r="R262" s="201"/>
      <c r="S262" s="201"/>
      <c r="T262" s="201"/>
      <c r="U262" s="201"/>
      <c r="V262" s="32"/>
      <c r="W262" s="32"/>
      <c r="X262" s="32"/>
      <c r="Y262" s="32"/>
      <c r="Z262" s="32"/>
      <c r="AA262" s="32"/>
      <c r="AB262" s="32"/>
    </row>
    <row r="263" spans="1:28" ht="16">
      <c r="A263" s="198"/>
      <c r="B263" s="198"/>
      <c r="C263" s="198"/>
      <c r="G263" s="198"/>
      <c r="H263" s="198"/>
      <c r="I263" s="263" t="s">
        <v>2487</v>
      </c>
      <c r="J263" s="264">
        <v>560000</v>
      </c>
      <c r="K263" s="205"/>
      <c r="L263" s="205"/>
      <c r="M263" s="198"/>
      <c r="N263" s="198"/>
      <c r="O263" s="198"/>
      <c r="P263" s="261"/>
      <c r="Q263" s="201"/>
      <c r="R263" s="201"/>
      <c r="S263" s="201"/>
      <c r="T263" s="201"/>
      <c r="U263" s="201"/>
      <c r="V263" s="32"/>
      <c r="W263" s="32"/>
      <c r="X263" s="32"/>
      <c r="Y263" s="32"/>
      <c r="Z263" s="32"/>
      <c r="AA263" s="32"/>
      <c r="AB263" s="32"/>
    </row>
    <row r="264" spans="1:28" ht="16">
      <c r="A264" s="198"/>
      <c r="B264" s="198"/>
      <c r="C264" s="198"/>
      <c r="G264" s="198"/>
      <c r="H264" s="198"/>
      <c r="I264" s="260" t="s">
        <v>2550</v>
      </c>
      <c r="J264" s="256">
        <v>10000000</v>
      </c>
      <c r="K264" s="205"/>
      <c r="L264" s="205"/>
      <c r="M264" s="198"/>
      <c r="N264" s="198"/>
      <c r="O264" s="198"/>
      <c r="P264" s="261"/>
      <c r="Q264" s="201"/>
      <c r="R264" s="201"/>
      <c r="S264" s="201"/>
      <c r="T264" s="201"/>
      <c r="U264" s="201"/>
      <c r="V264" s="32"/>
      <c r="W264" s="32"/>
      <c r="X264" s="32"/>
      <c r="Y264" s="32"/>
      <c r="Z264" s="32"/>
      <c r="AA264" s="32"/>
      <c r="AB264" s="32"/>
    </row>
    <row r="265" spans="1:28" ht="16">
      <c r="A265" s="198"/>
      <c r="B265" s="198"/>
      <c r="C265" s="198"/>
      <c r="D265" s="198"/>
      <c r="E265" s="198"/>
      <c r="F265" s="198"/>
      <c r="G265" s="198"/>
      <c r="H265" s="198"/>
      <c r="I265" s="260" t="s">
        <v>2551</v>
      </c>
      <c r="J265" s="256">
        <f>J262-J263-J264</f>
        <v>-970000</v>
      </c>
      <c r="K265" s="205"/>
      <c r="L265" s="205"/>
      <c r="M265" s="198"/>
      <c r="N265" s="198"/>
      <c r="O265" s="198"/>
      <c r="P265" s="261"/>
      <c r="Q265" s="201"/>
      <c r="R265" s="201"/>
      <c r="S265" s="201"/>
      <c r="T265" s="201"/>
      <c r="U265" s="201"/>
      <c r="V265" s="32"/>
      <c r="W265" s="32"/>
      <c r="X265" s="32"/>
      <c r="Y265" s="32"/>
      <c r="Z265" s="32"/>
      <c r="AA265" s="32"/>
      <c r="AB265" s="32"/>
    </row>
    <row r="266" spans="1:28" ht="16">
      <c r="A266" s="198"/>
      <c r="B266" s="198"/>
      <c r="C266" s="198"/>
      <c r="D266" s="198"/>
      <c r="E266" s="198"/>
      <c r="F266" s="198"/>
      <c r="G266" s="198"/>
      <c r="H266" s="198"/>
      <c r="I266" s="492"/>
      <c r="J266" s="482"/>
      <c r="K266" s="205"/>
      <c r="L266" s="205"/>
      <c r="M266" s="198"/>
      <c r="N266" s="198"/>
      <c r="O266" s="198"/>
      <c r="P266" s="261"/>
      <c r="Q266" s="201"/>
      <c r="R266" s="201"/>
      <c r="S266" s="201"/>
      <c r="T266" s="201"/>
      <c r="U266" s="201"/>
      <c r="V266" s="32"/>
      <c r="W266" s="32"/>
      <c r="X266" s="32"/>
      <c r="Y266" s="32"/>
      <c r="Z266" s="32"/>
      <c r="AA266" s="32"/>
      <c r="AB266" s="32"/>
    </row>
    <row r="267" spans="1:28" ht="16">
      <c r="A267" s="198"/>
      <c r="B267" s="198"/>
      <c r="C267" s="198"/>
      <c r="D267" s="198"/>
      <c r="E267" s="198"/>
      <c r="F267" s="198"/>
      <c r="G267" s="198"/>
      <c r="H267" s="198"/>
      <c r="I267" s="492"/>
      <c r="J267" s="482"/>
      <c r="K267" s="205"/>
      <c r="L267" s="205"/>
      <c r="M267" s="198"/>
      <c r="N267" s="198"/>
      <c r="O267" s="198"/>
      <c r="P267" s="261"/>
      <c r="Q267" s="201"/>
      <c r="R267" s="201"/>
      <c r="S267" s="201"/>
      <c r="T267" s="201"/>
      <c r="U267" s="201"/>
      <c r="V267" s="32"/>
      <c r="W267" s="32"/>
      <c r="X267" s="32"/>
      <c r="Y267" s="32"/>
      <c r="Z267" s="32"/>
      <c r="AA267" s="32"/>
      <c r="AB267" s="32"/>
    </row>
    <row r="268" spans="1:28" ht="16">
      <c r="A268" s="198"/>
      <c r="B268" s="198"/>
      <c r="C268" s="198"/>
      <c r="D268" s="198"/>
      <c r="E268" s="198"/>
      <c r="F268" s="198"/>
      <c r="G268" s="198"/>
      <c r="H268" s="198"/>
      <c r="I268" s="492"/>
      <c r="J268" s="482"/>
      <c r="K268" s="205"/>
      <c r="L268" s="205"/>
      <c r="M268" s="198"/>
      <c r="N268" s="198"/>
      <c r="O268" s="198"/>
      <c r="P268" s="261"/>
      <c r="Q268" s="201"/>
      <c r="R268" s="201"/>
      <c r="S268" s="201"/>
      <c r="T268" s="201" t="s">
        <v>2552</v>
      </c>
      <c r="U268" s="265">
        <f>SUM(S257:S266)</f>
        <v>0</v>
      </c>
      <c r="V268" s="32"/>
      <c r="W268" s="32"/>
      <c r="X268" s="32"/>
      <c r="Y268" s="32"/>
      <c r="Z268" s="32"/>
      <c r="AA268" s="32"/>
      <c r="AB268" s="32"/>
    </row>
    <row r="269" spans="1:28" ht="16">
      <c r="A269" s="198"/>
      <c r="B269" s="198"/>
      <c r="C269" s="198"/>
      <c r="D269" s="198"/>
      <c r="E269" s="198"/>
      <c r="F269" s="198"/>
      <c r="G269" s="198"/>
      <c r="H269" s="198"/>
      <c r="I269" s="492"/>
      <c r="J269" s="482"/>
      <c r="K269" s="205"/>
      <c r="L269" s="205"/>
      <c r="M269" s="198"/>
      <c r="N269" s="198"/>
      <c r="O269" s="198"/>
      <c r="P269" s="261"/>
      <c r="Q269" s="201"/>
      <c r="R269" s="201"/>
      <c r="S269" s="201"/>
      <c r="T269" s="201"/>
      <c r="U269" s="201"/>
      <c r="V269" s="32"/>
      <c r="W269" s="32"/>
      <c r="X269" s="32"/>
      <c r="Y269" s="32"/>
      <c r="Z269" s="32"/>
      <c r="AA269" s="32"/>
      <c r="AB269" s="32"/>
    </row>
    <row r="270" spans="1:28" ht="16">
      <c r="A270" s="198"/>
      <c r="B270" s="198"/>
      <c r="C270" s="198"/>
      <c r="D270" s="198"/>
      <c r="E270" s="198"/>
      <c r="F270" s="198"/>
      <c r="G270" s="198"/>
      <c r="H270" s="198"/>
      <c r="I270" s="492"/>
      <c r="J270" s="482"/>
      <c r="K270" s="205"/>
      <c r="L270" s="205"/>
      <c r="M270" s="198"/>
      <c r="N270" s="198"/>
      <c r="O270" s="198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</row>
    <row r="271" spans="1:28" ht="16">
      <c r="A271" s="262"/>
      <c r="B271" s="262"/>
      <c r="C271" s="262"/>
      <c r="D271" s="262"/>
      <c r="E271" s="262"/>
      <c r="F271" s="262"/>
      <c r="G271" s="262"/>
      <c r="H271" s="262"/>
      <c r="I271" s="492"/>
      <c r="J271" s="482"/>
      <c r="K271" s="205"/>
      <c r="L271" s="205"/>
      <c r="M271" s="262"/>
      <c r="N271" s="262"/>
      <c r="O271" s="26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</row>
    <row r="272" spans="1:28" ht="16">
      <c r="I272" s="492"/>
      <c r="J272" s="482"/>
      <c r="K272" s="205"/>
      <c r="L272" s="205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</row>
    <row r="273" spans="17:28" ht="13"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</row>
    <row r="274" spans="17:28" ht="13"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</row>
    <row r="275" spans="17:28" ht="13"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</row>
    <row r="276" spans="17:28" ht="13"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</row>
    <row r="277" spans="17:28" ht="13"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</row>
    <row r="278" spans="17:28" ht="13"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</row>
    <row r="279" spans="17:28" ht="13"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</row>
    <row r="280" spans="17:28" ht="13"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</row>
    <row r="281" spans="17:28" ht="13"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 spans="17:28" ht="13"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</row>
    <row r="283" spans="17:28" ht="13"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 spans="17:28" ht="13"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</row>
    <row r="285" spans="17:28" ht="13"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</row>
    <row r="286" spans="17:28" ht="13"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</row>
    <row r="287" spans="17:28" ht="13"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</row>
    <row r="288" spans="17:28" ht="13"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 spans="17:28" ht="13"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</row>
    <row r="290" spans="17:28" ht="13"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 spans="17:28" ht="13"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</row>
    <row r="292" spans="17:28" ht="13"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</row>
    <row r="293" spans="17:28" ht="13"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 spans="17:28" ht="13"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</row>
    <row r="295" spans="17:28" ht="13"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 spans="17:28" ht="13"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</row>
    <row r="297" spans="17:28" ht="13"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 spans="17:28" ht="13"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</row>
    <row r="299" spans="17:28" ht="13"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spans="17:28" ht="13"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</row>
    <row r="301" spans="17:28" ht="13"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 spans="17:28" ht="13"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</row>
    <row r="303" spans="17:28" ht="13"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 spans="17:28" ht="13"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</row>
    <row r="305" spans="17:28" ht="13"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 spans="17:28" ht="13"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</row>
    <row r="307" spans="17:28" ht="13"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 spans="17:28" ht="13"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</row>
    <row r="309" spans="17:28" ht="13"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</row>
    <row r="310" spans="17:28" ht="13"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</row>
    <row r="311" spans="17:28" ht="13"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 spans="17:28" ht="13"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</row>
    <row r="313" spans="17:28" ht="13"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 spans="17:28" ht="13"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</row>
    <row r="315" spans="17:28" ht="13"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</row>
    <row r="316" spans="17:28" ht="13"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 spans="17:28" ht="13"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</row>
    <row r="318" spans="17:28" ht="13"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 spans="17:28" ht="13"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</row>
    <row r="320" spans="17:28" ht="13"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</row>
    <row r="321" spans="17:28" ht="13"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 spans="17:28" ht="13"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</row>
    <row r="323" spans="17:28" ht="13"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</row>
    <row r="324" spans="17:28" ht="13"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</row>
    <row r="325" spans="17:28" ht="13"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</row>
    <row r="326" spans="17:28" ht="13"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</row>
    <row r="327" spans="17:28" ht="13"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</row>
    <row r="328" spans="17:28" ht="13"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</row>
    <row r="329" spans="17:28" ht="13"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</row>
    <row r="330" spans="17:28" ht="13"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</row>
    <row r="331" spans="17:28" ht="13"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</row>
    <row r="332" spans="17:28" ht="13"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</row>
    <row r="333" spans="17:28" ht="13"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</row>
    <row r="334" spans="17:28" ht="13"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</row>
    <row r="335" spans="17:28" ht="13"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</row>
    <row r="336" spans="17:28" ht="13"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</row>
    <row r="337" spans="17:28" ht="13"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</row>
    <row r="338" spans="17:28" ht="13"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</row>
    <row r="339" spans="17:28" ht="13"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</row>
    <row r="340" spans="17:28" ht="13"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</row>
    <row r="341" spans="17:28" ht="13"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</row>
    <row r="342" spans="17:28" ht="13"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</row>
    <row r="343" spans="17:28" ht="13"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</row>
    <row r="344" spans="17:28" ht="13"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</row>
    <row r="345" spans="17:28" ht="13"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</row>
    <row r="346" spans="17:28" ht="13"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</row>
    <row r="347" spans="17:28" ht="13"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</row>
    <row r="348" spans="17:28" ht="13"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</row>
    <row r="349" spans="17:28" ht="13"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</row>
    <row r="350" spans="17:28" ht="13"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</row>
    <row r="351" spans="17:28" ht="13"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</row>
    <row r="352" spans="17:28" ht="13"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</row>
    <row r="353" spans="17:28" ht="13"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</row>
    <row r="354" spans="17:28" ht="13"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</row>
    <row r="355" spans="17:28" ht="13"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</row>
    <row r="356" spans="17:28" ht="13"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</row>
    <row r="357" spans="17:28" ht="13"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</row>
    <row r="358" spans="17:28" ht="13"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</row>
    <row r="359" spans="17:28" ht="13"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</row>
    <row r="360" spans="17:28" ht="13"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</row>
    <row r="361" spans="17:28" ht="13"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</row>
    <row r="362" spans="17:28" ht="13"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</row>
    <row r="363" spans="17:28" ht="13"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</row>
    <row r="364" spans="17:28" ht="13"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</row>
    <row r="365" spans="17:28" ht="13"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</row>
    <row r="366" spans="17:28" ht="13"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</row>
    <row r="367" spans="17:28" ht="13"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</row>
    <row r="368" spans="17:28" ht="13"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</row>
    <row r="369" spans="17:28" ht="13"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</row>
    <row r="370" spans="17:28" ht="13"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</row>
    <row r="371" spans="17:28" ht="13"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</row>
    <row r="372" spans="17:28" ht="13"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</row>
    <row r="373" spans="17:28" ht="13"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</row>
    <row r="374" spans="17:28" ht="13"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</row>
    <row r="375" spans="17:28" ht="13"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</row>
    <row r="376" spans="17:28" ht="13"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</row>
    <row r="377" spans="17:28" ht="13"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</row>
    <row r="378" spans="17:28" ht="13"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</row>
    <row r="379" spans="17:28" ht="13"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</row>
    <row r="380" spans="17:28" ht="13"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</row>
    <row r="381" spans="17:28" ht="13"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</row>
    <row r="382" spans="17:28" ht="13"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</row>
    <row r="383" spans="17:28" ht="13"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</row>
    <row r="384" spans="17:28" ht="13"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</row>
    <row r="385" spans="17:28" ht="13"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</row>
    <row r="386" spans="17:28" ht="13"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</row>
    <row r="387" spans="17:28" ht="13"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</row>
    <row r="388" spans="17:28" ht="13"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</row>
    <row r="389" spans="17:28" ht="13"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</row>
    <row r="390" spans="17:28" ht="13"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</row>
    <row r="391" spans="17:28" ht="13"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</row>
    <row r="392" spans="17:28" ht="13"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</row>
    <row r="393" spans="17:28" ht="13"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</row>
    <row r="394" spans="17:28" ht="13"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</row>
    <row r="395" spans="17:28" ht="13"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</row>
    <row r="396" spans="17:28" ht="13"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</row>
    <row r="397" spans="17:28" ht="13"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</row>
    <row r="398" spans="17:28" ht="13"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</row>
    <row r="399" spans="17:28" ht="13"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</row>
    <row r="400" spans="17:28" ht="13"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</row>
    <row r="401" spans="17:28" ht="13"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</row>
    <row r="402" spans="17:28" ht="13"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</row>
    <row r="403" spans="17:28" ht="13"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</row>
    <row r="404" spans="17:28" ht="13"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</row>
    <row r="405" spans="17:28" ht="13"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</row>
    <row r="406" spans="17:28" ht="13"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</row>
    <row r="407" spans="17:28" ht="13"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</row>
    <row r="408" spans="17:28" ht="13"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</row>
    <row r="409" spans="17:28" ht="13"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</row>
    <row r="410" spans="17:28" ht="13"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</row>
    <row r="411" spans="17:28" ht="13"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</row>
    <row r="412" spans="17:28" ht="13"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</row>
    <row r="413" spans="17:28" ht="13"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</row>
    <row r="414" spans="17:28" ht="13"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</row>
    <row r="415" spans="17:28" ht="13"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</row>
    <row r="416" spans="17:28" ht="13"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</row>
    <row r="417" spans="17:28" ht="13"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</row>
    <row r="418" spans="17:28" ht="13"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</row>
    <row r="419" spans="17:28" ht="13"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</row>
    <row r="420" spans="17:28" ht="13"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</row>
    <row r="421" spans="17:28" ht="13"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</row>
    <row r="422" spans="17:28" ht="13"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</row>
    <row r="423" spans="17:28" ht="13"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</row>
    <row r="424" spans="17:28" ht="13"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</row>
    <row r="425" spans="17:28" ht="13"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</row>
    <row r="426" spans="17:28" ht="13"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</row>
    <row r="427" spans="17:28" ht="13"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</row>
    <row r="428" spans="17:28" ht="13"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</row>
    <row r="429" spans="17:28" ht="13"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</row>
    <row r="430" spans="17:28" ht="13"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</row>
    <row r="431" spans="17:28" ht="13"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</row>
    <row r="432" spans="17:28" ht="13"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</row>
    <row r="433" spans="17:28" ht="13"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</row>
    <row r="434" spans="17:28" ht="13"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</row>
    <row r="435" spans="17:28" ht="13"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</row>
    <row r="436" spans="17:28" ht="13"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</row>
    <row r="437" spans="17:28" ht="13"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</row>
    <row r="438" spans="17:28" ht="13"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</row>
    <row r="439" spans="17:28" ht="13"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</row>
    <row r="440" spans="17:28" ht="13"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</row>
    <row r="441" spans="17:28" ht="13"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</row>
    <row r="442" spans="17:28" ht="13"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</row>
    <row r="443" spans="17:28" ht="13"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</row>
    <row r="444" spans="17:28" ht="13"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</row>
    <row r="445" spans="17:28" ht="13"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</row>
    <row r="446" spans="17:28" ht="13"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</row>
    <row r="447" spans="17:28" ht="13"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</row>
    <row r="448" spans="17:28" ht="13"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</row>
    <row r="449" spans="17:28" ht="13"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</row>
    <row r="450" spans="17:28" ht="13"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</row>
    <row r="451" spans="17:28" ht="13"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</row>
    <row r="452" spans="17:28" ht="13"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</row>
    <row r="453" spans="17:28" ht="13"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</row>
    <row r="454" spans="17:28" ht="13"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</row>
    <row r="455" spans="17:28" ht="13"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</row>
    <row r="456" spans="17:28" ht="13"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</row>
    <row r="457" spans="17:28" ht="13"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</row>
    <row r="458" spans="17:28" ht="13"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</row>
    <row r="459" spans="17:28" ht="13"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</row>
    <row r="460" spans="17:28" ht="13"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</row>
    <row r="461" spans="17:28" ht="13"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</row>
    <row r="462" spans="17:28" ht="13"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</row>
    <row r="463" spans="17:28" ht="13"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</row>
    <row r="464" spans="17:28" ht="13"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</row>
    <row r="465" spans="17:28" ht="13"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</row>
    <row r="466" spans="17:28" ht="13"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</row>
    <row r="467" spans="17:28" ht="13"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</row>
    <row r="468" spans="17:28" ht="13"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</row>
    <row r="469" spans="17:28" ht="13"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</row>
    <row r="470" spans="17:28" ht="13"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</row>
    <row r="471" spans="17:28" ht="13"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</row>
    <row r="472" spans="17:28" ht="13"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</row>
    <row r="473" spans="17:28" ht="13"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</row>
    <row r="474" spans="17:28" ht="13"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</row>
    <row r="475" spans="17:28" ht="13"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</row>
    <row r="476" spans="17:28" ht="13"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</row>
    <row r="477" spans="17:28" ht="13"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</row>
    <row r="478" spans="17:28" ht="13"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</row>
    <row r="479" spans="17:28" ht="13"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</row>
    <row r="480" spans="17:28" ht="13"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</row>
    <row r="481" spans="17:28" ht="13"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</row>
    <row r="482" spans="17:28" ht="13"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</row>
    <row r="483" spans="17:28" ht="13"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</row>
    <row r="484" spans="17:28" ht="13"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</row>
    <row r="485" spans="17:28" ht="13"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</row>
    <row r="486" spans="17:28" ht="13"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</row>
    <row r="487" spans="17:28" ht="13"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</row>
    <row r="488" spans="17:28" ht="13"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</row>
    <row r="489" spans="17:28" ht="13"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</row>
    <row r="490" spans="17:28" ht="13"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</row>
    <row r="491" spans="17:28" ht="13"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</row>
    <row r="492" spans="17:28" ht="13"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</row>
    <row r="493" spans="17:28" ht="13"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</row>
    <row r="494" spans="17:28" ht="13"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</row>
    <row r="495" spans="17:28" ht="13"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</row>
    <row r="496" spans="17:28" ht="13"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</row>
    <row r="497" spans="17:28" ht="13"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</row>
    <row r="498" spans="17:28" ht="13"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</row>
    <row r="499" spans="17:28" ht="13"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</row>
    <row r="500" spans="17:28" ht="13"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</row>
    <row r="501" spans="17:28" ht="13"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</row>
    <row r="502" spans="17:28" ht="13"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</row>
    <row r="503" spans="17:28" ht="13"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</row>
    <row r="504" spans="17:28" ht="13"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</row>
    <row r="505" spans="17:28" ht="13"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</row>
    <row r="506" spans="17:28" ht="13"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</row>
    <row r="507" spans="17:28" ht="13"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</row>
    <row r="508" spans="17:28" ht="13"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</row>
    <row r="509" spans="17:28" ht="13"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</row>
    <row r="510" spans="17:28" ht="13"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</row>
    <row r="511" spans="17:28" ht="13"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</row>
    <row r="512" spans="17:28" ht="13"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</row>
    <row r="513" spans="17:28" ht="13"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</row>
    <row r="514" spans="17:28" ht="13"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</row>
    <row r="515" spans="17:28" ht="13"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</row>
    <row r="516" spans="17:28" ht="13"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</row>
    <row r="517" spans="17:28" ht="13"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</row>
    <row r="518" spans="17:28" ht="13"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</row>
    <row r="519" spans="17:28" ht="13"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</row>
    <row r="520" spans="17:28" ht="13"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</row>
    <row r="521" spans="17:28" ht="13"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</row>
    <row r="522" spans="17:28" ht="13"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</row>
    <row r="523" spans="17:28" ht="13"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</row>
    <row r="524" spans="17:28" ht="13"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</row>
    <row r="525" spans="17:28" ht="13"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</row>
    <row r="526" spans="17:28" ht="13"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</row>
    <row r="527" spans="17:28" ht="13"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</row>
    <row r="528" spans="17:28" ht="13"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</row>
    <row r="529" spans="17:28" ht="13"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</row>
    <row r="530" spans="17:28" ht="13"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</row>
    <row r="531" spans="17:28" ht="13"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</row>
    <row r="532" spans="17:28" ht="13"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</row>
    <row r="533" spans="17:28" ht="13"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</row>
    <row r="534" spans="17:28" ht="13"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</row>
    <row r="535" spans="17:28" ht="13"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</row>
    <row r="536" spans="17:28" ht="13"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</row>
    <row r="537" spans="17:28" ht="13"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</row>
    <row r="538" spans="17:28" ht="13"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</row>
    <row r="539" spans="17:28" ht="13"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</row>
    <row r="540" spans="17:28" ht="13"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</row>
    <row r="541" spans="17:28" ht="13"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</row>
    <row r="542" spans="17:28" ht="13"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</row>
    <row r="543" spans="17:28" ht="13"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</row>
    <row r="544" spans="17:28" ht="13"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</row>
    <row r="545" spans="17:28" ht="13"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</row>
    <row r="546" spans="17:28" ht="13"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</row>
    <row r="547" spans="17:28" ht="13"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</row>
    <row r="548" spans="17:28" ht="13"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</row>
    <row r="549" spans="17:28" ht="13"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</row>
    <row r="550" spans="17:28" ht="13"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</row>
    <row r="551" spans="17:28" ht="13"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</row>
    <row r="552" spans="17:28" ht="13"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</row>
    <row r="553" spans="17:28" ht="13"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</row>
    <row r="554" spans="17:28" ht="13"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</row>
    <row r="555" spans="17:28" ht="13"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</row>
    <row r="556" spans="17:28" ht="13"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</row>
    <row r="557" spans="17:28" ht="13"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</row>
    <row r="558" spans="17:28" ht="13"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</row>
    <row r="559" spans="17:28" ht="13"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</row>
    <row r="560" spans="17:28" ht="13"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</row>
    <row r="561" spans="17:28" ht="13"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</row>
    <row r="562" spans="17:28" ht="13"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</row>
    <row r="563" spans="17:28" ht="13"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</row>
    <row r="564" spans="17:28" ht="13"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</row>
    <row r="565" spans="17:28" ht="13"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</row>
    <row r="566" spans="17:28" ht="13"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</row>
    <row r="567" spans="17:28" ht="13"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</row>
    <row r="568" spans="17:28" ht="13"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</row>
    <row r="569" spans="17:28" ht="13"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</row>
    <row r="570" spans="17:28" ht="13"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</row>
    <row r="571" spans="17:28" ht="13"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</row>
    <row r="572" spans="17:28" ht="13"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</row>
    <row r="573" spans="17:28" ht="13"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</row>
    <row r="574" spans="17:28" ht="13"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</row>
    <row r="575" spans="17:28" ht="13"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</row>
    <row r="576" spans="17:28" ht="13"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</row>
    <row r="577" spans="17:28" ht="13"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</row>
    <row r="578" spans="17:28" ht="13"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</row>
    <row r="579" spans="17:28" ht="13"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</row>
    <row r="580" spans="17:28" ht="13"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</row>
    <row r="581" spans="17:28" ht="13"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</row>
    <row r="582" spans="17:28" ht="13"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</row>
    <row r="583" spans="17:28" ht="13"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</row>
    <row r="584" spans="17:28" ht="13"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</row>
    <row r="585" spans="17:28" ht="13"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</row>
    <row r="586" spans="17:28" ht="13"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</row>
    <row r="587" spans="17:28" ht="13"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</row>
    <row r="588" spans="17:28" ht="13"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</row>
    <row r="589" spans="17:28" ht="13"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</row>
    <row r="590" spans="17:28" ht="13"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</row>
    <row r="591" spans="17:28" ht="13"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</row>
    <row r="592" spans="17:28" ht="13"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</row>
    <row r="593" spans="17:28" ht="13"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</row>
    <row r="594" spans="17:28" ht="13"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</row>
    <row r="595" spans="17:28" ht="13"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</row>
    <row r="596" spans="17:28" ht="13"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</row>
    <row r="597" spans="17:28" ht="13"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</row>
    <row r="598" spans="17:28" ht="13"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</row>
    <row r="599" spans="17:28" ht="13"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</row>
    <row r="600" spans="17:28" ht="13"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</row>
    <row r="601" spans="17:28" ht="13"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</row>
    <row r="602" spans="17:28" ht="13"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</row>
    <row r="603" spans="17:28" ht="13"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</row>
    <row r="604" spans="17:28" ht="13"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</row>
    <row r="605" spans="17:28" ht="13"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</row>
    <row r="606" spans="17:28" ht="13"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</row>
    <row r="607" spans="17:28" ht="13"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</row>
    <row r="608" spans="17:28" ht="13"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</row>
    <row r="609" spans="17:28" ht="13"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</row>
    <row r="610" spans="17:28" ht="13"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</row>
    <row r="611" spans="17:28" ht="13"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</row>
    <row r="612" spans="17:28" ht="13"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</row>
    <row r="613" spans="17:28" ht="13"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</row>
    <row r="614" spans="17:28" ht="13"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</row>
    <row r="615" spans="17:28" ht="13"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</row>
    <row r="616" spans="17:28" ht="13"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</row>
    <row r="617" spans="17:28" ht="13"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</row>
    <row r="618" spans="17:28" ht="13"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</row>
    <row r="619" spans="17:28" ht="13"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</row>
    <row r="620" spans="17:28" ht="13"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</row>
    <row r="621" spans="17:28" ht="13"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</row>
    <row r="622" spans="17:28" ht="13"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</row>
    <row r="623" spans="17:28" ht="13"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</row>
    <row r="624" spans="17:28" ht="13"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</row>
    <row r="625" spans="17:28" ht="13"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</row>
    <row r="626" spans="17:28" ht="13"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</row>
    <row r="627" spans="17:28" ht="13"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</row>
    <row r="628" spans="17:28" ht="13"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</row>
    <row r="629" spans="17:28" ht="13"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</row>
    <row r="630" spans="17:28" ht="13"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</row>
    <row r="631" spans="17:28" ht="13"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</row>
    <row r="632" spans="17:28" ht="13"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</row>
    <row r="633" spans="17:28" ht="13"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</row>
    <row r="634" spans="17:28" ht="13"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</row>
    <row r="635" spans="17:28" ht="13"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</row>
    <row r="636" spans="17:28" ht="13"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</row>
    <row r="637" spans="17:28" ht="13"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</row>
    <row r="638" spans="17:28" ht="13"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</row>
    <row r="639" spans="17:28" ht="13"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</row>
    <row r="640" spans="17:28" ht="13"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</row>
    <row r="641" spans="17:28" ht="13"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</row>
    <row r="642" spans="17:28" ht="13"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</row>
    <row r="643" spans="17:28" ht="13"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</row>
    <row r="644" spans="17:28" ht="13"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</row>
    <row r="645" spans="17:28" ht="13"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</row>
    <row r="646" spans="17:28" ht="13"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</row>
    <row r="647" spans="17:28" ht="13"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</row>
    <row r="648" spans="17:28" ht="13"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</row>
    <row r="649" spans="17:28" ht="13"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</row>
    <row r="650" spans="17:28" ht="13"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</row>
    <row r="651" spans="17:28" ht="13"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</row>
    <row r="652" spans="17:28" ht="13"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</row>
    <row r="653" spans="17:28" ht="13"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</row>
    <row r="654" spans="17:28" ht="13"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</row>
    <row r="655" spans="17:28" ht="13"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</row>
    <row r="656" spans="17:28" ht="13"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</row>
    <row r="657" spans="17:28" ht="13"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</row>
    <row r="658" spans="17:28" ht="13"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</row>
    <row r="659" spans="17:28" ht="13"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</row>
    <row r="660" spans="17:28" ht="13"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</row>
    <row r="661" spans="17:28" ht="13"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</row>
    <row r="662" spans="17:28" ht="13"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</row>
    <row r="663" spans="17:28" ht="13"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</row>
    <row r="664" spans="17:28" ht="13"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</row>
    <row r="665" spans="17:28" ht="13"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</row>
    <row r="666" spans="17:28" ht="13"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</row>
    <row r="667" spans="17:28" ht="13"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</row>
    <row r="668" spans="17:28" ht="13"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</row>
    <row r="669" spans="17:28" ht="13"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</row>
    <row r="670" spans="17:28" ht="13"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</row>
    <row r="671" spans="17:28" ht="13"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</row>
    <row r="672" spans="17:28" ht="13"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</row>
    <row r="673" spans="17:28" ht="13"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</row>
    <row r="674" spans="17:28" ht="13"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</row>
    <row r="675" spans="17:28" ht="13"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</row>
    <row r="676" spans="17:28" ht="13"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</row>
    <row r="677" spans="17:28" ht="13"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</row>
    <row r="678" spans="17:28" ht="13"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</row>
    <row r="679" spans="17:28" ht="13"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</row>
    <row r="680" spans="17:28" ht="13"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</row>
    <row r="681" spans="17:28" ht="13"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</row>
    <row r="682" spans="17:28" ht="13"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</row>
    <row r="683" spans="17:28" ht="13"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</row>
    <row r="684" spans="17:28" ht="13"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</row>
    <row r="685" spans="17:28" ht="13"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</row>
    <row r="686" spans="17:28" ht="13"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</row>
    <row r="687" spans="17:28" ht="13"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</row>
    <row r="688" spans="17:28" ht="13"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</row>
    <row r="689" spans="17:28" ht="13"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</row>
    <row r="690" spans="17:28" ht="13"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</row>
    <row r="691" spans="17:28" ht="13"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</row>
    <row r="692" spans="17:28" ht="13"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</row>
    <row r="693" spans="17:28" ht="13"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</row>
    <row r="694" spans="17:28" ht="13"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</row>
    <row r="695" spans="17:28" ht="13"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</row>
    <row r="696" spans="17:28" ht="13"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</row>
    <row r="697" spans="17:28" ht="13"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</row>
    <row r="698" spans="17:28" ht="13"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</row>
    <row r="699" spans="17:28" ht="13"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</row>
    <row r="700" spans="17:28" ht="13"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</row>
    <row r="701" spans="17:28" ht="13"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</row>
    <row r="702" spans="17:28" ht="13"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</row>
    <row r="703" spans="17:28" ht="13"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</row>
    <row r="704" spans="17:28" ht="13"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</row>
    <row r="705" spans="17:28" ht="13"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</row>
    <row r="706" spans="17:28" ht="13"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</row>
    <row r="707" spans="17:28" ht="13"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</row>
    <row r="708" spans="17:28" ht="13"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</row>
    <row r="709" spans="17:28" ht="13"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</row>
    <row r="710" spans="17:28" ht="13"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</row>
    <row r="711" spans="17:28" ht="13"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</row>
    <row r="712" spans="17:28" ht="13"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</row>
    <row r="713" spans="17:28" ht="13"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</row>
    <row r="714" spans="17:28" ht="13"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</row>
    <row r="715" spans="17:28" ht="13"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</row>
    <row r="716" spans="17:28" ht="13"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</row>
    <row r="717" spans="17:28" ht="13"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</row>
    <row r="718" spans="17:28" ht="13"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</row>
    <row r="719" spans="17:28" ht="13"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</row>
    <row r="720" spans="17:28" ht="13"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</row>
    <row r="721" spans="17:28" ht="13"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</row>
    <row r="722" spans="17:28" ht="13"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</row>
    <row r="723" spans="17:28" ht="13"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</row>
    <row r="724" spans="17:28" ht="13"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</row>
    <row r="725" spans="17:28" ht="13"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</row>
    <row r="726" spans="17:28" ht="13"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</row>
    <row r="727" spans="17:28" ht="13"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</row>
    <row r="728" spans="17:28" ht="13"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</row>
    <row r="729" spans="17:28" ht="13"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</row>
    <row r="730" spans="17:28" ht="13"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</row>
    <row r="731" spans="17:28" ht="13"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</row>
    <row r="732" spans="17:28" ht="13"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</row>
    <row r="733" spans="17:28" ht="13"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</row>
    <row r="734" spans="17:28" ht="13"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</row>
    <row r="735" spans="17:28" ht="13"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</row>
    <row r="736" spans="17:28" ht="13"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</row>
    <row r="737" spans="17:28" ht="13"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</row>
    <row r="738" spans="17:28" ht="13"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</row>
    <row r="739" spans="17:28" ht="13"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</row>
    <row r="740" spans="17:28" ht="13"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</row>
    <row r="741" spans="17:28" ht="13"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</row>
    <row r="742" spans="17:28" ht="13"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</row>
    <row r="743" spans="17:28" ht="13"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</row>
    <row r="744" spans="17:28" ht="13"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</row>
    <row r="745" spans="17:28" ht="13"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</row>
    <row r="746" spans="17:28" ht="13"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</row>
    <row r="747" spans="17:28" ht="13"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</row>
    <row r="748" spans="17:28" ht="13"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</row>
    <row r="749" spans="17:28" ht="13"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</row>
    <row r="750" spans="17:28" ht="13"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</row>
    <row r="751" spans="17:28" ht="13"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</row>
    <row r="752" spans="17:28" ht="13"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</row>
    <row r="753" spans="17:28" ht="13"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</row>
    <row r="754" spans="17:28" ht="13"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</row>
    <row r="755" spans="17:28" ht="13"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</row>
    <row r="756" spans="17:28" ht="13"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</row>
    <row r="757" spans="17:28" ht="13"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</row>
    <row r="758" spans="17:28" ht="13"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</row>
    <row r="759" spans="17:28" ht="13"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</row>
    <row r="760" spans="17:28" ht="13"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</row>
    <row r="761" spans="17:28" ht="13"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</row>
    <row r="762" spans="17:28" ht="13"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</row>
    <row r="763" spans="17:28" ht="13"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</row>
    <row r="764" spans="17:28" ht="13"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</row>
    <row r="765" spans="17:28" ht="13"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</row>
    <row r="766" spans="17:28" ht="13"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</row>
    <row r="767" spans="17:28" ht="13"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</row>
    <row r="768" spans="17:28" ht="13"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</row>
    <row r="769" spans="17:28" ht="13"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</row>
    <row r="770" spans="17:28" ht="13"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</row>
    <row r="771" spans="17:28" ht="13"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</row>
    <row r="772" spans="17:28" ht="13"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</row>
    <row r="773" spans="17:28" ht="13"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</row>
    <row r="774" spans="17:28" ht="13"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</row>
    <row r="775" spans="17:28" ht="13"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</row>
    <row r="776" spans="17:28" ht="13"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</row>
    <row r="777" spans="17:28" ht="13"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</row>
    <row r="778" spans="17:28" ht="13"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</row>
    <row r="779" spans="17:28" ht="13"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</row>
    <row r="780" spans="17:28" ht="13"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</row>
    <row r="781" spans="17:28" ht="13"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</row>
    <row r="782" spans="17:28" ht="13"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</row>
    <row r="783" spans="17:28" ht="13"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</row>
    <row r="784" spans="17:28" ht="13"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</row>
    <row r="785" spans="17:28" ht="13"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</row>
    <row r="786" spans="17:28" ht="13"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</row>
    <row r="787" spans="17:28" ht="13"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</row>
    <row r="788" spans="17:28" ht="13"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</row>
    <row r="789" spans="17:28" ht="13"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</row>
    <row r="790" spans="17:28" ht="13"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</row>
    <row r="791" spans="17:28" ht="13"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</row>
    <row r="792" spans="17:28" ht="13"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</row>
    <row r="793" spans="17:28" ht="13"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</row>
    <row r="794" spans="17:28" ht="13"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</row>
    <row r="795" spans="17:28" ht="13"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</row>
    <row r="796" spans="17:28" ht="13"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</row>
    <row r="797" spans="17:28" ht="13"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</row>
    <row r="798" spans="17:28" ht="13"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</row>
    <row r="799" spans="17:28" ht="13"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</row>
    <row r="800" spans="17:28" ht="13"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</row>
    <row r="801" spans="17:28" ht="13"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</row>
    <row r="802" spans="17:28" ht="13"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</row>
    <row r="803" spans="17:28" ht="13"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</row>
    <row r="804" spans="17:28" ht="13"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</row>
    <row r="805" spans="17:28" ht="13"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</row>
    <row r="806" spans="17:28" ht="13"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</row>
    <row r="807" spans="17:28" ht="13"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</row>
    <row r="808" spans="17:28" ht="13"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</row>
    <row r="809" spans="17:28" ht="13"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</row>
    <row r="810" spans="17:28" ht="13"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</row>
    <row r="811" spans="17:28" ht="13"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</row>
    <row r="812" spans="17:28" ht="13"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</row>
    <row r="813" spans="17:28" ht="13"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</row>
    <row r="814" spans="17:28" ht="13"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</row>
    <row r="815" spans="17:28" ht="13"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</row>
    <row r="816" spans="17:28" ht="13"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</row>
    <row r="817" spans="17:28" ht="13"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</row>
    <row r="818" spans="17:28" ht="13"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</row>
    <row r="819" spans="17:28" ht="13"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</row>
    <row r="820" spans="17:28" ht="13"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</row>
    <row r="821" spans="17:28" ht="13"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</row>
    <row r="822" spans="17:28" ht="13"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</row>
    <row r="823" spans="17:28" ht="13"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</row>
    <row r="824" spans="17:28" ht="13"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</row>
    <row r="825" spans="17:28" ht="13"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</row>
    <row r="826" spans="17:28" ht="13"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</row>
    <row r="827" spans="17:28" ht="13"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</row>
    <row r="828" spans="17:28" ht="13"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</row>
    <row r="829" spans="17:28" ht="13"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</row>
    <row r="830" spans="17:28" ht="13"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</row>
    <row r="831" spans="17:28" ht="13"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</row>
    <row r="832" spans="17:28" ht="13"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</row>
    <row r="833" spans="17:28" ht="13"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</row>
    <row r="834" spans="17:28" ht="13"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</row>
    <row r="835" spans="17:28" ht="13"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</row>
    <row r="836" spans="17:28" ht="13"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</row>
    <row r="837" spans="17:28" ht="13"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</row>
    <row r="838" spans="17:28" ht="13"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</row>
    <row r="839" spans="17:28" ht="13"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</row>
    <row r="840" spans="17:28" ht="13"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</row>
    <row r="841" spans="17:28" ht="13"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</row>
    <row r="842" spans="17:28" ht="13"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</row>
    <row r="843" spans="17:28" ht="13"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</row>
    <row r="844" spans="17:28" ht="13"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</row>
    <row r="845" spans="17:28" ht="13"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</row>
    <row r="846" spans="17:28" ht="13"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</row>
    <row r="847" spans="17:28" ht="13"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</row>
    <row r="848" spans="17:28" ht="13"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</row>
    <row r="849" spans="17:28" ht="13"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</row>
    <row r="850" spans="17:28" ht="13"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</row>
    <row r="851" spans="17:28" ht="13"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</row>
    <row r="852" spans="17:28" ht="13"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</row>
    <row r="853" spans="17:28" ht="13"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</row>
    <row r="854" spans="17:28" ht="13"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</row>
    <row r="855" spans="17:28" ht="13"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</row>
    <row r="856" spans="17:28" ht="13"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</row>
    <row r="857" spans="17:28" ht="13"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</row>
    <row r="858" spans="17:28" ht="13"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</row>
    <row r="859" spans="17:28" ht="13"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</row>
    <row r="860" spans="17:28" ht="13"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</row>
    <row r="861" spans="17:28" ht="13"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</row>
    <row r="862" spans="17:28" ht="13"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</row>
    <row r="863" spans="17:28" ht="13"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</row>
    <row r="864" spans="17:28" ht="13"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</row>
    <row r="865" spans="17:28" ht="13"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</row>
    <row r="866" spans="17:28" ht="13"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</row>
    <row r="867" spans="17:28" ht="13"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</row>
    <row r="868" spans="17:28" ht="13"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</row>
    <row r="869" spans="17:28" ht="13"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</row>
    <row r="870" spans="17:28" ht="13"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</row>
    <row r="871" spans="17:28" ht="13"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</row>
    <row r="872" spans="17:28" ht="13"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</row>
    <row r="873" spans="17:28" ht="13"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</row>
    <row r="874" spans="17:28" ht="13"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</row>
    <row r="875" spans="17:28" ht="13"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</row>
    <row r="876" spans="17:28" ht="13"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</row>
    <row r="877" spans="17:28" ht="13"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</row>
    <row r="878" spans="17:28" ht="13"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</row>
    <row r="879" spans="17:28" ht="13"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</row>
    <row r="880" spans="17:28" ht="13"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</row>
    <row r="881" spans="17:28" ht="13"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</row>
    <row r="882" spans="17:28" ht="13"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</row>
    <row r="883" spans="17:28" ht="13"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</row>
    <row r="884" spans="17:28" ht="13"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</row>
    <row r="885" spans="17:28" ht="13"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</row>
    <row r="886" spans="17:28" ht="13"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</row>
    <row r="887" spans="17:28" ht="13"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</row>
    <row r="888" spans="17:28" ht="13"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</row>
    <row r="889" spans="17:28" ht="13"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</row>
    <row r="890" spans="17:28" ht="13"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</row>
    <row r="891" spans="17:28" ht="13"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</row>
    <row r="892" spans="17:28" ht="13"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</row>
    <row r="893" spans="17:28" ht="13"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</row>
    <row r="894" spans="17:28" ht="13"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</row>
    <row r="895" spans="17:28" ht="13"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</row>
    <row r="896" spans="17:28" ht="13"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</row>
    <row r="897" spans="17:28" ht="13"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</row>
    <row r="898" spans="17:28" ht="13"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</row>
    <row r="899" spans="17:28" ht="13"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</row>
    <row r="900" spans="17:28" ht="13"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</row>
    <row r="901" spans="17:28" ht="13"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</row>
    <row r="902" spans="17:28" ht="13"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</row>
    <row r="903" spans="17:28" ht="13"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</row>
    <row r="904" spans="17:28" ht="13"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</row>
    <row r="905" spans="17:28" ht="13"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</row>
    <row r="906" spans="17:28" ht="13"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</row>
    <row r="907" spans="17:28" ht="13"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</row>
    <row r="908" spans="17:28" ht="13"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</row>
    <row r="909" spans="17:28" ht="13"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</row>
    <row r="910" spans="17:28" ht="13"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</row>
    <row r="911" spans="17:28" ht="13"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</row>
    <row r="912" spans="17:28" ht="13"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</row>
    <row r="913" spans="17:28" ht="13"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</row>
    <row r="914" spans="17:28" ht="13"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</row>
    <row r="915" spans="17:28" ht="13"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</row>
    <row r="916" spans="17:28" ht="13"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</row>
    <row r="917" spans="17:28" ht="13"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</row>
    <row r="918" spans="17:28" ht="13"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</row>
    <row r="919" spans="17:28" ht="13"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</row>
    <row r="920" spans="17:28" ht="13"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</row>
    <row r="921" spans="17:28" ht="13"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</row>
    <row r="922" spans="17:28" ht="13"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</row>
    <row r="923" spans="17:28" ht="13"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</row>
    <row r="924" spans="17:28" ht="13"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</row>
    <row r="925" spans="17:28" ht="13"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</row>
    <row r="926" spans="17:28" ht="13"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</row>
    <row r="927" spans="17:28" ht="13"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</row>
    <row r="928" spans="17:28" ht="13"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</row>
    <row r="929" spans="17:28" ht="13"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</row>
    <row r="930" spans="17:28" ht="13"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</row>
    <row r="931" spans="17:28" ht="13"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</row>
    <row r="932" spans="17:28" ht="13"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</row>
    <row r="933" spans="17:28" ht="13"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</row>
    <row r="934" spans="17:28" ht="13"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</row>
    <row r="935" spans="17:28" ht="13"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</row>
    <row r="936" spans="17:28" ht="13"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</row>
    <row r="937" spans="17:28" ht="13"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</row>
    <row r="938" spans="17:28" ht="13"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</row>
    <row r="939" spans="17:28" ht="13"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</row>
    <row r="940" spans="17:28" ht="13"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</row>
    <row r="941" spans="17:28" ht="13"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</row>
    <row r="942" spans="17:28" ht="13"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</row>
    <row r="943" spans="17:28" ht="13"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</row>
    <row r="944" spans="17:28" ht="13"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</row>
    <row r="945" spans="17:28" ht="13"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</row>
    <row r="946" spans="17:28" ht="13"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</row>
    <row r="947" spans="17:28" ht="13"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</row>
    <row r="948" spans="17:28" ht="13"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</row>
    <row r="949" spans="17:28" ht="13"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</row>
    <row r="950" spans="17:28" ht="13"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</row>
    <row r="951" spans="17:28" ht="13"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</row>
    <row r="952" spans="17:28" ht="13"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</row>
    <row r="953" spans="17:28" ht="13"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</row>
    <row r="954" spans="17:28" ht="13"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</row>
    <row r="955" spans="17:28" ht="13"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</row>
    <row r="956" spans="17:28" ht="13"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</row>
    <row r="957" spans="17:28" ht="13"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</row>
    <row r="958" spans="17:28" ht="13"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</row>
    <row r="959" spans="17:28" ht="13"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</row>
    <row r="960" spans="17:28" ht="13"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</row>
    <row r="961" spans="17:28" ht="13"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</row>
    <row r="962" spans="17:28" ht="13"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</row>
    <row r="963" spans="17:28" ht="13"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</row>
    <row r="964" spans="17:28" ht="13"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</row>
    <row r="965" spans="17:28" ht="13"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</row>
    <row r="966" spans="17:28" ht="13"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</row>
    <row r="967" spans="17:28" ht="13"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</row>
    <row r="968" spans="17:28" ht="13"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</row>
    <row r="969" spans="17:28" ht="13"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</row>
    <row r="970" spans="17:28" ht="13"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</row>
    <row r="971" spans="17:28" ht="13"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</row>
    <row r="972" spans="17:28" ht="13"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</row>
    <row r="973" spans="17:28" ht="13"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</row>
    <row r="974" spans="17:28" ht="13"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</row>
    <row r="975" spans="17:28" ht="13"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</row>
    <row r="976" spans="17:28" ht="13"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</row>
    <row r="977" spans="17:28" ht="13"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</row>
    <row r="978" spans="17:28" ht="13"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</row>
    <row r="979" spans="17:28" ht="13"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</row>
    <row r="980" spans="17:28" ht="13"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</row>
    <row r="981" spans="17:28" ht="13"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</row>
    <row r="982" spans="17:28" ht="13"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</row>
    <row r="983" spans="17:28" ht="13"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</row>
    <row r="984" spans="17:28" ht="13"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</row>
    <row r="985" spans="17:28" ht="13"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</row>
    <row r="986" spans="17:28" ht="13"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</row>
    <row r="987" spans="17:28" ht="13"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</row>
    <row r="988" spans="17:28" ht="13"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</row>
    <row r="989" spans="17:28" ht="13"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</row>
    <row r="990" spans="17:28" ht="13"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</row>
    <row r="991" spans="17:28" ht="13"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</row>
    <row r="992" spans="17:28" ht="13"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</row>
    <row r="993" spans="17:28" ht="13"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</row>
    <row r="994" spans="17:28" ht="13"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</row>
    <row r="995" spans="17:28" ht="13"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</row>
    <row r="996" spans="17:28" ht="13"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</row>
    <row r="997" spans="17:28" ht="13"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</row>
    <row r="998" spans="17:28" ht="13"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</row>
    <row r="999" spans="17:28" ht="13"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</row>
    <row r="1000" spans="17:28" ht="13"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</row>
    <row r="1001" spans="17:28" ht="13"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</row>
    <row r="1002" spans="17:28" ht="13"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</row>
    <row r="1003" spans="17:28" ht="13"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</row>
    <row r="1004" spans="17:28" ht="13"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</row>
    <row r="1005" spans="17:28" ht="13"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</row>
    <row r="1006" spans="17:28" ht="13"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</row>
    <row r="1007" spans="17:28" ht="13"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</row>
    <row r="1008" spans="17:28" ht="13"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</row>
    <row r="1009" spans="17:28" ht="13"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</row>
    <row r="1010" spans="17:28" ht="13"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</row>
    <row r="1011" spans="17:28" ht="13"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</row>
    <row r="1012" spans="17:28" ht="13"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</row>
    <row r="1013" spans="17:28" ht="13"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</row>
    <row r="1014" spans="17:28" ht="13"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</row>
    <row r="1015" spans="17:28" ht="13"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</row>
    <row r="1016" spans="17:28" ht="13"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</row>
    <row r="1017" spans="17:28" ht="13"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</row>
    <row r="1018" spans="17:28" ht="13"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</row>
    <row r="1019" spans="17:28" ht="13"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</row>
    <row r="1020" spans="17:28" ht="13"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</row>
    <row r="1021" spans="17:28" ht="13"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</row>
    <row r="1022" spans="17:28" ht="13"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</row>
    <row r="1023" spans="17:28" ht="13"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</row>
    <row r="1024" spans="17:28" ht="13"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</row>
    <row r="1025" spans="17:28" ht="13"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</row>
    <row r="1026" spans="17:28" ht="13"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</row>
    <row r="1027" spans="17:28" ht="13"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</row>
    <row r="1028" spans="17:28" ht="13"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</row>
    <row r="1029" spans="17:28" ht="13"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</row>
    <row r="1030" spans="17:28" ht="13"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</row>
    <row r="1031" spans="17:28" ht="13"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</row>
    <row r="1032" spans="17:28" ht="13"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</row>
    <row r="1033" spans="17:28" ht="13"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</row>
    <row r="1034" spans="17:28" ht="13"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</row>
    <row r="1035" spans="17:28" ht="13"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</row>
    <row r="1036" spans="17:28" ht="13"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</row>
    <row r="1037" spans="17:28" ht="13"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</row>
    <row r="1038" spans="17:28" ht="13"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</row>
    <row r="1039" spans="17:28" ht="13"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</row>
    <row r="1040" spans="17:28" ht="13"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</row>
    <row r="1041" spans="17:28" ht="13"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</row>
    <row r="1042" spans="17:28" ht="13"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</row>
    <row r="1043" spans="17:28" ht="13"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</row>
    <row r="1044" spans="17:28" ht="13"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</row>
    <row r="1045" spans="17:28" ht="13"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</row>
    <row r="1046" spans="17:28" ht="13"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</row>
    <row r="1047" spans="17:28" ht="13"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</row>
    <row r="1048" spans="17:28" ht="13"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</row>
    <row r="1049" spans="17:28" ht="13"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</row>
    <row r="1050" spans="17:28" ht="13"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</row>
    <row r="1051" spans="17:28" ht="13"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</row>
    <row r="1052" spans="17:28" ht="13"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</row>
    <row r="1053" spans="17:28" ht="13"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</row>
    <row r="1054" spans="17:28" ht="13"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</row>
    <row r="1055" spans="17:28" ht="13"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</row>
    <row r="1056" spans="17:28" ht="13"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</row>
    <row r="1057" spans="17:28" ht="13"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</row>
    <row r="1058" spans="17:28" ht="13"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</row>
    <row r="1059" spans="17:28" ht="13"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</row>
    <row r="1060" spans="17:28" ht="13"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</row>
    <row r="1061" spans="17:28" ht="13"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</row>
    <row r="1062" spans="17:28" ht="13"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</row>
    <row r="1063" spans="17:28" ht="13"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</row>
    <row r="1064" spans="17:28" ht="13"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</row>
    <row r="1065" spans="17:28" ht="13"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</row>
    <row r="1066" spans="17:28" ht="13"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</row>
    <row r="1067" spans="17:28" ht="13"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</row>
    <row r="1068" spans="17:28" ht="13"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</row>
    <row r="1069" spans="17:28" ht="13"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</row>
    <row r="1070" spans="17:28" ht="13"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</row>
    <row r="1071" spans="17:28" ht="13"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</row>
    <row r="1072" spans="17:28" ht="13"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</row>
    <row r="1073" spans="17:28" ht="13"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</row>
    <row r="1074" spans="17:28" ht="13"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</row>
    <row r="1075" spans="17:28" ht="13"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</row>
    <row r="1076" spans="17:28" ht="13"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</row>
    <row r="1077" spans="17:28" ht="13"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</row>
    <row r="1078" spans="17:28" ht="13"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</row>
    <row r="1079" spans="17:28" ht="13"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</row>
    <row r="1080" spans="17:28" ht="13"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</row>
    <row r="1081" spans="17:28" ht="13"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</row>
    <row r="1082" spans="17:28" ht="13"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</row>
    <row r="1083" spans="17:28" ht="13"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</row>
    <row r="1084" spans="17:28" ht="13"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</row>
    <row r="1085" spans="17:28" ht="13"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</row>
    <row r="1086" spans="17:28" ht="13"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</row>
    <row r="1087" spans="17:28" ht="13"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</row>
    <row r="1088" spans="17:28" ht="13"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</row>
    <row r="1089" spans="17:28" ht="13"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</row>
    <row r="1090" spans="17:28" ht="13"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</row>
    <row r="1091" spans="17:28" ht="13"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</row>
    <row r="1092" spans="17:28" ht="13"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</row>
    <row r="1093" spans="17:28" ht="13"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</row>
    <row r="1094" spans="17:28" ht="13"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</row>
    <row r="1095" spans="17:28" ht="13"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</row>
    <row r="1096" spans="17:28" ht="13"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</row>
    <row r="1097" spans="17:28" ht="13"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</row>
    <row r="1098" spans="17:28" ht="13"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</row>
    <row r="1099" spans="17:28" ht="13"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</row>
    <row r="1100" spans="17:28" ht="13"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</row>
    <row r="1101" spans="17:28" ht="13"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</row>
    <row r="1102" spans="17:28" ht="13"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</row>
    <row r="1103" spans="17:28" ht="13"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</row>
    <row r="1104" spans="17:28" ht="13"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</row>
    <row r="1105" spans="17:28" ht="13"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</row>
    <row r="1106" spans="17:28" ht="13"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</row>
    <row r="1107" spans="17:28" ht="13"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</row>
    <row r="1108" spans="17:28" ht="13"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</row>
    <row r="1109" spans="17:28" ht="13"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</row>
    <row r="1110" spans="17:28" ht="13"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</row>
    <row r="1111" spans="17:28" ht="13"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</row>
    <row r="1112" spans="17:28" ht="13"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</row>
    <row r="1113" spans="17:28" ht="13"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</row>
    <row r="1114" spans="17:28" ht="13"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</row>
    <row r="1115" spans="17:28" ht="13"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</row>
    <row r="1116" spans="17:28" ht="13"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</row>
    <row r="1117" spans="17:28" ht="13"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</row>
    <row r="1118" spans="17:28" ht="13"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</row>
    <row r="1119" spans="17:28" ht="13"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</row>
    <row r="1120" spans="17:28" ht="13"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</row>
    <row r="1121" spans="17:28" ht="13"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</row>
    <row r="1122" spans="17:28" ht="13"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</row>
    <row r="1123" spans="17:28" ht="13"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</row>
    <row r="1124" spans="17:28" ht="13"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</row>
    <row r="1125" spans="17:28" ht="13"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</row>
    <row r="1126" spans="17:28" ht="13"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</row>
    <row r="1127" spans="17:28" ht="13"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</row>
    <row r="1128" spans="17:28" ht="13"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</row>
    <row r="1129" spans="17:28" ht="13"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</row>
    <row r="1130" spans="17:28" ht="13"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</row>
    <row r="1131" spans="17:28" ht="13"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</row>
    <row r="1132" spans="17:28" ht="13"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</row>
    <row r="1133" spans="17:28" ht="13"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</row>
    <row r="1134" spans="17:28" ht="13"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</row>
    <row r="1135" spans="17:28" ht="13"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</row>
    <row r="1136" spans="17:28" ht="13"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</row>
    <row r="1137" spans="17:28" ht="13"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</row>
    <row r="1138" spans="17:28" ht="13"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</row>
    <row r="1139" spans="17:28" ht="13"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</row>
    <row r="1140" spans="17:28" ht="13"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</row>
    <row r="1141" spans="17:28" ht="13"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</row>
    <row r="1142" spans="17:28" ht="13"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</row>
    <row r="1143" spans="17:28" ht="13"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</row>
    <row r="1144" spans="17:28" ht="13"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</row>
    <row r="1145" spans="17:28" ht="13"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</row>
    <row r="1146" spans="17:28" ht="13"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</row>
    <row r="1147" spans="17:28" ht="13"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</row>
    <row r="1148" spans="17:28" ht="13"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</row>
    <row r="1149" spans="17:28" ht="13"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</row>
    <row r="1150" spans="17:28" ht="13"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</row>
    <row r="1151" spans="17:28" ht="13"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</row>
    <row r="1152" spans="17:28" ht="13"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</row>
    <row r="1153" spans="17:28" ht="13"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</row>
    <row r="1154" spans="17:28" ht="13"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</row>
    <row r="1155" spans="17:28" ht="13"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</row>
    <row r="1156" spans="17:28" ht="13"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</row>
    <row r="1157" spans="17:28" ht="13"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</row>
    <row r="1158" spans="17:28" ht="13"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</row>
    <row r="1159" spans="17:28" ht="13"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</row>
    <row r="1160" spans="17:28" ht="13"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</row>
    <row r="1161" spans="17:28" ht="13"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</row>
    <row r="1162" spans="17:28" ht="13"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</row>
    <row r="1163" spans="17:28" ht="13"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</row>
    <row r="1164" spans="17:28" ht="13"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</row>
    <row r="1165" spans="17:28" ht="13"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</row>
    <row r="1166" spans="17:28" ht="13"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</row>
    <row r="1167" spans="17:28" ht="13"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</row>
    <row r="1168" spans="17:28" ht="13"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</row>
    <row r="1169" spans="17:28" ht="13"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</row>
    <row r="1170" spans="17:28" ht="13"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</row>
    <row r="1171" spans="17:28" ht="13"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</row>
    <row r="1172" spans="17:28" ht="13"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</row>
    <row r="1173" spans="17:28" ht="13"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</row>
    <row r="1174" spans="17:28" ht="13"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</row>
    <row r="1175" spans="17:28" ht="13"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</row>
    <row r="1176" spans="17:28" ht="13"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</row>
    <row r="1177" spans="17:28" ht="13"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</row>
    <row r="1178" spans="17:28" ht="13"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</row>
    <row r="1179" spans="17:28" ht="13"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</row>
    <row r="1180" spans="17:28" ht="13"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</row>
    <row r="1181" spans="17:28" ht="13"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</row>
    <row r="1182" spans="17:28" ht="13"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</row>
    <row r="1183" spans="17:28" ht="13"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</row>
    <row r="1184" spans="17:28" ht="13"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</row>
    <row r="1185" spans="17:28" ht="13"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</row>
    <row r="1186" spans="17:28" ht="13"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</row>
    <row r="1187" spans="17:28" ht="13"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</row>
    <row r="1188" spans="17:28" ht="13"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</row>
    <row r="1189" spans="17:28" ht="13"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</row>
    <row r="1190" spans="17:28" ht="13"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</row>
    <row r="1191" spans="17:28" ht="13"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</row>
    <row r="1192" spans="17:28" ht="13"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</row>
    <row r="1193" spans="17:28" ht="13"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</row>
    <row r="1194" spans="17:28" ht="13"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</row>
    <row r="1195" spans="17:28" ht="13"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</row>
    <row r="1196" spans="17:28" ht="13"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</row>
    <row r="1197" spans="17:28" ht="13"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</row>
    <row r="1198" spans="17:28" ht="13"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</row>
    <row r="1199" spans="17:28" ht="13"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</row>
    <row r="1200" spans="17:28" ht="13"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</row>
    <row r="1201" spans="17:28" ht="13"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</row>
    <row r="1202" spans="17:28" ht="13"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</row>
    <row r="1203" spans="17:28" ht="13"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</row>
    <row r="1204" spans="17:28" ht="13"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</row>
    <row r="1205" spans="17:28" ht="13"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</row>
    <row r="1206" spans="17:28" ht="13"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</row>
    <row r="1207" spans="17:28" ht="13"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</row>
    <row r="1208" spans="17:28" ht="13"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</row>
    <row r="1209" spans="17:28" ht="13"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</row>
    <row r="1210" spans="17:28" ht="13"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</row>
    <row r="1211" spans="17:28" ht="13"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</row>
    <row r="1212" spans="17:28" ht="13"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</row>
    <row r="1213" spans="17:28" ht="13"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</row>
    <row r="1214" spans="17:28" ht="13"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</row>
    <row r="1215" spans="17:28" ht="13"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</row>
    <row r="1216" spans="17:28" ht="13"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</row>
    <row r="1217" spans="17:28" ht="13"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</row>
    <row r="1218" spans="17:28" ht="13"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</row>
    <row r="1219" spans="17:28" ht="13"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</row>
    <row r="1220" spans="17:28" ht="13"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</row>
    <row r="1221" spans="17:28" ht="13"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</row>
  </sheetData>
  <autoFilter ref="A5:P255" xr:uid="{00000000-0009-0000-0000-000003000000}">
    <filterColumn colId="5">
      <filters>
        <filter val="PHÚ QUỐC"/>
      </filters>
    </filterColumn>
  </autoFilter>
  <mergeCells count="11">
    <mergeCell ref="I269:J269"/>
    <mergeCell ref="I270:J270"/>
    <mergeCell ref="I271:J271"/>
    <mergeCell ref="I272:J272"/>
    <mergeCell ref="D1:O1"/>
    <mergeCell ref="D2:O2"/>
    <mergeCell ref="G3:J3"/>
    <mergeCell ref="K3:L3"/>
    <mergeCell ref="I266:J266"/>
    <mergeCell ref="I267:J267"/>
    <mergeCell ref="I268:J26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31"/>
  <sheetViews>
    <sheetView workbookViewId="0"/>
  </sheetViews>
  <sheetFormatPr baseColWidth="10" defaultColWidth="12.6640625" defaultRowHeight="15.75" customHeight="1"/>
  <cols>
    <col min="5" max="5" width="10" customWidth="1"/>
    <col min="6" max="6" width="22.1640625" customWidth="1"/>
    <col min="9" max="9" width="20.83203125" customWidth="1"/>
    <col min="12" max="12" width="19" customWidth="1"/>
    <col min="13" max="13" width="6.6640625" customWidth="1"/>
    <col min="14" max="14" width="11" customWidth="1"/>
  </cols>
  <sheetData>
    <row r="1" spans="1:28">
      <c r="A1" s="198"/>
      <c r="B1" s="199"/>
      <c r="C1" s="199"/>
      <c r="D1" s="493" t="s">
        <v>2489</v>
      </c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266" t="s">
        <v>2553</v>
      </c>
      <c r="Q1" s="267" t="s">
        <v>48</v>
      </c>
      <c r="R1" s="261"/>
      <c r="S1" s="261"/>
      <c r="T1" s="261"/>
      <c r="U1" s="261"/>
    </row>
    <row r="2" spans="1:28">
      <c r="A2" s="198"/>
      <c r="B2" s="202"/>
      <c r="C2" s="202"/>
      <c r="D2" s="494">
        <v>46054</v>
      </c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266" t="s">
        <v>2554</v>
      </c>
      <c r="Q2" s="267" t="s">
        <v>53</v>
      </c>
      <c r="R2" s="261"/>
      <c r="S2" s="261"/>
      <c r="T2" s="261"/>
      <c r="U2" s="261"/>
    </row>
    <row r="3" spans="1:28">
      <c r="A3" s="198"/>
      <c r="B3" s="202"/>
      <c r="C3" s="202"/>
      <c r="D3" s="204" t="s">
        <v>1384</v>
      </c>
      <c r="E3" s="205"/>
      <c r="F3" s="205"/>
      <c r="G3" s="493" t="s">
        <v>2490</v>
      </c>
      <c r="H3" s="482"/>
      <c r="I3" s="482"/>
      <c r="J3" s="482"/>
      <c r="K3" s="495"/>
      <c r="L3" s="482"/>
      <c r="M3" s="200"/>
      <c r="N3" s="205"/>
      <c r="O3" s="205"/>
      <c r="P3" s="266" t="s">
        <v>2555</v>
      </c>
      <c r="Q3" s="267" t="s">
        <v>55</v>
      </c>
      <c r="R3" s="261"/>
      <c r="S3" s="261"/>
      <c r="T3" s="261"/>
      <c r="U3" s="261"/>
    </row>
    <row r="4" spans="1:28">
      <c r="A4" s="198"/>
      <c r="B4" s="206"/>
      <c r="C4" s="206"/>
      <c r="D4" s="207"/>
      <c r="E4" s="208"/>
      <c r="F4" s="208" t="e">
        <v>#N/A</v>
      </c>
      <c r="G4" s="209"/>
      <c r="H4" s="209"/>
      <c r="I4" s="209"/>
      <c r="J4" s="209"/>
      <c r="K4" s="210">
        <v>2</v>
      </c>
      <c r="L4" s="210">
        <v>2</v>
      </c>
      <c r="M4" s="210"/>
      <c r="N4" s="208" t="e">
        <v>#N/A</v>
      </c>
      <c r="O4" s="205"/>
      <c r="P4" s="266" t="s">
        <v>2556</v>
      </c>
      <c r="Q4" s="267" t="s">
        <v>57</v>
      </c>
      <c r="R4" s="261"/>
      <c r="S4" s="261"/>
      <c r="T4" s="261"/>
      <c r="U4" s="261"/>
    </row>
    <row r="5" spans="1:28">
      <c r="A5" s="211" t="s">
        <v>2491</v>
      </c>
      <c r="B5" s="212" t="s">
        <v>2492</v>
      </c>
      <c r="C5" s="268" t="s">
        <v>2493</v>
      </c>
      <c r="D5" s="212" t="s">
        <v>1389</v>
      </c>
      <c r="E5" s="212" t="s">
        <v>2494</v>
      </c>
      <c r="F5" s="212" t="s">
        <v>1391</v>
      </c>
      <c r="G5" s="212" t="s">
        <v>2495</v>
      </c>
      <c r="H5" s="212" t="s">
        <v>2496</v>
      </c>
      <c r="I5" s="212" t="s">
        <v>2498</v>
      </c>
      <c r="J5" s="212" t="s">
        <v>1393</v>
      </c>
      <c r="K5" s="212" t="s">
        <v>2557</v>
      </c>
      <c r="L5" s="212" t="s">
        <v>1393</v>
      </c>
      <c r="M5" s="212" t="s">
        <v>1397</v>
      </c>
      <c r="N5" s="212" t="s">
        <v>1398</v>
      </c>
      <c r="O5" s="212" t="s">
        <v>1399</v>
      </c>
      <c r="P5" s="212" t="s">
        <v>2499</v>
      </c>
      <c r="Q5" s="261"/>
      <c r="R5" s="261"/>
      <c r="S5" s="261"/>
      <c r="T5" s="261"/>
      <c r="U5" s="261"/>
    </row>
    <row r="6" spans="1:28">
      <c r="A6" s="269">
        <v>1</v>
      </c>
      <c r="B6" s="270" t="s">
        <v>106</v>
      </c>
      <c r="C6" s="271" t="s">
        <v>2558</v>
      </c>
      <c r="D6" s="272">
        <v>46082</v>
      </c>
      <c r="E6" s="115" t="str">
        <f>VLOOKUP($C6,xe!$A:$B,2,0)</f>
        <v>50H-69717</v>
      </c>
      <c r="F6" s="273" t="str">
        <f>VLOOKUP($B6,ma!$A:$B,2,0)</f>
        <v>Chuyển hàng Calofic</v>
      </c>
      <c r="G6" s="274"/>
      <c r="H6" s="274"/>
      <c r="I6" s="275">
        <v>200000</v>
      </c>
      <c r="J6" s="274" t="s">
        <v>1928</v>
      </c>
      <c r="K6" s="219"/>
      <c r="L6" s="218"/>
      <c r="M6" s="276">
        <v>6</v>
      </c>
      <c r="N6" s="221">
        <f>VLOOKUP($B6,ma!$A:$C,3,0)</f>
        <v>180000</v>
      </c>
      <c r="O6" s="221">
        <f t="shared" ref="O6:O115" si="0">M6*N6</f>
        <v>1080000</v>
      </c>
      <c r="P6" s="221">
        <f t="shared" ref="P6:P7" si="1">M6*50000</f>
        <v>300000</v>
      </c>
      <c r="Q6" s="201"/>
      <c r="R6" s="201"/>
      <c r="S6" s="201"/>
      <c r="T6" s="201"/>
      <c r="U6" s="201"/>
      <c r="V6" s="32"/>
      <c r="W6" s="32"/>
      <c r="X6" s="32"/>
      <c r="Y6" s="32"/>
      <c r="Z6" s="32"/>
      <c r="AA6" s="32"/>
      <c r="AB6" s="32"/>
    </row>
    <row r="7" spans="1:28">
      <c r="A7" s="269">
        <v>2</v>
      </c>
      <c r="B7" s="277" t="s">
        <v>106</v>
      </c>
      <c r="C7" s="278" t="s">
        <v>2559</v>
      </c>
      <c r="D7" s="279">
        <v>46082</v>
      </c>
      <c r="E7" s="280" t="str">
        <f>VLOOKUP($C7,xe!$A:$B,2,0)</f>
        <v>50H-75206</v>
      </c>
      <c r="F7" s="281" t="str">
        <f>VLOOKUP($B7,ma!$A:$B,2,0)</f>
        <v>Chuyển hàng Calofic</v>
      </c>
      <c r="G7" s="282"/>
      <c r="H7" s="282"/>
      <c r="I7" s="283"/>
      <c r="J7" s="282" t="s">
        <v>1928</v>
      </c>
      <c r="K7" s="284"/>
      <c r="L7" s="285"/>
      <c r="M7" s="286">
        <v>7</v>
      </c>
      <c r="N7" s="287">
        <f>VLOOKUP($B7,ma!$A:$C,3,0)</f>
        <v>180000</v>
      </c>
      <c r="O7" s="287">
        <f t="shared" si="0"/>
        <v>1260000</v>
      </c>
      <c r="P7" s="287">
        <f t="shared" si="1"/>
        <v>350000</v>
      </c>
      <c r="Q7" s="201"/>
      <c r="R7" s="201"/>
      <c r="S7" s="201"/>
      <c r="T7" s="201"/>
      <c r="U7" s="201"/>
      <c r="V7" s="32"/>
      <c r="W7" s="32"/>
      <c r="X7" s="32"/>
      <c r="Y7" s="32"/>
      <c r="Z7" s="32"/>
      <c r="AA7" s="32"/>
      <c r="AB7" s="32"/>
    </row>
    <row r="8" spans="1:28">
      <c r="A8" s="234">
        <v>3</v>
      </c>
      <c r="B8" s="288" t="s">
        <v>102</v>
      </c>
      <c r="C8" s="288" t="s">
        <v>2560</v>
      </c>
      <c r="D8" s="289">
        <v>46083</v>
      </c>
      <c r="E8" s="290" t="str">
        <f>VLOOKUP($C8,xe!$A:$B,2,0)</f>
        <v>50H-55294</v>
      </c>
      <c r="F8" s="291" t="str">
        <f>VLOOKUP($B8,ma!$A:$B,2,0)</f>
        <v>Chuyển Hàng ndfc</v>
      </c>
      <c r="G8" s="292"/>
      <c r="H8" s="292"/>
      <c r="I8" s="293"/>
      <c r="J8" s="292"/>
      <c r="K8" s="293"/>
      <c r="L8" s="292"/>
      <c r="M8" s="294">
        <v>2</v>
      </c>
      <c r="N8" s="295">
        <f>VLOOKUP($B8,ma!$A:$C,3,0)</f>
        <v>410000</v>
      </c>
      <c r="O8" s="295">
        <f t="shared" si="0"/>
        <v>820000</v>
      </c>
      <c r="P8" s="295">
        <v>200000</v>
      </c>
      <c r="Q8" s="201"/>
      <c r="R8" s="201"/>
      <c r="S8" s="201"/>
      <c r="T8" s="201"/>
      <c r="U8" s="201"/>
      <c r="V8" s="32"/>
      <c r="W8" s="32"/>
      <c r="X8" s="32"/>
      <c r="Y8" s="32"/>
      <c r="Z8" s="32"/>
      <c r="AA8" s="32"/>
      <c r="AB8" s="32"/>
    </row>
    <row r="9" spans="1:28">
      <c r="A9" s="214">
        <v>4</v>
      </c>
      <c r="B9" s="296" t="s">
        <v>106</v>
      </c>
      <c r="C9" s="297" t="s">
        <v>2558</v>
      </c>
      <c r="D9" s="298">
        <v>46083</v>
      </c>
      <c r="E9" s="170" t="str">
        <f>VLOOKUP($C9,xe!$A:$B,2,0)</f>
        <v>50H-69717</v>
      </c>
      <c r="F9" s="299" t="str">
        <f>VLOOKUP($B9,ma!$A:$B,2,0)</f>
        <v>Chuyển hàng Calofic</v>
      </c>
      <c r="G9" s="292"/>
      <c r="H9" s="292"/>
      <c r="I9" s="293"/>
      <c r="J9" s="292"/>
      <c r="K9" s="293"/>
      <c r="L9" s="292"/>
      <c r="M9" s="294">
        <v>11</v>
      </c>
      <c r="N9" s="295">
        <f>VLOOKUP($B9,ma!$A:$C,3,0)</f>
        <v>180000</v>
      </c>
      <c r="O9" s="295">
        <f t="shared" si="0"/>
        <v>1980000</v>
      </c>
      <c r="P9" s="295">
        <f>M9*50000</f>
        <v>550000</v>
      </c>
      <c r="Q9" s="201"/>
      <c r="R9" s="201"/>
      <c r="S9" s="201"/>
      <c r="T9" s="201"/>
      <c r="U9" s="201"/>
      <c r="V9" s="32"/>
      <c r="W9" s="32"/>
      <c r="X9" s="32"/>
      <c r="Y9" s="32"/>
      <c r="Z9" s="32"/>
      <c r="AA9" s="32"/>
      <c r="AB9" s="32"/>
    </row>
    <row r="10" spans="1:28">
      <c r="A10" s="214">
        <v>5</v>
      </c>
      <c r="B10" s="300" t="s">
        <v>2561</v>
      </c>
      <c r="C10" s="301" t="s">
        <v>2559</v>
      </c>
      <c r="D10" s="298">
        <v>46083</v>
      </c>
      <c r="E10" s="170" t="str">
        <f>VLOOKUP($C10,xe!$A:$B,2,0)</f>
        <v>50H-75206</v>
      </c>
      <c r="F10" s="299" t="str">
        <f>VLOOKUP($B10,ma!$A:$B,2,0)</f>
        <v>MCC 6 CHUYẾN</v>
      </c>
      <c r="G10" s="292"/>
      <c r="H10" s="292"/>
      <c r="I10" s="302">
        <v>60000</v>
      </c>
      <c r="J10" s="303" t="s">
        <v>2562</v>
      </c>
      <c r="K10" s="304">
        <v>400000</v>
      </c>
      <c r="L10" s="305" t="s">
        <v>2563</v>
      </c>
      <c r="M10" s="294">
        <v>9</v>
      </c>
      <c r="N10" s="295">
        <f>VLOOKUP($B10,ma!$A:$C,3,0)</f>
        <v>300000</v>
      </c>
      <c r="O10" s="295">
        <f t="shared" si="0"/>
        <v>2700000</v>
      </c>
      <c r="P10" s="295">
        <v>900000</v>
      </c>
      <c r="Q10" s="201"/>
      <c r="R10" s="201"/>
      <c r="S10" s="201"/>
      <c r="T10" s="201"/>
      <c r="U10" s="201"/>
      <c r="V10" s="32"/>
      <c r="W10" s="32"/>
      <c r="X10" s="32"/>
      <c r="Y10" s="32"/>
      <c r="Z10" s="32"/>
      <c r="AA10" s="32"/>
      <c r="AB10" s="32"/>
    </row>
    <row r="11" spans="1:28">
      <c r="A11" s="234">
        <v>6</v>
      </c>
      <c r="B11" s="306" t="s">
        <v>455</v>
      </c>
      <c r="C11" s="307" t="s">
        <v>2560</v>
      </c>
      <c r="D11" s="289">
        <v>46084</v>
      </c>
      <c r="E11" s="290" t="str">
        <f>VLOOKUP($C11,xe!$A:$B,2,0)</f>
        <v>50H-55294</v>
      </c>
      <c r="F11" s="291" t="str">
        <f>VLOOKUP($B11,ma!$A:$B,2,0)</f>
        <v>Chuyển Hàng ndfc</v>
      </c>
      <c r="G11" s="292"/>
      <c r="H11" s="292"/>
      <c r="I11" s="308"/>
      <c r="J11" s="303"/>
      <c r="K11" s="293"/>
      <c r="L11" s="292"/>
      <c r="M11" s="294">
        <v>4</v>
      </c>
      <c r="N11" s="295">
        <f>VLOOKUP($B11,ma!$A:$C,3,0)</f>
        <v>410000</v>
      </c>
      <c r="O11" s="295">
        <f t="shared" si="0"/>
        <v>1640000</v>
      </c>
      <c r="P11" s="295">
        <v>400000</v>
      </c>
      <c r="Q11" s="201"/>
      <c r="R11" s="201"/>
      <c r="S11" s="201"/>
      <c r="T11" s="201"/>
      <c r="U11" s="201"/>
      <c r="V11" s="32"/>
      <c r="W11" s="32"/>
      <c r="X11" s="32"/>
      <c r="Y11" s="32"/>
      <c r="Z11" s="32"/>
      <c r="AA11" s="32"/>
      <c r="AB11" s="32"/>
    </row>
    <row r="12" spans="1:28">
      <c r="A12" s="214">
        <v>7</v>
      </c>
      <c r="B12" s="297" t="s">
        <v>2561</v>
      </c>
      <c r="C12" s="309" t="s">
        <v>2559</v>
      </c>
      <c r="D12" s="298">
        <v>46084</v>
      </c>
      <c r="E12" s="170" t="str">
        <f>VLOOKUP($C12,xe!$A:$B,2,0)</f>
        <v>50H-75206</v>
      </c>
      <c r="F12" s="299" t="str">
        <f>VLOOKUP($B12,ma!$A:$B,2,0)</f>
        <v>MCC 6 CHUYẾN</v>
      </c>
      <c r="G12" s="292"/>
      <c r="H12" s="292"/>
      <c r="I12" s="293">
        <v>20000</v>
      </c>
      <c r="J12" s="292" t="s">
        <v>2562</v>
      </c>
      <c r="K12" s="304">
        <v>2400000</v>
      </c>
      <c r="L12" s="305" t="s">
        <v>2564</v>
      </c>
      <c r="M12" s="294">
        <v>6</v>
      </c>
      <c r="N12" s="295">
        <f>VLOOKUP($B12,ma!$A:$C,3,0)</f>
        <v>300000</v>
      </c>
      <c r="O12" s="295">
        <f t="shared" si="0"/>
        <v>1800000</v>
      </c>
      <c r="P12" s="295">
        <v>600000</v>
      </c>
      <c r="Q12" s="201"/>
      <c r="R12" s="201"/>
      <c r="S12" s="201"/>
      <c r="T12" s="201"/>
      <c r="U12" s="201"/>
      <c r="V12" s="32"/>
      <c r="W12" s="32"/>
      <c r="X12" s="32"/>
      <c r="Y12" s="32"/>
      <c r="Z12" s="32"/>
      <c r="AA12" s="32"/>
      <c r="AB12" s="32"/>
    </row>
    <row r="13" spans="1:28">
      <c r="A13" s="214">
        <v>8</v>
      </c>
      <c r="B13" s="297" t="s">
        <v>106</v>
      </c>
      <c r="C13" s="297" t="s">
        <v>2558</v>
      </c>
      <c r="D13" s="298">
        <v>46084</v>
      </c>
      <c r="E13" s="170" t="str">
        <f>VLOOKUP($C13,xe!$A:$B,2,0)</f>
        <v>50H-69717</v>
      </c>
      <c r="F13" s="299" t="str">
        <f>VLOOKUP($B13,ma!$A:$B,2,0)</f>
        <v>Chuyển hàng Calofic</v>
      </c>
      <c r="G13" s="292"/>
      <c r="H13" s="292"/>
      <c r="I13" s="293"/>
      <c r="J13" s="292"/>
      <c r="K13" s="293"/>
      <c r="L13" s="292"/>
      <c r="M13" s="294">
        <v>7</v>
      </c>
      <c r="N13" s="295">
        <f>VLOOKUP($B13,ma!$A:$C,3,0)</f>
        <v>180000</v>
      </c>
      <c r="O13" s="295">
        <f t="shared" si="0"/>
        <v>1260000</v>
      </c>
      <c r="P13" s="295">
        <f>M13*50000</f>
        <v>350000</v>
      </c>
      <c r="Q13" s="201"/>
      <c r="R13" s="201"/>
      <c r="S13" s="201"/>
      <c r="T13" s="201"/>
      <c r="U13" s="201"/>
      <c r="V13" s="32"/>
      <c r="W13" s="32"/>
      <c r="X13" s="32"/>
      <c r="Y13" s="32"/>
      <c r="Z13" s="32"/>
      <c r="AA13" s="32"/>
      <c r="AB13" s="32"/>
    </row>
    <row r="14" spans="1:28">
      <c r="A14" s="234">
        <v>9</v>
      </c>
      <c r="B14" s="310" t="s">
        <v>102</v>
      </c>
      <c r="C14" s="288" t="s">
        <v>2560</v>
      </c>
      <c r="D14" s="289">
        <v>46085</v>
      </c>
      <c r="E14" s="290" t="str">
        <f>VLOOKUP($C14,xe!$A:$B,2,0)</f>
        <v>50H-55294</v>
      </c>
      <c r="F14" s="291" t="str">
        <f>VLOOKUP($B14,ma!$A:$B,2,0)</f>
        <v>Chuyển Hàng ndfc</v>
      </c>
      <c r="G14" s="292"/>
      <c r="H14" s="292"/>
      <c r="I14" s="293"/>
      <c r="J14" s="292"/>
      <c r="K14" s="293"/>
      <c r="L14" s="292"/>
      <c r="M14" s="294">
        <v>4</v>
      </c>
      <c r="N14" s="295">
        <f>VLOOKUP($B14,ma!$A:$C,3,0)</f>
        <v>410000</v>
      </c>
      <c r="O14" s="295">
        <f t="shared" si="0"/>
        <v>1640000</v>
      </c>
      <c r="P14" s="295">
        <v>400000</v>
      </c>
      <c r="Q14" s="201"/>
      <c r="R14" s="201"/>
      <c r="S14" s="201"/>
      <c r="T14" s="201"/>
      <c r="U14" s="201"/>
      <c r="V14" s="32"/>
      <c r="W14" s="32"/>
      <c r="X14" s="32"/>
      <c r="Y14" s="32"/>
      <c r="Z14" s="32"/>
      <c r="AA14" s="32"/>
      <c r="AB14" s="32"/>
    </row>
    <row r="15" spans="1:28">
      <c r="A15" s="214">
        <v>10</v>
      </c>
      <c r="B15" s="300" t="s">
        <v>2532</v>
      </c>
      <c r="C15" s="301" t="s">
        <v>2559</v>
      </c>
      <c r="D15" s="298">
        <v>46085</v>
      </c>
      <c r="E15" s="170" t="str">
        <f>VLOOKUP($C15,xe!$A:$B,2,0)</f>
        <v>50H-75206</v>
      </c>
      <c r="F15" s="299" t="str">
        <f>VLOOKUP($B15,ma!$A:$B,2,0)</f>
        <v>Chuyển hàng MCC</v>
      </c>
      <c r="G15" s="292"/>
      <c r="H15" s="292"/>
      <c r="I15" s="302">
        <v>40000</v>
      </c>
      <c r="J15" s="303" t="s">
        <v>2562</v>
      </c>
      <c r="K15" s="304">
        <v>4600000</v>
      </c>
      <c r="L15" s="305" t="s">
        <v>2565</v>
      </c>
      <c r="M15" s="294">
        <v>5</v>
      </c>
      <c r="N15" s="295">
        <f>VLOOKUP($B15,ma!$A:$C,3,0)</f>
        <v>414000</v>
      </c>
      <c r="O15" s="295">
        <f t="shared" si="0"/>
        <v>2070000</v>
      </c>
      <c r="P15" s="295">
        <v>500000</v>
      </c>
      <c r="Q15" s="201"/>
      <c r="R15" s="201"/>
      <c r="S15" s="201"/>
      <c r="T15" s="201"/>
      <c r="U15" s="201"/>
      <c r="V15" s="32"/>
      <c r="W15" s="32"/>
      <c r="X15" s="32"/>
      <c r="Y15" s="32"/>
      <c r="Z15" s="32"/>
      <c r="AA15" s="32"/>
      <c r="AB15" s="32"/>
    </row>
    <row r="16" spans="1:28">
      <c r="A16" s="214">
        <v>11</v>
      </c>
      <c r="B16" s="297" t="s">
        <v>106</v>
      </c>
      <c r="C16" s="309" t="s">
        <v>2558</v>
      </c>
      <c r="D16" s="298">
        <v>46085</v>
      </c>
      <c r="E16" s="170" t="str">
        <f>VLOOKUP($C16,xe!$A:$B,2,0)</f>
        <v>50H-69717</v>
      </c>
      <c r="F16" s="299" t="str">
        <f>VLOOKUP($B16,ma!$A:$B,2,0)</f>
        <v>Chuyển hàng Calofic</v>
      </c>
      <c r="G16" s="292"/>
      <c r="H16" s="292"/>
      <c r="I16" s="293"/>
      <c r="J16" s="292"/>
      <c r="K16" s="293"/>
      <c r="L16" s="292"/>
      <c r="M16" s="294">
        <v>10</v>
      </c>
      <c r="N16" s="295">
        <f>VLOOKUP($B16,ma!$A:$C,3,0)</f>
        <v>180000</v>
      </c>
      <c r="O16" s="295">
        <f t="shared" si="0"/>
        <v>1800000</v>
      </c>
      <c r="P16" s="295">
        <f>M16*50000</f>
        <v>500000</v>
      </c>
      <c r="Q16" s="201"/>
      <c r="R16" s="201"/>
      <c r="S16" s="201"/>
      <c r="T16" s="201"/>
      <c r="U16" s="201"/>
      <c r="V16" s="32"/>
      <c r="W16" s="32"/>
      <c r="X16" s="32"/>
      <c r="Y16" s="32"/>
      <c r="Z16" s="32"/>
      <c r="AA16" s="32"/>
      <c r="AB16" s="32"/>
    </row>
    <row r="17" spans="1:28">
      <c r="A17" s="234">
        <v>12</v>
      </c>
      <c r="B17" s="288" t="s">
        <v>2561</v>
      </c>
      <c r="C17" s="288" t="s">
        <v>2559</v>
      </c>
      <c r="D17" s="289">
        <v>46086</v>
      </c>
      <c r="E17" s="290" t="str">
        <f>VLOOKUP($C17,xe!$A:$B,2,0)</f>
        <v>50H-75206</v>
      </c>
      <c r="F17" s="291" t="str">
        <f>VLOOKUP($B17,ma!$A:$B,2,0)</f>
        <v>MCC 6 CHUYẾN</v>
      </c>
      <c r="G17" s="292"/>
      <c r="H17" s="292"/>
      <c r="I17" s="293">
        <v>40000</v>
      </c>
      <c r="J17" s="292" t="s">
        <v>2562</v>
      </c>
      <c r="K17" s="304">
        <v>2000000</v>
      </c>
      <c r="L17" s="305" t="s">
        <v>2566</v>
      </c>
      <c r="M17" s="294">
        <v>6</v>
      </c>
      <c r="N17" s="295">
        <f>VLOOKUP($B17,ma!$A:$C,3,0)</f>
        <v>300000</v>
      </c>
      <c r="O17" s="295">
        <f t="shared" si="0"/>
        <v>1800000</v>
      </c>
      <c r="P17" s="295">
        <v>600000</v>
      </c>
      <c r="Q17" s="201"/>
      <c r="R17" s="201"/>
      <c r="S17" s="201"/>
      <c r="T17" s="201"/>
      <c r="U17" s="201"/>
      <c r="V17" s="32"/>
      <c r="W17" s="32"/>
      <c r="X17" s="32"/>
      <c r="Y17" s="32"/>
      <c r="Z17" s="32"/>
      <c r="AA17" s="32"/>
      <c r="AB17" s="32"/>
    </row>
    <row r="18" spans="1:28">
      <c r="A18" s="214">
        <v>13</v>
      </c>
      <c r="B18" s="296" t="s">
        <v>102</v>
      </c>
      <c r="C18" s="297" t="s">
        <v>2560</v>
      </c>
      <c r="D18" s="298">
        <v>46086</v>
      </c>
      <c r="E18" s="170" t="str">
        <f>VLOOKUP($C18,xe!$A:$B,2,0)</f>
        <v>50H-55294</v>
      </c>
      <c r="F18" s="299" t="str">
        <f>VLOOKUP($B18,ma!$A:$B,2,0)</f>
        <v>Chuyển Hàng ndfc</v>
      </c>
      <c r="G18" s="292"/>
      <c r="H18" s="292"/>
      <c r="I18" s="293"/>
      <c r="J18" s="292"/>
      <c r="K18" s="293"/>
      <c r="L18" s="292"/>
      <c r="M18" s="294">
        <v>4</v>
      </c>
      <c r="N18" s="295">
        <f>VLOOKUP($B18,ma!$A:$C,3,0)</f>
        <v>410000</v>
      </c>
      <c r="O18" s="295">
        <f t="shared" si="0"/>
        <v>1640000</v>
      </c>
      <c r="P18" s="295">
        <v>400000</v>
      </c>
      <c r="Q18" s="201"/>
      <c r="R18" s="201"/>
      <c r="S18" s="201"/>
      <c r="T18" s="201"/>
      <c r="U18" s="201"/>
      <c r="V18" s="32"/>
      <c r="W18" s="32"/>
      <c r="X18" s="32"/>
      <c r="Y18" s="32"/>
      <c r="Z18" s="32"/>
      <c r="AA18" s="32"/>
      <c r="AB18" s="32"/>
    </row>
    <row r="19" spans="1:28">
      <c r="A19" s="214">
        <v>14</v>
      </c>
      <c r="B19" s="300" t="s">
        <v>106</v>
      </c>
      <c r="C19" s="301" t="s">
        <v>2558</v>
      </c>
      <c r="D19" s="298">
        <v>46086</v>
      </c>
      <c r="E19" s="170" t="str">
        <f>VLOOKUP($C19,xe!$A:$B,2,0)</f>
        <v>50H-69717</v>
      </c>
      <c r="F19" s="299" t="str">
        <f>VLOOKUP($B19,ma!$A:$B,2,0)</f>
        <v>Chuyển hàng Calofic</v>
      </c>
      <c r="G19" s="292"/>
      <c r="H19" s="292"/>
      <c r="I19" s="311"/>
      <c r="J19" s="312"/>
      <c r="K19" s="293"/>
      <c r="L19" s="292"/>
      <c r="M19" s="294">
        <v>9</v>
      </c>
      <c r="N19" s="295">
        <f>VLOOKUP($B19,ma!$A:$C,3,0)</f>
        <v>180000</v>
      </c>
      <c r="O19" s="295">
        <f t="shared" si="0"/>
        <v>1620000</v>
      </c>
      <c r="P19" s="295">
        <f>M19*50000</f>
        <v>450000</v>
      </c>
      <c r="Q19" s="201"/>
      <c r="R19" s="201"/>
      <c r="S19" s="201"/>
      <c r="T19" s="201"/>
      <c r="U19" s="201"/>
      <c r="V19" s="32"/>
      <c r="W19" s="32"/>
      <c r="X19" s="32"/>
      <c r="Y19" s="32"/>
      <c r="Z19" s="32"/>
      <c r="AA19" s="32"/>
      <c r="AB19" s="32"/>
    </row>
    <row r="20" spans="1:28">
      <c r="A20" s="234">
        <v>15</v>
      </c>
      <c r="B20" s="306" t="s">
        <v>455</v>
      </c>
      <c r="C20" s="307" t="s">
        <v>2560</v>
      </c>
      <c r="D20" s="289">
        <v>46087</v>
      </c>
      <c r="E20" s="290" t="str">
        <f>VLOOKUP($C20,xe!$A:$B,2,0)</f>
        <v>50H-55294</v>
      </c>
      <c r="F20" s="291" t="str">
        <f>VLOOKUP($B20,ma!$A:$B,2,0)</f>
        <v>Chuyển Hàng ndfc</v>
      </c>
      <c r="G20" s="292"/>
      <c r="H20" s="292"/>
      <c r="I20" s="308"/>
      <c r="J20" s="303"/>
      <c r="K20" s="293"/>
      <c r="L20" s="292"/>
      <c r="M20" s="294">
        <v>3</v>
      </c>
      <c r="N20" s="295">
        <f>VLOOKUP($B20,ma!$A:$C,3,0)</f>
        <v>410000</v>
      </c>
      <c r="O20" s="295">
        <f t="shared" si="0"/>
        <v>1230000</v>
      </c>
      <c r="P20" s="295">
        <v>300000</v>
      </c>
      <c r="Q20" s="201"/>
      <c r="R20" s="201"/>
      <c r="S20" s="201"/>
      <c r="T20" s="201"/>
      <c r="U20" s="201"/>
      <c r="V20" s="32"/>
      <c r="W20" s="32"/>
      <c r="X20" s="32"/>
      <c r="Y20" s="32"/>
      <c r="Z20" s="32"/>
      <c r="AA20" s="32"/>
      <c r="AB20" s="32"/>
    </row>
    <row r="21" spans="1:28">
      <c r="A21" s="214">
        <v>16</v>
      </c>
      <c r="B21" s="297" t="s">
        <v>2567</v>
      </c>
      <c r="C21" s="309" t="s">
        <v>2558</v>
      </c>
      <c r="D21" s="298">
        <v>46087</v>
      </c>
      <c r="E21" s="170" t="str">
        <f>VLOOKUP($C21,xe!$A:$B,2,0)</f>
        <v>50H-69717</v>
      </c>
      <c r="F21" s="299" t="str">
        <f>VLOOKUP($B21,ma!$A:$B,2,0)</f>
        <v>Chuyển hàng Calofic</v>
      </c>
      <c r="G21" s="292"/>
      <c r="H21" s="292"/>
      <c r="I21" s="293"/>
      <c r="J21" s="292"/>
      <c r="K21" s="293"/>
      <c r="L21" s="292"/>
      <c r="M21" s="294">
        <v>10</v>
      </c>
      <c r="N21" s="295">
        <f>VLOOKUP($B21,ma!$A:$C,3,0)</f>
        <v>180000</v>
      </c>
      <c r="O21" s="295">
        <f t="shared" si="0"/>
        <v>1800000</v>
      </c>
      <c r="P21" s="295">
        <f>M21*50000</f>
        <v>500000</v>
      </c>
      <c r="Q21" s="201"/>
      <c r="R21" s="201"/>
      <c r="S21" s="201"/>
      <c r="T21" s="201"/>
      <c r="U21" s="201"/>
      <c r="V21" s="32"/>
      <c r="W21" s="32"/>
      <c r="X21" s="32"/>
      <c r="Y21" s="32"/>
      <c r="Z21" s="32"/>
      <c r="AA21" s="32"/>
      <c r="AB21" s="32"/>
    </row>
    <row r="22" spans="1:28">
      <c r="A22" s="214">
        <v>17</v>
      </c>
      <c r="B22" s="297" t="s">
        <v>2532</v>
      </c>
      <c r="C22" s="297" t="s">
        <v>2559</v>
      </c>
      <c r="D22" s="298">
        <v>46087</v>
      </c>
      <c r="E22" s="170" t="str">
        <f>VLOOKUP($C22,xe!$A:$B,2,0)</f>
        <v>50H-75206</v>
      </c>
      <c r="F22" s="299" t="str">
        <f>VLOOKUP($B22,ma!$A:$B,2,0)</f>
        <v>Chuyển hàng MCC</v>
      </c>
      <c r="G22" s="292"/>
      <c r="H22" s="292"/>
      <c r="I22" s="293"/>
      <c r="J22" s="292"/>
      <c r="K22" s="304">
        <v>5000000</v>
      </c>
      <c r="L22" s="305" t="s">
        <v>2568</v>
      </c>
      <c r="M22" s="294">
        <v>3</v>
      </c>
      <c r="N22" s="295">
        <f>VLOOKUP($B22,ma!$A:$C,3,0)</f>
        <v>414000</v>
      </c>
      <c r="O22" s="295">
        <f t="shared" si="0"/>
        <v>1242000</v>
      </c>
      <c r="P22" s="295">
        <v>300000</v>
      </c>
      <c r="Q22" s="201"/>
      <c r="R22" s="201"/>
      <c r="S22" s="201"/>
      <c r="T22" s="201"/>
      <c r="U22" s="201"/>
      <c r="V22" s="32"/>
      <c r="W22" s="32"/>
      <c r="X22" s="32"/>
      <c r="Y22" s="32"/>
      <c r="Z22" s="32"/>
      <c r="AA22" s="32"/>
      <c r="AB22" s="32"/>
    </row>
    <row r="23" spans="1:28">
      <c r="A23" s="313">
        <v>18</v>
      </c>
      <c r="B23" s="314" t="s">
        <v>112</v>
      </c>
      <c r="C23" s="315" t="s">
        <v>2560</v>
      </c>
      <c r="D23" s="316">
        <v>46087</v>
      </c>
      <c r="E23" s="317" t="str">
        <f>VLOOKUP($C23,xe!$A:$B,2,0)</f>
        <v>50H-55294</v>
      </c>
      <c r="F23" s="318" t="str">
        <f>VLOOKUP($B23,ma!$A:$B,2,0)</f>
        <v>CALOFIC - UNI ( xe lớn )</v>
      </c>
      <c r="G23" s="292"/>
      <c r="H23" s="292"/>
      <c r="I23" s="293"/>
      <c r="J23" s="292"/>
      <c r="K23" s="293"/>
      <c r="L23" s="292"/>
      <c r="M23" s="294">
        <v>2</v>
      </c>
      <c r="N23" s="295">
        <f>VLOOKUP($B23,ma!$A:$C,3,0)</f>
        <v>400000</v>
      </c>
      <c r="O23" s="295">
        <f t="shared" si="0"/>
        <v>800000</v>
      </c>
      <c r="P23" s="295">
        <v>200000</v>
      </c>
      <c r="Q23" s="201"/>
      <c r="R23" s="201"/>
      <c r="S23" s="201"/>
      <c r="T23" s="201"/>
      <c r="U23" s="201"/>
      <c r="V23" s="32"/>
      <c r="W23" s="32"/>
      <c r="X23" s="32"/>
      <c r="Y23" s="32"/>
      <c r="Z23" s="32"/>
      <c r="AA23" s="32"/>
      <c r="AB23" s="32"/>
    </row>
    <row r="24" spans="1:28">
      <c r="A24" s="214">
        <v>19</v>
      </c>
      <c r="B24" s="300" t="s">
        <v>2506</v>
      </c>
      <c r="C24" s="301" t="s">
        <v>2559</v>
      </c>
      <c r="D24" s="298">
        <v>46087</v>
      </c>
      <c r="E24" s="170" t="str">
        <f>VLOOKUP($C24,xe!$A:$B,2,0)</f>
        <v>50H-75206</v>
      </c>
      <c r="F24" s="299" t="str">
        <f>VLOOKUP($B24,ma!$A:$B,2,0)</f>
        <v>TUẤN LỘC Q7 PALLET</v>
      </c>
      <c r="G24" s="292"/>
      <c r="H24" s="292"/>
      <c r="I24" s="302">
        <v>100000</v>
      </c>
      <c r="J24" s="303" t="s">
        <v>1427</v>
      </c>
      <c r="K24" s="304">
        <v>1970000</v>
      </c>
      <c r="L24" s="305" t="s">
        <v>2569</v>
      </c>
      <c r="M24" s="294">
        <v>12</v>
      </c>
      <c r="N24" s="295">
        <f>VLOOKUP($B24,ma!$A:$C,3,0)</f>
        <v>200000</v>
      </c>
      <c r="O24" s="295">
        <f t="shared" si="0"/>
        <v>2400000</v>
      </c>
      <c r="P24" s="295">
        <v>400000</v>
      </c>
      <c r="Q24" s="201"/>
      <c r="R24" s="201"/>
      <c r="S24" s="201"/>
      <c r="T24" s="201"/>
      <c r="U24" s="201"/>
      <c r="V24" s="32"/>
      <c r="W24" s="32"/>
      <c r="X24" s="32"/>
      <c r="Y24" s="32"/>
      <c r="Z24" s="32"/>
      <c r="AA24" s="32"/>
      <c r="AB24" s="32"/>
    </row>
    <row r="25" spans="1:28">
      <c r="A25" s="234">
        <v>20</v>
      </c>
      <c r="B25" s="306" t="s">
        <v>106</v>
      </c>
      <c r="C25" s="307" t="s">
        <v>2570</v>
      </c>
      <c r="D25" s="289">
        <v>46088</v>
      </c>
      <c r="E25" s="290" t="str">
        <f>VLOOKUP($C25,xe!$A:$B,2,0)</f>
        <v>50H-55129</v>
      </c>
      <c r="F25" s="291" t="str">
        <f>VLOOKUP($B25,ma!$A:$B,2,0)</f>
        <v>Chuyển hàng Calofic</v>
      </c>
      <c r="G25" s="292"/>
      <c r="H25" s="292"/>
      <c r="I25" s="308"/>
      <c r="J25" s="303"/>
      <c r="K25" s="293"/>
      <c r="L25" s="292"/>
      <c r="M25" s="294">
        <v>13</v>
      </c>
      <c r="N25" s="295">
        <f>VLOOKUP($B25,ma!$A:$C,3,0)</f>
        <v>180000</v>
      </c>
      <c r="O25" s="295">
        <f t="shared" si="0"/>
        <v>2340000</v>
      </c>
      <c r="P25" s="295">
        <f t="shared" ref="P25:P26" si="2">M25*50000</f>
        <v>650000</v>
      </c>
      <c r="Q25" s="201"/>
      <c r="R25" s="201"/>
      <c r="S25" s="201"/>
      <c r="T25" s="201"/>
      <c r="U25" s="201"/>
      <c r="V25" s="32"/>
      <c r="W25" s="32"/>
      <c r="X25" s="32"/>
      <c r="Y25" s="32"/>
      <c r="Z25" s="32"/>
      <c r="AA25" s="32"/>
      <c r="AB25" s="32"/>
    </row>
    <row r="26" spans="1:28">
      <c r="A26" s="214">
        <v>21</v>
      </c>
      <c r="B26" s="297" t="s">
        <v>106</v>
      </c>
      <c r="C26" s="309" t="s">
        <v>2558</v>
      </c>
      <c r="D26" s="298">
        <v>46088</v>
      </c>
      <c r="E26" s="170" t="str">
        <f>VLOOKUP($C26,xe!$A:$B,2,0)</f>
        <v>50H-69717</v>
      </c>
      <c r="F26" s="299" t="str">
        <f>VLOOKUP($B26,ma!$A:$B,2,0)</f>
        <v>Chuyển hàng Calofic</v>
      </c>
      <c r="G26" s="292"/>
      <c r="H26" s="292"/>
      <c r="I26" s="293"/>
      <c r="J26" s="292"/>
      <c r="K26" s="293"/>
      <c r="L26" s="292"/>
      <c r="M26" s="294">
        <v>12</v>
      </c>
      <c r="N26" s="295">
        <f>VLOOKUP($B26,ma!$A:$C,3,0)</f>
        <v>180000</v>
      </c>
      <c r="O26" s="295">
        <f t="shared" si="0"/>
        <v>2160000</v>
      </c>
      <c r="P26" s="295">
        <f t="shared" si="2"/>
        <v>600000</v>
      </c>
      <c r="Q26" s="201"/>
      <c r="R26" s="201"/>
      <c r="S26" s="201"/>
      <c r="T26" s="201"/>
      <c r="U26" s="201"/>
      <c r="V26" s="32"/>
      <c r="W26" s="32"/>
      <c r="X26" s="32"/>
      <c r="Y26" s="32"/>
      <c r="Z26" s="32"/>
      <c r="AA26" s="32"/>
      <c r="AB26" s="32"/>
    </row>
    <row r="27" spans="1:28">
      <c r="A27" s="214">
        <v>22</v>
      </c>
      <c r="B27" s="297" t="s">
        <v>2532</v>
      </c>
      <c r="C27" s="297" t="s">
        <v>2559</v>
      </c>
      <c r="D27" s="298">
        <v>46088</v>
      </c>
      <c r="E27" s="170" t="str">
        <f>VLOOKUP($C27,xe!$A:$B,2,0)</f>
        <v>50H-75206</v>
      </c>
      <c r="F27" s="299" t="str">
        <f>VLOOKUP($B27,ma!$A:$B,2,0)</f>
        <v>Chuyển hàng MCC</v>
      </c>
      <c r="G27" s="292"/>
      <c r="H27" s="292"/>
      <c r="I27" s="293"/>
      <c r="J27" s="292"/>
      <c r="K27" s="304">
        <v>1000000</v>
      </c>
      <c r="L27" s="305" t="s">
        <v>2571</v>
      </c>
      <c r="M27" s="294">
        <v>4</v>
      </c>
      <c r="N27" s="295">
        <f>VLOOKUP($B27,ma!$A:$C,3,0)</f>
        <v>414000</v>
      </c>
      <c r="O27" s="295">
        <f t="shared" si="0"/>
        <v>1656000</v>
      </c>
      <c r="P27" s="295">
        <v>400000</v>
      </c>
      <c r="Q27" s="201"/>
      <c r="R27" s="201"/>
      <c r="S27" s="201"/>
      <c r="T27" s="201"/>
      <c r="U27" s="201"/>
      <c r="V27" s="32"/>
      <c r="W27" s="32"/>
      <c r="X27" s="32"/>
      <c r="Y27" s="32"/>
      <c r="Z27" s="32"/>
      <c r="AA27" s="32"/>
      <c r="AB27" s="32"/>
    </row>
    <row r="28" spans="1:28">
      <c r="A28" s="313">
        <v>22</v>
      </c>
      <c r="B28" s="315" t="s">
        <v>112</v>
      </c>
      <c r="C28" s="315" t="s">
        <v>2560</v>
      </c>
      <c r="D28" s="316">
        <v>46088</v>
      </c>
      <c r="E28" s="317" t="str">
        <f>VLOOKUP($C28,xe!$A:$B,2,0)</f>
        <v>50H-55294</v>
      </c>
      <c r="F28" s="318" t="str">
        <f>VLOOKUP($B28,ma!$A:$B,2,0)</f>
        <v>CALOFIC - UNI ( xe lớn )</v>
      </c>
      <c r="G28" s="292"/>
      <c r="H28" s="292"/>
      <c r="I28" s="293"/>
      <c r="J28" s="292"/>
      <c r="K28" s="293"/>
      <c r="L28" s="292"/>
      <c r="M28" s="294">
        <v>2</v>
      </c>
      <c r="N28" s="295">
        <f>VLOOKUP($B28,ma!$A:$C,3,0)</f>
        <v>400000</v>
      </c>
      <c r="O28" s="295">
        <f t="shared" si="0"/>
        <v>800000</v>
      </c>
      <c r="P28" s="295">
        <v>200000</v>
      </c>
      <c r="Q28" s="201"/>
      <c r="R28" s="201"/>
      <c r="S28" s="201"/>
      <c r="T28" s="201"/>
      <c r="U28" s="201"/>
      <c r="V28" s="32"/>
      <c r="W28" s="32"/>
      <c r="X28" s="32"/>
      <c r="Y28" s="32"/>
      <c r="Z28" s="32"/>
      <c r="AA28" s="32"/>
      <c r="AB28" s="32"/>
    </row>
    <row r="29" spans="1:28">
      <c r="A29" s="214">
        <v>23</v>
      </c>
      <c r="B29" s="296" t="s">
        <v>102</v>
      </c>
      <c r="C29" s="297" t="s">
        <v>2560</v>
      </c>
      <c r="D29" s="298">
        <v>46088</v>
      </c>
      <c r="E29" s="170" t="str">
        <f>VLOOKUP($C29,xe!$A:$B,2,0)</f>
        <v>50H-55294</v>
      </c>
      <c r="F29" s="299" t="str">
        <f>VLOOKUP($B29,ma!$A:$B,2,0)</f>
        <v>Chuyển Hàng ndfc</v>
      </c>
      <c r="G29" s="292"/>
      <c r="H29" s="292"/>
      <c r="I29" s="293"/>
      <c r="J29" s="292"/>
      <c r="K29" s="293"/>
      <c r="L29" s="292"/>
      <c r="M29" s="294">
        <v>2</v>
      </c>
      <c r="N29" s="295">
        <f>VLOOKUP($B29,ma!$A:$C,3,0)</f>
        <v>410000</v>
      </c>
      <c r="O29" s="295">
        <f t="shared" si="0"/>
        <v>820000</v>
      </c>
      <c r="P29" s="295">
        <v>200000</v>
      </c>
      <c r="Q29" s="201"/>
      <c r="R29" s="201"/>
      <c r="S29" s="201"/>
      <c r="T29" s="201"/>
      <c r="U29" s="201"/>
      <c r="V29" s="32"/>
      <c r="W29" s="32"/>
      <c r="X29" s="32"/>
      <c r="Y29" s="32"/>
      <c r="Z29" s="32"/>
      <c r="AA29" s="32"/>
      <c r="AB29" s="32"/>
    </row>
    <row r="30" spans="1:28">
      <c r="A30" s="269">
        <v>24</v>
      </c>
      <c r="B30" s="319" t="s">
        <v>106</v>
      </c>
      <c r="C30" s="320" t="s">
        <v>2570</v>
      </c>
      <c r="D30" s="321">
        <v>46089</v>
      </c>
      <c r="E30" s="322" t="str">
        <f>VLOOKUP($C30,xe!$A:$B,2,0)</f>
        <v>50H-55129</v>
      </c>
      <c r="F30" s="323" t="str">
        <f>VLOOKUP($B30,ma!$A:$B,2,0)</f>
        <v>Chuyển hàng Calofic</v>
      </c>
      <c r="G30" s="324"/>
      <c r="H30" s="324"/>
      <c r="I30" s="325">
        <v>200000</v>
      </c>
      <c r="J30" s="326" t="s">
        <v>1928</v>
      </c>
      <c r="K30" s="293"/>
      <c r="L30" s="292"/>
      <c r="M30" s="294">
        <v>5</v>
      </c>
      <c r="N30" s="295">
        <f>VLOOKUP($B30,ma!$A:$C,3,0)</f>
        <v>180000</v>
      </c>
      <c r="O30" s="295">
        <f t="shared" si="0"/>
        <v>900000</v>
      </c>
      <c r="P30" s="295">
        <f t="shared" ref="P30:P31" si="3">M30*50000</f>
        <v>250000</v>
      </c>
      <c r="Q30" s="201"/>
      <c r="R30" s="201"/>
      <c r="S30" s="201"/>
      <c r="T30" s="201"/>
      <c r="U30" s="201"/>
      <c r="V30" s="32"/>
      <c r="W30" s="32"/>
      <c r="X30" s="32"/>
      <c r="Y30" s="32"/>
      <c r="Z30" s="32"/>
      <c r="AA30" s="32"/>
      <c r="AB30" s="32"/>
    </row>
    <row r="31" spans="1:28">
      <c r="A31" s="269">
        <v>25</v>
      </c>
      <c r="B31" s="319" t="s">
        <v>106</v>
      </c>
      <c r="C31" s="320" t="s">
        <v>2558</v>
      </c>
      <c r="D31" s="321">
        <v>46089</v>
      </c>
      <c r="E31" s="322" t="str">
        <f>VLOOKUP($C31,xe!$A:$B,2,0)</f>
        <v>50H-69717</v>
      </c>
      <c r="F31" s="323" t="str">
        <f>VLOOKUP($B31,ma!$A:$B,2,0)</f>
        <v>Chuyển hàng Calofic</v>
      </c>
      <c r="G31" s="324"/>
      <c r="H31" s="324"/>
      <c r="I31" s="325">
        <v>200000</v>
      </c>
      <c r="J31" s="326" t="s">
        <v>1928</v>
      </c>
      <c r="K31" s="293"/>
      <c r="L31" s="292"/>
      <c r="M31" s="294">
        <v>7</v>
      </c>
      <c r="N31" s="295">
        <f>VLOOKUP($B31,ma!$A:$C,3,0)</f>
        <v>180000</v>
      </c>
      <c r="O31" s="295">
        <f t="shared" si="0"/>
        <v>1260000</v>
      </c>
      <c r="P31" s="295">
        <f t="shared" si="3"/>
        <v>350000</v>
      </c>
      <c r="Q31" s="201"/>
      <c r="R31" s="201"/>
      <c r="S31" s="201"/>
      <c r="T31" s="201"/>
      <c r="U31" s="201"/>
      <c r="V31" s="32"/>
      <c r="W31" s="32"/>
      <c r="X31" s="32"/>
      <c r="Y31" s="32"/>
      <c r="Z31" s="32"/>
      <c r="AA31" s="32"/>
      <c r="AB31" s="32"/>
    </row>
    <row r="32" spans="1:28">
      <c r="A32" s="234">
        <v>26</v>
      </c>
      <c r="B32" s="288" t="s">
        <v>2561</v>
      </c>
      <c r="C32" s="327" t="s">
        <v>2559</v>
      </c>
      <c r="D32" s="289">
        <v>46090</v>
      </c>
      <c r="E32" s="290" t="str">
        <f>VLOOKUP($C32,xe!$A:$B,2,0)</f>
        <v>50H-75206</v>
      </c>
      <c r="F32" s="291" t="str">
        <f>VLOOKUP($B32,ma!$A:$B,2,0)</f>
        <v>MCC 6 CHUYẾN</v>
      </c>
      <c r="G32" s="292"/>
      <c r="H32" s="292"/>
      <c r="I32" s="293">
        <v>40000</v>
      </c>
      <c r="J32" s="292" t="s">
        <v>2562</v>
      </c>
      <c r="K32" s="304">
        <v>850000</v>
      </c>
      <c r="L32" s="305" t="s">
        <v>2572</v>
      </c>
      <c r="M32" s="294">
        <v>6</v>
      </c>
      <c r="N32" s="295">
        <f>VLOOKUP($B32,ma!$A:$C,3,0)</f>
        <v>300000</v>
      </c>
      <c r="O32" s="295">
        <f t="shared" si="0"/>
        <v>1800000</v>
      </c>
      <c r="P32" s="295">
        <v>600000</v>
      </c>
      <c r="Q32" s="201"/>
      <c r="R32" s="201"/>
      <c r="S32" s="201"/>
      <c r="T32" s="201"/>
      <c r="U32" s="201"/>
      <c r="V32" s="32"/>
      <c r="W32" s="32"/>
      <c r="X32" s="32"/>
      <c r="Y32" s="32"/>
      <c r="Z32" s="32"/>
      <c r="AA32" s="32"/>
      <c r="AB32" s="32"/>
    </row>
    <row r="33" spans="1:28">
      <c r="A33" s="214">
        <v>27</v>
      </c>
      <c r="B33" s="297" t="s">
        <v>102</v>
      </c>
      <c r="C33" s="297" t="s">
        <v>2560</v>
      </c>
      <c r="D33" s="298">
        <v>46090</v>
      </c>
      <c r="E33" s="170" t="str">
        <f>VLOOKUP($C33,xe!$A:$B,2,0)</f>
        <v>50H-55294</v>
      </c>
      <c r="F33" s="299" t="str">
        <f>VLOOKUP($B33,ma!$A:$B,2,0)</f>
        <v>Chuyển Hàng ndfc</v>
      </c>
      <c r="G33" s="292"/>
      <c r="H33" s="292"/>
      <c r="I33" s="293"/>
      <c r="J33" s="292"/>
      <c r="K33" s="293"/>
      <c r="L33" s="292"/>
      <c r="M33" s="294">
        <v>5</v>
      </c>
      <c r="N33" s="295">
        <f>VLOOKUP($B33,ma!$A:$C,3,0)</f>
        <v>410000</v>
      </c>
      <c r="O33" s="295">
        <f t="shared" si="0"/>
        <v>2050000</v>
      </c>
      <c r="P33" s="295">
        <v>500000</v>
      </c>
      <c r="Q33" s="201"/>
      <c r="R33" s="201"/>
      <c r="S33" s="201"/>
      <c r="T33" s="201"/>
      <c r="U33" s="201"/>
      <c r="V33" s="32"/>
      <c r="W33" s="32"/>
      <c r="X33" s="32"/>
      <c r="Y33" s="32"/>
      <c r="Z33" s="32"/>
      <c r="AA33" s="32"/>
      <c r="AB33" s="32"/>
    </row>
    <row r="34" spans="1:28">
      <c r="A34" s="214">
        <v>28</v>
      </c>
      <c r="B34" s="296" t="s">
        <v>106</v>
      </c>
      <c r="C34" s="297" t="s">
        <v>2570</v>
      </c>
      <c r="D34" s="298">
        <v>46090</v>
      </c>
      <c r="E34" s="170" t="str">
        <f>VLOOKUP($C34,xe!$A:$B,2,0)</f>
        <v>50H-55129</v>
      </c>
      <c r="F34" s="299" t="str">
        <f>VLOOKUP($B34,ma!$A:$B,2,0)</f>
        <v>Chuyển hàng Calofic</v>
      </c>
      <c r="G34" s="292"/>
      <c r="H34" s="292"/>
      <c r="I34" s="293"/>
      <c r="J34" s="292"/>
      <c r="K34" s="293"/>
      <c r="L34" s="292"/>
      <c r="M34" s="294">
        <v>9</v>
      </c>
      <c r="N34" s="295">
        <f>VLOOKUP($B34,ma!$A:$C,3,0)</f>
        <v>180000</v>
      </c>
      <c r="O34" s="295">
        <f t="shared" si="0"/>
        <v>1620000</v>
      </c>
      <c r="P34" s="295">
        <f t="shared" ref="P34:P35" si="4">M34*50000</f>
        <v>450000</v>
      </c>
      <c r="Q34" s="201"/>
      <c r="R34" s="201"/>
      <c r="S34" s="201"/>
      <c r="T34" s="201"/>
      <c r="U34" s="201"/>
      <c r="V34" s="32"/>
      <c r="W34" s="32"/>
      <c r="X34" s="32"/>
      <c r="Y34" s="32"/>
      <c r="Z34" s="32"/>
      <c r="AA34" s="32"/>
      <c r="AB34" s="32"/>
    </row>
    <row r="35" spans="1:28">
      <c r="A35" s="214">
        <v>29</v>
      </c>
      <c r="B35" s="300" t="s">
        <v>106</v>
      </c>
      <c r="C35" s="301" t="s">
        <v>2558</v>
      </c>
      <c r="D35" s="298">
        <v>46090</v>
      </c>
      <c r="E35" s="170" t="str">
        <f>VLOOKUP($C35,xe!$A:$B,2,0)</f>
        <v>50H-69717</v>
      </c>
      <c r="F35" s="299" t="str">
        <f>VLOOKUP($B35,ma!$A:$B,2,0)</f>
        <v>Chuyển hàng Calofic</v>
      </c>
      <c r="G35" s="292"/>
      <c r="H35" s="292"/>
      <c r="I35" s="308"/>
      <c r="J35" s="303"/>
      <c r="K35" s="293"/>
      <c r="L35" s="292"/>
      <c r="M35" s="294">
        <v>8</v>
      </c>
      <c r="N35" s="295">
        <f>VLOOKUP($B35,ma!$A:$C,3,0)</f>
        <v>180000</v>
      </c>
      <c r="O35" s="295">
        <f t="shared" si="0"/>
        <v>1440000</v>
      </c>
      <c r="P35" s="295">
        <f t="shared" si="4"/>
        <v>400000</v>
      </c>
      <c r="Q35" s="201"/>
      <c r="R35" s="201"/>
      <c r="S35" s="201"/>
      <c r="T35" s="201"/>
      <c r="U35" s="201"/>
      <c r="V35" s="32"/>
      <c r="W35" s="32"/>
      <c r="X35" s="32"/>
      <c r="Y35" s="32"/>
      <c r="Z35" s="32"/>
      <c r="AA35" s="32"/>
      <c r="AB35" s="32"/>
    </row>
    <row r="36" spans="1:28">
      <c r="A36" s="234">
        <v>30</v>
      </c>
      <c r="B36" s="288" t="s">
        <v>2532</v>
      </c>
      <c r="C36" s="327" t="s">
        <v>2559</v>
      </c>
      <c r="D36" s="289">
        <v>46091</v>
      </c>
      <c r="E36" s="290" t="str">
        <f>VLOOKUP($C36,xe!$A:$B,2,0)</f>
        <v>50H-75206</v>
      </c>
      <c r="F36" s="291" t="str">
        <f>VLOOKUP($B36,ma!$A:$B,2,0)</f>
        <v>Chuyển hàng MCC</v>
      </c>
      <c r="G36" s="292"/>
      <c r="H36" s="292"/>
      <c r="I36" s="293">
        <v>20000</v>
      </c>
      <c r="J36" s="292" t="s">
        <v>2562</v>
      </c>
      <c r="K36" s="304">
        <v>3200000</v>
      </c>
      <c r="L36" s="305" t="s">
        <v>2573</v>
      </c>
      <c r="M36" s="294">
        <v>5</v>
      </c>
      <c r="N36" s="295">
        <f>VLOOKUP($B36,ma!$A:$C,3,0)</f>
        <v>414000</v>
      </c>
      <c r="O36" s="295">
        <f t="shared" si="0"/>
        <v>2070000</v>
      </c>
      <c r="P36" s="295">
        <v>500000</v>
      </c>
      <c r="Q36" s="201"/>
      <c r="R36" s="201"/>
      <c r="S36" s="201"/>
      <c r="T36" s="201"/>
      <c r="U36" s="201"/>
      <c r="V36" s="32"/>
      <c r="W36" s="32"/>
      <c r="X36" s="32"/>
      <c r="Y36" s="32"/>
      <c r="Z36" s="32"/>
      <c r="AA36" s="32"/>
      <c r="AB36" s="32"/>
    </row>
    <row r="37" spans="1:28">
      <c r="A37" s="214">
        <v>32</v>
      </c>
      <c r="B37" s="297" t="s">
        <v>102</v>
      </c>
      <c r="C37" s="297" t="s">
        <v>2560</v>
      </c>
      <c r="D37" s="298">
        <v>46091</v>
      </c>
      <c r="E37" s="170" t="str">
        <f>VLOOKUP($C37,xe!$A:$B,2,0)</f>
        <v>50H-55294</v>
      </c>
      <c r="F37" s="299" t="str">
        <f>VLOOKUP($B37,ma!$A:$B,2,0)</f>
        <v>Chuyển Hàng ndfc</v>
      </c>
      <c r="G37" s="292"/>
      <c r="H37" s="292"/>
      <c r="I37" s="293"/>
      <c r="J37" s="292"/>
      <c r="K37" s="293"/>
      <c r="L37" s="292"/>
      <c r="M37" s="294">
        <v>4</v>
      </c>
      <c r="N37" s="295">
        <f>VLOOKUP($B37,ma!$A:$C,3,0)</f>
        <v>410000</v>
      </c>
      <c r="O37" s="295">
        <f t="shared" si="0"/>
        <v>1640000</v>
      </c>
      <c r="P37" s="295">
        <v>400000</v>
      </c>
      <c r="Q37" s="201"/>
      <c r="R37" s="201"/>
      <c r="S37" s="201"/>
      <c r="T37" s="201"/>
      <c r="U37" s="201"/>
      <c r="V37" s="32"/>
      <c r="W37" s="32"/>
      <c r="X37" s="32"/>
      <c r="Y37" s="32"/>
      <c r="Z37" s="32"/>
      <c r="AA37" s="32"/>
      <c r="AB37" s="32"/>
    </row>
    <row r="38" spans="1:28">
      <c r="A38" s="214">
        <v>33</v>
      </c>
      <c r="B38" s="296" t="s">
        <v>106</v>
      </c>
      <c r="C38" s="297" t="s">
        <v>2570</v>
      </c>
      <c r="D38" s="298">
        <v>46091</v>
      </c>
      <c r="E38" s="170" t="str">
        <f>VLOOKUP($C38,xe!$A:$B,2,0)</f>
        <v>50H-55129</v>
      </c>
      <c r="F38" s="299" t="str">
        <f>VLOOKUP($B38,ma!$A:$B,2,0)</f>
        <v>Chuyển hàng Calofic</v>
      </c>
      <c r="G38" s="292"/>
      <c r="H38" s="292"/>
      <c r="I38" s="308"/>
      <c r="J38" s="303"/>
      <c r="K38" s="293"/>
      <c r="L38" s="292"/>
      <c r="M38" s="294">
        <v>10</v>
      </c>
      <c r="N38" s="295">
        <f>VLOOKUP($B38,ma!$A:$C,3,0)</f>
        <v>180000</v>
      </c>
      <c r="O38" s="295">
        <f t="shared" si="0"/>
        <v>1800000</v>
      </c>
      <c r="P38" s="295">
        <f t="shared" ref="P38:P39" si="5">M38*50000</f>
        <v>500000</v>
      </c>
      <c r="Q38" s="201"/>
      <c r="R38" s="201"/>
      <c r="S38" s="201"/>
      <c r="T38" s="201"/>
      <c r="U38" s="201"/>
      <c r="V38" s="32"/>
      <c r="W38" s="32"/>
      <c r="X38" s="32"/>
      <c r="Y38" s="32"/>
      <c r="Z38" s="32"/>
      <c r="AA38" s="32"/>
      <c r="AB38" s="32"/>
    </row>
    <row r="39" spans="1:28">
      <c r="A39" s="214">
        <v>34</v>
      </c>
      <c r="B39" s="300" t="s">
        <v>106</v>
      </c>
      <c r="C39" s="301" t="s">
        <v>2558</v>
      </c>
      <c r="D39" s="298">
        <v>46091</v>
      </c>
      <c r="E39" s="170" t="str">
        <f>VLOOKUP($C39,xe!$A:$B,2,0)</f>
        <v>50H-69717</v>
      </c>
      <c r="F39" s="299" t="str">
        <f>VLOOKUP($B39,ma!$A:$B,2,0)</f>
        <v>Chuyển hàng Calofic</v>
      </c>
      <c r="G39" s="292"/>
      <c r="H39" s="292"/>
      <c r="I39" s="308"/>
      <c r="J39" s="303"/>
      <c r="K39" s="293"/>
      <c r="L39" s="292"/>
      <c r="M39" s="294">
        <v>10</v>
      </c>
      <c r="N39" s="295">
        <f>VLOOKUP($B39,ma!$A:$C,3,0)</f>
        <v>180000</v>
      </c>
      <c r="O39" s="295">
        <f t="shared" si="0"/>
        <v>1800000</v>
      </c>
      <c r="P39" s="295">
        <f t="shared" si="5"/>
        <v>500000</v>
      </c>
      <c r="Q39" s="201"/>
      <c r="R39" s="201"/>
      <c r="S39" s="201"/>
      <c r="T39" s="201"/>
      <c r="U39" s="201"/>
      <c r="V39" s="32"/>
      <c r="W39" s="32"/>
      <c r="X39" s="32"/>
      <c r="Y39" s="32"/>
      <c r="Z39" s="32"/>
      <c r="AA39" s="32"/>
      <c r="AB39" s="32"/>
    </row>
    <row r="40" spans="1:28">
      <c r="A40" s="234">
        <v>35</v>
      </c>
      <c r="B40" s="288" t="s">
        <v>2532</v>
      </c>
      <c r="C40" s="327" t="s">
        <v>2559</v>
      </c>
      <c r="D40" s="289">
        <v>46092</v>
      </c>
      <c r="E40" s="290" t="str">
        <f>VLOOKUP($C40,xe!$A:$B,2,0)</f>
        <v>50H-75206</v>
      </c>
      <c r="F40" s="291" t="str">
        <f>VLOOKUP($B40,ma!$A:$B,2,0)</f>
        <v>Chuyển hàng MCC</v>
      </c>
      <c r="G40" s="292"/>
      <c r="H40" s="292"/>
      <c r="I40" s="293">
        <v>20000</v>
      </c>
      <c r="J40" s="292" t="s">
        <v>2562</v>
      </c>
      <c r="K40" s="304">
        <v>18200000</v>
      </c>
      <c r="L40" s="305" t="s">
        <v>2574</v>
      </c>
      <c r="M40" s="294">
        <v>2</v>
      </c>
      <c r="N40" s="295">
        <f>VLOOKUP($B40,ma!$A:$C,3,0)</f>
        <v>414000</v>
      </c>
      <c r="O40" s="295">
        <f t="shared" si="0"/>
        <v>828000</v>
      </c>
      <c r="P40" s="295">
        <v>200000</v>
      </c>
      <c r="Q40" s="201"/>
      <c r="R40" s="201"/>
      <c r="S40" s="201"/>
      <c r="T40" s="201"/>
      <c r="U40" s="201"/>
      <c r="V40" s="32"/>
      <c r="W40" s="32"/>
      <c r="X40" s="32"/>
      <c r="Y40" s="32"/>
      <c r="Z40" s="32"/>
      <c r="AA40" s="32"/>
      <c r="AB40" s="32"/>
    </row>
    <row r="41" spans="1:28">
      <c r="A41" s="214">
        <v>36</v>
      </c>
      <c r="B41" s="297" t="s">
        <v>102</v>
      </c>
      <c r="C41" s="297" t="s">
        <v>2560</v>
      </c>
      <c r="D41" s="298">
        <v>46092</v>
      </c>
      <c r="E41" s="170" t="str">
        <f>VLOOKUP($C41,xe!$A:$B,2,0)</f>
        <v>50H-55294</v>
      </c>
      <c r="F41" s="299" t="str">
        <f>VLOOKUP($B41,ma!$A:$B,2,0)</f>
        <v>Chuyển Hàng ndfc</v>
      </c>
      <c r="G41" s="292"/>
      <c r="H41" s="292"/>
      <c r="I41" s="293"/>
      <c r="J41" s="292"/>
      <c r="K41" s="293"/>
      <c r="L41" s="292"/>
      <c r="M41" s="294">
        <v>4</v>
      </c>
      <c r="N41" s="295">
        <f>VLOOKUP($B41,ma!$A:$C,3,0)</f>
        <v>410000</v>
      </c>
      <c r="O41" s="295">
        <f t="shared" si="0"/>
        <v>1640000</v>
      </c>
      <c r="P41" s="295">
        <v>400000</v>
      </c>
      <c r="Q41" s="201"/>
      <c r="R41" s="201"/>
      <c r="S41" s="201"/>
      <c r="T41" s="201"/>
      <c r="U41" s="201"/>
      <c r="V41" s="32"/>
      <c r="W41" s="32"/>
      <c r="X41" s="32"/>
      <c r="Y41" s="32"/>
      <c r="Z41" s="32"/>
      <c r="AA41" s="32"/>
      <c r="AB41" s="32"/>
    </row>
    <row r="42" spans="1:28">
      <c r="A42" s="214">
        <v>37</v>
      </c>
      <c r="B42" s="296" t="s">
        <v>106</v>
      </c>
      <c r="C42" s="297" t="s">
        <v>2570</v>
      </c>
      <c r="D42" s="298">
        <v>46092</v>
      </c>
      <c r="E42" s="170" t="str">
        <f>VLOOKUP($C42,xe!$A:$B,2,0)</f>
        <v>50H-55129</v>
      </c>
      <c r="F42" s="299" t="str">
        <f>VLOOKUP($B42,ma!$A:$B,2,0)</f>
        <v>Chuyển hàng Calofic</v>
      </c>
      <c r="G42" s="292"/>
      <c r="H42" s="292"/>
      <c r="I42" s="293"/>
      <c r="J42" s="292"/>
      <c r="K42" s="293"/>
      <c r="L42" s="292"/>
      <c r="M42" s="294">
        <v>7</v>
      </c>
      <c r="N42" s="295">
        <f>VLOOKUP($B42,ma!$A:$C,3,0)</f>
        <v>180000</v>
      </c>
      <c r="O42" s="295">
        <f t="shared" si="0"/>
        <v>1260000</v>
      </c>
      <c r="P42" s="295">
        <f t="shared" ref="P42:P43" si="6">M42*50000</f>
        <v>350000</v>
      </c>
      <c r="Q42" s="201"/>
      <c r="R42" s="201"/>
      <c r="S42" s="201"/>
      <c r="T42" s="201"/>
      <c r="U42" s="201"/>
      <c r="V42" s="32"/>
      <c r="W42" s="32"/>
      <c r="X42" s="32"/>
      <c r="Y42" s="32"/>
      <c r="Z42" s="32"/>
      <c r="AA42" s="32"/>
      <c r="AB42" s="32"/>
    </row>
    <row r="43" spans="1:28">
      <c r="A43" s="214">
        <v>38</v>
      </c>
      <c r="B43" s="300" t="s">
        <v>106</v>
      </c>
      <c r="C43" s="301" t="s">
        <v>2558</v>
      </c>
      <c r="D43" s="298">
        <v>46092</v>
      </c>
      <c r="E43" s="170" t="str">
        <f>VLOOKUP($C43,xe!$A:$B,2,0)</f>
        <v>50H-69717</v>
      </c>
      <c r="F43" s="299" t="str">
        <f>VLOOKUP($B43,ma!$A:$B,2,0)</f>
        <v>Chuyển hàng Calofic</v>
      </c>
      <c r="G43" s="292"/>
      <c r="H43" s="292"/>
      <c r="I43" s="308"/>
      <c r="J43" s="303"/>
      <c r="K43" s="293"/>
      <c r="L43" s="292"/>
      <c r="M43" s="294">
        <v>8</v>
      </c>
      <c r="N43" s="295">
        <f>VLOOKUP($B43,ma!$A:$C,3,0)</f>
        <v>180000</v>
      </c>
      <c r="O43" s="295">
        <f t="shared" si="0"/>
        <v>1440000</v>
      </c>
      <c r="P43" s="295">
        <f t="shared" si="6"/>
        <v>400000</v>
      </c>
      <c r="Q43" s="201"/>
      <c r="R43" s="201"/>
      <c r="S43" s="201"/>
      <c r="T43" s="201"/>
      <c r="U43" s="201"/>
      <c r="V43" s="32"/>
      <c r="W43" s="32"/>
      <c r="X43" s="32"/>
      <c r="Y43" s="32"/>
      <c r="Z43" s="32"/>
      <c r="AA43" s="32"/>
      <c r="AB43" s="32"/>
    </row>
    <row r="44" spans="1:28">
      <c r="A44" s="234">
        <v>39</v>
      </c>
      <c r="B44" s="288" t="s">
        <v>2532</v>
      </c>
      <c r="C44" s="327" t="s">
        <v>2559</v>
      </c>
      <c r="D44" s="289">
        <v>46093</v>
      </c>
      <c r="E44" s="290" t="str">
        <f>VLOOKUP($C44,xe!$A:$B,2,0)</f>
        <v>50H-75206</v>
      </c>
      <c r="F44" s="291" t="str">
        <f>VLOOKUP($B44,ma!$A:$B,2,0)</f>
        <v>Chuyển hàng MCC</v>
      </c>
      <c r="G44" s="292"/>
      <c r="H44" s="292"/>
      <c r="I44" s="302">
        <v>20000</v>
      </c>
      <c r="J44" s="303" t="s">
        <v>2562</v>
      </c>
      <c r="K44" s="304">
        <v>2670000</v>
      </c>
      <c r="L44" s="305" t="s">
        <v>2575</v>
      </c>
      <c r="M44" s="294">
        <v>3</v>
      </c>
      <c r="N44" s="295">
        <f>VLOOKUP($B44,ma!$A:$C,3,0)</f>
        <v>414000</v>
      </c>
      <c r="O44" s="295">
        <f t="shared" si="0"/>
        <v>1242000</v>
      </c>
      <c r="P44" s="295">
        <v>300000</v>
      </c>
      <c r="Q44" s="201"/>
      <c r="R44" s="201"/>
      <c r="S44" s="201"/>
      <c r="T44" s="201"/>
      <c r="U44" s="201"/>
      <c r="V44" s="32"/>
      <c r="W44" s="32"/>
      <c r="X44" s="32"/>
      <c r="Y44" s="32"/>
      <c r="Z44" s="32"/>
      <c r="AA44" s="32"/>
      <c r="AB44" s="32"/>
    </row>
    <row r="45" spans="1:28">
      <c r="A45" s="214">
        <v>40</v>
      </c>
      <c r="B45" s="297" t="s">
        <v>102</v>
      </c>
      <c r="C45" s="297" t="s">
        <v>2560</v>
      </c>
      <c r="D45" s="298">
        <v>46093</v>
      </c>
      <c r="E45" s="170" t="str">
        <f>VLOOKUP($C45,xe!$A:$B,2,0)</f>
        <v>50H-55294</v>
      </c>
      <c r="F45" s="299" t="str">
        <f>VLOOKUP($B45,ma!$A:$B,2,0)</f>
        <v>Chuyển Hàng ndfc</v>
      </c>
      <c r="G45" s="292"/>
      <c r="H45" s="292"/>
      <c r="I45" s="293"/>
      <c r="J45" s="292"/>
      <c r="K45" s="293"/>
      <c r="L45" s="292"/>
      <c r="M45" s="294">
        <v>4</v>
      </c>
      <c r="N45" s="295">
        <f>VLOOKUP($B45,ma!$A:$C,3,0)</f>
        <v>410000</v>
      </c>
      <c r="O45" s="295">
        <f t="shared" si="0"/>
        <v>1640000</v>
      </c>
      <c r="P45" s="295">
        <v>400000</v>
      </c>
      <c r="Q45" s="201"/>
      <c r="R45" s="201"/>
      <c r="S45" s="201"/>
      <c r="T45" s="201"/>
      <c r="U45" s="201"/>
      <c r="V45" s="32"/>
      <c r="W45" s="32"/>
      <c r="X45" s="32"/>
      <c r="Y45" s="32"/>
      <c r="Z45" s="32"/>
      <c r="AA45" s="32"/>
      <c r="AB45" s="32"/>
    </row>
    <row r="46" spans="1:28">
      <c r="A46" s="214">
        <v>41</v>
      </c>
      <c r="B46" s="296" t="s">
        <v>106</v>
      </c>
      <c r="C46" s="297" t="s">
        <v>2570</v>
      </c>
      <c r="D46" s="298">
        <v>46093</v>
      </c>
      <c r="E46" s="170" t="str">
        <f>VLOOKUP($C46,xe!$A:$B,2,0)</f>
        <v>50H-55129</v>
      </c>
      <c r="F46" s="299" t="str">
        <f>VLOOKUP($B46,ma!$A:$B,2,0)</f>
        <v>Chuyển hàng Calofic</v>
      </c>
      <c r="G46" s="292"/>
      <c r="H46" s="292"/>
      <c r="I46" s="293"/>
      <c r="J46" s="292"/>
      <c r="K46" s="293"/>
      <c r="L46" s="292"/>
      <c r="M46" s="294">
        <v>8</v>
      </c>
      <c r="N46" s="295">
        <f>VLOOKUP($B46,ma!$A:$C,3,0)</f>
        <v>180000</v>
      </c>
      <c r="O46" s="295">
        <f t="shared" si="0"/>
        <v>1440000</v>
      </c>
      <c r="P46" s="295">
        <f t="shared" ref="P46:P47" si="7">M46*50000</f>
        <v>400000</v>
      </c>
      <c r="Q46" s="201"/>
      <c r="R46" s="201"/>
      <c r="S46" s="201"/>
      <c r="T46" s="201"/>
      <c r="U46" s="201"/>
      <c r="V46" s="32"/>
      <c r="W46" s="32"/>
      <c r="X46" s="32"/>
      <c r="Y46" s="32"/>
      <c r="Z46" s="32"/>
      <c r="AA46" s="32"/>
      <c r="AB46" s="32"/>
    </row>
    <row r="47" spans="1:28">
      <c r="A47" s="214">
        <v>42</v>
      </c>
      <c r="B47" s="300" t="s">
        <v>106</v>
      </c>
      <c r="C47" s="301" t="s">
        <v>2558</v>
      </c>
      <c r="D47" s="298">
        <v>46093</v>
      </c>
      <c r="E47" s="170" t="str">
        <f>VLOOKUP($C47,xe!$A:$B,2,0)</f>
        <v>50H-69717</v>
      </c>
      <c r="F47" s="299" t="str">
        <f>VLOOKUP($B47,ma!$A:$B,2,0)</f>
        <v>Chuyển hàng Calofic</v>
      </c>
      <c r="G47" s="292"/>
      <c r="H47" s="292"/>
      <c r="I47" s="293"/>
      <c r="J47" s="292"/>
      <c r="K47" s="293"/>
      <c r="L47" s="292"/>
      <c r="M47" s="294">
        <v>8</v>
      </c>
      <c r="N47" s="295">
        <f>VLOOKUP($B47,ma!$A:$C,3,0)</f>
        <v>180000</v>
      </c>
      <c r="O47" s="295">
        <f t="shared" si="0"/>
        <v>1440000</v>
      </c>
      <c r="P47" s="295">
        <f t="shared" si="7"/>
        <v>400000</v>
      </c>
      <c r="Q47" s="201"/>
      <c r="R47" s="201"/>
      <c r="S47" s="201"/>
      <c r="T47" s="201"/>
      <c r="U47" s="201"/>
      <c r="V47" s="32"/>
      <c r="W47" s="32"/>
      <c r="X47" s="32"/>
      <c r="Y47" s="32"/>
      <c r="Z47" s="32"/>
      <c r="AA47" s="32"/>
      <c r="AB47" s="32"/>
    </row>
    <row r="48" spans="1:28">
      <c r="A48" s="234">
        <v>43</v>
      </c>
      <c r="B48" s="288" t="s">
        <v>210</v>
      </c>
      <c r="C48" s="327" t="s">
        <v>2559</v>
      </c>
      <c r="D48" s="289">
        <v>46094</v>
      </c>
      <c r="E48" s="290" t="str">
        <f>VLOOKUP($C48,xe!$A:$B,2,0)</f>
        <v>50H-75206</v>
      </c>
      <c r="F48" s="291" t="str">
        <f>VLOOKUP($B48,ma!$A:$B,2,0)</f>
        <v>NDFC - NAIC BẾN LỨC</v>
      </c>
      <c r="G48" s="292"/>
      <c r="H48" s="292"/>
      <c r="I48" s="302">
        <v>200000</v>
      </c>
      <c r="J48" s="303" t="s">
        <v>1427</v>
      </c>
      <c r="K48" s="293"/>
      <c r="L48" s="292"/>
      <c r="M48" s="294">
        <v>2</v>
      </c>
      <c r="N48" s="295">
        <f>VLOOKUP($B48,ma!$A:$C,3,0)</f>
        <v>2400000</v>
      </c>
      <c r="O48" s="295">
        <f t="shared" si="0"/>
        <v>4800000</v>
      </c>
      <c r="P48" s="295">
        <v>800000</v>
      </c>
      <c r="Q48" s="201"/>
      <c r="R48" s="201"/>
      <c r="S48" s="201"/>
      <c r="T48" s="201"/>
      <c r="U48" s="201"/>
      <c r="V48" s="32"/>
      <c r="W48" s="32"/>
      <c r="X48" s="32"/>
      <c r="Y48" s="32"/>
      <c r="Z48" s="32"/>
      <c r="AA48" s="32"/>
      <c r="AB48" s="32"/>
    </row>
    <row r="49" spans="1:28">
      <c r="A49" s="214">
        <v>44</v>
      </c>
      <c r="B49" s="297" t="s">
        <v>102</v>
      </c>
      <c r="C49" s="297" t="s">
        <v>2560</v>
      </c>
      <c r="D49" s="298">
        <v>46094</v>
      </c>
      <c r="E49" s="170" t="str">
        <f>VLOOKUP($C49,xe!$A:$B,2,0)</f>
        <v>50H-55294</v>
      </c>
      <c r="F49" s="299" t="str">
        <f>VLOOKUP($B49,ma!$A:$B,2,0)</f>
        <v>Chuyển Hàng ndfc</v>
      </c>
      <c r="G49" s="292"/>
      <c r="H49" s="292"/>
      <c r="I49" s="293"/>
      <c r="J49" s="292"/>
      <c r="K49" s="293"/>
      <c r="L49" s="292"/>
      <c r="M49" s="294">
        <v>4</v>
      </c>
      <c r="N49" s="295">
        <f>VLOOKUP($B49,ma!$A:$C,3,0)</f>
        <v>410000</v>
      </c>
      <c r="O49" s="295">
        <f t="shared" si="0"/>
        <v>1640000</v>
      </c>
      <c r="P49" s="295">
        <v>400000</v>
      </c>
      <c r="Q49" s="201"/>
      <c r="R49" s="201"/>
      <c r="S49" s="201"/>
      <c r="T49" s="201"/>
      <c r="U49" s="201"/>
      <c r="V49" s="32"/>
      <c r="W49" s="32"/>
      <c r="X49" s="32"/>
      <c r="Y49" s="32"/>
      <c r="Z49" s="32"/>
      <c r="AA49" s="32"/>
      <c r="AB49" s="32"/>
    </row>
    <row r="50" spans="1:28">
      <c r="A50" s="214">
        <v>45</v>
      </c>
      <c r="B50" s="296" t="s">
        <v>106</v>
      </c>
      <c r="C50" s="297" t="s">
        <v>2570</v>
      </c>
      <c r="D50" s="298">
        <v>46094</v>
      </c>
      <c r="E50" s="170" t="str">
        <f>VLOOKUP($C50,xe!$A:$B,2,0)</f>
        <v>50H-55129</v>
      </c>
      <c r="F50" s="299" t="str">
        <f>VLOOKUP($B50,ma!$A:$B,2,0)</f>
        <v>Chuyển hàng Calofic</v>
      </c>
      <c r="G50" s="292"/>
      <c r="H50" s="292"/>
      <c r="I50" s="293"/>
      <c r="J50" s="292"/>
      <c r="K50" s="293"/>
      <c r="L50" s="292"/>
      <c r="M50" s="294">
        <v>8</v>
      </c>
      <c r="N50" s="295">
        <f>VLOOKUP($B50,ma!$A:$C,3,0)</f>
        <v>180000</v>
      </c>
      <c r="O50" s="295">
        <f t="shared" si="0"/>
        <v>1440000</v>
      </c>
      <c r="P50" s="295">
        <f t="shared" ref="P50:P55" si="8">M50*50000</f>
        <v>400000</v>
      </c>
      <c r="Q50" s="201"/>
      <c r="R50" s="201"/>
      <c r="S50" s="201"/>
      <c r="T50" s="201"/>
      <c r="U50" s="201"/>
      <c r="V50" s="32"/>
      <c r="W50" s="32"/>
      <c r="X50" s="32"/>
      <c r="Y50" s="32"/>
      <c r="Z50" s="32"/>
      <c r="AA50" s="32"/>
      <c r="AB50" s="32"/>
    </row>
    <row r="51" spans="1:28">
      <c r="A51" s="214">
        <v>46</v>
      </c>
      <c r="B51" s="300" t="s">
        <v>106</v>
      </c>
      <c r="C51" s="301" t="s">
        <v>2558</v>
      </c>
      <c r="D51" s="298">
        <v>46094</v>
      </c>
      <c r="E51" s="170" t="str">
        <f>VLOOKUP($C51,xe!$A:$B,2,0)</f>
        <v>50H-69717</v>
      </c>
      <c r="F51" s="299" t="str">
        <f>VLOOKUP($B51,ma!$A:$B,2,0)</f>
        <v>Chuyển hàng Calofic</v>
      </c>
      <c r="G51" s="292"/>
      <c r="H51" s="292"/>
      <c r="I51" s="293"/>
      <c r="J51" s="292"/>
      <c r="K51" s="293"/>
      <c r="L51" s="292"/>
      <c r="M51" s="294">
        <v>9</v>
      </c>
      <c r="N51" s="295">
        <f>VLOOKUP($B51,ma!$A:$C,3,0)</f>
        <v>180000</v>
      </c>
      <c r="O51" s="295">
        <f t="shared" si="0"/>
        <v>1620000</v>
      </c>
      <c r="P51" s="295">
        <f t="shared" si="8"/>
        <v>450000</v>
      </c>
      <c r="Q51" s="201"/>
      <c r="R51" s="201"/>
      <c r="S51" s="201"/>
      <c r="T51" s="201"/>
      <c r="U51" s="201"/>
      <c r="V51" s="32"/>
      <c r="W51" s="32"/>
      <c r="X51" s="32"/>
      <c r="Y51" s="32"/>
      <c r="Z51" s="32"/>
      <c r="AA51" s="32"/>
      <c r="AB51" s="32"/>
    </row>
    <row r="52" spans="1:28">
      <c r="A52" s="234">
        <v>47</v>
      </c>
      <c r="B52" s="306" t="s">
        <v>106</v>
      </c>
      <c r="C52" s="307" t="s">
        <v>2558</v>
      </c>
      <c r="D52" s="289">
        <v>46095</v>
      </c>
      <c r="E52" s="290" t="str">
        <f>VLOOKUP($C52,xe!$A:$B,2,0)</f>
        <v>50H-69717</v>
      </c>
      <c r="F52" s="291" t="str">
        <f>VLOOKUP($B52,ma!$A:$B,2,0)</f>
        <v>Chuyển hàng Calofic</v>
      </c>
      <c r="G52" s="292"/>
      <c r="H52" s="292"/>
      <c r="I52" s="293"/>
      <c r="J52" s="292"/>
      <c r="K52" s="293"/>
      <c r="L52" s="292"/>
      <c r="M52" s="294">
        <v>13</v>
      </c>
      <c r="N52" s="295">
        <f>VLOOKUP($B52,ma!$A:$C,3,0)</f>
        <v>180000</v>
      </c>
      <c r="O52" s="295">
        <f t="shared" si="0"/>
        <v>2340000</v>
      </c>
      <c r="P52" s="295">
        <f t="shared" si="8"/>
        <v>650000</v>
      </c>
      <c r="Q52" s="201"/>
      <c r="R52" s="201"/>
      <c r="S52" s="201"/>
      <c r="T52" s="201"/>
      <c r="U52" s="201"/>
      <c r="V52" s="32"/>
      <c r="W52" s="32"/>
      <c r="X52" s="32"/>
      <c r="Y52" s="32"/>
      <c r="Z52" s="32"/>
      <c r="AA52" s="32"/>
      <c r="AB52" s="32"/>
    </row>
    <row r="53" spans="1:28">
      <c r="A53" s="214">
        <v>48</v>
      </c>
      <c r="B53" s="300" t="s">
        <v>106</v>
      </c>
      <c r="C53" s="301" t="s">
        <v>2559</v>
      </c>
      <c r="D53" s="298">
        <v>46095</v>
      </c>
      <c r="E53" s="170" t="s">
        <v>2576</v>
      </c>
      <c r="F53" s="299" t="str">
        <f>VLOOKUP($B53,ma!$A:$B,2,0)</f>
        <v>Chuyển hàng Calofic</v>
      </c>
      <c r="G53" s="292"/>
      <c r="H53" s="292"/>
      <c r="I53" s="293"/>
      <c r="J53" s="292"/>
      <c r="K53" s="293"/>
      <c r="L53" s="292"/>
      <c r="M53" s="294">
        <v>8</v>
      </c>
      <c r="N53" s="295">
        <f>VLOOKUP($B53,ma!$A:$C,3,0)</f>
        <v>180000</v>
      </c>
      <c r="O53" s="295">
        <f t="shared" si="0"/>
        <v>1440000</v>
      </c>
      <c r="P53" s="295">
        <f t="shared" si="8"/>
        <v>400000</v>
      </c>
      <c r="Q53" s="201"/>
      <c r="R53" s="201"/>
      <c r="S53" s="201"/>
      <c r="T53" s="201"/>
      <c r="U53" s="201"/>
      <c r="V53" s="32"/>
      <c r="W53" s="32"/>
      <c r="X53" s="32"/>
      <c r="Y53" s="32"/>
      <c r="Z53" s="32"/>
      <c r="AA53" s="32"/>
      <c r="AB53" s="32"/>
    </row>
    <row r="54" spans="1:28">
      <c r="A54" s="269">
        <v>49</v>
      </c>
      <c r="B54" s="319" t="s">
        <v>106</v>
      </c>
      <c r="C54" s="328" t="s">
        <v>2570</v>
      </c>
      <c r="D54" s="321">
        <v>46096</v>
      </c>
      <c r="E54" s="322" t="str">
        <f>VLOOKUP($C54,xe!$A:$B,2,0)</f>
        <v>50H-55129</v>
      </c>
      <c r="F54" s="323" t="str">
        <f>VLOOKUP($B54,ma!$A:$B,2,0)</f>
        <v>Chuyển hàng Calofic</v>
      </c>
      <c r="G54" s="324"/>
      <c r="H54" s="324"/>
      <c r="I54" s="325">
        <v>200000</v>
      </c>
      <c r="J54" s="326" t="s">
        <v>1928</v>
      </c>
      <c r="K54" s="293"/>
      <c r="L54" s="292"/>
      <c r="M54" s="294">
        <v>9</v>
      </c>
      <c r="N54" s="295">
        <f>VLOOKUP($B54,ma!$A:$C,3,0)</f>
        <v>180000</v>
      </c>
      <c r="O54" s="295">
        <f t="shared" si="0"/>
        <v>1620000</v>
      </c>
      <c r="P54" s="295">
        <f t="shared" si="8"/>
        <v>450000</v>
      </c>
      <c r="Q54" s="201"/>
      <c r="R54" s="201"/>
      <c r="S54" s="201"/>
      <c r="T54" s="201"/>
      <c r="U54" s="201"/>
      <c r="V54" s="32"/>
      <c r="W54" s="32"/>
      <c r="X54" s="32"/>
      <c r="Y54" s="32"/>
      <c r="Z54" s="32"/>
      <c r="AA54" s="32"/>
      <c r="AB54" s="32"/>
    </row>
    <row r="55" spans="1:28">
      <c r="A55" s="269">
        <v>50</v>
      </c>
      <c r="B55" s="319" t="s">
        <v>106</v>
      </c>
      <c r="C55" s="320" t="s">
        <v>2558</v>
      </c>
      <c r="D55" s="321">
        <v>46096</v>
      </c>
      <c r="E55" s="322" t="str">
        <f>VLOOKUP($C55,xe!$A:$B,2,0)</f>
        <v>50H-69717</v>
      </c>
      <c r="F55" s="323" t="str">
        <f>VLOOKUP($B55,ma!$A:$B,2,0)</f>
        <v>Chuyển hàng Calofic</v>
      </c>
      <c r="G55" s="324"/>
      <c r="H55" s="324"/>
      <c r="I55" s="325">
        <v>200000</v>
      </c>
      <c r="J55" s="326" t="s">
        <v>1928</v>
      </c>
      <c r="K55" s="293"/>
      <c r="L55" s="292"/>
      <c r="M55" s="294">
        <v>12</v>
      </c>
      <c r="N55" s="295">
        <f>VLOOKUP($B55,ma!$A:$C,3,0)</f>
        <v>180000</v>
      </c>
      <c r="O55" s="295">
        <f t="shared" si="0"/>
        <v>2160000</v>
      </c>
      <c r="P55" s="295">
        <f t="shared" si="8"/>
        <v>600000</v>
      </c>
      <c r="Q55" s="201"/>
      <c r="R55" s="201"/>
      <c r="S55" s="201"/>
      <c r="T55" s="201"/>
      <c r="U55" s="201"/>
      <c r="V55" s="32"/>
      <c r="W55" s="32"/>
      <c r="X55" s="32"/>
      <c r="Y55" s="32"/>
      <c r="Z55" s="32"/>
      <c r="AA55" s="32"/>
      <c r="AB55" s="32"/>
    </row>
    <row r="56" spans="1:28">
      <c r="A56" s="234">
        <v>51</v>
      </c>
      <c r="B56" s="288" t="s">
        <v>2532</v>
      </c>
      <c r="C56" s="327" t="s">
        <v>2559</v>
      </c>
      <c r="D56" s="289">
        <v>46097</v>
      </c>
      <c r="E56" s="290" t="str">
        <f>VLOOKUP($C56,xe!$A:$B,2,0)</f>
        <v>50H-75206</v>
      </c>
      <c r="F56" s="291" t="str">
        <f>VLOOKUP($B56,ma!$A:$B,2,0)</f>
        <v>Chuyển hàng MCC</v>
      </c>
      <c r="G56" s="292"/>
      <c r="H56" s="292"/>
      <c r="I56" s="329"/>
      <c r="J56" s="303"/>
      <c r="K56" s="293"/>
      <c r="L56" s="292"/>
      <c r="M56" s="294">
        <v>2</v>
      </c>
      <c r="N56" s="295">
        <f>VLOOKUP($B56,ma!$A:$C,3,0)</f>
        <v>414000</v>
      </c>
      <c r="O56" s="295">
        <f t="shared" si="0"/>
        <v>828000</v>
      </c>
      <c r="P56" s="295">
        <v>200000</v>
      </c>
      <c r="Q56" s="201"/>
      <c r="R56" s="201"/>
      <c r="S56" s="201"/>
      <c r="T56" s="201"/>
      <c r="U56" s="201"/>
      <c r="V56" s="32"/>
      <c r="W56" s="32"/>
      <c r="X56" s="32"/>
      <c r="Y56" s="32"/>
      <c r="Z56" s="32"/>
      <c r="AA56" s="32"/>
      <c r="AB56" s="32"/>
    </row>
    <row r="57" spans="1:28">
      <c r="A57" s="214">
        <v>52</v>
      </c>
      <c r="B57" s="297" t="s">
        <v>102</v>
      </c>
      <c r="C57" s="297" t="s">
        <v>2560</v>
      </c>
      <c r="D57" s="298">
        <v>46097</v>
      </c>
      <c r="E57" s="170" t="str">
        <f>VLOOKUP($C57,xe!$A:$B,2,0)</f>
        <v>50H-55294</v>
      </c>
      <c r="F57" s="299" t="str">
        <f>VLOOKUP($B57,ma!$A:$B,2,0)</f>
        <v>Chuyển Hàng ndfc</v>
      </c>
      <c r="G57" s="292"/>
      <c r="H57" s="292"/>
      <c r="I57" s="293"/>
      <c r="J57" s="292"/>
      <c r="K57" s="293"/>
      <c r="L57" s="292"/>
      <c r="M57" s="294">
        <v>3</v>
      </c>
      <c r="N57" s="295">
        <f>VLOOKUP($B57,ma!$A:$C,3,0)</f>
        <v>410000</v>
      </c>
      <c r="O57" s="295">
        <f t="shared" si="0"/>
        <v>1230000</v>
      </c>
      <c r="P57" s="295">
        <v>300000</v>
      </c>
      <c r="Q57" s="201"/>
      <c r="R57" s="201"/>
      <c r="S57" s="201"/>
      <c r="T57" s="201"/>
      <c r="U57" s="201"/>
      <c r="V57" s="32"/>
      <c r="W57" s="32"/>
      <c r="X57" s="32"/>
      <c r="Y57" s="32"/>
      <c r="Z57" s="32"/>
      <c r="AA57" s="32"/>
      <c r="AB57" s="32"/>
    </row>
    <row r="58" spans="1:28">
      <c r="A58" s="214">
        <v>53</v>
      </c>
      <c r="B58" s="296" t="s">
        <v>106</v>
      </c>
      <c r="C58" s="297" t="s">
        <v>2570</v>
      </c>
      <c r="D58" s="298">
        <v>46097</v>
      </c>
      <c r="E58" s="170" t="str">
        <f>VLOOKUP($C58,xe!$A:$B,2,0)</f>
        <v>50H-55129</v>
      </c>
      <c r="F58" s="299" t="str">
        <f>VLOOKUP($B58,ma!$A:$B,2,0)</f>
        <v>Chuyển hàng Calofic</v>
      </c>
      <c r="G58" s="292"/>
      <c r="H58" s="292"/>
      <c r="I58" s="308"/>
      <c r="J58" s="303"/>
      <c r="K58" s="293"/>
      <c r="L58" s="292"/>
      <c r="M58" s="294">
        <v>10</v>
      </c>
      <c r="N58" s="295">
        <f>VLOOKUP($B58,ma!$A:$C,3,0)</f>
        <v>180000</v>
      </c>
      <c r="O58" s="295">
        <f t="shared" si="0"/>
        <v>1800000</v>
      </c>
      <c r="P58" s="295">
        <f t="shared" ref="P58:P59" si="9">M58*50000</f>
        <v>500000</v>
      </c>
      <c r="Q58" s="201"/>
      <c r="R58" s="201"/>
      <c r="S58" s="201"/>
      <c r="T58" s="201"/>
      <c r="U58" s="201"/>
      <c r="V58" s="32"/>
      <c r="W58" s="32"/>
      <c r="X58" s="32"/>
      <c r="Y58" s="32"/>
      <c r="Z58" s="32"/>
      <c r="AA58" s="32"/>
      <c r="AB58" s="32"/>
    </row>
    <row r="59" spans="1:28">
      <c r="A59" s="214">
        <v>54</v>
      </c>
      <c r="B59" s="300" t="s">
        <v>106</v>
      </c>
      <c r="C59" s="301" t="s">
        <v>2558</v>
      </c>
      <c r="D59" s="298">
        <v>46097</v>
      </c>
      <c r="E59" s="170" t="str">
        <f>VLOOKUP($C59,xe!$A:$B,2,0)</f>
        <v>50H-69717</v>
      </c>
      <c r="F59" s="299" t="str">
        <f>VLOOKUP($B59,ma!$A:$B,2,0)</f>
        <v>Chuyển hàng Calofic</v>
      </c>
      <c r="G59" s="292"/>
      <c r="H59" s="292"/>
      <c r="I59" s="308"/>
      <c r="J59" s="303"/>
      <c r="K59" s="293"/>
      <c r="L59" s="292"/>
      <c r="M59" s="294">
        <v>11</v>
      </c>
      <c r="N59" s="295">
        <f>VLOOKUP($B59,ma!$A:$C,3,0)</f>
        <v>180000</v>
      </c>
      <c r="O59" s="295">
        <f t="shared" si="0"/>
        <v>1980000</v>
      </c>
      <c r="P59" s="295">
        <f t="shared" si="9"/>
        <v>550000</v>
      </c>
      <c r="Q59" s="201"/>
      <c r="R59" s="201"/>
      <c r="S59" s="201"/>
      <c r="T59" s="201"/>
      <c r="U59" s="201"/>
      <c r="V59" s="32"/>
      <c r="W59" s="32"/>
      <c r="X59" s="32"/>
      <c r="Y59" s="32"/>
      <c r="Z59" s="32"/>
      <c r="AA59" s="32"/>
      <c r="AB59" s="32"/>
    </row>
    <row r="60" spans="1:28">
      <c r="A60" s="234">
        <v>55</v>
      </c>
      <c r="B60" s="288" t="s">
        <v>2532</v>
      </c>
      <c r="C60" s="327" t="s">
        <v>2559</v>
      </c>
      <c r="D60" s="289">
        <v>46098</v>
      </c>
      <c r="E60" s="290" t="str">
        <f>VLOOKUP($C60,xe!$A:$B,2,0)</f>
        <v>50H-75206</v>
      </c>
      <c r="F60" s="291" t="str">
        <f>VLOOKUP($B60,ma!$A:$B,2,0)</f>
        <v>Chuyển hàng MCC</v>
      </c>
      <c r="G60" s="292"/>
      <c r="H60" s="292"/>
      <c r="I60" s="293">
        <v>20000</v>
      </c>
      <c r="J60" s="292" t="s">
        <v>2562</v>
      </c>
      <c r="K60" s="293"/>
      <c r="L60" s="292"/>
      <c r="M60" s="294">
        <v>1</v>
      </c>
      <c r="N60" s="295">
        <f>VLOOKUP($B60,ma!$A:$C,3,0)</f>
        <v>414000</v>
      </c>
      <c r="O60" s="295">
        <f t="shared" si="0"/>
        <v>414000</v>
      </c>
      <c r="P60" s="295">
        <v>100000</v>
      </c>
      <c r="Q60" s="201"/>
      <c r="R60" s="201"/>
      <c r="S60" s="201"/>
      <c r="T60" s="201"/>
      <c r="U60" s="201"/>
      <c r="V60" s="32"/>
      <c r="W60" s="32"/>
      <c r="X60" s="32"/>
      <c r="Y60" s="32"/>
      <c r="Z60" s="32"/>
      <c r="AA60" s="32"/>
      <c r="AB60" s="32"/>
    </row>
    <row r="61" spans="1:28">
      <c r="A61" s="214">
        <v>56</v>
      </c>
      <c r="B61" s="297" t="s">
        <v>102</v>
      </c>
      <c r="C61" s="297" t="s">
        <v>2560</v>
      </c>
      <c r="D61" s="298">
        <v>46098</v>
      </c>
      <c r="E61" s="170" t="str">
        <f>VLOOKUP($C61,xe!$A:$B,2,0)</f>
        <v>50H-55294</v>
      </c>
      <c r="F61" s="299" t="str">
        <f>VLOOKUP($B61,ma!$A:$B,2,0)</f>
        <v>Chuyển Hàng ndfc</v>
      </c>
      <c r="G61" s="292"/>
      <c r="H61" s="292"/>
      <c r="I61" s="293"/>
      <c r="J61" s="292"/>
      <c r="K61" s="293"/>
      <c r="L61" s="292"/>
      <c r="M61" s="294">
        <v>3</v>
      </c>
      <c r="N61" s="295">
        <f>VLOOKUP($B61,ma!$A:$C,3,0)</f>
        <v>410000</v>
      </c>
      <c r="O61" s="295">
        <f t="shared" si="0"/>
        <v>1230000</v>
      </c>
      <c r="P61" s="295">
        <v>300000</v>
      </c>
      <c r="Q61" s="201"/>
      <c r="R61" s="201"/>
      <c r="S61" s="201"/>
      <c r="T61" s="201"/>
      <c r="U61" s="201"/>
      <c r="V61" s="32"/>
      <c r="W61" s="32"/>
      <c r="X61" s="32"/>
      <c r="Y61" s="32"/>
      <c r="Z61" s="32"/>
      <c r="AA61" s="32"/>
      <c r="AB61" s="32"/>
    </row>
    <row r="62" spans="1:28">
      <c r="A62" s="214">
        <v>57</v>
      </c>
      <c r="B62" s="296" t="s">
        <v>106</v>
      </c>
      <c r="C62" s="297" t="s">
        <v>2570</v>
      </c>
      <c r="D62" s="298">
        <v>46098</v>
      </c>
      <c r="E62" s="170" t="str">
        <f>VLOOKUP($C62,xe!$A:$B,2,0)</f>
        <v>50H-55129</v>
      </c>
      <c r="F62" s="299" t="str">
        <f>VLOOKUP($B62,ma!$A:$B,2,0)</f>
        <v>Chuyển hàng Calofic</v>
      </c>
      <c r="G62" s="292"/>
      <c r="H62" s="292"/>
      <c r="I62" s="293"/>
      <c r="J62" s="292"/>
      <c r="K62" s="293"/>
      <c r="L62" s="292"/>
      <c r="M62" s="294">
        <v>8</v>
      </c>
      <c r="N62" s="295">
        <f>VLOOKUP($B62,ma!$A:$C,3,0)</f>
        <v>180000</v>
      </c>
      <c r="O62" s="295">
        <f t="shared" si="0"/>
        <v>1440000</v>
      </c>
      <c r="P62" s="295">
        <f t="shared" ref="P62:P63" si="10">M62*50000</f>
        <v>400000</v>
      </c>
      <c r="Q62" s="201"/>
      <c r="R62" s="201"/>
      <c r="S62" s="201"/>
      <c r="T62" s="201"/>
      <c r="U62" s="201"/>
      <c r="V62" s="32"/>
      <c r="W62" s="32"/>
      <c r="X62" s="32"/>
      <c r="Y62" s="32"/>
      <c r="Z62" s="32"/>
      <c r="AA62" s="32"/>
      <c r="AB62" s="32"/>
    </row>
    <row r="63" spans="1:28">
      <c r="A63" s="214">
        <v>58</v>
      </c>
      <c r="B63" s="300" t="s">
        <v>106</v>
      </c>
      <c r="C63" s="301" t="s">
        <v>2558</v>
      </c>
      <c r="D63" s="298">
        <v>46098</v>
      </c>
      <c r="E63" s="170" t="str">
        <f>VLOOKUP($C63,xe!$A:$B,2,0)</f>
        <v>50H-69717</v>
      </c>
      <c r="F63" s="299" t="str">
        <f>VLOOKUP($B63,ma!$A:$B,2,0)</f>
        <v>Chuyển hàng Calofic</v>
      </c>
      <c r="G63" s="292"/>
      <c r="H63" s="292"/>
      <c r="I63" s="308"/>
      <c r="J63" s="303"/>
      <c r="K63" s="293"/>
      <c r="L63" s="292"/>
      <c r="M63" s="294">
        <v>8</v>
      </c>
      <c r="N63" s="295">
        <f>VLOOKUP($B63,ma!$A:$C,3,0)</f>
        <v>180000</v>
      </c>
      <c r="O63" s="295">
        <f t="shared" si="0"/>
        <v>1440000</v>
      </c>
      <c r="P63" s="295">
        <f t="shared" si="10"/>
        <v>400000</v>
      </c>
      <c r="Q63" s="201"/>
      <c r="R63" s="201"/>
      <c r="S63" s="201"/>
      <c r="T63" s="201"/>
      <c r="U63" s="201"/>
      <c r="V63" s="32"/>
      <c r="W63" s="32"/>
      <c r="X63" s="32"/>
      <c r="Y63" s="32"/>
      <c r="Z63" s="32"/>
      <c r="AA63" s="32"/>
      <c r="AB63" s="32"/>
    </row>
    <row r="64" spans="1:28">
      <c r="A64" s="214">
        <v>59</v>
      </c>
      <c r="B64" s="330" t="s">
        <v>2506</v>
      </c>
      <c r="C64" s="331" t="s">
        <v>2559</v>
      </c>
      <c r="D64" s="332">
        <v>46098</v>
      </c>
      <c r="E64" s="333" t="str">
        <f>VLOOKUP($C64,xe!$A:$B,2,0)</f>
        <v>50H-75206</v>
      </c>
      <c r="F64" s="334" t="str">
        <f>VLOOKUP($B64,ma!$A:$B,2,0)</f>
        <v>TUẤN LỘC Q7 PALLET</v>
      </c>
      <c r="G64" s="335"/>
      <c r="H64" s="335"/>
      <c r="I64" s="336">
        <v>100000</v>
      </c>
      <c r="J64" s="337" t="s">
        <v>1427</v>
      </c>
      <c r="K64" s="338"/>
      <c r="L64" s="335"/>
      <c r="M64" s="339">
        <v>12</v>
      </c>
      <c r="N64" s="340">
        <f>VLOOKUP($B64,ma!$A:$C,3,0)</f>
        <v>200000</v>
      </c>
      <c r="O64" s="340">
        <f t="shared" si="0"/>
        <v>2400000</v>
      </c>
      <c r="P64" s="340">
        <v>400000</v>
      </c>
      <c r="Q64" s="201"/>
      <c r="R64" s="201"/>
      <c r="S64" s="201"/>
      <c r="T64" s="201"/>
      <c r="U64" s="201"/>
      <c r="V64" s="32"/>
      <c r="W64" s="32"/>
      <c r="X64" s="32"/>
      <c r="Y64" s="32"/>
      <c r="Z64" s="32"/>
      <c r="AA64" s="32"/>
      <c r="AB64" s="32"/>
    </row>
    <row r="65" spans="1:28">
      <c r="A65" s="234">
        <v>60</v>
      </c>
      <c r="B65" s="235" t="s">
        <v>102</v>
      </c>
      <c r="C65" s="235" t="s">
        <v>2560</v>
      </c>
      <c r="D65" s="236">
        <v>46099</v>
      </c>
      <c r="E65" s="139" t="str">
        <f>VLOOKUP($C65,xe!$A:$B,2,0)</f>
        <v>50H-55294</v>
      </c>
      <c r="F65" s="237" t="str">
        <f>VLOOKUP($B65,ma!$A:$B,2,0)</f>
        <v>Chuyển Hàng ndfc</v>
      </c>
      <c r="G65" s="218"/>
      <c r="H65" s="218"/>
      <c r="I65" s="219"/>
      <c r="J65" s="218"/>
      <c r="K65" s="219"/>
      <c r="L65" s="218"/>
      <c r="M65" s="276">
        <v>3</v>
      </c>
      <c r="N65" s="221">
        <f>VLOOKUP($B65,ma!$A:$C,3,0)</f>
        <v>410000</v>
      </c>
      <c r="O65" s="221">
        <f t="shared" si="0"/>
        <v>1230000</v>
      </c>
      <c r="P65" s="221">
        <v>300000</v>
      </c>
      <c r="Q65" s="201"/>
      <c r="R65" s="201"/>
      <c r="S65" s="201"/>
      <c r="T65" s="201"/>
      <c r="U65" s="201"/>
      <c r="V65" s="32"/>
      <c r="W65" s="32"/>
      <c r="X65" s="32"/>
      <c r="Y65" s="32"/>
      <c r="Z65" s="32"/>
      <c r="AA65" s="32"/>
      <c r="AB65" s="32"/>
    </row>
    <row r="66" spans="1:28">
      <c r="A66" s="214">
        <v>61</v>
      </c>
      <c r="B66" s="215" t="s">
        <v>106</v>
      </c>
      <c r="C66" s="215" t="s">
        <v>2570</v>
      </c>
      <c r="D66" s="216">
        <v>46099</v>
      </c>
      <c r="E66" s="109" t="str">
        <f>VLOOKUP($C66,xe!$A:$B,2,0)</f>
        <v>50H-55129</v>
      </c>
      <c r="F66" s="217" t="str">
        <f>VLOOKUP($B66,ma!$A:$B,2,0)</f>
        <v>Chuyển hàng Calofic</v>
      </c>
      <c r="G66" s="218"/>
      <c r="H66" s="218"/>
      <c r="I66" s="219"/>
      <c r="J66" s="218"/>
      <c r="K66" s="219"/>
      <c r="L66" s="218"/>
      <c r="M66" s="276">
        <v>9</v>
      </c>
      <c r="N66" s="221">
        <f>VLOOKUP($B66,ma!$A:$C,3,0)</f>
        <v>180000</v>
      </c>
      <c r="O66" s="221">
        <f t="shared" si="0"/>
        <v>1620000</v>
      </c>
      <c r="P66" s="221">
        <f t="shared" ref="P66:P67" si="11">M66*50000</f>
        <v>450000</v>
      </c>
      <c r="Q66" s="201"/>
      <c r="R66" s="201"/>
      <c r="S66" s="201"/>
      <c r="T66" s="201"/>
      <c r="U66" s="201"/>
      <c r="V66" s="32"/>
      <c r="W66" s="32"/>
      <c r="X66" s="32"/>
      <c r="Y66" s="32"/>
      <c r="Z66" s="32"/>
      <c r="AA66" s="32"/>
      <c r="AB66" s="32"/>
    </row>
    <row r="67" spans="1:28">
      <c r="A67" s="214">
        <v>62</v>
      </c>
      <c r="B67" s="215" t="s">
        <v>106</v>
      </c>
      <c r="C67" s="215" t="s">
        <v>2558</v>
      </c>
      <c r="D67" s="216">
        <v>46099</v>
      </c>
      <c r="E67" s="109" t="str">
        <f>VLOOKUP($C67,xe!$A:$B,2,0)</f>
        <v>50H-69717</v>
      </c>
      <c r="F67" s="217" t="str">
        <f>VLOOKUP($B67,ma!$A:$B,2,0)</f>
        <v>Chuyển hàng Calofic</v>
      </c>
      <c r="G67" s="218"/>
      <c r="H67" s="218"/>
      <c r="I67" s="219"/>
      <c r="J67" s="218"/>
      <c r="K67" s="219"/>
      <c r="L67" s="218"/>
      <c r="M67" s="276">
        <v>9</v>
      </c>
      <c r="N67" s="221">
        <f>VLOOKUP($B67,ma!$A:$C,3,0)</f>
        <v>180000</v>
      </c>
      <c r="O67" s="221">
        <f t="shared" si="0"/>
        <v>1620000</v>
      </c>
      <c r="P67" s="221">
        <f t="shared" si="11"/>
        <v>450000</v>
      </c>
      <c r="Q67" s="201"/>
      <c r="R67" s="201"/>
      <c r="S67" s="201"/>
      <c r="T67" s="201"/>
      <c r="U67" s="201"/>
      <c r="V67" s="32"/>
      <c r="W67" s="32"/>
      <c r="X67" s="32"/>
      <c r="Y67" s="32"/>
      <c r="Z67" s="32"/>
      <c r="AA67" s="32"/>
      <c r="AB67" s="32"/>
    </row>
    <row r="68" spans="1:28">
      <c r="A68" s="234">
        <v>63</v>
      </c>
      <c r="B68" s="235" t="s">
        <v>2532</v>
      </c>
      <c r="C68" s="235" t="s">
        <v>2577</v>
      </c>
      <c r="D68" s="236">
        <v>46100</v>
      </c>
      <c r="E68" s="341" t="str">
        <f>VLOOKUP($C68,xe!$A:$B,2,0)</f>
        <v>50E-758,73</v>
      </c>
      <c r="F68" s="237" t="str">
        <f>VLOOKUP($B68,ma!$A:$B,2,0)</f>
        <v>Chuyển hàng MCC</v>
      </c>
      <c r="G68" s="218"/>
      <c r="H68" s="218"/>
      <c r="I68" s="342">
        <v>40000</v>
      </c>
      <c r="J68" s="343" t="s">
        <v>2562</v>
      </c>
      <c r="K68" s="219"/>
      <c r="L68" s="218"/>
      <c r="M68" s="276">
        <v>4</v>
      </c>
      <c r="N68" s="221">
        <f>VLOOKUP($B68,ma!$A:$C,3,0)</f>
        <v>414000</v>
      </c>
      <c r="O68" s="221">
        <f t="shared" si="0"/>
        <v>1656000</v>
      </c>
      <c r="P68" s="221">
        <v>400000</v>
      </c>
      <c r="Q68" s="201"/>
      <c r="R68" s="201"/>
      <c r="S68" s="201"/>
      <c r="T68" s="201"/>
      <c r="U68" s="201"/>
      <c r="V68" s="32"/>
      <c r="W68" s="32"/>
      <c r="X68" s="32"/>
      <c r="Y68" s="32"/>
      <c r="Z68" s="32"/>
      <c r="AA68" s="32"/>
      <c r="AB68" s="32"/>
    </row>
    <row r="69" spans="1:28">
      <c r="A69" s="214">
        <v>64</v>
      </c>
      <c r="B69" s="215" t="s">
        <v>102</v>
      </c>
      <c r="C69" s="215" t="s">
        <v>2560</v>
      </c>
      <c r="D69" s="216">
        <v>46100</v>
      </c>
      <c r="E69" s="109" t="str">
        <f>VLOOKUP($C69,xe!$A:$B,2,0)</f>
        <v>50H-55294</v>
      </c>
      <c r="F69" s="217" t="str">
        <f>VLOOKUP($B69,ma!$A:$B,2,0)</f>
        <v>Chuyển Hàng ndfc</v>
      </c>
      <c r="G69" s="218"/>
      <c r="H69" s="218"/>
      <c r="I69" s="344"/>
      <c r="J69" s="343"/>
      <c r="K69" s="219"/>
      <c r="L69" s="218"/>
      <c r="M69" s="276">
        <v>4</v>
      </c>
      <c r="N69" s="221">
        <f>VLOOKUP($B69,ma!$A:$C,3,0)</f>
        <v>410000</v>
      </c>
      <c r="O69" s="221">
        <f t="shared" si="0"/>
        <v>1640000</v>
      </c>
      <c r="P69" s="221">
        <v>400000</v>
      </c>
      <c r="Q69" s="201"/>
      <c r="R69" s="201"/>
      <c r="S69" s="201"/>
      <c r="T69" s="201"/>
      <c r="U69" s="201"/>
      <c r="V69" s="32"/>
      <c r="W69" s="32"/>
      <c r="X69" s="32"/>
      <c r="Y69" s="32"/>
      <c r="Z69" s="32"/>
      <c r="AA69" s="32"/>
      <c r="AB69" s="32"/>
    </row>
    <row r="70" spans="1:28">
      <c r="A70" s="214">
        <v>65</v>
      </c>
      <c r="B70" s="215" t="s">
        <v>106</v>
      </c>
      <c r="C70" s="215" t="s">
        <v>2570</v>
      </c>
      <c r="D70" s="216">
        <v>46100</v>
      </c>
      <c r="E70" s="109" t="str">
        <f>VLOOKUP($C70,xe!$A:$B,2,0)</f>
        <v>50H-55129</v>
      </c>
      <c r="F70" s="217" t="str">
        <f>VLOOKUP($B70,ma!$A:$B,2,0)</f>
        <v>Chuyển hàng Calofic</v>
      </c>
      <c r="G70" s="218"/>
      <c r="H70" s="218"/>
      <c r="I70" s="344"/>
      <c r="J70" s="343"/>
      <c r="K70" s="219"/>
      <c r="L70" s="218"/>
      <c r="M70" s="276">
        <v>9</v>
      </c>
      <c r="N70" s="221">
        <f>VLOOKUP($B70,ma!$A:$C,3,0)</f>
        <v>180000</v>
      </c>
      <c r="O70" s="221">
        <f t="shared" si="0"/>
        <v>1620000</v>
      </c>
      <c r="P70" s="221">
        <f t="shared" ref="P70:P71" si="12">M70*50000</f>
        <v>450000</v>
      </c>
      <c r="Q70" s="201"/>
      <c r="R70" s="201"/>
      <c r="S70" s="201"/>
      <c r="T70" s="201"/>
      <c r="U70" s="201"/>
      <c r="V70" s="32"/>
      <c r="W70" s="32"/>
      <c r="X70" s="32"/>
      <c r="Y70" s="32"/>
      <c r="Z70" s="32"/>
      <c r="AA70" s="32"/>
      <c r="AB70" s="32"/>
    </row>
    <row r="71" spans="1:28">
      <c r="A71" s="214">
        <v>66</v>
      </c>
      <c r="B71" s="215" t="s">
        <v>106</v>
      </c>
      <c r="C71" s="215" t="s">
        <v>2558</v>
      </c>
      <c r="D71" s="216">
        <v>46100</v>
      </c>
      <c r="E71" s="109" t="str">
        <f>VLOOKUP($C71,xe!$A:$B,2,0)</f>
        <v>50H-69717</v>
      </c>
      <c r="F71" s="217" t="str">
        <f>VLOOKUP($B71,ma!$A:$B,2,0)</f>
        <v>Chuyển hàng Calofic</v>
      </c>
      <c r="G71" s="218"/>
      <c r="H71" s="218"/>
      <c r="I71" s="219"/>
      <c r="J71" s="218"/>
      <c r="K71" s="219"/>
      <c r="L71" s="218"/>
      <c r="M71" s="276">
        <v>7</v>
      </c>
      <c r="N71" s="221">
        <f>VLOOKUP($B71,ma!$A:$C,3,0)</f>
        <v>180000</v>
      </c>
      <c r="O71" s="221">
        <f t="shared" si="0"/>
        <v>1260000</v>
      </c>
      <c r="P71" s="221">
        <f t="shared" si="12"/>
        <v>350000</v>
      </c>
      <c r="Q71" s="201"/>
      <c r="R71" s="201"/>
      <c r="S71" s="201"/>
      <c r="T71" s="201"/>
      <c r="U71" s="201"/>
      <c r="V71" s="32"/>
      <c r="W71" s="32"/>
      <c r="X71" s="32"/>
      <c r="Y71" s="32"/>
      <c r="Z71" s="32"/>
      <c r="AA71" s="32"/>
      <c r="AB71" s="32"/>
    </row>
    <row r="72" spans="1:28">
      <c r="A72" s="234">
        <v>67</v>
      </c>
      <c r="B72" s="235" t="s">
        <v>118</v>
      </c>
      <c r="C72" s="235" t="s">
        <v>2577</v>
      </c>
      <c r="D72" s="236">
        <v>46101</v>
      </c>
      <c r="E72" s="341" t="str">
        <f>VLOOKUP($C72,xe!$A:$B,2,0)</f>
        <v>50E-758,73</v>
      </c>
      <c r="F72" s="237" t="str">
        <f>VLOOKUP($B72,ma!$A:$B,2,0)</f>
        <v>Chuyển hàng MCC</v>
      </c>
      <c r="G72" s="218"/>
      <c r="H72" s="218"/>
      <c r="I72" s="219">
        <v>20000</v>
      </c>
      <c r="J72" s="218" t="s">
        <v>2578</v>
      </c>
      <c r="K72" s="219"/>
      <c r="L72" s="218"/>
      <c r="M72" s="276">
        <v>5</v>
      </c>
      <c r="N72" s="221">
        <f>VLOOKUP($B72,ma!$A:$C,3,0)</f>
        <v>414000</v>
      </c>
      <c r="O72" s="221">
        <f t="shared" si="0"/>
        <v>2070000</v>
      </c>
      <c r="P72" s="221">
        <v>500000</v>
      </c>
      <c r="Q72" s="201"/>
      <c r="R72" s="201"/>
      <c r="S72" s="201"/>
      <c r="T72" s="201"/>
      <c r="U72" s="201"/>
      <c r="V72" s="32"/>
      <c r="W72" s="32"/>
      <c r="X72" s="32"/>
      <c r="Y72" s="32"/>
      <c r="Z72" s="32"/>
      <c r="AA72" s="32"/>
      <c r="AB72" s="32"/>
    </row>
    <row r="73" spans="1:28">
      <c r="A73" s="214">
        <v>68</v>
      </c>
      <c r="B73" s="215" t="s">
        <v>455</v>
      </c>
      <c r="C73" s="215" t="s">
        <v>2560</v>
      </c>
      <c r="D73" s="216">
        <v>46101</v>
      </c>
      <c r="E73" s="109" t="str">
        <f>VLOOKUP($C73,xe!$A:$B,2,0)</f>
        <v>50H-55294</v>
      </c>
      <c r="F73" s="217" t="str">
        <f>VLOOKUP($B73,ma!$A:$B,2,0)</f>
        <v>Chuyển Hàng ndfc</v>
      </c>
      <c r="G73" s="218"/>
      <c r="H73" s="218"/>
      <c r="I73" s="344"/>
      <c r="J73" s="343"/>
      <c r="K73" s="219"/>
      <c r="L73" s="218"/>
      <c r="M73" s="276">
        <v>3</v>
      </c>
      <c r="N73" s="221">
        <f>VLOOKUP($B73,ma!$A:$C,3,0)</f>
        <v>410000</v>
      </c>
      <c r="O73" s="221">
        <f t="shared" si="0"/>
        <v>1230000</v>
      </c>
      <c r="P73" s="221">
        <v>300000</v>
      </c>
      <c r="Q73" s="201"/>
      <c r="R73" s="201"/>
      <c r="S73" s="201"/>
      <c r="T73" s="201"/>
      <c r="U73" s="201"/>
      <c r="V73" s="32"/>
      <c r="W73" s="32"/>
      <c r="X73" s="32"/>
      <c r="Y73" s="32"/>
      <c r="Z73" s="32"/>
      <c r="AA73" s="32"/>
      <c r="AB73" s="32"/>
    </row>
    <row r="74" spans="1:28">
      <c r="A74" s="214">
        <v>69</v>
      </c>
      <c r="B74" s="215" t="s">
        <v>2567</v>
      </c>
      <c r="C74" s="215" t="s">
        <v>2570</v>
      </c>
      <c r="D74" s="216">
        <v>46101</v>
      </c>
      <c r="E74" s="109" t="str">
        <f>VLOOKUP($C74,xe!$A:$B,2,0)</f>
        <v>50H-55129</v>
      </c>
      <c r="F74" s="217" t="str">
        <f>VLOOKUP($B74,ma!$A:$B,2,0)</f>
        <v>Chuyển hàng Calofic</v>
      </c>
      <c r="G74" s="218"/>
      <c r="H74" s="218"/>
      <c r="I74" s="219"/>
      <c r="J74" s="218"/>
      <c r="K74" s="219"/>
      <c r="L74" s="218"/>
      <c r="M74" s="276">
        <v>9</v>
      </c>
      <c r="N74" s="221">
        <f>VLOOKUP($B74,ma!$A:$C,3,0)</f>
        <v>180000</v>
      </c>
      <c r="O74" s="221">
        <f t="shared" si="0"/>
        <v>1620000</v>
      </c>
      <c r="P74" s="221">
        <f t="shared" ref="P74:P75" si="13">M74*50000</f>
        <v>450000</v>
      </c>
      <c r="Q74" s="201"/>
      <c r="R74" s="201"/>
      <c r="S74" s="201"/>
      <c r="T74" s="201"/>
      <c r="U74" s="201"/>
      <c r="V74" s="32"/>
      <c r="W74" s="32"/>
      <c r="X74" s="32"/>
      <c r="Y74" s="32"/>
      <c r="Z74" s="32"/>
      <c r="AA74" s="32"/>
      <c r="AB74" s="32"/>
    </row>
    <row r="75" spans="1:28">
      <c r="A75" s="214">
        <v>70</v>
      </c>
      <c r="B75" s="215" t="s">
        <v>2567</v>
      </c>
      <c r="C75" s="215" t="s">
        <v>2558</v>
      </c>
      <c r="D75" s="216">
        <v>46101</v>
      </c>
      <c r="E75" s="109" t="str">
        <f>VLOOKUP($C75,xe!$A:$B,2,0)</f>
        <v>50H-69717</v>
      </c>
      <c r="F75" s="217" t="str">
        <f>VLOOKUP($B75,ma!$A:$B,2,0)</f>
        <v>Chuyển hàng Calofic</v>
      </c>
      <c r="G75" s="218"/>
      <c r="H75" s="218"/>
      <c r="I75" s="344"/>
      <c r="J75" s="343"/>
      <c r="K75" s="219"/>
      <c r="L75" s="218"/>
      <c r="M75" s="276">
        <v>8</v>
      </c>
      <c r="N75" s="221">
        <f>VLOOKUP($B75,ma!$A:$C,3,0)</f>
        <v>180000</v>
      </c>
      <c r="O75" s="221">
        <f t="shared" si="0"/>
        <v>1440000</v>
      </c>
      <c r="P75" s="221">
        <f t="shared" si="13"/>
        <v>400000</v>
      </c>
      <c r="Q75" s="201"/>
      <c r="R75" s="201"/>
      <c r="S75" s="201"/>
      <c r="T75" s="201"/>
      <c r="U75" s="201"/>
      <c r="V75" s="32"/>
      <c r="W75" s="32"/>
      <c r="X75" s="32"/>
      <c r="Y75" s="32"/>
      <c r="Z75" s="32"/>
      <c r="AA75" s="32"/>
      <c r="AB75" s="32"/>
    </row>
    <row r="76" spans="1:28">
      <c r="A76" s="234">
        <v>71</v>
      </c>
      <c r="B76" s="235" t="s">
        <v>2532</v>
      </c>
      <c r="C76" s="235" t="s">
        <v>2577</v>
      </c>
      <c r="D76" s="236">
        <v>46102</v>
      </c>
      <c r="E76" s="341" t="str">
        <f>VLOOKUP($C76,xe!$A:$B,2,0)</f>
        <v>50E-758,73</v>
      </c>
      <c r="F76" s="237" t="str">
        <f>VLOOKUP($B76,ma!$A:$B,2,0)</f>
        <v>Chuyển hàng MCC</v>
      </c>
      <c r="G76" s="218"/>
      <c r="H76" s="218"/>
      <c r="I76" s="219">
        <v>20000</v>
      </c>
      <c r="J76" s="218" t="s">
        <v>2562</v>
      </c>
      <c r="K76" s="219"/>
      <c r="L76" s="218"/>
      <c r="M76" s="276">
        <v>2</v>
      </c>
      <c r="N76" s="221">
        <f>VLOOKUP($B76,ma!$A:$C,3,0)</f>
        <v>414000</v>
      </c>
      <c r="O76" s="221">
        <f t="shared" si="0"/>
        <v>828000</v>
      </c>
      <c r="P76" s="221">
        <v>200000</v>
      </c>
      <c r="Q76" s="201"/>
      <c r="R76" s="201"/>
      <c r="S76" s="201"/>
      <c r="T76" s="201"/>
      <c r="U76" s="201"/>
      <c r="V76" s="32"/>
      <c r="W76" s="32"/>
      <c r="X76" s="32"/>
      <c r="Y76" s="32"/>
      <c r="Z76" s="32"/>
      <c r="AA76" s="32"/>
      <c r="AB76" s="32"/>
    </row>
    <row r="77" spans="1:28">
      <c r="A77" s="214">
        <v>72</v>
      </c>
      <c r="B77" s="215" t="s">
        <v>102</v>
      </c>
      <c r="C77" s="215" t="s">
        <v>2560</v>
      </c>
      <c r="D77" s="216">
        <v>46102</v>
      </c>
      <c r="E77" s="109" t="str">
        <f>VLOOKUP($C77,xe!$A:$B,2,0)</f>
        <v>50H-55294</v>
      </c>
      <c r="F77" s="217" t="str">
        <f>VLOOKUP($B77,ma!$A:$B,2,0)</f>
        <v>Chuyển Hàng ndfc</v>
      </c>
      <c r="G77" s="218"/>
      <c r="H77" s="218"/>
      <c r="I77" s="219"/>
      <c r="J77" s="218"/>
      <c r="K77" s="219"/>
      <c r="L77" s="218"/>
      <c r="M77" s="276">
        <v>4</v>
      </c>
      <c r="N77" s="221">
        <f>VLOOKUP($B77,ma!$A:$C,3,0)</f>
        <v>410000</v>
      </c>
      <c r="O77" s="221">
        <f t="shared" si="0"/>
        <v>1640000</v>
      </c>
      <c r="P77" s="221">
        <v>400000</v>
      </c>
      <c r="Q77" s="201"/>
      <c r="R77" s="201"/>
      <c r="S77" s="201"/>
      <c r="T77" s="201"/>
      <c r="U77" s="201"/>
      <c r="V77" s="32"/>
      <c r="W77" s="32"/>
      <c r="X77" s="32"/>
      <c r="Y77" s="32"/>
      <c r="Z77" s="32"/>
      <c r="AA77" s="32"/>
      <c r="AB77" s="32"/>
    </row>
    <row r="78" spans="1:28">
      <c r="A78" s="214">
        <v>73</v>
      </c>
      <c r="B78" s="215" t="s">
        <v>106</v>
      </c>
      <c r="C78" s="215" t="s">
        <v>2570</v>
      </c>
      <c r="D78" s="216">
        <v>46102</v>
      </c>
      <c r="E78" s="109" t="str">
        <f>VLOOKUP($C78,xe!$A:$B,2,0)</f>
        <v>50H-55129</v>
      </c>
      <c r="F78" s="217" t="str">
        <f>VLOOKUP($B78,ma!$A:$B,2,0)</f>
        <v>Chuyển hàng Calofic</v>
      </c>
      <c r="G78" s="218"/>
      <c r="H78" s="218"/>
      <c r="I78" s="219"/>
      <c r="J78" s="218"/>
      <c r="K78" s="219"/>
      <c r="L78" s="218"/>
      <c r="M78" s="276">
        <v>6</v>
      </c>
      <c r="N78" s="221">
        <f>VLOOKUP($B78,ma!$A:$C,3,0)</f>
        <v>180000</v>
      </c>
      <c r="O78" s="221">
        <f t="shared" si="0"/>
        <v>1080000</v>
      </c>
      <c r="P78" s="221">
        <f t="shared" ref="P78:P81" si="14">M78*50000</f>
        <v>300000</v>
      </c>
      <c r="Q78" s="201"/>
      <c r="R78" s="201"/>
      <c r="S78" s="201"/>
      <c r="T78" s="201"/>
      <c r="U78" s="201"/>
      <c r="V78" s="32"/>
      <c r="W78" s="32"/>
      <c r="X78" s="32"/>
      <c r="Y78" s="32"/>
      <c r="Z78" s="32"/>
      <c r="AA78" s="32"/>
      <c r="AB78" s="32"/>
    </row>
    <row r="79" spans="1:28">
      <c r="A79" s="214">
        <v>74</v>
      </c>
      <c r="B79" s="215" t="s">
        <v>106</v>
      </c>
      <c r="C79" s="215" t="s">
        <v>2558</v>
      </c>
      <c r="D79" s="216">
        <v>46102</v>
      </c>
      <c r="E79" s="109" t="str">
        <f>VLOOKUP($C79,xe!$A:$B,2,0)</f>
        <v>50H-69717</v>
      </c>
      <c r="F79" s="217" t="str">
        <f>VLOOKUP($B79,ma!$A:$B,2,0)</f>
        <v>Chuyển hàng Calofic</v>
      </c>
      <c r="G79" s="218"/>
      <c r="H79" s="218"/>
      <c r="I79" s="219"/>
      <c r="J79" s="218"/>
      <c r="K79" s="219"/>
      <c r="L79" s="218"/>
      <c r="M79" s="276">
        <v>7</v>
      </c>
      <c r="N79" s="221">
        <f>VLOOKUP($B79,ma!$A:$C,3,0)</f>
        <v>180000</v>
      </c>
      <c r="O79" s="221">
        <f t="shared" si="0"/>
        <v>1260000</v>
      </c>
      <c r="P79" s="221">
        <f t="shared" si="14"/>
        <v>350000</v>
      </c>
      <c r="Q79" s="201"/>
      <c r="R79" s="201"/>
      <c r="S79" s="201"/>
      <c r="T79" s="201"/>
      <c r="U79" s="201"/>
      <c r="V79" s="32"/>
      <c r="W79" s="32"/>
      <c r="X79" s="32"/>
      <c r="Y79" s="32"/>
      <c r="Z79" s="32"/>
      <c r="AA79" s="32"/>
      <c r="AB79" s="32"/>
    </row>
    <row r="80" spans="1:28">
      <c r="A80" s="269">
        <v>75</v>
      </c>
      <c r="B80" s="270" t="s">
        <v>2567</v>
      </c>
      <c r="C80" s="270" t="s">
        <v>2570</v>
      </c>
      <c r="D80" s="272">
        <v>46103</v>
      </c>
      <c r="E80" s="115" t="str">
        <f>VLOOKUP($C80,xe!$A:$B,2,0)</f>
        <v>50H-55129</v>
      </c>
      <c r="F80" s="273" t="str">
        <f>VLOOKUP($B80,ma!$A:$B,2,0)</f>
        <v>Chuyển hàng Calofic</v>
      </c>
      <c r="G80" s="274"/>
      <c r="H80" s="274"/>
      <c r="I80" s="345">
        <v>200000</v>
      </c>
      <c r="J80" s="274" t="s">
        <v>1928</v>
      </c>
      <c r="K80" s="219"/>
      <c r="L80" s="218"/>
      <c r="M80" s="276">
        <v>8</v>
      </c>
      <c r="N80" s="221">
        <f>VLOOKUP($B80,ma!$A:$C,3,0)</f>
        <v>180000</v>
      </c>
      <c r="O80" s="221">
        <f t="shared" si="0"/>
        <v>1440000</v>
      </c>
      <c r="P80" s="221">
        <f t="shared" si="14"/>
        <v>400000</v>
      </c>
      <c r="Q80" s="201"/>
      <c r="R80" s="201"/>
      <c r="S80" s="201"/>
      <c r="T80" s="201"/>
      <c r="U80" s="201"/>
      <c r="V80" s="32"/>
      <c r="W80" s="32"/>
      <c r="X80" s="32"/>
      <c r="Y80" s="32"/>
      <c r="Z80" s="32"/>
      <c r="AA80" s="32"/>
      <c r="AB80" s="32"/>
    </row>
    <row r="81" spans="1:28">
      <c r="A81" s="269">
        <v>76</v>
      </c>
      <c r="B81" s="270" t="s">
        <v>2567</v>
      </c>
      <c r="C81" s="270" t="s">
        <v>2558</v>
      </c>
      <c r="D81" s="272">
        <v>46103</v>
      </c>
      <c r="E81" s="115" t="str">
        <f>VLOOKUP($C81,xe!$A:$B,2,0)</f>
        <v>50H-69717</v>
      </c>
      <c r="F81" s="273" t="str">
        <f>VLOOKUP($B81,ma!$A:$B,2,0)</f>
        <v>Chuyển hàng Calofic</v>
      </c>
      <c r="G81" s="274"/>
      <c r="H81" s="274"/>
      <c r="I81" s="275">
        <v>200000</v>
      </c>
      <c r="J81" s="274" t="s">
        <v>1928</v>
      </c>
      <c r="K81" s="219"/>
      <c r="L81" s="218"/>
      <c r="M81" s="276">
        <v>10</v>
      </c>
      <c r="N81" s="221">
        <f>VLOOKUP($B81,ma!$A:$C,3,0)</f>
        <v>180000</v>
      </c>
      <c r="O81" s="221">
        <f t="shared" si="0"/>
        <v>1800000</v>
      </c>
      <c r="P81" s="221">
        <f t="shared" si="14"/>
        <v>500000</v>
      </c>
      <c r="Q81" s="201"/>
      <c r="R81" s="201"/>
      <c r="S81" s="201"/>
      <c r="T81" s="201"/>
      <c r="U81" s="201"/>
      <c r="V81" s="32"/>
      <c r="W81" s="32"/>
      <c r="X81" s="32"/>
      <c r="Y81" s="32"/>
      <c r="Z81" s="32"/>
      <c r="AA81" s="32"/>
      <c r="AB81" s="32"/>
    </row>
    <row r="82" spans="1:28">
      <c r="A82" s="234">
        <v>77</v>
      </c>
      <c r="B82" s="235" t="s">
        <v>2532</v>
      </c>
      <c r="C82" s="235" t="s">
        <v>2579</v>
      </c>
      <c r="D82" s="236">
        <v>46104</v>
      </c>
      <c r="E82" s="139" t="str">
        <f>VLOOKUP($C82,xe!$A:$B,2,0)</f>
        <v>50H-66347</v>
      </c>
      <c r="F82" s="237" t="str">
        <f>VLOOKUP($B82,ma!$A:$B,2,0)</f>
        <v>Chuyển hàng MCC</v>
      </c>
      <c r="G82" s="218"/>
      <c r="H82" s="218"/>
      <c r="I82" s="219">
        <v>20000</v>
      </c>
      <c r="J82" s="218" t="s">
        <v>2562</v>
      </c>
      <c r="K82" s="219"/>
      <c r="L82" s="218"/>
      <c r="M82" s="276">
        <v>4</v>
      </c>
      <c r="N82" s="221">
        <f>VLOOKUP($B82,ma!$A:$C,3,0)</f>
        <v>414000</v>
      </c>
      <c r="O82" s="221">
        <f t="shared" si="0"/>
        <v>1656000</v>
      </c>
      <c r="P82" s="221">
        <v>400000</v>
      </c>
      <c r="Q82" s="201"/>
      <c r="R82" s="201"/>
      <c r="S82" s="201"/>
      <c r="T82" s="201"/>
      <c r="U82" s="201"/>
      <c r="V82" s="32"/>
      <c r="W82" s="32"/>
      <c r="X82" s="32"/>
      <c r="Y82" s="32"/>
      <c r="Z82" s="32"/>
      <c r="AA82" s="32"/>
      <c r="AB82" s="32"/>
    </row>
    <row r="83" spans="1:28">
      <c r="A83" s="214">
        <v>78</v>
      </c>
      <c r="B83" s="215" t="s">
        <v>102</v>
      </c>
      <c r="C83" s="215" t="s">
        <v>2560</v>
      </c>
      <c r="D83" s="216">
        <v>46104</v>
      </c>
      <c r="E83" s="109" t="str">
        <f>VLOOKUP($C83,xe!$A:$B,2,0)</f>
        <v>50H-55294</v>
      </c>
      <c r="F83" s="217" t="str">
        <f>VLOOKUP($B83,ma!$A:$B,2,0)</f>
        <v>Chuyển Hàng ndfc</v>
      </c>
      <c r="G83" s="218"/>
      <c r="H83" s="218"/>
      <c r="I83" s="344"/>
      <c r="J83" s="343"/>
      <c r="K83" s="219"/>
      <c r="L83" s="218"/>
      <c r="M83" s="276">
        <v>4</v>
      </c>
      <c r="N83" s="221">
        <f>VLOOKUP($B83,ma!$A:$C,3,0)</f>
        <v>410000</v>
      </c>
      <c r="O83" s="221">
        <f t="shared" si="0"/>
        <v>1640000</v>
      </c>
      <c r="P83" s="221">
        <v>400000</v>
      </c>
      <c r="Q83" s="201"/>
      <c r="R83" s="201"/>
      <c r="S83" s="201"/>
      <c r="T83" s="201"/>
      <c r="U83" s="201"/>
      <c r="V83" s="32"/>
      <c r="W83" s="32"/>
      <c r="X83" s="32"/>
      <c r="Y83" s="32"/>
      <c r="Z83" s="32"/>
      <c r="AA83" s="32"/>
      <c r="AB83" s="32"/>
    </row>
    <row r="84" spans="1:28">
      <c r="A84" s="214">
        <v>79</v>
      </c>
      <c r="B84" s="215" t="s">
        <v>106</v>
      </c>
      <c r="C84" s="215" t="s">
        <v>2570</v>
      </c>
      <c r="D84" s="216">
        <v>46104</v>
      </c>
      <c r="E84" s="109" t="str">
        <f>VLOOKUP($C84,xe!$A:$B,2,0)</f>
        <v>50H-55129</v>
      </c>
      <c r="F84" s="217" t="str">
        <f>VLOOKUP($B84,ma!$A:$B,2,0)</f>
        <v>Chuyển hàng Calofic</v>
      </c>
      <c r="G84" s="218"/>
      <c r="H84" s="218"/>
      <c r="I84" s="344"/>
      <c r="J84" s="343"/>
      <c r="K84" s="219"/>
      <c r="L84" s="218"/>
      <c r="M84" s="276">
        <v>11</v>
      </c>
      <c r="N84" s="221">
        <f>VLOOKUP($B84,ma!$A:$C,3,0)</f>
        <v>180000</v>
      </c>
      <c r="O84" s="221">
        <f t="shared" si="0"/>
        <v>1980000</v>
      </c>
      <c r="P84" s="221">
        <f t="shared" ref="P84:P85" si="15">M84*50000</f>
        <v>550000</v>
      </c>
      <c r="Q84" s="201"/>
      <c r="R84" s="201"/>
      <c r="S84" s="201"/>
      <c r="T84" s="201"/>
      <c r="U84" s="201"/>
      <c r="V84" s="32"/>
      <c r="W84" s="32"/>
      <c r="X84" s="32"/>
      <c r="Y84" s="32"/>
      <c r="Z84" s="32"/>
      <c r="AA84" s="32"/>
      <c r="AB84" s="32"/>
    </row>
    <row r="85" spans="1:28">
      <c r="A85" s="214">
        <v>80</v>
      </c>
      <c r="B85" s="215" t="s">
        <v>106</v>
      </c>
      <c r="C85" s="215" t="s">
        <v>2558</v>
      </c>
      <c r="D85" s="216">
        <v>46104</v>
      </c>
      <c r="E85" s="109" t="str">
        <f>VLOOKUP($C85,xe!$A:$B,2,0)</f>
        <v>50H-69717</v>
      </c>
      <c r="F85" s="217" t="str">
        <f>VLOOKUP($B85,ma!$A:$B,2,0)</f>
        <v>Chuyển hàng Calofic</v>
      </c>
      <c r="G85" s="218"/>
      <c r="H85" s="218"/>
      <c r="I85" s="219"/>
      <c r="J85" s="218"/>
      <c r="K85" s="219"/>
      <c r="L85" s="218"/>
      <c r="M85" s="276">
        <v>10</v>
      </c>
      <c r="N85" s="221">
        <f>VLOOKUP($B85,ma!$A:$C,3,0)</f>
        <v>180000</v>
      </c>
      <c r="O85" s="221">
        <f t="shared" si="0"/>
        <v>1800000</v>
      </c>
      <c r="P85" s="221">
        <f t="shared" si="15"/>
        <v>500000</v>
      </c>
      <c r="Q85" s="201"/>
      <c r="R85" s="201"/>
      <c r="S85" s="201"/>
      <c r="T85" s="201"/>
      <c r="U85" s="201"/>
      <c r="V85" s="32"/>
      <c r="W85" s="32"/>
      <c r="X85" s="32"/>
      <c r="Y85" s="32"/>
      <c r="Z85" s="32"/>
      <c r="AA85" s="32"/>
      <c r="AB85" s="32"/>
    </row>
    <row r="86" spans="1:28">
      <c r="A86" s="234">
        <v>81</v>
      </c>
      <c r="B86" s="235" t="s">
        <v>2532</v>
      </c>
      <c r="C86" s="235" t="s">
        <v>2577</v>
      </c>
      <c r="D86" s="236">
        <v>46105</v>
      </c>
      <c r="E86" s="341" t="str">
        <f>VLOOKUP($C86,xe!$A:$B,2,0)</f>
        <v>50E-758,73</v>
      </c>
      <c r="F86" s="237" t="str">
        <f>VLOOKUP($B86,ma!$A:$B,2,0)</f>
        <v>Chuyển hàng MCC</v>
      </c>
      <c r="G86" s="218"/>
      <c r="H86" s="218"/>
      <c r="I86" s="219"/>
      <c r="J86" s="218"/>
      <c r="K86" s="219"/>
      <c r="L86" s="218"/>
      <c r="M86" s="276">
        <v>3</v>
      </c>
      <c r="N86" s="221">
        <f>VLOOKUP($B86,ma!$A:$C,3,0)</f>
        <v>414000</v>
      </c>
      <c r="O86" s="221">
        <f t="shared" si="0"/>
        <v>1242000</v>
      </c>
      <c r="P86" s="221">
        <v>300000</v>
      </c>
      <c r="Q86" s="201"/>
      <c r="R86" s="201"/>
      <c r="S86" s="201"/>
      <c r="T86" s="201"/>
      <c r="U86" s="201"/>
      <c r="V86" s="32"/>
      <c r="W86" s="32"/>
      <c r="X86" s="32"/>
      <c r="Y86" s="32"/>
      <c r="Z86" s="32"/>
      <c r="AA86" s="32"/>
      <c r="AB86" s="32"/>
    </row>
    <row r="87" spans="1:28">
      <c r="A87" s="214">
        <v>82</v>
      </c>
      <c r="B87" s="215" t="s">
        <v>102</v>
      </c>
      <c r="C87" s="215" t="s">
        <v>2560</v>
      </c>
      <c r="D87" s="216">
        <v>46105</v>
      </c>
      <c r="E87" s="109" t="str">
        <f>VLOOKUP($C87,xe!$A:$B,2,0)</f>
        <v>50H-55294</v>
      </c>
      <c r="F87" s="217" t="str">
        <f>VLOOKUP($B87,ma!$A:$B,2,0)</f>
        <v>Chuyển Hàng ndfc</v>
      </c>
      <c r="G87" s="218"/>
      <c r="H87" s="218"/>
      <c r="I87" s="219"/>
      <c r="J87" s="218"/>
      <c r="K87" s="219"/>
      <c r="L87" s="218"/>
      <c r="M87" s="276">
        <v>4</v>
      </c>
      <c r="N87" s="221">
        <f>VLOOKUP($B87,ma!$A:$C,3,0)</f>
        <v>410000</v>
      </c>
      <c r="O87" s="221">
        <f t="shared" si="0"/>
        <v>1640000</v>
      </c>
      <c r="P87" s="221">
        <v>400000</v>
      </c>
      <c r="Q87" s="201"/>
      <c r="R87" s="201"/>
      <c r="S87" s="201"/>
      <c r="T87" s="201"/>
      <c r="U87" s="201"/>
      <c r="V87" s="32"/>
      <c r="W87" s="32"/>
      <c r="X87" s="32"/>
      <c r="Y87" s="32"/>
      <c r="Z87" s="32"/>
      <c r="AA87" s="32"/>
      <c r="AB87" s="32"/>
    </row>
    <row r="88" spans="1:28">
      <c r="A88" s="214">
        <v>83</v>
      </c>
      <c r="B88" s="215" t="s">
        <v>106</v>
      </c>
      <c r="C88" s="215" t="s">
        <v>2570</v>
      </c>
      <c r="D88" s="216">
        <v>46105</v>
      </c>
      <c r="E88" s="109" t="str">
        <f>VLOOKUP($C88,xe!$A:$B,2,0)</f>
        <v>50H-55129</v>
      </c>
      <c r="F88" s="217" t="str">
        <f>VLOOKUP($B88,ma!$A:$B,2,0)</f>
        <v>Chuyển hàng Calofic</v>
      </c>
      <c r="G88" s="218"/>
      <c r="H88" s="218"/>
      <c r="I88" s="219"/>
      <c r="J88" s="218"/>
      <c r="K88" s="219"/>
      <c r="L88" s="218"/>
      <c r="M88" s="276">
        <v>10</v>
      </c>
      <c r="N88" s="221">
        <f>VLOOKUP($B88,ma!$A:$C,3,0)</f>
        <v>180000</v>
      </c>
      <c r="O88" s="221">
        <f t="shared" si="0"/>
        <v>1800000</v>
      </c>
      <c r="P88" s="221">
        <f t="shared" ref="P88:P89" si="16">M88*50000</f>
        <v>500000</v>
      </c>
      <c r="Q88" s="201"/>
      <c r="R88" s="201"/>
      <c r="S88" s="201"/>
      <c r="T88" s="201"/>
      <c r="U88" s="201"/>
      <c r="V88" s="32"/>
      <c r="W88" s="32"/>
      <c r="X88" s="32"/>
      <c r="Y88" s="32"/>
      <c r="Z88" s="32"/>
      <c r="AA88" s="32"/>
      <c r="AB88" s="32"/>
    </row>
    <row r="89" spans="1:28">
      <c r="A89" s="214">
        <v>84</v>
      </c>
      <c r="B89" s="215" t="s">
        <v>106</v>
      </c>
      <c r="C89" s="215" t="s">
        <v>2558</v>
      </c>
      <c r="D89" s="216">
        <v>46105</v>
      </c>
      <c r="E89" s="109" t="str">
        <f>VLOOKUP($C89,xe!$A:$B,2,0)</f>
        <v>50H-69717</v>
      </c>
      <c r="F89" s="217" t="str">
        <f>VLOOKUP($B89,ma!$A:$B,2,0)</f>
        <v>Chuyển hàng Calofic</v>
      </c>
      <c r="G89" s="218"/>
      <c r="H89" s="218"/>
      <c r="I89" s="219"/>
      <c r="J89" s="218"/>
      <c r="K89" s="219"/>
      <c r="L89" s="218"/>
      <c r="M89" s="276">
        <v>8</v>
      </c>
      <c r="N89" s="221">
        <f>VLOOKUP($B89,ma!$A:$C,3,0)</f>
        <v>180000</v>
      </c>
      <c r="O89" s="221">
        <f t="shared" si="0"/>
        <v>1440000</v>
      </c>
      <c r="P89" s="221">
        <f t="shared" si="16"/>
        <v>400000</v>
      </c>
      <c r="Q89" s="201"/>
      <c r="R89" s="201"/>
      <c r="S89" s="201"/>
      <c r="T89" s="201"/>
      <c r="U89" s="201"/>
      <c r="V89" s="32"/>
      <c r="W89" s="32"/>
      <c r="X89" s="32"/>
      <c r="Y89" s="32"/>
      <c r="Z89" s="32"/>
      <c r="AA89" s="32"/>
      <c r="AB89" s="32"/>
    </row>
    <row r="90" spans="1:28">
      <c r="A90" s="234">
        <v>85</v>
      </c>
      <c r="B90" s="235" t="s">
        <v>2532</v>
      </c>
      <c r="C90" s="235" t="s">
        <v>2577</v>
      </c>
      <c r="D90" s="236">
        <v>46106</v>
      </c>
      <c r="E90" s="341" t="str">
        <f>VLOOKUP($C90,xe!$A:$B,2,0)</f>
        <v>50E-758,73</v>
      </c>
      <c r="F90" s="237" t="str">
        <f>VLOOKUP($B90,ma!$A:$B,2,0)</f>
        <v>Chuyển hàng MCC</v>
      </c>
      <c r="G90" s="218"/>
      <c r="H90" s="218"/>
      <c r="I90" s="219">
        <v>20000</v>
      </c>
      <c r="J90" s="218" t="s">
        <v>2562</v>
      </c>
      <c r="K90" s="219"/>
      <c r="L90" s="218"/>
      <c r="M90" s="276">
        <v>4</v>
      </c>
      <c r="N90" s="221">
        <f>VLOOKUP($B90,ma!$A:$C,3,0)</f>
        <v>414000</v>
      </c>
      <c r="O90" s="221">
        <f t="shared" si="0"/>
        <v>1656000</v>
      </c>
      <c r="P90" s="221">
        <v>400000</v>
      </c>
      <c r="Q90" s="201"/>
      <c r="R90" s="201"/>
      <c r="S90" s="201"/>
      <c r="T90" s="201"/>
      <c r="U90" s="201"/>
      <c r="V90" s="32"/>
      <c r="W90" s="32"/>
      <c r="X90" s="32"/>
      <c r="Y90" s="32"/>
      <c r="Z90" s="32"/>
      <c r="AA90" s="32"/>
      <c r="AB90" s="32"/>
    </row>
    <row r="91" spans="1:28">
      <c r="A91" s="214">
        <v>86</v>
      </c>
      <c r="B91" s="215" t="s">
        <v>102</v>
      </c>
      <c r="C91" s="215" t="s">
        <v>2560</v>
      </c>
      <c r="D91" s="216">
        <v>46106</v>
      </c>
      <c r="E91" s="109" t="str">
        <f>VLOOKUP($C91,xe!$A:$B,2,0)</f>
        <v>50H-55294</v>
      </c>
      <c r="F91" s="217" t="str">
        <f>VLOOKUP($B91,ma!$A:$B,2,0)</f>
        <v>Chuyển Hàng ndfc</v>
      </c>
      <c r="G91" s="218"/>
      <c r="H91" s="218"/>
      <c r="I91" s="219"/>
      <c r="J91" s="218"/>
      <c r="K91" s="219"/>
      <c r="L91" s="218"/>
      <c r="M91" s="276">
        <v>5</v>
      </c>
      <c r="N91" s="221">
        <f>VLOOKUP($B91,ma!$A:$C,3,0)</f>
        <v>410000</v>
      </c>
      <c r="O91" s="221">
        <f t="shared" si="0"/>
        <v>2050000</v>
      </c>
      <c r="P91" s="221">
        <v>500000</v>
      </c>
      <c r="Q91" s="201"/>
      <c r="R91" s="201"/>
      <c r="S91" s="201"/>
      <c r="T91" s="201"/>
      <c r="U91" s="201"/>
      <c r="V91" s="32"/>
      <c r="W91" s="32"/>
      <c r="X91" s="32"/>
      <c r="Y91" s="32"/>
      <c r="Z91" s="32"/>
      <c r="AA91" s="32"/>
      <c r="AB91" s="32"/>
    </row>
    <row r="92" spans="1:28">
      <c r="A92" s="214">
        <v>87</v>
      </c>
      <c r="B92" s="215" t="s">
        <v>106</v>
      </c>
      <c r="C92" s="215" t="s">
        <v>2570</v>
      </c>
      <c r="D92" s="216">
        <v>46106</v>
      </c>
      <c r="E92" s="109" t="str">
        <f>VLOOKUP($C92,xe!$A:$B,2,0)</f>
        <v>50H-55129</v>
      </c>
      <c r="F92" s="217" t="str">
        <f>VLOOKUP($B92,ma!$A:$B,2,0)</f>
        <v>Chuyển hàng Calofic</v>
      </c>
      <c r="G92" s="218"/>
      <c r="H92" s="218"/>
      <c r="I92" s="219"/>
      <c r="J92" s="218"/>
      <c r="K92" s="219"/>
      <c r="L92" s="218"/>
      <c r="M92" s="276">
        <v>10</v>
      </c>
      <c r="N92" s="221">
        <f>VLOOKUP($B92,ma!$A:$C,3,0)</f>
        <v>180000</v>
      </c>
      <c r="O92" s="221">
        <f t="shared" si="0"/>
        <v>1800000</v>
      </c>
      <c r="P92" s="221">
        <f t="shared" ref="P92:P93" si="17">M92*50000</f>
        <v>500000</v>
      </c>
      <c r="Q92" s="201"/>
      <c r="R92" s="201"/>
      <c r="S92" s="201"/>
      <c r="T92" s="201"/>
      <c r="U92" s="201"/>
      <c r="V92" s="32"/>
      <c r="W92" s="32"/>
      <c r="X92" s="32"/>
      <c r="Y92" s="32"/>
      <c r="Z92" s="32"/>
      <c r="AA92" s="32"/>
      <c r="AB92" s="32"/>
    </row>
    <row r="93" spans="1:28">
      <c r="A93" s="214">
        <v>88</v>
      </c>
      <c r="B93" s="215" t="s">
        <v>106</v>
      </c>
      <c r="C93" s="215" t="s">
        <v>2558</v>
      </c>
      <c r="D93" s="216">
        <v>46106</v>
      </c>
      <c r="E93" s="109" t="str">
        <f>VLOOKUP($C93,xe!$A:$B,2,0)</f>
        <v>50H-69717</v>
      </c>
      <c r="F93" s="217" t="str">
        <f>VLOOKUP($B93,ma!$A:$B,2,0)</f>
        <v>Chuyển hàng Calofic</v>
      </c>
      <c r="G93" s="218"/>
      <c r="H93" s="218"/>
      <c r="I93" s="219"/>
      <c r="J93" s="218"/>
      <c r="K93" s="219"/>
      <c r="L93" s="218"/>
      <c r="M93" s="276">
        <v>7</v>
      </c>
      <c r="N93" s="221">
        <f>VLOOKUP($B93,ma!$A:$C,3,0)</f>
        <v>180000</v>
      </c>
      <c r="O93" s="221">
        <f t="shared" si="0"/>
        <v>1260000</v>
      </c>
      <c r="P93" s="221">
        <f t="shared" si="17"/>
        <v>350000</v>
      </c>
      <c r="Q93" s="201"/>
      <c r="R93" s="201"/>
      <c r="S93" s="201"/>
      <c r="T93" s="201"/>
      <c r="U93" s="201"/>
      <c r="V93" s="32"/>
      <c r="W93" s="32"/>
      <c r="X93" s="32"/>
      <c r="Y93" s="32"/>
      <c r="Z93" s="32"/>
      <c r="AA93" s="32"/>
      <c r="AB93" s="32"/>
    </row>
    <row r="94" spans="1:28">
      <c r="A94" s="234">
        <v>89</v>
      </c>
      <c r="B94" s="235" t="s">
        <v>2532</v>
      </c>
      <c r="C94" s="235" t="s">
        <v>2577</v>
      </c>
      <c r="D94" s="236">
        <v>46107</v>
      </c>
      <c r="E94" s="341" t="str">
        <f>VLOOKUP($C94,xe!$A:$B,2,0)</f>
        <v>50E-758,73</v>
      </c>
      <c r="F94" s="237" t="str">
        <f>VLOOKUP($B94,ma!$A:$B,2,0)</f>
        <v>Chuyển hàng MCC</v>
      </c>
      <c r="G94" s="218"/>
      <c r="H94" s="218"/>
      <c r="I94" s="219">
        <v>20000</v>
      </c>
      <c r="J94" s="218" t="s">
        <v>2562</v>
      </c>
      <c r="K94" s="219"/>
      <c r="L94" s="218"/>
      <c r="M94" s="276">
        <v>4</v>
      </c>
      <c r="N94" s="221">
        <f>VLOOKUP($B94,ma!$A:$C,3,0)</f>
        <v>414000</v>
      </c>
      <c r="O94" s="221">
        <f t="shared" si="0"/>
        <v>1656000</v>
      </c>
      <c r="P94" s="221">
        <v>400000</v>
      </c>
      <c r="Q94" s="201"/>
      <c r="R94" s="201"/>
      <c r="S94" s="201"/>
      <c r="T94" s="201"/>
      <c r="U94" s="201"/>
      <c r="V94" s="32"/>
      <c r="W94" s="32"/>
      <c r="X94" s="32"/>
      <c r="Y94" s="32"/>
      <c r="Z94" s="32"/>
      <c r="AA94" s="32"/>
      <c r="AB94" s="32"/>
    </row>
    <row r="95" spans="1:28">
      <c r="A95" s="214">
        <v>90</v>
      </c>
      <c r="B95" s="215" t="s">
        <v>102</v>
      </c>
      <c r="C95" s="215" t="s">
        <v>2560</v>
      </c>
      <c r="D95" s="216">
        <v>46107</v>
      </c>
      <c r="E95" s="109" t="str">
        <f>VLOOKUP($C95,xe!$A:$B,2,0)</f>
        <v>50H-55294</v>
      </c>
      <c r="F95" s="217" t="str">
        <f>VLOOKUP($B95,ma!$A:$B,2,0)</f>
        <v>Chuyển Hàng ndfc</v>
      </c>
      <c r="G95" s="218"/>
      <c r="H95" s="218"/>
      <c r="I95" s="219"/>
      <c r="J95" s="218"/>
      <c r="K95" s="219"/>
      <c r="L95" s="218"/>
      <c r="M95" s="276">
        <v>5</v>
      </c>
      <c r="N95" s="221">
        <f>VLOOKUP($B95,ma!$A:$C,3,0)</f>
        <v>410000</v>
      </c>
      <c r="O95" s="221">
        <f t="shared" si="0"/>
        <v>2050000</v>
      </c>
      <c r="P95" s="221">
        <v>500000</v>
      </c>
      <c r="Q95" s="201"/>
      <c r="R95" s="201"/>
      <c r="S95" s="201"/>
      <c r="T95" s="201"/>
      <c r="U95" s="201"/>
      <c r="V95" s="32"/>
      <c r="W95" s="32"/>
      <c r="X95" s="32"/>
      <c r="Y95" s="32"/>
      <c r="Z95" s="32"/>
      <c r="AA95" s="32"/>
      <c r="AB95" s="32"/>
    </row>
    <row r="96" spans="1:28">
      <c r="A96" s="214">
        <v>91</v>
      </c>
      <c r="B96" s="215" t="s">
        <v>106</v>
      </c>
      <c r="C96" s="215" t="s">
        <v>2570</v>
      </c>
      <c r="D96" s="216">
        <v>46107</v>
      </c>
      <c r="E96" s="109" t="str">
        <f>VLOOKUP($C96,xe!$A:$B,2,0)</f>
        <v>50H-55129</v>
      </c>
      <c r="F96" s="217" t="str">
        <f>VLOOKUP($B96,ma!$A:$B,2,0)</f>
        <v>Chuyển hàng Calofic</v>
      </c>
      <c r="G96" s="218"/>
      <c r="H96" s="218"/>
      <c r="I96" s="219"/>
      <c r="J96" s="218"/>
      <c r="K96" s="219"/>
      <c r="L96" s="218"/>
      <c r="M96" s="276">
        <v>11</v>
      </c>
      <c r="N96" s="221">
        <f>VLOOKUP($B96,ma!$A:$C,3,0)</f>
        <v>180000</v>
      </c>
      <c r="O96" s="221">
        <f t="shared" si="0"/>
        <v>1980000</v>
      </c>
      <c r="P96" s="221">
        <f t="shared" ref="P96:P97" si="18">M96*50000</f>
        <v>550000</v>
      </c>
      <c r="Q96" s="201"/>
      <c r="R96" s="201"/>
      <c r="S96" s="201"/>
      <c r="T96" s="201"/>
      <c r="U96" s="201"/>
      <c r="V96" s="32"/>
      <c r="W96" s="32"/>
      <c r="X96" s="32"/>
      <c r="Y96" s="32"/>
      <c r="Z96" s="32"/>
      <c r="AA96" s="32"/>
      <c r="AB96" s="32"/>
    </row>
    <row r="97" spans="1:28">
      <c r="A97" s="214">
        <v>92</v>
      </c>
      <c r="B97" s="215" t="s">
        <v>106</v>
      </c>
      <c r="C97" s="215" t="s">
        <v>2558</v>
      </c>
      <c r="D97" s="216">
        <v>46107</v>
      </c>
      <c r="E97" s="109" t="str">
        <f>VLOOKUP($C97,xe!$A:$B,2,0)</f>
        <v>50H-69717</v>
      </c>
      <c r="F97" s="217" t="str">
        <f>VLOOKUP($B97,ma!$A:$B,2,0)</f>
        <v>Chuyển hàng Calofic</v>
      </c>
      <c r="G97" s="218"/>
      <c r="H97" s="218"/>
      <c r="I97" s="219"/>
      <c r="J97" s="218"/>
      <c r="K97" s="219"/>
      <c r="L97" s="218"/>
      <c r="M97" s="276">
        <v>10</v>
      </c>
      <c r="N97" s="221">
        <f>VLOOKUP($B97,ma!$A:$C,3,0)</f>
        <v>180000</v>
      </c>
      <c r="O97" s="221">
        <f t="shared" si="0"/>
        <v>1800000</v>
      </c>
      <c r="P97" s="221">
        <f t="shared" si="18"/>
        <v>500000</v>
      </c>
      <c r="Q97" s="201"/>
      <c r="R97" s="201"/>
      <c r="S97" s="201"/>
      <c r="T97" s="201"/>
      <c r="U97" s="201"/>
      <c r="V97" s="32"/>
      <c r="W97" s="32"/>
      <c r="X97" s="32"/>
      <c r="Y97" s="32"/>
      <c r="Z97" s="32"/>
      <c r="AA97" s="32"/>
      <c r="AB97" s="32"/>
    </row>
    <row r="98" spans="1:28">
      <c r="A98" s="234">
        <v>93</v>
      </c>
      <c r="B98" s="235" t="s">
        <v>2532</v>
      </c>
      <c r="C98" s="235" t="s">
        <v>2577</v>
      </c>
      <c r="D98" s="236">
        <v>46108</v>
      </c>
      <c r="E98" s="341" t="str">
        <f>VLOOKUP($C98,xe!$A:$B,2,0)</f>
        <v>50E-758,73</v>
      </c>
      <c r="F98" s="237" t="str">
        <f>VLOOKUP($B98,ma!$A:$B,2,0)</f>
        <v>Chuyển hàng MCC</v>
      </c>
      <c r="G98" s="218"/>
      <c r="H98" s="218"/>
      <c r="I98" s="219"/>
      <c r="J98" s="218"/>
      <c r="K98" s="219"/>
      <c r="L98" s="218"/>
      <c r="M98" s="276">
        <v>4</v>
      </c>
      <c r="N98" s="221">
        <f>VLOOKUP($B98,ma!$A:$C,3,0)</f>
        <v>414000</v>
      </c>
      <c r="O98" s="221">
        <f t="shared" si="0"/>
        <v>1656000</v>
      </c>
      <c r="P98" s="221">
        <v>400000</v>
      </c>
      <c r="Q98" s="201"/>
      <c r="R98" s="201"/>
      <c r="S98" s="201"/>
      <c r="T98" s="201"/>
      <c r="U98" s="201"/>
      <c r="V98" s="32"/>
      <c r="W98" s="32"/>
      <c r="X98" s="32"/>
      <c r="Y98" s="32"/>
      <c r="Z98" s="32"/>
      <c r="AA98" s="32"/>
      <c r="AB98" s="32"/>
    </row>
    <row r="99" spans="1:28">
      <c r="A99" s="214">
        <v>94</v>
      </c>
      <c r="B99" s="215" t="s">
        <v>102</v>
      </c>
      <c r="C99" s="215" t="s">
        <v>2560</v>
      </c>
      <c r="D99" s="216">
        <v>46108</v>
      </c>
      <c r="E99" s="109" t="str">
        <f>VLOOKUP($C99,xe!$A:$B,2,0)</f>
        <v>50H-55294</v>
      </c>
      <c r="F99" s="217" t="str">
        <f>VLOOKUP($B99,ma!$A:$B,2,0)</f>
        <v>Chuyển Hàng ndfc</v>
      </c>
      <c r="G99" s="218"/>
      <c r="H99" s="218"/>
      <c r="I99" s="219"/>
      <c r="J99" s="218"/>
      <c r="K99" s="219"/>
      <c r="L99" s="218"/>
      <c r="M99" s="276">
        <v>3</v>
      </c>
      <c r="N99" s="221">
        <f>VLOOKUP($B99,ma!$A:$C,3,0)</f>
        <v>410000</v>
      </c>
      <c r="O99" s="221">
        <f t="shared" si="0"/>
        <v>1230000</v>
      </c>
      <c r="P99" s="221">
        <v>300000</v>
      </c>
      <c r="Q99" s="201"/>
      <c r="R99" s="201"/>
      <c r="S99" s="201"/>
      <c r="T99" s="201"/>
      <c r="U99" s="201"/>
      <c r="V99" s="32"/>
      <c r="W99" s="32"/>
      <c r="X99" s="32"/>
      <c r="Y99" s="32"/>
      <c r="Z99" s="32"/>
      <c r="AA99" s="32"/>
      <c r="AB99" s="32"/>
    </row>
    <row r="100" spans="1:28">
      <c r="A100" s="214">
        <v>95</v>
      </c>
      <c r="B100" s="215" t="s">
        <v>106</v>
      </c>
      <c r="C100" s="215" t="s">
        <v>2570</v>
      </c>
      <c r="D100" s="216">
        <v>46108</v>
      </c>
      <c r="E100" s="109" t="str">
        <f>VLOOKUP($C100,xe!$A:$B,2,0)</f>
        <v>50H-55129</v>
      </c>
      <c r="F100" s="217" t="str">
        <f>VLOOKUP($B100,ma!$A:$B,2,0)</f>
        <v>Chuyển hàng Calofic</v>
      </c>
      <c r="G100" s="218"/>
      <c r="H100" s="218"/>
      <c r="I100" s="219"/>
      <c r="J100" s="218"/>
      <c r="K100" s="219"/>
      <c r="L100" s="218"/>
      <c r="M100" s="276">
        <v>5</v>
      </c>
      <c r="N100" s="221">
        <f>VLOOKUP($B100,ma!$A:$C,3,0)</f>
        <v>180000</v>
      </c>
      <c r="O100" s="221">
        <f t="shared" si="0"/>
        <v>900000</v>
      </c>
      <c r="P100" s="221">
        <f t="shared" ref="P100:P101" si="19">M100*50000</f>
        <v>250000</v>
      </c>
      <c r="Q100" s="201"/>
      <c r="R100" s="201"/>
      <c r="S100" s="201"/>
      <c r="T100" s="201"/>
      <c r="U100" s="201"/>
      <c r="V100" s="32"/>
      <c r="W100" s="32"/>
      <c r="X100" s="32"/>
      <c r="Y100" s="32"/>
      <c r="Z100" s="32"/>
      <c r="AA100" s="32"/>
      <c r="AB100" s="32"/>
    </row>
    <row r="101" spans="1:28">
      <c r="A101" s="214">
        <v>96</v>
      </c>
      <c r="B101" s="215" t="s">
        <v>106</v>
      </c>
      <c r="C101" s="215" t="s">
        <v>2558</v>
      </c>
      <c r="D101" s="216">
        <v>46108</v>
      </c>
      <c r="E101" s="109" t="str">
        <f>VLOOKUP($C101,xe!$A:$B,2,0)</f>
        <v>50H-69717</v>
      </c>
      <c r="F101" s="217" t="str">
        <f>VLOOKUP($B101,ma!$A:$B,2,0)</f>
        <v>Chuyển hàng Calofic</v>
      </c>
      <c r="G101" s="218"/>
      <c r="H101" s="218"/>
      <c r="I101" s="219"/>
      <c r="J101" s="218"/>
      <c r="K101" s="219"/>
      <c r="L101" s="218"/>
      <c r="M101" s="276">
        <v>10</v>
      </c>
      <c r="N101" s="221">
        <f>VLOOKUP($B101,ma!$A:$C,3,0)</f>
        <v>180000</v>
      </c>
      <c r="O101" s="221">
        <f t="shared" si="0"/>
        <v>1800000</v>
      </c>
      <c r="P101" s="221">
        <f t="shared" si="19"/>
        <v>500000</v>
      </c>
      <c r="Q101" s="201"/>
      <c r="R101" s="201"/>
      <c r="S101" s="201"/>
      <c r="T101" s="201"/>
      <c r="U101" s="201"/>
      <c r="V101" s="32"/>
      <c r="W101" s="32"/>
      <c r="X101" s="32"/>
      <c r="Y101" s="32"/>
      <c r="Z101" s="32"/>
      <c r="AA101" s="32"/>
      <c r="AB101" s="32"/>
    </row>
    <row r="102" spans="1:28">
      <c r="A102" s="234">
        <v>97</v>
      </c>
      <c r="B102" s="235" t="s">
        <v>2532</v>
      </c>
      <c r="C102" s="235" t="s">
        <v>2577</v>
      </c>
      <c r="D102" s="236">
        <v>46109</v>
      </c>
      <c r="E102" s="341" t="str">
        <f>VLOOKUP($C102,xe!$A:$B,2,0)</f>
        <v>50E-758,73</v>
      </c>
      <c r="F102" s="237" t="str">
        <f>VLOOKUP($B102,ma!$A:$B,2,0)</f>
        <v>Chuyển hàng MCC</v>
      </c>
      <c r="G102" s="218"/>
      <c r="H102" s="218"/>
      <c r="I102" s="219">
        <v>50000</v>
      </c>
      <c r="J102" s="218" t="s">
        <v>2580</v>
      </c>
      <c r="K102" s="219"/>
      <c r="L102" s="218"/>
      <c r="M102" s="276">
        <v>7</v>
      </c>
      <c r="N102" s="221">
        <f>VLOOKUP($B102,ma!$A:$C,3,0)</f>
        <v>414000</v>
      </c>
      <c r="O102" s="221">
        <f t="shared" si="0"/>
        <v>2898000</v>
      </c>
      <c r="P102" s="221">
        <v>700000</v>
      </c>
      <c r="Q102" s="201"/>
      <c r="R102" s="201"/>
      <c r="S102" s="201"/>
      <c r="T102" s="201"/>
      <c r="U102" s="201"/>
      <c r="V102" s="32"/>
      <c r="W102" s="32"/>
      <c r="X102" s="32"/>
      <c r="Y102" s="32"/>
      <c r="Z102" s="32"/>
      <c r="AA102" s="32"/>
      <c r="AB102" s="32"/>
    </row>
    <row r="103" spans="1:28">
      <c r="A103" s="214">
        <v>98</v>
      </c>
      <c r="B103" s="215" t="s">
        <v>102</v>
      </c>
      <c r="C103" s="215" t="s">
        <v>2560</v>
      </c>
      <c r="D103" s="216">
        <v>46109</v>
      </c>
      <c r="E103" s="109" t="str">
        <f>VLOOKUP($C103,xe!$A:$B,2,0)</f>
        <v>50H-55294</v>
      </c>
      <c r="F103" s="217" t="str">
        <f>VLOOKUP($B103,ma!$A:$B,2,0)</f>
        <v>Chuyển Hàng ndfc</v>
      </c>
      <c r="G103" s="218"/>
      <c r="H103" s="218"/>
      <c r="I103" s="219"/>
      <c r="J103" s="218"/>
      <c r="K103" s="219"/>
      <c r="L103" s="218"/>
      <c r="M103" s="276">
        <v>3</v>
      </c>
      <c r="N103" s="221">
        <f>VLOOKUP($B103,ma!$A:$C,3,0)</f>
        <v>410000</v>
      </c>
      <c r="O103" s="221">
        <f t="shared" si="0"/>
        <v>1230000</v>
      </c>
      <c r="P103" s="221">
        <v>300000</v>
      </c>
      <c r="Q103" s="201"/>
      <c r="R103" s="201"/>
      <c r="S103" s="201"/>
      <c r="T103" s="201"/>
      <c r="U103" s="201"/>
      <c r="V103" s="32"/>
      <c r="W103" s="32"/>
      <c r="X103" s="32"/>
      <c r="Y103" s="32"/>
      <c r="Z103" s="32"/>
      <c r="AA103" s="32"/>
      <c r="AB103" s="32"/>
    </row>
    <row r="104" spans="1:28">
      <c r="A104" s="214">
        <v>99</v>
      </c>
      <c r="B104" s="215" t="s">
        <v>106</v>
      </c>
      <c r="C104" s="215" t="s">
        <v>2570</v>
      </c>
      <c r="D104" s="216">
        <v>46109</v>
      </c>
      <c r="E104" s="109" t="str">
        <f>VLOOKUP($C104,xe!$A:$B,2,0)</f>
        <v>50H-55129</v>
      </c>
      <c r="F104" s="217" t="str">
        <f>VLOOKUP($B104,ma!$A:$B,2,0)</f>
        <v>Chuyển hàng Calofic</v>
      </c>
      <c r="G104" s="218"/>
      <c r="H104" s="218"/>
      <c r="I104" s="219"/>
      <c r="J104" s="218"/>
      <c r="K104" s="219"/>
      <c r="L104" s="218"/>
      <c r="M104" s="276">
        <v>7</v>
      </c>
      <c r="N104" s="221">
        <f>VLOOKUP($B104,ma!$A:$C,3,0)</f>
        <v>180000</v>
      </c>
      <c r="O104" s="221">
        <f t="shared" si="0"/>
        <v>1260000</v>
      </c>
      <c r="P104" s="221">
        <f t="shared" ref="P104:P107" si="20">M104*50000</f>
        <v>350000</v>
      </c>
      <c r="Q104" s="201"/>
      <c r="R104" s="201"/>
      <c r="S104" s="201"/>
      <c r="T104" s="201"/>
      <c r="U104" s="201"/>
      <c r="V104" s="32"/>
      <c r="W104" s="32"/>
      <c r="X104" s="32"/>
      <c r="Y104" s="32"/>
      <c r="Z104" s="32"/>
      <c r="AA104" s="32"/>
      <c r="AB104" s="32"/>
    </row>
    <row r="105" spans="1:28">
      <c r="A105" s="214">
        <v>100</v>
      </c>
      <c r="B105" s="215" t="s">
        <v>106</v>
      </c>
      <c r="C105" s="215" t="s">
        <v>2558</v>
      </c>
      <c r="D105" s="216">
        <v>46109</v>
      </c>
      <c r="E105" s="109" t="str">
        <f>VLOOKUP($C105,xe!$A:$B,2,0)</f>
        <v>50H-69717</v>
      </c>
      <c r="F105" s="217" t="str">
        <f>VLOOKUP($B105,ma!$A:$B,2,0)</f>
        <v>Chuyển hàng Calofic</v>
      </c>
      <c r="G105" s="218"/>
      <c r="H105" s="218"/>
      <c r="I105" s="219"/>
      <c r="J105" s="218"/>
      <c r="K105" s="219"/>
      <c r="L105" s="218"/>
      <c r="M105" s="276">
        <v>8</v>
      </c>
      <c r="N105" s="221">
        <f>VLOOKUP($B105,ma!$A:$C,3,0)</f>
        <v>180000</v>
      </c>
      <c r="O105" s="221">
        <f t="shared" si="0"/>
        <v>1440000</v>
      </c>
      <c r="P105" s="221">
        <f t="shared" si="20"/>
        <v>400000</v>
      </c>
      <c r="Q105" s="201"/>
      <c r="R105" s="201"/>
      <c r="S105" s="201"/>
      <c r="T105" s="201"/>
      <c r="U105" s="201"/>
      <c r="V105" s="32"/>
      <c r="W105" s="32"/>
      <c r="X105" s="32"/>
      <c r="Y105" s="32"/>
      <c r="Z105" s="32"/>
      <c r="AA105" s="32"/>
      <c r="AB105" s="32"/>
    </row>
    <row r="106" spans="1:28">
      <c r="A106" s="269">
        <v>101</v>
      </c>
      <c r="B106" s="270" t="s">
        <v>106</v>
      </c>
      <c r="C106" s="270" t="s">
        <v>2570</v>
      </c>
      <c r="D106" s="272">
        <v>46110</v>
      </c>
      <c r="E106" s="115" t="str">
        <f>VLOOKUP($C106,xe!$A:$B,2,0)</f>
        <v>50H-55129</v>
      </c>
      <c r="F106" s="273" t="str">
        <f>VLOOKUP($B106,ma!$A:$B,2,0)</f>
        <v>Chuyển hàng Calofic</v>
      </c>
      <c r="G106" s="274"/>
      <c r="H106" s="274"/>
      <c r="I106" s="345">
        <v>200000</v>
      </c>
      <c r="J106" s="274" t="s">
        <v>2408</v>
      </c>
      <c r="K106" s="219"/>
      <c r="L106" s="218"/>
      <c r="M106" s="276">
        <v>6</v>
      </c>
      <c r="N106" s="221">
        <f>VLOOKUP($B106,ma!$A:$C,3,0)</f>
        <v>180000</v>
      </c>
      <c r="O106" s="221">
        <f t="shared" si="0"/>
        <v>1080000</v>
      </c>
      <c r="P106" s="221">
        <f t="shared" si="20"/>
        <v>300000</v>
      </c>
      <c r="Q106" s="201"/>
      <c r="R106" s="201"/>
      <c r="S106" s="201"/>
      <c r="T106" s="201"/>
      <c r="U106" s="201"/>
      <c r="V106" s="32"/>
      <c r="W106" s="32"/>
      <c r="X106" s="32"/>
      <c r="Y106" s="32"/>
      <c r="Z106" s="32"/>
      <c r="AA106" s="32"/>
      <c r="AB106" s="32"/>
    </row>
    <row r="107" spans="1:28">
      <c r="A107" s="269">
        <v>102</v>
      </c>
      <c r="B107" s="270" t="s">
        <v>106</v>
      </c>
      <c r="C107" s="270" t="s">
        <v>2558</v>
      </c>
      <c r="D107" s="272">
        <v>46110</v>
      </c>
      <c r="E107" s="115" t="str">
        <f>VLOOKUP($C107,xe!$A:$B,2,0)</f>
        <v>50H-69717</v>
      </c>
      <c r="F107" s="273" t="str">
        <f>VLOOKUP($B107,ma!$A:$B,2,0)</f>
        <v>Chuyển hàng Calofic</v>
      </c>
      <c r="G107" s="274"/>
      <c r="H107" s="274"/>
      <c r="I107" s="275">
        <v>200000</v>
      </c>
      <c r="J107" s="274" t="s">
        <v>2408</v>
      </c>
      <c r="K107" s="219"/>
      <c r="L107" s="218"/>
      <c r="M107" s="276">
        <v>7</v>
      </c>
      <c r="N107" s="221">
        <f>VLOOKUP($B107,ma!$A:$C,3,0)</f>
        <v>180000</v>
      </c>
      <c r="O107" s="221">
        <f t="shared" si="0"/>
        <v>1260000</v>
      </c>
      <c r="P107" s="221">
        <f t="shared" si="20"/>
        <v>350000</v>
      </c>
      <c r="Q107" s="201"/>
      <c r="R107" s="201"/>
      <c r="S107" s="201"/>
      <c r="T107" s="201"/>
      <c r="U107" s="201"/>
      <c r="V107" s="32"/>
      <c r="W107" s="32"/>
      <c r="X107" s="32"/>
      <c r="Y107" s="32"/>
      <c r="Z107" s="32"/>
      <c r="AA107" s="32"/>
      <c r="AB107" s="32"/>
    </row>
    <row r="108" spans="1:28">
      <c r="A108" s="234">
        <v>103</v>
      </c>
      <c r="B108" s="235" t="s">
        <v>2532</v>
      </c>
      <c r="C108" s="235" t="s">
        <v>2577</v>
      </c>
      <c r="D108" s="236">
        <v>46111</v>
      </c>
      <c r="E108" s="341" t="str">
        <f>VLOOKUP($C108,xe!$A:$B,2,0)</f>
        <v>50E-758,73</v>
      </c>
      <c r="F108" s="237" t="str">
        <f>VLOOKUP($B108,ma!$A:$B,2,0)</f>
        <v>Chuyển hàng MCC</v>
      </c>
      <c r="G108" s="218"/>
      <c r="H108" s="218"/>
      <c r="I108" s="219">
        <v>40000</v>
      </c>
      <c r="J108" s="218" t="s">
        <v>2562</v>
      </c>
      <c r="K108" s="219"/>
      <c r="L108" s="218"/>
      <c r="M108" s="276">
        <v>4</v>
      </c>
      <c r="N108" s="221">
        <f>VLOOKUP($B108,ma!$A:$C,3,0)</f>
        <v>414000</v>
      </c>
      <c r="O108" s="221">
        <f t="shared" si="0"/>
        <v>1656000</v>
      </c>
      <c r="P108" s="221">
        <v>400000</v>
      </c>
      <c r="Q108" s="201"/>
      <c r="R108" s="201"/>
      <c r="S108" s="201"/>
      <c r="T108" s="201"/>
      <c r="U108" s="201"/>
      <c r="V108" s="32"/>
      <c r="W108" s="32"/>
      <c r="X108" s="32"/>
      <c r="Y108" s="32"/>
      <c r="Z108" s="32"/>
      <c r="AA108" s="32"/>
      <c r="AB108" s="32"/>
    </row>
    <row r="109" spans="1:28">
      <c r="A109" s="214">
        <v>104</v>
      </c>
      <c r="B109" s="215" t="s">
        <v>102</v>
      </c>
      <c r="C109" s="215" t="s">
        <v>2560</v>
      </c>
      <c r="D109" s="216">
        <v>46111</v>
      </c>
      <c r="E109" s="109" t="str">
        <f>VLOOKUP($C109,xe!$A:$B,2,0)</f>
        <v>50H-55294</v>
      </c>
      <c r="F109" s="217" t="str">
        <f>VLOOKUP($B109,ma!$A:$B,2,0)</f>
        <v>Chuyển Hàng ndfc</v>
      </c>
      <c r="G109" s="218"/>
      <c r="H109" s="218"/>
      <c r="I109" s="219"/>
      <c r="J109" s="218"/>
      <c r="K109" s="219"/>
      <c r="L109" s="218"/>
      <c r="M109" s="276">
        <v>3</v>
      </c>
      <c r="N109" s="221">
        <f>VLOOKUP($B109,ma!$A:$C,3,0)</f>
        <v>410000</v>
      </c>
      <c r="O109" s="221">
        <f t="shared" si="0"/>
        <v>1230000</v>
      </c>
      <c r="P109" s="221">
        <v>300000</v>
      </c>
      <c r="Q109" s="201"/>
      <c r="R109" s="201"/>
      <c r="S109" s="201"/>
      <c r="T109" s="201"/>
      <c r="U109" s="201"/>
      <c r="V109" s="32"/>
      <c r="W109" s="32"/>
      <c r="X109" s="32"/>
      <c r="Y109" s="32"/>
      <c r="Z109" s="32"/>
      <c r="AA109" s="32"/>
      <c r="AB109" s="32"/>
    </row>
    <row r="110" spans="1:28">
      <c r="A110" s="214">
        <v>105</v>
      </c>
      <c r="B110" s="215" t="s">
        <v>106</v>
      </c>
      <c r="C110" s="215" t="s">
        <v>2570</v>
      </c>
      <c r="D110" s="216">
        <v>46111</v>
      </c>
      <c r="E110" s="109" t="str">
        <f>VLOOKUP($C110,xe!$A:$B,2,0)</f>
        <v>50H-55129</v>
      </c>
      <c r="F110" s="217" t="str">
        <f>VLOOKUP($B110,ma!$A:$B,2,0)</f>
        <v>Chuyển hàng Calofic</v>
      </c>
      <c r="G110" s="218"/>
      <c r="H110" s="218"/>
      <c r="I110" s="219"/>
      <c r="J110" s="218"/>
      <c r="K110" s="219"/>
      <c r="L110" s="218"/>
      <c r="M110" s="276">
        <v>5</v>
      </c>
      <c r="N110" s="221">
        <f>VLOOKUP($B110,ma!$A:$C,3,0)</f>
        <v>180000</v>
      </c>
      <c r="O110" s="221">
        <f t="shared" si="0"/>
        <v>900000</v>
      </c>
      <c r="P110" s="221">
        <f t="shared" ref="P110:P111" si="21">M110*50000</f>
        <v>250000</v>
      </c>
      <c r="Q110" s="201"/>
      <c r="R110" s="201"/>
      <c r="S110" s="201"/>
      <c r="T110" s="201"/>
      <c r="U110" s="201"/>
      <c r="V110" s="32"/>
      <c r="W110" s="32"/>
      <c r="X110" s="32"/>
      <c r="Y110" s="32"/>
      <c r="Z110" s="32"/>
      <c r="AA110" s="32"/>
      <c r="AB110" s="32"/>
    </row>
    <row r="111" spans="1:28">
      <c r="A111" s="214">
        <v>106</v>
      </c>
      <c r="B111" s="215" t="s">
        <v>106</v>
      </c>
      <c r="C111" s="215" t="s">
        <v>2558</v>
      </c>
      <c r="D111" s="216">
        <v>46111</v>
      </c>
      <c r="E111" s="109" t="str">
        <f>VLOOKUP($C111,xe!$A:$B,2,0)</f>
        <v>50H-69717</v>
      </c>
      <c r="F111" s="217" t="str">
        <f>VLOOKUP($B111,ma!$A:$B,2,0)</f>
        <v>Chuyển hàng Calofic</v>
      </c>
      <c r="G111" s="218"/>
      <c r="H111" s="218"/>
      <c r="I111" s="219"/>
      <c r="J111" s="218"/>
      <c r="K111" s="219"/>
      <c r="L111" s="218"/>
      <c r="M111" s="276">
        <v>5</v>
      </c>
      <c r="N111" s="221">
        <f>VLOOKUP($B111,ma!$A:$C,3,0)</f>
        <v>180000</v>
      </c>
      <c r="O111" s="221">
        <f t="shared" si="0"/>
        <v>900000</v>
      </c>
      <c r="P111" s="221">
        <f t="shared" si="21"/>
        <v>250000</v>
      </c>
      <c r="Q111" s="201"/>
      <c r="R111" s="201"/>
      <c r="S111" s="201"/>
      <c r="T111" s="201"/>
      <c r="U111" s="201"/>
      <c r="V111" s="32"/>
      <c r="W111" s="32"/>
      <c r="X111" s="32"/>
      <c r="Y111" s="32"/>
      <c r="Z111" s="32"/>
      <c r="AA111" s="32"/>
      <c r="AB111" s="32"/>
    </row>
    <row r="112" spans="1:28">
      <c r="A112" s="234">
        <v>107</v>
      </c>
      <c r="B112" s="235" t="s">
        <v>455</v>
      </c>
      <c r="C112" s="235" t="s">
        <v>2560</v>
      </c>
      <c r="D112" s="236">
        <v>46112</v>
      </c>
      <c r="E112" s="139" t="str">
        <f>VLOOKUP($C112,xe!$A:$B,2,0)</f>
        <v>50H-55294</v>
      </c>
      <c r="F112" s="237" t="str">
        <f>VLOOKUP($B112,ma!$A:$B,2,0)</f>
        <v>Chuyển Hàng ndfc</v>
      </c>
      <c r="G112" s="218"/>
      <c r="H112" s="218"/>
      <c r="I112" s="219"/>
      <c r="J112" s="218"/>
      <c r="K112" s="219"/>
      <c r="L112" s="218"/>
      <c r="M112" s="276">
        <v>3</v>
      </c>
      <c r="N112" s="221">
        <f>VLOOKUP($B112,ma!$A:$C,3,0)</f>
        <v>410000</v>
      </c>
      <c r="O112" s="221">
        <f t="shared" si="0"/>
        <v>1230000</v>
      </c>
      <c r="P112" s="221">
        <v>300000</v>
      </c>
      <c r="Q112" s="201"/>
      <c r="R112" s="201"/>
      <c r="S112" s="201"/>
      <c r="T112" s="201"/>
      <c r="U112" s="201"/>
      <c r="V112" s="32"/>
      <c r="W112" s="32"/>
      <c r="X112" s="32"/>
      <c r="Y112" s="32"/>
      <c r="Z112" s="32"/>
      <c r="AA112" s="32"/>
      <c r="AB112" s="32"/>
    </row>
    <row r="113" spans="1:28">
      <c r="A113" s="214">
        <v>108</v>
      </c>
      <c r="B113" s="215" t="s">
        <v>2532</v>
      </c>
      <c r="C113" s="215" t="s">
        <v>2577</v>
      </c>
      <c r="D113" s="216">
        <v>46112</v>
      </c>
      <c r="E113" s="133" t="str">
        <f>VLOOKUP($C113,xe!$A:$B,2,0)</f>
        <v>50E-758,73</v>
      </c>
      <c r="F113" s="217" t="str">
        <f>VLOOKUP($B113,ma!$A:$B,2,0)</f>
        <v>Chuyển hàng MCC</v>
      </c>
      <c r="G113" s="218"/>
      <c r="H113" s="218"/>
      <c r="I113" s="219">
        <v>20000</v>
      </c>
      <c r="J113" s="218" t="s">
        <v>2562</v>
      </c>
      <c r="K113" s="219"/>
      <c r="L113" s="218"/>
      <c r="M113" s="276">
        <v>3</v>
      </c>
      <c r="N113" s="221">
        <f>VLOOKUP($B113,ma!$A:$C,3,0)</f>
        <v>414000</v>
      </c>
      <c r="O113" s="221">
        <f t="shared" si="0"/>
        <v>1242000</v>
      </c>
      <c r="P113" s="221">
        <v>300000</v>
      </c>
      <c r="Q113" s="201"/>
      <c r="R113" s="201"/>
      <c r="S113" s="201"/>
      <c r="T113" s="201"/>
      <c r="U113" s="201"/>
      <c r="V113" s="32"/>
      <c r="W113" s="32"/>
      <c r="X113" s="32"/>
      <c r="Y113" s="32"/>
      <c r="Z113" s="32"/>
      <c r="AA113" s="32"/>
      <c r="AB113" s="32"/>
    </row>
    <row r="114" spans="1:28">
      <c r="A114" s="214">
        <v>109</v>
      </c>
      <c r="B114" s="215" t="s">
        <v>106</v>
      </c>
      <c r="C114" s="215" t="s">
        <v>2570</v>
      </c>
      <c r="D114" s="216">
        <v>46112</v>
      </c>
      <c r="E114" s="109" t="str">
        <f>VLOOKUP($C114,xe!$A:$B,2,0)</f>
        <v>50H-55129</v>
      </c>
      <c r="F114" s="217" t="str">
        <f>VLOOKUP($B114,ma!$A:$B,2,0)</f>
        <v>Chuyển hàng Calofic</v>
      </c>
      <c r="G114" s="218"/>
      <c r="H114" s="218"/>
      <c r="I114" s="219"/>
      <c r="J114" s="218"/>
      <c r="K114" s="219"/>
      <c r="L114" s="218"/>
      <c r="M114" s="276">
        <v>9</v>
      </c>
      <c r="N114" s="221">
        <f>VLOOKUP($B114,ma!$A:$C,3,0)</f>
        <v>180000</v>
      </c>
      <c r="O114" s="221">
        <f t="shared" si="0"/>
        <v>1620000</v>
      </c>
      <c r="P114" s="221">
        <f t="shared" ref="P114:P115" si="22">M114*50000</f>
        <v>450000</v>
      </c>
      <c r="Q114" s="201"/>
      <c r="R114" s="201"/>
      <c r="S114" s="201"/>
      <c r="T114" s="201"/>
      <c r="U114" s="201"/>
      <c r="V114" s="32"/>
      <c r="W114" s="32"/>
      <c r="X114" s="32"/>
      <c r="Y114" s="32"/>
      <c r="Z114" s="32"/>
      <c r="AA114" s="32"/>
      <c r="AB114" s="32"/>
    </row>
    <row r="115" spans="1:28">
      <c r="A115" s="214">
        <v>110</v>
      </c>
      <c r="B115" s="215" t="s">
        <v>106</v>
      </c>
      <c r="C115" s="215" t="s">
        <v>2558</v>
      </c>
      <c r="D115" s="216">
        <v>46112</v>
      </c>
      <c r="E115" s="109" t="str">
        <f>VLOOKUP($C115,xe!$A:$B,2,0)</f>
        <v>50H-69717</v>
      </c>
      <c r="F115" s="217" t="str">
        <f>VLOOKUP($B115,ma!$A:$B,2,0)</f>
        <v>Chuyển hàng Calofic</v>
      </c>
      <c r="G115" s="218"/>
      <c r="H115" s="218"/>
      <c r="I115" s="219"/>
      <c r="J115" s="218"/>
      <c r="K115" s="219"/>
      <c r="L115" s="218"/>
      <c r="M115" s="276">
        <v>11</v>
      </c>
      <c r="N115" s="221">
        <f>VLOOKUP($B115,ma!$A:$C,3,0)</f>
        <v>180000</v>
      </c>
      <c r="O115" s="221">
        <f t="shared" si="0"/>
        <v>1980000</v>
      </c>
      <c r="P115" s="221">
        <f t="shared" si="22"/>
        <v>550000</v>
      </c>
      <c r="Q115" s="201"/>
      <c r="R115" s="201"/>
      <c r="S115" s="201"/>
      <c r="T115" s="201"/>
      <c r="U115" s="201"/>
      <c r="V115" s="32"/>
      <c r="W115" s="32"/>
      <c r="X115" s="32"/>
      <c r="Y115" s="32"/>
      <c r="Z115" s="32"/>
      <c r="AA115" s="32"/>
      <c r="AB115" s="32"/>
    </row>
    <row r="116" spans="1:28">
      <c r="A116" s="214">
        <v>114</v>
      </c>
      <c r="B116" s="205"/>
      <c r="C116" s="205"/>
      <c r="D116" s="496" t="s">
        <v>2581</v>
      </c>
      <c r="E116" s="497"/>
      <c r="F116" s="498"/>
      <c r="G116" s="346"/>
      <c r="H116" s="347" t="s">
        <v>2582</v>
      </c>
      <c r="I116" s="254">
        <f>SUBTOTAL(9,I6:I115)</f>
        <v>2730000</v>
      </c>
      <c r="J116" s="254"/>
      <c r="K116" s="348">
        <f>SUM(K6:K115)</f>
        <v>42290000</v>
      </c>
      <c r="L116" s="346"/>
      <c r="M116" s="348">
        <f>SUBTOTAL(9,M6:M115)</f>
        <v>709</v>
      </c>
      <c r="N116" s="254"/>
      <c r="O116" s="254">
        <f t="shared" ref="O116:P116" si="23">SUBTOTAL(9,O6:O115)</f>
        <v>173506000</v>
      </c>
      <c r="P116" s="254">
        <f t="shared" si="23"/>
        <v>45250000</v>
      </c>
      <c r="Q116" s="261"/>
      <c r="R116" s="261"/>
      <c r="S116" s="261"/>
      <c r="T116" s="261"/>
      <c r="U116" s="261"/>
    </row>
    <row r="117" spans="1:28">
      <c r="A117" s="198"/>
      <c r="B117" s="202"/>
      <c r="C117" s="202"/>
      <c r="D117" s="198"/>
      <c r="E117" s="198"/>
      <c r="F117" s="198"/>
      <c r="G117" s="251"/>
      <c r="H117" s="251"/>
      <c r="I117" s="251"/>
      <c r="J117" s="251"/>
      <c r="K117" s="205"/>
      <c r="L117" s="205"/>
      <c r="M117" s="205"/>
      <c r="N117" s="251"/>
      <c r="O117" s="205"/>
      <c r="P117" s="252"/>
      <c r="Q117" s="261"/>
      <c r="R117" s="261"/>
      <c r="S117" s="261"/>
      <c r="T117" s="81"/>
      <c r="U117" s="81"/>
    </row>
    <row r="118" spans="1:28">
      <c r="A118" s="198"/>
      <c r="B118" s="202"/>
      <c r="C118" s="202"/>
      <c r="D118" s="198"/>
      <c r="E118" s="198"/>
      <c r="F118" s="198"/>
      <c r="G118" s="251"/>
      <c r="H118" s="251"/>
      <c r="I118" s="253" t="s">
        <v>2545</v>
      </c>
      <c r="J118" s="349">
        <v>14000000</v>
      </c>
      <c r="K118" s="205"/>
      <c r="L118" s="205"/>
      <c r="M118" s="205"/>
      <c r="N118" s="251"/>
      <c r="O118" s="205"/>
      <c r="P118" s="252"/>
      <c r="Q118" s="261"/>
      <c r="R118" s="261"/>
      <c r="S118" s="261"/>
      <c r="T118" s="81"/>
      <c r="U118" s="81"/>
    </row>
    <row r="119" spans="1:28">
      <c r="A119" s="198"/>
      <c r="B119" s="202"/>
      <c r="C119" s="202"/>
      <c r="D119" s="198"/>
      <c r="E119" s="198"/>
      <c r="F119" s="198"/>
      <c r="G119" s="251"/>
      <c r="H119" s="255"/>
      <c r="I119" s="253" t="s">
        <v>2549</v>
      </c>
      <c r="J119" s="349">
        <f>I116</f>
        <v>2730000</v>
      </c>
      <c r="K119" s="205"/>
      <c r="L119" s="205"/>
      <c r="M119" s="205"/>
      <c r="N119" s="251"/>
      <c r="O119" s="205"/>
      <c r="P119" s="252"/>
      <c r="Q119" s="261"/>
      <c r="R119" s="261"/>
      <c r="S119" s="261"/>
      <c r="T119" s="81"/>
      <c r="U119" s="81"/>
    </row>
    <row r="120" spans="1:28">
      <c r="A120" s="198"/>
      <c r="B120" s="202"/>
      <c r="C120" s="202"/>
      <c r="D120" s="198"/>
      <c r="E120" s="198"/>
      <c r="F120" s="198"/>
      <c r="G120" s="257"/>
      <c r="H120" s="251"/>
      <c r="I120" s="253" t="s">
        <v>2548</v>
      </c>
      <c r="J120" s="349">
        <f>J118+J119</f>
        <v>16730000</v>
      </c>
      <c r="K120" s="205"/>
      <c r="L120" s="205"/>
      <c r="M120" s="205"/>
      <c r="N120" s="251"/>
      <c r="O120" s="205"/>
      <c r="P120" s="252"/>
      <c r="Q120" s="261"/>
      <c r="R120" s="261"/>
      <c r="S120" s="261"/>
      <c r="T120" s="81"/>
      <c r="U120" s="81"/>
    </row>
    <row r="121" spans="1:28">
      <c r="A121" s="198"/>
      <c r="B121" s="202"/>
      <c r="C121" s="202"/>
      <c r="D121" s="198"/>
      <c r="E121" s="198"/>
      <c r="F121" s="198"/>
      <c r="G121" s="251"/>
      <c r="H121" s="251"/>
      <c r="I121" s="253" t="s">
        <v>2583</v>
      </c>
      <c r="J121" s="349">
        <v>560000</v>
      </c>
      <c r="K121" s="205"/>
      <c r="L121" s="205"/>
      <c r="M121" s="251"/>
      <c r="N121" s="251"/>
      <c r="O121" s="205"/>
      <c r="P121" s="261"/>
      <c r="Q121" s="261"/>
      <c r="R121" s="261"/>
      <c r="S121" s="261"/>
      <c r="T121" s="81"/>
      <c r="U121" s="261"/>
    </row>
    <row r="122" spans="1:28">
      <c r="A122" s="198"/>
      <c r="B122" s="198"/>
      <c r="C122" s="198"/>
      <c r="G122" s="198"/>
      <c r="H122" s="198"/>
      <c r="I122" s="253" t="s">
        <v>2584</v>
      </c>
      <c r="J122" s="349">
        <v>12000000</v>
      </c>
      <c r="K122" s="205"/>
      <c r="L122" s="205"/>
      <c r="M122" s="198"/>
      <c r="N122" s="198"/>
      <c r="O122" s="198"/>
      <c r="P122" s="261"/>
      <c r="Q122" s="261"/>
      <c r="R122" s="261"/>
      <c r="S122" s="261"/>
      <c r="T122" s="261"/>
      <c r="U122" s="261"/>
    </row>
    <row r="123" spans="1:28">
      <c r="A123" s="198"/>
      <c r="B123" s="198"/>
      <c r="C123" s="198"/>
      <c r="G123" s="198"/>
      <c r="H123" s="198"/>
      <c r="I123" s="253" t="s">
        <v>2585</v>
      </c>
      <c r="J123" s="349">
        <f>J120-J121-J122</f>
        <v>4170000</v>
      </c>
      <c r="K123" s="205"/>
      <c r="L123" s="205"/>
      <c r="M123" s="198"/>
      <c r="N123" s="198"/>
      <c r="O123" s="198"/>
      <c r="P123" s="261"/>
      <c r="Q123" s="261"/>
      <c r="R123" s="261"/>
      <c r="S123" s="261"/>
      <c r="T123" s="261"/>
      <c r="U123" s="261"/>
    </row>
    <row r="124" spans="1:28">
      <c r="A124" s="198"/>
      <c r="B124" s="198"/>
      <c r="C124" s="198"/>
      <c r="D124" s="198"/>
      <c r="E124" s="198"/>
      <c r="F124" s="198"/>
      <c r="G124" s="198"/>
      <c r="H124" s="198"/>
      <c r="I124" s="492"/>
      <c r="J124" s="482"/>
      <c r="K124" s="205"/>
      <c r="L124" s="205"/>
      <c r="M124" s="198"/>
      <c r="N124" s="198"/>
      <c r="O124" s="198"/>
      <c r="P124" s="261"/>
      <c r="Q124" s="261"/>
      <c r="R124" s="261"/>
      <c r="S124" s="261"/>
      <c r="T124" s="261"/>
      <c r="U124" s="261"/>
    </row>
    <row r="125" spans="1:28">
      <c r="A125" s="198"/>
      <c r="B125" s="198"/>
      <c r="C125" s="198"/>
      <c r="D125" s="198"/>
      <c r="E125" s="198"/>
      <c r="F125" s="198"/>
      <c r="G125" s="198"/>
      <c r="H125" s="198"/>
      <c r="I125" s="492"/>
      <c r="J125" s="482"/>
      <c r="K125" s="205"/>
      <c r="L125" s="205"/>
      <c r="M125" s="198"/>
      <c r="N125" s="198"/>
      <c r="O125" s="198"/>
      <c r="P125" s="261"/>
      <c r="Q125" s="261"/>
      <c r="R125" s="261"/>
      <c r="S125" s="261"/>
      <c r="T125" s="261"/>
      <c r="U125" s="261"/>
    </row>
    <row r="126" spans="1:28">
      <c r="A126" s="198"/>
      <c r="B126" s="198"/>
      <c r="C126" s="198"/>
      <c r="D126" s="198"/>
      <c r="E126" s="198"/>
      <c r="F126" s="198"/>
      <c r="G126" s="198"/>
      <c r="H126" s="198"/>
      <c r="I126" s="492"/>
      <c r="J126" s="482"/>
      <c r="K126" s="205"/>
      <c r="L126" s="205"/>
      <c r="M126" s="198"/>
      <c r="N126" s="198"/>
      <c r="O126" s="198"/>
      <c r="P126" s="261"/>
      <c r="Q126" s="261"/>
      <c r="R126" s="261"/>
      <c r="S126" s="261"/>
      <c r="T126" s="261"/>
      <c r="U126" s="261"/>
    </row>
    <row r="127" spans="1:28">
      <c r="A127" s="198"/>
      <c r="B127" s="198"/>
      <c r="C127" s="198"/>
      <c r="D127" s="198"/>
      <c r="E127" s="198"/>
      <c r="F127" s="198"/>
      <c r="G127" s="198"/>
      <c r="H127" s="198"/>
      <c r="I127" s="492"/>
      <c r="J127" s="482"/>
      <c r="K127" s="205"/>
      <c r="L127" s="205"/>
      <c r="M127" s="198"/>
      <c r="N127" s="198"/>
      <c r="O127" s="198"/>
      <c r="P127" s="261"/>
      <c r="Q127" s="261"/>
      <c r="R127" s="261"/>
      <c r="S127" s="261"/>
      <c r="T127" s="261" t="s">
        <v>2552</v>
      </c>
      <c r="U127" s="350">
        <f>SUM(S118:S125)</f>
        <v>0</v>
      </c>
    </row>
    <row r="128" spans="1:28">
      <c r="A128" s="198"/>
      <c r="B128" s="198"/>
      <c r="C128" s="198"/>
      <c r="D128" s="198"/>
      <c r="E128" s="198"/>
      <c r="F128" s="198"/>
      <c r="G128" s="198"/>
      <c r="H128" s="198"/>
      <c r="I128" s="492"/>
      <c r="J128" s="482"/>
      <c r="K128" s="205"/>
      <c r="L128" s="205"/>
      <c r="M128" s="198"/>
      <c r="N128" s="198"/>
      <c r="O128" s="198"/>
      <c r="P128" s="261"/>
      <c r="Q128" s="261"/>
      <c r="R128" s="261"/>
      <c r="S128" s="261"/>
      <c r="T128" s="261"/>
      <c r="U128" s="261"/>
    </row>
    <row r="129" spans="1:15">
      <c r="A129" s="198"/>
      <c r="B129" s="198"/>
      <c r="C129" s="198"/>
      <c r="D129" s="198"/>
      <c r="E129" s="198"/>
      <c r="F129" s="198"/>
      <c r="G129" s="198"/>
      <c r="H129" s="198"/>
      <c r="I129" s="492"/>
      <c r="J129" s="482"/>
      <c r="K129" s="205"/>
      <c r="L129" s="205"/>
      <c r="M129" s="198"/>
      <c r="N129" s="198"/>
      <c r="O129" s="198"/>
    </row>
    <row r="130" spans="1:15">
      <c r="A130" s="262"/>
      <c r="B130" s="262"/>
      <c r="C130" s="262"/>
      <c r="D130" s="262"/>
      <c r="E130" s="262"/>
      <c r="F130" s="262"/>
      <c r="G130" s="262"/>
      <c r="H130" s="262"/>
      <c r="I130" s="492"/>
      <c r="J130" s="482"/>
      <c r="K130" s="205"/>
      <c r="L130" s="205"/>
      <c r="M130" s="262"/>
      <c r="N130" s="262"/>
      <c r="O130" s="262"/>
    </row>
    <row r="131" spans="1:15">
      <c r="I131" s="492"/>
      <c r="J131" s="482"/>
      <c r="K131" s="205"/>
      <c r="L131" s="205"/>
    </row>
  </sheetData>
  <autoFilter ref="A5:P116" xr:uid="{00000000-0009-0000-0000-000004000000}"/>
  <mergeCells count="13">
    <mergeCell ref="I131:J131"/>
    <mergeCell ref="D1:O1"/>
    <mergeCell ref="D2:O2"/>
    <mergeCell ref="G3:J3"/>
    <mergeCell ref="K3:L3"/>
    <mergeCell ref="D116:F116"/>
    <mergeCell ref="I124:J124"/>
    <mergeCell ref="I125:J125"/>
    <mergeCell ref="I126:J126"/>
    <mergeCell ref="I127:J127"/>
    <mergeCell ref="I128:J128"/>
    <mergeCell ref="I129:J129"/>
    <mergeCell ref="I130:J1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64"/>
  <sheetViews>
    <sheetView workbookViewId="0"/>
  </sheetViews>
  <sheetFormatPr baseColWidth="10" defaultColWidth="12.6640625" defaultRowHeight="15.75" customHeight="1"/>
  <cols>
    <col min="4" max="4" width="22.1640625" customWidth="1"/>
    <col min="10" max="10" width="19" customWidth="1"/>
    <col min="16" max="16" width="15.6640625" customWidth="1"/>
  </cols>
  <sheetData>
    <row r="1" spans="1:19">
      <c r="A1" s="198"/>
      <c r="B1" s="199"/>
      <c r="C1" s="493" t="s">
        <v>2586</v>
      </c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80"/>
      <c r="O1" s="261"/>
      <c r="P1" s="261"/>
      <c r="Q1" s="261"/>
      <c r="R1" s="261"/>
      <c r="S1" s="261"/>
    </row>
    <row r="2" spans="1:19">
      <c r="A2" s="198"/>
      <c r="B2" s="202"/>
      <c r="C2" s="494">
        <v>46112</v>
      </c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203"/>
      <c r="O2" s="261"/>
      <c r="P2" s="261"/>
      <c r="Q2" s="261"/>
      <c r="R2" s="261"/>
      <c r="S2" s="261"/>
    </row>
    <row r="3" spans="1:19">
      <c r="A3" s="198"/>
      <c r="B3" s="202"/>
      <c r="C3" s="204" t="s">
        <v>1384</v>
      </c>
      <c r="D3" s="205"/>
      <c r="E3" s="493" t="s">
        <v>2490</v>
      </c>
      <c r="F3" s="482"/>
      <c r="G3" s="482"/>
      <c r="H3" s="482"/>
      <c r="I3" s="493" t="s">
        <v>2587</v>
      </c>
      <c r="J3" s="482"/>
      <c r="K3" s="200"/>
      <c r="L3" s="205"/>
      <c r="M3" s="205"/>
      <c r="N3" s="81"/>
      <c r="O3" s="261"/>
      <c r="P3" s="261"/>
      <c r="Q3" s="261"/>
      <c r="R3" s="261"/>
      <c r="S3" s="261"/>
    </row>
    <row r="4" spans="1:19">
      <c r="A4" s="198"/>
      <c r="B4" s="351"/>
      <c r="C4" s="207"/>
      <c r="D4" s="208" t="e">
        <v>#N/A</v>
      </c>
      <c r="E4" s="209"/>
      <c r="F4" s="209"/>
      <c r="G4" s="209"/>
      <c r="H4" s="209"/>
      <c r="I4" s="210"/>
      <c r="J4" s="210"/>
      <c r="K4" s="210"/>
      <c r="L4" s="208" t="e">
        <v>#N/A</v>
      </c>
      <c r="M4" s="205"/>
      <c r="N4" s="81"/>
      <c r="O4" s="261"/>
      <c r="P4" s="261"/>
      <c r="Q4" s="261"/>
      <c r="R4" s="261"/>
      <c r="S4" s="261"/>
    </row>
    <row r="5" spans="1:19">
      <c r="A5" s="211" t="s">
        <v>2491</v>
      </c>
      <c r="B5" s="212" t="s">
        <v>2492</v>
      </c>
      <c r="C5" s="212" t="s">
        <v>1389</v>
      </c>
      <c r="D5" s="212" t="s">
        <v>1391</v>
      </c>
      <c r="E5" s="212" t="s">
        <v>2495</v>
      </c>
      <c r="F5" s="212" t="s">
        <v>2496</v>
      </c>
      <c r="G5" s="212" t="s">
        <v>2588</v>
      </c>
      <c r="H5" s="212" t="s">
        <v>2589</v>
      </c>
      <c r="I5" s="212" t="s">
        <v>2590</v>
      </c>
      <c r="J5" s="212" t="s">
        <v>1393</v>
      </c>
      <c r="K5" s="212" t="s">
        <v>1397</v>
      </c>
      <c r="L5" s="212" t="s">
        <v>1398</v>
      </c>
      <c r="M5" s="212" t="s">
        <v>1399</v>
      </c>
      <c r="N5" s="81"/>
      <c r="O5" s="499" t="s">
        <v>2591</v>
      </c>
      <c r="P5" s="497"/>
      <c r="Q5" s="498"/>
      <c r="R5" s="261"/>
      <c r="S5" s="261"/>
    </row>
    <row r="6" spans="1:19">
      <c r="A6" s="352">
        <v>1</v>
      </c>
      <c r="B6" s="215"/>
      <c r="C6" s="216"/>
      <c r="D6" s="217" t="e">
        <f>VLOOKUP($B6,ma!$A:$B,2,0)</f>
        <v>#N/A</v>
      </c>
      <c r="E6" s="218"/>
      <c r="F6" s="218"/>
      <c r="G6" s="218"/>
      <c r="H6" s="218"/>
      <c r="I6" s="219"/>
      <c r="J6" s="218"/>
      <c r="K6" s="276">
        <v>1</v>
      </c>
      <c r="L6" s="221" t="e">
        <f>VLOOKUP($B6,ma!$A:$C,3,0)</f>
        <v>#N/A</v>
      </c>
      <c r="M6" s="221" t="e">
        <f>VLOOKUP($B6,ma!$A:$C,3,0)</f>
        <v>#N/A</v>
      </c>
      <c r="N6" s="81"/>
      <c r="O6" s="353">
        <v>45372</v>
      </c>
      <c r="P6" s="354">
        <v>305000000</v>
      </c>
      <c r="Q6" s="355" t="s">
        <v>2592</v>
      </c>
      <c r="R6" s="261"/>
      <c r="S6" s="261"/>
    </row>
    <row r="7" spans="1:19">
      <c r="A7" s="352">
        <v>2</v>
      </c>
      <c r="B7" s="215"/>
      <c r="C7" s="216"/>
      <c r="D7" s="217" t="e">
        <f>VLOOKUP($B7,ma!$A:$B,2,0)</f>
        <v>#N/A</v>
      </c>
      <c r="E7" s="218"/>
      <c r="F7" s="218"/>
      <c r="G7" s="218"/>
      <c r="H7" s="218"/>
      <c r="I7" s="219"/>
      <c r="J7" s="218"/>
      <c r="K7" s="276">
        <v>1</v>
      </c>
      <c r="L7" s="221" t="e">
        <f>VLOOKUP($B7,ma!$A:$C,3,0)</f>
        <v>#N/A</v>
      </c>
      <c r="M7" s="221" t="e">
        <f>VLOOKUP($B7,ma!$A:$C,3,0)</f>
        <v>#N/A</v>
      </c>
      <c r="N7" s="81"/>
      <c r="O7" s="353">
        <v>45372</v>
      </c>
      <c r="P7" s="354">
        <v>3500000</v>
      </c>
      <c r="Q7" s="355" t="s">
        <v>2593</v>
      </c>
      <c r="R7" s="261"/>
      <c r="S7" s="261"/>
    </row>
    <row r="8" spans="1:19">
      <c r="A8" s="352">
        <v>3</v>
      </c>
      <c r="B8" s="215"/>
      <c r="C8" s="216"/>
      <c r="D8" s="217" t="e">
        <f>VLOOKUP($B8,ma!$A:$B,2,0)</f>
        <v>#N/A</v>
      </c>
      <c r="E8" s="218"/>
      <c r="F8" s="218"/>
      <c r="G8" s="218"/>
      <c r="H8" s="218"/>
      <c r="I8" s="219"/>
      <c r="J8" s="218"/>
      <c r="K8" s="276">
        <v>1</v>
      </c>
      <c r="L8" s="221" t="e">
        <f>VLOOKUP($B8,ma!$A:$C,3,0)</f>
        <v>#N/A</v>
      </c>
      <c r="M8" s="221" t="e">
        <f>VLOOKUP($B8,ma!$A:$C,3,0)</f>
        <v>#N/A</v>
      </c>
      <c r="N8" s="81"/>
      <c r="O8" s="356"/>
      <c r="P8" s="357">
        <v>640000</v>
      </c>
      <c r="Q8" s="358" t="s">
        <v>2594</v>
      </c>
      <c r="R8" s="261"/>
      <c r="S8" s="261"/>
    </row>
    <row r="9" spans="1:19">
      <c r="A9" s="352">
        <v>4</v>
      </c>
      <c r="B9" s="215"/>
      <c r="C9" s="216"/>
      <c r="D9" s="217" t="e">
        <f>VLOOKUP($B9,ma!$A:$B,2,0)</f>
        <v>#N/A</v>
      </c>
      <c r="E9" s="218"/>
      <c r="F9" s="218"/>
      <c r="G9" s="218"/>
      <c r="H9" s="218"/>
      <c r="I9" s="219"/>
      <c r="J9" s="218"/>
      <c r="K9" s="276">
        <v>1</v>
      </c>
      <c r="L9" s="221" t="e">
        <f>VLOOKUP($B9,ma!$A:$C,3,0)</f>
        <v>#N/A</v>
      </c>
      <c r="M9" s="221" t="e">
        <f>VLOOKUP($B9,ma!$A:$C,3,0)</f>
        <v>#N/A</v>
      </c>
      <c r="N9" s="81"/>
      <c r="O9" s="356"/>
      <c r="P9" s="357">
        <v>2300000</v>
      </c>
      <c r="Q9" s="358" t="s">
        <v>2595</v>
      </c>
      <c r="R9" s="261"/>
      <c r="S9" s="261"/>
    </row>
    <row r="10" spans="1:19">
      <c r="A10" s="352">
        <v>5</v>
      </c>
      <c r="B10" s="215"/>
      <c r="C10" s="216"/>
      <c r="D10" s="217" t="e">
        <f>VLOOKUP($B10,ma!$A:$B,2,0)</f>
        <v>#N/A</v>
      </c>
      <c r="E10" s="218"/>
      <c r="F10" s="218"/>
      <c r="G10" s="218"/>
      <c r="H10" s="218"/>
      <c r="I10" s="219"/>
      <c r="J10" s="218"/>
      <c r="K10" s="276">
        <v>1</v>
      </c>
      <c r="L10" s="221" t="e">
        <f>VLOOKUP($B10,ma!$A:$C,3,0)</f>
        <v>#N/A</v>
      </c>
      <c r="M10" s="221" t="e">
        <f>VLOOKUP($B10,ma!$A:$C,3,0)</f>
        <v>#N/A</v>
      </c>
      <c r="N10" s="81"/>
      <c r="O10" s="353">
        <v>45373</v>
      </c>
      <c r="P10" s="357">
        <v>8000000</v>
      </c>
      <c r="Q10" s="358" t="s">
        <v>2596</v>
      </c>
      <c r="R10" s="261"/>
      <c r="S10" s="261"/>
    </row>
    <row r="11" spans="1:19">
      <c r="A11" s="352">
        <v>6</v>
      </c>
      <c r="B11" s="215"/>
      <c r="C11" s="216"/>
      <c r="D11" s="217" t="e">
        <f>VLOOKUP($B11,ma!$A:$B,2,0)</f>
        <v>#N/A</v>
      </c>
      <c r="E11" s="218"/>
      <c r="F11" s="218"/>
      <c r="G11" s="218"/>
      <c r="H11" s="218"/>
      <c r="I11" s="219"/>
      <c r="J11" s="218"/>
      <c r="K11" s="276">
        <v>1</v>
      </c>
      <c r="L11" s="221" t="e">
        <f>VLOOKUP($B11,ma!$A:$C,3,0)</f>
        <v>#N/A</v>
      </c>
      <c r="M11" s="221" t="e">
        <f>VLOOKUP($B11,ma!$A:$C,3,0)</f>
        <v>#N/A</v>
      </c>
      <c r="N11" s="81"/>
      <c r="O11" s="353">
        <v>45373</v>
      </c>
      <c r="P11" s="357">
        <v>3810000</v>
      </c>
      <c r="Q11" s="358" t="s">
        <v>2597</v>
      </c>
      <c r="R11" s="261"/>
      <c r="S11" s="261"/>
    </row>
    <row r="12" spans="1:19">
      <c r="A12" s="352">
        <v>7</v>
      </c>
      <c r="B12" s="215"/>
      <c r="C12" s="216"/>
      <c r="D12" s="217" t="e">
        <f>VLOOKUP($B12,ma!$A:$B,2,0)</f>
        <v>#N/A</v>
      </c>
      <c r="E12" s="218"/>
      <c r="F12" s="218"/>
      <c r="G12" s="218"/>
      <c r="H12" s="218"/>
      <c r="I12" s="219"/>
      <c r="J12" s="218"/>
      <c r="K12" s="276">
        <v>1</v>
      </c>
      <c r="L12" s="221" t="e">
        <f>VLOOKUP($B12,ma!$A:$C,3,0)</f>
        <v>#N/A</v>
      </c>
      <c r="M12" s="221" t="e">
        <f>VLOOKUP($B12,ma!$A:$C,3,0)</f>
        <v>#N/A</v>
      </c>
      <c r="N12" s="81"/>
      <c r="O12" s="353">
        <v>45373</v>
      </c>
      <c r="P12" s="359">
        <v>1100000</v>
      </c>
      <c r="Q12" s="360" t="s">
        <v>2598</v>
      </c>
      <c r="R12" s="261"/>
      <c r="S12" s="261"/>
    </row>
    <row r="13" spans="1:19">
      <c r="A13" s="352">
        <v>8</v>
      </c>
      <c r="B13" s="215"/>
      <c r="C13" s="216"/>
      <c r="D13" s="217" t="e">
        <f>VLOOKUP($B13,ma!$A:$B,2,0)</f>
        <v>#N/A</v>
      </c>
      <c r="E13" s="218"/>
      <c r="F13" s="218"/>
      <c r="G13" s="218"/>
      <c r="H13" s="218"/>
      <c r="I13" s="219"/>
      <c r="J13" s="218"/>
      <c r="K13" s="276">
        <v>1</v>
      </c>
      <c r="L13" s="221" t="e">
        <f>VLOOKUP($B13,ma!$A:$C,3,0)</f>
        <v>#N/A</v>
      </c>
      <c r="M13" s="221" t="e">
        <f>VLOOKUP($B13,ma!$A:$C,3,0)</f>
        <v>#N/A</v>
      </c>
      <c r="N13" s="81"/>
      <c r="O13" s="353">
        <v>45550</v>
      </c>
      <c r="P13" s="359">
        <v>9000000</v>
      </c>
      <c r="Q13" s="361" t="s">
        <v>2599</v>
      </c>
      <c r="R13" s="261"/>
      <c r="S13" s="261"/>
    </row>
    <row r="14" spans="1:19">
      <c r="A14" s="352">
        <v>9</v>
      </c>
      <c r="B14" s="215"/>
      <c r="C14" s="216"/>
      <c r="D14" s="217" t="e">
        <f>VLOOKUP($B14,ma!$A:$B,2,0)</f>
        <v>#N/A</v>
      </c>
      <c r="E14" s="218"/>
      <c r="F14" s="218"/>
      <c r="G14" s="218"/>
      <c r="H14" s="218"/>
      <c r="I14" s="219"/>
      <c r="J14" s="218"/>
      <c r="K14" s="276">
        <v>1</v>
      </c>
      <c r="L14" s="221" t="e">
        <f>VLOOKUP($B14,ma!$A:$C,3,0)</f>
        <v>#N/A</v>
      </c>
      <c r="M14" s="221" t="e">
        <f>VLOOKUP($B14,ma!$A:$C,3,0)</f>
        <v>#N/A</v>
      </c>
      <c r="N14" s="81"/>
      <c r="O14" s="361"/>
      <c r="P14" s="362"/>
      <c r="Q14" s="361"/>
      <c r="R14" s="261"/>
      <c r="S14" s="261"/>
    </row>
    <row r="15" spans="1:19">
      <c r="A15" s="352">
        <v>10</v>
      </c>
      <c r="B15" s="215"/>
      <c r="C15" s="216"/>
      <c r="D15" s="217" t="e">
        <f>VLOOKUP($B15,ma!$A:$B,2,0)</f>
        <v>#N/A</v>
      </c>
      <c r="E15" s="218"/>
      <c r="F15" s="218"/>
      <c r="G15" s="218"/>
      <c r="H15" s="218"/>
      <c r="I15" s="219"/>
      <c r="J15" s="218"/>
      <c r="K15" s="276">
        <v>1</v>
      </c>
      <c r="L15" s="221" t="e">
        <f>VLOOKUP($B15,ma!$A:$C,3,0)</f>
        <v>#N/A</v>
      </c>
      <c r="M15" s="221" t="e">
        <f>VLOOKUP($B15,ma!$A:$C,3,0)</f>
        <v>#N/A</v>
      </c>
      <c r="N15" s="81"/>
      <c r="O15" s="363"/>
      <c r="P15" s="364">
        <f>SUM(P6:P14)</f>
        <v>333350000</v>
      </c>
      <c r="Q15" s="365"/>
      <c r="R15" s="261"/>
      <c r="S15" s="261"/>
    </row>
    <row r="16" spans="1:19">
      <c r="A16" s="352">
        <v>11</v>
      </c>
      <c r="B16" s="215"/>
      <c r="C16" s="216"/>
      <c r="D16" s="217" t="e">
        <f>VLOOKUP($B16,ma!$A:$B,2,0)</f>
        <v>#N/A</v>
      </c>
      <c r="E16" s="218"/>
      <c r="F16" s="218"/>
      <c r="G16" s="218"/>
      <c r="H16" s="218"/>
      <c r="I16" s="219"/>
      <c r="J16" s="218"/>
      <c r="K16" s="276">
        <v>1</v>
      </c>
      <c r="L16" s="221" t="e">
        <f>VLOOKUP($B16,ma!$A:$C,3,0)</f>
        <v>#N/A</v>
      </c>
      <c r="M16" s="221" t="e">
        <f>VLOOKUP($B16,ma!$A:$C,3,0)</f>
        <v>#N/A</v>
      </c>
      <c r="N16" s="81"/>
      <c r="O16" s="261"/>
      <c r="P16" s="261"/>
      <c r="Q16" s="261"/>
      <c r="R16" s="261"/>
      <c r="S16" s="261"/>
    </row>
    <row r="17" spans="1:26">
      <c r="A17" s="352">
        <v>12</v>
      </c>
      <c r="B17" s="215"/>
      <c r="C17" s="216"/>
      <c r="D17" s="217" t="e">
        <f>VLOOKUP($B17,ma!$A:$B,2,0)</f>
        <v>#N/A</v>
      </c>
      <c r="E17" s="218"/>
      <c r="F17" s="218"/>
      <c r="G17" s="218"/>
      <c r="H17" s="218"/>
      <c r="I17" s="219"/>
      <c r="J17" s="218"/>
      <c r="K17" s="276">
        <v>1</v>
      </c>
      <c r="L17" s="221" t="e">
        <f>VLOOKUP($B17,ma!$A:$C,3,0)</f>
        <v>#N/A</v>
      </c>
      <c r="M17" s="221" t="e">
        <f>VLOOKUP($B17,ma!$A:$C,3,0)</f>
        <v>#N/A</v>
      </c>
      <c r="N17" s="81"/>
      <c r="O17" s="252" t="s">
        <v>2600</v>
      </c>
      <c r="P17" s="81" t="s">
        <v>2601</v>
      </c>
      <c r="Q17" s="261"/>
      <c r="R17" s="261"/>
      <c r="S17" s="261"/>
    </row>
    <row r="18" spans="1:26">
      <c r="A18" s="352">
        <v>13</v>
      </c>
      <c r="B18" s="215"/>
      <c r="C18" s="216"/>
      <c r="D18" s="217" t="e">
        <f>VLOOKUP($B18,ma!$A:$B,2,0)</f>
        <v>#N/A</v>
      </c>
      <c r="E18" s="218"/>
      <c r="F18" s="218"/>
      <c r="G18" s="218"/>
      <c r="H18" s="218"/>
      <c r="I18" s="219"/>
      <c r="J18" s="218"/>
      <c r="K18" s="276">
        <v>1</v>
      </c>
      <c r="L18" s="221" t="e">
        <f>VLOOKUP($B18,ma!$A:$C,3,0)</f>
        <v>#N/A</v>
      </c>
      <c r="M18" s="221" t="e">
        <f>VLOOKUP($B18,ma!$A:$C,3,0)</f>
        <v>#N/A</v>
      </c>
      <c r="N18" s="366"/>
      <c r="O18" s="367" t="s">
        <v>2602</v>
      </c>
      <c r="P18" s="366" t="s">
        <v>2603</v>
      </c>
      <c r="Q18" s="368"/>
      <c r="R18" s="368"/>
      <c r="S18" s="368"/>
      <c r="T18" s="369"/>
      <c r="U18" s="369"/>
      <c r="V18" s="369"/>
      <c r="W18" s="369"/>
      <c r="X18" s="369"/>
      <c r="Y18" s="369"/>
      <c r="Z18" s="369"/>
    </row>
    <row r="19" spans="1:26">
      <c r="A19" s="352">
        <v>14</v>
      </c>
      <c r="B19" s="215"/>
      <c r="C19" s="216"/>
      <c r="D19" s="217" t="e">
        <f>VLOOKUP($B19,ma!$A:$B,2,0)</f>
        <v>#N/A</v>
      </c>
      <c r="E19" s="218"/>
      <c r="F19" s="218"/>
      <c r="G19" s="218"/>
      <c r="H19" s="218"/>
      <c r="I19" s="219"/>
      <c r="J19" s="218"/>
      <c r="K19" s="276">
        <v>1</v>
      </c>
      <c r="L19" s="221" t="e">
        <f>VLOOKUP($B19,ma!$A:$C,3,0)</f>
        <v>#N/A</v>
      </c>
      <c r="M19" s="221" t="e">
        <f>VLOOKUP($B19,ma!$A:$C,3,0)</f>
        <v>#N/A</v>
      </c>
      <c r="N19" s="81"/>
      <c r="O19" s="252"/>
      <c r="P19" s="81" t="s">
        <v>2604</v>
      </c>
      <c r="Q19" s="261"/>
      <c r="R19" s="261"/>
      <c r="S19" s="261"/>
    </row>
    <row r="20" spans="1:26">
      <c r="A20" s="352">
        <v>15</v>
      </c>
      <c r="B20" s="215"/>
      <c r="C20" s="216"/>
      <c r="D20" s="217" t="e">
        <f>VLOOKUP($B20,ma!$A:$B,2,0)</f>
        <v>#N/A</v>
      </c>
      <c r="E20" s="218"/>
      <c r="F20" s="218"/>
      <c r="G20" s="218"/>
      <c r="H20" s="218"/>
      <c r="I20" s="219"/>
      <c r="J20" s="218"/>
      <c r="K20" s="276">
        <v>1</v>
      </c>
      <c r="L20" s="221" t="e">
        <f>VLOOKUP($B20,ma!$A:$C,3,0)</f>
        <v>#N/A</v>
      </c>
      <c r="M20" s="221" t="e">
        <f>VLOOKUP($B20,ma!$A:$C,3,0)</f>
        <v>#N/A</v>
      </c>
      <c r="N20" s="81"/>
      <c r="O20" s="81" t="s">
        <v>2605</v>
      </c>
      <c r="P20" s="81" t="s">
        <v>2606</v>
      </c>
      <c r="Q20" s="261"/>
      <c r="R20" s="261"/>
      <c r="S20" s="261"/>
    </row>
    <row r="21" spans="1:26">
      <c r="A21" s="352">
        <v>16</v>
      </c>
      <c r="B21" s="215"/>
      <c r="C21" s="216"/>
      <c r="D21" s="217" t="e">
        <f>VLOOKUP($B21,ma!$A:$B,2,0)</f>
        <v>#N/A</v>
      </c>
      <c r="E21" s="218"/>
      <c r="F21" s="218"/>
      <c r="G21" s="218"/>
      <c r="H21" s="218"/>
      <c r="I21" s="219"/>
      <c r="J21" s="218"/>
      <c r="K21" s="276">
        <v>1</v>
      </c>
      <c r="L21" s="221" t="e">
        <f>VLOOKUP($B21,ma!$A:$C,3,0)</f>
        <v>#N/A</v>
      </c>
      <c r="M21" s="221" t="e">
        <f>VLOOKUP($B21,ma!$A:$C,3,0)</f>
        <v>#N/A</v>
      </c>
      <c r="N21" s="81"/>
      <c r="O21" s="261"/>
      <c r="P21" s="261"/>
      <c r="Q21" s="261"/>
      <c r="R21" s="261"/>
      <c r="S21" s="261"/>
    </row>
    <row r="22" spans="1:26">
      <c r="A22" s="352">
        <v>17</v>
      </c>
      <c r="B22" s="215"/>
      <c r="C22" s="216"/>
      <c r="D22" s="217" t="e">
        <f>VLOOKUP($B22,ma!$A:$B,2,0)</f>
        <v>#N/A</v>
      </c>
      <c r="E22" s="218"/>
      <c r="F22" s="218"/>
      <c r="G22" s="218"/>
      <c r="H22" s="218"/>
      <c r="I22" s="219"/>
      <c r="J22" s="218"/>
      <c r="K22" s="276">
        <v>1</v>
      </c>
      <c r="L22" s="221" t="e">
        <f>VLOOKUP($B22,ma!$A:$C,3,0)</f>
        <v>#N/A</v>
      </c>
      <c r="M22" s="221" t="e">
        <f>VLOOKUP($B22,ma!$A:$C,3,0)</f>
        <v>#N/A</v>
      </c>
      <c r="N22" s="81"/>
      <c r="O22" s="261"/>
      <c r="P22" s="261"/>
      <c r="Q22" s="261"/>
      <c r="R22" s="261"/>
      <c r="S22" s="261"/>
    </row>
    <row r="23" spans="1:26">
      <c r="A23" s="352">
        <v>18</v>
      </c>
      <c r="B23" s="215"/>
      <c r="C23" s="216"/>
      <c r="D23" s="217" t="e">
        <f>VLOOKUP($B23,ma!$A:$B,2,0)</f>
        <v>#N/A</v>
      </c>
      <c r="E23" s="218"/>
      <c r="F23" s="218"/>
      <c r="G23" s="218"/>
      <c r="H23" s="218"/>
      <c r="I23" s="219"/>
      <c r="J23" s="218"/>
      <c r="K23" s="276">
        <v>1</v>
      </c>
      <c r="L23" s="221" t="e">
        <f>VLOOKUP($B23,ma!$A:$C,3,0)</f>
        <v>#N/A</v>
      </c>
      <c r="M23" s="221" t="e">
        <f>VLOOKUP($B23,ma!$A:$C,3,0)</f>
        <v>#N/A</v>
      </c>
      <c r="N23" s="81"/>
      <c r="O23" s="261"/>
      <c r="P23" s="261"/>
      <c r="Q23" s="261"/>
      <c r="R23" s="261"/>
      <c r="S23" s="261"/>
    </row>
    <row r="24" spans="1:26">
      <c r="A24" s="352">
        <v>19</v>
      </c>
      <c r="B24" s="215"/>
      <c r="C24" s="216"/>
      <c r="D24" s="217" t="e">
        <f>VLOOKUP($B24,ma!$A:$B,2,0)</f>
        <v>#N/A</v>
      </c>
      <c r="E24" s="218"/>
      <c r="F24" s="218"/>
      <c r="G24" s="218"/>
      <c r="H24" s="218"/>
      <c r="I24" s="219"/>
      <c r="J24" s="218"/>
      <c r="K24" s="276">
        <v>1</v>
      </c>
      <c r="L24" s="221" t="e">
        <f>VLOOKUP($B24,ma!$A:$C,3,0)</f>
        <v>#N/A</v>
      </c>
      <c r="M24" s="221" t="e">
        <f>VLOOKUP($B24,ma!$A:$C,3,0)</f>
        <v>#N/A</v>
      </c>
      <c r="N24" s="81"/>
      <c r="O24" s="261"/>
      <c r="P24" s="261"/>
      <c r="Q24" s="261"/>
      <c r="R24" s="261"/>
      <c r="S24" s="261"/>
    </row>
    <row r="25" spans="1:26">
      <c r="A25" s="352">
        <v>20</v>
      </c>
      <c r="B25" s="215"/>
      <c r="C25" s="216"/>
      <c r="D25" s="217" t="e">
        <f>VLOOKUP($B25,ma!$A:$B,2,0)</f>
        <v>#N/A</v>
      </c>
      <c r="E25" s="218"/>
      <c r="F25" s="218"/>
      <c r="G25" s="218"/>
      <c r="H25" s="218"/>
      <c r="I25" s="219"/>
      <c r="J25" s="218"/>
      <c r="K25" s="276">
        <v>1</v>
      </c>
      <c r="L25" s="221" t="e">
        <f>VLOOKUP($B25,ma!$A:$C,3,0)</f>
        <v>#N/A</v>
      </c>
      <c r="M25" s="221" t="e">
        <f>VLOOKUP($B25,ma!$A:$C,3,0)</f>
        <v>#N/A</v>
      </c>
      <c r="N25" s="81"/>
      <c r="O25" s="261"/>
      <c r="P25" s="261"/>
      <c r="Q25" s="261"/>
      <c r="R25" s="261"/>
      <c r="S25" s="261"/>
    </row>
    <row r="26" spans="1:26">
      <c r="A26" s="352">
        <v>21</v>
      </c>
      <c r="B26" s="215"/>
      <c r="C26" s="216"/>
      <c r="D26" s="217" t="e">
        <f>VLOOKUP($B26,ma!$A:$B,2,0)</f>
        <v>#N/A</v>
      </c>
      <c r="E26" s="218"/>
      <c r="F26" s="218"/>
      <c r="G26" s="218"/>
      <c r="H26" s="218"/>
      <c r="I26" s="219"/>
      <c r="J26" s="218"/>
      <c r="K26" s="276">
        <v>1</v>
      </c>
      <c r="L26" s="221" t="e">
        <f>VLOOKUP($B26,ma!$A:$C,3,0)</f>
        <v>#N/A</v>
      </c>
      <c r="M26" s="221" t="e">
        <f>VLOOKUP($B26,ma!$A:$C,3,0)</f>
        <v>#N/A</v>
      </c>
      <c r="N26" s="81"/>
      <c r="O26" s="261"/>
      <c r="P26" s="261"/>
      <c r="Q26" s="261"/>
      <c r="R26" s="261"/>
      <c r="S26" s="261"/>
    </row>
    <row r="27" spans="1:26">
      <c r="A27" s="352">
        <v>22</v>
      </c>
      <c r="B27" s="215"/>
      <c r="C27" s="216"/>
      <c r="D27" s="217" t="e">
        <f>VLOOKUP($B27,ma!$A:$B,2,0)</f>
        <v>#N/A</v>
      </c>
      <c r="E27" s="218"/>
      <c r="F27" s="218"/>
      <c r="G27" s="218"/>
      <c r="H27" s="218"/>
      <c r="I27" s="219"/>
      <c r="J27" s="218"/>
      <c r="K27" s="276">
        <v>1</v>
      </c>
      <c r="L27" s="221" t="e">
        <f>VLOOKUP($B27,ma!$A:$C,3,0)</f>
        <v>#N/A</v>
      </c>
      <c r="M27" s="221" t="e">
        <f>VLOOKUP($B27,ma!$A:$C,3,0)</f>
        <v>#N/A</v>
      </c>
      <c r="N27" s="81"/>
      <c r="O27" s="261"/>
      <c r="P27" s="261"/>
      <c r="Q27" s="261"/>
      <c r="R27" s="261"/>
      <c r="S27" s="261"/>
    </row>
    <row r="28" spans="1:26">
      <c r="A28" s="352">
        <v>23</v>
      </c>
      <c r="B28" s="215"/>
      <c r="C28" s="216"/>
      <c r="D28" s="217" t="e">
        <f>VLOOKUP($B28,ma!$A:$B,2,0)</f>
        <v>#N/A</v>
      </c>
      <c r="E28" s="218"/>
      <c r="F28" s="218"/>
      <c r="G28" s="218"/>
      <c r="H28" s="218"/>
      <c r="I28" s="219"/>
      <c r="J28" s="218"/>
      <c r="K28" s="276">
        <v>1</v>
      </c>
      <c r="L28" s="221" t="e">
        <f>VLOOKUP($B28,ma!$A:$C,3,0)</f>
        <v>#N/A</v>
      </c>
      <c r="M28" s="221" t="e">
        <f>VLOOKUP($B28,ma!$A:$C,3,0)</f>
        <v>#N/A</v>
      </c>
      <c r="N28" s="81"/>
      <c r="O28" s="261"/>
      <c r="P28" s="261"/>
      <c r="Q28" s="261"/>
      <c r="R28" s="261"/>
      <c r="S28" s="261"/>
    </row>
    <row r="29" spans="1:26">
      <c r="A29" s="352">
        <v>24</v>
      </c>
      <c r="B29" s="215"/>
      <c r="C29" s="216"/>
      <c r="D29" s="217" t="e">
        <f>VLOOKUP($B29,ma!$A:$B,2,0)</f>
        <v>#N/A</v>
      </c>
      <c r="E29" s="218"/>
      <c r="F29" s="218"/>
      <c r="G29" s="218"/>
      <c r="H29" s="218"/>
      <c r="I29" s="219"/>
      <c r="J29" s="218"/>
      <c r="K29" s="276">
        <v>1</v>
      </c>
      <c r="L29" s="221" t="e">
        <f>VLOOKUP($B29,ma!$A:$C,3,0)</f>
        <v>#N/A</v>
      </c>
      <c r="M29" s="221" t="e">
        <f>VLOOKUP($B29,ma!$A:$C,3,0)</f>
        <v>#N/A</v>
      </c>
      <c r="N29" s="81"/>
      <c r="O29" s="261"/>
      <c r="P29" s="261"/>
      <c r="Q29" s="261"/>
      <c r="R29" s="261"/>
      <c r="S29" s="261"/>
    </row>
    <row r="30" spans="1:26">
      <c r="A30" s="352">
        <v>25</v>
      </c>
      <c r="B30" s="215"/>
      <c r="C30" s="216"/>
      <c r="D30" s="217" t="e">
        <f>VLOOKUP($B30,ma!$A:$B,2,0)</f>
        <v>#N/A</v>
      </c>
      <c r="E30" s="218"/>
      <c r="F30" s="218"/>
      <c r="G30" s="218"/>
      <c r="H30" s="218"/>
      <c r="I30" s="219"/>
      <c r="J30" s="218"/>
      <c r="K30" s="276">
        <v>1</v>
      </c>
      <c r="L30" s="221" t="e">
        <f>VLOOKUP($B30,ma!$A:$C,3,0)</f>
        <v>#N/A</v>
      </c>
      <c r="M30" s="221" t="e">
        <f>VLOOKUP($B30,ma!$A:$C,3,0)</f>
        <v>#N/A</v>
      </c>
      <c r="N30" s="81"/>
      <c r="O30" s="261"/>
      <c r="P30" s="261"/>
      <c r="Q30" s="261"/>
      <c r="R30" s="261"/>
      <c r="S30" s="261"/>
    </row>
    <row r="31" spans="1:26">
      <c r="A31" s="352">
        <v>26</v>
      </c>
      <c r="B31" s="215"/>
      <c r="C31" s="216"/>
      <c r="D31" s="217" t="e">
        <f>VLOOKUP($B31,ma!$A:$B,2,0)</f>
        <v>#N/A</v>
      </c>
      <c r="E31" s="218"/>
      <c r="F31" s="218"/>
      <c r="G31" s="218"/>
      <c r="H31" s="218"/>
      <c r="I31" s="219"/>
      <c r="J31" s="218"/>
      <c r="K31" s="276">
        <v>1</v>
      </c>
      <c r="L31" s="221" t="e">
        <f>VLOOKUP($B31,ma!$A:$C,3,0)</f>
        <v>#N/A</v>
      </c>
      <c r="M31" s="221" t="e">
        <f>VLOOKUP($B31,ma!$A:$C,3,0)</f>
        <v>#N/A</v>
      </c>
      <c r="N31" s="81"/>
      <c r="O31" s="261"/>
      <c r="P31" s="261"/>
      <c r="Q31" s="261"/>
      <c r="R31" s="261"/>
      <c r="S31" s="261"/>
    </row>
    <row r="32" spans="1:26">
      <c r="A32" s="352">
        <v>27</v>
      </c>
      <c r="B32" s="215"/>
      <c r="C32" s="216"/>
      <c r="D32" s="217" t="e">
        <f>VLOOKUP($B32,ma!$A:$B,2,0)</f>
        <v>#N/A</v>
      </c>
      <c r="E32" s="218"/>
      <c r="F32" s="218"/>
      <c r="G32" s="218"/>
      <c r="H32" s="218"/>
      <c r="I32" s="219"/>
      <c r="J32" s="218"/>
      <c r="K32" s="276">
        <v>1</v>
      </c>
      <c r="L32" s="221" t="e">
        <f>VLOOKUP($B32,ma!$A:$C,3,0)</f>
        <v>#N/A</v>
      </c>
      <c r="M32" s="221" t="e">
        <f>VLOOKUP($B32,ma!$A:$C,3,0)</f>
        <v>#N/A</v>
      </c>
      <c r="N32" s="81"/>
      <c r="O32" s="261"/>
      <c r="P32" s="261"/>
      <c r="Q32" s="261"/>
      <c r="R32" s="261"/>
      <c r="S32" s="261"/>
    </row>
    <row r="33" spans="1:19">
      <c r="A33" s="352">
        <v>28</v>
      </c>
      <c r="B33" s="215"/>
      <c r="C33" s="216"/>
      <c r="D33" s="217" t="e">
        <f>VLOOKUP($B33,ma!$A:$B,2,0)</f>
        <v>#N/A</v>
      </c>
      <c r="E33" s="218"/>
      <c r="F33" s="218"/>
      <c r="G33" s="218"/>
      <c r="H33" s="218"/>
      <c r="I33" s="219"/>
      <c r="J33" s="218"/>
      <c r="K33" s="276">
        <v>1</v>
      </c>
      <c r="L33" s="221" t="e">
        <f>VLOOKUP($B33,ma!$A:$C,3,0)</f>
        <v>#N/A</v>
      </c>
      <c r="M33" s="221" t="e">
        <f>VLOOKUP($B33,ma!$A:$C,3,0)</f>
        <v>#N/A</v>
      </c>
      <c r="N33" s="81"/>
      <c r="O33" s="261"/>
      <c r="P33" s="261"/>
      <c r="Q33" s="261"/>
      <c r="R33" s="261"/>
      <c r="S33" s="261"/>
    </row>
    <row r="34" spans="1:19">
      <c r="A34" s="352">
        <v>29</v>
      </c>
      <c r="B34" s="215"/>
      <c r="C34" s="216"/>
      <c r="D34" s="217" t="e">
        <f>VLOOKUP($B34,ma!$A:$B,2,0)</f>
        <v>#N/A</v>
      </c>
      <c r="E34" s="218"/>
      <c r="F34" s="218"/>
      <c r="G34" s="218"/>
      <c r="H34" s="218"/>
      <c r="I34" s="219"/>
      <c r="J34" s="218"/>
      <c r="K34" s="276">
        <v>1</v>
      </c>
      <c r="L34" s="221" t="e">
        <f>VLOOKUP($B34,ma!$A:$C,3,0)</f>
        <v>#N/A</v>
      </c>
      <c r="M34" s="221" t="e">
        <f>VLOOKUP($B34,ma!$A:$C,3,0)</f>
        <v>#N/A</v>
      </c>
      <c r="N34" s="81"/>
      <c r="O34" s="261"/>
      <c r="P34" s="261"/>
      <c r="Q34" s="261"/>
      <c r="R34" s="261"/>
      <c r="S34" s="261"/>
    </row>
    <row r="35" spans="1:19">
      <c r="A35" s="352">
        <v>30</v>
      </c>
      <c r="B35" s="215"/>
      <c r="C35" s="216"/>
      <c r="D35" s="217" t="e">
        <f>VLOOKUP($B35,ma!$A:$B,2,0)</f>
        <v>#N/A</v>
      </c>
      <c r="E35" s="218"/>
      <c r="F35" s="218"/>
      <c r="G35" s="218"/>
      <c r="H35" s="218"/>
      <c r="I35" s="219"/>
      <c r="J35" s="218"/>
      <c r="K35" s="276">
        <v>1</v>
      </c>
      <c r="L35" s="221" t="e">
        <f>VLOOKUP($B35,ma!$A:$C,3,0)</f>
        <v>#N/A</v>
      </c>
      <c r="M35" s="221" t="e">
        <f>VLOOKUP($B35,ma!$A:$C,3,0)</f>
        <v>#N/A</v>
      </c>
      <c r="N35" s="81"/>
      <c r="O35" s="261"/>
      <c r="P35" s="261"/>
      <c r="Q35" s="261"/>
      <c r="R35" s="261"/>
      <c r="S35" s="261"/>
    </row>
    <row r="36" spans="1:19">
      <c r="A36" s="352">
        <v>31</v>
      </c>
      <c r="B36" s="215"/>
      <c r="C36" s="216"/>
      <c r="D36" s="217" t="e">
        <f>VLOOKUP($B36,ma!$A:$B,2,0)</f>
        <v>#N/A</v>
      </c>
      <c r="E36" s="218"/>
      <c r="F36" s="218"/>
      <c r="G36" s="218"/>
      <c r="H36" s="218"/>
      <c r="I36" s="219"/>
      <c r="J36" s="218"/>
      <c r="K36" s="276">
        <v>1</v>
      </c>
      <c r="L36" s="221" t="e">
        <f>VLOOKUP($B36,ma!$A:$C,3,0)</f>
        <v>#N/A</v>
      </c>
      <c r="M36" s="221" t="e">
        <f>VLOOKUP($B36,ma!$A:$C,3,0)</f>
        <v>#N/A</v>
      </c>
      <c r="N36" s="81"/>
      <c r="O36" s="261"/>
      <c r="P36" s="261"/>
      <c r="Q36" s="261"/>
      <c r="R36" s="261"/>
      <c r="S36" s="261"/>
    </row>
    <row r="37" spans="1:19">
      <c r="A37" s="352">
        <v>32</v>
      </c>
      <c r="B37" s="215"/>
      <c r="C37" s="216"/>
      <c r="D37" s="217" t="e">
        <f>VLOOKUP($B37,ma!$A:$B,2,0)</f>
        <v>#N/A</v>
      </c>
      <c r="E37" s="218"/>
      <c r="F37" s="218"/>
      <c r="G37" s="218"/>
      <c r="H37" s="218"/>
      <c r="I37" s="219"/>
      <c r="J37" s="218"/>
      <c r="K37" s="276">
        <v>1</v>
      </c>
      <c r="L37" s="221" t="e">
        <f>VLOOKUP($B37,ma!$A:$C,3,0)</f>
        <v>#N/A</v>
      </c>
      <c r="M37" s="221" t="e">
        <f>VLOOKUP($B37,ma!$A:$C,3,0)</f>
        <v>#N/A</v>
      </c>
      <c r="N37" s="81"/>
      <c r="O37" s="261"/>
      <c r="P37" s="261"/>
      <c r="Q37" s="261"/>
      <c r="R37" s="261"/>
      <c r="S37" s="261"/>
    </row>
    <row r="38" spans="1:19">
      <c r="A38" s="352">
        <v>33</v>
      </c>
      <c r="B38" s="215"/>
      <c r="C38" s="216"/>
      <c r="D38" s="217" t="e">
        <f>VLOOKUP($B38,ma!$A:$B,2,0)</f>
        <v>#N/A</v>
      </c>
      <c r="E38" s="218"/>
      <c r="F38" s="218"/>
      <c r="G38" s="218"/>
      <c r="H38" s="218"/>
      <c r="I38" s="219"/>
      <c r="J38" s="218"/>
      <c r="K38" s="276">
        <v>1</v>
      </c>
      <c r="L38" s="221" t="e">
        <f>VLOOKUP($B38,ma!$A:$C,3,0)</f>
        <v>#N/A</v>
      </c>
      <c r="M38" s="221" t="e">
        <f>VLOOKUP($B38,ma!$A:$C,3,0)</f>
        <v>#N/A</v>
      </c>
      <c r="N38" s="81"/>
      <c r="O38" s="261"/>
      <c r="P38" s="261"/>
      <c r="Q38" s="261"/>
      <c r="R38" s="261"/>
      <c r="S38" s="261"/>
    </row>
    <row r="39" spans="1:19">
      <c r="A39" s="352">
        <v>34</v>
      </c>
      <c r="B39" s="215"/>
      <c r="C39" s="216"/>
      <c r="D39" s="217" t="e">
        <f>VLOOKUP($B39,ma!$A:$B,2,0)</f>
        <v>#N/A</v>
      </c>
      <c r="E39" s="218"/>
      <c r="F39" s="218"/>
      <c r="G39" s="218"/>
      <c r="H39" s="218"/>
      <c r="I39" s="219"/>
      <c r="J39" s="218"/>
      <c r="K39" s="276">
        <v>1</v>
      </c>
      <c r="L39" s="221" t="e">
        <f>VLOOKUP($B39,ma!$A:$C,3,0)</f>
        <v>#N/A</v>
      </c>
      <c r="M39" s="221" t="e">
        <f>VLOOKUP($B39,ma!$A:$C,3,0)</f>
        <v>#N/A</v>
      </c>
      <c r="N39" s="81"/>
      <c r="O39" s="261"/>
      <c r="P39" s="261"/>
      <c r="Q39" s="261"/>
      <c r="R39" s="261"/>
      <c r="S39" s="261"/>
    </row>
    <row r="40" spans="1:19">
      <c r="A40" s="352">
        <v>35</v>
      </c>
      <c r="B40" s="215"/>
      <c r="C40" s="216"/>
      <c r="D40" s="217" t="e">
        <f>VLOOKUP($B40,ma!$A:$B,2,0)</f>
        <v>#N/A</v>
      </c>
      <c r="E40" s="218"/>
      <c r="F40" s="218"/>
      <c r="G40" s="218"/>
      <c r="H40" s="218"/>
      <c r="I40" s="219"/>
      <c r="J40" s="218"/>
      <c r="K40" s="276">
        <v>1</v>
      </c>
      <c r="L40" s="221" t="e">
        <f>VLOOKUP($B40,ma!$A:$C,3,0)</f>
        <v>#N/A</v>
      </c>
      <c r="M40" s="221" t="e">
        <f>VLOOKUP($B40,ma!$A:$C,3,0)</f>
        <v>#N/A</v>
      </c>
      <c r="N40" s="81"/>
      <c r="O40" s="261"/>
      <c r="P40" s="261"/>
      <c r="Q40" s="261"/>
      <c r="R40" s="261"/>
      <c r="S40" s="261"/>
    </row>
    <row r="41" spans="1:19">
      <c r="A41" s="352">
        <v>36</v>
      </c>
      <c r="B41" s="215"/>
      <c r="C41" s="216"/>
      <c r="D41" s="217" t="e">
        <f>VLOOKUP($B41,ma!$A:$B,2,0)</f>
        <v>#N/A</v>
      </c>
      <c r="E41" s="218"/>
      <c r="F41" s="218"/>
      <c r="G41" s="218"/>
      <c r="H41" s="218"/>
      <c r="I41" s="219"/>
      <c r="J41" s="218"/>
      <c r="K41" s="276">
        <v>1</v>
      </c>
      <c r="L41" s="221" t="e">
        <f>VLOOKUP($B41,ma!$A:$C,3,0)</f>
        <v>#N/A</v>
      </c>
      <c r="M41" s="221" t="e">
        <f>VLOOKUP($B41,ma!$A:$C,3,0)</f>
        <v>#N/A</v>
      </c>
      <c r="N41" s="81"/>
      <c r="O41" s="261"/>
      <c r="P41" s="261"/>
      <c r="Q41" s="261"/>
      <c r="R41" s="261"/>
      <c r="S41" s="261"/>
    </row>
    <row r="42" spans="1:19">
      <c r="A42" s="352">
        <v>37</v>
      </c>
      <c r="B42" s="215"/>
      <c r="C42" s="216"/>
      <c r="D42" s="217" t="e">
        <f>VLOOKUP($B42,ma!$A:$B,2,0)</f>
        <v>#N/A</v>
      </c>
      <c r="E42" s="218"/>
      <c r="F42" s="218"/>
      <c r="G42" s="218"/>
      <c r="H42" s="218"/>
      <c r="I42" s="219"/>
      <c r="J42" s="218"/>
      <c r="K42" s="276">
        <v>1</v>
      </c>
      <c r="L42" s="221" t="e">
        <f>VLOOKUP($B42,ma!$A:$C,3,0)</f>
        <v>#N/A</v>
      </c>
      <c r="M42" s="221" t="e">
        <f>VLOOKUP($B42,ma!$A:$C,3,0)</f>
        <v>#N/A</v>
      </c>
      <c r="N42" s="81"/>
      <c r="O42" s="261"/>
      <c r="P42" s="261"/>
      <c r="Q42" s="261"/>
      <c r="R42" s="261"/>
      <c r="S42" s="261"/>
    </row>
    <row r="43" spans="1:19">
      <c r="A43" s="352">
        <v>38</v>
      </c>
      <c r="B43" s="215"/>
      <c r="C43" s="216"/>
      <c r="D43" s="217" t="e">
        <f>VLOOKUP($B43,ma!$A:$B,2,0)</f>
        <v>#N/A</v>
      </c>
      <c r="E43" s="218"/>
      <c r="F43" s="218"/>
      <c r="G43" s="218"/>
      <c r="H43" s="218"/>
      <c r="I43" s="219"/>
      <c r="J43" s="218"/>
      <c r="K43" s="276">
        <v>1</v>
      </c>
      <c r="L43" s="221" t="e">
        <f>VLOOKUP($B43,ma!$A:$C,3,0)</f>
        <v>#N/A</v>
      </c>
      <c r="M43" s="221" t="e">
        <f>VLOOKUP($B43,ma!$A:$C,3,0)</f>
        <v>#N/A</v>
      </c>
      <c r="N43" s="81"/>
      <c r="O43" s="261"/>
      <c r="P43" s="261"/>
      <c r="Q43" s="261"/>
      <c r="R43" s="261"/>
      <c r="S43" s="261"/>
    </row>
    <row r="44" spans="1:19">
      <c r="A44" s="352">
        <v>39</v>
      </c>
      <c r="B44" s="215"/>
      <c r="C44" s="216"/>
      <c r="D44" s="217" t="e">
        <f>VLOOKUP($B44,ma!$A:$B,2,0)</f>
        <v>#N/A</v>
      </c>
      <c r="E44" s="218"/>
      <c r="F44" s="218"/>
      <c r="G44" s="218"/>
      <c r="H44" s="218"/>
      <c r="I44" s="219"/>
      <c r="J44" s="218"/>
      <c r="K44" s="276">
        <v>1</v>
      </c>
      <c r="L44" s="221" t="e">
        <f>VLOOKUP($B44,ma!$A:$C,3,0)</f>
        <v>#N/A</v>
      </c>
      <c r="M44" s="221" t="e">
        <f>VLOOKUP($B44,ma!$A:$C,3,0)</f>
        <v>#N/A</v>
      </c>
      <c r="N44" s="81"/>
      <c r="O44" s="261"/>
      <c r="P44" s="261"/>
      <c r="Q44" s="261"/>
      <c r="R44" s="261"/>
      <c r="S44" s="261"/>
    </row>
    <row r="45" spans="1:19">
      <c r="A45" s="352">
        <v>40</v>
      </c>
      <c r="B45" s="215"/>
      <c r="C45" s="216"/>
      <c r="D45" s="217" t="e">
        <f>VLOOKUP($B45,ma!$A:$B,2,0)</f>
        <v>#N/A</v>
      </c>
      <c r="E45" s="218"/>
      <c r="F45" s="218"/>
      <c r="G45" s="218"/>
      <c r="H45" s="218"/>
      <c r="I45" s="219"/>
      <c r="J45" s="218"/>
      <c r="K45" s="276">
        <v>1</v>
      </c>
      <c r="L45" s="221" t="e">
        <f>VLOOKUP($B45,ma!$A:$C,3,0)</f>
        <v>#N/A</v>
      </c>
      <c r="M45" s="221" t="e">
        <f>VLOOKUP($B45,ma!$A:$C,3,0)</f>
        <v>#N/A</v>
      </c>
      <c r="N45" s="81"/>
      <c r="O45" s="261"/>
      <c r="P45" s="261"/>
      <c r="Q45" s="261"/>
      <c r="R45" s="261"/>
      <c r="S45" s="261"/>
    </row>
    <row r="46" spans="1:19">
      <c r="A46" s="352">
        <v>41</v>
      </c>
      <c r="B46" s="215"/>
      <c r="C46" s="216"/>
      <c r="D46" s="217" t="e">
        <f>VLOOKUP($B46,ma!$A:$B,2,0)</f>
        <v>#N/A</v>
      </c>
      <c r="E46" s="218"/>
      <c r="F46" s="218"/>
      <c r="G46" s="218"/>
      <c r="H46" s="218"/>
      <c r="I46" s="219"/>
      <c r="J46" s="218"/>
      <c r="K46" s="276">
        <v>1</v>
      </c>
      <c r="L46" s="221" t="e">
        <f>VLOOKUP($B46,ma!$A:$C,3,0)</f>
        <v>#N/A</v>
      </c>
      <c r="M46" s="221" t="e">
        <f>VLOOKUP($B46,ma!$A:$C,3,0)</f>
        <v>#N/A</v>
      </c>
      <c r="N46" s="81"/>
      <c r="O46" s="261"/>
      <c r="P46" s="261"/>
      <c r="Q46" s="261"/>
      <c r="R46" s="261"/>
      <c r="S46" s="261"/>
    </row>
    <row r="47" spans="1:19">
      <c r="A47" s="352">
        <v>42</v>
      </c>
      <c r="B47" s="215"/>
      <c r="C47" s="216"/>
      <c r="D47" s="217" t="e">
        <f>VLOOKUP($B47,ma!$A:$B,2,0)</f>
        <v>#N/A</v>
      </c>
      <c r="E47" s="218"/>
      <c r="F47" s="218"/>
      <c r="G47" s="218"/>
      <c r="H47" s="218"/>
      <c r="I47" s="219"/>
      <c r="J47" s="218"/>
      <c r="K47" s="276">
        <v>1</v>
      </c>
      <c r="L47" s="221" t="e">
        <f>VLOOKUP($B47,ma!$A:$C,3,0)</f>
        <v>#N/A</v>
      </c>
      <c r="M47" s="221" t="e">
        <f>VLOOKUP($B47,ma!$A:$C,3,0)</f>
        <v>#N/A</v>
      </c>
      <c r="N47" s="81"/>
      <c r="O47" s="261"/>
      <c r="P47" s="261"/>
      <c r="Q47" s="261"/>
      <c r="R47" s="261"/>
      <c r="S47" s="261"/>
    </row>
    <row r="48" spans="1:19">
      <c r="A48" s="352">
        <v>43</v>
      </c>
      <c r="B48" s="215"/>
      <c r="C48" s="216"/>
      <c r="D48" s="217" t="e">
        <f>VLOOKUP($B48,ma!$A:$B,2,0)</f>
        <v>#N/A</v>
      </c>
      <c r="E48" s="218"/>
      <c r="F48" s="218"/>
      <c r="G48" s="218"/>
      <c r="H48" s="218"/>
      <c r="I48" s="219"/>
      <c r="J48" s="218"/>
      <c r="K48" s="276">
        <v>1</v>
      </c>
      <c r="L48" s="221" t="e">
        <f>VLOOKUP($B48,ma!$A:$C,3,0)</f>
        <v>#N/A</v>
      </c>
      <c r="M48" s="221" t="e">
        <f>VLOOKUP($B48,ma!$A:$C,3,0)</f>
        <v>#N/A</v>
      </c>
      <c r="N48" s="81"/>
      <c r="O48" s="261"/>
      <c r="P48" s="261"/>
      <c r="Q48" s="261"/>
      <c r="R48" s="261"/>
      <c r="S48" s="261"/>
    </row>
    <row r="49" spans="1:19">
      <c r="A49" s="198"/>
      <c r="B49" s="205"/>
      <c r="C49" s="496" t="s">
        <v>2581</v>
      </c>
      <c r="D49" s="498"/>
      <c r="E49" s="346"/>
      <c r="F49" s="347" t="s">
        <v>2582</v>
      </c>
      <c r="G49" s="346">
        <f>SUM(G6:G48)</f>
        <v>0</v>
      </c>
      <c r="H49" s="346"/>
      <c r="I49" s="254">
        <f>SUM(I6:I48)</f>
        <v>0</v>
      </c>
      <c r="J49" s="346"/>
      <c r="K49" s="347">
        <v>43</v>
      </c>
      <c r="L49" s="346"/>
      <c r="M49" s="347" t="e">
        <f>SUM(M6:M48)</f>
        <v>#N/A</v>
      </c>
      <c r="N49" s="81"/>
      <c r="O49" s="261"/>
      <c r="P49" s="261"/>
      <c r="Q49" s="261"/>
      <c r="R49" s="261"/>
      <c r="S49" s="261"/>
    </row>
    <row r="50" spans="1:19">
      <c r="A50" s="198"/>
      <c r="B50" s="202"/>
      <c r="C50" s="253" t="s">
        <v>2607</v>
      </c>
      <c r="D50" s="254" t="s">
        <v>2608</v>
      </c>
      <c r="E50" s="251"/>
      <c r="F50" s="251"/>
      <c r="G50" s="251"/>
      <c r="H50" s="251"/>
      <c r="I50" s="205"/>
      <c r="J50" s="205"/>
      <c r="K50" s="205"/>
      <c r="L50" s="251"/>
      <c r="M50" s="205"/>
      <c r="N50" s="252"/>
      <c r="O50" s="261"/>
      <c r="P50" s="252" t="s">
        <v>2609</v>
      </c>
      <c r="Q50" s="252"/>
      <c r="R50" s="81"/>
      <c r="S50" s="81"/>
    </row>
    <row r="51" spans="1:19">
      <c r="A51" s="198"/>
      <c r="B51" s="202"/>
      <c r="C51" s="260" t="s">
        <v>2610</v>
      </c>
      <c r="D51" s="256">
        <f>G49+I49</f>
        <v>0</v>
      </c>
      <c r="E51" s="251"/>
      <c r="F51" s="251"/>
      <c r="G51" s="492" t="s">
        <v>2611</v>
      </c>
      <c r="H51" s="482"/>
      <c r="I51" s="205"/>
      <c r="J51" s="205"/>
      <c r="K51" s="205"/>
      <c r="L51" s="251"/>
      <c r="M51" s="205"/>
      <c r="N51" s="252"/>
      <c r="O51" s="261"/>
      <c r="P51" s="252" t="s">
        <v>2612</v>
      </c>
      <c r="Q51" s="370">
        <v>10750000</v>
      </c>
      <c r="R51" s="81"/>
      <c r="S51" s="81"/>
    </row>
    <row r="52" spans="1:19">
      <c r="A52" s="198"/>
      <c r="B52" s="202"/>
      <c r="C52" s="260" t="s">
        <v>2613</v>
      </c>
      <c r="D52" s="256" t="s">
        <v>2614</v>
      </c>
      <c r="E52" s="251"/>
      <c r="F52" s="255"/>
      <c r="G52" s="371">
        <v>45658</v>
      </c>
      <c r="H52" s="372">
        <v>4000000</v>
      </c>
      <c r="I52" s="205"/>
      <c r="J52" s="205"/>
      <c r="K52" s="205"/>
      <c r="L52" s="251"/>
      <c r="M52" s="205"/>
      <c r="N52" s="252"/>
      <c r="O52" s="261"/>
      <c r="P52" s="252" t="s">
        <v>2615</v>
      </c>
      <c r="Q52" s="370">
        <v>9510000</v>
      </c>
      <c r="R52" s="81"/>
      <c r="S52" s="81"/>
    </row>
    <row r="53" spans="1:19">
      <c r="A53" s="198"/>
      <c r="B53" s="202"/>
      <c r="C53" s="373"/>
      <c r="D53" s="374"/>
      <c r="E53" s="257"/>
      <c r="F53" s="251"/>
      <c r="G53" s="371">
        <v>45689</v>
      </c>
      <c r="H53" s="372">
        <v>7760000</v>
      </c>
      <c r="I53" s="205"/>
      <c r="J53" s="205"/>
      <c r="K53" s="205"/>
      <c r="L53" s="251"/>
      <c r="M53" s="205"/>
      <c r="N53" s="252"/>
      <c r="O53" s="261"/>
      <c r="P53" s="252" t="s">
        <v>2616</v>
      </c>
      <c r="Q53" s="370">
        <v>7010000</v>
      </c>
      <c r="R53" s="81"/>
      <c r="S53" s="81"/>
    </row>
    <row r="54" spans="1:19">
      <c r="A54" s="198"/>
      <c r="B54" s="202"/>
      <c r="C54" s="373" t="s">
        <v>2487</v>
      </c>
      <c r="D54" s="375" t="s">
        <v>2617</v>
      </c>
      <c r="E54" s="251"/>
      <c r="F54" s="251"/>
      <c r="G54" s="371">
        <v>45717</v>
      </c>
      <c r="H54" s="372">
        <v>14900000</v>
      </c>
      <c r="I54" s="205"/>
      <c r="J54" s="205"/>
      <c r="K54" s="251"/>
      <c r="L54" s="251"/>
      <c r="M54" s="205"/>
      <c r="N54" s="261"/>
      <c r="O54" s="261"/>
      <c r="P54" s="252" t="s">
        <v>2618</v>
      </c>
      <c r="Q54" s="376">
        <v>15600000</v>
      </c>
      <c r="R54" s="81"/>
      <c r="S54" s="261"/>
    </row>
    <row r="55" spans="1:19">
      <c r="A55" s="198"/>
      <c r="B55" s="198"/>
      <c r="C55" s="260" t="s">
        <v>2551</v>
      </c>
      <c r="D55" s="256" t="s">
        <v>2619</v>
      </c>
      <c r="E55" s="198"/>
      <c r="F55" s="198"/>
      <c r="G55" s="371">
        <v>45748</v>
      </c>
      <c r="H55" s="377">
        <v>11400000</v>
      </c>
      <c r="I55" s="205"/>
      <c r="J55" s="198"/>
      <c r="K55" s="198"/>
      <c r="L55" s="198"/>
      <c r="M55" s="198"/>
      <c r="N55" s="261"/>
      <c r="O55" s="261"/>
      <c r="P55" s="252" t="s">
        <v>2620</v>
      </c>
      <c r="Q55" s="376">
        <v>14160000</v>
      </c>
      <c r="R55" s="261"/>
      <c r="S55" s="261"/>
    </row>
    <row r="56" spans="1:19">
      <c r="A56" s="198"/>
      <c r="B56" s="198"/>
      <c r="C56" s="198"/>
      <c r="D56" s="378"/>
      <c r="E56" s="198"/>
      <c r="F56" s="198"/>
      <c r="G56" s="371">
        <v>45778</v>
      </c>
      <c r="H56" s="377">
        <v>18990000</v>
      </c>
      <c r="I56" s="198"/>
      <c r="J56" s="198"/>
      <c r="K56" s="198"/>
      <c r="L56" s="198"/>
      <c r="M56" s="198"/>
      <c r="N56" s="261"/>
      <c r="O56" s="261"/>
      <c r="P56" s="252" t="s">
        <v>2621</v>
      </c>
      <c r="Q56" s="379">
        <v>3160000</v>
      </c>
      <c r="R56" s="261"/>
      <c r="S56" s="261"/>
    </row>
    <row r="57" spans="1:19">
      <c r="A57" s="198"/>
      <c r="B57" s="198"/>
      <c r="C57" s="198"/>
      <c r="D57" s="198"/>
      <c r="E57" s="198"/>
      <c r="F57" s="198"/>
      <c r="G57" s="371">
        <v>45809</v>
      </c>
      <c r="H57" s="377">
        <v>1980000</v>
      </c>
      <c r="I57" s="198"/>
      <c r="J57" s="198"/>
      <c r="K57" s="198"/>
      <c r="L57" s="198"/>
      <c r="M57" s="198"/>
      <c r="N57" s="261"/>
      <c r="O57" s="261"/>
      <c r="P57" s="252" t="s">
        <v>2622</v>
      </c>
      <c r="Q57" s="379">
        <v>19640000</v>
      </c>
      <c r="R57" s="261"/>
      <c r="S57" s="261"/>
    </row>
    <row r="58" spans="1:19">
      <c r="A58" s="198"/>
      <c r="B58" s="198"/>
      <c r="C58" s="198"/>
      <c r="D58" s="198"/>
      <c r="E58" s="198"/>
      <c r="F58" s="198"/>
      <c r="G58" s="371">
        <v>45839</v>
      </c>
      <c r="H58" s="377">
        <v>13740000</v>
      </c>
      <c r="I58" s="198"/>
      <c r="J58" s="198"/>
      <c r="K58" s="198"/>
      <c r="L58" s="198"/>
      <c r="M58" s="198"/>
      <c r="N58" s="261"/>
      <c r="O58" s="261"/>
      <c r="P58" s="252" t="s">
        <v>2623</v>
      </c>
      <c r="Q58" s="379">
        <v>16970000</v>
      </c>
      <c r="R58" s="261"/>
      <c r="S58" s="261"/>
    </row>
    <row r="59" spans="1:19">
      <c r="A59" s="198"/>
      <c r="B59" s="198"/>
      <c r="C59" s="198"/>
      <c r="D59" s="198"/>
      <c r="E59" s="198"/>
      <c r="F59" s="198"/>
      <c r="G59" s="371">
        <v>45870</v>
      </c>
      <c r="H59" s="378"/>
      <c r="I59" s="198"/>
      <c r="J59" s="198"/>
      <c r="K59" s="198"/>
      <c r="L59" s="198"/>
      <c r="M59" s="198"/>
      <c r="N59" s="261"/>
      <c r="O59" s="261"/>
      <c r="P59" s="252" t="s">
        <v>2624</v>
      </c>
      <c r="Q59" s="379">
        <v>21800000</v>
      </c>
      <c r="R59" s="261"/>
      <c r="S59" s="261"/>
    </row>
    <row r="60" spans="1:19">
      <c r="A60" s="198"/>
      <c r="B60" s="198"/>
      <c r="C60" s="198"/>
      <c r="D60" s="198"/>
      <c r="E60" s="198"/>
      <c r="F60" s="198"/>
      <c r="G60" s="371">
        <v>45901</v>
      </c>
      <c r="H60" s="378">
        <v>6970000</v>
      </c>
      <c r="I60" s="198"/>
      <c r="J60" s="198"/>
      <c r="K60" s="198"/>
      <c r="L60" s="198"/>
      <c r="M60" s="198"/>
      <c r="N60" s="261"/>
      <c r="O60" s="261"/>
      <c r="P60" s="261"/>
      <c r="Q60" s="261"/>
      <c r="R60" s="261"/>
      <c r="S60" s="261"/>
    </row>
    <row r="61" spans="1:19">
      <c r="A61" s="198"/>
      <c r="B61" s="198"/>
      <c r="C61" s="198"/>
      <c r="D61" s="198"/>
      <c r="E61" s="198"/>
      <c r="F61" s="198"/>
      <c r="G61" s="371">
        <v>45931</v>
      </c>
      <c r="H61" s="378">
        <v>13740000</v>
      </c>
      <c r="I61" s="198"/>
      <c r="J61" s="198"/>
      <c r="K61" s="198"/>
      <c r="L61" s="198"/>
      <c r="M61" s="198"/>
      <c r="N61" s="261"/>
      <c r="O61" s="261"/>
      <c r="P61" s="261"/>
      <c r="Q61" s="261"/>
      <c r="R61" s="261" t="s">
        <v>2552</v>
      </c>
      <c r="S61" s="380">
        <f>SUM(Q51:Q59)</f>
        <v>118600000</v>
      </c>
    </row>
    <row r="62" spans="1:19">
      <c r="A62" s="198"/>
      <c r="B62" s="198"/>
      <c r="C62" s="198"/>
      <c r="D62" s="198"/>
      <c r="E62" s="198"/>
      <c r="F62" s="198"/>
      <c r="G62" s="381">
        <v>45962</v>
      </c>
      <c r="H62" s="378">
        <v>12640000</v>
      </c>
      <c r="I62" s="198"/>
      <c r="J62" s="198"/>
      <c r="K62" s="198"/>
      <c r="L62" s="198"/>
      <c r="M62" s="198"/>
      <c r="N62" s="261"/>
      <c r="O62" s="261"/>
      <c r="P62" s="261"/>
      <c r="Q62" s="261"/>
      <c r="R62" s="261"/>
      <c r="S62" s="261"/>
    </row>
    <row r="63" spans="1:19">
      <c r="A63" s="198"/>
      <c r="B63" s="198"/>
      <c r="C63" s="198"/>
      <c r="D63" s="198"/>
      <c r="E63" s="198"/>
      <c r="F63" s="198"/>
      <c r="G63" s="381">
        <v>45992</v>
      </c>
      <c r="H63" s="378"/>
      <c r="I63" s="198"/>
      <c r="J63" s="198"/>
      <c r="K63" s="198"/>
      <c r="L63" s="198"/>
      <c r="M63" s="198"/>
    </row>
    <row r="64" spans="1:19">
      <c r="A64" s="262"/>
      <c r="B64" s="262"/>
      <c r="C64" s="262"/>
      <c r="D64" s="262"/>
      <c r="E64" s="262"/>
      <c r="F64" s="262"/>
      <c r="G64" s="262"/>
      <c r="H64" s="262"/>
      <c r="I64" s="198" t="s">
        <v>2552</v>
      </c>
      <c r="J64" s="382">
        <f>SUM(H52:H63)</f>
        <v>106120000</v>
      </c>
      <c r="K64" s="262"/>
      <c r="L64" s="262"/>
      <c r="M64" s="262"/>
    </row>
  </sheetData>
  <mergeCells count="7">
    <mergeCell ref="C49:D49"/>
    <mergeCell ref="G51:H51"/>
    <mergeCell ref="C1:M1"/>
    <mergeCell ref="C2:M2"/>
    <mergeCell ref="E3:H3"/>
    <mergeCell ref="I3:J3"/>
    <mergeCell ref="O5:Q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58"/>
  <sheetViews>
    <sheetView workbookViewId="0"/>
  </sheetViews>
  <sheetFormatPr baseColWidth="10" defaultColWidth="12.6640625" defaultRowHeight="15.75" customHeight="1"/>
  <cols>
    <col min="1" max="1" width="4.6640625" customWidth="1"/>
    <col min="4" max="4" width="22.1640625" customWidth="1"/>
    <col min="6" max="6" width="7.6640625" customWidth="1"/>
    <col min="7" max="7" width="16" customWidth="1"/>
    <col min="9" max="9" width="10.6640625" customWidth="1"/>
    <col min="10" max="10" width="16.33203125" customWidth="1"/>
    <col min="11" max="11" width="4.5" customWidth="1"/>
    <col min="17" max="17" width="15.5" customWidth="1"/>
  </cols>
  <sheetData>
    <row r="1" spans="1:19">
      <c r="A1" s="198"/>
      <c r="B1" s="199"/>
      <c r="C1" s="493" t="s">
        <v>2625</v>
      </c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80"/>
      <c r="O1" s="261"/>
      <c r="P1" s="261"/>
      <c r="Q1" s="261"/>
      <c r="R1" s="261"/>
      <c r="S1" s="261"/>
    </row>
    <row r="2" spans="1:19">
      <c r="A2" s="198"/>
      <c r="B2" s="202"/>
      <c r="C2" s="494">
        <v>45930</v>
      </c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203"/>
      <c r="O2" s="261"/>
      <c r="P2" s="261"/>
      <c r="Q2" s="261"/>
      <c r="R2" s="261"/>
      <c r="S2" s="261"/>
    </row>
    <row r="3" spans="1:19">
      <c r="A3" s="198"/>
      <c r="B3" s="202"/>
      <c r="C3" s="204" t="s">
        <v>1384</v>
      </c>
      <c r="D3" s="205" t="s">
        <v>2626</v>
      </c>
      <c r="E3" s="493" t="s">
        <v>2490</v>
      </c>
      <c r="F3" s="482"/>
      <c r="G3" s="482"/>
      <c r="H3" s="482"/>
      <c r="I3" s="493" t="s">
        <v>30</v>
      </c>
      <c r="J3" s="482"/>
      <c r="K3" s="200"/>
      <c r="L3" s="205"/>
      <c r="M3" s="205"/>
      <c r="N3" s="81"/>
      <c r="O3" s="261"/>
      <c r="P3" s="261"/>
      <c r="Q3" s="261"/>
      <c r="R3" s="261"/>
      <c r="S3" s="261"/>
    </row>
    <row r="4" spans="1:19">
      <c r="A4" s="198"/>
      <c r="B4" s="351"/>
      <c r="C4" s="207"/>
      <c r="D4" s="208" t="e">
        <v>#N/A</v>
      </c>
      <c r="E4" s="209"/>
      <c r="F4" s="209"/>
      <c r="G4" s="209"/>
      <c r="H4" s="209"/>
      <c r="I4" s="210"/>
      <c r="J4" s="210"/>
      <c r="K4" s="210"/>
      <c r="L4" s="208" t="e">
        <v>#N/A</v>
      </c>
      <c r="M4" s="205"/>
      <c r="N4" s="81"/>
      <c r="O4" s="261"/>
      <c r="P4" s="261"/>
      <c r="Q4" s="261"/>
      <c r="R4" s="261"/>
      <c r="S4" s="261"/>
    </row>
    <row r="5" spans="1:19">
      <c r="A5" s="211" t="s">
        <v>2491</v>
      </c>
      <c r="B5" s="212" t="s">
        <v>2492</v>
      </c>
      <c r="C5" s="212" t="s">
        <v>1389</v>
      </c>
      <c r="D5" s="212" t="s">
        <v>1391</v>
      </c>
      <c r="E5" s="212" t="s">
        <v>2495</v>
      </c>
      <c r="F5" s="212" t="s">
        <v>2496</v>
      </c>
      <c r="G5" s="212" t="s">
        <v>2588</v>
      </c>
      <c r="H5" s="212" t="s">
        <v>2589</v>
      </c>
      <c r="I5" s="212" t="s">
        <v>2590</v>
      </c>
      <c r="J5" s="212" t="s">
        <v>1393</v>
      </c>
      <c r="K5" s="212" t="s">
        <v>1397</v>
      </c>
      <c r="L5" s="212" t="s">
        <v>1398</v>
      </c>
      <c r="M5" s="212" t="s">
        <v>1399</v>
      </c>
      <c r="N5" s="81"/>
      <c r="O5" s="499" t="s">
        <v>2627</v>
      </c>
      <c r="P5" s="497"/>
      <c r="Q5" s="498"/>
      <c r="R5" s="261"/>
      <c r="S5" s="261"/>
    </row>
    <row r="6" spans="1:19">
      <c r="A6" s="352">
        <v>1</v>
      </c>
      <c r="B6" s="215"/>
      <c r="C6" s="216"/>
      <c r="D6" s="217" t="e">
        <f>VLOOKUP($B6,ma!$A:$B,2,0)</f>
        <v>#N/A</v>
      </c>
      <c r="E6" s="218"/>
      <c r="F6" s="218"/>
      <c r="G6" s="218"/>
      <c r="H6" s="218"/>
      <c r="I6" s="219">
        <v>900000</v>
      </c>
      <c r="J6" s="218" t="s">
        <v>2628</v>
      </c>
      <c r="K6" s="276">
        <v>1</v>
      </c>
      <c r="L6" s="221" t="e">
        <f>VLOOKUP($B6,ma!$A:$C,3,0)</f>
        <v>#N/A</v>
      </c>
      <c r="M6" s="221" t="e">
        <f>VLOOKUP($B6,ma!$A:$C,3,0)</f>
        <v>#N/A</v>
      </c>
      <c r="N6" s="81"/>
      <c r="O6" s="353">
        <v>45667</v>
      </c>
      <c r="P6" s="354">
        <v>426000000</v>
      </c>
      <c r="Q6" s="355" t="s">
        <v>2600</v>
      </c>
      <c r="R6" s="261"/>
      <c r="S6" s="261"/>
    </row>
    <row r="7" spans="1:19">
      <c r="A7" s="352">
        <v>2</v>
      </c>
      <c r="B7" s="215"/>
      <c r="C7" s="216"/>
      <c r="D7" s="217" t="e">
        <f>VLOOKUP($B7,ma!$A:$B,2,0)</f>
        <v>#N/A</v>
      </c>
      <c r="E7" s="218"/>
      <c r="F7" s="218"/>
      <c r="G7" s="218"/>
      <c r="H7" s="218"/>
      <c r="I7" s="219"/>
      <c r="J7" s="218"/>
      <c r="K7" s="276">
        <v>1</v>
      </c>
      <c r="L7" s="221" t="e">
        <f>VLOOKUP($B7,ma!$A:$C,3,0)</f>
        <v>#N/A</v>
      </c>
      <c r="M7" s="221" t="e">
        <f>VLOOKUP($B7,ma!$A:$C,3,0)</f>
        <v>#N/A</v>
      </c>
      <c r="N7" s="81"/>
      <c r="O7" s="353">
        <v>45667</v>
      </c>
      <c r="P7" s="354">
        <v>1000000</v>
      </c>
      <c r="Q7" s="355" t="s">
        <v>2629</v>
      </c>
      <c r="R7" s="261"/>
      <c r="S7" s="261"/>
    </row>
    <row r="8" spans="1:19">
      <c r="A8" s="352">
        <v>3</v>
      </c>
      <c r="B8" s="215"/>
      <c r="C8" s="216"/>
      <c r="D8" s="217" t="e">
        <f>VLOOKUP($B8,ma!$A:$B,2,0)</f>
        <v>#N/A</v>
      </c>
      <c r="E8" s="218"/>
      <c r="F8" s="218"/>
      <c r="G8" s="218"/>
      <c r="H8" s="218"/>
      <c r="I8" s="219"/>
      <c r="J8" s="218"/>
      <c r="K8" s="276">
        <v>1</v>
      </c>
      <c r="L8" s="221" t="e">
        <f>VLOOKUP($B8,ma!$A:$C,3,0)</f>
        <v>#N/A</v>
      </c>
      <c r="M8" s="221" t="e">
        <f>VLOOKUP($B8,ma!$A:$C,3,0)</f>
        <v>#N/A</v>
      </c>
      <c r="N8" s="81"/>
      <c r="O8" s="383">
        <v>45669</v>
      </c>
      <c r="P8" s="357">
        <v>2460000</v>
      </c>
      <c r="Q8" s="358" t="s">
        <v>2630</v>
      </c>
      <c r="R8" s="261"/>
      <c r="S8" s="261"/>
    </row>
    <row r="9" spans="1:19">
      <c r="A9" s="352">
        <v>4</v>
      </c>
      <c r="B9" s="215"/>
      <c r="C9" s="216"/>
      <c r="D9" s="217" t="e">
        <f>VLOOKUP($B9,ma!$A:$B,2,0)</f>
        <v>#N/A</v>
      </c>
      <c r="E9" s="218"/>
      <c r="F9" s="218"/>
      <c r="G9" s="218"/>
      <c r="H9" s="218"/>
      <c r="I9" s="219"/>
      <c r="J9" s="218"/>
      <c r="K9" s="276">
        <v>1</v>
      </c>
      <c r="L9" s="221" t="e">
        <f>VLOOKUP($B9,ma!$A:$C,3,0)</f>
        <v>#N/A</v>
      </c>
      <c r="M9" s="221" t="e">
        <f>VLOOKUP($B9,ma!$A:$C,3,0)</f>
        <v>#N/A</v>
      </c>
      <c r="N9" s="81"/>
      <c r="O9" s="383">
        <v>45669</v>
      </c>
      <c r="P9" s="357">
        <v>5450000</v>
      </c>
      <c r="Q9" s="358" t="s">
        <v>2631</v>
      </c>
      <c r="R9" s="261"/>
      <c r="S9" s="261"/>
    </row>
    <row r="10" spans="1:19">
      <c r="A10" s="352">
        <v>5</v>
      </c>
      <c r="B10" s="215"/>
      <c r="C10" s="216"/>
      <c r="D10" s="217" t="e">
        <f>VLOOKUP($B10,ma!$A:$B,2,0)</f>
        <v>#N/A</v>
      </c>
      <c r="E10" s="218"/>
      <c r="F10" s="218"/>
      <c r="G10" s="218"/>
      <c r="H10" s="218"/>
      <c r="I10" s="219"/>
      <c r="J10" s="218"/>
      <c r="K10" s="276">
        <v>1</v>
      </c>
      <c r="L10" s="221" t="e">
        <f>VLOOKUP($B10,ma!$A:$C,3,0)</f>
        <v>#N/A</v>
      </c>
      <c r="M10" s="221" t="e">
        <f>VLOOKUP($B10,ma!$A:$C,3,0)</f>
        <v>#N/A</v>
      </c>
      <c r="N10" s="81"/>
      <c r="O10" s="383">
        <v>45669</v>
      </c>
      <c r="P10" s="357">
        <v>3500000</v>
      </c>
      <c r="Q10" s="358" t="s">
        <v>2632</v>
      </c>
      <c r="R10" s="261"/>
      <c r="S10" s="261"/>
    </row>
    <row r="11" spans="1:19">
      <c r="A11" s="352">
        <v>6</v>
      </c>
      <c r="B11" s="215"/>
      <c r="C11" s="216"/>
      <c r="D11" s="217" t="e">
        <f>VLOOKUP($B11,ma!$A:$B,2,0)</f>
        <v>#N/A</v>
      </c>
      <c r="E11" s="218"/>
      <c r="F11" s="218"/>
      <c r="G11" s="218"/>
      <c r="H11" s="218"/>
      <c r="I11" s="219"/>
      <c r="J11" s="218"/>
      <c r="K11" s="276">
        <v>1</v>
      </c>
      <c r="L11" s="221" t="e">
        <f>VLOOKUP($B11,ma!$A:$C,3,0)</f>
        <v>#N/A</v>
      </c>
      <c r="M11" s="221" t="e">
        <f>VLOOKUP($B11,ma!$A:$C,3,0)</f>
        <v>#N/A</v>
      </c>
      <c r="N11" s="81"/>
      <c r="O11" s="384">
        <v>45671</v>
      </c>
      <c r="P11" s="357">
        <v>1280000</v>
      </c>
      <c r="Q11" s="358" t="s">
        <v>2565</v>
      </c>
      <c r="R11" s="261"/>
      <c r="S11" s="261"/>
    </row>
    <row r="12" spans="1:19">
      <c r="A12" s="352">
        <v>7</v>
      </c>
      <c r="B12" s="215"/>
      <c r="C12" s="216"/>
      <c r="D12" s="217" t="e">
        <f>VLOOKUP($B12,ma!$A:$B,2,0)</f>
        <v>#N/A</v>
      </c>
      <c r="E12" s="218"/>
      <c r="F12" s="218"/>
      <c r="G12" s="218"/>
      <c r="H12" s="218"/>
      <c r="I12" s="219"/>
      <c r="J12" s="218"/>
      <c r="K12" s="276">
        <v>1</v>
      </c>
      <c r="L12" s="221" t="e">
        <f>VLOOKUP($B12,ma!$A:$C,3,0)</f>
        <v>#N/A</v>
      </c>
      <c r="M12" s="221" t="e">
        <f>VLOOKUP($B12,ma!$A:$C,3,0)</f>
        <v>#N/A</v>
      </c>
      <c r="N12" s="81"/>
      <c r="O12" s="384">
        <v>45672</v>
      </c>
      <c r="P12" s="359">
        <v>640000</v>
      </c>
      <c r="Q12" s="360" t="s">
        <v>2633</v>
      </c>
      <c r="R12" s="261"/>
      <c r="S12" s="261"/>
    </row>
    <row r="13" spans="1:19">
      <c r="A13" s="352">
        <v>8</v>
      </c>
      <c r="B13" s="215"/>
      <c r="C13" s="216"/>
      <c r="D13" s="217" t="e">
        <f>VLOOKUP($B13,ma!$A:$B,2,0)</f>
        <v>#N/A</v>
      </c>
      <c r="E13" s="218"/>
      <c r="F13" s="218"/>
      <c r="G13" s="218"/>
      <c r="H13" s="218"/>
      <c r="I13" s="219"/>
      <c r="J13" s="218"/>
      <c r="K13" s="276">
        <v>1</v>
      </c>
      <c r="L13" s="221" t="e">
        <f>VLOOKUP($B13,ma!$A:$C,3,0)</f>
        <v>#N/A</v>
      </c>
      <c r="M13" s="221" t="e">
        <f>VLOOKUP($B13,ma!$A:$C,3,0)</f>
        <v>#N/A</v>
      </c>
      <c r="N13" s="81"/>
      <c r="O13" s="384">
        <v>45673</v>
      </c>
      <c r="P13" s="359">
        <v>500000</v>
      </c>
      <c r="Q13" s="361" t="s">
        <v>2634</v>
      </c>
      <c r="R13" s="261"/>
      <c r="S13" s="261"/>
    </row>
    <row r="14" spans="1:19">
      <c r="A14" s="352">
        <v>9</v>
      </c>
      <c r="B14" s="215"/>
      <c r="C14" s="216"/>
      <c r="D14" s="217" t="e">
        <f>VLOOKUP($B14,ma!$A:$B,2,0)</f>
        <v>#N/A</v>
      </c>
      <c r="E14" s="218"/>
      <c r="F14" s="218"/>
      <c r="G14" s="218"/>
      <c r="H14" s="218"/>
      <c r="I14" s="219"/>
      <c r="J14" s="218"/>
      <c r="K14" s="276">
        <v>1</v>
      </c>
      <c r="L14" s="221" t="e">
        <f>VLOOKUP($B14,ma!$A:$C,3,0)</f>
        <v>#N/A</v>
      </c>
      <c r="M14" s="221" t="e">
        <f>VLOOKUP($B14,ma!$A:$C,3,0)</f>
        <v>#N/A</v>
      </c>
      <c r="N14" s="81"/>
      <c r="O14" s="385">
        <v>45675</v>
      </c>
      <c r="P14" s="362">
        <v>3450000</v>
      </c>
      <c r="Q14" s="361" t="s">
        <v>2635</v>
      </c>
      <c r="R14" s="261"/>
      <c r="S14" s="261"/>
    </row>
    <row r="15" spans="1:19">
      <c r="A15" s="352">
        <v>10</v>
      </c>
      <c r="B15" s="215"/>
      <c r="C15" s="216"/>
      <c r="D15" s="217" t="e">
        <f>VLOOKUP($B15,ma!$A:$B,2,0)</f>
        <v>#N/A</v>
      </c>
      <c r="E15" s="218"/>
      <c r="F15" s="218"/>
      <c r="G15" s="218"/>
      <c r="H15" s="218"/>
      <c r="I15" s="219"/>
      <c r="J15" s="218"/>
      <c r="K15" s="276">
        <v>1</v>
      </c>
      <c r="L15" s="221" t="e">
        <f>VLOOKUP($B15,ma!$A:$C,3,0)</f>
        <v>#N/A</v>
      </c>
      <c r="M15" s="221" t="e">
        <f>VLOOKUP($B15,ma!$A:$C,3,0)</f>
        <v>#N/A</v>
      </c>
      <c r="N15" s="81"/>
      <c r="O15" s="385">
        <v>45676</v>
      </c>
      <c r="P15" s="362">
        <v>830000</v>
      </c>
      <c r="Q15" s="361" t="s">
        <v>2636</v>
      </c>
      <c r="R15" s="261"/>
      <c r="S15" s="261"/>
    </row>
    <row r="16" spans="1:19">
      <c r="A16" s="352">
        <v>11</v>
      </c>
      <c r="B16" s="215"/>
      <c r="C16" s="216"/>
      <c r="D16" s="217" t="e">
        <f>VLOOKUP($B16,ma!$A:$B,2,0)</f>
        <v>#N/A</v>
      </c>
      <c r="E16" s="218"/>
      <c r="F16" s="218"/>
      <c r="G16" s="218"/>
      <c r="H16" s="218"/>
      <c r="I16" s="219"/>
      <c r="J16" s="218"/>
      <c r="K16" s="276">
        <v>1</v>
      </c>
      <c r="L16" s="221" t="e">
        <f>VLOOKUP($B16,ma!$A:$C,3,0)</f>
        <v>#N/A</v>
      </c>
      <c r="M16" s="221" t="e">
        <f>VLOOKUP($B16,ma!$A:$C,3,0)</f>
        <v>#N/A</v>
      </c>
      <c r="N16" s="81"/>
      <c r="O16" s="386"/>
      <c r="P16" s="362"/>
      <c r="Q16" s="361"/>
      <c r="R16" s="261"/>
      <c r="S16" s="261"/>
    </row>
    <row r="17" spans="1:19">
      <c r="A17" s="352">
        <v>12</v>
      </c>
      <c r="B17" s="215"/>
      <c r="C17" s="216"/>
      <c r="D17" s="217" t="e">
        <f>VLOOKUP($B17,ma!$A:$B,2,0)</f>
        <v>#N/A</v>
      </c>
      <c r="E17" s="218"/>
      <c r="F17" s="218"/>
      <c r="G17" s="218"/>
      <c r="H17" s="218"/>
      <c r="I17" s="219"/>
      <c r="J17" s="218"/>
      <c r="K17" s="276">
        <v>1</v>
      </c>
      <c r="L17" s="221" t="e">
        <f>VLOOKUP($B17,ma!$A:$C,3,0)</f>
        <v>#N/A</v>
      </c>
      <c r="M17" s="221" t="e">
        <f>VLOOKUP($B17,ma!$A:$C,3,0)</f>
        <v>#N/A</v>
      </c>
      <c r="N17" s="81"/>
      <c r="O17" s="386"/>
      <c r="P17" s="362"/>
      <c r="Q17" s="361"/>
      <c r="R17" s="261"/>
      <c r="S17" s="261"/>
    </row>
    <row r="18" spans="1:19">
      <c r="A18" s="352">
        <v>13</v>
      </c>
      <c r="B18" s="215"/>
      <c r="C18" s="216"/>
      <c r="D18" s="217" t="e">
        <f>VLOOKUP($B18,ma!$A:$B,2,0)</f>
        <v>#N/A</v>
      </c>
      <c r="E18" s="218"/>
      <c r="F18" s="218"/>
      <c r="G18" s="218"/>
      <c r="H18" s="218"/>
      <c r="I18" s="219"/>
      <c r="J18" s="218"/>
      <c r="K18" s="276">
        <v>1</v>
      </c>
      <c r="L18" s="221" t="e">
        <f>VLOOKUP($B18,ma!$A:$C,3,0)</f>
        <v>#N/A</v>
      </c>
      <c r="M18" s="221" t="e">
        <f>VLOOKUP($B18,ma!$A:$C,3,0)</f>
        <v>#N/A</v>
      </c>
      <c r="N18" s="81"/>
      <c r="O18" s="386"/>
      <c r="P18" s="362"/>
      <c r="Q18" s="361"/>
      <c r="R18" s="261"/>
      <c r="S18" s="261"/>
    </row>
    <row r="19" spans="1:19">
      <c r="A19" s="352">
        <v>14</v>
      </c>
      <c r="B19" s="215"/>
      <c r="C19" s="216"/>
      <c r="D19" s="217" t="e">
        <f>VLOOKUP($B19,ma!$A:$B,2,0)</f>
        <v>#N/A</v>
      </c>
      <c r="E19" s="218"/>
      <c r="F19" s="218"/>
      <c r="G19" s="218"/>
      <c r="H19" s="218"/>
      <c r="I19" s="219"/>
      <c r="J19" s="218"/>
      <c r="K19" s="276">
        <v>1</v>
      </c>
      <c r="L19" s="221" t="e">
        <f>VLOOKUP($B19,ma!$A:$C,3,0)</f>
        <v>#N/A</v>
      </c>
      <c r="M19" s="221" t="e">
        <f>VLOOKUP($B19,ma!$A:$C,3,0)</f>
        <v>#N/A</v>
      </c>
      <c r="N19" s="81"/>
      <c r="O19" s="386"/>
      <c r="P19" s="362"/>
      <c r="Q19" s="361"/>
      <c r="R19" s="261"/>
      <c r="S19" s="261"/>
    </row>
    <row r="20" spans="1:19">
      <c r="A20" s="352">
        <v>15</v>
      </c>
      <c r="B20" s="215"/>
      <c r="C20" s="216"/>
      <c r="D20" s="217" t="e">
        <f>VLOOKUP($B20,ma!$A:$B,2,0)</f>
        <v>#N/A</v>
      </c>
      <c r="E20" s="218"/>
      <c r="F20" s="218"/>
      <c r="G20" s="218"/>
      <c r="H20" s="218"/>
      <c r="I20" s="219"/>
      <c r="J20" s="218"/>
      <c r="K20" s="276">
        <v>1</v>
      </c>
      <c r="L20" s="221" t="e">
        <f>VLOOKUP($B20,ma!$A:$C,3,0)</f>
        <v>#N/A</v>
      </c>
      <c r="M20" s="221" t="e">
        <f>VLOOKUP($B20,ma!$A:$C,3,0)</f>
        <v>#N/A</v>
      </c>
      <c r="N20" s="81"/>
      <c r="O20" s="386"/>
      <c r="P20" s="362"/>
      <c r="Q20" s="361"/>
      <c r="R20" s="261"/>
      <c r="S20" s="261"/>
    </row>
    <row r="21" spans="1:19">
      <c r="A21" s="352">
        <v>16</v>
      </c>
      <c r="B21" s="215"/>
      <c r="C21" s="216"/>
      <c r="D21" s="217" t="e">
        <f>VLOOKUP($B21,ma!$A:$B,2,0)</f>
        <v>#N/A</v>
      </c>
      <c r="E21" s="218"/>
      <c r="F21" s="218"/>
      <c r="G21" s="218"/>
      <c r="H21" s="218"/>
      <c r="I21" s="219"/>
      <c r="J21" s="218"/>
      <c r="K21" s="276">
        <v>1</v>
      </c>
      <c r="L21" s="221" t="e">
        <f>VLOOKUP($B21,ma!$A:$C,3,0)</f>
        <v>#N/A</v>
      </c>
      <c r="M21" s="221" t="e">
        <f>VLOOKUP($B21,ma!$A:$C,3,0)</f>
        <v>#N/A</v>
      </c>
      <c r="N21" s="81"/>
      <c r="O21" s="386"/>
      <c r="P21" s="362"/>
      <c r="Q21" s="361"/>
      <c r="R21" s="261"/>
      <c r="S21" s="261"/>
    </row>
    <row r="22" spans="1:19">
      <c r="A22" s="352">
        <v>17</v>
      </c>
      <c r="B22" s="215"/>
      <c r="C22" s="216"/>
      <c r="D22" s="217" t="e">
        <f>VLOOKUP($B22,ma!$A:$B,2,0)</f>
        <v>#N/A</v>
      </c>
      <c r="E22" s="218"/>
      <c r="F22" s="218"/>
      <c r="G22" s="218"/>
      <c r="H22" s="218"/>
      <c r="I22" s="219"/>
      <c r="J22" s="218"/>
      <c r="K22" s="276">
        <v>1</v>
      </c>
      <c r="L22" s="221" t="e">
        <f>VLOOKUP($B22,ma!$A:$C,3,0)</f>
        <v>#N/A</v>
      </c>
      <c r="M22" s="221" t="e">
        <f>VLOOKUP($B22,ma!$A:$C,3,0)</f>
        <v>#N/A</v>
      </c>
      <c r="N22" s="81"/>
      <c r="O22" s="386"/>
      <c r="P22" s="362"/>
      <c r="Q22" s="361"/>
      <c r="R22" s="261"/>
      <c r="S22" s="261"/>
    </row>
    <row r="23" spans="1:19">
      <c r="A23" s="352">
        <v>18</v>
      </c>
      <c r="B23" s="215"/>
      <c r="C23" s="216"/>
      <c r="D23" s="217" t="e">
        <f>VLOOKUP($B23,ma!$A:$B,2,0)</f>
        <v>#N/A</v>
      </c>
      <c r="E23" s="218"/>
      <c r="F23" s="218"/>
      <c r="G23" s="218"/>
      <c r="H23" s="218"/>
      <c r="I23" s="219"/>
      <c r="J23" s="218"/>
      <c r="K23" s="276">
        <v>1</v>
      </c>
      <c r="L23" s="221" t="e">
        <f>VLOOKUP($B23,ma!$A:$C,3,0)</f>
        <v>#N/A</v>
      </c>
      <c r="M23" s="221" t="e">
        <f>VLOOKUP($B23,ma!$A:$C,3,0)</f>
        <v>#N/A</v>
      </c>
      <c r="N23" s="81"/>
      <c r="O23" s="386"/>
      <c r="P23" s="362"/>
      <c r="Q23" s="361"/>
      <c r="R23" s="261"/>
      <c r="S23" s="261"/>
    </row>
    <row r="24" spans="1:19">
      <c r="A24" s="352">
        <v>19</v>
      </c>
      <c r="B24" s="215"/>
      <c r="C24" s="216"/>
      <c r="D24" s="217" t="e">
        <f>VLOOKUP($B24,ma!$A:$B,2,0)</f>
        <v>#N/A</v>
      </c>
      <c r="E24" s="218"/>
      <c r="F24" s="218"/>
      <c r="G24" s="218"/>
      <c r="H24" s="218"/>
      <c r="I24" s="219"/>
      <c r="J24" s="218"/>
      <c r="K24" s="276">
        <v>1</v>
      </c>
      <c r="L24" s="221" t="e">
        <f>VLOOKUP($B24,ma!$A:$C,3,0)</f>
        <v>#N/A</v>
      </c>
      <c r="M24" s="221" t="e">
        <f>VLOOKUP($B24,ma!$A:$C,3,0)</f>
        <v>#N/A</v>
      </c>
      <c r="N24" s="81"/>
      <c r="O24" s="386"/>
      <c r="P24" s="362"/>
      <c r="Q24" s="361"/>
      <c r="R24" s="261"/>
      <c r="S24" s="261"/>
    </row>
    <row r="25" spans="1:19">
      <c r="A25" s="352">
        <v>20</v>
      </c>
      <c r="B25" s="215"/>
      <c r="C25" s="216"/>
      <c r="D25" s="217" t="e">
        <f>VLOOKUP($B25,ma!$A:$B,2,0)</f>
        <v>#N/A</v>
      </c>
      <c r="E25" s="218"/>
      <c r="F25" s="218"/>
      <c r="G25" s="218"/>
      <c r="H25" s="218"/>
      <c r="I25" s="219"/>
      <c r="J25" s="218"/>
      <c r="K25" s="276">
        <v>1</v>
      </c>
      <c r="L25" s="221" t="e">
        <f>VLOOKUP($B25,ma!$A:$C,3,0)</f>
        <v>#N/A</v>
      </c>
      <c r="M25" s="221" t="e">
        <f>VLOOKUP($B25,ma!$A:$C,3,0)</f>
        <v>#N/A</v>
      </c>
      <c r="N25" s="81"/>
      <c r="O25" s="386"/>
      <c r="P25" s="362"/>
      <c r="Q25" s="361"/>
      <c r="R25" s="261"/>
      <c r="S25" s="261"/>
    </row>
    <row r="26" spans="1:19">
      <c r="A26" s="352">
        <v>21</v>
      </c>
      <c r="B26" s="215"/>
      <c r="C26" s="216"/>
      <c r="D26" s="217" t="e">
        <f>VLOOKUP($B26,ma!$A:$B,2,0)</f>
        <v>#N/A</v>
      </c>
      <c r="E26" s="218"/>
      <c r="F26" s="218"/>
      <c r="G26" s="218"/>
      <c r="H26" s="218"/>
      <c r="I26" s="219"/>
      <c r="J26" s="218"/>
      <c r="K26" s="276">
        <v>1</v>
      </c>
      <c r="L26" s="221" t="e">
        <f>VLOOKUP($B26,ma!$A:$C,3,0)</f>
        <v>#N/A</v>
      </c>
      <c r="M26" s="221" t="e">
        <f>VLOOKUP($B26,ma!$A:$C,3,0)</f>
        <v>#N/A</v>
      </c>
      <c r="N26" s="81"/>
      <c r="O26" s="386"/>
      <c r="P26" s="362"/>
      <c r="Q26" s="361"/>
      <c r="R26" s="261"/>
      <c r="S26" s="261"/>
    </row>
    <row r="27" spans="1:19">
      <c r="A27" s="352">
        <v>22</v>
      </c>
      <c r="B27" s="215"/>
      <c r="C27" s="216"/>
      <c r="D27" s="217" t="e">
        <f>VLOOKUP($B27,ma!$A:$B,2,0)</f>
        <v>#N/A</v>
      </c>
      <c r="E27" s="218"/>
      <c r="F27" s="218"/>
      <c r="G27" s="218"/>
      <c r="H27" s="218"/>
      <c r="I27" s="219"/>
      <c r="J27" s="218"/>
      <c r="K27" s="276">
        <v>1</v>
      </c>
      <c r="L27" s="221" t="e">
        <f>VLOOKUP($B27,ma!$A:$C,3,0)</f>
        <v>#N/A</v>
      </c>
      <c r="M27" s="221" t="e">
        <f>VLOOKUP($B27,ma!$A:$C,3,0)</f>
        <v>#N/A</v>
      </c>
      <c r="N27" s="81"/>
      <c r="O27" s="386"/>
      <c r="P27" s="362"/>
      <c r="Q27" s="361"/>
      <c r="R27" s="261"/>
      <c r="S27" s="261"/>
    </row>
    <row r="28" spans="1:19">
      <c r="A28" s="352">
        <v>23</v>
      </c>
      <c r="B28" s="215"/>
      <c r="C28" s="216"/>
      <c r="D28" s="217" t="e">
        <f>VLOOKUP($B28,ma!$A:$B,2,0)</f>
        <v>#N/A</v>
      </c>
      <c r="E28" s="218"/>
      <c r="F28" s="218"/>
      <c r="G28" s="218"/>
      <c r="H28" s="218"/>
      <c r="I28" s="219"/>
      <c r="J28" s="218"/>
      <c r="K28" s="276">
        <v>1</v>
      </c>
      <c r="L28" s="221" t="e">
        <f>VLOOKUP($B28,ma!$A:$C,3,0)</f>
        <v>#N/A</v>
      </c>
      <c r="M28" s="221" t="e">
        <f>VLOOKUP($B28,ma!$A:$C,3,0)</f>
        <v>#N/A</v>
      </c>
      <c r="N28" s="81"/>
      <c r="O28" s="386"/>
      <c r="P28" s="362"/>
      <c r="Q28" s="361"/>
      <c r="R28" s="261"/>
      <c r="S28" s="261"/>
    </row>
    <row r="29" spans="1:19">
      <c r="A29" s="352">
        <v>24</v>
      </c>
      <c r="B29" s="215"/>
      <c r="C29" s="216"/>
      <c r="D29" s="217" t="e">
        <f>VLOOKUP($B29,ma!$A:$B,2,0)</f>
        <v>#N/A</v>
      </c>
      <c r="E29" s="218"/>
      <c r="F29" s="218"/>
      <c r="G29" s="218"/>
      <c r="H29" s="218"/>
      <c r="I29" s="219"/>
      <c r="J29" s="218"/>
      <c r="K29" s="276">
        <v>1</v>
      </c>
      <c r="L29" s="221" t="e">
        <f>VLOOKUP($B29,ma!$A:$C,3,0)</f>
        <v>#N/A</v>
      </c>
      <c r="M29" s="221" t="e">
        <f>VLOOKUP($B29,ma!$A:$C,3,0)</f>
        <v>#N/A</v>
      </c>
      <c r="N29" s="81"/>
      <c r="O29" s="386"/>
      <c r="P29" s="362"/>
      <c r="Q29" s="361"/>
      <c r="R29" s="261"/>
      <c r="S29" s="261"/>
    </row>
    <row r="30" spans="1:19">
      <c r="A30" s="352">
        <v>25</v>
      </c>
      <c r="B30" s="215"/>
      <c r="C30" s="216"/>
      <c r="D30" s="217" t="e">
        <f>VLOOKUP($B30,ma!$A:$B,2,0)</f>
        <v>#N/A</v>
      </c>
      <c r="E30" s="218"/>
      <c r="F30" s="218"/>
      <c r="G30" s="218"/>
      <c r="H30" s="218"/>
      <c r="I30" s="219"/>
      <c r="J30" s="218"/>
      <c r="K30" s="276">
        <v>1</v>
      </c>
      <c r="L30" s="221" t="e">
        <f>VLOOKUP($B30,ma!$A:$C,3,0)</f>
        <v>#N/A</v>
      </c>
      <c r="M30" s="221" t="e">
        <f>VLOOKUP($B30,ma!$A:$C,3,0)</f>
        <v>#N/A</v>
      </c>
      <c r="N30" s="81"/>
      <c r="O30" s="386"/>
      <c r="P30" s="362"/>
      <c r="Q30" s="361"/>
      <c r="R30" s="261"/>
      <c r="S30" s="261"/>
    </row>
    <row r="31" spans="1:19">
      <c r="A31" s="352">
        <v>26</v>
      </c>
      <c r="B31" s="215"/>
      <c r="C31" s="216"/>
      <c r="D31" s="217" t="e">
        <f>VLOOKUP($B31,ma!$A:$B,2,0)</f>
        <v>#N/A</v>
      </c>
      <c r="E31" s="218"/>
      <c r="F31" s="218"/>
      <c r="G31" s="218"/>
      <c r="H31" s="218"/>
      <c r="I31" s="219"/>
      <c r="J31" s="218"/>
      <c r="K31" s="276">
        <v>1</v>
      </c>
      <c r="L31" s="221" t="e">
        <f>VLOOKUP($B31,ma!$A:$C,3,0)</f>
        <v>#N/A</v>
      </c>
      <c r="M31" s="221" t="e">
        <f>VLOOKUP($B31,ma!$A:$C,3,0)</f>
        <v>#N/A</v>
      </c>
      <c r="N31" s="81"/>
      <c r="O31" s="386"/>
      <c r="P31" s="362"/>
      <c r="Q31" s="361"/>
      <c r="R31" s="261"/>
      <c r="S31" s="261"/>
    </row>
    <row r="32" spans="1:19">
      <c r="A32" s="352">
        <v>27</v>
      </c>
      <c r="B32" s="215"/>
      <c r="C32" s="216"/>
      <c r="D32" s="217" t="e">
        <f>VLOOKUP($B32,ma!$A:$B,2,0)</f>
        <v>#N/A</v>
      </c>
      <c r="E32" s="218"/>
      <c r="F32" s="218"/>
      <c r="G32" s="218"/>
      <c r="H32" s="218"/>
      <c r="I32" s="219"/>
      <c r="J32" s="218"/>
      <c r="K32" s="276">
        <v>1</v>
      </c>
      <c r="L32" s="221" t="e">
        <f>VLOOKUP($B32,ma!$A:$C,3,0)</f>
        <v>#N/A</v>
      </c>
      <c r="M32" s="221" t="e">
        <f>VLOOKUP($B32,ma!$A:$C,3,0)</f>
        <v>#N/A</v>
      </c>
      <c r="N32" s="81"/>
      <c r="O32" s="386"/>
      <c r="P32" s="362"/>
      <c r="Q32" s="361"/>
      <c r="R32" s="261"/>
      <c r="S32" s="261"/>
    </row>
    <row r="33" spans="1:19">
      <c r="A33" s="352">
        <v>28</v>
      </c>
      <c r="B33" s="215"/>
      <c r="C33" s="216"/>
      <c r="D33" s="217" t="e">
        <f>VLOOKUP($B33,ma!$A:$B,2,0)</f>
        <v>#N/A</v>
      </c>
      <c r="E33" s="218"/>
      <c r="F33" s="218"/>
      <c r="G33" s="218"/>
      <c r="H33" s="218"/>
      <c r="I33" s="219"/>
      <c r="J33" s="218"/>
      <c r="K33" s="276">
        <v>1</v>
      </c>
      <c r="L33" s="221" t="e">
        <f>VLOOKUP($B33,ma!$A:$C,3,0)</f>
        <v>#N/A</v>
      </c>
      <c r="M33" s="221" t="e">
        <f>VLOOKUP($B33,ma!$A:$C,3,0)</f>
        <v>#N/A</v>
      </c>
      <c r="N33" s="81"/>
      <c r="O33" s="386"/>
      <c r="P33" s="362"/>
      <c r="Q33" s="361"/>
      <c r="R33" s="261"/>
      <c r="S33" s="261"/>
    </row>
    <row r="34" spans="1:19">
      <c r="A34" s="352">
        <v>29</v>
      </c>
      <c r="B34" s="387"/>
      <c r="C34" s="216"/>
      <c r="D34" s="217" t="e">
        <f>VLOOKUP($B34,ma!$A:$B,2,0)</f>
        <v>#N/A</v>
      </c>
      <c r="E34" s="218"/>
      <c r="F34" s="218"/>
      <c r="G34" s="218"/>
      <c r="H34" s="218"/>
      <c r="I34" s="219"/>
      <c r="J34" s="218"/>
      <c r="K34" s="276">
        <v>1</v>
      </c>
      <c r="L34" s="221" t="e">
        <f>VLOOKUP($B34,ma!$A:$C,3,0)</f>
        <v>#N/A</v>
      </c>
      <c r="M34" s="221" t="e">
        <f>VLOOKUP($B34,ma!$A:$C,3,0)</f>
        <v>#N/A</v>
      </c>
      <c r="N34" s="81"/>
      <c r="O34" s="386"/>
      <c r="P34" s="362"/>
      <c r="Q34" s="361"/>
      <c r="R34" s="261"/>
      <c r="S34" s="261"/>
    </row>
    <row r="35" spans="1:19">
      <c r="A35" s="352">
        <v>30</v>
      </c>
      <c r="B35" s="388"/>
      <c r="C35" s="216"/>
      <c r="D35" s="217" t="e">
        <f>VLOOKUP($B35,ma!$A:$B,2,0)</f>
        <v>#N/A</v>
      </c>
      <c r="E35" s="218"/>
      <c r="F35" s="218"/>
      <c r="G35" s="218"/>
      <c r="H35" s="218"/>
      <c r="I35" s="219"/>
      <c r="J35" s="218"/>
      <c r="K35" s="276">
        <v>1</v>
      </c>
      <c r="L35" s="221" t="e">
        <f>VLOOKUP($B35,ma!$A:$C,3,0)</f>
        <v>#N/A</v>
      </c>
      <c r="M35" s="221" t="e">
        <f>VLOOKUP($B35,ma!$A:$C,3,0)</f>
        <v>#N/A</v>
      </c>
      <c r="N35" s="81"/>
      <c r="O35" s="386"/>
      <c r="P35" s="362"/>
      <c r="Q35" s="361"/>
      <c r="R35" s="261"/>
      <c r="S35" s="261"/>
    </row>
    <row r="36" spans="1:19">
      <c r="A36" s="352">
        <v>31</v>
      </c>
      <c r="B36" s="215"/>
      <c r="C36" s="216"/>
      <c r="D36" s="217" t="e">
        <f>VLOOKUP($B36,ma!$A:$B,2,0)</f>
        <v>#N/A</v>
      </c>
      <c r="E36" s="218"/>
      <c r="F36" s="218"/>
      <c r="G36" s="218"/>
      <c r="H36" s="218"/>
      <c r="I36" s="219"/>
      <c r="J36" s="218"/>
      <c r="K36" s="276">
        <v>1</v>
      </c>
      <c r="L36" s="221" t="e">
        <f>VLOOKUP($B36,ma!$A:$C,3,0)</f>
        <v>#N/A</v>
      </c>
      <c r="M36" s="221" t="e">
        <f>VLOOKUP($B36,ma!$A:$C,3,0)</f>
        <v>#N/A</v>
      </c>
      <c r="N36" s="81"/>
      <c r="O36" s="385"/>
      <c r="P36" s="362"/>
      <c r="Q36" s="361"/>
      <c r="R36" s="261"/>
      <c r="S36" s="261"/>
    </row>
    <row r="37" spans="1:19">
      <c r="A37" s="352">
        <v>32</v>
      </c>
      <c r="B37" s="215"/>
      <c r="C37" s="216"/>
      <c r="D37" s="217" t="e">
        <f>VLOOKUP($B37,ma!$A:$B,2,0)</f>
        <v>#N/A</v>
      </c>
      <c r="E37" s="218"/>
      <c r="F37" s="218"/>
      <c r="G37" s="218"/>
      <c r="H37" s="218"/>
      <c r="I37" s="219"/>
      <c r="J37" s="218"/>
      <c r="K37" s="276">
        <v>1</v>
      </c>
      <c r="L37" s="221" t="e">
        <f>VLOOKUP($B37,ma!$A:$C,3,0)</f>
        <v>#N/A</v>
      </c>
      <c r="M37" s="221" t="e">
        <f>VLOOKUP($B37,ma!$A:$C,3,0)</f>
        <v>#N/A</v>
      </c>
      <c r="N37" s="81"/>
      <c r="O37" s="385"/>
      <c r="P37" s="362"/>
      <c r="Q37" s="361"/>
      <c r="R37" s="261"/>
      <c r="S37" s="261"/>
    </row>
    <row r="38" spans="1:19">
      <c r="A38" s="352">
        <v>33</v>
      </c>
      <c r="B38" s="215"/>
      <c r="C38" s="216"/>
      <c r="D38" s="217" t="e">
        <f>VLOOKUP($B38,ma!$A:$B,2,0)</f>
        <v>#N/A</v>
      </c>
      <c r="E38" s="218"/>
      <c r="F38" s="218"/>
      <c r="G38" s="218"/>
      <c r="H38" s="218"/>
      <c r="I38" s="219"/>
      <c r="J38" s="218"/>
      <c r="K38" s="276">
        <v>1</v>
      </c>
      <c r="L38" s="221" t="e">
        <f>VLOOKUP($B38,ma!$A:$C,3,0)</f>
        <v>#N/A</v>
      </c>
      <c r="M38" s="221" t="e">
        <f>VLOOKUP($B38,ma!$A:$C,3,0)</f>
        <v>#N/A</v>
      </c>
      <c r="N38" s="81"/>
      <c r="O38" s="363"/>
      <c r="P38" s="364">
        <f>SUM(P6:P37)</f>
        <v>445110000</v>
      </c>
      <c r="Q38" s="365"/>
      <c r="R38" s="261"/>
      <c r="S38" s="261"/>
    </row>
    <row r="39" spans="1:19">
      <c r="A39" s="352">
        <v>34</v>
      </c>
      <c r="B39" s="215"/>
      <c r="C39" s="389"/>
      <c r="D39" s="217" t="e">
        <f>VLOOKUP($B39,ma!$A:$B,2,0)</f>
        <v>#N/A</v>
      </c>
      <c r="E39" s="218"/>
      <c r="F39" s="218"/>
      <c r="G39" s="218"/>
      <c r="H39" s="218"/>
      <c r="I39" s="219"/>
      <c r="J39" s="218"/>
      <c r="K39" s="276">
        <v>1</v>
      </c>
      <c r="L39" s="221" t="e">
        <f>VLOOKUP($B39,ma!$A:$C,3,0)</f>
        <v>#N/A</v>
      </c>
      <c r="M39" s="221" t="e">
        <f>VLOOKUP($B39,ma!$A:$C,3,0)</f>
        <v>#N/A</v>
      </c>
      <c r="N39" s="81"/>
      <c r="O39" s="261"/>
      <c r="P39" s="261"/>
      <c r="Q39" s="261"/>
      <c r="R39" s="261"/>
      <c r="S39" s="261"/>
    </row>
    <row r="40" spans="1:19">
      <c r="A40" s="352">
        <v>35</v>
      </c>
      <c r="B40" s="215"/>
      <c r="C40" s="390"/>
      <c r="D40" s="217" t="e">
        <f>VLOOKUP($B40,ma!$A:$B,2,0)</f>
        <v>#N/A</v>
      </c>
      <c r="E40" s="218"/>
      <c r="F40" s="218"/>
      <c r="G40" s="218"/>
      <c r="H40" s="218"/>
      <c r="I40" s="219"/>
      <c r="J40" s="218"/>
      <c r="K40" s="276">
        <v>1</v>
      </c>
      <c r="L40" s="221" t="e">
        <f>VLOOKUP($B40,ma!$A:$C,3,0)</f>
        <v>#N/A</v>
      </c>
      <c r="M40" s="221" t="e">
        <f>VLOOKUP($B40,ma!$A:$C,3,0)</f>
        <v>#N/A</v>
      </c>
      <c r="N40" s="81"/>
      <c r="O40" s="252" t="s">
        <v>2600</v>
      </c>
      <c r="P40" s="391">
        <f>P38</f>
        <v>445110000</v>
      </c>
      <c r="Q40" s="261"/>
      <c r="R40" s="261"/>
      <c r="S40" s="261"/>
    </row>
    <row r="41" spans="1:19">
      <c r="A41" s="352">
        <v>36</v>
      </c>
      <c r="B41" s="215"/>
      <c r="C41" s="216"/>
      <c r="D41" s="217" t="e">
        <f>VLOOKUP($B41,ma!$A:$B,2,0)</f>
        <v>#N/A</v>
      </c>
      <c r="E41" s="218"/>
      <c r="F41" s="218"/>
      <c r="G41" s="218"/>
      <c r="H41" s="218"/>
      <c r="I41" s="219"/>
      <c r="J41" s="218"/>
      <c r="K41" s="276">
        <v>1</v>
      </c>
      <c r="L41" s="221" t="e">
        <f>VLOOKUP($B41,ma!$A:$C,3,0)</f>
        <v>#N/A</v>
      </c>
      <c r="M41" s="221" t="e">
        <f>VLOOKUP($B41,ma!$A:$C,3,0)</f>
        <v>#N/A</v>
      </c>
      <c r="N41" s="81"/>
      <c r="O41" s="367" t="s">
        <v>2637</v>
      </c>
      <c r="P41" s="392">
        <f>P40/2</f>
        <v>222555000</v>
      </c>
      <c r="Q41" s="261"/>
      <c r="R41" s="261"/>
      <c r="S41" s="261"/>
    </row>
    <row r="42" spans="1:19">
      <c r="A42" s="352">
        <v>37</v>
      </c>
      <c r="B42" s="215"/>
      <c r="C42" s="216"/>
      <c r="D42" s="217" t="e">
        <f>VLOOKUP($B42,ma!$A:$B,2,0)</f>
        <v>#N/A</v>
      </c>
      <c r="E42" s="218"/>
      <c r="F42" s="218"/>
      <c r="G42" s="218"/>
      <c r="H42" s="218"/>
      <c r="I42" s="219"/>
      <c r="J42" s="218"/>
      <c r="K42" s="276">
        <v>1</v>
      </c>
      <c r="L42" s="221" t="e">
        <f>VLOOKUP($B42,ma!$A:$C,3,0)</f>
        <v>#N/A</v>
      </c>
      <c r="M42" s="221" t="e">
        <f>VLOOKUP($B42,ma!$A:$C,3,0)</f>
        <v>#N/A</v>
      </c>
      <c r="N42" s="252"/>
      <c r="O42" s="252" t="s">
        <v>2638</v>
      </c>
      <c r="P42" s="392">
        <f>P40/2</f>
        <v>222555000</v>
      </c>
      <c r="Q42" s="261"/>
      <c r="R42" s="261"/>
      <c r="S42" s="261"/>
    </row>
    <row r="43" spans="1:19">
      <c r="A43" s="198"/>
      <c r="B43" s="205"/>
      <c r="C43" s="496" t="s">
        <v>2581</v>
      </c>
      <c r="D43" s="498"/>
      <c r="E43" s="346"/>
      <c r="F43" s="347" t="s">
        <v>2639</v>
      </c>
      <c r="G43" s="347">
        <f>SUM(G6:G42)</f>
        <v>0</v>
      </c>
      <c r="H43" s="348"/>
      <c r="I43" s="254">
        <f>SUM(I6:I42)</f>
        <v>900000</v>
      </c>
      <c r="J43" s="346"/>
      <c r="K43" s="347">
        <v>37</v>
      </c>
      <c r="L43" s="346"/>
      <c r="M43" s="347" t="e">
        <f>SUM(M6:M42)</f>
        <v>#N/A</v>
      </c>
      <c r="N43" s="252"/>
      <c r="O43" s="261"/>
      <c r="P43" s="261"/>
      <c r="Q43" s="261"/>
      <c r="R43" s="261"/>
      <c r="S43" s="261"/>
    </row>
    <row r="44" spans="1:19">
      <c r="A44" s="198"/>
      <c r="B44" s="202"/>
      <c r="C44" s="253" t="s">
        <v>2607</v>
      </c>
      <c r="D44" s="254" t="s">
        <v>2640</v>
      </c>
      <c r="E44" s="251"/>
      <c r="F44" s="251"/>
      <c r="G44" s="393"/>
      <c r="H44" s="394"/>
      <c r="I44" s="205"/>
      <c r="J44" s="205"/>
      <c r="K44" s="205"/>
      <c r="L44" s="251"/>
      <c r="M44" s="205"/>
      <c r="N44" s="252"/>
      <c r="O44" s="261"/>
      <c r="P44" s="261"/>
      <c r="Q44" s="261"/>
      <c r="R44" s="261"/>
      <c r="S44" s="261"/>
    </row>
    <row r="45" spans="1:19">
      <c r="A45" s="198"/>
      <c r="B45" s="202"/>
      <c r="C45" s="260" t="s">
        <v>2610</v>
      </c>
      <c r="D45" s="256">
        <f>G43+I43</f>
        <v>900000</v>
      </c>
      <c r="E45" s="251"/>
      <c r="F45" s="251"/>
      <c r="G45" s="492" t="s">
        <v>2611</v>
      </c>
      <c r="H45" s="482"/>
      <c r="I45" s="205"/>
      <c r="J45" s="205"/>
      <c r="K45" s="205"/>
      <c r="L45" s="251"/>
      <c r="M45" s="205"/>
      <c r="N45" s="252"/>
      <c r="O45" s="252"/>
      <c r="P45" s="81"/>
      <c r="Q45" s="261"/>
      <c r="R45" s="261"/>
      <c r="S45" s="261"/>
    </row>
    <row r="46" spans="1:19">
      <c r="A46" s="198"/>
      <c r="B46" s="202"/>
      <c r="C46" s="260" t="s">
        <v>2613</v>
      </c>
      <c r="D46" s="256" t="s">
        <v>2614</v>
      </c>
      <c r="E46" s="251"/>
      <c r="F46" s="251"/>
      <c r="G46" s="371">
        <v>45658</v>
      </c>
      <c r="H46" s="372"/>
      <c r="I46" s="205"/>
      <c r="J46" s="205"/>
      <c r="K46" s="205"/>
      <c r="L46" s="251"/>
      <c r="M46" s="205"/>
      <c r="N46" s="252"/>
      <c r="O46" s="252"/>
      <c r="P46" s="81"/>
      <c r="Q46" s="261"/>
      <c r="R46" s="261"/>
      <c r="S46" s="261"/>
    </row>
    <row r="47" spans="1:19">
      <c r="A47" s="198"/>
      <c r="B47" s="202"/>
      <c r="C47" s="373"/>
      <c r="D47" s="374"/>
      <c r="E47" s="257"/>
      <c r="F47" s="251"/>
      <c r="G47" s="371">
        <v>45689</v>
      </c>
      <c r="H47" s="372">
        <v>12050000</v>
      </c>
      <c r="I47" s="205"/>
      <c r="J47" s="205"/>
      <c r="K47" s="205"/>
      <c r="L47" s="251"/>
      <c r="M47" s="205"/>
      <c r="N47" s="261"/>
      <c r="O47" s="367"/>
      <c r="P47" s="392"/>
      <c r="Q47" s="261"/>
      <c r="R47" s="261"/>
      <c r="S47" s="261"/>
    </row>
    <row r="48" spans="1:19">
      <c r="A48" s="198"/>
      <c r="B48" s="202"/>
      <c r="C48" s="260" t="s">
        <v>2487</v>
      </c>
      <c r="D48" s="256" t="s">
        <v>2617</v>
      </c>
      <c r="E48" s="251"/>
      <c r="F48" s="251"/>
      <c r="G48" s="371">
        <v>45717</v>
      </c>
      <c r="H48" s="377">
        <v>13090000</v>
      </c>
      <c r="I48" s="205"/>
      <c r="J48" s="205"/>
      <c r="K48" s="251"/>
      <c r="L48" s="251"/>
      <c r="M48" s="205"/>
      <c r="N48" s="261"/>
      <c r="O48" s="252"/>
      <c r="P48" s="392"/>
      <c r="Q48" s="261"/>
      <c r="R48" s="261"/>
      <c r="S48" s="261"/>
    </row>
    <row r="49" spans="1:19">
      <c r="A49" s="198"/>
      <c r="B49" s="202"/>
      <c r="C49" s="260" t="s">
        <v>2551</v>
      </c>
      <c r="D49" s="395" t="s">
        <v>2641</v>
      </c>
      <c r="E49" s="251"/>
      <c r="F49" s="251"/>
      <c r="G49" s="371">
        <v>45748</v>
      </c>
      <c r="H49" s="377">
        <v>12140000</v>
      </c>
      <c r="I49" s="205"/>
      <c r="J49" s="198"/>
      <c r="K49" s="251"/>
      <c r="L49" s="251"/>
      <c r="M49" s="205"/>
      <c r="N49" s="261"/>
      <c r="O49" s="261"/>
      <c r="P49" s="261"/>
      <c r="Q49" s="261"/>
      <c r="R49" s="261"/>
      <c r="S49" s="261"/>
    </row>
    <row r="50" spans="1:19">
      <c r="A50" s="198"/>
      <c r="B50" s="198"/>
      <c r="C50" s="198"/>
      <c r="D50" s="198"/>
      <c r="E50" s="198"/>
      <c r="F50" s="198"/>
      <c r="G50" s="371">
        <v>45778</v>
      </c>
      <c r="H50" s="377">
        <v>12270000</v>
      </c>
      <c r="I50" s="198"/>
      <c r="J50" s="198"/>
      <c r="K50" s="198"/>
      <c r="L50" s="198"/>
      <c r="M50" s="198"/>
      <c r="N50" s="261"/>
      <c r="O50" s="261"/>
      <c r="P50" s="261"/>
      <c r="Q50" s="261"/>
      <c r="R50" s="261"/>
      <c r="S50" s="261"/>
    </row>
    <row r="51" spans="1:19">
      <c r="A51" s="198"/>
      <c r="B51" s="198"/>
      <c r="C51" s="198"/>
      <c r="D51" s="198"/>
      <c r="E51" s="198"/>
      <c r="F51" s="198"/>
      <c r="G51" s="371">
        <v>45809</v>
      </c>
      <c r="H51" s="377">
        <v>13330000</v>
      </c>
      <c r="I51" s="198"/>
      <c r="J51" s="198"/>
      <c r="K51" s="198"/>
      <c r="L51" s="198"/>
      <c r="M51" s="198"/>
      <c r="N51" s="261"/>
      <c r="O51" s="261"/>
      <c r="P51" s="261"/>
      <c r="Q51" s="261"/>
      <c r="R51" s="261"/>
      <c r="S51" s="261"/>
    </row>
    <row r="52" spans="1:19">
      <c r="A52" s="198"/>
      <c r="B52" s="198"/>
      <c r="C52" s="198"/>
      <c r="D52" s="198"/>
      <c r="E52" s="198"/>
      <c r="F52" s="198"/>
      <c r="G52" s="371">
        <v>45839</v>
      </c>
      <c r="H52" s="377">
        <v>12100000</v>
      </c>
      <c r="I52" s="198"/>
      <c r="J52" s="198"/>
      <c r="K52" s="198"/>
      <c r="L52" s="198"/>
      <c r="M52" s="198"/>
      <c r="N52" s="261"/>
      <c r="O52" s="261"/>
      <c r="P52" s="261"/>
      <c r="Q52" s="261"/>
      <c r="R52" s="261"/>
      <c r="S52" s="261"/>
    </row>
    <row r="53" spans="1:19">
      <c r="A53" s="198"/>
      <c r="B53" s="198"/>
      <c r="C53" s="198"/>
      <c r="D53" s="198"/>
      <c r="E53" s="198"/>
      <c r="F53" s="198"/>
      <c r="G53" s="371">
        <v>45870</v>
      </c>
      <c r="H53" s="378">
        <v>15850000</v>
      </c>
      <c r="I53" s="198"/>
      <c r="J53" s="198"/>
      <c r="K53" s="198"/>
      <c r="L53" s="198"/>
      <c r="M53" s="198"/>
      <c r="N53" s="261"/>
      <c r="O53" s="261"/>
      <c r="P53" s="261"/>
      <c r="Q53" s="261"/>
      <c r="R53" s="261"/>
      <c r="S53" s="261"/>
    </row>
    <row r="54" spans="1:19">
      <c r="A54" s="198"/>
      <c r="B54" s="198"/>
      <c r="C54" s="198"/>
      <c r="D54" s="198"/>
      <c r="E54" s="198"/>
      <c r="F54" s="198"/>
      <c r="G54" s="371">
        <v>45901</v>
      </c>
      <c r="H54" s="378">
        <v>12746000</v>
      </c>
      <c r="I54" s="198"/>
      <c r="J54" s="198"/>
      <c r="K54" s="198"/>
      <c r="L54" s="198"/>
      <c r="M54" s="198"/>
      <c r="N54" s="261"/>
      <c r="O54" s="261"/>
      <c r="P54" s="261"/>
      <c r="Q54" s="261"/>
      <c r="R54" s="261"/>
      <c r="S54" s="261"/>
    </row>
    <row r="55" spans="1:19">
      <c r="A55" s="198"/>
      <c r="B55" s="198"/>
      <c r="C55" s="198"/>
      <c r="D55" s="198"/>
      <c r="E55" s="198"/>
      <c r="F55" s="198"/>
      <c r="G55" s="371">
        <v>45931</v>
      </c>
      <c r="H55" s="378">
        <v>18040000</v>
      </c>
      <c r="I55" s="198"/>
      <c r="J55" s="378"/>
      <c r="K55" s="198"/>
      <c r="L55" s="198"/>
      <c r="M55" s="198"/>
      <c r="N55" s="261"/>
      <c r="O55" s="261"/>
      <c r="P55" s="261"/>
      <c r="Q55" s="261"/>
      <c r="R55" s="261"/>
      <c r="S55" s="261"/>
    </row>
    <row r="56" spans="1:19">
      <c r="A56" s="198"/>
      <c r="B56" s="198"/>
      <c r="C56" s="198"/>
      <c r="D56" s="198"/>
      <c r="E56" s="198"/>
      <c r="F56" s="198"/>
      <c r="G56" s="381">
        <v>45962</v>
      </c>
      <c r="H56" s="198">
        <v>13100000</v>
      </c>
      <c r="I56" s="198"/>
      <c r="J56" s="198"/>
      <c r="K56" s="198"/>
      <c r="L56" s="198"/>
      <c r="M56" s="198"/>
    </row>
    <row r="57" spans="1:19">
      <c r="A57" s="198"/>
      <c r="B57" s="198"/>
      <c r="C57" s="198"/>
      <c r="D57" s="198"/>
      <c r="E57" s="198"/>
      <c r="F57" s="198"/>
      <c r="G57" s="381">
        <v>45992</v>
      </c>
      <c r="H57" s="198"/>
      <c r="I57" s="198"/>
      <c r="J57" s="198"/>
      <c r="K57" s="198"/>
      <c r="L57" s="198"/>
      <c r="M57" s="198"/>
    </row>
    <row r="58" spans="1:19">
      <c r="A58" s="198"/>
      <c r="B58" s="198"/>
      <c r="C58" s="198"/>
      <c r="D58" s="198"/>
      <c r="E58" s="198"/>
      <c r="F58" s="198"/>
      <c r="G58" s="262"/>
      <c r="H58" s="262"/>
      <c r="I58" s="198" t="s">
        <v>2552</v>
      </c>
      <c r="J58" s="382">
        <f>SUM(H46:H57)</f>
        <v>134716000</v>
      </c>
      <c r="K58" s="198"/>
      <c r="L58" s="198"/>
      <c r="M58" s="198"/>
    </row>
  </sheetData>
  <mergeCells count="7">
    <mergeCell ref="C43:D43"/>
    <mergeCell ref="G45:H45"/>
    <mergeCell ref="C1:M1"/>
    <mergeCell ref="C2:M2"/>
    <mergeCell ref="E3:H3"/>
    <mergeCell ref="I3:J3"/>
    <mergeCell ref="O5:Q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V1007"/>
  <sheetViews>
    <sheetView workbookViewId="0"/>
  </sheetViews>
  <sheetFormatPr baseColWidth="10" defaultColWidth="12.6640625" defaultRowHeight="15.75" customHeight="1"/>
  <cols>
    <col min="1" max="1" width="4.6640625" customWidth="1"/>
    <col min="4" max="4" width="22.1640625" customWidth="1"/>
    <col min="6" max="6" width="7.6640625" customWidth="1"/>
    <col min="7" max="7" width="16" customWidth="1"/>
    <col min="9" max="9" width="10.6640625" customWidth="1"/>
    <col min="10" max="10" width="16.33203125" customWidth="1"/>
    <col min="11" max="11" width="4.5" customWidth="1"/>
    <col min="17" max="17" width="26.5" customWidth="1"/>
  </cols>
  <sheetData>
    <row r="1" spans="1:22">
      <c r="A1" s="198"/>
      <c r="B1" s="199"/>
      <c r="C1" s="493" t="s">
        <v>2642</v>
      </c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80"/>
      <c r="O1" s="261"/>
      <c r="P1" s="396"/>
      <c r="Q1" s="261"/>
      <c r="R1" s="261"/>
      <c r="S1" s="261"/>
    </row>
    <row r="2" spans="1:22">
      <c r="A2" s="198"/>
      <c r="B2" s="202"/>
      <c r="C2" s="494">
        <v>45930</v>
      </c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203"/>
      <c r="O2" s="261"/>
      <c r="P2" s="396"/>
      <c r="Q2" s="261"/>
      <c r="R2" s="261"/>
      <c r="S2" s="261"/>
    </row>
    <row r="3" spans="1:22">
      <c r="A3" s="198"/>
      <c r="B3" s="202"/>
      <c r="C3" s="204" t="s">
        <v>1384</v>
      </c>
      <c r="D3" s="205"/>
      <c r="E3" s="493" t="s">
        <v>2490</v>
      </c>
      <c r="F3" s="482"/>
      <c r="G3" s="482"/>
      <c r="H3" s="482"/>
      <c r="I3" s="493" t="s">
        <v>2643</v>
      </c>
      <c r="J3" s="482"/>
      <c r="K3" s="200"/>
      <c r="L3" s="205"/>
      <c r="M3" s="205"/>
      <c r="N3" s="81"/>
      <c r="O3" s="261"/>
      <c r="P3" s="396"/>
      <c r="Q3" s="261"/>
      <c r="R3" s="261"/>
      <c r="S3" s="261"/>
    </row>
    <row r="4" spans="1:22">
      <c r="A4" s="198"/>
      <c r="B4" s="351"/>
      <c r="C4" s="207"/>
      <c r="D4" s="208" t="e">
        <v>#N/A</v>
      </c>
      <c r="E4" s="209"/>
      <c r="F4" s="209"/>
      <c r="G4" s="209"/>
      <c r="H4" s="209"/>
      <c r="I4" s="210"/>
      <c r="J4" s="210"/>
      <c r="K4" s="210"/>
      <c r="L4" s="208" t="e">
        <v>#N/A</v>
      </c>
      <c r="M4" s="397"/>
      <c r="N4" s="81"/>
      <c r="O4" s="261"/>
      <c r="P4" s="396"/>
      <c r="Q4" s="261"/>
      <c r="R4" s="261"/>
      <c r="S4" s="261"/>
    </row>
    <row r="5" spans="1:22">
      <c r="A5" s="211" t="s">
        <v>2491</v>
      </c>
      <c r="B5" s="212" t="s">
        <v>2492</v>
      </c>
      <c r="C5" s="212" t="s">
        <v>1389</v>
      </c>
      <c r="D5" s="212" t="s">
        <v>1391</v>
      </c>
      <c r="E5" s="212" t="s">
        <v>2495</v>
      </c>
      <c r="F5" s="212" t="s">
        <v>2496</v>
      </c>
      <c r="G5" s="212" t="s">
        <v>2588</v>
      </c>
      <c r="H5" s="212" t="s">
        <v>2589</v>
      </c>
      <c r="I5" s="212" t="s">
        <v>2590</v>
      </c>
      <c r="J5" s="212" t="s">
        <v>1393</v>
      </c>
      <c r="K5" s="212" t="s">
        <v>1397</v>
      </c>
      <c r="L5" s="212" t="s">
        <v>1398</v>
      </c>
      <c r="M5" s="212" t="s">
        <v>1399</v>
      </c>
      <c r="N5" s="81"/>
      <c r="O5" s="500" t="s">
        <v>2644</v>
      </c>
      <c r="P5" s="501"/>
      <c r="Q5" s="501"/>
      <c r="R5" s="501"/>
      <c r="S5" s="501"/>
      <c r="T5" s="502"/>
      <c r="U5" s="398"/>
    </row>
    <row r="6" spans="1:22">
      <c r="A6" s="352">
        <v>1</v>
      </c>
      <c r="B6" s="215"/>
      <c r="C6" s="216"/>
      <c r="D6" s="217" t="e">
        <f>VLOOKUP($B6,ma!$A:$B,2,0)</f>
        <v>#N/A</v>
      </c>
      <c r="E6" s="218"/>
      <c r="F6" s="218"/>
      <c r="G6" s="218"/>
      <c r="H6" s="218"/>
      <c r="I6" s="219"/>
      <c r="J6" s="218"/>
      <c r="K6" s="276">
        <v>1</v>
      </c>
      <c r="L6" s="221" t="e">
        <f>VLOOKUP($B6,ma!$A:$C,3,0)</f>
        <v>#N/A</v>
      </c>
      <c r="M6" s="221" t="e">
        <f>VLOOKUP($B6,ma!$A:$C,3,0)</f>
        <v>#N/A</v>
      </c>
      <c r="N6" s="81"/>
      <c r="O6" s="399" t="s">
        <v>2645</v>
      </c>
      <c r="P6" s="400" t="s">
        <v>2496</v>
      </c>
      <c r="Q6" s="401" t="s">
        <v>2646</v>
      </c>
      <c r="R6" s="402" t="s">
        <v>2647</v>
      </c>
      <c r="S6" s="403" t="s">
        <v>2648</v>
      </c>
      <c r="T6" s="403" t="s">
        <v>2649</v>
      </c>
      <c r="U6" s="404">
        <f>SUM(U7:U115)</f>
        <v>316040000</v>
      </c>
      <c r="V6" s="31">
        <f>U6/2</f>
        <v>158020000</v>
      </c>
    </row>
    <row r="7" spans="1:22">
      <c r="A7" s="352">
        <v>2</v>
      </c>
      <c r="B7" s="215"/>
      <c r="C7" s="216"/>
      <c r="D7" s="217" t="e">
        <f>VLOOKUP($B7,ma!$A:$B,2,0)</f>
        <v>#N/A</v>
      </c>
      <c r="E7" s="218"/>
      <c r="F7" s="218"/>
      <c r="G7" s="218"/>
      <c r="H7" s="218"/>
      <c r="I7" s="219"/>
      <c r="J7" s="218"/>
      <c r="K7" s="276">
        <v>1</v>
      </c>
      <c r="L7" s="221" t="e">
        <f>VLOOKUP($B7,ma!$A:$C,3,0)</f>
        <v>#N/A</v>
      </c>
      <c r="M7" s="221" t="e">
        <f>VLOOKUP($B7,ma!$A:$C,3,0)</f>
        <v>#N/A</v>
      </c>
      <c r="N7" s="81"/>
      <c r="O7" s="405">
        <v>45803</v>
      </c>
      <c r="P7" s="406"/>
      <c r="Q7" s="407" t="s">
        <v>2600</v>
      </c>
      <c r="R7" s="408">
        <v>295000000</v>
      </c>
      <c r="S7" s="409"/>
      <c r="T7" s="410">
        <f t="shared" ref="T7:T8" si="0">SUM(R7:S7)</f>
        <v>295000000</v>
      </c>
      <c r="U7" s="411">
        <f t="shared" ref="U7:U8" si="1">T7</f>
        <v>295000000</v>
      </c>
    </row>
    <row r="8" spans="1:22">
      <c r="A8" s="352">
        <v>3</v>
      </c>
      <c r="B8" s="215"/>
      <c r="C8" s="216"/>
      <c r="D8" s="217" t="e">
        <f>VLOOKUP($B8,ma!$A:$B,2,0)</f>
        <v>#N/A</v>
      </c>
      <c r="E8" s="218"/>
      <c r="F8" s="218"/>
      <c r="G8" s="218"/>
      <c r="H8" s="218"/>
      <c r="I8" s="219"/>
      <c r="J8" s="218"/>
      <c r="K8" s="276">
        <v>1</v>
      </c>
      <c r="L8" s="221" t="e">
        <f>VLOOKUP($B8,ma!$A:$C,3,0)</f>
        <v>#N/A</v>
      </c>
      <c r="M8" s="221" t="e">
        <f>VLOOKUP($B8,ma!$A:$C,3,0)</f>
        <v>#N/A</v>
      </c>
      <c r="N8" s="81"/>
      <c r="O8" s="412">
        <v>45803</v>
      </c>
      <c r="P8" s="413"/>
      <c r="Q8" s="414" t="s">
        <v>2650</v>
      </c>
      <c r="R8" s="415"/>
      <c r="S8" s="416">
        <v>600000</v>
      </c>
      <c r="T8" s="417">
        <f t="shared" si="0"/>
        <v>600000</v>
      </c>
      <c r="U8" s="418">
        <f t="shared" si="1"/>
        <v>600000</v>
      </c>
    </row>
    <row r="9" spans="1:22">
      <c r="A9" s="352">
        <v>4</v>
      </c>
      <c r="B9" s="215"/>
      <c r="C9" s="216"/>
      <c r="D9" s="217" t="e">
        <f>VLOOKUP($B9,ma!$A:$B,2,0)</f>
        <v>#N/A</v>
      </c>
      <c r="E9" s="218"/>
      <c r="F9" s="218"/>
      <c r="G9" s="218"/>
      <c r="H9" s="218"/>
      <c r="I9" s="419">
        <v>900000</v>
      </c>
      <c r="J9" s="218" t="s">
        <v>2651</v>
      </c>
      <c r="K9" s="276">
        <v>1</v>
      </c>
      <c r="L9" s="221" t="e">
        <f>VLOOKUP($B9,ma!$A:$C,3,0)</f>
        <v>#N/A</v>
      </c>
      <c r="M9" s="221" t="e">
        <f>VLOOKUP($B9,ma!$A:$C,3,0)</f>
        <v>#N/A</v>
      </c>
      <c r="N9" s="81"/>
      <c r="O9" s="420"/>
      <c r="P9" s="421"/>
      <c r="Q9" s="422" t="s">
        <v>2631</v>
      </c>
      <c r="R9" s="423">
        <v>3145000</v>
      </c>
      <c r="S9" s="424"/>
      <c r="T9" s="425">
        <v>3150000</v>
      </c>
      <c r="U9" s="426"/>
    </row>
    <row r="10" spans="1:22">
      <c r="A10" s="352">
        <v>5</v>
      </c>
      <c r="B10" s="215"/>
      <c r="C10" s="216"/>
      <c r="D10" s="217" t="e">
        <f>VLOOKUP($B10,ma!$A:$B,2,0)</f>
        <v>#N/A</v>
      </c>
      <c r="E10" s="218"/>
      <c r="F10" s="218"/>
      <c r="G10" s="218"/>
      <c r="H10" s="218"/>
      <c r="I10" s="419"/>
      <c r="J10" s="218"/>
      <c r="K10" s="276">
        <v>1</v>
      </c>
      <c r="L10" s="221" t="e">
        <f>VLOOKUP($B10,ma!$A:$C,3,0)</f>
        <v>#N/A</v>
      </c>
      <c r="M10" s="221" t="e">
        <f>VLOOKUP($B10,ma!$A:$C,3,0)</f>
        <v>#N/A</v>
      </c>
      <c r="N10" s="81"/>
      <c r="O10" s="420"/>
      <c r="P10" s="421"/>
      <c r="Q10" s="427" t="s">
        <v>2652</v>
      </c>
      <c r="R10" s="423">
        <v>5000000</v>
      </c>
      <c r="S10" s="424"/>
      <c r="T10" s="425">
        <f t="shared" ref="T10:T16" si="2">SUM(R10:S10)</f>
        <v>5000000</v>
      </c>
      <c r="U10" s="426"/>
    </row>
    <row r="11" spans="1:22">
      <c r="A11" s="352">
        <v>6</v>
      </c>
      <c r="B11" s="215"/>
      <c r="C11" s="216"/>
      <c r="D11" s="217" t="e">
        <f>VLOOKUP($B11,ma!$A:$B,2,0)</f>
        <v>#N/A</v>
      </c>
      <c r="E11" s="218"/>
      <c r="F11" s="218"/>
      <c r="G11" s="218"/>
      <c r="H11" s="218"/>
      <c r="I11" s="419"/>
      <c r="J11" s="218"/>
      <c r="K11" s="276">
        <v>1</v>
      </c>
      <c r="L11" s="221" t="e">
        <f>VLOOKUP($B11,ma!$A:$C,3,0)</f>
        <v>#N/A</v>
      </c>
      <c r="M11" s="221" t="e">
        <f>VLOOKUP($B11,ma!$A:$C,3,0)</f>
        <v>#N/A</v>
      </c>
      <c r="N11" s="81"/>
      <c r="O11" s="420"/>
      <c r="P11" s="428" t="s">
        <v>2653</v>
      </c>
      <c r="Q11" s="429" t="s">
        <v>2654</v>
      </c>
      <c r="R11" s="423">
        <v>500000</v>
      </c>
      <c r="S11" s="424"/>
      <c r="T11" s="425">
        <f t="shared" si="2"/>
        <v>500000</v>
      </c>
      <c r="U11" s="426"/>
    </row>
    <row r="12" spans="1:22">
      <c r="A12" s="352">
        <v>7</v>
      </c>
      <c r="B12" s="215"/>
      <c r="C12" s="216"/>
      <c r="D12" s="217" t="e">
        <f>VLOOKUP($B12,ma!$A:$B,2,0)</f>
        <v>#N/A</v>
      </c>
      <c r="E12" s="218"/>
      <c r="F12" s="218"/>
      <c r="G12" s="218"/>
      <c r="H12" s="218"/>
      <c r="I12" s="419"/>
      <c r="J12" s="218"/>
      <c r="K12" s="276">
        <v>1</v>
      </c>
      <c r="L12" s="221" t="e">
        <f>VLOOKUP($B12,ma!$A:$C,3,0)</f>
        <v>#N/A</v>
      </c>
      <c r="M12" s="221" t="e">
        <f>VLOOKUP($B12,ma!$A:$C,3,0)</f>
        <v>#N/A</v>
      </c>
      <c r="N12" s="81"/>
      <c r="O12" s="420"/>
      <c r="P12" s="421"/>
      <c r="Q12" s="429" t="s">
        <v>2655</v>
      </c>
      <c r="R12" s="423">
        <v>1200000</v>
      </c>
      <c r="S12" s="424"/>
      <c r="T12" s="425">
        <f t="shared" si="2"/>
        <v>1200000</v>
      </c>
      <c r="U12" s="426"/>
    </row>
    <row r="13" spans="1:22">
      <c r="A13" s="352">
        <v>8</v>
      </c>
      <c r="B13" s="215"/>
      <c r="C13" s="216"/>
      <c r="D13" s="217" t="e">
        <f>VLOOKUP($B13,ma!$A:$B,2,0)</f>
        <v>#N/A</v>
      </c>
      <c r="E13" s="218"/>
      <c r="F13" s="218"/>
      <c r="G13" s="218"/>
      <c r="H13" s="218"/>
      <c r="I13" s="219"/>
      <c r="J13" s="218"/>
      <c r="K13" s="276">
        <v>1</v>
      </c>
      <c r="L13" s="221" t="e">
        <f>VLOOKUP($B13,ma!$A:$C,3,0)</f>
        <v>#N/A</v>
      </c>
      <c r="M13" s="221" t="e">
        <f>VLOOKUP($B13,ma!$A:$C,3,0)</f>
        <v>#N/A</v>
      </c>
      <c r="N13" s="81"/>
      <c r="O13" s="420"/>
      <c r="P13" s="421"/>
      <c r="Q13" s="429" t="s">
        <v>2656</v>
      </c>
      <c r="R13" s="423">
        <v>2420000</v>
      </c>
      <c r="S13" s="424"/>
      <c r="T13" s="425">
        <f t="shared" si="2"/>
        <v>2420000</v>
      </c>
      <c r="U13" s="426"/>
    </row>
    <row r="14" spans="1:22">
      <c r="A14" s="352">
        <v>9</v>
      </c>
      <c r="B14" s="215"/>
      <c r="C14" s="216"/>
      <c r="D14" s="217" t="e">
        <f>VLOOKUP($B14,ma!$A:$B,2,0)</f>
        <v>#N/A</v>
      </c>
      <c r="E14" s="218"/>
      <c r="F14" s="218"/>
      <c r="G14" s="218"/>
      <c r="H14" s="218"/>
      <c r="I14" s="219"/>
      <c r="J14" s="218"/>
      <c r="K14" s="276">
        <v>1</v>
      </c>
      <c r="L14" s="221" t="e">
        <f>VLOOKUP($B14,ma!$A:$C,3,0)</f>
        <v>#N/A</v>
      </c>
      <c r="M14" s="221" t="e">
        <f>VLOOKUP($B14,ma!$A:$C,3,0)</f>
        <v>#N/A</v>
      </c>
      <c r="N14" s="81"/>
      <c r="O14" s="420"/>
      <c r="P14" s="421"/>
      <c r="Q14" s="429" t="s">
        <v>2657</v>
      </c>
      <c r="R14" s="423">
        <v>400000</v>
      </c>
      <c r="S14" s="424"/>
      <c r="T14" s="425">
        <f t="shared" si="2"/>
        <v>400000</v>
      </c>
      <c r="U14" s="426"/>
    </row>
    <row r="15" spans="1:22">
      <c r="A15" s="352">
        <v>10</v>
      </c>
      <c r="B15" s="215"/>
      <c r="C15" s="216"/>
      <c r="D15" s="217" t="e">
        <f>VLOOKUP($B15,ma!$A:$B,2,0)</f>
        <v>#N/A</v>
      </c>
      <c r="E15" s="218"/>
      <c r="F15" s="218"/>
      <c r="G15" s="218"/>
      <c r="H15" s="218"/>
      <c r="I15" s="219"/>
      <c r="J15" s="218"/>
      <c r="K15" s="276">
        <v>1</v>
      </c>
      <c r="L15" s="221" t="e">
        <f>VLOOKUP($B15,ma!$A:$C,3,0)</f>
        <v>#N/A</v>
      </c>
      <c r="M15" s="221" t="e">
        <f>VLOOKUP($B15,ma!$A:$C,3,0)</f>
        <v>#N/A</v>
      </c>
      <c r="N15" s="81"/>
      <c r="O15" s="420"/>
      <c r="P15" s="421"/>
      <c r="Q15" s="429" t="s">
        <v>2658</v>
      </c>
      <c r="R15" s="423">
        <v>600000</v>
      </c>
      <c r="S15" s="424"/>
      <c r="T15" s="425">
        <f t="shared" si="2"/>
        <v>600000</v>
      </c>
      <c r="U15" s="426"/>
    </row>
    <row r="16" spans="1:22">
      <c r="A16" s="352">
        <v>11</v>
      </c>
      <c r="B16" s="215"/>
      <c r="C16" s="216"/>
      <c r="D16" s="217" t="e">
        <f>VLOOKUP($B16,ma!$A:$B,2,0)</f>
        <v>#N/A</v>
      </c>
      <c r="E16" s="218"/>
      <c r="F16" s="218"/>
      <c r="G16" s="218"/>
      <c r="H16" s="218"/>
      <c r="I16" s="219"/>
      <c r="J16" s="218"/>
      <c r="K16" s="276">
        <v>1</v>
      </c>
      <c r="L16" s="221" t="e">
        <f>VLOOKUP($B16,ma!$A:$C,3,0)</f>
        <v>#N/A</v>
      </c>
      <c r="M16" s="221" t="e">
        <f>VLOOKUP($B16,ma!$A:$C,3,0)</f>
        <v>#N/A</v>
      </c>
      <c r="N16" s="81"/>
      <c r="O16" s="420"/>
      <c r="P16" s="421"/>
      <c r="Q16" s="430" t="s">
        <v>2659</v>
      </c>
      <c r="R16" s="431">
        <v>500000</v>
      </c>
      <c r="S16" s="424"/>
      <c r="T16" s="425">
        <f t="shared" si="2"/>
        <v>500000</v>
      </c>
      <c r="U16" s="426"/>
    </row>
    <row r="17" spans="1:21">
      <c r="A17" s="352">
        <v>12</v>
      </c>
      <c r="B17" s="215"/>
      <c r="C17" s="216"/>
      <c r="D17" s="217" t="e">
        <f>VLOOKUP($B17,ma!$A:$B,2,0)</f>
        <v>#N/A</v>
      </c>
      <c r="E17" s="218"/>
      <c r="F17" s="218"/>
      <c r="G17" s="218"/>
      <c r="H17" s="218"/>
      <c r="I17" s="219"/>
      <c r="J17" s="218"/>
      <c r="K17" s="276">
        <v>1</v>
      </c>
      <c r="L17" s="221" t="e">
        <f>VLOOKUP($B17,ma!$A:$C,3,0)</f>
        <v>#N/A</v>
      </c>
      <c r="M17" s="221" t="e">
        <f>VLOOKUP($B17,ma!$A:$C,3,0)</f>
        <v>#N/A</v>
      </c>
      <c r="N17" s="81"/>
      <c r="O17" s="432"/>
      <c r="P17" s="433"/>
      <c r="Q17" s="434"/>
      <c r="R17" s="435"/>
      <c r="S17" s="435"/>
      <c r="T17" s="436">
        <f>SUM(T9:T16)</f>
        <v>13770000</v>
      </c>
      <c r="U17" s="418">
        <f>T17</f>
        <v>13770000</v>
      </c>
    </row>
    <row r="18" spans="1:21">
      <c r="A18" s="352">
        <v>13</v>
      </c>
      <c r="B18" s="215"/>
      <c r="C18" s="216"/>
      <c r="D18" s="217" t="e">
        <f>VLOOKUP($B18,ma!$A:$B,2,0)</f>
        <v>#N/A</v>
      </c>
      <c r="E18" s="218"/>
      <c r="F18" s="218"/>
      <c r="G18" s="218"/>
      <c r="H18" s="218"/>
      <c r="I18" s="219"/>
      <c r="J18" s="218"/>
      <c r="K18" s="276">
        <v>1</v>
      </c>
      <c r="L18" s="221" t="e">
        <f>VLOOKUP($B18,ma!$A:$C,3,0)</f>
        <v>#N/A</v>
      </c>
      <c r="M18" s="221" t="e">
        <f>VLOOKUP($B18,ma!$A:$C,3,0)</f>
        <v>#N/A</v>
      </c>
      <c r="N18" s="81"/>
      <c r="O18" s="437">
        <v>45823</v>
      </c>
      <c r="P18" s="438" t="s">
        <v>2643</v>
      </c>
      <c r="Q18" s="439" t="s">
        <v>2660</v>
      </c>
      <c r="R18" s="440">
        <v>300000</v>
      </c>
      <c r="S18" s="441"/>
      <c r="T18" s="425">
        <f t="shared" ref="T18:T27" si="3">SUM(R18:S18)</f>
        <v>300000</v>
      </c>
      <c r="U18" s="426"/>
    </row>
    <row r="19" spans="1:21">
      <c r="A19" s="352">
        <v>14</v>
      </c>
      <c r="B19" s="215"/>
      <c r="C19" s="216"/>
      <c r="D19" s="217" t="e">
        <f>VLOOKUP($B19,ma!$A:$B,2,0)</f>
        <v>#N/A</v>
      </c>
      <c r="E19" s="218"/>
      <c r="F19" s="218"/>
      <c r="G19" s="218"/>
      <c r="H19" s="218"/>
      <c r="I19" s="219"/>
      <c r="J19" s="218"/>
      <c r="K19" s="276">
        <v>1</v>
      </c>
      <c r="L19" s="221" t="e">
        <f>VLOOKUP($B19,ma!$A:$C,3,0)</f>
        <v>#N/A</v>
      </c>
      <c r="M19" s="221" t="e">
        <f>VLOOKUP($B19,ma!$A:$C,3,0)</f>
        <v>#N/A</v>
      </c>
      <c r="N19" s="81"/>
      <c r="O19" s="442"/>
      <c r="P19" s="443"/>
      <c r="Q19" s="444" t="s">
        <v>2661</v>
      </c>
      <c r="R19" s="445">
        <v>240000</v>
      </c>
      <c r="S19" s="446"/>
      <c r="T19" s="447">
        <f t="shared" si="3"/>
        <v>240000</v>
      </c>
      <c r="U19" s="426"/>
    </row>
    <row r="20" spans="1:21">
      <c r="A20" s="352">
        <v>15</v>
      </c>
      <c r="B20" s="215"/>
      <c r="C20" s="216"/>
      <c r="D20" s="217" t="e">
        <f>VLOOKUP($B20,ma!$A:$B,2,0)</f>
        <v>#N/A</v>
      </c>
      <c r="E20" s="218"/>
      <c r="F20" s="218"/>
      <c r="G20" s="218"/>
      <c r="H20" s="218"/>
      <c r="I20" s="219"/>
      <c r="J20" s="218"/>
      <c r="K20" s="276">
        <v>1</v>
      </c>
      <c r="L20" s="221" t="e">
        <f>VLOOKUP($B20,ma!$A:$C,3,0)</f>
        <v>#N/A</v>
      </c>
      <c r="M20" s="221" t="e">
        <f>VLOOKUP($B20,ma!$A:$C,3,0)</f>
        <v>#N/A</v>
      </c>
      <c r="N20" s="81"/>
      <c r="O20" s="442"/>
      <c r="P20" s="443"/>
      <c r="Q20" s="444" t="s">
        <v>2662</v>
      </c>
      <c r="R20" s="445">
        <v>480000</v>
      </c>
      <c r="S20" s="446"/>
      <c r="T20" s="447">
        <f t="shared" si="3"/>
        <v>480000</v>
      </c>
      <c r="U20" s="426"/>
    </row>
    <row r="21" spans="1:21">
      <c r="A21" s="352">
        <v>16</v>
      </c>
      <c r="B21" s="215"/>
      <c r="C21" s="216"/>
      <c r="D21" s="217" t="e">
        <f>VLOOKUP($B21,ma!$A:$B,2,0)</f>
        <v>#N/A</v>
      </c>
      <c r="E21" s="218"/>
      <c r="F21" s="218"/>
      <c r="G21" s="218"/>
      <c r="H21" s="218"/>
      <c r="I21" s="219"/>
      <c r="J21" s="218"/>
      <c r="K21" s="276">
        <v>1</v>
      </c>
      <c r="L21" s="221" t="e">
        <f>VLOOKUP($B21,ma!$A:$C,3,0)</f>
        <v>#N/A</v>
      </c>
      <c r="M21" s="221" t="e">
        <f>VLOOKUP($B21,ma!$A:$C,3,0)</f>
        <v>#N/A</v>
      </c>
      <c r="N21" s="81"/>
      <c r="O21" s="442"/>
      <c r="P21" s="443"/>
      <c r="Q21" s="444" t="s">
        <v>2663</v>
      </c>
      <c r="R21" s="445">
        <v>200000</v>
      </c>
      <c r="S21" s="446"/>
      <c r="T21" s="447">
        <f t="shared" si="3"/>
        <v>200000</v>
      </c>
      <c r="U21" s="426"/>
    </row>
    <row r="22" spans="1:21">
      <c r="A22" s="352">
        <v>17</v>
      </c>
      <c r="B22" s="215"/>
      <c r="C22" s="216"/>
      <c r="D22" s="217" t="e">
        <f>VLOOKUP($B22,ma!$A:$B,2,0)</f>
        <v>#N/A</v>
      </c>
      <c r="E22" s="218"/>
      <c r="F22" s="218"/>
      <c r="G22" s="218"/>
      <c r="H22" s="218"/>
      <c r="I22" s="219"/>
      <c r="J22" s="218"/>
      <c r="K22" s="276">
        <v>1</v>
      </c>
      <c r="L22" s="221" t="e">
        <f>VLOOKUP($B22,ma!$A:$C,3,0)</f>
        <v>#N/A</v>
      </c>
      <c r="M22" s="221" t="e">
        <f>VLOOKUP($B22,ma!$A:$C,3,0)</f>
        <v>#N/A</v>
      </c>
      <c r="N22" s="81"/>
      <c r="O22" s="442"/>
      <c r="P22" s="443"/>
      <c r="Q22" s="444" t="s">
        <v>2664</v>
      </c>
      <c r="R22" s="445">
        <v>160000</v>
      </c>
      <c r="S22" s="446"/>
      <c r="T22" s="447">
        <f t="shared" si="3"/>
        <v>160000</v>
      </c>
      <c r="U22" s="426"/>
    </row>
    <row r="23" spans="1:21">
      <c r="A23" s="352">
        <v>18</v>
      </c>
      <c r="B23" s="215"/>
      <c r="C23" s="216"/>
      <c r="D23" s="217" t="e">
        <f>VLOOKUP($B23,ma!$A:$B,2,0)</f>
        <v>#N/A</v>
      </c>
      <c r="E23" s="218"/>
      <c r="F23" s="218"/>
      <c r="G23" s="218"/>
      <c r="H23" s="218"/>
      <c r="I23" s="219"/>
      <c r="J23" s="218"/>
      <c r="K23" s="276">
        <v>1</v>
      </c>
      <c r="L23" s="221" t="e">
        <f>VLOOKUP($B23,ma!$A:$C,3,0)</f>
        <v>#N/A</v>
      </c>
      <c r="M23" s="221" t="e">
        <f>VLOOKUP($B23,ma!$A:$C,3,0)</f>
        <v>#N/A</v>
      </c>
      <c r="N23" s="81"/>
      <c r="O23" s="442"/>
      <c r="P23" s="443"/>
      <c r="Q23" s="444" t="s">
        <v>2665</v>
      </c>
      <c r="R23" s="445">
        <v>220000</v>
      </c>
      <c r="S23" s="446"/>
      <c r="T23" s="447">
        <f t="shared" si="3"/>
        <v>220000</v>
      </c>
      <c r="U23" s="426"/>
    </row>
    <row r="24" spans="1:21">
      <c r="A24" s="352">
        <v>19</v>
      </c>
      <c r="B24" s="215"/>
      <c r="C24" s="216"/>
      <c r="D24" s="217" t="e">
        <f>VLOOKUP($B24,ma!$A:$B,2,0)</f>
        <v>#N/A</v>
      </c>
      <c r="E24" s="218"/>
      <c r="F24" s="218"/>
      <c r="G24" s="218"/>
      <c r="H24" s="218"/>
      <c r="I24" s="219"/>
      <c r="J24" s="218"/>
      <c r="K24" s="276">
        <v>1</v>
      </c>
      <c r="L24" s="221" t="e">
        <f>VLOOKUP($B24,ma!$A:$C,3,0)</f>
        <v>#N/A</v>
      </c>
      <c r="M24" s="221" t="e">
        <f>VLOOKUP($B24,ma!$A:$C,3,0)</f>
        <v>#N/A</v>
      </c>
      <c r="N24" s="81"/>
      <c r="O24" s="442"/>
      <c r="P24" s="443"/>
      <c r="Q24" s="444" t="s">
        <v>2666</v>
      </c>
      <c r="R24" s="445">
        <v>300000</v>
      </c>
      <c r="S24" s="446"/>
      <c r="T24" s="447">
        <f t="shared" si="3"/>
        <v>300000</v>
      </c>
      <c r="U24" s="426"/>
    </row>
    <row r="25" spans="1:21">
      <c r="A25" s="352">
        <v>20</v>
      </c>
      <c r="B25" s="215"/>
      <c r="C25" s="216"/>
      <c r="D25" s="217" t="e">
        <f>VLOOKUP($B25,ma!$A:$B,2,0)</f>
        <v>#N/A</v>
      </c>
      <c r="E25" s="218"/>
      <c r="F25" s="218"/>
      <c r="G25" s="218"/>
      <c r="H25" s="218"/>
      <c r="I25" s="219"/>
      <c r="J25" s="218"/>
      <c r="K25" s="276">
        <v>1</v>
      </c>
      <c r="L25" s="221" t="e">
        <f>VLOOKUP($B25,ma!$A:$C,3,0)</f>
        <v>#N/A</v>
      </c>
      <c r="M25" s="221" t="e">
        <f>VLOOKUP($B25,ma!$A:$C,3,0)</f>
        <v>#N/A</v>
      </c>
      <c r="N25" s="81"/>
      <c r="O25" s="442"/>
      <c r="P25" s="443"/>
      <c r="Q25" s="444" t="s">
        <v>2667</v>
      </c>
      <c r="R25" s="446"/>
      <c r="S25" s="445">
        <v>1300000</v>
      </c>
      <c r="T25" s="447">
        <f t="shared" si="3"/>
        <v>1300000</v>
      </c>
      <c r="U25" s="426"/>
    </row>
    <row r="26" spans="1:21">
      <c r="A26" s="352">
        <v>21</v>
      </c>
      <c r="B26" s="215"/>
      <c r="C26" s="216"/>
      <c r="D26" s="217" t="e">
        <f>VLOOKUP($B26,ma!$A:$B,2,0)</f>
        <v>#N/A</v>
      </c>
      <c r="E26" s="218"/>
      <c r="F26" s="218"/>
      <c r="G26" s="218"/>
      <c r="H26" s="218"/>
      <c r="I26" s="219"/>
      <c r="J26" s="218"/>
      <c r="K26" s="276">
        <v>1</v>
      </c>
      <c r="L26" s="221" t="e">
        <f>VLOOKUP($B26,ma!$A:$C,3,0)</f>
        <v>#N/A</v>
      </c>
      <c r="M26" s="221" t="e">
        <f>VLOOKUP($B26,ma!$A:$C,3,0)</f>
        <v>#N/A</v>
      </c>
      <c r="N26" s="81"/>
      <c r="O26" s="442"/>
      <c r="P26" s="443"/>
      <c r="Q26" s="444" t="s">
        <v>2668</v>
      </c>
      <c r="R26" s="445">
        <v>720000</v>
      </c>
      <c r="S26" s="446"/>
      <c r="T26" s="447">
        <f t="shared" si="3"/>
        <v>720000</v>
      </c>
      <c r="U26" s="426"/>
    </row>
    <row r="27" spans="1:21">
      <c r="A27" s="352">
        <v>22</v>
      </c>
      <c r="B27" s="215"/>
      <c r="C27" s="216"/>
      <c r="D27" s="217" t="e">
        <f>VLOOKUP($B27,ma!$A:$B,2,0)</f>
        <v>#N/A</v>
      </c>
      <c r="E27" s="218"/>
      <c r="F27" s="218"/>
      <c r="G27" s="218"/>
      <c r="H27" s="448"/>
      <c r="I27" s="419"/>
      <c r="J27" s="218"/>
      <c r="K27" s="276">
        <v>1</v>
      </c>
      <c r="L27" s="221" t="e">
        <f>VLOOKUP($B27,ma!$A:$C,3,0)</f>
        <v>#N/A</v>
      </c>
      <c r="M27" s="221" t="e">
        <f>VLOOKUP($B27,ma!$A:$C,3,0)</f>
        <v>#N/A</v>
      </c>
      <c r="N27" s="81"/>
      <c r="O27" s="442"/>
      <c r="P27" s="443"/>
      <c r="Q27" s="444" t="s">
        <v>2669</v>
      </c>
      <c r="R27" s="446"/>
      <c r="S27" s="445">
        <v>600000</v>
      </c>
      <c r="T27" s="447">
        <f t="shared" si="3"/>
        <v>600000</v>
      </c>
      <c r="U27" s="426"/>
    </row>
    <row r="28" spans="1:21">
      <c r="A28" s="352">
        <v>23</v>
      </c>
      <c r="B28" s="215"/>
      <c r="C28" s="216"/>
      <c r="D28" s="217" t="e">
        <f>VLOOKUP($B28,ma!$A:$B,2,0)</f>
        <v>#N/A</v>
      </c>
      <c r="E28" s="218"/>
      <c r="F28" s="218"/>
      <c r="G28" s="218"/>
      <c r="H28" s="448"/>
      <c r="I28" s="219"/>
      <c r="J28" s="218"/>
      <c r="K28" s="276">
        <v>1</v>
      </c>
      <c r="L28" s="221" t="e">
        <f>VLOOKUP($B28,ma!$A:$C,3,0)</f>
        <v>#N/A</v>
      </c>
      <c r="M28" s="221" t="e">
        <f>VLOOKUP($B28,ma!$A:$C,3,0)</f>
        <v>#N/A</v>
      </c>
      <c r="N28" s="81"/>
      <c r="O28" s="449"/>
      <c r="P28" s="450"/>
      <c r="Q28" s="451"/>
      <c r="R28" s="452"/>
      <c r="S28" s="452"/>
      <c r="T28" s="436">
        <f>SUM(T18:T27)</f>
        <v>4520000</v>
      </c>
      <c r="U28" s="418">
        <f>T28</f>
        <v>4520000</v>
      </c>
    </row>
    <row r="29" spans="1:21">
      <c r="A29" s="352">
        <v>24</v>
      </c>
      <c r="B29" s="215"/>
      <c r="C29" s="216"/>
      <c r="D29" s="217" t="e">
        <f>VLOOKUP($B29,ma!$A:$B,2,0)</f>
        <v>#N/A</v>
      </c>
      <c r="E29" s="218"/>
      <c r="F29" s="218"/>
      <c r="G29" s="218"/>
      <c r="H29" s="448"/>
      <c r="I29" s="219"/>
      <c r="J29" s="218"/>
      <c r="K29" s="276">
        <v>1</v>
      </c>
      <c r="L29" s="221" t="e">
        <f>VLOOKUP($B29,ma!$A:$C,3,0)</f>
        <v>#N/A</v>
      </c>
      <c r="M29" s="221" t="e">
        <f>VLOOKUP($B29,ma!$A:$C,3,0)</f>
        <v>#N/A</v>
      </c>
      <c r="N29" s="81"/>
      <c r="O29" s="453">
        <v>45830</v>
      </c>
      <c r="P29" s="454" t="s">
        <v>2670</v>
      </c>
      <c r="Q29" s="422" t="s">
        <v>2671</v>
      </c>
      <c r="R29" s="455">
        <v>800000</v>
      </c>
      <c r="S29" s="409"/>
      <c r="T29" s="410">
        <f t="shared" ref="T29:T31" si="4">SUM(R29:S29)</f>
        <v>800000</v>
      </c>
      <c r="U29" s="426"/>
    </row>
    <row r="30" spans="1:21">
      <c r="A30" s="352">
        <v>25</v>
      </c>
      <c r="B30" s="215"/>
      <c r="C30" s="216"/>
      <c r="D30" s="217" t="e">
        <f>VLOOKUP($B30,ma!$A:$B,2,0)</f>
        <v>#N/A</v>
      </c>
      <c r="E30" s="218"/>
      <c r="F30" s="218"/>
      <c r="G30" s="218"/>
      <c r="H30" s="448"/>
      <c r="I30" s="219"/>
      <c r="J30" s="218"/>
      <c r="K30" s="276">
        <v>1</v>
      </c>
      <c r="L30" s="221" t="e">
        <f>VLOOKUP($B30,ma!$A:$C,3,0)</f>
        <v>#N/A</v>
      </c>
      <c r="M30" s="221" t="e">
        <f>VLOOKUP($B30,ma!$A:$C,3,0)</f>
        <v>#N/A</v>
      </c>
      <c r="N30" s="81"/>
      <c r="O30" s="456"/>
      <c r="P30" s="457"/>
      <c r="Q30" s="427" t="s">
        <v>2672</v>
      </c>
      <c r="R30" s="455">
        <v>600000</v>
      </c>
      <c r="S30" s="425">
        <v>400000</v>
      </c>
      <c r="T30" s="410">
        <f t="shared" si="4"/>
        <v>1000000</v>
      </c>
      <c r="U30" s="426"/>
    </row>
    <row r="31" spans="1:21">
      <c r="A31" s="352">
        <v>26</v>
      </c>
      <c r="B31" s="215"/>
      <c r="C31" s="216"/>
      <c r="D31" s="217" t="e">
        <f>VLOOKUP($B31,ma!$A:$B,2,0)</f>
        <v>#N/A</v>
      </c>
      <c r="E31" s="218"/>
      <c r="F31" s="218"/>
      <c r="G31" s="218"/>
      <c r="H31" s="448"/>
      <c r="I31" s="219"/>
      <c r="J31" s="218"/>
      <c r="K31" s="276">
        <v>1</v>
      </c>
      <c r="L31" s="221" t="e">
        <f>VLOOKUP($B31,ma!$A:$C,3,0)</f>
        <v>#N/A</v>
      </c>
      <c r="M31" s="221" t="e">
        <f>VLOOKUP($B31,ma!$A:$C,3,0)</f>
        <v>#N/A</v>
      </c>
      <c r="N31" s="81"/>
      <c r="O31" s="458"/>
      <c r="P31" s="459"/>
      <c r="Q31" s="460" t="s">
        <v>2673</v>
      </c>
      <c r="R31" s="461">
        <v>100000</v>
      </c>
      <c r="S31" s="462"/>
      <c r="T31" s="463">
        <f t="shared" si="4"/>
        <v>100000</v>
      </c>
      <c r="U31" s="418">
        <f>SUM(T29:T31)</f>
        <v>1900000</v>
      </c>
    </row>
    <row r="32" spans="1:21">
      <c r="A32" s="352">
        <v>27</v>
      </c>
      <c r="B32" s="215"/>
      <c r="C32" s="216"/>
      <c r="D32" s="217" t="e">
        <f>VLOOKUP($B32,ma!$A:$B,2,0)</f>
        <v>#N/A</v>
      </c>
      <c r="E32" s="218"/>
      <c r="F32" s="218"/>
      <c r="G32" s="218"/>
      <c r="H32" s="218"/>
      <c r="I32" s="219"/>
      <c r="J32" s="218"/>
      <c r="K32" s="276">
        <v>1</v>
      </c>
      <c r="L32" s="221" t="e">
        <f>VLOOKUP($B32,ma!$A:$C,3,0)</f>
        <v>#N/A</v>
      </c>
      <c r="M32" s="221" t="e">
        <f>VLOOKUP($B32,ma!$A:$C,3,0)</f>
        <v>#N/A</v>
      </c>
      <c r="N32" s="81"/>
      <c r="O32" s="464">
        <v>45846</v>
      </c>
      <c r="P32" s="465"/>
      <c r="Q32" s="466" t="s">
        <v>2674</v>
      </c>
      <c r="R32" s="467">
        <v>250000</v>
      </c>
      <c r="S32" s="467"/>
      <c r="T32" s="468">
        <f t="shared" ref="T32:T38" si="5">SUM(R32:S32)</f>
        <v>250000</v>
      </c>
      <c r="U32" s="469">
        <f>T32</f>
        <v>250000</v>
      </c>
    </row>
    <row r="33" spans="1:21">
      <c r="A33" s="352">
        <v>28</v>
      </c>
      <c r="B33" s="215"/>
      <c r="C33" s="216"/>
      <c r="D33" s="217" t="e">
        <f>VLOOKUP($B33,ma!$A:$B,2,0)</f>
        <v>#N/A</v>
      </c>
      <c r="E33" s="218"/>
      <c r="F33" s="218"/>
      <c r="G33" s="218"/>
      <c r="H33" s="218"/>
      <c r="I33" s="219"/>
      <c r="J33" s="218"/>
      <c r="K33" s="276">
        <v>1</v>
      </c>
      <c r="L33" s="221" t="e">
        <f>VLOOKUP($B33,ma!$A:$C,3,0)</f>
        <v>#N/A</v>
      </c>
      <c r="M33" s="221" t="e">
        <f>VLOOKUP($B33,ma!$A:$C,3,0)</f>
        <v>#N/A</v>
      </c>
      <c r="N33" s="81"/>
      <c r="O33" s="464"/>
      <c r="P33" s="465"/>
      <c r="Q33" s="466"/>
      <c r="R33" s="467"/>
      <c r="S33" s="467"/>
      <c r="T33" s="468">
        <f t="shared" si="5"/>
        <v>0</v>
      </c>
      <c r="U33" s="469"/>
    </row>
    <row r="34" spans="1:21">
      <c r="A34" s="352">
        <v>29</v>
      </c>
      <c r="B34" s="215"/>
      <c r="C34" s="216"/>
      <c r="D34" s="217" t="e">
        <f>VLOOKUP($B34,ma!$A:$B,2,0)</f>
        <v>#N/A</v>
      </c>
      <c r="E34" s="218"/>
      <c r="F34" s="218"/>
      <c r="G34" s="218"/>
      <c r="H34" s="218"/>
      <c r="I34" s="219"/>
      <c r="J34" s="218"/>
      <c r="K34" s="276">
        <v>1</v>
      </c>
      <c r="L34" s="221" t="e">
        <f>VLOOKUP($B34,ma!$A:$C,3,0)</f>
        <v>#N/A</v>
      </c>
      <c r="M34" s="221" t="e">
        <f>VLOOKUP($B34,ma!$A:$C,3,0)</f>
        <v>#N/A</v>
      </c>
      <c r="N34" s="81"/>
      <c r="O34" s="464"/>
      <c r="P34" s="465"/>
      <c r="Q34" s="466"/>
      <c r="R34" s="467"/>
      <c r="S34" s="467"/>
      <c r="T34" s="468">
        <f t="shared" si="5"/>
        <v>0</v>
      </c>
      <c r="U34" s="469"/>
    </row>
    <row r="35" spans="1:21">
      <c r="A35" s="352">
        <v>30</v>
      </c>
      <c r="B35" s="215"/>
      <c r="C35" s="216"/>
      <c r="D35" s="217" t="e">
        <f>VLOOKUP($B35,ma!$A:$B,2,0)</f>
        <v>#N/A</v>
      </c>
      <c r="E35" s="218"/>
      <c r="F35" s="218"/>
      <c r="G35" s="218"/>
      <c r="H35" s="218"/>
      <c r="I35" s="419"/>
      <c r="J35" s="218"/>
      <c r="K35" s="276">
        <v>1</v>
      </c>
      <c r="L35" s="221" t="e">
        <f>VLOOKUP($B35,ma!$A:$C,3,0)</f>
        <v>#N/A</v>
      </c>
      <c r="M35" s="221" t="e">
        <f>VLOOKUP($B35,ma!$A:$C,3,0)</f>
        <v>#N/A</v>
      </c>
      <c r="N35" s="81"/>
      <c r="O35" s="464"/>
      <c r="P35" s="465"/>
      <c r="Q35" s="466"/>
      <c r="R35" s="467"/>
      <c r="S35" s="467"/>
      <c r="T35" s="468">
        <f t="shared" si="5"/>
        <v>0</v>
      </c>
      <c r="U35" s="469"/>
    </row>
    <row r="36" spans="1:21">
      <c r="A36" s="352">
        <v>31</v>
      </c>
      <c r="B36" s="215"/>
      <c r="C36" s="390"/>
      <c r="D36" s="217" t="e">
        <f>VLOOKUP($B36,ma!$A:$B,2,0)</f>
        <v>#N/A</v>
      </c>
      <c r="E36" s="218"/>
      <c r="F36" s="218"/>
      <c r="G36" s="218"/>
      <c r="H36" s="218"/>
      <c r="I36" s="419"/>
      <c r="J36" s="218"/>
      <c r="K36" s="276">
        <v>1</v>
      </c>
      <c r="L36" s="221" t="e">
        <f>VLOOKUP($B36,ma!$A:$C,3,0)</f>
        <v>#N/A</v>
      </c>
      <c r="M36" s="221" t="e">
        <f>VLOOKUP($B36,ma!$A:$C,3,0)</f>
        <v>#N/A</v>
      </c>
      <c r="N36" s="81"/>
      <c r="O36" s="464"/>
      <c r="P36" s="465"/>
      <c r="Q36" s="466"/>
      <c r="R36" s="467"/>
      <c r="S36" s="467"/>
      <c r="T36" s="468">
        <f t="shared" si="5"/>
        <v>0</v>
      </c>
      <c r="U36" s="469"/>
    </row>
    <row r="37" spans="1:21">
      <c r="A37" s="352">
        <v>32</v>
      </c>
      <c r="B37" s="215"/>
      <c r="C37" s="216"/>
      <c r="D37" s="217" t="e">
        <f>VLOOKUP($B37,ma!$A:$B,2,0)</f>
        <v>#N/A</v>
      </c>
      <c r="E37" s="218"/>
      <c r="F37" s="218"/>
      <c r="G37" s="218"/>
      <c r="H37" s="218"/>
      <c r="I37" s="419"/>
      <c r="J37" s="218"/>
      <c r="K37" s="276">
        <v>1</v>
      </c>
      <c r="L37" s="221" t="e">
        <f>VLOOKUP($B37,ma!$A:$C,3,0)</f>
        <v>#N/A</v>
      </c>
      <c r="M37" s="221" t="e">
        <f>VLOOKUP($B37,ma!$A:$C,3,0)</f>
        <v>#N/A</v>
      </c>
      <c r="N37" s="81"/>
      <c r="O37" s="464"/>
      <c r="P37" s="465"/>
      <c r="Q37" s="466"/>
      <c r="R37" s="467"/>
      <c r="S37" s="467"/>
      <c r="T37" s="468">
        <f t="shared" si="5"/>
        <v>0</v>
      </c>
      <c r="U37" s="469"/>
    </row>
    <row r="38" spans="1:21">
      <c r="A38" s="198"/>
      <c r="B38" s="205"/>
      <c r="C38" s="503" t="s">
        <v>2581</v>
      </c>
      <c r="D38" s="504"/>
      <c r="E38" s="346"/>
      <c r="F38" s="347" t="s">
        <v>2639</v>
      </c>
      <c r="G38" s="346">
        <f>SUM(G6:G37)</f>
        <v>0</v>
      </c>
      <c r="H38" s="346"/>
      <c r="I38" s="254">
        <f>SUM(I6:I37)</f>
        <v>900000</v>
      </c>
      <c r="J38" s="346"/>
      <c r="K38" s="347">
        <v>32</v>
      </c>
      <c r="L38" s="348"/>
      <c r="M38" s="470" t="e">
        <f>SUM(M6:M37)</f>
        <v>#N/A</v>
      </c>
      <c r="N38" s="81"/>
      <c r="O38" s="363"/>
      <c r="P38" s="471">
        <f>SUM(P6:P37)</f>
        <v>0</v>
      </c>
      <c r="Q38" s="363"/>
      <c r="R38" s="467"/>
      <c r="S38" s="467"/>
      <c r="T38" s="468">
        <f t="shared" si="5"/>
        <v>0</v>
      </c>
      <c r="U38" s="469"/>
    </row>
    <row r="39" spans="1:21">
      <c r="A39" s="198"/>
      <c r="B39" s="202"/>
      <c r="C39" s="253" t="s">
        <v>2607</v>
      </c>
      <c r="D39" s="347" t="s">
        <v>2675</v>
      </c>
      <c r="E39" s="251"/>
      <c r="F39" s="251"/>
      <c r="G39" s="251"/>
      <c r="H39" s="251"/>
      <c r="I39" s="472"/>
      <c r="J39" s="205"/>
      <c r="K39" s="205"/>
      <c r="L39" s="394"/>
      <c r="M39" s="472"/>
      <c r="N39" s="81"/>
      <c r="O39" s="261"/>
      <c r="P39" s="396"/>
      <c r="Q39" s="261"/>
      <c r="R39" s="261"/>
      <c r="S39" s="261"/>
    </row>
    <row r="40" spans="1:21">
      <c r="A40" s="198"/>
      <c r="B40" s="202"/>
      <c r="C40" s="260" t="s">
        <v>2610</v>
      </c>
      <c r="D40" s="256">
        <f>G38+I38</f>
        <v>900000</v>
      </c>
      <c r="E40" s="251"/>
      <c r="F40" s="251"/>
      <c r="G40" s="505" t="s">
        <v>2611</v>
      </c>
      <c r="H40" s="506"/>
      <c r="I40" s="472"/>
      <c r="J40" s="205"/>
      <c r="K40" s="205"/>
      <c r="L40" s="251"/>
      <c r="M40" s="473"/>
      <c r="N40" s="81"/>
      <c r="O40" s="252"/>
      <c r="P40" s="474"/>
      <c r="Q40" s="261"/>
      <c r="R40" s="261"/>
      <c r="S40" s="261"/>
    </row>
    <row r="41" spans="1:21">
      <c r="A41" s="198"/>
      <c r="B41" s="202"/>
      <c r="C41" s="260" t="s">
        <v>2613</v>
      </c>
      <c r="D41" s="256" t="s">
        <v>2614</v>
      </c>
      <c r="E41" s="251"/>
      <c r="F41" s="251"/>
      <c r="G41" s="371">
        <v>45658</v>
      </c>
      <c r="H41" s="475"/>
      <c r="I41" s="205"/>
      <c r="J41" s="205"/>
      <c r="K41" s="205"/>
      <c r="L41" s="251"/>
      <c r="M41" s="205"/>
      <c r="N41" s="81"/>
      <c r="O41" s="367"/>
      <c r="P41" s="476"/>
      <c r="Q41" s="261"/>
      <c r="R41" s="261"/>
      <c r="S41" s="261"/>
    </row>
    <row r="42" spans="1:21">
      <c r="A42" s="198"/>
      <c r="B42" s="202"/>
      <c r="C42" s="373"/>
      <c r="D42" s="477"/>
      <c r="E42" s="257"/>
      <c r="F42" s="251"/>
      <c r="G42" s="371">
        <v>45689</v>
      </c>
      <c r="H42" s="372"/>
      <c r="I42" s="205"/>
      <c r="J42" s="205"/>
      <c r="K42" s="205"/>
      <c r="L42" s="251"/>
      <c r="M42" s="205"/>
      <c r="N42" s="252"/>
      <c r="O42" s="252"/>
      <c r="P42" s="476"/>
      <c r="Q42" s="261"/>
      <c r="R42" s="261"/>
      <c r="S42" s="261"/>
    </row>
    <row r="43" spans="1:21">
      <c r="A43" s="198"/>
      <c r="B43" s="202"/>
      <c r="C43" s="260" t="s">
        <v>2487</v>
      </c>
      <c r="D43" s="256" t="s">
        <v>2617</v>
      </c>
      <c r="E43" s="251"/>
      <c r="F43" s="251"/>
      <c r="G43" s="371">
        <v>45717</v>
      </c>
      <c r="H43" s="377"/>
      <c r="I43" s="205"/>
      <c r="J43" s="205"/>
      <c r="K43" s="251"/>
      <c r="L43" s="251"/>
      <c r="M43" s="205"/>
      <c r="N43" s="252"/>
      <c r="O43" s="261"/>
      <c r="P43" s="396"/>
      <c r="Q43" s="261"/>
      <c r="R43" s="261"/>
      <c r="S43" s="261"/>
    </row>
    <row r="44" spans="1:21">
      <c r="A44" s="198"/>
      <c r="B44" s="202"/>
      <c r="C44" s="260" t="s">
        <v>2551</v>
      </c>
      <c r="D44" s="256" t="s">
        <v>2676</v>
      </c>
      <c r="E44" s="251"/>
      <c r="F44" s="251"/>
      <c r="G44" s="371">
        <v>45748</v>
      </c>
      <c r="H44" s="377"/>
      <c r="I44" s="205"/>
      <c r="J44" s="198"/>
      <c r="K44" s="251"/>
      <c r="L44" s="251"/>
      <c r="M44" s="205"/>
      <c r="N44" s="252"/>
      <c r="O44" s="261"/>
      <c r="P44" s="396"/>
      <c r="Q44" s="261"/>
      <c r="R44" s="261"/>
      <c r="S44" s="261"/>
    </row>
    <row r="45" spans="1:21">
      <c r="A45" s="198"/>
      <c r="B45" s="198"/>
      <c r="C45" s="198"/>
      <c r="D45" s="378"/>
      <c r="E45" s="198"/>
      <c r="F45" s="198"/>
      <c r="G45" s="371">
        <v>45778</v>
      </c>
      <c r="H45" s="377"/>
      <c r="I45" s="198"/>
      <c r="J45" s="198"/>
      <c r="K45" s="198"/>
      <c r="L45" s="198"/>
      <c r="M45" s="198"/>
      <c r="N45" s="252"/>
      <c r="O45" s="252"/>
      <c r="P45" s="474"/>
      <c r="Q45" s="261"/>
      <c r="R45" s="261"/>
      <c r="S45" s="261"/>
    </row>
    <row r="46" spans="1:21">
      <c r="A46" s="198"/>
      <c r="B46" s="198"/>
      <c r="C46" s="198"/>
      <c r="D46" s="378"/>
      <c r="E46" s="198"/>
      <c r="F46" s="198"/>
      <c r="G46" s="371">
        <v>45809</v>
      </c>
      <c r="H46" s="378"/>
      <c r="I46" s="198"/>
      <c r="J46" s="198"/>
      <c r="K46" s="198"/>
      <c r="L46" s="198"/>
      <c r="M46" s="198"/>
      <c r="N46" s="252"/>
      <c r="O46" s="252"/>
      <c r="P46" s="474"/>
      <c r="Q46" s="261"/>
      <c r="R46" s="261"/>
      <c r="S46" s="261"/>
    </row>
    <row r="47" spans="1:21">
      <c r="A47" s="198"/>
      <c r="B47" s="198"/>
      <c r="C47" s="198"/>
      <c r="D47" s="378"/>
      <c r="E47" s="198"/>
      <c r="F47" s="198"/>
      <c r="G47" s="371">
        <v>45839</v>
      </c>
      <c r="H47" s="377">
        <v>-1400000</v>
      </c>
      <c r="I47" s="198"/>
      <c r="J47" s="198"/>
      <c r="K47" s="198"/>
      <c r="L47" s="198"/>
      <c r="M47" s="198"/>
      <c r="N47" s="261"/>
      <c r="O47" s="367"/>
      <c r="P47" s="476"/>
      <c r="Q47" s="261"/>
      <c r="R47" s="261"/>
      <c r="S47" s="261"/>
    </row>
    <row r="48" spans="1:21">
      <c r="A48" s="198"/>
      <c r="B48" s="198"/>
      <c r="C48" s="198" t="s">
        <v>2677</v>
      </c>
      <c r="D48" s="378">
        <v>-33618000</v>
      </c>
      <c r="E48" s="198"/>
      <c r="F48" s="198"/>
      <c r="G48" s="371">
        <v>45870</v>
      </c>
      <c r="H48" s="377">
        <v>5160000</v>
      </c>
      <c r="I48" s="198"/>
      <c r="J48" s="198"/>
      <c r="K48" s="198"/>
      <c r="L48" s="198"/>
      <c r="M48" s="198"/>
      <c r="N48" s="261"/>
      <c r="O48" s="252"/>
      <c r="P48" s="476"/>
      <c r="Q48" s="261"/>
      <c r="R48" s="261"/>
      <c r="S48" s="261"/>
    </row>
    <row r="49" spans="1:19">
      <c r="A49" s="198"/>
      <c r="B49" s="198"/>
      <c r="C49" s="198"/>
      <c r="D49" s="198"/>
      <c r="E49" s="198"/>
      <c r="F49" s="198"/>
      <c r="G49" s="371">
        <v>45901</v>
      </c>
      <c r="H49" s="378">
        <v>9800000</v>
      </c>
      <c r="I49" s="198"/>
      <c r="J49" s="198"/>
      <c r="K49" s="198"/>
      <c r="L49" s="198"/>
      <c r="M49" s="198"/>
      <c r="N49" s="261"/>
      <c r="O49" s="261"/>
      <c r="P49" s="396"/>
      <c r="Q49" s="261"/>
      <c r="R49" s="261"/>
      <c r="S49" s="261"/>
    </row>
    <row r="50" spans="1:19">
      <c r="A50" s="198"/>
      <c r="B50" s="198"/>
      <c r="C50" s="198"/>
      <c r="D50" s="198"/>
      <c r="E50" s="198"/>
      <c r="F50" s="198"/>
      <c r="G50" s="371">
        <v>45931</v>
      </c>
      <c r="H50" s="378">
        <v>12165000</v>
      </c>
      <c r="I50" s="198"/>
      <c r="J50" s="198"/>
      <c r="K50" s="198"/>
      <c r="L50" s="198"/>
      <c r="M50" s="198"/>
      <c r="N50" s="261"/>
      <c r="O50" s="261"/>
      <c r="P50" s="396"/>
      <c r="Q50" s="261"/>
      <c r="R50" s="261"/>
      <c r="S50" s="261"/>
    </row>
    <row r="51" spans="1:19">
      <c r="A51" s="198"/>
      <c r="B51" s="198"/>
      <c r="C51" s="198"/>
      <c r="D51" s="198"/>
      <c r="E51" s="198"/>
      <c r="F51" s="198"/>
      <c r="G51" s="381">
        <v>45962</v>
      </c>
      <c r="H51" s="378">
        <v>12777000</v>
      </c>
      <c r="I51" s="198"/>
      <c r="J51" s="198"/>
      <c r="K51" s="198"/>
      <c r="L51" s="198"/>
      <c r="M51" s="198"/>
      <c r="N51" s="261"/>
      <c r="O51" s="261"/>
      <c r="P51" s="396"/>
      <c r="Q51" s="261"/>
      <c r="R51" s="261"/>
      <c r="S51" s="261"/>
    </row>
    <row r="52" spans="1:19">
      <c r="A52" s="198"/>
      <c r="B52" s="198"/>
      <c r="C52" s="198"/>
      <c r="D52" s="198"/>
      <c r="E52" s="198"/>
      <c r="F52" s="198"/>
      <c r="G52" s="381">
        <v>45992</v>
      </c>
      <c r="H52" s="378"/>
      <c r="I52" s="198"/>
      <c r="J52" s="198"/>
      <c r="K52" s="198"/>
      <c r="L52" s="198"/>
      <c r="M52" s="198"/>
      <c r="N52" s="261"/>
      <c r="O52" s="261"/>
      <c r="P52" s="396"/>
      <c r="Q52" s="261"/>
      <c r="R52" s="261"/>
      <c r="S52" s="261"/>
    </row>
    <row r="53" spans="1:19">
      <c r="A53" s="198"/>
      <c r="B53" s="198"/>
      <c r="C53" s="198"/>
      <c r="D53" s="198"/>
      <c r="E53" s="198"/>
      <c r="F53" s="198"/>
      <c r="G53" s="478"/>
      <c r="H53" s="479"/>
      <c r="I53" s="198"/>
      <c r="J53" s="198"/>
      <c r="K53" s="198"/>
      <c r="L53" s="198"/>
      <c r="M53" s="198"/>
      <c r="N53" s="261"/>
      <c r="O53" s="261"/>
      <c r="P53" s="396"/>
      <c r="Q53" s="261"/>
      <c r="R53" s="261"/>
      <c r="S53" s="261"/>
    </row>
    <row r="54" spans="1:19">
      <c r="A54" s="261"/>
      <c r="B54" s="261"/>
      <c r="C54" s="261"/>
      <c r="D54" s="261"/>
      <c r="E54" s="261"/>
      <c r="F54" s="261"/>
      <c r="G54" s="478"/>
      <c r="H54" s="479"/>
      <c r="I54" s="198"/>
      <c r="J54" s="198"/>
      <c r="K54" s="261"/>
      <c r="L54" s="261"/>
      <c r="M54" s="261"/>
      <c r="N54" s="261"/>
      <c r="O54" s="261"/>
      <c r="P54" s="396"/>
      <c r="Q54" s="261"/>
      <c r="R54" s="261"/>
      <c r="S54" s="261"/>
    </row>
    <row r="55" spans="1:19">
      <c r="A55" s="261"/>
      <c r="B55" s="261"/>
      <c r="C55" s="261"/>
      <c r="D55" s="261"/>
      <c r="E55" s="261"/>
      <c r="F55" s="261"/>
      <c r="I55" s="261" t="s">
        <v>2552</v>
      </c>
      <c r="J55" s="380">
        <f>SUM(H41:H54)</f>
        <v>38502000</v>
      </c>
      <c r="K55" s="261"/>
      <c r="L55" s="261"/>
      <c r="M55" s="261"/>
      <c r="N55" s="261"/>
      <c r="O55" s="261"/>
      <c r="P55" s="396"/>
      <c r="Q55" s="261"/>
      <c r="R55" s="261"/>
      <c r="S55" s="261"/>
    </row>
    <row r="56" spans="1:19" ht="15.75" customHeight="1">
      <c r="P56" s="480"/>
    </row>
    <row r="57" spans="1:19" ht="15.75" customHeight="1">
      <c r="P57" s="480"/>
    </row>
    <row r="58" spans="1:19" ht="15.75" customHeight="1">
      <c r="P58" s="480"/>
    </row>
    <row r="59" spans="1:19" ht="15.75" customHeight="1">
      <c r="P59" s="480"/>
    </row>
    <row r="60" spans="1:19" ht="15.75" customHeight="1">
      <c r="P60" s="480"/>
    </row>
    <row r="61" spans="1:19" ht="15.75" customHeight="1">
      <c r="P61" s="480"/>
    </row>
    <row r="62" spans="1:19" ht="15.75" customHeight="1">
      <c r="P62" s="480"/>
    </row>
    <row r="63" spans="1:19" ht="15.75" customHeight="1">
      <c r="P63" s="480"/>
    </row>
    <row r="64" spans="1:19" ht="15.75" customHeight="1">
      <c r="P64" s="480"/>
    </row>
    <row r="65" spans="16:16" ht="15.75" customHeight="1">
      <c r="P65" s="480"/>
    </row>
    <row r="66" spans="16:16" ht="15.75" customHeight="1">
      <c r="P66" s="480"/>
    </row>
    <row r="67" spans="16:16" ht="15.75" customHeight="1">
      <c r="P67" s="480"/>
    </row>
    <row r="68" spans="16:16" ht="15.75" customHeight="1">
      <c r="P68" s="480"/>
    </row>
    <row r="69" spans="16:16" ht="15.75" customHeight="1">
      <c r="P69" s="480"/>
    </row>
    <row r="70" spans="16:16" ht="15.75" customHeight="1">
      <c r="P70" s="480"/>
    </row>
    <row r="71" spans="16:16" ht="15.75" customHeight="1">
      <c r="P71" s="480"/>
    </row>
    <row r="72" spans="16:16" ht="15.75" customHeight="1">
      <c r="P72" s="480"/>
    </row>
    <row r="73" spans="16:16" ht="15.75" customHeight="1">
      <c r="P73" s="480"/>
    </row>
    <row r="74" spans="16:16" ht="15.75" customHeight="1">
      <c r="P74" s="480"/>
    </row>
    <row r="75" spans="16:16" ht="15.75" customHeight="1">
      <c r="P75" s="480"/>
    </row>
    <row r="76" spans="16:16" ht="15.75" customHeight="1">
      <c r="P76" s="480"/>
    </row>
    <row r="77" spans="16:16" ht="15.75" customHeight="1">
      <c r="P77" s="480"/>
    </row>
    <row r="78" spans="16:16" ht="15.75" customHeight="1">
      <c r="P78" s="480"/>
    </row>
    <row r="79" spans="16:16" ht="15.75" customHeight="1">
      <c r="P79" s="480"/>
    </row>
    <row r="80" spans="16:16" ht="15.75" customHeight="1">
      <c r="P80" s="480"/>
    </row>
    <row r="81" spans="16:16" ht="15.75" customHeight="1">
      <c r="P81" s="480"/>
    </row>
    <row r="82" spans="16:16" ht="15.75" customHeight="1">
      <c r="P82" s="480"/>
    </row>
    <row r="83" spans="16:16" ht="15.75" customHeight="1">
      <c r="P83" s="480"/>
    </row>
    <row r="84" spans="16:16" ht="15.75" customHeight="1">
      <c r="P84" s="480"/>
    </row>
    <row r="85" spans="16:16" ht="15.75" customHeight="1">
      <c r="P85" s="480"/>
    </row>
    <row r="86" spans="16:16" ht="15.75" customHeight="1">
      <c r="P86" s="480"/>
    </row>
    <row r="87" spans="16:16" ht="15.75" customHeight="1">
      <c r="P87" s="480"/>
    </row>
    <row r="88" spans="16:16" ht="15.75" customHeight="1">
      <c r="P88" s="480"/>
    </row>
    <row r="89" spans="16:16" ht="15.75" customHeight="1">
      <c r="P89" s="480"/>
    </row>
    <row r="90" spans="16:16" ht="15.75" customHeight="1">
      <c r="P90" s="480"/>
    </row>
    <row r="91" spans="16:16" ht="15.75" customHeight="1">
      <c r="P91" s="480"/>
    </row>
    <row r="92" spans="16:16" ht="15.75" customHeight="1">
      <c r="P92" s="480"/>
    </row>
    <row r="93" spans="16:16" ht="15.75" customHeight="1">
      <c r="P93" s="480"/>
    </row>
    <row r="94" spans="16:16" ht="15.75" customHeight="1">
      <c r="P94" s="480"/>
    </row>
    <row r="95" spans="16:16" ht="15.75" customHeight="1">
      <c r="P95" s="480"/>
    </row>
    <row r="96" spans="16:16" ht="15.75" customHeight="1">
      <c r="P96" s="480"/>
    </row>
    <row r="97" spans="16:16" ht="15.75" customHeight="1">
      <c r="P97" s="480"/>
    </row>
    <row r="98" spans="16:16" ht="15.75" customHeight="1">
      <c r="P98" s="480"/>
    </row>
    <row r="99" spans="16:16" ht="15.75" customHeight="1">
      <c r="P99" s="480"/>
    </row>
    <row r="100" spans="16:16" ht="15.75" customHeight="1">
      <c r="P100" s="480"/>
    </row>
    <row r="101" spans="16:16" ht="15.75" customHeight="1">
      <c r="P101" s="480"/>
    </row>
    <row r="102" spans="16:16" ht="15.75" customHeight="1">
      <c r="P102" s="480"/>
    </row>
    <row r="103" spans="16:16" ht="15.75" customHeight="1">
      <c r="P103" s="480"/>
    </row>
    <row r="104" spans="16:16" ht="15.75" customHeight="1">
      <c r="P104" s="480"/>
    </row>
    <row r="105" spans="16:16" ht="15.75" customHeight="1">
      <c r="P105" s="480"/>
    </row>
    <row r="106" spans="16:16" ht="15.75" customHeight="1">
      <c r="P106" s="480"/>
    </row>
    <row r="107" spans="16:16" ht="15.75" customHeight="1">
      <c r="P107" s="480"/>
    </row>
    <row r="108" spans="16:16" ht="15.75" customHeight="1">
      <c r="P108" s="480"/>
    </row>
    <row r="109" spans="16:16" ht="15.75" customHeight="1">
      <c r="P109" s="480"/>
    </row>
    <row r="110" spans="16:16" ht="15.75" customHeight="1">
      <c r="P110" s="480"/>
    </row>
    <row r="111" spans="16:16" ht="15.75" customHeight="1">
      <c r="P111" s="480"/>
    </row>
    <row r="112" spans="16:16" ht="15.75" customHeight="1">
      <c r="P112" s="480"/>
    </row>
    <row r="113" spans="16:16" ht="15.75" customHeight="1">
      <c r="P113" s="480"/>
    </row>
    <row r="114" spans="16:16" ht="15.75" customHeight="1">
      <c r="P114" s="480"/>
    </row>
    <row r="115" spans="16:16" ht="15.75" customHeight="1">
      <c r="P115" s="480"/>
    </row>
    <row r="116" spans="16:16" ht="15.75" customHeight="1">
      <c r="P116" s="480"/>
    </row>
    <row r="117" spans="16:16" ht="15.75" customHeight="1">
      <c r="P117" s="480"/>
    </row>
    <row r="118" spans="16:16" ht="15.75" customHeight="1">
      <c r="P118" s="480"/>
    </row>
    <row r="119" spans="16:16" ht="15.75" customHeight="1">
      <c r="P119" s="480"/>
    </row>
    <row r="120" spans="16:16" ht="15.75" customHeight="1">
      <c r="P120" s="480"/>
    </row>
    <row r="121" spans="16:16" ht="15.75" customHeight="1">
      <c r="P121" s="480"/>
    </row>
    <row r="122" spans="16:16" ht="15.75" customHeight="1">
      <c r="P122" s="480"/>
    </row>
    <row r="123" spans="16:16" ht="15.75" customHeight="1">
      <c r="P123" s="480"/>
    </row>
    <row r="124" spans="16:16" ht="15.75" customHeight="1">
      <c r="P124" s="480"/>
    </row>
    <row r="125" spans="16:16" ht="15.75" customHeight="1">
      <c r="P125" s="480"/>
    </row>
    <row r="126" spans="16:16" ht="15.75" customHeight="1">
      <c r="P126" s="480"/>
    </row>
    <row r="127" spans="16:16" ht="15.75" customHeight="1">
      <c r="P127" s="480"/>
    </row>
    <row r="128" spans="16:16" ht="15.75" customHeight="1">
      <c r="P128" s="480"/>
    </row>
    <row r="129" spans="16:16" ht="15.75" customHeight="1">
      <c r="P129" s="480"/>
    </row>
    <row r="130" spans="16:16" ht="15.75" customHeight="1">
      <c r="P130" s="480"/>
    </row>
    <row r="131" spans="16:16" ht="15.75" customHeight="1">
      <c r="P131" s="480"/>
    </row>
    <row r="132" spans="16:16" ht="15.75" customHeight="1">
      <c r="P132" s="480"/>
    </row>
    <row r="133" spans="16:16" ht="15.75" customHeight="1">
      <c r="P133" s="480"/>
    </row>
    <row r="134" spans="16:16" ht="15.75" customHeight="1">
      <c r="P134" s="480"/>
    </row>
    <row r="135" spans="16:16" ht="15.75" customHeight="1">
      <c r="P135" s="480"/>
    </row>
    <row r="136" spans="16:16" ht="15.75" customHeight="1">
      <c r="P136" s="480"/>
    </row>
    <row r="137" spans="16:16" ht="15.75" customHeight="1">
      <c r="P137" s="480"/>
    </row>
    <row r="138" spans="16:16" ht="15.75" customHeight="1">
      <c r="P138" s="480"/>
    </row>
    <row r="139" spans="16:16" ht="15.75" customHeight="1">
      <c r="P139" s="480"/>
    </row>
    <row r="140" spans="16:16" ht="15.75" customHeight="1">
      <c r="P140" s="480"/>
    </row>
    <row r="141" spans="16:16" ht="15.75" customHeight="1">
      <c r="P141" s="480"/>
    </row>
    <row r="142" spans="16:16" ht="15.75" customHeight="1">
      <c r="P142" s="480"/>
    </row>
    <row r="143" spans="16:16" ht="15.75" customHeight="1">
      <c r="P143" s="480"/>
    </row>
    <row r="144" spans="16:16" ht="15.75" customHeight="1">
      <c r="P144" s="480"/>
    </row>
    <row r="145" spans="16:16" ht="15.75" customHeight="1">
      <c r="P145" s="480"/>
    </row>
    <row r="146" spans="16:16" ht="15.75" customHeight="1">
      <c r="P146" s="480"/>
    </row>
    <row r="147" spans="16:16" ht="15.75" customHeight="1">
      <c r="P147" s="480"/>
    </row>
    <row r="148" spans="16:16" ht="15.75" customHeight="1">
      <c r="P148" s="480"/>
    </row>
    <row r="149" spans="16:16" ht="15.75" customHeight="1">
      <c r="P149" s="480"/>
    </row>
    <row r="150" spans="16:16" ht="15.75" customHeight="1">
      <c r="P150" s="480"/>
    </row>
    <row r="151" spans="16:16" ht="15.75" customHeight="1">
      <c r="P151" s="480"/>
    </row>
    <row r="152" spans="16:16" ht="15.75" customHeight="1">
      <c r="P152" s="480"/>
    </row>
    <row r="153" spans="16:16" ht="15.75" customHeight="1">
      <c r="P153" s="480"/>
    </row>
    <row r="154" spans="16:16" ht="15.75" customHeight="1">
      <c r="P154" s="480"/>
    </row>
    <row r="155" spans="16:16" ht="15.75" customHeight="1">
      <c r="P155" s="480"/>
    </row>
    <row r="156" spans="16:16" ht="15.75" customHeight="1">
      <c r="P156" s="480"/>
    </row>
    <row r="157" spans="16:16" ht="15.75" customHeight="1">
      <c r="P157" s="480"/>
    </row>
    <row r="158" spans="16:16" ht="15.75" customHeight="1">
      <c r="P158" s="480"/>
    </row>
    <row r="159" spans="16:16" ht="15.75" customHeight="1">
      <c r="P159" s="480"/>
    </row>
    <row r="160" spans="16:16" ht="15.75" customHeight="1">
      <c r="P160" s="480"/>
    </row>
    <row r="161" spans="16:16" ht="15.75" customHeight="1">
      <c r="P161" s="480"/>
    </row>
    <row r="162" spans="16:16" ht="15.75" customHeight="1">
      <c r="P162" s="480"/>
    </row>
    <row r="163" spans="16:16" ht="15.75" customHeight="1">
      <c r="P163" s="480"/>
    </row>
    <row r="164" spans="16:16" ht="15.75" customHeight="1">
      <c r="P164" s="480"/>
    </row>
    <row r="165" spans="16:16" ht="15.75" customHeight="1">
      <c r="P165" s="480"/>
    </row>
    <row r="166" spans="16:16" ht="15.75" customHeight="1">
      <c r="P166" s="480"/>
    </row>
    <row r="167" spans="16:16" ht="15.75" customHeight="1">
      <c r="P167" s="480"/>
    </row>
    <row r="168" spans="16:16" ht="15.75" customHeight="1">
      <c r="P168" s="480"/>
    </row>
    <row r="169" spans="16:16" ht="15.75" customHeight="1">
      <c r="P169" s="480"/>
    </row>
    <row r="170" spans="16:16" ht="15.75" customHeight="1">
      <c r="P170" s="480"/>
    </row>
    <row r="171" spans="16:16" ht="15.75" customHeight="1">
      <c r="P171" s="480"/>
    </row>
    <row r="172" spans="16:16" ht="15.75" customHeight="1">
      <c r="P172" s="480"/>
    </row>
    <row r="173" spans="16:16" ht="15.75" customHeight="1">
      <c r="P173" s="480"/>
    </row>
    <row r="174" spans="16:16" ht="15.75" customHeight="1">
      <c r="P174" s="480"/>
    </row>
    <row r="175" spans="16:16" ht="15.75" customHeight="1">
      <c r="P175" s="480"/>
    </row>
    <row r="176" spans="16:16" ht="15.75" customHeight="1">
      <c r="P176" s="480"/>
    </row>
    <row r="177" spans="16:16" ht="15.75" customHeight="1">
      <c r="P177" s="480"/>
    </row>
    <row r="178" spans="16:16" ht="15.75" customHeight="1">
      <c r="P178" s="480"/>
    </row>
    <row r="179" spans="16:16" ht="15.75" customHeight="1">
      <c r="P179" s="480"/>
    </row>
    <row r="180" spans="16:16" ht="15.75" customHeight="1">
      <c r="P180" s="480"/>
    </row>
    <row r="181" spans="16:16" ht="15.75" customHeight="1">
      <c r="P181" s="480"/>
    </row>
    <row r="182" spans="16:16" ht="15.75" customHeight="1">
      <c r="P182" s="480"/>
    </row>
    <row r="183" spans="16:16" ht="15.75" customHeight="1">
      <c r="P183" s="480"/>
    </row>
    <row r="184" spans="16:16" ht="15.75" customHeight="1">
      <c r="P184" s="480"/>
    </row>
    <row r="185" spans="16:16" ht="15.75" customHeight="1">
      <c r="P185" s="480"/>
    </row>
    <row r="186" spans="16:16" ht="15.75" customHeight="1">
      <c r="P186" s="480"/>
    </row>
    <row r="187" spans="16:16" ht="15.75" customHeight="1">
      <c r="P187" s="480"/>
    </row>
    <row r="188" spans="16:16" ht="15.75" customHeight="1">
      <c r="P188" s="480"/>
    </row>
    <row r="189" spans="16:16" ht="15.75" customHeight="1">
      <c r="P189" s="480"/>
    </row>
    <row r="190" spans="16:16" ht="15.75" customHeight="1">
      <c r="P190" s="480"/>
    </row>
    <row r="191" spans="16:16" ht="15.75" customHeight="1">
      <c r="P191" s="480"/>
    </row>
    <row r="192" spans="16:16" ht="15.75" customHeight="1">
      <c r="P192" s="480"/>
    </row>
    <row r="193" spans="16:16" ht="15.75" customHeight="1">
      <c r="P193" s="480"/>
    </row>
    <row r="194" spans="16:16" ht="15.75" customHeight="1">
      <c r="P194" s="480"/>
    </row>
    <row r="195" spans="16:16" ht="15.75" customHeight="1">
      <c r="P195" s="480"/>
    </row>
    <row r="196" spans="16:16" ht="15.75" customHeight="1">
      <c r="P196" s="480"/>
    </row>
    <row r="197" spans="16:16" ht="15.75" customHeight="1">
      <c r="P197" s="480"/>
    </row>
    <row r="198" spans="16:16" ht="15.75" customHeight="1">
      <c r="P198" s="480"/>
    </row>
    <row r="199" spans="16:16" ht="15.75" customHeight="1">
      <c r="P199" s="480"/>
    </row>
    <row r="200" spans="16:16" ht="15.75" customHeight="1">
      <c r="P200" s="480"/>
    </row>
    <row r="201" spans="16:16" ht="15.75" customHeight="1">
      <c r="P201" s="480"/>
    </row>
    <row r="202" spans="16:16" ht="15.75" customHeight="1">
      <c r="P202" s="480"/>
    </row>
    <row r="203" spans="16:16" ht="15.75" customHeight="1">
      <c r="P203" s="480"/>
    </row>
    <row r="204" spans="16:16" ht="15.75" customHeight="1">
      <c r="P204" s="480"/>
    </row>
    <row r="205" spans="16:16" ht="15.75" customHeight="1">
      <c r="P205" s="480"/>
    </row>
    <row r="206" spans="16:16" ht="15.75" customHeight="1">
      <c r="P206" s="480"/>
    </row>
    <row r="207" spans="16:16" ht="15.75" customHeight="1">
      <c r="P207" s="480"/>
    </row>
    <row r="208" spans="16:16" ht="15.75" customHeight="1">
      <c r="P208" s="480"/>
    </row>
    <row r="209" spans="16:16" ht="15.75" customHeight="1">
      <c r="P209" s="480"/>
    </row>
    <row r="210" spans="16:16" ht="15.75" customHeight="1">
      <c r="P210" s="480"/>
    </row>
    <row r="211" spans="16:16" ht="15.75" customHeight="1">
      <c r="P211" s="480"/>
    </row>
    <row r="212" spans="16:16" ht="15.75" customHeight="1">
      <c r="P212" s="480"/>
    </row>
    <row r="213" spans="16:16" ht="15.75" customHeight="1">
      <c r="P213" s="480"/>
    </row>
    <row r="214" spans="16:16" ht="15.75" customHeight="1">
      <c r="P214" s="480"/>
    </row>
    <row r="215" spans="16:16" ht="15.75" customHeight="1">
      <c r="P215" s="480"/>
    </row>
    <row r="216" spans="16:16" ht="15.75" customHeight="1">
      <c r="P216" s="480"/>
    </row>
    <row r="217" spans="16:16" ht="15.75" customHeight="1">
      <c r="P217" s="480"/>
    </row>
    <row r="218" spans="16:16" ht="15.75" customHeight="1">
      <c r="P218" s="480"/>
    </row>
    <row r="219" spans="16:16" ht="15.75" customHeight="1">
      <c r="P219" s="480"/>
    </row>
    <row r="220" spans="16:16" ht="15.75" customHeight="1">
      <c r="P220" s="480"/>
    </row>
    <row r="221" spans="16:16" ht="15.75" customHeight="1">
      <c r="P221" s="480"/>
    </row>
    <row r="222" spans="16:16" ht="15.75" customHeight="1">
      <c r="P222" s="480"/>
    </row>
    <row r="223" spans="16:16" ht="15.75" customHeight="1">
      <c r="P223" s="480"/>
    </row>
    <row r="224" spans="16:16" ht="15.75" customHeight="1">
      <c r="P224" s="480"/>
    </row>
    <row r="225" spans="16:16" ht="15.75" customHeight="1">
      <c r="P225" s="480"/>
    </row>
    <row r="226" spans="16:16" ht="15.75" customHeight="1">
      <c r="P226" s="480"/>
    </row>
    <row r="227" spans="16:16" ht="15.75" customHeight="1">
      <c r="P227" s="480"/>
    </row>
    <row r="228" spans="16:16" ht="15.75" customHeight="1">
      <c r="P228" s="480"/>
    </row>
    <row r="229" spans="16:16" ht="15.75" customHeight="1">
      <c r="P229" s="480"/>
    </row>
    <row r="230" spans="16:16" ht="15.75" customHeight="1">
      <c r="P230" s="480"/>
    </row>
    <row r="231" spans="16:16" ht="15.75" customHeight="1">
      <c r="P231" s="480"/>
    </row>
    <row r="232" spans="16:16" ht="15.75" customHeight="1">
      <c r="P232" s="480"/>
    </row>
    <row r="233" spans="16:16" ht="15.75" customHeight="1">
      <c r="P233" s="480"/>
    </row>
    <row r="234" spans="16:16" ht="15.75" customHeight="1">
      <c r="P234" s="480"/>
    </row>
    <row r="235" spans="16:16" ht="15.75" customHeight="1">
      <c r="P235" s="480"/>
    </row>
    <row r="236" spans="16:16" ht="15.75" customHeight="1">
      <c r="P236" s="480"/>
    </row>
    <row r="237" spans="16:16" ht="15.75" customHeight="1">
      <c r="P237" s="480"/>
    </row>
    <row r="238" spans="16:16" ht="15.75" customHeight="1">
      <c r="P238" s="480"/>
    </row>
    <row r="239" spans="16:16" ht="15.75" customHeight="1">
      <c r="P239" s="480"/>
    </row>
    <row r="240" spans="16:16" ht="15.75" customHeight="1">
      <c r="P240" s="480"/>
    </row>
    <row r="241" spans="16:16" ht="15.75" customHeight="1">
      <c r="P241" s="480"/>
    </row>
    <row r="242" spans="16:16" ht="15.75" customHeight="1">
      <c r="P242" s="480"/>
    </row>
    <row r="243" spans="16:16" ht="15.75" customHeight="1">
      <c r="P243" s="480"/>
    </row>
    <row r="244" spans="16:16" ht="15.75" customHeight="1">
      <c r="P244" s="480"/>
    </row>
    <row r="245" spans="16:16" ht="15.75" customHeight="1">
      <c r="P245" s="480"/>
    </row>
    <row r="246" spans="16:16" ht="15.75" customHeight="1">
      <c r="P246" s="480"/>
    </row>
    <row r="247" spans="16:16" ht="15.75" customHeight="1">
      <c r="P247" s="480"/>
    </row>
    <row r="248" spans="16:16" ht="15.75" customHeight="1">
      <c r="P248" s="480"/>
    </row>
    <row r="249" spans="16:16" ht="15.75" customHeight="1">
      <c r="P249" s="480"/>
    </row>
    <row r="250" spans="16:16" ht="15.75" customHeight="1">
      <c r="P250" s="480"/>
    </row>
    <row r="251" spans="16:16" ht="15.75" customHeight="1">
      <c r="P251" s="480"/>
    </row>
    <row r="252" spans="16:16" ht="15.75" customHeight="1">
      <c r="P252" s="480"/>
    </row>
    <row r="253" spans="16:16" ht="15.75" customHeight="1">
      <c r="P253" s="480"/>
    </row>
    <row r="254" spans="16:16" ht="15.75" customHeight="1">
      <c r="P254" s="480"/>
    </row>
    <row r="255" spans="16:16" ht="15.75" customHeight="1">
      <c r="P255" s="480"/>
    </row>
    <row r="256" spans="16:16" ht="15.75" customHeight="1">
      <c r="P256" s="480"/>
    </row>
    <row r="257" spans="16:16" ht="15.75" customHeight="1">
      <c r="P257" s="480"/>
    </row>
    <row r="258" spans="16:16" ht="15.75" customHeight="1">
      <c r="P258" s="480"/>
    </row>
    <row r="259" spans="16:16" ht="15.75" customHeight="1">
      <c r="P259" s="480"/>
    </row>
    <row r="260" spans="16:16" ht="15.75" customHeight="1">
      <c r="P260" s="480"/>
    </row>
    <row r="261" spans="16:16" ht="15.75" customHeight="1">
      <c r="P261" s="480"/>
    </row>
    <row r="262" spans="16:16" ht="15.75" customHeight="1">
      <c r="P262" s="480"/>
    </row>
    <row r="263" spans="16:16" ht="15.75" customHeight="1">
      <c r="P263" s="480"/>
    </row>
    <row r="264" spans="16:16" ht="15.75" customHeight="1">
      <c r="P264" s="480"/>
    </row>
    <row r="265" spans="16:16" ht="15.75" customHeight="1">
      <c r="P265" s="480"/>
    </row>
    <row r="266" spans="16:16" ht="15.75" customHeight="1">
      <c r="P266" s="480"/>
    </row>
    <row r="267" spans="16:16" ht="15.75" customHeight="1">
      <c r="P267" s="480"/>
    </row>
    <row r="268" spans="16:16" ht="15.75" customHeight="1">
      <c r="P268" s="480"/>
    </row>
    <row r="269" spans="16:16" ht="15.75" customHeight="1">
      <c r="P269" s="480"/>
    </row>
    <row r="270" spans="16:16" ht="15.75" customHeight="1">
      <c r="P270" s="480"/>
    </row>
    <row r="271" spans="16:16" ht="15.75" customHeight="1">
      <c r="P271" s="480"/>
    </row>
    <row r="272" spans="16:16" ht="15.75" customHeight="1">
      <c r="P272" s="480"/>
    </row>
    <row r="273" spans="16:16" ht="15.75" customHeight="1">
      <c r="P273" s="480"/>
    </row>
    <row r="274" spans="16:16" ht="15.75" customHeight="1">
      <c r="P274" s="480"/>
    </row>
    <row r="275" spans="16:16" ht="15.75" customHeight="1">
      <c r="P275" s="480"/>
    </row>
    <row r="276" spans="16:16" ht="15.75" customHeight="1">
      <c r="P276" s="480"/>
    </row>
    <row r="277" spans="16:16" ht="15.75" customHeight="1">
      <c r="P277" s="480"/>
    </row>
    <row r="278" spans="16:16" ht="15.75" customHeight="1">
      <c r="P278" s="480"/>
    </row>
    <row r="279" spans="16:16" ht="15.75" customHeight="1">
      <c r="P279" s="480"/>
    </row>
    <row r="280" spans="16:16" ht="15.75" customHeight="1">
      <c r="P280" s="480"/>
    </row>
    <row r="281" spans="16:16" ht="15.75" customHeight="1">
      <c r="P281" s="480"/>
    </row>
    <row r="282" spans="16:16" ht="15.75" customHeight="1">
      <c r="P282" s="480"/>
    </row>
    <row r="283" spans="16:16" ht="15.75" customHeight="1">
      <c r="P283" s="480"/>
    </row>
    <row r="284" spans="16:16" ht="15.75" customHeight="1">
      <c r="P284" s="480"/>
    </row>
    <row r="285" spans="16:16" ht="15.75" customHeight="1">
      <c r="P285" s="480"/>
    </row>
    <row r="286" spans="16:16" ht="15.75" customHeight="1">
      <c r="P286" s="480"/>
    </row>
    <row r="287" spans="16:16" ht="15.75" customHeight="1">
      <c r="P287" s="480"/>
    </row>
    <row r="288" spans="16:16" ht="15.75" customHeight="1">
      <c r="P288" s="480"/>
    </row>
    <row r="289" spans="16:16" ht="15.75" customHeight="1">
      <c r="P289" s="480"/>
    </row>
    <row r="290" spans="16:16" ht="15.75" customHeight="1">
      <c r="P290" s="480"/>
    </row>
    <row r="291" spans="16:16" ht="15.75" customHeight="1">
      <c r="P291" s="480"/>
    </row>
    <row r="292" spans="16:16" ht="15.75" customHeight="1">
      <c r="P292" s="480"/>
    </row>
    <row r="293" spans="16:16" ht="15.75" customHeight="1">
      <c r="P293" s="480"/>
    </row>
    <row r="294" spans="16:16" ht="15.75" customHeight="1">
      <c r="P294" s="480"/>
    </row>
    <row r="295" spans="16:16" ht="15.75" customHeight="1">
      <c r="P295" s="480"/>
    </row>
    <row r="296" spans="16:16" ht="15.75" customHeight="1">
      <c r="P296" s="480"/>
    </row>
    <row r="297" spans="16:16" ht="15.75" customHeight="1">
      <c r="P297" s="480"/>
    </row>
    <row r="298" spans="16:16" ht="15.75" customHeight="1">
      <c r="P298" s="480"/>
    </row>
    <row r="299" spans="16:16" ht="15.75" customHeight="1">
      <c r="P299" s="480"/>
    </row>
    <row r="300" spans="16:16" ht="15.75" customHeight="1">
      <c r="P300" s="480"/>
    </row>
    <row r="301" spans="16:16" ht="15.75" customHeight="1">
      <c r="P301" s="480"/>
    </row>
    <row r="302" spans="16:16" ht="15.75" customHeight="1">
      <c r="P302" s="480"/>
    </row>
    <row r="303" spans="16:16" ht="15.75" customHeight="1">
      <c r="P303" s="480"/>
    </row>
    <row r="304" spans="16:16" ht="15.75" customHeight="1">
      <c r="P304" s="480"/>
    </row>
    <row r="305" spans="16:16" ht="15.75" customHeight="1">
      <c r="P305" s="480"/>
    </row>
    <row r="306" spans="16:16" ht="15.75" customHeight="1">
      <c r="P306" s="480"/>
    </row>
    <row r="307" spans="16:16" ht="15.75" customHeight="1">
      <c r="P307" s="480"/>
    </row>
    <row r="308" spans="16:16" ht="15.75" customHeight="1">
      <c r="P308" s="480"/>
    </row>
    <row r="309" spans="16:16" ht="15.75" customHeight="1">
      <c r="P309" s="480"/>
    </row>
    <row r="310" spans="16:16" ht="15.75" customHeight="1">
      <c r="P310" s="480"/>
    </row>
    <row r="311" spans="16:16" ht="15.75" customHeight="1">
      <c r="P311" s="480"/>
    </row>
    <row r="312" spans="16:16" ht="15.75" customHeight="1">
      <c r="P312" s="480"/>
    </row>
    <row r="313" spans="16:16" ht="15.75" customHeight="1">
      <c r="P313" s="480"/>
    </row>
    <row r="314" spans="16:16" ht="15.75" customHeight="1">
      <c r="P314" s="480"/>
    </row>
    <row r="315" spans="16:16" ht="15.75" customHeight="1">
      <c r="P315" s="480"/>
    </row>
    <row r="316" spans="16:16" ht="15.75" customHeight="1">
      <c r="P316" s="480"/>
    </row>
    <row r="317" spans="16:16" ht="15.75" customHeight="1">
      <c r="P317" s="480"/>
    </row>
    <row r="318" spans="16:16" ht="15.75" customHeight="1">
      <c r="P318" s="480"/>
    </row>
    <row r="319" spans="16:16" ht="15.75" customHeight="1">
      <c r="P319" s="480"/>
    </row>
    <row r="320" spans="16:16" ht="15.75" customHeight="1">
      <c r="P320" s="480"/>
    </row>
    <row r="321" spans="16:16" ht="15.75" customHeight="1">
      <c r="P321" s="480"/>
    </row>
    <row r="322" spans="16:16" ht="15.75" customHeight="1">
      <c r="P322" s="480"/>
    </row>
    <row r="323" spans="16:16" ht="15.75" customHeight="1">
      <c r="P323" s="480"/>
    </row>
    <row r="324" spans="16:16" ht="15.75" customHeight="1">
      <c r="P324" s="480"/>
    </row>
    <row r="325" spans="16:16" ht="15.75" customHeight="1">
      <c r="P325" s="480"/>
    </row>
    <row r="326" spans="16:16" ht="15.75" customHeight="1">
      <c r="P326" s="480"/>
    </row>
    <row r="327" spans="16:16" ht="15.75" customHeight="1">
      <c r="P327" s="480"/>
    </row>
    <row r="328" spans="16:16" ht="15.75" customHeight="1">
      <c r="P328" s="480"/>
    </row>
    <row r="329" spans="16:16" ht="15.75" customHeight="1">
      <c r="P329" s="480"/>
    </row>
    <row r="330" spans="16:16" ht="15.75" customHeight="1">
      <c r="P330" s="480"/>
    </row>
    <row r="331" spans="16:16" ht="15.75" customHeight="1">
      <c r="P331" s="480"/>
    </row>
    <row r="332" spans="16:16" ht="15.75" customHeight="1">
      <c r="P332" s="480"/>
    </row>
    <row r="333" spans="16:16" ht="15.75" customHeight="1">
      <c r="P333" s="480"/>
    </row>
    <row r="334" spans="16:16" ht="15.75" customHeight="1">
      <c r="P334" s="480"/>
    </row>
    <row r="335" spans="16:16" ht="15.75" customHeight="1">
      <c r="P335" s="480"/>
    </row>
    <row r="336" spans="16:16" ht="15.75" customHeight="1">
      <c r="P336" s="480"/>
    </row>
    <row r="337" spans="16:16" ht="15.75" customHeight="1">
      <c r="P337" s="480"/>
    </row>
    <row r="338" spans="16:16" ht="15.75" customHeight="1">
      <c r="P338" s="480"/>
    </row>
    <row r="339" spans="16:16" ht="15.75" customHeight="1">
      <c r="P339" s="480"/>
    </row>
    <row r="340" spans="16:16" ht="15.75" customHeight="1">
      <c r="P340" s="480"/>
    </row>
    <row r="341" spans="16:16" ht="15.75" customHeight="1">
      <c r="P341" s="480"/>
    </row>
    <row r="342" spans="16:16" ht="15.75" customHeight="1">
      <c r="P342" s="480"/>
    </row>
    <row r="343" spans="16:16" ht="15.75" customHeight="1">
      <c r="P343" s="480"/>
    </row>
    <row r="344" spans="16:16" ht="15.75" customHeight="1">
      <c r="P344" s="480"/>
    </row>
    <row r="345" spans="16:16" ht="15.75" customHeight="1">
      <c r="P345" s="480"/>
    </row>
    <row r="346" spans="16:16" ht="15.75" customHeight="1">
      <c r="P346" s="480"/>
    </row>
    <row r="347" spans="16:16" ht="15.75" customHeight="1">
      <c r="P347" s="480"/>
    </row>
    <row r="348" spans="16:16" ht="15.75" customHeight="1">
      <c r="P348" s="480"/>
    </row>
    <row r="349" spans="16:16" ht="15.75" customHeight="1">
      <c r="P349" s="480"/>
    </row>
    <row r="350" spans="16:16" ht="15.75" customHeight="1">
      <c r="P350" s="480"/>
    </row>
    <row r="351" spans="16:16" ht="15.75" customHeight="1">
      <c r="P351" s="480"/>
    </row>
    <row r="352" spans="16:16" ht="15.75" customHeight="1">
      <c r="P352" s="480"/>
    </row>
    <row r="353" spans="16:16" ht="15.75" customHeight="1">
      <c r="P353" s="480"/>
    </row>
    <row r="354" spans="16:16" ht="15.75" customHeight="1">
      <c r="P354" s="480"/>
    </row>
    <row r="355" spans="16:16" ht="15.75" customHeight="1">
      <c r="P355" s="480"/>
    </row>
    <row r="356" spans="16:16" ht="15.75" customHeight="1">
      <c r="P356" s="480"/>
    </row>
    <row r="357" spans="16:16" ht="15.75" customHeight="1">
      <c r="P357" s="480"/>
    </row>
    <row r="358" spans="16:16" ht="15.75" customHeight="1">
      <c r="P358" s="480"/>
    </row>
    <row r="359" spans="16:16" ht="15.75" customHeight="1">
      <c r="P359" s="480"/>
    </row>
    <row r="360" spans="16:16" ht="15.75" customHeight="1">
      <c r="P360" s="480"/>
    </row>
    <row r="361" spans="16:16" ht="15.75" customHeight="1">
      <c r="P361" s="480"/>
    </row>
    <row r="362" spans="16:16" ht="15.75" customHeight="1">
      <c r="P362" s="480"/>
    </row>
    <row r="363" spans="16:16" ht="15.75" customHeight="1">
      <c r="P363" s="480"/>
    </row>
    <row r="364" spans="16:16" ht="15.75" customHeight="1">
      <c r="P364" s="480"/>
    </row>
    <row r="365" spans="16:16" ht="15.75" customHeight="1">
      <c r="P365" s="480"/>
    </row>
    <row r="366" spans="16:16" ht="15.75" customHeight="1">
      <c r="P366" s="480"/>
    </row>
    <row r="367" spans="16:16" ht="15.75" customHeight="1">
      <c r="P367" s="480"/>
    </row>
    <row r="368" spans="16:16" ht="15.75" customHeight="1">
      <c r="P368" s="480"/>
    </row>
    <row r="369" spans="16:16" ht="15.75" customHeight="1">
      <c r="P369" s="480"/>
    </row>
    <row r="370" spans="16:16" ht="15.75" customHeight="1">
      <c r="P370" s="480"/>
    </row>
    <row r="371" spans="16:16" ht="15.75" customHeight="1">
      <c r="P371" s="480"/>
    </row>
    <row r="372" spans="16:16" ht="15.75" customHeight="1">
      <c r="P372" s="480"/>
    </row>
    <row r="373" spans="16:16" ht="15.75" customHeight="1">
      <c r="P373" s="480"/>
    </row>
    <row r="374" spans="16:16" ht="15.75" customHeight="1">
      <c r="P374" s="480"/>
    </row>
    <row r="375" spans="16:16" ht="15.75" customHeight="1">
      <c r="P375" s="480"/>
    </row>
    <row r="376" spans="16:16" ht="15.75" customHeight="1">
      <c r="P376" s="480"/>
    </row>
    <row r="377" spans="16:16" ht="15.75" customHeight="1">
      <c r="P377" s="480"/>
    </row>
    <row r="378" spans="16:16" ht="15.75" customHeight="1">
      <c r="P378" s="480"/>
    </row>
    <row r="379" spans="16:16" ht="15.75" customHeight="1">
      <c r="P379" s="480"/>
    </row>
    <row r="380" spans="16:16" ht="15.75" customHeight="1">
      <c r="P380" s="480"/>
    </row>
    <row r="381" spans="16:16" ht="15.75" customHeight="1">
      <c r="P381" s="480"/>
    </row>
    <row r="382" spans="16:16" ht="15.75" customHeight="1">
      <c r="P382" s="480"/>
    </row>
    <row r="383" spans="16:16" ht="15.75" customHeight="1">
      <c r="P383" s="480"/>
    </row>
    <row r="384" spans="16:16" ht="15.75" customHeight="1">
      <c r="P384" s="480"/>
    </row>
    <row r="385" spans="16:16" ht="15.75" customHeight="1">
      <c r="P385" s="480"/>
    </row>
    <row r="386" spans="16:16" ht="15.75" customHeight="1">
      <c r="P386" s="480"/>
    </row>
    <row r="387" spans="16:16" ht="15.75" customHeight="1">
      <c r="P387" s="480"/>
    </row>
    <row r="388" spans="16:16" ht="15.75" customHeight="1">
      <c r="P388" s="480"/>
    </row>
    <row r="389" spans="16:16" ht="15.75" customHeight="1">
      <c r="P389" s="480"/>
    </row>
    <row r="390" spans="16:16" ht="15.75" customHeight="1">
      <c r="P390" s="480"/>
    </row>
    <row r="391" spans="16:16" ht="15.75" customHeight="1">
      <c r="P391" s="480"/>
    </row>
    <row r="392" spans="16:16" ht="15.75" customHeight="1">
      <c r="P392" s="480"/>
    </row>
    <row r="393" spans="16:16" ht="15.75" customHeight="1">
      <c r="P393" s="480"/>
    </row>
    <row r="394" spans="16:16" ht="15.75" customHeight="1">
      <c r="P394" s="480"/>
    </row>
    <row r="395" spans="16:16" ht="15.75" customHeight="1">
      <c r="P395" s="480"/>
    </row>
    <row r="396" spans="16:16" ht="15.75" customHeight="1">
      <c r="P396" s="480"/>
    </row>
    <row r="397" spans="16:16" ht="15.75" customHeight="1">
      <c r="P397" s="480"/>
    </row>
    <row r="398" spans="16:16" ht="15.75" customHeight="1">
      <c r="P398" s="480"/>
    </row>
    <row r="399" spans="16:16" ht="15.75" customHeight="1">
      <c r="P399" s="480"/>
    </row>
    <row r="400" spans="16:16" ht="15.75" customHeight="1">
      <c r="P400" s="480"/>
    </row>
    <row r="401" spans="16:16" ht="15.75" customHeight="1">
      <c r="P401" s="480"/>
    </row>
    <row r="402" spans="16:16" ht="15.75" customHeight="1">
      <c r="P402" s="480"/>
    </row>
    <row r="403" spans="16:16" ht="15.75" customHeight="1">
      <c r="P403" s="480"/>
    </row>
    <row r="404" spans="16:16" ht="15.75" customHeight="1">
      <c r="P404" s="480"/>
    </row>
    <row r="405" spans="16:16" ht="15.75" customHeight="1">
      <c r="P405" s="480"/>
    </row>
    <row r="406" spans="16:16" ht="15.75" customHeight="1">
      <c r="P406" s="480"/>
    </row>
    <row r="407" spans="16:16" ht="15.75" customHeight="1">
      <c r="P407" s="480"/>
    </row>
    <row r="408" spans="16:16" ht="15.75" customHeight="1">
      <c r="P408" s="480"/>
    </row>
    <row r="409" spans="16:16" ht="15.75" customHeight="1">
      <c r="P409" s="480"/>
    </row>
    <row r="410" spans="16:16" ht="15.75" customHeight="1">
      <c r="P410" s="480"/>
    </row>
    <row r="411" spans="16:16" ht="15.75" customHeight="1">
      <c r="P411" s="480"/>
    </row>
    <row r="412" spans="16:16" ht="15.75" customHeight="1">
      <c r="P412" s="480"/>
    </row>
    <row r="413" spans="16:16" ht="15.75" customHeight="1">
      <c r="P413" s="480"/>
    </row>
    <row r="414" spans="16:16" ht="15.75" customHeight="1">
      <c r="P414" s="480"/>
    </row>
    <row r="415" spans="16:16" ht="15.75" customHeight="1">
      <c r="P415" s="480"/>
    </row>
    <row r="416" spans="16:16" ht="15.75" customHeight="1">
      <c r="P416" s="480"/>
    </row>
    <row r="417" spans="16:16" ht="15.75" customHeight="1">
      <c r="P417" s="480"/>
    </row>
    <row r="418" spans="16:16" ht="15.75" customHeight="1">
      <c r="P418" s="480"/>
    </row>
    <row r="419" spans="16:16" ht="15.75" customHeight="1">
      <c r="P419" s="480"/>
    </row>
    <row r="420" spans="16:16" ht="15.75" customHeight="1">
      <c r="P420" s="480"/>
    </row>
    <row r="421" spans="16:16" ht="15.75" customHeight="1">
      <c r="P421" s="480"/>
    </row>
    <row r="422" spans="16:16" ht="15.75" customHeight="1">
      <c r="P422" s="480"/>
    </row>
    <row r="423" spans="16:16" ht="15.75" customHeight="1">
      <c r="P423" s="480"/>
    </row>
    <row r="424" spans="16:16" ht="15.75" customHeight="1">
      <c r="P424" s="480"/>
    </row>
    <row r="425" spans="16:16" ht="15.75" customHeight="1">
      <c r="P425" s="480"/>
    </row>
    <row r="426" spans="16:16" ht="15.75" customHeight="1">
      <c r="P426" s="480"/>
    </row>
    <row r="427" spans="16:16" ht="15.75" customHeight="1">
      <c r="P427" s="480"/>
    </row>
    <row r="428" spans="16:16" ht="15.75" customHeight="1">
      <c r="P428" s="480"/>
    </row>
    <row r="429" spans="16:16" ht="15.75" customHeight="1">
      <c r="P429" s="480"/>
    </row>
    <row r="430" spans="16:16" ht="15.75" customHeight="1">
      <c r="P430" s="480"/>
    </row>
    <row r="431" spans="16:16" ht="15.75" customHeight="1">
      <c r="P431" s="480"/>
    </row>
    <row r="432" spans="16:16" ht="15.75" customHeight="1">
      <c r="P432" s="480"/>
    </row>
    <row r="433" spans="16:16" ht="15.75" customHeight="1">
      <c r="P433" s="480"/>
    </row>
    <row r="434" spans="16:16" ht="15.75" customHeight="1">
      <c r="P434" s="480"/>
    </row>
    <row r="435" spans="16:16" ht="15.75" customHeight="1">
      <c r="P435" s="480"/>
    </row>
    <row r="436" spans="16:16" ht="15.75" customHeight="1">
      <c r="P436" s="480"/>
    </row>
    <row r="437" spans="16:16" ht="15.75" customHeight="1">
      <c r="P437" s="480"/>
    </row>
    <row r="438" spans="16:16" ht="15.75" customHeight="1">
      <c r="P438" s="480"/>
    </row>
    <row r="439" spans="16:16" ht="15.75" customHeight="1">
      <c r="P439" s="480"/>
    </row>
    <row r="440" spans="16:16" ht="15.75" customHeight="1">
      <c r="P440" s="480"/>
    </row>
    <row r="441" spans="16:16" ht="15.75" customHeight="1">
      <c r="P441" s="480"/>
    </row>
    <row r="442" spans="16:16" ht="15.75" customHeight="1">
      <c r="P442" s="480"/>
    </row>
    <row r="443" spans="16:16" ht="15.75" customHeight="1">
      <c r="P443" s="480"/>
    </row>
    <row r="444" spans="16:16" ht="15.75" customHeight="1">
      <c r="P444" s="480"/>
    </row>
    <row r="445" spans="16:16" ht="15.75" customHeight="1">
      <c r="P445" s="480"/>
    </row>
    <row r="446" spans="16:16" ht="15.75" customHeight="1">
      <c r="P446" s="480"/>
    </row>
    <row r="447" spans="16:16" ht="15.75" customHeight="1">
      <c r="P447" s="480"/>
    </row>
    <row r="448" spans="16:16" ht="15.75" customHeight="1">
      <c r="P448" s="480"/>
    </row>
    <row r="449" spans="16:16" ht="15.75" customHeight="1">
      <c r="P449" s="480"/>
    </row>
    <row r="450" spans="16:16" ht="15.75" customHeight="1">
      <c r="P450" s="480"/>
    </row>
    <row r="451" spans="16:16" ht="15.75" customHeight="1">
      <c r="P451" s="480"/>
    </row>
    <row r="452" spans="16:16" ht="15.75" customHeight="1">
      <c r="P452" s="480"/>
    </row>
    <row r="453" spans="16:16" ht="15.75" customHeight="1">
      <c r="P453" s="480"/>
    </row>
    <row r="454" spans="16:16" ht="15.75" customHeight="1">
      <c r="P454" s="480"/>
    </row>
    <row r="455" spans="16:16" ht="15.75" customHeight="1">
      <c r="P455" s="480"/>
    </row>
    <row r="456" spans="16:16" ht="15.75" customHeight="1">
      <c r="P456" s="480"/>
    </row>
    <row r="457" spans="16:16" ht="15.75" customHeight="1">
      <c r="P457" s="480"/>
    </row>
    <row r="458" spans="16:16" ht="15.75" customHeight="1">
      <c r="P458" s="480"/>
    </row>
    <row r="459" spans="16:16" ht="15.75" customHeight="1">
      <c r="P459" s="480"/>
    </row>
    <row r="460" spans="16:16" ht="15.75" customHeight="1">
      <c r="P460" s="480"/>
    </row>
    <row r="461" spans="16:16" ht="15.75" customHeight="1">
      <c r="P461" s="480"/>
    </row>
    <row r="462" spans="16:16" ht="15.75" customHeight="1">
      <c r="P462" s="480"/>
    </row>
    <row r="463" spans="16:16" ht="15.75" customHeight="1">
      <c r="P463" s="480"/>
    </row>
    <row r="464" spans="16:16" ht="15.75" customHeight="1">
      <c r="P464" s="480"/>
    </row>
    <row r="465" spans="16:16" ht="15.75" customHeight="1">
      <c r="P465" s="480"/>
    </row>
    <row r="466" spans="16:16" ht="15.75" customHeight="1">
      <c r="P466" s="480"/>
    </row>
    <row r="467" spans="16:16" ht="15.75" customHeight="1">
      <c r="P467" s="480"/>
    </row>
    <row r="468" spans="16:16" ht="15.75" customHeight="1">
      <c r="P468" s="480"/>
    </row>
    <row r="469" spans="16:16" ht="15.75" customHeight="1">
      <c r="P469" s="480"/>
    </row>
    <row r="470" spans="16:16" ht="15.75" customHeight="1">
      <c r="P470" s="480"/>
    </row>
    <row r="471" spans="16:16" ht="15.75" customHeight="1">
      <c r="P471" s="480"/>
    </row>
    <row r="472" spans="16:16" ht="15.75" customHeight="1">
      <c r="P472" s="480"/>
    </row>
    <row r="473" spans="16:16" ht="15.75" customHeight="1">
      <c r="P473" s="480"/>
    </row>
    <row r="474" spans="16:16" ht="15.75" customHeight="1">
      <c r="P474" s="480"/>
    </row>
    <row r="475" spans="16:16" ht="15.75" customHeight="1">
      <c r="P475" s="480"/>
    </row>
    <row r="476" spans="16:16" ht="15.75" customHeight="1">
      <c r="P476" s="480"/>
    </row>
    <row r="477" spans="16:16" ht="15.75" customHeight="1">
      <c r="P477" s="480"/>
    </row>
    <row r="478" spans="16:16" ht="15.75" customHeight="1">
      <c r="P478" s="480"/>
    </row>
    <row r="479" spans="16:16" ht="15.75" customHeight="1">
      <c r="P479" s="480"/>
    </row>
    <row r="480" spans="16:16" ht="15.75" customHeight="1">
      <c r="P480" s="480"/>
    </row>
    <row r="481" spans="16:16" ht="15.75" customHeight="1">
      <c r="P481" s="480"/>
    </row>
    <row r="482" spans="16:16" ht="15.75" customHeight="1">
      <c r="P482" s="480"/>
    </row>
    <row r="483" spans="16:16" ht="15.75" customHeight="1">
      <c r="P483" s="480"/>
    </row>
    <row r="484" spans="16:16" ht="15.75" customHeight="1">
      <c r="P484" s="480"/>
    </row>
    <row r="485" spans="16:16" ht="15.75" customHeight="1">
      <c r="P485" s="480"/>
    </row>
    <row r="486" spans="16:16" ht="15.75" customHeight="1">
      <c r="P486" s="480"/>
    </row>
    <row r="487" spans="16:16" ht="15.75" customHeight="1">
      <c r="P487" s="480"/>
    </row>
    <row r="488" spans="16:16" ht="15.75" customHeight="1">
      <c r="P488" s="480"/>
    </row>
    <row r="489" spans="16:16" ht="15.75" customHeight="1">
      <c r="P489" s="480"/>
    </row>
    <row r="490" spans="16:16" ht="15.75" customHeight="1">
      <c r="P490" s="480"/>
    </row>
    <row r="491" spans="16:16" ht="15.75" customHeight="1">
      <c r="P491" s="480"/>
    </row>
    <row r="492" spans="16:16" ht="15.75" customHeight="1">
      <c r="P492" s="480"/>
    </row>
    <row r="493" spans="16:16" ht="15.75" customHeight="1">
      <c r="P493" s="480"/>
    </row>
    <row r="494" spans="16:16" ht="15.75" customHeight="1">
      <c r="P494" s="480"/>
    </row>
    <row r="495" spans="16:16" ht="15.75" customHeight="1">
      <c r="P495" s="480"/>
    </row>
    <row r="496" spans="16:16" ht="15.75" customHeight="1">
      <c r="P496" s="480"/>
    </row>
    <row r="497" spans="16:16" ht="15.75" customHeight="1">
      <c r="P497" s="480"/>
    </row>
    <row r="498" spans="16:16" ht="15.75" customHeight="1">
      <c r="P498" s="480"/>
    </row>
    <row r="499" spans="16:16" ht="15.75" customHeight="1">
      <c r="P499" s="480"/>
    </row>
    <row r="500" spans="16:16" ht="15.75" customHeight="1">
      <c r="P500" s="480"/>
    </row>
    <row r="501" spans="16:16" ht="15.75" customHeight="1">
      <c r="P501" s="480"/>
    </row>
    <row r="502" spans="16:16" ht="15.75" customHeight="1">
      <c r="P502" s="480"/>
    </row>
    <row r="503" spans="16:16" ht="15.75" customHeight="1">
      <c r="P503" s="480"/>
    </row>
    <row r="504" spans="16:16" ht="15.75" customHeight="1">
      <c r="P504" s="480"/>
    </row>
    <row r="505" spans="16:16" ht="15.75" customHeight="1">
      <c r="P505" s="480"/>
    </row>
    <row r="506" spans="16:16" ht="15.75" customHeight="1">
      <c r="P506" s="480"/>
    </row>
    <row r="507" spans="16:16" ht="15.75" customHeight="1">
      <c r="P507" s="480"/>
    </row>
    <row r="508" spans="16:16" ht="15.75" customHeight="1">
      <c r="P508" s="480"/>
    </row>
    <row r="509" spans="16:16" ht="15.75" customHeight="1">
      <c r="P509" s="480"/>
    </row>
    <row r="510" spans="16:16" ht="15.75" customHeight="1">
      <c r="P510" s="480"/>
    </row>
    <row r="511" spans="16:16" ht="15.75" customHeight="1">
      <c r="P511" s="480"/>
    </row>
    <row r="512" spans="16:16" ht="15.75" customHeight="1">
      <c r="P512" s="480"/>
    </row>
    <row r="513" spans="16:16" ht="15.75" customHeight="1">
      <c r="P513" s="480"/>
    </row>
    <row r="514" spans="16:16" ht="15.75" customHeight="1">
      <c r="P514" s="480"/>
    </row>
    <row r="515" spans="16:16" ht="15.75" customHeight="1">
      <c r="P515" s="480"/>
    </row>
    <row r="516" spans="16:16" ht="15.75" customHeight="1">
      <c r="P516" s="480"/>
    </row>
    <row r="517" spans="16:16" ht="15.75" customHeight="1">
      <c r="P517" s="480"/>
    </row>
    <row r="518" spans="16:16" ht="15.75" customHeight="1">
      <c r="P518" s="480"/>
    </row>
    <row r="519" spans="16:16" ht="15.75" customHeight="1">
      <c r="P519" s="480"/>
    </row>
    <row r="520" spans="16:16" ht="15.75" customHeight="1">
      <c r="P520" s="480"/>
    </row>
    <row r="521" spans="16:16" ht="15.75" customHeight="1">
      <c r="P521" s="480"/>
    </row>
    <row r="522" spans="16:16" ht="15.75" customHeight="1">
      <c r="P522" s="480"/>
    </row>
    <row r="523" spans="16:16" ht="15.75" customHeight="1">
      <c r="P523" s="480"/>
    </row>
    <row r="524" spans="16:16" ht="15.75" customHeight="1">
      <c r="P524" s="480"/>
    </row>
    <row r="525" spans="16:16" ht="15.75" customHeight="1">
      <c r="P525" s="480"/>
    </row>
    <row r="526" spans="16:16" ht="15.75" customHeight="1">
      <c r="P526" s="480"/>
    </row>
    <row r="527" spans="16:16" ht="15.75" customHeight="1">
      <c r="P527" s="480"/>
    </row>
    <row r="528" spans="16:16" ht="15.75" customHeight="1">
      <c r="P528" s="480"/>
    </row>
    <row r="529" spans="16:16" ht="15.75" customHeight="1">
      <c r="P529" s="480"/>
    </row>
    <row r="530" spans="16:16" ht="15.75" customHeight="1">
      <c r="P530" s="480"/>
    </row>
    <row r="531" spans="16:16" ht="15.75" customHeight="1">
      <c r="P531" s="480"/>
    </row>
    <row r="532" spans="16:16" ht="15.75" customHeight="1">
      <c r="P532" s="480"/>
    </row>
    <row r="533" spans="16:16" ht="15.75" customHeight="1">
      <c r="P533" s="480"/>
    </row>
    <row r="534" spans="16:16" ht="15.75" customHeight="1">
      <c r="P534" s="480"/>
    </row>
    <row r="535" spans="16:16" ht="15.75" customHeight="1">
      <c r="P535" s="480"/>
    </row>
    <row r="536" spans="16:16" ht="15.75" customHeight="1">
      <c r="P536" s="480"/>
    </row>
    <row r="537" spans="16:16" ht="15.75" customHeight="1">
      <c r="P537" s="480"/>
    </row>
    <row r="538" spans="16:16" ht="15.75" customHeight="1">
      <c r="P538" s="480"/>
    </row>
    <row r="539" spans="16:16" ht="15.75" customHeight="1">
      <c r="P539" s="480"/>
    </row>
    <row r="540" spans="16:16" ht="15.75" customHeight="1">
      <c r="P540" s="480"/>
    </row>
    <row r="541" spans="16:16" ht="15.75" customHeight="1">
      <c r="P541" s="480"/>
    </row>
    <row r="542" spans="16:16" ht="15.75" customHeight="1">
      <c r="P542" s="480"/>
    </row>
    <row r="543" spans="16:16" ht="15.75" customHeight="1">
      <c r="P543" s="480"/>
    </row>
    <row r="544" spans="16:16" ht="15.75" customHeight="1">
      <c r="P544" s="480"/>
    </row>
    <row r="545" spans="16:16" ht="15.75" customHeight="1">
      <c r="P545" s="480"/>
    </row>
    <row r="546" spans="16:16" ht="15.75" customHeight="1">
      <c r="P546" s="480"/>
    </row>
    <row r="547" spans="16:16" ht="15.75" customHeight="1">
      <c r="P547" s="480"/>
    </row>
    <row r="548" spans="16:16" ht="15.75" customHeight="1">
      <c r="P548" s="480"/>
    </row>
    <row r="549" spans="16:16" ht="15.75" customHeight="1">
      <c r="P549" s="480"/>
    </row>
    <row r="550" spans="16:16" ht="15.75" customHeight="1">
      <c r="P550" s="480"/>
    </row>
    <row r="551" spans="16:16" ht="15.75" customHeight="1">
      <c r="P551" s="480"/>
    </row>
    <row r="552" spans="16:16" ht="15.75" customHeight="1">
      <c r="P552" s="480"/>
    </row>
    <row r="553" spans="16:16" ht="15.75" customHeight="1">
      <c r="P553" s="480"/>
    </row>
    <row r="554" spans="16:16" ht="15.75" customHeight="1">
      <c r="P554" s="480"/>
    </row>
    <row r="555" spans="16:16" ht="15.75" customHeight="1">
      <c r="P555" s="480"/>
    </row>
    <row r="556" spans="16:16" ht="15.75" customHeight="1">
      <c r="P556" s="480"/>
    </row>
    <row r="557" spans="16:16" ht="15.75" customHeight="1">
      <c r="P557" s="480"/>
    </row>
    <row r="558" spans="16:16" ht="15.75" customHeight="1">
      <c r="P558" s="480"/>
    </row>
    <row r="559" spans="16:16" ht="15.75" customHeight="1">
      <c r="P559" s="480"/>
    </row>
    <row r="560" spans="16:16" ht="15.75" customHeight="1">
      <c r="P560" s="480"/>
    </row>
    <row r="561" spans="16:16" ht="15.75" customHeight="1">
      <c r="P561" s="480"/>
    </row>
    <row r="562" spans="16:16" ht="15.75" customHeight="1">
      <c r="P562" s="480"/>
    </row>
    <row r="563" spans="16:16" ht="15.75" customHeight="1">
      <c r="P563" s="480"/>
    </row>
    <row r="564" spans="16:16" ht="15.75" customHeight="1">
      <c r="P564" s="480"/>
    </row>
    <row r="565" spans="16:16" ht="15.75" customHeight="1">
      <c r="P565" s="480"/>
    </row>
    <row r="566" spans="16:16" ht="15.75" customHeight="1">
      <c r="P566" s="480"/>
    </row>
    <row r="567" spans="16:16" ht="15.75" customHeight="1">
      <c r="P567" s="480"/>
    </row>
    <row r="568" spans="16:16" ht="15.75" customHeight="1">
      <c r="P568" s="480"/>
    </row>
    <row r="569" spans="16:16" ht="15.75" customHeight="1">
      <c r="P569" s="480"/>
    </row>
    <row r="570" spans="16:16" ht="15.75" customHeight="1">
      <c r="P570" s="480"/>
    </row>
    <row r="571" spans="16:16" ht="15.75" customHeight="1">
      <c r="P571" s="480"/>
    </row>
    <row r="572" spans="16:16" ht="15.75" customHeight="1">
      <c r="P572" s="480"/>
    </row>
    <row r="573" spans="16:16" ht="15.75" customHeight="1">
      <c r="P573" s="480"/>
    </row>
    <row r="574" spans="16:16" ht="15.75" customHeight="1">
      <c r="P574" s="480"/>
    </row>
    <row r="575" spans="16:16" ht="15.75" customHeight="1">
      <c r="P575" s="480"/>
    </row>
    <row r="576" spans="16:16" ht="15.75" customHeight="1">
      <c r="P576" s="480"/>
    </row>
    <row r="577" spans="16:16" ht="15.75" customHeight="1">
      <c r="P577" s="480"/>
    </row>
    <row r="578" spans="16:16" ht="15.75" customHeight="1">
      <c r="P578" s="480"/>
    </row>
    <row r="579" spans="16:16" ht="15.75" customHeight="1">
      <c r="P579" s="480"/>
    </row>
    <row r="580" spans="16:16" ht="15.75" customHeight="1">
      <c r="P580" s="480"/>
    </row>
    <row r="581" spans="16:16" ht="15.75" customHeight="1">
      <c r="P581" s="480"/>
    </row>
    <row r="582" spans="16:16" ht="15.75" customHeight="1">
      <c r="P582" s="480"/>
    </row>
    <row r="583" spans="16:16" ht="15.75" customHeight="1">
      <c r="P583" s="480"/>
    </row>
    <row r="584" spans="16:16" ht="15.75" customHeight="1">
      <c r="P584" s="480"/>
    </row>
    <row r="585" spans="16:16" ht="15.75" customHeight="1">
      <c r="P585" s="480"/>
    </row>
    <row r="586" spans="16:16" ht="15.75" customHeight="1">
      <c r="P586" s="480"/>
    </row>
    <row r="587" spans="16:16" ht="15.75" customHeight="1">
      <c r="P587" s="480"/>
    </row>
    <row r="588" spans="16:16" ht="15.75" customHeight="1">
      <c r="P588" s="480"/>
    </row>
    <row r="589" spans="16:16" ht="15.75" customHeight="1">
      <c r="P589" s="480"/>
    </row>
    <row r="590" spans="16:16" ht="15.75" customHeight="1">
      <c r="P590" s="480"/>
    </row>
    <row r="591" spans="16:16" ht="15.75" customHeight="1">
      <c r="P591" s="480"/>
    </row>
    <row r="592" spans="16:16" ht="15.75" customHeight="1">
      <c r="P592" s="480"/>
    </row>
    <row r="593" spans="16:16" ht="15.75" customHeight="1">
      <c r="P593" s="480"/>
    </row>
    <row r="594" spans="16:16" ht="15.75" customHeight="1">
      <c r="P594" s="480"/>
    </row>
    <row r="595" spans="16:16" ht="15.75" customHeight="1">
      <c r="P595" s="480"/>
    </row>
    <row r="596" spans="16:16" ht="15.75" customHeight="1">
      <c r="P596" s="480"/>
    </row>
    <row r="597" spans="16:16" ht="15.75" customHeight="1">
      <c r="P597" s="480"/>
    </row>
    <row r="598" spans="16:16" ht="15.75" customHeight="1">
      <c r="P598" s="480"/>
    </row>
    <row r="599" spans="16:16" ht="15.75" customHeight="1">
      <c r="P599" s="480"/>
    </row>
    <row r="600" spans="16:16" ht="15.75" customHeight="1">
      <c r="P600" s="480"/>
    </row>
    <row r="601" spans="16:16" ht="15.75" customHeight="1">
      <c r="P601" s="480"/>
    </row>
    <row r="602" spans="16:16" ht="15.75" customHeight="1">
      <c r="P602" s="480"/>
    </row>
    <row r="603" spans="16:16" ht="15.75" customHeight="1">
      <c r="P603" s="480"/>
    </row>
    <row r="604" spans="16:16" ht="15.75" customHeight="1">
      <c r="P604" s="480"/>
    </row>
    <row r="605" spans="16:16" ht="15.75" customHeight="1">
      <c r="P605" s="480"/>
    </row>
    <row r="606" spans="16:16" ht="15.75" customHeight="1">
      <c r="P606" s="480"/>
    </row>
    <row r="607" spans="16:16" ht="15.75" customHeight="1">
      <c r="P607" s="480"/>
    </row>
    <row r="608" spans="16:16" ht="15.75" customHeight="1">
      <c r="P608" s="480"/>
    </row>
    <row r="609" spans="16:16" ht="15.75" customHeight="1">
      <c r="P609" s="480"/>
    </row>
    <row r="610" spans="16:16" ht="15.75" customHeight="1">
      <c r="P610" s="480"/>
    </row>
    <row r="611" spans="16:16" ht="15.75" customHeight="1">
      <c r="P611" s="480"/>
    </row>
    <row r="612" spans="16:16" ht="15.75" customHeight="1">
      <c r="P612" s="480"/>
    </row>
    <row r="613" spans="16:16" ht="15.75" customHeight="1">
      <c r="P613" s="480"/>
    </row>
    <row r="614" spans="16:16" ht="15.75" customHeight="1">
      <c r="P614" s="480"/>
    </row>
    <row r="615" spans="16:16" ht="15.75" customHeight="1">
      <c r="P615" s="480"/>
    </row>
    <row r="616" spans="16:16" ht="15.75" customHeight="1">
      <c r="P616" s="480"/>
    </row>
    <row r="617" spans="16:16" ht="15.75" customHeight="1">
      <c r="P617" s="480"/>
    </row>
    <row r="618" spans="16:16" ht="15.75" customHeight="1">
      <c r="P618" s="480"/>
    </row>
    <row r="619" spans="16:16" ht="15.75" customHeight="1">
      <c r="P619" s="480"/>
    </row>
    <row r="620" spans="16:16" ht="15.75" customHeight="1">
      <c r="P620" s="480"/>
    </row>
    <row r="621" spans="16:16" ht="15.75" customHeight="1">
      <c r="P621" s="480"/>
    </row>
    <row r="622" spans="16:16" ht="15.75" customHeight="1">
      <c r="P622" s="480"/>
    </row>
    <row r="623" spans="16:16" ht="15.75" customHeight="1">
      <c r="P623" s="480"/>
    </row>
    <row r="624" spans="16:16" ht="15.75" customHeight="1">
      <c r="P624" s="480"/>
    </row>
    <row r="625" spans="16:16" ht="15.75" customHeight="1">
      <c r="P625" s="480"/>
    </row>
    <row r="626" spans="16:16" ht="15.75" customHeight="1">
      <c r="P626" s="480"/>
    </row>
    <row r="627" spans="16:16" ht="15.75" customHeight="1">
      <c r="P627" s="480"/>
    </row>
    <row r="628" spans="16:16" ht="15.75" customHeight="1">
      <c r="P628" s="480"/>
    </row>
    <row r="629" spans="16:16" ht="15.75" customHeight="1">
      <c r="P629" s="480"/>
    </row>
    <row r="630" spans="16:16" ht="15.75" customHeight="1">
      <c r="P630" s="480"/>
    </row>
    <row r="631" spans="16:16" ht="15.75" customHeight="1">
      <c r="P631" s="480"/>
    </row>
    <row r="632" spans="16:16" ht="15.75" customHeight="1">
      <c r="P632" s="480"/>
    </row>
    <row r="633" spans="16:16" ht="15.75" customHeight="1">
      <c r="P633" s="480"/>
    </row>
    <row r="634" spans="16:16" ht="15.75" customHeight="1">
      <c r="P634" s="480"/>
    </row>
    <row r="635" spans="16:16" ht="15.75" customHeight="1">
      <c r="P635" s="480"/>
    </row>
    <row r="636" spans="16:16" ht="15.75" customHeight="1">
      <c r="P636" s="480"/>
    </row>
    <row r="637" spans="16:16" ht="15.75" customHeight="1">
      <c r="P637" s="480"/>
    </row>
    <row r="638" spans="16:16" ht="15.75" customHeight="1">
      <c r="P638" s="480"/>
    </row>
    <row r="639" spans="16:16" ht="15.75" customHeight="1">
      <c r="P639" s="480"/>
    </row>
    <row r="640" spans="16:16" ht="15.75" customHeight="1">
      <c r="P640" s="480"/>
    </row>
    <row r="641" spans="16:16" ht="15.75" customHeight="1">
      <c r="P641" s="480"/>
    </row>
    <row r="642" spans="16:16" ht="15.75" customHeight="1">
      <c r="P642" s="480"/>
    </row>
    <row r="643" spans="16:16" ht="15.75" customHeight="1">
      <c r="P643" s="480"/>
    </row>
    <row r="644" spans="16:16" ht="15.75" customHeight="1">
      <c r="P644" s="480"/>
    </row>
    <row r="645" spans="16:16" ht="15.75" customHeight="1">
      <c r="P645" s="480"/>
    </row>
    <row r="646" spans="16:16" ht="15.75" customHeight="1">
      <c r="P646" s="480"/>
    </row>
    <row r="647" spans="16:16" ht="15.75" customHeight="1">
      <c r="P647" s="480"/>
    </row>
    <row r="648" spans="16:16" ht="15.75" customHeight="1">
      <c r="P648" s="480"/>
    </row>
    <row r="649" spans="16:16" ht="15.75" customHeight="1">
      <c r="P649" s="480"/>
    </row>
    <row r="650" spans="16:16" ht="15.75" customHeight="1">
      <c r="P650" s="480"/>
    </row>
    <row r="651" spans="16:16" ht="15.75" customHeight="1">
      <c r="P651" s="480"/>
    </row>
    <row r="652" spans="16:16" ht="15.75" customHeight="1">
      <c r="P652" s="480"/>
    </row>
    <row r="653" spans="16:16" ht="15.75" customHeight="1">
      <c r="P653" s="480"/>
    </row>
    <row r="654" spans="16:16" ht="15.75" customHeight="1">
      <c r="P654" s="480"/>
    </row>
    <row r="655" spans="16:16" ht="15.75" customHeight="1">
      <c r="P655" s="480"/>
    </row>
    <row r="656" spans="16:16" ht="15.75" customHeight="1">
      <c r="P656" s="480"/>
    </row>
    <row r="657" spans="16:16" ht="15.75" customHeight="1">
      <c r="P657" s="480"/>
    </row>
    <row r="658" spans="16:16" ht="15.75" customHeight="1">
      <c r="P658" s="480"/>
    </row>
    <row r="659" spans="16:16" ht="15.75" customHeight="1">
      <c r="P659" s="480"/>
    </row>
    <row r="660" spans="16:16" ht="15.75" customHeight="1">
      <c r="P660" s="480"/>
    </row>
    <row r="661" spans="16:16" ht="15.75" customHeight="1">
      <c r="P661" s="480"/>
    </row>
    <row r="662" spans="16:16" ht="15.75" customHeight="1">
      <c r="P662" s="480"/>
    </row>
    <row r="663" spans="16:16" ht="15.75" customHeight="1">
      <c r="P663" s="480"/>
    </row>
    <row r="664" spans="16:16" ht="15.75" customHeight="1">
      <c r="P664" s="480"/>
    </row>
    <row r="665" spans="16:16" ht="15.75" customHeight="1">
      <c r="P665" s="480"/>
    </row>
    <row r="666" spans="16:16" ht="15.75" customHeight="1">
      <c r="P666" s="480"/>
    </row>
    <row r="667" spans="16:16" ht="15.75" customHeight="1">
      <c r="P667" s="480"/>
    </row>
    <row r="668" spans="16:16" ht="15.75" customHeight="1">
      <c r="P668" s="480"/>
    </row>
    <row r="669" spans="16:16" ht="15.75" customHeight="1">
      <c r="P669" s="480"/>
    </row>
    <row r="670" spans="16:16" ht="15.75" customHeight="1">
      <c r="P670" s="480"/>
    </row>
    <row r="671" spans="16:16" ht="15.75" customHeight="1">
      <c r="P671" s="480"/>
    </row>
    <row r="672" spans="16:16" ht="15.75" customHeight="1">
      <c r="P672" s="480"/>
    </row>
    <row r="673" spans="16:16" ht="15.75" customHeight="1">
      <c r="P673" s="480"/>
    </row>
    <row r="674" spans="16:16" ht="15.75" customHeight="1">
      <c r="P674" s="480"/>
    </row>
    <row r="675" spans="16:16" ht="15.75" customHeight="1">
      <c r="P675" s="480"/>
    </row>
    <row r="676" spans="16:16" ht="15.75" customHeight="1">
      <c r="P676" s="480"/>
    </row>
    <row r="677" spans="16:16" ht="15.75" customHeight="1">
      <c r="P677" s="480"/>
    </row>
    <row r="678" spans="16:16" ht="15.75" customHeight="1">
      <c r="P678" s="480"/>
    </row>
    <row r="679" spans="16:16" ht="15.75" customHeight="1">
      <c r="P679" s="480"/>
    </row>
    <row r="680" spans="16:16" ht="15.75" customHeight="1">
      <c r="P680" s="480"/>
    </row>
    <row r="681" spans="16:16" ht="15.75" customHeight="1">
      <c r="P681" s="480"/>
    </row>
    <row r="682" spans="16:16" ht="15.75" customHeight="1">
      <c r="P682" s="480"/>
    </row>
    <row r="683" spans="16:16" ht="15.75" customHeight="1">
      <c r="P683" s="480"/>
    </row>
    <row r="684" spans="16:16" ht="15.75" customHeight="1">
      <c r="P684" s="480"/>
    </row>
    <row r="685" spans="16:16" ht="15.75" customHeight="1">
      <c r="P685" s="480"/>
    </row>
    <row r="686" spans="16:16" ht="15.75" customHeight="1">
      <c r="P686" s="480"/>
    </row>
    <row r="687" spans="16:16" ht="15.75" customHeight="1">
      <c r="P687" s="480"/>
    </row>
    <row r="688" spans="16:16" ht="15.75" customHeight="1">
      <c r="P688" s="480"/>
    </row>
    <row r="689" spans="16:16" ht="15.75" customHeight="1">
      <c r="P689" s="480"/>
    </row>
    <row r="690" spans="16:16" ht="15.75" customHeight="1">
      <c r="P690" s="480"/>
    </row>
    <row r="691" spans="16:16" ht="15.75" customHeight="1">
      <c r="P691" s="480"/>
    </row>
    <row r="692" spans="16:16" ht="15.75" customHeight="1">
      <c r="P692" s="480"/>
    </row>
    <row r="693" spans="16:16" ht="15.75" customHeight="1">
      <c r="P693" s="480"/>
    </row>
    <row r="694" spans="16:16" ht="15.75" customHeight="1">
      <c r="P694" s="480"/>
    </row>
    <row r="695" spans="16:16" ht="15.75" customHeight="1">
      <c r="P695" s="480"/>
    </row>
    <row r="696" spans="16:16" ht="15.75" customHeight="1">
      <c r="P696" s="480"/>
    </row>
    <row r="697" spans="16:16" ht="15.75" customHeight="1">
      <c r="P697" s="480"/>
    </row>
    <row r="698" spans="16:16" ht="15.75" customHeight="1">
      <c r="P698" s="480"/>
    </row>
    <row r="699" spans="16:16" ht="15.75" customHeight="1">
      <c r="P699" s="480"/>
    </row>
    <row r="700" spans="16:16" ht="15.75" customHeight="1">
      <c r="P700" s="480"/>
    </row>
    <row r="701" spans="16:16" ht="15.75" customHeight="1">
      <c r="P701" s="480"/>
    </row>
    <row r="702" spans="16:16" ht="15.75" customHeight="1">
      <c r="P702" s="480"/>
    </row>
    <row r="703" spans="16:16" ht="15.75" customHeight="1">
      <c r="P703" s="480"/>
    </row>
    <row r="704" spans="16:16" ht="15.75" customHeight="1">
      <c r="P704" s="480"/>
    </row>
    <row r="705" spans="16:16" ht="15.75" customHeight="1">
      <c r="P705" s="480"/>
    </row>
    <row r="706" spans="16:16" ht="15.75" customHeight="1">
      <c r="P706" s="480"/>
    </row>
    <row r="707" spans="16:16" ht="15.75" customHeight="1">
      <c r="P707" s="480"/>
    </row>
    <row r="708" spans="16:16" ht="15.75" customHeight="1">
      <c r="P708" s="480"/>
    </row>
    <row r="709" spans="16:16" ht="15.75" customHeight="1">
      <c r="P709" s="480"/>
    </row>
    <row r="710" spans="16:16" ht="15.75" customHeight="1">
      <c r="P710" s="480"/>
    </row>
    <row r="711" spans="16:16" ht="15.75" customHeight="1">
      <c r="P711" s="480"/>
    </row>
    <row r="712" spans="16:16" ht="15.75" customHeight="1">
      <c r="P712" s="480"/>
    </row>
    <row r="713" spans="16:16" ht="15.75" customHeight="1">
      <c r="P713" s="480"/>
    </row>
    <row r="714" spans="16:16" ht="15.75" customHeight="1">
      <c r="P714" s="480"/>
    </row>
    <row r="715" spans="16:16" ht="15.75" customHeight="1">
      <c r="P715" s="480"/>
    </row>
    <row r="716" spans="16:16" ht="15.75" customHeight="1">
      <c r="P716" s="480"/>
    </row>
    <row r="717" spans="16:16" ht="15.75" customHeight="1">
      <c r="P717" s="480"/>
    </row>
    <row r="718" spans="16:16" ht="15.75" customHeight="1">
      <c r="P718" s="480"/>
    </row>
    <row r="719" spans="16:16" ht="15.75" customHeight="1">
      <c r="P719" s="480"/>
    </row>
    <row r="720" spans="16:16" ht="15.75" customHeight="1">
      <c r="P720" s="480"/>
    </row>
    <row r="721" spans="16:16" ht="15.75" customHeight="1">
      <c r="P721" s="480"/>
    </row>
    <row r="722" spans="16:16" ht="15.75" customHeight="1">
      <c r="P722" s="480"/>
    </row>
    <row r="723" spans="16:16" ht="15.75" customHeight="1">
      <c r="P723" s="480"/>
    </row>
    <row r="724" spans="16:16" ht="15.75" customHeight="1">
      <c r="P724" s="480"/>
    </row>
    <row r="725" spans="16:16" ht="15.75" customHeight="1">
      <c r="P725" s="480"/>
    </row>
    <row r="726" spans="16:16" ht="15.75" customHeight="1">
      <c r="P726" s="480"/>
    </row>
    <row r="727" spans="16:16" ht="15.75" customHeight="1">
      <c r="P727" s="480"/>
    </row>
    <row r="728" spans="16:16" ht="15.75" customHeight="1">
      <c r="P728" s="480"/>
    </row>
    <row r="729" spans="16:16" ht="15.75" customHeight="1">
      <c r="P729" s="480"/>
    </row>
    <row r="730" spans="16:16" ht="15.75" customHeight="1">
      <c r="P730" s="480"/>
    </row>
    <row r="731" spans="16:16" ht="15.75" customHeight="1">
      <c r="P731" s="480"/>
    </row>
    <row r="732" spans="16:16" ht="15.75" customHeight="1">
      <c r="P732" s="480"/>
    </row>
    <row r="733" spans="16:16" ht="15.75" customHeight="1">
      <c r="P733" s="480"/>
    </row>
    <row r="734" spans="16:16" ht="15.75" customHeight="1">
      <c r="P734" s="480"/>
    </row>
    <row r="735" spans="16:16" ht="15.75" customHeight="1">
      <c r="P735" s="480"/>
    </row>
    <row r="736" spans="16:16" ht="15.75" customHeight="1">
      <c r="P736" s="480"/>
    </row>
    <row r="737" spans="16:16" ht="15.75" customHeight="1">
      <c r="P737" s="480"/>
    </row>
    <row r="738" spans="16:16" ht="15.75" customHeight="1">
      <c r="P738" s="480"/>
    </row>
    <row r="739" spans="16:16" ht="15.75" customHeight="1">
      <c r="P739" s="480"/>
    </row>
    <row r="740" spans="16:16" ht="15.75" customHeight="1">
      <c r="P740" s="480"/>
    </row>
    <row r="741" spans="16:16" ht="15.75" customHeight="1">
      <c r="P741" s="480"/>
    </row>
    <row r="742" spans="16:16" ht="15.75" customHeight="1">
      <c r="P742" s="480"/>
    </row>
    <row r="743" spans="16:16" ht="15.75" customHeight="1">
      <c r="P743" s="480"/>
    </row>
    <row r="744" spans="16:16" ht="15.75" customHeight="1">
      <c r="P744" s="480"/>
    </row>
    <row r="745" spans="16:16" ht="15.75" customHeight="1">
      <c r="P745" s="480"/>
    </row>
    <row r="746" spans="16:16" ht="15.75" customHeight="1">
      <c r="P746" s="480"/>
    </row>
    <row r="747" spans="16:16" ht="15.75" customHeight="1">
      <c r="P747" s="480"/>
    </row>
    <row r="748" spans="16:16" ht="15.75" customHeight="1">
      <c r="P748" s="480"/>
    </row>
    <row r="749" spans="16:16" ht="15.75" customHeight="1">
      <c r="P749" s="480"/>
    </row>
    <row r="750" spans="16:16" ht="15.75" customHeight="1">
      <c r="P750" s="480"/>
    </row>
    <row r="751" spans="16:16" ht="15.75" customHeight="1">
      <c r="P751" s="480"/>
    </row>
    <row r="752" spans="16:16" ht="15.75" customHeight="1">
      <c r="P752" s="480"/>
    </row>
    <row r="753" spans="16:16" ht="15.75" customHeight="1">
      <c r="P753" s="480"/>
    </row>
    <row r="754" spans="16:16" ht="15.75" customHeight="1">
      <c r="P754" s="480"/>
    </row>
    <row r="755" spans="16:16" ht="15.75" customHeight="1">
      <c r="P755" s="480"/>
    </row>
    <row r="756" spans="16:16" ht="15.75" customHeight="1">
      <c r="P756" s="480"/>
    </row>
    <row r="757" spans="16:16" ht="15.75" customHeight="1">
      <c r="P757" s="480"/>
    </row>
    <row r="758" spans="16:16" ht="15.75" customHeight="1">
      <c r="P758" s="480"/>
    </row>
    <row r="759" spans="16:16" ht="15.75" customHeight="1">
      <c r="P759" s="480"/>
    </row>
    <row r="760" spans="16:16" ht="15.75" customHeight="1">
      <c r="P760" s="480"/>
    </row>
    <row r="761" spans="16:16" ht="15.75" customHeight="1">
      <c r="P761" s="480"/>
    </row>
    <row r="762" spans="16:16" ht="15.75" customHeight="1">
      <c r="P762" s="480"/>
    </row>
    <row r="763" spans="16:16" ht="15.75" customHeight="1">
      <c r="P763" s="480"/>
    </row>
    <row r="764" spans="16:16" ht="15.75" customHeight="1">
      <c r="P764" s="480"/>
    </row>
    <row r="765" spans="16:16" ht="15.75" customHeight="1">
      <c r="P765" s="480"/>
    </row>
    <row r="766" spans="16:16" ht="15.75" customHeight="1">
      <c r="P766" s="480"/>
    </row>
    <row r="767" spans="16:16" ht="15.75" customHeight="1">
      <c r="P767" s="480"/>
    </row>
    <row r="768" spans="16:16" ht="15.75" customHeight="1">
      <c r="P768" s="480"/>
    </row>
    <row r="769" spans="16:16" ht="15.75" customHeight="1">
      <c r="P769" s="480"/>
    </row>
    <row r="770" spans="16:16" ht="15.75" customHeight="1">
      <c r="P770" s="480"/>
    </row>
    <row r="771" spans="16:16" ht="15.75" customHeight="1">
      <c r="P771" s="480"/>
    </row>
    <row r="772" spans="16:16" ht="15.75" customHeight="1">
      <c r="P772" s="480"/>
    </row>
    <row r="773" spans="16:16" ht="15.75" customHeight="1">
      <c r="P773" s="480"/>
    </row>
    <row r="774" spans="16:16" ht="15.75" customHeight="1">
      <c r="P774" s="480"/>
    </row>
    <row r="775" spans="16:16" ht="15.75" customHeight="1">
      <c r="P775" s="480"/>
    </row>
    <row r="776" spans="16:16" ht="15.75" customHeight="1">
      <c r="P776" s="480"/>
    </row>
    <row r="777" spans="16:16" ht="15.75" customHeight="1">
      <c r="P777" s="480"/>
    </row>
    <row r="778" spans="16:16" ht="15.75" customHeight="1">
      <c r="P778" s="480"/>
    </row>
    <row r="779" spans="16:16" ht="15.75" customHeight="1">
      <c r="P779" s="480"/>
    </row>
    <row r="780" spans="16:16" ht="15.75" customHeight="1">
      <c r="P780" s="480"/>
    </row>
    <row r="781" spans="16:16" ht="15.75" customHeight="1">
      <c r="P781" s="480"/>
    </row>
    <row r="782" spans="16:16" ht="15.75" customHeight="1">
      <c r="P782" s="480"/>
    </row>
    <row r="783" spans="16:16" ht="15.75" customHeight="1">
      <c r="P783" s="480"/>
    </row>
    <row r="784" spans="16:16" ht="15.75" customHeight="1">
      <c r="P784" s="480"/>
    </row>
    <row r="785" spans="16:16" ht="15.75" customHeight="1">
      <c r="P785" s="480"/>
    </row>
    <row r="786" spans="16:16" ht="15.75" customHeight="1">
      <c r="P786" s="480"/>
    </row>
    <row r="787" spans="16:16" ht="15.75" customHeight="1">
      <c r="P787" s="480"/>
    </row>
    <row r="788" spans="16:16" ht="15.75" customHeight="1">
      <c r="P788" s="480"/>
    </row>
    <row r="789" spans="16:16" ht="15.75" customHeight="1">
      <c r="P789" s="480"/>
    </row>
    <row r="790" spans="16:16" ht="15.75" customHeight="1">
      <c r="P790" s="480"/>
    </row>
    <row r="791" spans="16:16" ht="15.75" customHeight="1">
      <c r="P791" s="480"/>
    </row>
    <row r="792" spans="16:16" ht="15.75" customHeight="1">
      <c r="P792" s="480"/>
    </row>
    <row r="793" spans="16:16" ht="15.75" customHeight="1">
      <c r="P793" s="480"/>
    </row>
    <row r="794" spans="16:16" ht="15.75" customHeight="1">
      <c r="P794" s="480"/>
    </row>
    <row r="795" spans="16:16" ht="15.75" customHeight="1">
      <c r="P795" s="480"/>
    </row>
    <row r="796" spans="16:16" ht="15.75" customHeight="1">
      <c r="P796" s="480"/>
    </row>
    <row r="797" spans="16:16" ht="15.75" customHeight="1">
      <c r="P797" s="480"/>
    </row>
    <row r="798" spans="16:16" ht="15.75" customHeight="1">
      <c r="P798" s="480"/>
    </row>
    <row r="799" spans="16:16" ht="15.75" customHeight="1">
      <c r="P799" s="480"/>
    </row>
    <row r="800" spans="16:16" ht="15.75" customHeight="1">
      <c r="P800" s="480"/>
    </row>
    <row r="801" spans="16:16" ht="15.75" customHeight="1">
      <c r="P801" s="480"/>
    </row>
    <row r="802" spans="16:16" ht="15.75" customHeight="1">
      <c r="P802" s="480"/>
    </row>
    <row r="803" spans="16:16" ht="15.75" customHeight="1">
      <c r="P803" s="480"/>
    </row>
    <row r="804" spans="16:16" ht="15.75" customHeight="1">
      <c r="P804" s="480"/>
    </row>
    <row r="805" spans="16:16" ht="15.75" customHeight="1">
      <c r="P805" s="480"/>
    </row>
    <row r="806" spans="16:16" ht="15.75" customHeight="1">
      <c r="P806" s="480"/>
    </row>
    <row r="807" spans="16:16" ht="15.75" customHeight="1">
      <c r="P807" s="480"/>
    </row>
    <row r="808" spans="16:16" ht="15.75" customHeight="1">
      <c r="P808" s="480"/>
    </row>
    <row r="809" spans="16:16" ht="15.75" customHeight="1">
      <c r="P809" s="480"/>
    </row>
    <row r="810" spans="16:16" ht="15.75" customHeight="1">
      <c r="P810" s="480"/>
    </row>
    <row r="811" spans="16:16" ht="15.75" customHeight="1">
      <c r="P811" s="480"/>
    </row>
    <row r="812" spans="16:16" ht="15.75" customHeight="1">
      <c r="P812" s="480"/>
    </row>
    <row r="813" spans="16:16" ht="15.75" customHeight="1">
      <c r="P813" s="480"/>
    </row>
    <row r="814" spans="16:16" ht="15.75" customHeight="1">
      <c r="P814" s="480"/>
    </row>
    <row r="815" spans="16:16" ht="15.75" customHeight="1">
      <c r="P815" s="480"/>
    </row>
    <row r="816" spans="16:16" ht="15.75" customHeight="1">
      <c r="P816" s="480"/>
    </row>
    <row r="817" spans="16:16" ht="15.75" customHeight="1">
      <c r="P817" s="480"/>
    </row>
    <row r="818" spans="16:16" ht="15.75" customHeight="1">
      <c r="P818" s="480"/>
    </row>
    <row r="819" spans="16:16" ht="15.75" customHeight="1">
      <c r="P819" s="480"/>
    </row>
    <row r="820" spans="16:16" ht="15.75" customHeight="1">
      <c r="P820" s="480"/>
    </row>
    <row r="821" spans="16:16" ht="15.75" customHeight="1">
      <c r="P821" s="480"/>
    </row>
    <row r="822" spans="16:16" ht="15.75" customHeight="1">
      <c r="P822" s="480"/>
    </row>
    <row r="823" spans="16:16" ht="15.75" customHeight="1">
      <c r="P823" s="480"/>
    </row>
    <row r="824" spans="16:16" ht="15.75" customHeight="1">
      <c r="P824" s="480"/>
    </row>
    <row r="825" spans="16:16" ht="15.75" customHeight="1">
      <c r="P825" s="480"/>
    </row>
    <row r="826" spans="16:16" ht="15.75" customHeight="1">
      <c r="P826" s="480"/>
    </row>
    <row r="827" spans="16:16" ht="15.75" customHeight="1">
      <c r="P827" s="480"/>
    </row>
    <row r="828" spans="16:16" ht="15.75" customHeight="1">
      <c r="P828" s="480"/>
    </row>
    <row r="829" spans="16:16" ht="15.75" customHeight="1">
      <c r="P829" s="480"/>
    </row>
    <row r="830" spans="16:16" ht="15.75" customHeight="1">
      <c r="P830" s="480"/>
    </row>
    <row r="831" spans="16:16" ht="15.75" customHeight="1">
      <c r="P831" s="480"/>
    </row>
    <row r="832" spans="16:16" ht="15.75" customHeight="1">
      <c r="P832" s="480"/>
    </row>
    <row r="833" spans="16:16" ht="15.75" customHeight="1">
      <c r="P833" s="480"/>
    </row>
    <row r="834" spans="16:16" ht="15.75" customHeight="1">
      <c r="P834" s="480"/>
    </row>
    <row r="835" spans="16:16" ht="15.75" customHeight="1">
      <c r="P835" s="480"/>
    </row>
    <row r="836" spans="16:16" ht="15.75" customHeight="1">
      <c r="P836" s="480"/>
    </row>
    <row r="837" spans="16:16" ht="15.75" customHeight="1">
      <c r="P837" s="480"/>
    </row>
    <row r="838" spans="16:16" ht="15.75" customHeight="1">
      <c r="P838" s="480"/>
    </row>
    <row r="839" spans="16:16" ht="15.75" customHeight="1">
      <c r="P839" s="480"/>
    </row>
    <row r="840" spans="16:16" ht="15.75" customHeight="1">
      <c r="P840" s="480"/>
    </row>
    <row r="841" spans="16:16" ht="15.75" customHeight="1">
      <c r="P841" s="480"/>
    </row>
    <row r="842" spans="16:16" ht="15.75" customHeight="1">
      <c r="P842" s="480"/>
    </row>
    <row r="843" spans="16:16" ht="15.75" customHeight="1">
      <c r="P843" s="480"/>
    </row>
    <row r="844" spans="16:16" ht="15.75" customHeight="1">
      <c r="P844" s="480"/>
    </row>
    <row r="845" spans="16:16" ht="15.75" customHeight="1">
      <c r="P845" s="480"/>
    </row>
    <row r="846" spans="16:16" ht="15.75" customHeight="1">
      <c r="P846" s="480"/>
    </row>
    <row r="847" spans="16:16" ht="15.75" customHeight="1">
      <c r="P847" s="480"/>
    </row>
    <row r="848" spans="16:16" ht="15.75" customHeight="1">
      <c r="P848" s="480"/>
    </row>
    <row r="849" spans="16:16" ht="15.75" customHeight="1">
      <c r="P849" s="480"/>
    </row>
    <row r="850" spans="16:16" ht="15.75" customHeight="1">
      <c r="P850" s="480"/>
    </row>
    <row r="851" spans="16:16" ht="15.75" customHeight="1">
      <c r="P851" s="480"/>
    </row>
    <row r="852" spans="16:16" ht="15.75" customHeight="1">
      <c r="P852" s="480"/>
    </row>
    <row r="853" spans="16:16" ht="15.75" customHeight="1">
      <c r="P853" s="480"/>
    </row>
    <row r="854" spans="16:16" ht="15.75" customHeight="1">
      <c r="P854" s="480"/>
    </row>
    <row r="855" spans="16:16" ht="15.75" customHeight="1">
      <c r="P855" s="480"/>
    </row>
    <row r="856" spans="16:16" ht="15.75" customHeight="1">
      <c r="P856" s="480"/>
    </row>
    <row r="857" spans="16:16" ht="15.75" customHeight="1">
      <c r="P857" s="480"/>
    </row>
    <row r="858" spans="16:16" ht="15.75" customHeight="1">
      <c r="P858" s="480"/>
    </row>
    <row r="859" spans="16:16" ht="15.75" customHeight="1">
      <c r="P859" s="480"/>
    </row>
    <row r="860" spans="16:16" ht="15.75" customHeight="1">
      <c r="P860" s="480"/>
    </row>
    <row r="861" spans="16:16" ht="15.75" customHeight="1">
      <c r="P861" s="480"/>
    </row>
    <row r="862" spans="16:16" ht="15.75" customHeight="1">
      <c r="P862" s="480"/>
    </row>
    <row r="863" spans="16:16" ht="15.75" customHeight="1">
      <c r="P863" s="480"/>
    </row>
    <row r="864" spans="16:16" ht="15.75" customHeight="1">
      <c r="P864" s="480"/>
    </row>
    <row r="865" spans="16:16" ht="15.75" customHeight="1">
      <c r="P865" s="480"/>
    </row>
    <row r="866" spans="16:16" ht="15.75" customHeight="1">
      <c r="P866" s="480"/>
    </row>
    <row r="867" spans="16:16" ht="15.75" customHeight="1">
      <c r="P867" s="480"/>
    </row>
    <row r="868" spans="16:16" ht="15.75" customHeight="1">
      <c r="P868" s="480"/>
    </row>
    <row r="869" spans="16:16" ht="15.75" customHeight="1">
      <c r="P869" s="480"/>
    </row>
    <row r="870" spans="16:16" ht="15.75" customHeight="1">
      <c r="P870" s="480"/>
    </row>
    <row r="871" spans="16:16" ht="15.75" customHeight="1">
      <c r="P871" s="480"/>
    </row>
    <row r="872" spans="16:16" ht="15.75" customHeight="1">
      <c r="P872" s="480"/>
    </row>
    <row r="873" spans="16:16" ht="15.75" customHeight="1">
      <c r="P873" s="480"/>
    </row>
    <row r="874" spans="16:16" ht="15.75" customHeight="1">
      <c r="P874" s="480"/>
    </row>
    <row r="875" spans="16:16" ht="15.75" customHeight="1">
      <c r="P875" s="480"/>
    </row>
    <row r="876" spans="16:16" ht="15.75" customHeight="1">
      <c r="P876" s="480"/>
    </row>
    <row r="877" spans="16:16" ht="15.75" customHeight="1">
      <c r="P877" s="480"/>
    </row>
    <row r="878" spans="16:16" ht="15.75" customHeight="1">
      <c r="P878" s="480"/>
    </row>
    <row r="879" spans="16:16" ht="15.75" customHeight="1">
      <c r="P879" s="480"/>
    </row>
    <row r="880" spans="16:16" ht="15.75" customHeight="1">
      <c r="P880" s="480"/>
    </row>
    <row r="881" spans="16:16" ht="15.75" customHeight="1">
      <c r="P881" s="480"/>
    </row>
    <row r="882" spans="16:16" ht="15.75" customHeight="1">
      <c r="P882" s="480"/>
    </row>
    <row r="883" spans="16:16" ht="15.75" customHeight="1">
      <c r="P883" s="480"/>
    </row>
    <row r="884" spans="16:16" ht="15.75" customHeight="1">
      <c r="P884" s="480"/>
    </row>
    <row r="885" spans="16:16" ht="15.75" customHeight="1">
      <c r="P885" s="480"/>
    </row>
    <row r="886" spans="16:16" ht="15.75" customHeight="1">
      <c r="P886" s="480"/>
    </row>
    <row r="887" spans="16:16" ht="15.75" customHeight="1">
      <c r="P887" s="480"/>
    </row>
    <row r="888" spans="16:16" ht="15.75" customHeight="1">
      <c r="P888" s="480"/>
    </row>
    <row r="889" spans="16:16" ht="15.75" customHeight="1">
      <c r="P889" s="480"/>
    </row>
    <row r="890" spans="16:16" ht="15.75" customHeight="1">
      <c r="P890" s="480"/>
    </row>
    <row r="891" spans="16:16" ht="15.75" customHeight="1">
      <c r="P891" s="480"/>
    </row>
    <row r="892" spans="16:16" ht="15.75" customHeight="1">
      <c r="P892" s="480"/>
    </row>
    <row r="893" spans="16:16" ht="15.75" customHeight="1">
      <c r="P893" s="480"/>
    </row>
    <row r="894" spans="16:16" ht="15.75" customHeight="1">
      <c r="P894" s="480"/>
    </row>
    <row r="895" spans="16:16" ht="15.75" customHeight="1">
      <c r="P895" s="480"/>
    </row>
    <row r="896" spans="16:16" ht="15.75" customHeight="1">
      <c r="P896" s="480"/>
    </row>
    <row r="897" spans="16:16" ht="15.75" customHeight="1">
      <c r="P897" s="480"/>
    </row>
    <row r="898" spans="16:16" ht="15.75" customHeight="1">
      <c r="P898" s="480"/>
    </row>
    <row r="899" spans="16:16" ht="15.75" customHeight="1">
      <c r="P899" s="480"/>
    </row>
    <row r="900" spans="16:16" ht="15.75" customHeight="1">
      <c r="P900" s="480"/>
    </row>
    <row r="901" spans="16:16" ht="15.75" customHeight="1">
      <c r="P901" s="480"/>
    </row>
    <row r="902" spans="16:16" ht="15.75" customHeight="1">
      <c r="P902" s="480"/>
    </row>
    <row r="903" spans="16:16" ht="15.75" customHeight="1">
      <c r="P903" s="480"/>
    </row>
    <row r="904" spans="16:16" ht="15.75" customHeight="1">
      <c r="P904" s="480"/>
    </row>
    <row r="905" spans="16:16" ht="15.75" customHeight="1">
      <c r="P905" s="480"/>
    </row>
    <row r="906" spans="16:16" ht="15.75" customHeight="1">
      <c r="P906" s="480"/>
    </row>
    <row r="907" spans="16:16" ht="15.75" customHeight="1">
      <c r="P907" s="480"/>
    </row>
    <row r="908" spans="16:16" ht="15.75" customHeight="1">
      <c r="P908" s="480"/>
    </row>
    <row r="909" spans="16:16" ht="15.75" customHeight="1">
      <c r="P909" s="480"/>
    </row>
    <row r="910" spans="16:16" ht="15.75" customHeight="1">
      <c r="P910" s="480"/>
    </row>
    <row r="911" spans="16:16" ht="15.75" customHeight="1">
      <c r="P911" s="480"/>
    </row>
    <row r="912" spans="16:16" ht="15.75" customHeight="1">
      <c r="P912" s="480"/>
    </row>
    <row r="913" spans="16:16" ht="15.75" customHeight="1">
      <c r="P913" s="480"/>
    </row>
    <row r="914" spans="16:16" ht="15.75" customHeight="1">
      <c r="P914" s="480"/>
    </row>
    <row r="915" spans="16:16" ht="15.75" customHeight="1">
      <c r="P915" s="480"/>
    </row>
    <row r="916" spans="16:16" ht="15.75" customHeight="1">
      <c r="P916" s="480"/>
    </row>
    <row r="917" spans="16:16" ht="15.75" customHeight="1">
      <c r="P917" s="480"/>
    </row>
    <row r="918" spans="16:16" ht="15.75" customHeight="1">
      <c r="P918" s="480"/>
    </row>
    <row r="919" spans="16:16" ht="15.75" customHeight="1">
      <c r="P919" s="480"/>
    </row>
    <row r="920" spans="16:16" ht="15.75" customHeight="1">
      <c r="P920" s="480"/>
    </row>
    <row r="921" spans="16:16" ht="15.75" customHeight="1">
      <c r="P921" s="480"/>
    </row>
    <row r="922" spans="16:16" ht="15.75" customHeight="1">
      <c r="P922" s="480"/>
    </row>
    <row r="923" spans="16:16" ht="15.75" customHeight="1">
      <c r="P923" s="480"/>
    </row>
    <row r="924" spans="16:16" ht="15.75" customHeight="1">
      <c r="P924" s="480"/>
    </row>
    <row r="925" spans="16:16" ht="15.75" customHeight="1">
      <c r="P925" s="480"/>
    </row>
    <row r="926" spans="16:16" ht="15.75" customHeight="1">
      <c r="P926" s="480"/>
    </row>
    <row r="927" spans="16:16" ht="15.75" customHeight="1">
      <c r="P927" s="480"/>
    </row>
    <row r="928" spans="16:16" ht="15.75" customHeight="1">
      <c r="P928" s="480"/>
    </row>
    <row r="929" spans="16:16" ht="15.75" customHeight="1">
      <c r="P929" s="480"/>
    </row>
    <row r="930" spans="16:16" ht="15.75" customHeight="1">
      <c r="P930" s="480"/>
    </row>
    <row r="931" spans="16:16" ht="15.75" customHeight="1">
      <c r="P931" s="480"/>
    </row>
    <row r="932" spans="16:16" ht="15.75" customHeight="1">
      <c r="P932" s="480"/>
    </row>
    <row r="933" spans="16:16" ht="15.75" customHeight="1">
      <c r="P933" s="480"/>
    </row>
    <row r="934" spans="16:16" ht="15.75" customHeight="1">
      <c r="P934" s="480"/>
    </row>
    <row r="935" spans="16:16" ht="15.75" customHeight="1">
      <c r="P935" s="480"/>
    </row>
    <row r="936" spans="16:16" ht="15.75" customHeight="1">
      <c r="P936" s="480"/>
    </row>
    <row r="937" spans="16:16" ht="15.75" customHeight="1">
      <c r="P937" s="480"/>
    </row>
    <row r="938" spans="16:16" ht="15.75" customHeight="1">
      <c r="P938" s="480"/>
    </row>
    <row r="939" spans="16:16" ht="15.75" customHeight="1">
      <c r="P939" s="480"/>
    </row>
    <row r="940" spans="16:16" ht="15.75" customHeight="1">
      <c r="P940" s="480"/>
    </row>
    <row r="941" spans="16:16" ht="15.75" customHeight="1">
      <c r="P941" s="480"/>
    </row>
    <row r="942" spans="16:16" ht="15.75" customHeight="1">
      <c r="P942" s="480"/>
    </row>
    <row r="943" spans="16:16" ht="15.75" customHeight="1">
      <c r="P943" s="480"/>
    </row>
    <row r="944" spans="16:16" ht="15.75" customHeight="1">
      <c r="P944" s="480"/>
    </row>
    <row r="945" spans="16:16" ht="15.75" customHeight="1">
      <c r="P945" s="480"/>
    </row>
    <row r="946" spans="16:16" ht="15.75" customHeight="1">
      <c r="P946" s="480"/>
    </row>
    <row r="947" spans="16:16" ht="15.75" customHeight="1">
      <c r="P947" s="480"/>
    </row>
    <row r="948" spans="16:16" ht="15.75" customHeight="1">
      <c r="P948" s="480"/>
    </row>
    <row r="949" spans="16:16" ht="15.75" customHeight="1">
      <c r="P949" s="480"/>
    </row>
    <row r="950" spans="16:16" ht="15.75" customHeight="1">
      <c r="P950" s="480"/>
    </row>
    <row r="951" spans="16:16" ht="15.75" customHeight="1">
      <c r="P951" s="480"/>
    </row>
    <row r="952" spans="16:16" ht="15.75" customHeight="1">
      <c r="P952" s="480"/>
    </row>
    <row r="953" spans="16:16" ht="15.75" customHeight="1">
      <c r="P953" s="480"/>
    </row>
    <row r="954" spans="16:16" ht="15.75" customHeight="1">
      <c r="P954" s="480"/>
    </row>
    <row r="955" spans="16:16" ht="15.75" customHeight="1">
      <c r="P955" s="480"/>
    </row>
    <row r="956" spans="16:16" ht="15.75" customHeight="1">
      <c r="P956" s="480"/>
    </row>
    <row r="957" spans="16:16" ht="15.75" customHeight="1">
      <c r="P957" s="480"/>
    </row>
    <row r="958" spans="16:16" ht="15.75" customHeight="1">
      <c r="P958" s="480"/>
    </row>
    <row r="959" spans="16:16" ht="15.75" customHeight="1">
      <c r="P959" s="480"/>
    </row>
    <row r="960" spans="16:16" ht="15.75" customHeight="1">
      <c r="P960" s="480"/>
    </row>
    <row r="961" spans="16:16" ht="15.75" customHeight="1">
      <c r="P961" s="480"/>
    </row>
    <row r="962" spans="16:16" ht="15.75" customHeight="1">
      <c r="P962" s="480"/>
    </row>
    <row r="963" spans="16:16" ht="15.75" customHeight="1">
      <c r="P963" s="480"/>
    </row>
    <row r="964" spans="16:16" ht="15.75" customHeight="1">
      <c r="P964" s="480"/>
    </row>
    <row r="965" spans="16:16" ht="15.75" customHeight="1">
      <c r="P965" s="480"/>
    </row>
    <row r="966" spans="16:16" ht="15.75" customHeight="1">
      <c r="P966" s="480"/>
    </row>
    <row r="967" spans="16:16" ht="15.75" customHeight="1">
      <c r="P967" s="480"/>
    </row>
    <row r="968" spans="16:16" ht="15.75" customHeight="1">
      <c r="P968" s="480"/>
    </row>
    <row r="969" spans="16:16" ht="15.75" customHeight="1">
      <c r="P969" s="480"/>
    </row>
    <row r="970" spans="16:16" ht="15.75" customHeight="1">
      <c r="P970" s="480"/>
    </row>
    <row r="971" spans="16:16" ht="15.75" customHeight="1">
      <c r="P971" s="480"/>
    </row>
    <row r="972" spans="16:16" ht="15.75" customHeight="1">
      <c r="P972" s="480"/>
    </row>
    <row r="973" spans="16:16" ht="15.75" customHeight="1">
      <c r="P973" s="480"/>
    </row>
    <row r="974" spans="16:16" ht="15.75" customHeight="1">
      <c r="P974" s="480"/>
    </row>
    <row r="975" spans="16:16" ht="15.75" customHeight="1">
      <c r="P975" s="480"/>
    </row>
    <row r="976" spans="16:16" ht="15.75" customHeight="1">
      <c r="P976" s="480"/>
    </row>
    <row r="977" spans="16:16" ht="15.75" customHeight="1">
      <c r="P977" s="480"/>
    </row>
    <row r="978" spans="16:16" ht="15.75" customHeight="1">
      <c r="P978" s="480"/>
    </row>
    <row r="979" spans="16:16" ht="15.75" customHeight="1">
      <c r="P979" s="480"/>
    </row>
    <row r="980" spans="16:16" ht="15.75" customHeight="1">
      <c r="P980" s="480"/>
    </row>
    <row r="981" spans="16:16" ht="15.75" customHeight="1">
      <c r="P981" s="480"/>
    </row>
    <row r="982" spans="16:16" ht="15.75" customHeight="1">
      <c r="P982" s="480"/>
    </row>
    <row r="983" spans="16:16" ht="15.75" customHeight="1">
      <c r="P983" s="480"/>
    </row>
    <row r="984" spans="16:16" ht="15.75" customHeight="1">
      <c r="P984" s="480"/>
    </row>
    <row r="985" spans="16:16" ht="15.75" customHeight="1">
      <c r="P985" s="480"/>
    </row>
    <row r="986" spans="16:16" ht="15.75" customHeight="1">
      <c r="P986" s="480"/>
    </row>
    <row r="987" spans="16:16" ht="15.75" customHeight="1">
      <c r="P987" s="480"/>
    </row>
    <row r="988" spans="16:16" ht="15.75" customHeight="1">
      <c r="P988" s="480"/>
    </row>
    <row r="989" spans="16:16" ht="15.75" customHeight="1">
      <c r="P989" s="480"/>
    </row>
    <row r="990" spans="16:16" ht="15.75" customHeight="1">
      <c r="P990" s="480"/>
    </row>
    <row r="991" spans="16:16" ht="15.75" customHeight="1">
      <c r="P991" s="480"/>
    </row>
    <row r="992" spans="16:16" ht="15.75" customHeight="1">
      <c r="P992" s="480"/>
    </row>
    <row r="993" spans="16:16" ht="15.75" customHeight="1">
      <c r="P993" s="480"/>
    </row>
    <row r="994" spans="16:16" ht="15.75" customHeight="1">
      <c r="P994" s="480"/>
    </row>
    <row r="995" spans="16:16" ht="15.75" customHeight="1">
      <c r="P995" s="480"/>
    </row>
    <row r="996" spans="16:16" ht="15.75" customHeight="1">
      <c r="P996" s="480"/>
    </row>
    <row r="997" spans="16:16" ht="15.75" customHeight="1">
      <c r="P997" s="480"/>
    </row>
    <row r="998" spans="16:16" ht="15.75" customHeight="1">
      <c r="P998" s="480"/>
    </row>
    <row r="999" spans="16:16" ht="15.75" customHeight="1">
      <c r="P999" s="480"/>
    </row>
    <row r="1000" spans="16:16" ht="15.75" customHeight="1">
      <c r="P1000" s="480"/>
    </row>
    <row r="1001" spans="16:16" ht="15.75" customHeight="1">
      <c r="P1001" s="480"/>
    </row>
    <row r="1002" spans="16:16" ht="15.75" customHeight="1">
      <c r="P1002" s="480"/>
    </row>
    <row r="1003" spans="16:16" ht="15.75" customHeight="1">
      <c r="P1003" s="480"/>
    </row>
    <row r="1004" spans="16:16" ht="15.75" customHeight="1">
      <c r="P1004" s="480"/>
    </row>
    <row r="1005" spans="16:16" ht="15.75" customHeight="1">
      <c r="P1005" s="480"/>
    </row>
    <row r="1006" spans="16:16" ht="15.75" customHeight="1">
      <c r="P1006" s="480"/>
    </row>
    <row r="1007" spans="16:16" ht="15.75" customHeight="1">
      <c r="P1007" s="480"/>
    </row>
  </sheetData>
  <mergeCells count="7">
    <mergeCell ref="C38:D38"/>
    <mergeCell ref="G40:H40"/>
    <mergeCell ref="C1:M1"/>
    <mergeCell ref="C2:M2"/>
    <mergeCell ref="E3:H3"/>
    <mergeCell ref="I3:J3"/>
    <mergeCell ref="O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xe</vt:lpstr>
      <vt:lpstr>ma</vt:lpstr>
      <vt:lpstr>XE NHỎ</vt:lpstr>
      <vt:lpstr>XE LỚN</vt:lpstr>
      <vt:lpstr>TRUNG CHUYỂN</vt:lpstr>
      <vt:lpstr>50H-88294</vt:lpstr>
      <vt:lpstr>50H-74619</vt:lpstr>
      <vt:lpstr>50H-87442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2026-06-15T12:49:48Z</dcterms:modified>
</cp:coreProperties>
</file>